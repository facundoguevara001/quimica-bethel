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RODUCTOS" sheetId="1" r:id="rId1"/>
    <sheet name="PRECIOS" sheetId="2" r:id="rId2"/>
    <sheet name="CATÁLOGOS" sheetId="3" r:id="rId3"/>
    <sheet name="CONTROL_FOTOS" sheetId="4" r:id="rId4"/>
    <sheet name="MOVIMIENTOS_STOCK" sheetId="5" r:id="rId5"/>
    <sheet name="TARIFAS ENVÍO" sheetId="6" r:id="rId6"/>
    <sheet name="ALTA" sheetId="7" r:id="rId7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0.0%"/>
    <numFmt numFmtId="165" formatCode="&quot;$&quot;#,##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NumberForma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1004"/>
  <sheetViews>
    <sheetView workbookViewId="0" rightToLeft="0"/>
  </sheetViews>
  <cols>
    <col min="1" max="1" customWidth="1" width="9"/>
    <col min="2" max="2" customWidth="1" width="13"/>
    <col min="3" max="3" customWidth="1" width="16"/>
    <col min="4" max="4" customWidth="1" width="16"/>
    <col min="5" max="5" customWidth="1" width="16"/>
    <col min="6" max="6" customWidth="1" width="16"/>
    <col min="7" max="7" customWidth="1" width="21"/>
    <col min="8" max="8" customWidth="1" width="18"/>
    <col min="9" max="9" customWidth="1" width="24"/>
    <col min="10" max="10" customWidth="1" width="14"/>
    <col min="11" max="11" customWidth="1" width="29"/>
    <col min="12" max="12" customWidth="1" width="24"/>
    <col min="13" max="13" customWidth="1" width="14"/>
    <col min="14" max="14" customWidth="1" width="18"/>
    <col min="15" max="15" customWidth="1" width="17"/>
    <col min="16" max="16" customWidth="1" width="42"/>
    <col min="17" max="17" customWidth="1" width="42"/>
    <col min="18" max="18" customWidth="1" width="10"/>
    <col min="19" max="19" customWidth="1" width="14"/>
    <col min="20" max="20" customWidth="1" width="12"/>
    <col min="21" max="21" customWidth="1" width="12"/>
  </cols>
  <sheetData>
    <row r="1" ht="30" customHeight="1">
      <c r="A1" t="str">
        <v>CATÁLOGO DE PRODUCTOS · CARGA ADMINISTRATIVA</v>
      </c>
    </row>
    <row r="2" ht="32" customHeight="1">
      <c r="A2" t="str">
        <v>Completá las celdas amarillas. Categoría, subcategoría, descripción y características se traen automáticamente desde CATÁLOGOS mediante sus códigos.</v>
      </c>
    </row>
    <row r="4" ht="34" customHeight="1">
      <c r="A4" t="str">
        <v>ID</v>
      </c>
      <c r="B4" t="str">
        <v>CODIGO</v>
      </c>
      <c r="C4" t="str">
        <v>SLUG</v>
      </c>
      <c r="D4" t="str">
        <v>GRUPO</v>
      </c>
      <c r="E4" t="str">
        <v>VARIANTE</v>
      </c>
      <c r="F4" t="str">
        <v>CÓDIGO CATEGORÍA</v>
      </c>
      <c r="G4" t="str">
        <v>CATEGORÍA</v>
      </c>
      <c r="H4" t="str">
        <v>CÓDIGO SUBCATEGORÍA</v>
      </c>
      <c r="I4" t="str">
        <v>SUBCATEGORÍA</v>
      </c>
      <c r="J4" t="str">
        <v>MARCA</v>
      </c>
      <c r="K4" t="str">
        <v>PRODUCTO</v>
      </c>
      <c r="L4" t="str">
        <v>FRAGANCIA</v>
      </c>
      <c r="M4" t="str">
        <v>PRESENTACIÓN</v>
      </c>
      <c r="N4" t="str">
        <v>NOMBRE FOTO</v>
      </c>
      <c r="O4" t="str">
        <v>CÓDIGO CONTENIDO</v>
      </c>
      <c r="P4" t="str">
        <v>DESCRIPCIÓN</v>
      </c>
      <c r="Q4" t="str">
        <v>CARACTERÍSTICAS</v>
      </c>
      <c r="R4" t="str">
        <v>STOCK</v>
      </c>
      <c r="S4" t="str">
        <v>STOCK MÍNIMO</v>
      </c>
      <c r="T4" t="str">
        <v>ESTADO</v>
      </c>
      <c r="U4" t="str">
        <v>DESTACADO</v>
      </c>
    </row>
    <row r="5">
      <c r="A5" t="str">
        <v>001</v>
      </c>
      <c r="B5" t="str">
        <v>CLO001</v>
      </c>
      <c r="C5" t="str">
        <v>CLO001</v>
      </c>
      <c r="F5" t="str">
        <v>CAT-001</v>
      </c>
      <c r="G5" t="str">
        <f>IFERROR(VLOOKUP(F5,CATÁLOGOS!$A$6:$B$105,2,FALSE),"")</f>
        <v>🚽 Baño</v>
      </c>
      <c r="H5" t="str">
        <v>SUB-001</v>
      </c>
      <c r="I5" t="str">
        <f>IFERROR(VLOOKUP(H5,CATÁLOGOS!$F$6:$H$305,3,FALSE),"")</f>
        <v>Lavandina</v>
      </c>
      <c r="J5" t="str">
        <v>bethel</v>
      </c>
      <c r="K5" t="str">
        <v>Lavandina al 4%</v>
      </c>
      <c r="L5" t="str">
        <v>sin frangancia</v>
      </c>
      <c r="M5" t="str">
        <v>5 litros</v>
      </c>
      <c r="N5" t="str">
        <v>CLO001.jpg</v>
      </c>
      <c r="O5" t="str">
        <v>CNT-001</v>
      </c>
      <c r="P5" t="str">
        <f>IFERROR(VLOOKUP(O5,CATÁLOGOS!$L$6:$O$305,3,FALSE),"")</f>
        <v>Lavandina al 4%. Presentación: 5 litros.</v>
      </c>
      <c r="Q5" t="str">
        <f>IFERROR(VLOOKUP(O5,CATÁLOGOS!$L$6:$O$305,4,FALSE),"")</f>
        <v>Lavandina. Elimina suciedad y gérmenes en inodoros, azulejos y superficies del baño, dejando un aroma agradable.</v>
      </c>
      <c r="T5" t="str">
        <v>Activo</v>
      </c>
      <c r="U5" t="str">
        <v>NO</v>
      </c>
    </row>
    <row r="6">
      <c r="A6" t="str">
        <v>002</v>
      </c>
      <c r="B6" t="str">
        <v>DET001</v>
      </c>
      <c r="C6" t="str">
        <v>DET001</v>
      </c>
      <c r="F6" t="str">
        <v>CAT-002</v>
      </c>
      <c r="G6" t="str">
        <f>IFERROR(VLOOKUP(F6,CATÁLOGOS!$A$6:$B$105,2,FALSE),"")</f>
        <v>🍽️ Cocina</v>
      </c>
      <c r="H6" t="str">
        <v>SUB-002</v>
      </c>
      <c r="I6" t="str">
        <f>IFERROR(VLOOKUP(H6,CATÁLOGOS!$F$6:$H$305,3,FALSE),"")</f>
        <v>Detergente concentrado</v>
      </c>
      <c r="J6" t="str">
        <v>bethel</v>
      </c>
      <c r="K6" t="str">
        <v>Detergente concentrado rinde 10 Litros</v>
      </c>
      <c r="L6" t="str">
        <v>sin frangancia</v>
      </c>
      <c r="M6" t="str">
        <v>5 litros</v>
      </c>
      <c r="N6" t="str">
        <v>DET001.jpg</v>
      </c>
      <c r="O6" t="str">
        <v>CNT-002</v>
      </c>
      <c r="P6" t="str">
        <f>IFERROR(VLOOKUP(O6,CATÁLOGOS!$L$6:$O$305,3,FALSE),"")</f>
        <v>Detergente industrial rinde 10 Litros. Presentación: 5 litros.</v>
      </c>
      <c r="Q6" t="str">
        <f>IFERROR(VLOOKUP(O6,CATÁLOGOS!$L$6:$O$305,4,FALSE),"")</f>
        <v>Detergente concentrado. Ideal para desengrasar y limpiar utensilios, vajilla y superficies de cocina de forma rápida y efectiva.</v>
      </c>
      <c r="T6" t="str">
        <v>Activo</v>
      </c>
      <c r="U6" t="str">
        <v>NO</v>
      </c>
    </row>
    <row r="7">
      <c r="A7" t="str">
        <v>003</v>
      </c>
      <c r="B7" t="str">
        <v>LVA001</v>
      </c>
      <c r="C7" t="str">
        <v>LVA001</v>
      </c>
      <c r="F7" t="str">
        <v>CAT-002</v>
      </c>
      <c r="G7" t="str">
        <f>IFERROR(VLOOKUP(F7,CATÁLOGOS!$A$6:$B$105,2,FALSE),"")</f>
        <v>🍽️ Cocina</v>
      </c>
      <c r="H7" t="str">
        <v>SUB-003</v>
      </c>
      <c r="I7" t="str">
        <f>IFERROR(VLOOKUP(H7,CATÁLOGOS!$F$6:$H$305,3,FALSE),"")</f>
        <v>Detergente listo para usar</v>
      </c>
      <c r="J7" t="str">
        <v>bethel</v>
      </c>
      <c r="K7" t="str">
        <v>Detergente Magistral listo para usar</v>
      </c>
      <c r="L7" t="str">
        <v>sin frangancia</v>
      </c>
      <c r="M7" t="str">
        <v>5 litros</v>
      </c>
      <c r="N7" t="str">
        <v>LVA001.jpg</v>
      </c>
      <c r="O7" t="str">
        <v>CNT-003</v>
      </c>
      <c r="P7" t="str">
        <f>IFERROR(VLOOKUP(O7,CATÁLOGOS!$L$6:$O$305,3,FALSE),"")</f>
        <v>Detergente Magistral listo para usar. Presentación: 5 litros.</v>
      </c>
      <c r="Q7" t="str">
        <f>IFERROR(VLOOKUP(O7,CATÁLOGOS!$L$6:$O$305,4,FALSE),"")</f>
        <v>Detergente listo para usar. Ideal para desengrasar y limpiar utensilios, vajilla y superficies de cocina de forma rápida y efectiva.</v>
      </c>
      <c r="T7" t="str">
        <v>Activo</v>
      </c>
      <c r="U7" t="str">
        <v>NO</v>
      </c>
    </row>
    <row r="8">
      <c r="A8" t="str">
        <v>004</v>
      </c>
      <c r="B8" t="str">
        <v>LVA002</v>
      </c>
      <c r="C8" t="str">
        <v>LVA002</v>
      </c>
      <c r="F8" t="str">
        <v>CAT-002</v>
      </c>
      <c r="G8" t="str">
        <f>IFERROR(VLOOKUP(F8,CATÁLOGOS!$A$6:$B$105,2,FALSE),"")</f>
        <v>🍽️ Cocina</v>
      </c>
      <c r="H8" t="str">
        <v>SUB-004</v>
      </c>
      <c r="I8" t="str">
        <f>IFERROR(VLOOKUP(H8,CATÁLOGOS!$F$6:$H$305,3,FALSE),"")</f>
        <v>Lava-vajillas concentrado</v>
      </c>
      <c r="J8" t="str">
        <v>bethel</v>
      </c>
      <c r="K8" t="str">
        <v>Lava-Vajillas Concentrado</v>
      </c>
      <c r="M8" t="str">
        <v>5 litros</v>
      </c>
      <c r="N8" t="str">
        <v>LVA002.jpg</v>
      </c>
      <c r="O8" t="str">
        <v>CNT-004</v>
      </c>
      <c r="P8" t="str">
        <f>IFERROR(VLOOKUP(O8,CATÁLOGOS!$L$6:$O$305,3,FALSE),"")</f>
        <v>Lava-Vajillas Concentrado. Presentación: 5 litros.</v>
      </c>
      <c r="Q8" t="str">
        <f>IFERROR(VLOOKUP(O8,CATÁLOGOS!$L$6:$O$305,4,FALSE),"")</f>
        <v>Lava-vajillas concentrado. Ideal para desengrasar y limpiar utensilios, vajilla y superficies de cocina de forma rápida y efectiva.</v>
      </c>
      <c r="T8" t="str">
        <v>Activo</v>
      </c>
      <c r="U8" t="str">
        <v>NO</v>
      </c>
    </row>
    <row r="9">
      <c r="A9" t="str">
        <v>005</v>
      </c>
      <c r="B9" t="str">
        <v>SUA001</v>
      </c>
      <c r="C9" t="str">
        <v>SUA001</v>
      </c>
      <c r="F9" t="str">
        <v>CAT-003</v>
      </c>
      <c r="G9" t="str">
        <f>IFERROR(VLOOKUP(F9,CATÁLOGOS!$A$6:$B$105,2,FALSE),"")</f>
        <v>👕 Ropa y lavado</v>
      </c>
      <c r="H9" t="str">
        <v>SUB-005</v>
      </c>
      <c r="I9" t="str">
        <f>IFERROR(VLOOKUP(H9,CATÁLOGOS!$F$6:$H$305,3,FALSE),"")</f>
        <v>Suavizante</v>
      </c>
      <c r="J9" t="str">
        <v>bethel</v>
      </c>
      <c r="K9" t="str">
        <v>Suavizante Blanco por 5 litros</v>
      </c>
      <c r="L9" t="str">
        <v>color blanco premium</v>
      </c>
      <c r="M9" t="str">
        <v>5 litros</v>
      </c>
      <c r="N9" t="str">
        <v>SUA001.jpg</v>
      </c>
      <c r="O9" t="str">
        <v>CNT-005</v>
      </c>
      <c r="P9" t="str">
        <f>IFERROR(VLOOKUP(O9,CATÁLOGOS!$L$6:$O$305,3,FALSE),"")</f>
        <v>Suavizante Blanco por 5 litros. Presentación: 5 litros. Fragancia: color blanco premium.</v>
      </c>
      <c r="Q9" t="str">
        <f>IFERROR(VLOOKUP(O9,CATÁLOGOS!$L$6:$O$305,4,FALSE),"")</f>
        <v>Suavizante. Cuida las fibras de la ropa, suaviza y deja un aroma agradable y duradero en cada lavado.</v>
      </c>
      <c r="T9" t="str">
        <v>Activo</v>
      </c>
      <c r="U9" t="str">
        <v>NO</v>
      </c>
    </row>
    <row r="10">
      <c r="A10" t="str">
        <v>006</v>
      </c>
      <c r="B10" t="str">
        <v>SUA002</v>
      </c>
      <c r="C10" t="str">
        <v>SUA002</v>
      </c>
      <c r="F10" t="str">
        <v>CAT-003</v>
      </c>
      <c r="G10" t="str">
        <f>IFERROR(VLOOKUP(F10,CATÁLOGOS!$A$6:$B$105,2,FALSE),"")</f>
        <v>👕 Ropa y lavado</v>
      </c>
      <c r="H10" t="str">
        <v>SUB-006</v>
      </c>
      <c r="I10" t="str">
        <f>IFERROR(VLOOKUP(H10,CATÁLOGOS!$F$6:$H$305,3,FALSE),"")</f>
        <v>Tradicional</v>
      </c>
      <c r="J10" t="str">
        <v>bethel</v>
      </c>
      <c r="K10" t="str">
        <v>Suavizante listo para usar</v>
      </c>
      <c r="L10" t="str">
        <v>color celeste economico</v>
      </c>
      <c r="M10" t="str">
        <v>5 litros</v>
      </c>
      <c r="N10" t="str">
        <v>SUA002.jpg</v>
      </c>
      <c r="O10" t="str">
        <v>CNT-006</v>
      </c>
      <c r="P10" t="str">
        <f>IFERROR(VLOOKUP(O10,CATÁLOGOS!$L$6:$O$305,3,FALSE),"")</f>
        <v>Suavizante listo para usar. Presentación: 5 litros. Fragancia: color celeste economico.</v>
      </c>
      <c r="Q10" t="str">
        <f>IFERROR(VLOOKUP(O10,CATÁLOGOS!$L$6:$O$305,4,FALSE),"")</f>
        <v>Tradicional. Cuida las fibras de la ropa, suaviza y deja un aroma agradable y duradero en cada lavado.</v>
      </c>
      <c r="T10" t="str">
        <v>Activo</v>
      </c>
      <c r="U10" t="str">
        <v>NO</v>
      </c>
    </row>
    <row r="11">
      <c r="A11" t="str">
        <v>007</v>
      </c>
      <c r="B11" t="str">
        <v>JBP001</v>
      </c>
      <c r="C11" t="str">
        <v>JBP001</v>
      </c>
      <c r="F11" t="str">
        <v>CAT-003</v>
      </c>
      <c r="G11" t="str">
        <f>IFERROR(VLOOKUP(F11,CATÁLOGOS!$A$6:$B$105,2,FALSE),"")</f>
        <v>👕 Ropa y lavado</v>
      </c>
      <c r="H11" t="str">
        <v>SUB-006</v>
      </c>
      <c r="I11" t="str">
        <f>IFERROR(VLOOKUP(H11,CATÁLOGOS!$F$6:$H$305,3,FALSE),"")</f>
        <v>Tradicional</v>
      </c>
      <c r="J11" t="str">
        <v>granby</v>
      </c>
      <c r="K11" t="str">
        <v>Jabon en polvo</v>
      </c>
      <c r="M11" t="str">
        <v>20 kg</v>
      </c>
      <c r="N11" t="str">
        <v>JBP001.jpg</v>
      </c>
      <c r="O11" t="str">
        <v>CNT-007</v>
      </c>
      <c r="P11" t="str">
        <f>IFERROR(VLOOKUP(O11,CATÁLOGOS!$L$6:$O$305,3,FALSE),"")</f>
        <v>Jabon en polvo. Presentación: 20 kg. Marca granby.</v>
      </c>
      <c r="Q11" t="str">
        <f>IFERROR(VLOOKUP(O11,CATÁLOGOS!$L$6:$O$305,4,FALSE),"")</f>
        <v>Tradicional. Cuida las fibras de la ropa, suaviza y deja un aroma agradable y duradero en cada lavado.</v>
      </c>
      <c r="T11" t="str">
        <v>Activo</v>
      </c>
      <c r="U11" t="str">
        <v>NO</v>
      </c>
    </row>
    <row r="12">
      <c r="A12" t="str">
        <v>008</v>
      </c>
      <c r="B12" t="str">
        <v>PFA001</v>
      </c>
      <c r="C12" t="str">
        <v>PFA001</v>
      </c>
      <c r="F12" t="str">
        <v>CAT-004</v>
      </c>
      <c r="G12" t="str">
        <f>IFERROR(VLOOKUP(F12,CATÁLOGOS!$A$6:$B$105,2,FALSE),"")</f>
        <v>🌸 Aromas y fragancias</v>
      </c>
      <c r="H12" t="str">
        <v>SUB-007</v>
      </c>
      <c r="I12" t="str">
        <f>IFERROR(VLOOKUP(H12,CATÁLOGOS!$F$6:$H$305,3,FALSE),"")</f>
        <v>Perfumes para ropa</v>
      </c>
      <c r="J12" t="str">
        <v>bethel</v>
      </c>
      <c r="K12" t="str">
        <v>Perfume aromatico de base en agua</v>
      </c>
      <c r="L12" t="str">
        <v>1056, algodón, arpege, bazzu, bebe, c.h.242 , coco, uva, flores blancas, caricias, confy, limon, melon, premium, sandia/frambuesa , softy, ultra, comiglio, vainilla, vivex, flores silvestres, chocolate</v>
      </c>
      <c r="M12" t="str">
        <v>1 litros</v>
      </c>
      <c r="N12" t="str">
        <v>PFA001.jpg</v>
      </c>
      <c r="O12" t="str">
        <v>CNT-008</v>
      </c>
      <c r="P12" t="str">
        <f>IFERROR(VLOOKUP(O12,CATÁLOGOS!$L$6:$O$305,3,FALSE),"")</f>
        <v>Perfume aromatico de base en agua. Presentación: 1 litros.</v>
      </c>
      <c r="Q12" t="str">
        <f>IFERROR(VLOOKUP(O12,CATÁLOGOS!$L$6:$O$305,4,FALSE),"")</f>
        <v>Perfumes para ropa. Perfuma ambientes y textiles con una fragancia agradable y duradera, ideal para dejar todo con olor a limpio. Disponible en múltiples fragancias a elección.</v>
      </c>
      <c r="T12" t="str">
        <v>Activo</v>
      </c>
      <c r="U12" t="str">
        <v>NO</v>
      </c>
    </row>
    <row r="13">
      <c r="A13" t="str">
        <v>009</v>
      </c>
      <c r="B13" t="str">
        <v>PFA002</v>
      </c>
      <c r="C13" t="str">
        <v>PFA002</v>
      </c>
      <c r="F13" t="str">
        <v>CAT-004</v>
      </c>
      <c r="G13" t="str">
        <f>IFERROR(VLOOKUP(F13,CATÁLOGOS!$A$6:$B$105,2,FALSE),"")</f>
        <v>🌸 Aromas y fragancias</v>
      </c>
      <c r="H13" t="str">
        <v>SUB-007</v>
      </c>
      <c r="I13" t="str">
        <f>IFERROR(VLOOKUP(H13,CATÁLOGOS!$F$6:$H$305,3,FALSE),"")</f>
        <v>Perfumes para ropa</v>
      </c>
      <c r="J13" t="str">
        <v>bethel</v>
      </c>
      <c r="K13" t="str">
        <v>Perfume aromatico de base en alcohol</v>
      </c>
      <c r="L13" t="str">
        <v>1056, algodón, arpege, bazzu, bebe, c.h.242 , coco, uva, flores blancas, caricias, confy, limon, melon, premium, sandia/frambuesa , softy, ultra, comiglio, vainilla, vivex, flores silvestres, chocolate</v>
      </c>
      <c r="M13" t="str">
        <v>5 litros</v>
      </c>
      <c r="N13" t="str">
        <v>PFA002.jpg</v>
      </c>
      <c r="O13" t="str">
        <v>CNT-009</v>
      </c>
      <c r="P13" t="str">
        <f>IFERROR(VLOOKUP(O13,CATÁLOGOS!$L$6:$O$305,3,FALSE),"")</f>
        <v>Perfume aromatico de base en alcohol. Presentación: 5 litros.</v>
      </c>
      <c r="Q13" t="str">
        <f>IFERROR(VLOOKUP(O13,CATÁLOGOS!$L$6:$O$305,4,FALSE),"")</f>
        <v>Perfumes para ropa. Perfuma ambientes y textiles con una fragancia agradable y duradera, ideal para dejar todo con olor a limpio. Disponible en múltiples fragancias a elección.</v>
      </c>
      <c r="T13" t="str">
        <v>Activo</v>
      </c>
      <c r="U13" t="str">
        <v>NO</v>
      </c>
    </row>
    <row r="14">
      <c r="A14" t="str">
        <v>010</v>
      </c>
      <c r="B14" t="str">
        <v>DES001</v>
      </c>
      <c r="C14" t="str">
        <v>DES001</v>
      </c>
      <c r="F14" t="str">
        <v>CAT-005</v>
      </c>
      <c r="G14" t="str">
        <f>IFERROR(VLOOKUP(F14,CATÁLOGOS!$A$6:$B$105,2,FALSE),"")</f>
        <v>🦠 Desinfección y limpieza</v>
      </c>
      <c r="H14" t="str">
        <v>SUB-008</v>
      </c>
      <c r="I14" t="str">
        <f>IFERROR(VLOOKUP(H14,CATÁLOGOS!$F$6:$H$305,3,FALSE),"")</f>
        <v>Desengrasantes</v>
      </c>
      <c r="J14" t="str">
        <v>bethel</v>
      </c>
      <c r="K14" t="str">
        <v>Desengrasante industrial</v>
      </c>
      <c r="M14" t="str">
        <v>5 litros</v>
      </c>
      <c r="N14" t="str">
        <v>DES001.jpg</v>
      </c>
      <c r="O14" t="str">
        <v>CNT-010</v>
      </c>
      <c r="P14" t="str">
        <f>IFERROR(VLOOKUP(O14,CATÁLOGOS!$L$6:$O$305,3,FALSE),"")</f>
        <v>Desengrasante industrial. Presentación: 5 litros.</v>
      </c>
      <c r="Q14" t="str">
        <f>IFERROR(VLOOKUP(O14,CATÁLOGOS!$L$6:$O$305,4,FALSE),"")</f>
        <v>Desengrasantes. Elimina bacterias y gérmenes, desinfectando a fondo superficies del hogar, comercios e industrias.</v>
      </c>
      <c r="T14" t="str">
        <v>Activo</v>
      </c>
      <c r="U14" t="str">
        <v>NO</v>
      </c>
    </row>
    <row r="15">
      <c r="A15" t="str">
        <v>011</v>
      </c>
      <c r="B15" t="str">
        <v>DES002</v>
      </c>
      <c r="C15" t="str">
        <v>DES002</v>
      </c>
      <c r="F15" t="str">
        <v>CAT-005</v>
      </c>
      <c r="G15" t="str">
        <f>IFERROR(VLOOKUP(F15,CATÁLOGOS!$A$6:$B$105,2,FALSE),"")</f>
        <v>🦠 Desinfección y limpieza</v>
      </c>
      <c r="H15" t="str">
        <v>SUB-008</v>
      </c>
      <c r="I15" t="str">
        <f>IFERROR(VLOOKUP(H15,CATÁLOGOS!$F$6:$H$305,3,FALSE),"")</f>
        <v>Desengrasantes</v>
      </c>
      <c r="J15" t="str">
        <v>bethel</v>
      </c>
      <c r="K15" t="str">
        <v>Desengrasante lavamotor</v>
      </c>
      <c r="M15" t="str">
        <v>5 litros</v>
      </c>
      <c r="N15" t="str">
        <v>DES002.jpg</v>
      </c>
      <c r="O15" t="str">
        <v>CNT-011</v>
      </c>
      <c r="P15" t="str">
        <f>IFERROR(VLOOKUP(O15,CATÁLOGOS!$L$6:$O$305,3,FALSE),"")</f>
        <v>Desengrasante lavamotor. Presentación: 5 litros.</v>
      </c>
      <c r="Q15" t="str">
        <f>IFERROR(VLOOKUP(O15,CATÁLOGOS!$L$6:$O$305,4,FALSE),"")</f>
        <v>Desengrasantes. Elimina bacterias y gérmenes, desinfectando a fondo superficies del hogar, comercios e industrias.</v>
      </c>
      <c r="T15" t="str">
        <v>Activo</v>
      </c>
      <c r="U15" t="str">
        <v>NO</v>
      </c>
    </row>
    <row r="16">
      <c r="A16" t="str">
        <v>012</v>
      </c>
      <c r="B16" t="str">
        <v>DES003</v>
      </c>
      <c r="C16" t="str">
        <v>DES003</v>
      </c>
      <c r="F16" t="str">
        <v>CAT-005</v>
      </c>
      <c r="G16" t="str">
        <f>IFERROR(VLOOKUP(F16,CATÁLOGOS!$A$6:$B$105,2,FALSE),"")</f>
        <v>🦠 Desinfección y limpieza</v>
      </c>
      <c r="H16" t="str">
        <v>SUB-008</v>
      </c>
      <c r="I16" t="str">
        <f>IFERROR(VLOOKUP(H16,CATÁLOGOS!$F$6:$H$305,3,FALSE),"")</f>
        <v>Desengrasantes</v>
      </c>
      <c r="J16" t="str">
        <v>bethel</v>
      </c>
      <c r="K16" t="str">
        <v>Desengrasante multi usos</v>
      </c>
      <c r="M16" t="str">
        <v>5 litros</v>
      </c>
      <c r="N16" t="str">
        <v>DES003.jpg</v>
      </c>
      <c r="O16" t="str">
        <v>CNT-012</v>
      </c>
      <c r="P16" t="str">
        <f>IFERROR(VLOOKUP(O16,CATÁLOGOS!$L$6:$O$305,3,FALSE),"")</f>
        <v>Desengrasante multi usos. Presentación: 5 litros.</v>
      </c>
      <c r="Q16" t="str">
        <f>IFERROR(VLOOKUP(O16,CATÁLOGOS!$L$6:$O$305,4,FALSE),"")</f>
        <v>Desengrasantes. Elimina bacterias y gérmenes, desinfectando a fondo superficies del hogar, comercios e industrias.</v>
      </c>
      <c r="T16" t="str">
        <v>Activo</v>
      </c>
      <c r="U16" t="str">
        <v>NO</v>
      </c>
    </row>
    <row r="17">
      <c r="A17" t="str">
        <v>013</v>
      </c>
      <c r="B17" t="str">
        <v>DES004</v>
      </c>
      <c r="C17" t="str">
        <v>DES004</v>
      </c>
      <c r="F17" t="str">
        <v>CAT-005</v>
      </c>
      <c r="G17" t="str">
        <f>IFERROR(VLOOKUP(F17,CATÁLOGOS!$A$6:$B$105,2,FALSE),"")</f>
        <v>🦠 Desinfección y limpieza</v>
      </c>
      <c r="H17" t="str">
        <v>SUB-008</v>
      </c>
      <c r="I17" t="str">
        <f>IFERROR(VLOOKUP(H17,CATÁLOGOS!$F$6:$H$305,3,FALSE),"")</f>
        <v>Desengrasantes</v>
      </c>
      <c r="J17" t="str">
        <v>bethel</v>
      </c>
      <c r="K17" t="str">
        <v>Desengrasante quima manchas</v>
      </c>
      <c r="M17" t="str">
        <v>5 litros</v>
      </c>
      <c r="N17" t="str">
        <v>DES004.jpg</v>
      </c>
      <c r="O17" t="str">
        <v>CNT-013</v>
      </c>
      <c r="P17" t="str">
        <f>IFERROR(VLOOKUP(O17,CATÁLOGOS!$L$6:$O$305,3,FALSE),"")</f>
        <v>Desengrasante quima manchas. Presentación: 5 litros.</v>
      </c>
      <c r="Q17" t="str">
        <f>IFERROR(VLOOKUP(O17,CATÁLOGOS!$L$6:$O$305,4,FALSE),"")</f>
        <v>Desengrasantes. Elimina bacterias y gérmenes, desinfectando a fondo superficies del hogar, comercios e industrias.</v>
      </c>
      <c r="T17" t="str">
        <v>Activo</v>
      </c>
      <c r="U17" t="str">
        <v>NO</v>
      </c>
    </row>
    <row r="18">
      <c r="A18" t="str">
        <v>014</v>
      </c>
      <c r="B18" t="str">
        <v>DES005</v>
      </c>
      <c r="C18" t="str">
        <v>DES005</v>
      </c>
      <c r="F18" t="str">
        <v>CAT-005</v>
      </c>
      <c r="G18" t="str">
        <f>IFERROR(VLOOKUP(F18,CATÁLOGOS!$A$6:$B$105,2,FALSE),"")</f>
        <v>🦠 Desinfección y limpieza</v>
      </c>
      <c r="H18" t="str">
        <v>SUB-008</v>
      </c>
      <c r="I18" t="str">
        <f>IFERROR(VLOOKUP(H18,CATÁLOGOS!$F$6:$H$305,3,FALSE),"")</f>
        <v>Desengrasantes</v>
      </c>
      <c r="J18" t="str">
        <v>bethel</v>
      </c>
      <c r="K18" t="str">
        <v>Desengrasante limpiador cremoso</v>
      </c>
      <c r="M18" t="str">
        <v>5 litros</v>
      </c>
      <c r="N18" t="str">
        <v>DES005.jpg</v>
      </c>
      <c r="O18" t="str">
        <v>CNT-014</v>
      </c>
      <c r="P18" t="str">
        <f>IFERROR(VLOOKUP(O18,CATÁLOGOS!$L$6:$O$305,3,FALSE),"")</f>
        <v>Desengrasante limpiador cremoso. Presentación: 5 litros.</v>
      </c>
      <c r="Q18" t="str">
        <f>IFERROR(VLOOKUP(O18,CATÁLOGOS!$L$6:$O$305,4,FALSE),"")</f>
        <v>Desengrasantes. Elimina bacterias y gérmenes, desinfectando a fondo superficies del hogar, comercios e industrias.</v>
      </c>
      <c r="T18" t="str">
        <v>Activo</v>
      </c>
      <c r="U18" t="str">
        <v>NO</v>
      </c>
    </row>
    <row r="19">
      <c r="A19" t="str">
        <v>015</v>
      </c>
      <c r="B19" t="str">
        <v>RJR001</v>
      </c>
      <c r="C19" t="str">
        <v>RJR001</v>
      </c>
      <c r="F19" t="str">
        <v>CAT-006</v>
      </c>
      <c r="G19" t="str">
        <f>IFERROR(VLOOKUP(F19,CATÁLOGOS!$A$6:$B$105,2,FALSE),"")</f>
        <v>🧰 Accesorios y equipamiento</v>
      </c>
      <c r="H19" t="str">
        <v>SUB-009</v>
      </c>
      <c r="I19" t="str">
        <f>IFERROR(VLOOKUP(H19,CATÁLOGOS!$F$6:$H$305,3,FALSE),"")</f>
        <v>Rejillas y repasadores</v>
      </c>
      <c r="J19" t="str">
        <v>bethel</v>
      </c>
      <c r="K19" t="str">
        <v>Franela 40x50</v>
      </c>
      <c r="M19" t="str">
        <v>1 unidad</v>
      </c>
      <c r="N19" t="str">
        <v>RJR001.jpg</v>
      </c>
      <c r="O19" t="str">
        <v>CNT-015</v>
      </c>
      <c r="P19" t="str">
        <f>IFERROR(VLOOKUP(O19,CATÁLOGOS!$L$6:$O$305,3,FALSE),"")</f>
        <v>Franela 40x50. Presentación: 1 unidad.</v>
      </c>
      <c r="Q19" t="str">
        <f>IFERROR(VLOOKUP(O19,CATÁLOGOS!$L$6:$O$305,4,FALSE),"")</f>
        <v>Rejillas y repasadores. Accesorio resistente y práctico, pensado para facilitar las tareas de limpieza del hogar.</v>
      </c>
      <c r="T19" t="str">
        <v>Activo</v>
      </c>
      <c r="U19" t="str">
        <v>NO</v>
      </c>
    </row>
    <row r="20">
      <c r="A20" t="str">
        <v>016</v>
      </c>
      <c r="B20" t="str">
        <v>RJR002</v>
      </c>
      <c r="C20" t="str">
        <v>RJR002</v>
      </c>
      <c r="F20" t="str">
        <v>CAT-006</v>
      </c>
      <c r="G20" t="str">
        <f>IFERROR(VLOOKUP(F20,CATÁLOGOS!$A$6:$B$105,2,FALSE),"")</f>
        <v>🧰 Accesorios y equipamiento</v>
      </c>
      <c r="H20" t="str">
        <v>SUB-009</v>
      </c>
      <c r="I20" t="str">
        <f>IFERROR(VLOOKUP(H20,CATÁLOGOS!$F$6:$H$305,3,FALSE),"")</f>
        <v>Rejillas y repasadores</v>
      </c>
      <c r="J20" t="str">
        <v>bethel</v>
      </c>
      <c r="K20" t="str">
        <v>Rejilla de cocina</v>
      </c>
      <c r="M20" t="str">
        <v>1 unidad</v>
      </c>
      <c r="N20" t="str">
        <v>RJR002.jpg</v>
      </c>
      <c r="O20" t="str">
        <v>CNT-016</v>
      </c>
      <c r="P20" t="str">
        <f>IFERROR(VLOOKUP(O20,CATÁLOGOS!$L$6:$O$305,3,FALSE),"")</f>
        <v>Rejilla de cocina. Presentación: 1 unidad.</v>
      </c>
      <c r="Q20" t="str">
        <f>IFERROR(VLOOKUP(O20,CATÁLOGOS!$L$6:$O$305,4,FALSE),"")</f>
        <v>Rejillas y repasadores. Accesorio resistente y práctico, pensado para facilitar las tareas de limpieza del hogar.</v>
      </c>
      <c r="T20" t="str">
        <v>Activo</v>
      </c>
      <c r="U20" t="str">
        <v>NO</v>
      </c>
    </row>
    <row r="21">
      <c r="A21" t="str">
        <v>017</v>
      </c>
      <c r="B21" t="str">
        <v>RJR003</v>
      </c>
      <c r="C21" t="str">
        <v>RJR003</v>
      </c>
      <c r="F21" t="str">
        <v>CAT-006</v>
      </c>
      <c r="G21" t="str">
        <f>IFERROR(VLOOKUP(F21,CATÁLOGOS!$A$6:$B$105,2,FALSE),"")</f>
        <v>🧰 Accesorios y equipamiento</v>
      </c>
      <c r="H21" t="str">
        <v>SUB-009</v>
      </c>
      <c r="I21" t="str">
        <f>IFERROR(VLOOKUP(H21,CATÁLOGOS!$F$6:$H$305,3,FALSE),"")</f>
        <v>Rejillas y repasadores</v>
      </c>
      <c r="J21" t="str">
        <v>bethel</v>
      </c>
      <c r="K21" t="str">
        <v>Rejilla tipo americana</v>
      </c>
      <c r="M21" t="str">
        <v>1 unidad</v>
      </c>
      <c r="N21" t="str">
        <v>RJR003.jpg</v>
      </c>
      <c r="O21" t="str">
        <v>CNT-017</v>
      </c>
      <c r="P21" t="str">
        <f>IFERROR(VLOOKUP(O21,CATÁLOGOS!$L$6:$O$305,3,FALSE),"")</f>
        <v>Rejilla tipo americana. Presentación: 1 unidad.</v>
      </c>
      <c r="Q21" t="str">
        <f>IFERROR(VLOOKUP(O21,CATÁLOGOS!$L$6:$O$305,4,FALSE),"")</f>
        <v>Rejillas y repasadores. Accesorio resistente y práctico, pensado para facilitar las tareas de limpieza del hogar.</v>
      </c>
      <c r="T21" t="str">
        <v>Activo</v>
      </c>
      <c r="U21" t="str">
        <v>NO</v>
      </c>
    </row>
    <row r="22">
      <c r="A22" t="str">
        <v>018</v>
      </c>
      <c r="B22" t="str">
        <v>RJR004</v>
      </c>
      <c r="C22" t="str">
        <v>RJR004</v>
      </c>
      <c r="D22" t="str">
        <v>RJR-AUTO</v>
      </c>
      <c r="E22" t="str">
        <v>SIMPLE</v>
      </c>
      <c r="F22" t="str">
        <v>CAT-006</v>
      </c>
      <c r="G22" t="str">
        <f>IFERROR(VLOOKUP(F22,CATÁLOGOS!$A$6:$B$105,2,FALSE),"")</f>
        <v>🧰 Accesorios y equipamiento</v>
      </c>
      <c r="H22" t="str">
        <v>SUB-009</v>
      </c>
      <c r="I22" t="str">
        <f>IFERROR(VLOOKUP(H22,CATÁLOGOS!$F$6:$H$305,3,FALSE),"")</f>
        <v>Rejillas y repasadores</v>
      </c>
      <c r="J22" t="str">
        <v>bethel</v>
      </c>
      <c r="K22" t="str">
        <v>Rejilla de auto</v>
      </c>
      <c r="M22" t="str">
        <v>1 unidad</v>
      </c>
      <c r="N22" t="str">
        <v>RJR004.jpg</v>
      </c>
      <c r="O22" t="str">
        <v>CNT-018</v>
      </c>
      <c r="P22" t="str">
        <f>IFERROR(VLOOKUP(O22,CATÁLOGOS!$L$6:$O$305,3,FALSE),"")</f>
        <v>Rejilla de auto. Presentación: 1 unidad.</v>
      </c>
      <c r="Q22" t="str">
        <f>IFERROR(VLOOKUP(O22,CATÁLOGOS!$L$6:$O$305,4,FALSE),"")</f>
        <v>Rejillas y repasadores. Accesorio resistente y práctico, pensado para facilitar las tareas de limpieza del hogar.</v>
      </c>
      <c r="T22" t="str">
        <v>Activo</v>
      </c>
      <c r="U22" t="str">
        <v>NO</v>
      </c>
    </row>
    <row r="23">
      <c r="A23" t="str">
        <v>019</v>
      </c>
      <c r="B23" t="str">
        <v>RJR005</v>
      </c>
      <c r="C23" t="str">
        <v>RJR005</v>
      </c>
      <c r="F23" t="str">
        <v>CAT-006</v>
      </c>
      <c r="G23" t="str">
        <f>IFERROR(VLOOKUP(F23,CATÁLOGOS!$A$6:$B$105,2,FALSE),"")</f>
        <v>🧰 Accesorios y equipamiento</v>
      </c>
      <c r="H23" t="str">
        <v>SUB-009</v>
      </c>
      <c r="I23" t="str">
        <f>IFERROR(VLOOKUP(H23,CATÁLOGOS!$F$6:$H$305,3,FALSE),"")</f>
        <v>Rejillas y repasadores</v>
      </c>
      <c r="J23" t="str">
        <v>bethel</v>
      </c>
      <c r="K23" t="str">
        <v>Rejilla de pabilo</v>
      </c>
      <c r="M23" t="str">
        <v>1 unidad</v>
      </c>
      <c r="N23" t="str">
        <v>RJR005.jpg</v>
      </c>
      <c r="O23" t="str">
        <v>CNT-019</v>
      </c>
      <c r="P23" t="str">
        <f>IFERROR(VLOOKUP(O23,CATÁLOGOS!$L$6:$O$305,3,FALSE),"")</f>
        <v>Rejilla de pabilo. Presentación: 1 unidad.</v>
      </c>
      <c r="Q23" t="str">
        <f>IFERROR(VLOOKUP(O23,CATÁLOGOS!$L$6:$O$305,4,FALSE),"")</f>
        <v>Rejillas y repasadores. Accesorio resistente y práctico, pensado para facilitar las tareas de limpieza del hogar.</v>
      </c>
      <c r="T23" t="str">
        <v>Activo</v>
      </c>
      <c r="U23" t="str">
        <v>NO</v>
      </c>
    </row>
    <row r="24">
      <c r="A24" t="str">
        <v>020</v>
      </c>
      <c r="B24" t="str">
        <v>RJR006</v>
      </c>
      <c r="C24" t="str">
        <v>RJR006</v>
      </c>
      <c r="D24" t="str">
        <v>RJR-AUTO</v>
      </c>
      <c r="E24" t="str">
        <v>DOBLE</v>
      </c>
      <c r="F24" t="str">
        <v>CAT-006</v>
      </c>
      <c r="G24" t="str">
        <f>IFERROR(VLOOKUP(F24,CATÁLOGOS!$A$6:$B$105,2,FALSE),"")</f>
        <v>🧰 Accesorios y equipamiento</v>
      </c>
      <c r="H24" t="str">
        <v>SUB-009</v>
      </c>
      <c r="I24" t="str">
        <f>IFERROR(VLOOKUP(H24,CATÁLOGOS!$F$6:$H$305,3,FALSE),"")</f>
        <v>Rejillas y repasadores</v>
      </c>
      <c r="J24" t="str">
        <v>bethel</v>
      </c>
      <c r="K24" t="str">
        <v>Rejilla de auto</v>
      </c>
      <c r="M24" t="str">
        <v>1 unidad</v>
      </c>
      <c r="N24" t="str">
        <v>RJR006.jpg</v>
      </c>
      <c r="O24" t="str">
        <v>CNT-018</v>
      </c>
      <c r="P24" t="str">
        <f>IFERROR(VLOOKUP(O24,CATÁLOGOS!$L$6:$O$305,3,FALSE),"")</f>
        <v>Rejilla de auto. Presentación: 1 unidad.</v>
      </c>
      <c r="Q24" t="str">
        <f>IFERROR(VLOOKUP(O24,CATÁLOGOS!$L$6:$O$305,4,FALSE),"")</f>
        <v>Rejillas y repasadores. Accesorio resistente y práctico, pensado para facilitar las tareas de limpieza del hogar.</v>
      </c>
      <c r="T24" t="str">
        <v>Activo</v>
      </c>
      <c r="U24" t="str">
        <v>NO</v>
      </c>
    </row>
    <row r="25">
      <c r="A25" t="str">
        <v>021</v>
      </c>
      <c r="B25" t="str">
        <v>RJR007</v>
      </c>
      <c r="C25" t="str">
        <v>RJR007</v>
      </c>
      <c r="D25" t="str">
        <v>RJR-AUTO</v>
      </c>
      <c r="E25" t="str">
        <v>TRIPLE</v>
      </c>
      <c r="F25" t="str">
        <v>CAT-006</v>
      </c>
      <c r="G25" t="str">
        <f>IFERROR(VLOOKUP(F25,CATÁLOGOS!$A$6:$B$105,2,FALSE),"")</f>
        <v>🧰 Accesorios y equipamiento</v>
      </c>
      <c r="H25" t="str">
        <v>SUB-009</v>
      </c>
      <c r="I25" t="str">
        <f>IFERROR(VLOOKUP(H25,CATÁLOGOS!$F$6:$H$305,3,FALSE),"")</f>
        <v>Rejillas y repasadores</v>
      </c>
      <c r="J25" t="str">
        <v>bethel</v>
      </c>
      <c r="K25" t="str">
        <v>Rejilla de auto</v>
      </c>
      <c r="M25" t="str">
        <v>1 unidad</v>
      </c>
      <c r="N25" t="str">
        <v>RJR007.jpg</v>
      </c>
      <c r="O25" t="str">
        <v>CNT-018</v>
      </c>
      <c r="P25" t="str">
        <f>IFERROR(VLOOKUP(O25,CATÁLOGOS!$L$6:$O$305,3,FALSE),"")</f>
        <v>Rejilla de auto. Presentación: 1 unidad.</v>
      </c>
      <c r="Q25" t="str">
        <f>IFERROR(VLOOKUP(O25,CATÁLOGOS!$L$6:$O$305,4,FALSE),"")</f>
        <v>Rejillas y repasadores. Accesorio resistente y práctico, pensado para facilitar las tareas de limpieza del hogar.</v>
      </c>
      <c r="T25" t="str">
        <v>Activo</v>
      </c>
      <c r="U25" t="str">
        <v>NO</v>
      </c>
    </row>
    <row r="26">
      <c r="A26" t="str">
        <v>022</v>
      </c>
      <c r="B26" t="str">
        <v>RJR008</v>
      </c>
      <c r="C26" t="str">
        <v>RJR008</v>
      </c>
      <c r="D26" t="str">
        <v>RJR-COCINA</v>
      </c>
      <c r="E26" t="str">
        <v>TRIPLE</v>
      </c>
      <c r="F26" t="str">
        <v>CAT-006</v>
      </c>
      <c r="G26" t="str">
        <f>IFERROR(VLOOKUP(F26,CATÁLOGOS!$A$6:$B$105,2,FALSE),"")</f>
        <v>🧰 Accesorios y equipamiento</v>
      </c>
      <c r="H26" t="str">
        <v>SUB-009</v>
      </c>
      <c r="I26" t="str">
        <f>IFERROR(VLOOKUP(H26,CATÁLOGOS!$F$6:$H$305,3,FALSE),"")</f>
        <v>Rejillas y repasadores</v>
      </c>
      <c r="J26" t="str">
        <v>bethel</v>
      </c>
      <c r="K26" t="str">
        <v>Rejilla cocina</v>
      </c>
      <c r="M26" t="str">
        <v>1 unidad</v>
      </c>
      <c r="N26" t="str">
        <v>RJR008.jpg</v>
      </c>
      <c r="O26" t="str">
        <v>CNT-020</v>
      </c>
      <c r="P26" t="str">
        <f>IFERROR(VLOOKUP(O26,CATÁLOGOS!$L$6:$O$305,3,FALSE),"")</f>
        <v>Rejilla cocina. Presentación: 1 unidad.</v>
      </c>
      <c r="Q26" t="str">
        <f>IFERROR(VLOOKUP(O26,CATÁLOGOS!$L$6:$O$305,4,FALSE),"")</f>
        <v>Rejillas y repasadores. Accesorio resistente y práctico, pensado para facilitar las tareas de limpieza del hogar.</v>
      </c>
      <c r="T26" t="str">
        <v>Activo</v>
      </c>
      <c r="U26" t="str">
        <v>NO</v>
      </c>
    </row>
    <row r="27">
      <c r="A27" t="str">
        <v>023</v>
      </c>
      <c r="B27" t="str">
        <v>RJR009</v>
      </c>
      <c r="C27" t="str">
        <v>RJR009</v>
      </c>
      <c r="D27" t="str">
        <v>RJR-COCINA</v>
      </c>
      <c r="E27" t="str">
        <v>DOBLE</v>
      </c>
      <c r="F27" t="str">
        <v>CAT-006</v>
      </c>
      <c r="G27" t="str">
        <f>IFERROR(VLOOKUP(F27,CATÁLOGOS!$A$6:$B$105,2,FALSE),"")</f>
        <v>🧰 Accesorios y equipamiento</v>
      </c>
      <c r="H27" t="str">
        <v>SUB-009</v>
      </c>
      <c r="I27" t="str">
        <f>IFERROR(VLOOKUP(H27,CATÁLOGOS!$F$6:$H$305,3,FALSE),"")</f>
        <v>Rejillas y repasadores</v>
      </c>
      <c r="J27" t="str">
        <v>Kide</v>
      </c>
      <c r="K27" t="str">
        <v>Rejilla cocina</v>
      </c>
      <c r="M27" t="str">
        <v>1 unidad</v>
      </c>
      <c r="N27" t="str">
        <v>RJR009.jpg</v>
      </c>
      <c r="O27" t="str">
        <v>CNT-021</v>
      </c>
      <c r="P27" t="str">
        <f>IFERROR(VLOOKUP(O27,CATÁLOGOS!$L$6:$O$305,3,FALSE),"")</f>
        <v>Rejilla cocina. Presentación: 1 unidad. Marca Kide.</v>
      </c>
      <c r="Q27" t="str">
        <f>IFERROR(VLOOKUP(O27,CATÁLOGOS!$L$6:$O$305,4,FALSE),"")</f>
        <v>Rejillas y repasadores. Accesorio resistente y práctico, pensado para facilitar las tareas de limpieza del hogar.</v>
      </c>
      <c r="T27" t="str">
        <v>Activo</v>
      </c>
      <c r="U27" t="str">
        <v>NO</v>
      </c>
    </row>
    <row r="28">
      <c r="A28" t="str">
        <v>024</v>
      </c>
      <c r="B28" t="str">
        <v>RJR010</v>
      </c>
      <c r="C28" t="str">
        <v>RJR011</v>
      </c>
      <c r="F28" t="str">
        <v>CAT-006</v>
      </c>
      <c r="G28" t="str">
        <f>IFERROR(VLOOKUP(F28,CATÁLOGOS!$A$6:$B$105,2,FALSE),"")</f>
        <v>🧰 Accesorios y equipamiento</v>
      </c>
      <c r="H28" t="str">
        <v>SUB-009</v>
      </c>
      <c r="I28" t="str">
        <f>IFERROR(VLOOKUP(H28,CATÁLOGOS!$F$6:$H$305,3,FALSE),"")</f>
        <v>Rejillas y repasadores</v>
      </c>
      <c r="J28" t="str">
        <v>bethel</v>
      </c>
      <c r="K28" t="str">
        <v>Rejilla pabilo</v>
      </c>
      <c r="M28" t="str">
        <v>1 unidad</v>
      </c>
      <c r="N28" t="str">
        <v>RJR010.jpg</v>
      </c>
      <c r="O28" t="str">
        <v>CNT-022</v>
      </c>
      <c r="P28" t="str">
        <f>IFERROR(VLOOKUP(O28,CATÁLOGOS!$L$6:$O$305,3,FALSE),"")</f>
        <v>Rejilla pabilo. Presentación: 1 unidad.</v>
      </c>
      <c r="Q28" t="str">
        <f>IFERROR(VLOOKUP(O28,CATÁLOGOS!$L$6:$O$305,4,FALSE),"")</f>
        <v>Rejillas y repasadores. Accesorio resistente y práctico, pensado para facilitar las tareas de limpieza del hogar.</v>
      </c>
      <c r="T28" t="str">
        <v>Activo</v>
      </c>
      <c r="U28" t="str">
        <v>NO</v>
      </c>
    </row>
    <row r="29">
      <c r="A29" t="str">
        <v>025</v>
      </c>
      <c r="B29" t="str">
        <v>RJR011</v>
      </c>
      <c r="C29" t="str">
        <v>RJR012</v>
      </c>
      <c r="F29" t="str">
        <v>CAT-006</v>
      </c>
      <c r="G29" t="str">
        <f>IFERROR(VLOOKUP(F29,CATÁLOGOS!$A$6:$B$105,2,FALSE),"")</f>
        <v>🧰 Accesorios y equipamiento</v>
      </c>
      <c r="H29" t="str">
        <v>SUB-009</v>
      </c>
      <c r="I29" t="str">
        <f>IFERROR(VLOOKUP(H29,CATÁLOGOS!$F$6:$H$305,3,FALSE),"")</f>
        <v>Rejillas y repasadores</v>
      </c>
      <c r="J29" t="str">
        <v>bethel</v>
      </c>
      <c r="K29" t="str">
        <v>Rejilla pabilo</v>
      </c>
      <c r="M29" t="str">
        <v>1 unidad</v>
      </c>
      <c r="N29" t="str">
        <v>RJR011.jpg</v>
      </c>
      <c r="O29" t="str">
        <v>CNT-022</v>
      </c>
      <c r="P29" t="str">
        <f>IFERROR(VLOOKUP(O29,CATÁLOGOS!$L$6:$O$305,3,FALSE),"")</f>
        <v>Rejilla pabilo. Presentación: 1 unidad.</v>
      </c>
      <c r="Q29" t="str">
        <f>IFERROR(VLOOKUP(O29,CATÁLOGOS!$L$6:$O$305,4,FALSE),"")</f>
        <v>Rejillas y repasadores. Accesorio resistente y práctico, pensado para facilitar las tareas de limpieza del hogar.</v>
      </c>
      <c r="T29" t="str">
        <v>Activo</v>
      </c>
      <c r="U29" t="str">
        <v>NO</v>
      </c>
    </row>
    <row r="30">
      <c r="A30" t="str">
        <v>026</v>
      </c>
      <c r="B30" t="str">
        <v>RJR012</v>
      </c>
      <c r="C30" t="str">
        <v>RJR013</v>
      </c>
      <c r="D30" t="str">
        <v>RJR-COCINA</v>
      </c>
      <c r="E30" t="str">
        <v>SIMPLE</v>
      </c>
      <c r="F30" t="str">
        <v>CAT-006</v>
      </c>
      <c r="G30" t="str">
        <f>IFERROR(VLOOKUP(F30,CATÁLOGOS!$A$6:$B$105,2,FALSE),"")</f>
        <v>🧰 Accesorios y equipamiento</v>
      </c>
      <c r="H30" t="str">
        <v>SUB-009</v>
      </c>
      <c r="I30" t="str">
        <f>IFERROR(VLOOKUP(H30,CATÁLOGOS!$F$6:$H$305,3,FALSE),"")</f>
        <v>Rejillas y repasadores</v>
      </c>
      <c r="J30" t="str">
        <v>bethel</v>
      </c>
      <c r="K30" t="str">
        <v>Rejilla cocina</v>
      </c>
      <c r="M30" t="str">
        <v>1 unidad</v>
      </c>
      <c r="N30" t="str">
        <v>RJR012.jpg</v>
      </c>
      <c r="O30" t="str">
        <v>CNT-020</v>
      </c>
      <c r="P30" t="str">
        <f>IFERROR(VLOOKUP(O30,CATÁLOGOS!$L$6:$O$305,3,FALSE),"")</f>
        <v>Rejilla cocina. Presentación: 1 unidad.</v>
      </c>
      <c r="Q30" t="str">
        <f>IFERROR(VLOOKUP(O30,CATÁLOGOS!$L$6:$O$305,4,FALSE),"")</f>
        <v>Rejillas y repasadores. Accesorio resistente y práctico, pensado para facilitar las tareas de limpieza del hogar.</v>
      </c>
      <c r="T30" t="str">
        <v>Activo</v>
      </c>
      <c r="U30" t="str">
        <v>NO</v>
      </c>
    </row>
    <row r="31">
      <c r="A31" t="str">
        <v>027</v>
      </c>
      <c r="B31" t="str">
        <v>RJR013</v>
      </c>
      <c r="C31" t="str">
        <v>RJR014</v>
      </c>
      <c r="F31" t="str">
        <v>CAT-006</v>
      </c>
      <c r="G31" t="str">
        <f>IFERROR(VLOOKUP(F31,CATÁLOGOS!$A$6:$B$105,2,FALSE),"")</f>
        <v>🧰 Accesorios y equipamiento</v>
      </c>
      <c r="H31" t="str">
        <v>SUB-009</v>
      </c>
      <c r="I31" t="str">
        <f>IFERROR(VLOOKUP(H31,CATÁLOGOS!$F$6:$H$305,3,FALSE),"")</f>
        <v>Rejillas y repasadores</v>
      </c>
      <c r="J31" t="str">
        <v>bethel</v>
      </c>
      <c r="K31" t="str">
        <v>Repasador</v>
      </c>
      <c r="M31" t="str">
        <v>1 unidad</v>
      </c>
      <c r="N31" t="str">
        <v>RJR013.jpg</v>
      </c>
      <c r="O31" t="str">
        <v>CNT-023</v>
      </c>
      <c r="P31" t="str">
        <f>IFERROR(VLOOKUP(O31,CATÁLOGOS!$L$6:$O$305,3,FALSE),"")</f>
        <v>Repasador. Presentación: 1 unidad.</v>
      </c>
      <c r="Q31" t="str">
        <f>IFERROR(VLOOKUP(O31,CATÁLOGOS!$L$6:$O$305,4,FALSE),"")</f>
        <v>Rejillas y repasadores. Accesorio resistente y práctico, pensado para facilitar las tareas de limpieza del hogar.</v>
      </c>
      <c r="T31" t="str">
        <v>Activo</v>
      </c>
      <c r="U31" t="str">
        <v>NO</v>
      </c>
    </row>
    <row r="32">
      <c r="A32" t="str">
        <v>028</v>
      </c>
      <c r="B32" t="str">
        <v>RJR014</v>
      </c>
      <c r="C32" t="str">
        <v>RJR015-REPASADOR</v>
      </c>
      <c r="F32" t="str">
        <v>CAT-006</v>
      </c>
      <c r="G32" t="str">
        <f>IFERROR(VLOOKUP(F32,CATÁLOGOS!$A$6:$B$105,2,FALSE),"")</f>
        <v>🧰 Accesorios y equipamiento</v>
      </c>
      <c r="H32" t="str">
        <v>SUB-009</v>
      </c>
      <c r="I32" t="str">
        <f>IFERROR(VLOOKUP(H32,CATÁLOGOS!$F$6:$H$305,3,FALSE),"")</f>
        <v>Rejillas y repasadores</v>
      </c>
      <c r="J32" t="str">
        <v>bethel</v>
      </c>
      <c r="K32" t="str">
        <v>Repasador</v>
      </c>
      <c r="M32" t="str">
        <v>1 unidad</v>
      </c>
      <c r="N32" t="str">
        <v>RJR014.jpg</v>
      </c>
      <c r="O32" t="str">
        <v>CNT-023</v>
      </c>
      <c r="P32" t="str">
        <f>IFERROR(VLOOKUP(O32,CATÁLOGOS!$L$6:$O$305,3,FALSE),"")</f>
        <v>Repasador. Presentación: 1 unidad.</v>
      </c>
      <c r="Q32" t="str">
        <f>IFERROR(VLOOKUP(O32,CATÁLOGOS!$L$6:$O$305,4,FALSE),"")</f>
        <v>Rejillas y repasadores. Accesorio resistente y práctico, pensado para facilitar las tareas de limpieza del hogar.</v>
      </c>
      <c r="T32" t="str">
        <v>Activo</v>
      </c>
      <c r="U32" t="str">
        <v>NO</v>
      </c>
    </row>
    <row r="33">
      <c r="A33" t="str">
        <v>029</v>
      </c>
      <c r="B33" t="str">
        <v>RJR015</v>
      </c>
      <c r="C33" t="str">
        <v>RJR015</v>
      </c>
      <c r="F33" t="str">
        <v>CAT-006</v>
      </c>
      <c r="G33" t="str">
        <f>IFERROR(VLOOKUP(F33,CATÁLOGOS!$A$6:$B$105,2,FALSE),"")</f>
        <v>🧰 Accesorios y equipamiento</v>
      </c>
      <c r="H33" t="str">
        <v>SUB-009</v>
      </c>
      <c r="I33" t="str">
        <f>IFERROR(VLOOKUP(H33,CATÁLOGOS!$F$6:$H$305,3,FALSE),"")</f>
        <v>Rejillas y repasadores</v>
      </c>
      <c r="J33" t="str">
        <v>bethel</v>
      </c>
      <c r="K33" t="str">
        <v>Paño amarillo para piso</v>
      </c>
      <c r="M33" t="str">
        <v>1 unidad</v>
      </c>
      <c r="N33" t="str">
        <v>RJR015.jpg</v>
      </c>
      <c r="O33" t="str">
        <v>CNT-024</v>
      </c>
      <c r="P33" t="str">
        <f>IFERROR(VLOOKUP(O33,CATÁLOGOS!$L$6:$O$305,3,FALSE),"")</f>
        <v>Paño amarillo para piso. Presentación: 1 unidad.</v>
      </c>
      <c r="Q33" t="str">
        <f>IFERROR(VLOOKUP(O33,CATÁLOGOS!$L$6:$O$305,4,FALSE),"")</f>
        <v>Rejillas y repasadores. Accesorio resistente y práctico, pensado para facilitar las tareas de limpieza del hogar.</v>
      </c>
      <c r="T33" t="str">
        <v>Activo</v>
      </c>
      <c r="U33" t="str">
        <v>NO</v>
      </c>
    </row>
    <row r="34">
      <c r="A34" t="str">
        <v>030</v>
      </c>
      <c r="B34" t="str">
        <v>TDP001</v>
      </c>
      <c r="C34" t="str">
        <v>TDP001</v>
      </c>
      <c r="F34" t="str">
        <v>CAT-006</v>
      </c>
      <c r="G34" t="str">
        <f>IFERROR(VLOOKUP(F34,CATÁLOGOS!$A$6:$B$105,2,FALSE),"")</f>
        <v>🧰 Accesorios y equipamiento</v>
      </c>
      <c r="H34" t="str">
        <v>SUB-010</v>
      </c>
      <c r="I34" t="str">
        <f>IFERROR(VLOOKUP(H34,CATÁLOGOS!$F$6:$H$305,3,FALSE),"")</f>
        <v>Trapos de piso</v>
      </c>
      <c r="J34" t="str">
        <v>bethel</v>
      </c>
      <c r="K34" t="str">
        <v>Trapo de piso blanco</v>
      </c>
      <c r="M34" t="str">
        <v>1 unidad</v>
      </c>
      <c r="N34" t="str">
        <v>TDP001.jpg</v>
      </c>
      <c r="O34" t="str">
        <v>CNT-025</v>
      </c>
      <c r="P34" t="str">
        <f>IFERROR(VLOOKUP(O34,CATÁLOGOS!$L$6:$O$305,3,FALSE),"")</f>
        <v>Trapo de piso blanco. Presentación: 1 unidad.</v>
      </c>
      <c r="Q34" t="str">
        <f>IFERROR(VLOOKUP(O34,CATÁLOGOS!$L$6:$O$305,4,FALSE),"")</f>
        <v>Trapos de piso. Accesorio resistente y práctico, pensado para facilitar las tareas de limpieza del hogar.</v>
      </c>
      <c r="T34" t="str">
        <v>Activo</v>
      </c>
      <c r="U34" t="str">
        <v>NO</v>
      </c>
    </row>
    <row r="35">
      <c r="A35" t="str">
        <v>031</v>
      </c>
      <c r="B35" t="str">
        <v>TDP002</v>
      </c>
      <c r="C35" t="str">
        <v>TDP002</v>
      </c>
      <c r="F35" t="str">
        <v>CAT-006</v>
      </c>
      <c r="G35" t="str">
        <f>IFERROR(VLOOKUP(F35,CATÁLOGOS!$A$6:$B$105,2,FALSE),"")</f>
        <v>🧰 Accesorios y equipamiento</v>
      </c>
      <c r="H35" t="str">
        <v>SUB-010</v>
      </c>
      <c r="I35" t="str">
        <f>IFERROR(VLOOKUP(H35,CATÁLOGOS!$F$6:$H$305,3,FALSE),"")</f>
        <v>Trapos de piso</v>
      </c>
      <c r="J35" t="str">
        <v>bethel</v>
      </c>
      <c r="K35" t="str">
        <v>Trapo de piso gris</v>
      </c>
      <c r="M35" t="str">
        <v>1 unidad</v>
      </c>
      <c r="N35" t="str">
        <v>TDP002.jpg</v>
      </c>
      <c r="O35" t="str">
        <v>CNT-026</v>
      </c>
      <c r="P35" t="str">
        <f>IFERROR(VLOOKUP(O35,CATÁLOGOS!$L$6:$O$305,3,FALSE),"")</f>
        <v>Trapo de piso gris. Presentación: 1 unidad.</v>
      </c>
      <c r="Q35" t="str">
        <f>IFERROR(VLOOKUP(O35,CATÁLOGOS!$L$6:$O$305,4,FALSE),"")</f>
        <v>Trapos de piso. Accesorio resistente y práctico, pensado para facilitar las tareas de limpieza del hogar.</v>
      </c>
      <c r="T35" t="str">
        <v>Activo</v>
      </c>
      <c r="U35" t="str">
        <v>NO</v>
      </c>
    </row>
    <row r="36">
      <c r="A36" t="str">
        <v>032</v>
      </c>
      <c r="B36" t="str">
        <v>TDP003</v>
      </c>
      <c r="C36" t="str">
        <v>TDP003</v>
      </c>
      <c r="D36" t="str">
        <v>TDP-COSTURADO</v>
      </c>
      <c r="E36" t="str">
        <v>DOBLE</v>
      </c>
      <c r="F36" t="str">
        <v>CAT-006</v>
      </c>
      <c r="G36" t="str">
        <f>IFERROR(VLOOKUP(F36,CATÁLOGOS!$A$6:$B$105,2,FALSE),"")</f>
        <v>🧰 Accesorios y equipamiento</v>
      </c>
      <c r="H36" t="str">
        <v>SUB-010</v>
      </c>
      <c r="I36" t="str">
        <f>IFERROR(VLOOKUP(H36,CATÁLOGOS!$F$6:$H$305,3,FALSE),"")</f>
        <v>Trapos de piso</v>
      </c>
      <c r="J36" t="str">
        <v>mr trappo</v>
      </c>
      <c r="K36" t="str">
        <v>Trapo de piso costurado</v>
      </c>
      <c r="M36" t="str">
        <v>1 unidad</v>
      </c>
      <c r="N36" t="str">
        <v>TDP003.jpg</v>
      </c>
      <c r="O36" t="str">
        <v>CNT-027</v>
      </c>
      <c r="P36" t="str">
        <f>IFERROR(VLOOKUP(O36,CATÁLOGOS!$L$6:$O$305,3,FALSE),"")</f>
        <v>Trapo de piso costurado. Presentación: 1 unidad. Marca mr trappo.</v>
      </c>
      <c r="Q36" t="str">
        <f>IFERROR(VLOOKUP(O36,CATÁLOGOS!$L$6:$O$305,4,FALSE),"")</f>
        <v>Trapos de piso. Accesorio resistente y práctico, pensado para facilitar las tareas de limpieza del hogar.</v>
      </c>
      <c r="T36" t="str">
        <v>Activo</v>
      </c>
      <c r="U36" t="str">
        <v>NO</v>
      </c>
    </row>
    <row r="37">
      <c r="A37" t="str">
        <v>033</v>
      </c>
      <c r="B37" t="str">
        <v>TDP004</v>
      </c>
      <c r="C37" t="str">
        <v>TDP004</v>
      </c>
      <c r="D37" t="str">
        <v>TDP-COSTURADO</v>
      </c>
      <c r="E37" t="str">
        <v>SIMPLE</v>
      </c>
      <c r="F37" t="str">
        <v>CAT-006</v>
      </c>
      <c r="G37" t="str">
        <f>IFERROR(VLOOKUP(F37,CATÁLOGOS!$A$6:$B$105,2,FALSE),"")</f>
        <v>🧰 Accesorios y equipamiento</v>
      </c>
      <c r="H37" t="str">
        <v>SUB-010</v>
      </c>
      <c r="I37" t="str">
        <f>IFERROR(VLOOKUP(H37,CATÁLOGOS!$F$6:$H$305,3,FALSE),"")</f>
        <v>Trapos de piso</v>
      </c>
      <c r="J37" t="str">
        <v>Fibran</v>
      </c>
      <c r="K37" t="str">
        <v>Trapo de piso costurado</v>
      </c>
      <c r="M37" t="str">
        <v>1 unidad</v>
      </c>
      <c r="N37" t="str">
        <v>TDP004.jpg</v>
      </c>
      <c r="O37" t="str">
        <v>CNT-028</v>
      </c>
      <c r="P37" t="str">
        <f>IFERROR(VLOOKUP(O37,CATÁLOGOS!$L$6:$O$305,3,FALSE),"")</f>
        <v>Trapo de piso costurado. Presentación: 1 unidad. Marca Fibran.</v>
      </c>
      <c r="Q37" t="str">
        <f>IFERROR(VLOOKUP(O37,CATÁLOGOS!$L$6:$O$305,4,FALSE),"")</f>
        <v>Trapos de piso. Accesorio resistente y práctico, pensado para facilitar las tareas de limpieza del hogar.</v>
      </c>
      <c r="T37" t="str">
        <v>Activo</v>
      </c>
      <c r="U37" t="str">
        <v>NO</v>
      </c>
    </row>
    <row r="38">
      <c r="A38" t="str">
        <v>034</v>
      </c>
      <c r="B38" t="str">
        <v>TDP005</v>
      </c>
      <c r="C38" t="str">
        <v>TDP005</v>
      </c>
      <c r="F38" t="str">
        <v>CAT-006</v>
      </c>
      <c r="G38" t="str">
        <f>IFERROR(VLOOKUP(F38,CATÁLOGOS!$A$6:$B$105,2,FALSE),"")</f>
        <v>🧰 Accesorios y equipamiento</v>
      </c>
      <c r="H38" t="str">
        <v>SUB-010</v>
      </c>
      <c r="I38" t="str">
        <f>IFERROR(VLOOKUP(H38,CATÁLOGOS!$F$6:$H$305,3,FALSE),"")</f>
        <v>Trapos de piso</v>
      </c>
      <c r="J38" t="str">
        <v>bethel</v>
      </c>
      <c r="K38" t="str">
        <v>Trapo de piso nido de abeja</v>
      </c>
      <c r="M38" t="str">
        <v>1 unidad</v>
      </c>
      <c r="N38" t="str">
        <v>TDP005.jpg</v>
      </c>
      <c r="O38" t="str">
        <v>CNT-029</v>
      </c>
      <c r="P38" t="str">
        <f>IFERROR(VLOOKUP(O38,CATÁLOGOS!$L$6:$O$305,3,FALSE),"")</f>
        <v>Trapo de piso nido de abeja. Presentación: 1 unidad.</v>
      </c>
      <c r="Q38" t="str">
        <f>IFERROR(VLOOKUP(O38,CATÁLOGOS!$L$6:$O$305,4,FALSE),"")</f>
        <v>Trapos de piso. Accesorio resistente y práctico, pensado para facilitar las tareas de limpieza del hogar.</v>
      </c>
      <c r="T38" t="str">
        <v>Activo</v>
      </c>
      <c r="U38" t="str">
        <v>NO</v>
      </c>
    </row>
    <row r="39">
      <c r="A39" t="str">
        <v>035</v>
      </c>
      <c r="B39" t="str">
        <v>TDP006</v>
      </c>
      <c r="C39" t="str">
        <v>TDP006</v>
      </c>
      <c r="F39" t="str">
        <v>CAT-006</v>
      </c>
      <c r="G39" t="str">
        <f>IFERROR(VLOOKUP(F39,CATÁLOGOS!$A$6:$B$105,2,FALSE),"")</f>
        <v>🧰 Accesorios y equipamiento</v>
      </c>
      <c r="H39" t="str">
        <v>SUB-010</v>
      </c>
      <c r="I39" t="str">
        <f>IFERROR(VLOOKUP(H39,CATÁLOGOS!$F$6:$H$305,3,FALSE),"")</f>
        <v>Trapos de piso</v>
      </c>
      <c r="J39" t="str">
        <v>bethel</v>
      </c>
      <c r="K39" t="str">
        <v>Trapo de piso nido de abeja economico</v>
      </c>
      <c r="M39" t="str">
        <v>1 unidad</v>
      </c>
      <c r="N39" t="str">
        <v>TDP006.jpg</v>
      </c>
      <c r="O39" t="str">
        <v>CNT-030</v>
      </c>
      <c r="P39" t="str">
        <f>IFERROR(VLOOKUP(O39,CATÁLOGOS!$L$6:$O$305,3,FALSE),"")</f>
        <v>Trapo de piso nido de abeja economico. Presentación: 1 unidad.</v>
      </c>
      <c r="Q39" t="str">
        <f>IFERROR(VLOOKUP(O39,CATÁLOGOS!$L$6:$O$305,4,FALSE),"")</f>
        <v>Trapos de piso. Accesorio resistente y práctico, pensado para facilitar las tareas de limpieza del hogar.</v>
      </c>
      <c r="T39" t="str">
        <v>Inactivo</v>
      </c>
      <c r="U39" t="str">
        <v>NO</v>
      </c>
    </row>
    <row r="40">
      <c r="A40" t="str">
        <v>036</v>
      </c>
      <c r="B40" t="str">
        <v>TDP007</v>
      </c>
      <c r="C40" t="str">
        <v>TDP007</v>
      </c>
      <c r="F40" t="str">
        <v>CAT-006</v>
      </c>
      <c r="G40" t="str">
        <f>IFERROR(VLOOKUP(F40,CATÁLOGOS!$A$6:$B$105,2,FALSE),"")</f>
        <v>🧰 Accesorios y equipamiento</v>
      </c>
      <c r="H40" t="str">
        <v>SUB-010</v>
      </c>
      <c r="I40" t="str">
        <f>IFERROR(VLOOKUP(H40,CATÁLOGOS!$F$6:$H$305,3,FALSE),"")</f>
        <v>Trapos de piso</v>
      </c>
      <c r="J40" t="str">
        <v>consorcio</v>
      </c>
      <c r="K40" t="str">
        <v>Trapo de piso rayado</v>
      </c>
      <c r="M40" t="str">
        <v>1 unidad</v>
      </c>
      <c r="N40" t="str">
        <v>TDP007.jpg</v>
      </c>
      <c r="O40" t="str">
        <v>CNT-031</v>
      </c>
      <c r="P40" t="str">
        <f>IFERROR(VLOOKUP(O40,CATÁLOGOS!$L$6:$O$305,3,FALSE),"")</f>
        <v>Trapo de piso rayado. Presentación: 1 unidad. Marca consorcio.</v>
      </c>
      <c r="Q40" t="str">
        <f>IFERROR(VLOOKUP(O40,CATÁLOGOS!$L$6:$O$305,4,FALSE),"")</f>
        <v>Trapos de piso. Accesorio resistente y práctico, pensado para facilitar las tareas de limpieza del hogar.</v>
      </c>
      <c r="T40" t="str">
        <v>Activo</v>
      </c>
      <c r="U40" t="str">
        <v>NO</v>
      </c>
    </row>
    <row r="41">
      <c r="A41" t="str">
        <v>037</v>
      </c>
      <c r="B41" t="str">
        <v>TDP008</v>
      </c>
      <c r="C41" t="str">
        <v>TDP008</v>
      </c>
      <c r="F41" t="str">
        <v>CAT-006</v>
      </c>
      <c r="G41" t="str">
        <f>IFERROR(VLOOKUP(F41,CATÁLOGOS!$A$6:$B$105,2,FALSE),"")</f>
        <v>🧰 Accesorios y equipamiento</v>
      </c>
      <c r="H41" t="str">
        <v>SUB-010</v>
      </c>
      <c r="I41" t="str">
        <f>IFERROR(VLOOKUP(H41,CATÁLOGOS!$F$6:$H$305,3,FALSE),"")</f>
        <v>Trapos de piso</v>
      </c>
      <c r="J41" t="str">
        <v>bethel</v>
      </c>
      <c r="K41" t="str">
        <v>Trapo de piso rayado</v>
      </c>
      <c r="M41" t="str">
        <v>1 unidad</v>
      </c>
      <c r="N41" t="str">
        <v>TDP008.jpg</v>
      </c>
      <c r="O41" t="str">
        <v>CNT-032</v>
      </c>
      <c r="P41" t="str">
        <f>IFERROR(VLOOKUP(O41,CATÁLOGOS!$L$6:$O$305,3,FALSE),"")</f>
        <v>Trapo de piso rayado. Presentación: 1 unidad.</v>
      </c>
      <c r="Q41" t="str">
        <f>IFERROR(VLOOKUP(O41,CATÁLOGOS!$L$6:$O$305,4,FALSE),"")</f>
        <v>Trapos de piso. Accesorio resistente y práctico, pensado para facilitar las tareas de limpieza del hogar.</v>
      </c>
      <c r="T41" t="str">
        <v>Activo</v>
      </c>
      <c r="U41" t="str">
        <v>NO</v>
      </c>
    </row>
    <row r="42">
      <c r="A42" t="str">
        <v>038</v>
      </c>
      <c r="B42" t="str">
        <v>EYE001</v>
      </c>
      <c r="C42" t="str">
        <v>EYE001</v>
      </c>
      <c r="D42" t="str">
        <v>EYE-ANDEN</v>
      </c>
      <c r="E42" t="str">
        <v>40 CM</v>
      </c>
      <c r="F42" t="str">
        <v>CAT-006</v>
      </c>
      <c r="G42" t="str">
        <f>IFERROR(VLOOKUP(F42,CATÁLOGOS!$A$6:$B$105,2,FALSE),"")</f>
        <v>🧰 Accesorios y equipamiento</v>
      </c>
      <c r="H42" t="str">
        <v>SUB-011</v>
      </c>
      <c r="I42" t="str">
        <f>IFERROR(VLOOKUP(H42,CATÁLOGOS!$F$6:$H$305,3,FALSE),"")</f>
        <v>Escobas y escobillones</v>
      </c>
      <c r="J42" t="str">
        <v>bethel</v>
      </c>
      <c r="K42" t="str">
        <v>Escoba Anden de 40 cm</v>
      </c>
      <c r="M42" t="str">
        <v>1 unidad</v>
      </c>
      <c r="N42" t="str">
        <v>EYE001.jpg</v>
      </c>
      <c r="O42" t="str">
        <v>CNT-033</v>
      </c>
      <c r="P42" t="str">
        <f>IFERROR(VLOOKUP(O42,CATÁLOGOS!$L$6:$O$305,3,FALSE),"")</f>
        <v>Escoba Anden de 40 cm. Presentación: 1 unidad.</v>
      </c>
      <c r="Q42" t="str">
        <f>IFERROR(VLOOKUP(O42,CATÁLOGOS!$L$6:$O$305,4,FALSE),"")</f>
        <v>Escobas y escobillones. Accesorio resistente y práctico, pensado para facilitar las tareas de limpieza del hogar.</v>
      </c>
      <c r="T42" t="str">
        <v>Activo</v>
      </c>
      <c r="U42" t="str">
        <v>NO</v>
      </c>
    </row>
    <row r="43">
      <c r="A43" t="str">
        <v>039</v>
      </c>
      <c r="B43" t="str">
        <v>EYE002</v>
      </c>
      <c r="C43" t="str">
        <v>EYE002</v>
      </c>
      <c r="D43" t="str">
        <v>EYE-ANDEN</v>
      </c>
      <c r="E43" t="str">
        <v>60 CM</v>
      </c>
      <c r="F43" t="str">
        <v>CAT-006</v>
      </c>
      <c r="G43" t="str">
        <f>IFERROR(VLOOKUP(F43,CATÁLOGOS!$A$6:$B$105,2,FALSE),"")</f>
        <v>🧰 Accesorios y equipamiento</v>
      </c>
      <c r="H43" t="str">
        <v>SUB-011</v>
      </c>
      <c r="I43" t="str">
        <f>IFERROR(VLOOKUP(H43,CATÁLOGOS!$F$6:$H$305,3,FALSE),"")</f>
        <v>Escobas y escobillones</v>
      </c>
      <c r="J43" t="str">
        <v>bethel</v>
      </c>
      <c r="K43" t="str">
        <v>Escoba Anden de 60 cm</v>
      </c>
      <c r="M43" t="str">
        <v>1 unidad</v>
      </c>
      <c r="N43" t="str">
        <v>EYE002.jpg</v>
      </c>
      <c r="O43" t="str">
        <v>CNT-034</v>
      </c>
      <c r="P43" t="str">
        <f>IFERROR(VLOOKUP(O43,CATÁLOGOS!$L$6:$O$305,3,FALSE),"")</f>
        <v>Escoba Anden de 60 cm. Presentación: 1 unidad.</v>
      </c>
      <c r="Q43" t="str">
        <f>IFERROR(VLOOKUP(O43,CATÁLOGOS!$L$6:$O$305,4,FALSE),"")</f>
        <v>Escobas y escobillones. Accesorio resistente y práctico, pensado para facilitar las tareas de limpieza del hogar.</v>
      </c>
      <c r="T43" t="str">
        <v>Activo</v>
      </c>
      <c r="U43" t="str">
        <v>NO</v>
      </c>
    </row>
    <row r="44">
      <c r="A44" t="str">
        <v>040</v>
      </c>
      <c r="B44" t="str">
        <v>EYE003</v>
      </c>
      <c r="C44" t="str">
        <v>EYE003</v>
      </c>
      <c r="D44" t="str">
        <v>EYE-ANDEN</v>
      </c>
      <c r="E44" t="str">
        <v>80 CM</v>
      </c>
      <c r="F44" t="str">
        <v>CAT-006</v>
      </c>
      <c r="G44" t="str">
        <f>IFERROR(VLOOKUP(F44,CATÁLOGOS!$A$6:$B$105,2,FALSE),"")</f>
        <v>🧰 Accesorios y equipamiento</v>
      </c>
      <c r="H44" t="str">
        <v>SUB-011</v>
      </c>
      <c r="I44" t="str">
        <f>IFERROR(VLOOKUP(H44,CATÁLOGOS!$F$6:$H$305,3,FALSE),"")</f>
        <v>Escobas y escobillones</v>
      </c>
      <c r="J44" t="str">
        <v>bethel</v>
      </c>
      <c r="K44" t="str">
        <v>Escoba Anden de 80 cm</v>
      </c>
      <c r="M44" t="str">
        <v>1 unidad</v>
      </c>
      <c r="N44" t="str">
        <v>EYE003.jpg</v>
      </c>
      <c r="O44" t="str">
        <v>CNT-035</v>
      </c>
      <c r="P44" t="str">
        <f>IFERROR(VLOOKUP(O44,CATÁLOGOS!$L$6:$O$305,3,FALSE),"")</f>
        <v>Escoba Anden de 80 cm. Presentación: 1 unidad.</v>
      </c>
      <c r="Q44" t="str">
        <f>IFERROR(VLOOKUP(O44,CATÁLOGOS!$L$6:$O$305,4,FALSE),"")</f>
        <v>Escobas y escobillones. Accesorio resistente y práctico, pensado para facilitar las tareas de limpieza del hogar.</v>
      </c>
      <c r="T44" t="str">
        <v>Activo</v>
      </c>
      <c r="U44" t="str">
        <v>NO</v>
      </c>
    </row>
    <row r="45">
      <c r="A45" t="str">
        <v>041</v>
      </c>
      <c r="B45" t="str">
        <v>EYE004</v>
      </c>
      <c r="C45" t="str">
        <v>EYE004</v>
      </c>
      <c r="D45" t="str">
        <v>EYE-ANDEN</v>
      </c>
      <c r="E45" t="str">
        <v>100 CM</v>
      </c>
      <c r="F45" t="str">
        <v>CAT-006</v>
      </c>
      <c r="G45" t="str">
        <f>IFERROR(VLOOKUP(F45,CATÁLOGOS!$A$6:$B$105,2,FALSE),"")</f>
        <v>🧰 Accesorios y equipamiento</v>
      </c>
      <c r="H45" t="str">
        <v>SUB-011</v>
      </c>
      <c r="I45" t="str">
        <f>IFERROR(VLOOKUP(H45,CATÁLOGOS!$F$6:$H$305,3,FALSE),"")</f>
        <v>Escobas y escobillones</v>
      </c>
      <c r="J45" t="str">
        <v>bethel</v>
      </c>
      <c r="K45" t="str">
        <v>Escoba Anden de 100 cm</v>
      </c>
      <c r="M45" t="str">
        <v>1 unidad</v>
      </c>
      <c r="N45" t="str">
        <v>EYE004.jpg</v>
      </c>
      <c r="O45" t="str">
        <v>CNT-036</v>
      </c>
      <c r="P45" t="str">
        <f>IFERROR(VLOOKUP(O45,CATÁLOGOS!$L$6:$O$305,3,FALSE),"")</f>
        <v>Escoba Anden de 100 cm. Presentación: 1 unidad.</v>
      </c>
      <c r="Q45" t="str">
        <f>IFERROR(VLOOKUP(O45,CATÁLOGOS!$L$6:$O$305,4,FALSE),"")</f>
        <v>Escobas y escobillones. Accesorio resistente y práctico, pensado para facilitar las tareas de limpieza del hogar.</v>
      </c>
      <c r="T45" t="str">
        <v>Activo</v>
      </c>
      <c r="U45" t="str">
        <v>NO</v>
      </c>
    </row>
    <row r="46">
      <c r="A46" t="str">
        <v>042</v>
      </c>
      <c r="B46" t="str">
        <v>EYE005</v>
      </c>
      <c r="C46" t="str">
        <v>EYE005</v>
      </c>
      <c r="F46" t="str">
        <v>CAT-006</v>
      </c>
      <c r="G46" t="str">
        <f>IFERROR(VLOOKUP(F46,CATÁLOGOS!$A$6:$B$105,2,FALSE),"")</f>
        <v>🧰 Accesorios y equipamiento</v>
      </c>
      <c r="H46" t="str">
        <v>SUB-011</v>
      </c>
      <c r="I46" t="str">
        <f>IFERROR(VLOOKUP(H46,CATÁLOGOS!$F$6:$H$305,3,FALSE),"")</f>
        <v>Escobas y escobillones</v>
      </c>
      <c r="J46" t="str">
        <v>bethel</v>
      </c>
      <c r="K46" t="str">
        <v>Escoba Anden de 60 cm barregrueso</v>
      </c>
      <c r="M46" t="str">
        <v>1 unidad</v>
      </c>
      <c r="N46" t="str">
        <v>EYE005.jpg</v>
      </c>
      <c r="O46" t="str">
        <v>CNT-037</v>
      </c>
      <c r="P46" t="str">
        <f>IFERROR(VLOOKUP(O46,CATÁLOGOS!$L$6:$O$305,3,FALSE),"")</f>
        <v>Escoba Anden de 60 cm barregrueso. Presentación: 1 unidad.</v>
      </c>
      <c r="Q46" t="str">
        <f>IFERROR(VLOOKUP(O46,CATÁLOGOS!$L$6:$O$305,4,FALSE),"")</f>
        <v>Escobas y escobillones. Accesorio resistente y práctico, pensado para facilitar las tareas de limpieza del hogar.</v>
      </c>
      <c r="T46" t="str">
        <v>Activo</v>
      </c>
      <c r="U46" t="str">
        <v>NO</v>
      </c>
    </row>
    <row r="47">
      <c r="A47" t="str">
        <v>043</v>
      </c>
      <c r="B47" t="str">
        <v>EYE006</v>
      </c>
      <c r="C47" t="str">
        <v>EYE006</v>
      </c>
      <c r="F47" t="str">
        <v>CAT-006</v>
      </c>
      <c r="G47" t="str">
        <f>IFERROR(VLOOKUP(F47,CATÁLOGOS!$A$6:$B$105,2,FALSE),"")</f>
        <v>🧰 Accesorios y equipamiento</v>
      </c>
      <c r="H47" t="str">
        <v>SUB-011</v>
      </c>
      <c r="I47" t="str">
        <f>IFERROR(VLOOKUP(H47,CATÁLOGOS!$F$6:$H$305,3,FALSE),"")</f>
        <v>Escobas y escobillones</v>
      </c>
      <c r="J47" t="str">
        <v>bethel</v>
      </c>
      <c r="K47" t="str">
        <v>Escobillon Barrendero Economico</v>
      </c>
      <c r="M47" t="str">
        <v>1 unidad</v>
      </c>
      <c r="N47" t="str">
        <v>EYE006.jpg</v>
      </c>
      <c r="O47" t="str">
        <v>CNT-038</v>
      </c>
      <c r="P47" t="str">
        <f>IFERROR(VLOOKUP(O47,CATÁLOGOS!$L$6:$O$305,3,FALSE),"")</f>
        <v>Escobillon Barrendero Economico. Presentación: 1 unidad.</v>
      </c>
      <c r="Q47" t="str">
        <f>IFERROR(VLOOKUP(O47,CATÁLOGOS!$L$6:$O$305,4,FALSE),"")</f>
        <v>Escobas y escobillones. Accesorio resistente y práctico, pensado para facilitar las tareas de limpieza del hogar.</v>
      </c>
      <c r="T47" t="str">
        <v>Activo</v>
      </c>
      <c r="U47" t="str">
        <v>NO</v>
      </c>
    </row>
    <row r="48">
      <c r="A48" t="str">
        <v>044</v>
      </c>
      <c r="B48" t="str">
        <v>EYE007</v>
      </c>
      <c r="C48" t="str">
        <v>EYE007</v>
      </c>
      <c r="D48" t="str">
        <v>EYE-BARREDOR</v>
      </c>
      <c r="E48" t="str">
        <v>35 CM</v>
      </c>
      <c r="F48" t="str">
        <v>CAT-006</v>
      </c>
      <c r="G48" t="str">
        <f>IFERROR(VLOOKUP(F48,CATÁLOGOS!$A$6:$B$105,2,FALSE),"")</f>
        <v>🧰 Accesorios y equipamiento</v>
      </c>
      <c r="H48" t="str">
        <v>SUB-011</v>
      </c>
      <c r="I48" t="str">
        <f>IFERROR(VLOOKUP(H48,CATÁLOGOS!$F$6:$H$305,3,FALSE),"")</f>
        <v>Escobas y escobillones</v>
      </c>
      <c r="J48" t="str">
        <v>bethel</v>
      </c>
      <c r="K48" t="str">
        <v>Escoba tipo barredor de 35 cm</v>
      </c>
      <c r="M48" t="str">
        <v>1 unidad</v>
      </c>
      <c r="N48" t="str">
        <v>EYE007.jpg</v>
      </c>
      <c r="O48" t="str">
        <v>CNT-039</v>
      </c>
      <c r="P48" t="str">
        <f>IFERROR(VLOOKUP(O48,CATÁLOGOS!$L$6:$O$305,3,FALSE),"")</f>
        <v>Escoba tipo barredor de 35 cm. Presentación: 1 unidad.</v>
      </c>
      <c r="Q48" t="str">
        <f>IFERROR(VLOOKUP(O48,CATÁLOGOS!$L$6:$O$305,4,FALSE),"")</f>
        <v>Escobas y escobillones. Accesorio resistente y práctico, pensado para facilitar las tareas de limpieza del hogar.</v>
      </c>
      <c r="T48" t="str">
        <v>Activo</v>
      </c>
      <c r="U48" t="str">
        <v>NO</v>
      </c>
    </row>
    <row r="49">
      <c r="A49" t="str">
        <v>045</v>
      </c>
      <c r="B49" t="str">
        <v>EYE008</v>
      </c>
      <c r="C49" t="str">
        <v>EYE008</v>
      </c>
      <c r="D49" t="str">
        <v>EYE-BARREDOR</v>
      </c>
      <c r="E49" t="str">
        <v>60 CM</v>
      </c>
      <c r="F49" t="str">
        <v>CAT-006</v>
      </c>
      <c r="G49" t="str">
        <f>IFERROR(VLOOKUP(F49,CATÁLOGOS!$A$6:$B$105,2,FALSE),"")</f>
        <v>🧰 Accesorios y equipamiento</v>
      </c>
      <c r="H49" t="str">
        <v>SUB-011</v>
      </c>
      <c r="I49" t="str">
        <f>IFERROR(VLOOKUP(H49,CATÁLOGOS!$F$6:$H$305,3,FALSE),"")</f>
        <v>Escobas y escobillones</v>
      </c>
      <c r="J49" t="str">
        <v>bethel</v>
      </c>
      <c r="K49" t="str">
        <v>Escoba tipo barredor de 60 cm</v>
      </c>
      <c r="M49" t="str">
        <v>1 unidad</v>
      </c>
      <c r="N49" t="str">
        <v>EYE008.jpg</v>
      </c>
      <c r="O49" t="str">
        <v>CNT-040</v>
      </c>
      <c r="P49" t="str">
        <f>IFERROR(VLOOKUP(O49,CATÁLOGOS!$L$6:$O$305,3,FALSE),"")</f>
        <v>Escoba tipo barredor de 60 cm. Presentación: 1 unidad.</v>
      </c>
      <c r="Q49" t="str">
        <f>IFERROR(VLOOKUP(O49,CATÁLOGOS!$L$6:$O$305,4,FALSE),"")</f>
        <v>Escobas y escobillones. Accesorio resistente y práctico, pensado para facilitar las tareas de limpieza del hogar.</v>
      </c>
      <c r="T49" t="str">
        <v>Activo</v>
      </c>
      <c r="U49" t="str">
        <v>NO</v>
      </c>
    </row>
    <row r="50">
      <c r="A50" t="str">
        <v>046</v>
      </c>
      <c r="B50" t="str">
        <v>EYE009</v>
      </c>
      <c r="C50" t="str">
        <v>EYE009</v>
      </c>
      <c r="D50" t="str">
        <v>EYE-BARREDOR</v>
      </c>
      <c r="E50" t="str">
        <v>80 CM</v>
      </c>
      <c r="F50" t="str">
        <v>CAT-006</v>
      </c>
      <c r="G50" t="str">
        <f>IFERROR(VLOOKUP(F50,CATÁLOGOS!$A$6:$B$105,2,FALSE),"")</f>
        <v>🧰 Accesorios y equipamiento</v>
      </c>
      <c r="H50" t="str">
        <v>SUB-011</v>
      </c>
      <c r="I50" t="str">
        <f>IFERROR(VLOOKUP(H50,CATÁLOGOS!$F$6:$H$305,3,FALSE),"")</f>
        <v>Escobas y escobillones</v>
      </c>
      <c r="J50" t="str">
        <v>bethel</v>
      </c>
      <c r="K50" t="str">
        <v>Escoba tipo barredor de 80 cm</v>
      </c>
      <c r="M50" t="str">
        <v>1 unidad</v>
      </c>
      <c r="N50" t="str">
        <v>EYE009.jpg</v>
      </c>
      <c r="O50" t="str">
        <v>CNT-041</v>
      </c>
      <c r="P50" t="str">
        <f>IFERROR(VLOOKUP(O50,CATÁLOGOS!$L$6:$O$305,3,FALSE),"")</f>
        <v>Escoba tipo barredor de 80 cm. Presentación: 1 unidad.</v>
      </c>
      <c r="Q50" t="str">
        <f>IFERROR(VLOOKUP(O50,CATÁLOGOS!$L$6:$O$305,4,FALSE),"")</f>
        <v>Escobas y escobillones. Accesorio resistente y práctico, pensado para facilitar las tareas de limpieza del hogar.</v>
      </c>
      <c r="T50" t="str">
        <v>Activo</v>
      </c>
      <c r="U50" t="str">
        <v>NO</v>
      </c>
    </row>
    <row r="51">
      <c r="A51" t="str">
        <v>047</v>
      </c>
      <c r="B51" t="str">
        <v>EYE010</v>
      </c>
      <c r="C51" t="str">
        <v>EYE010</v>
      </c>
      <c r="D51" t="str">
        <v>EYE-BARREDOR</v>
      </c>
      <c r="E51" t="str">
        <v>100 CM</v>
      </c>
      <c r="F51" t="str">
        <v>CAT-006</v>
      </c>
      <c r="G51" t="str">
        <f>IFERROR(VLOOKUP(F51,CATÁLOGOS!$A$6:$B$105,2,FALSE),"")</f>
        <v>🧰 Accesorios y equipamiento</v>
      </c>
      <c r="H51" t="str">
        <v>SUB-011</v>
      </c>
      <c r="I51" t="str">
        <f>IFERROR(VLOOKUP(H51,CATÁLOGOS!$F$6:$H$305,3,FALSE),"")</f>
        <v>Escobas y escobillones</v>
      </c>
      <c r="J51" t="str">
        <v>bethel</v>
      </c>
      <c r="K51" t="str">
        <v>Escoba tipo barredor de 100 cm</v>
      </c>
      <c r="M51" t="str">
        <v>1 unidad</v>
      </c>
      <c r="N51" t="str">
        <v>EYE010.jpg</v>
      </c>
      <c r="O51" t="str">
        <v>CNT-042</v>
      </c>
      <c r="P51" t="str">
        <f>IFERROR(VLOOKUP(O51,CATÁLOGOS!$L$6:$O$305,3,FALSE),"")</f>
        <v>Escoba tipo barredor de 100 cm. Presentación: 1 unidad.</v>
      </c>
      <c r="Q51" t="str">
        <f>IFERROR(VLOOKUP(O51,CATÁLOGOS!$L$6:$O$305,4,FALSE),"")</f>
        <v>Escobas y escobillones. Accesorio resistente y práctico, pensado para facilitar las tareas de limpieza del hogar.</v>
      </c>
      <c r="T51" t="str">
        <v>Activo</v>
      </c>
      <c r="U51" t="str">
        <v>NO</v>
      </c>
    </row>
    <row r="52">
      <c r="A52" t="str">
        <v>048</v>
      </c>
      <c r="B52" t="str">
        <v>EYE011</v>
      </c>
      <c r="C52" t="str">
        <v>EYE011</v>
      </c>
      <c r="F52" t="str">
        <v>CAT-006</v>
      </c>
      <c r="G52" t="str">
        <f>IFERROR(VLOOKUP(F52,CATÁLOGOS!$A$6:$B$105,2,FALSE),"")</f>
        <v>🧰 Accesorios y equipamiento</v>
      </c>
      <c r="H52" t="str">
        <v>SUB-011</v>
      </c>
      <c r="I52" t="str">
        <f>IFERROR(VLOOKUP(H52,CATÁLOGOS!$F$6:$H$305,3,FALSE),"")</f>
        <v>Escobas y escobillones</v>
      </c>
      <c r="J52" t="str">
        <v>bethel</v>
      </c>
      <c r="K52" t="str">
        <v>Barre Hojas Comun</v>
      </c>
      <c r="M52" t="str">
        <v>1 unidad</v>
      </c>
      <c r="N52" t="str">
        <v>EYE011.jpg</v>
      </c>
      <c r="O52" t="str">
        <v>CNT-043</v>
      </c>
      <c r="P52" t="str">
        <f>IFERROR(VLOOKUP(O52,CATÁLOGOS!$L$6:$O$305,3,FALSE),"")</f>
        <v>Barre Hojas Comun. Presentación: 1 unidad.</v>
      </c>
      <c r="Q52" t="str">
        <f>IFERROR(VLOOKUP(O52,CATÁLOGOS!$L$6:$O$305,4,FALSE),"")</f>
        <v>Escobas y escobillones. Accesorio resistente y práctico, pensado para facilitar las tareas de limpieza del hogar.</v>
      </c>
      <c r="T52" t="str">
        <v>Activo</v>
      </c>
      <c r="U52" t="str">
        <v>NO</v>
      </c>
    </row>
    <row r="53">
      <c r="A53" t="str">
        <v>049</v>
      </c>
      <c r="B53" t="str">
        <v>EYE012</v>
      </c>
      <c r="C53" t="str">
        <v>EYE012</v>
      </c>
      <c r="F53" t="str">
        <v>CAT-006</v>
      </c>
      <c r="G53" t="str">
        <f>IFERROR(VLOOKUP(F53,CATÁLOGOS!$A$6:$B$105,2,FALSE),"")</f>
        <v>🧰 Accesorios y equipamiento</v>
      </c>
      <c r="H53" t="str">
        <v>SUB-011</v>
      </c>
      <c r="I53" t="str">
        <f>IFERROR(VLOOKUP(H53,CATÁLOGOS!$F$6:$H$305,3,FALSE),"")</f>
        <v>Escobas y escobillones</v>
      </c>
      <c r="J53" t="str">
        <v>bethel</v>
      </c>
      <c r="K53" t="str">
        <v>Barre Hojas Profesional</v>
      </c>
      <c r="M53" t="str">
        <v>1 unidad</v>
      </c>
      <c r="N53" t="str">
        <v>EYE012.jpg</v>
      </c>
      <c r="O53" t="str">
        <v>CNT-044</v>
      </c>
      <c r="P53" t="str">
        <f>IFERROR(VLOOKUP(O53,CATÁLOGOS!$L$6:$O$305,3,FALSE),"")</f>
        <v>Barre Hojas Profesional. Presentación: 1 unidad.</v>
      </c>
      <c r="Q53" t="str">
        <f>IFERROR(VLOOKUP(O53,CATÁLOGOS!$L$6:$O$305,4,FALSE),"")</f>
        <v>Escobas y escobillones. Accesorio resistente y práctico, pensado para facilitar las tareas de limpieza del hogar.</v>
      </c>
      <c r="T53" t="str">
        <v>Activo</v>
      </c>
      <c r="U53" t="str">
        <v>NO</v>
      </c>
    </row>
    <row r="54">
      <c r="A54" t="str">
        <v>050</v>
      </c>
      <c r="B54" t="str">
        <v>EYE013</v>
      </c>
      <c r="C54" t="str">
        <v>EYE013</v>
      </c>
      <c r="F54" t="str">
        <v>CAT-006</v>
      </c>
      <c r="G54" t="str">
        <f>IFERROR(VLOOKUP(F54,CATÁLOGOS!$A$6:$B$105,2,FALSE),"")</f>
        <v>🧰 Accesorios y equipamiento</v>
      </c>
      <c r="H54" t="str">
        <v>SUB-011</v>
      </c>
      <c r="I54" t="str">
        <f>IFERROR(VLOOKUP(H54,CATÁLOGOS!$F$6:$H$305,3,FALSE),"")</f>
        <v>Escobas y escobillones</v>
      </c>
      <c r="J54" t="str">
        <v>bethel</v>
      </c>
      <c r="K54" t="str">
        <v>Escoba de tipo 6 hilos</v>
      </c>
      <c r="M54" t="str">
        <v>1 unidad</v>
      </c>
      <c r="N54" t="str">
        <v>EYE013.jpg</v>
      </c>
      <c r="O54" t="str">
        <v>CNT-045</v>
      </c>
      <c r="P54" t="str">
        <f>IFERROR(VLOOKUP(O54,CATÁLOGOS!$L$6:$O$305,3,FALSE),"")</f>
        <v>Escoba de tipo 6 hilos. Presentación: 1 unidad.</v>
      </c>
      <c r="Q54" t="str">
        <f>IFERROR(VLOOKUP(O54,CATÁLOGOS!$L$6:$O$305,4,FALSE),"")</f>
        <v>Escobas y escobillones. Accesorio resistente y práctico, pensado para facilitar las tareas de limpieza del hogar.</v>
      </c>
      <c r="T54" t="str">
        <v>Activo</v>
      </c>
      <c r="U54" t="str">
        <v>NO</v>
      </c>
    </row>
    <row r="55">
      <c r="A55" t="str">
        <v>051</v>
      </c>
      <c r="B55" t="str">
        <v>EYE014</v>
      </c>
      <c r="C55" t="str">
        <v>EYE014</v>
      </c>
      <c r="F55" t="str">
        <v>CAT-006</v>
      </c>
      <c r="G55" t="str">
        <f>IFERROR(VLOOKUP(F55,CATÁLOGOS!$A$6:$B$105,2,FALSE),"")</f>
        <v>🧰 Accesorios y equipamiento</v>
      </c>
      <c r="H55" t="str">
        <v>SUB-011</v>
      </c>
      <c r="I55" t="str">
        <f>IFERROR(VLOOKUP(H55,CATÁLOGOS!$F$6:$H$305,3,FALSE),"")</f>
        <v>Escobas y escobillones</v>
      </c>
      <c r="J55" t="str">
        <v>bethel</v>
      </c>
      <c r="K55" t="str">
        <v>Escoba de tipo Americana</v>
      </c>
      <c r="M55" t="str">
        <v>1 unidad</v>
      </c>
      <c r="N55" t="str">
        <v>EYE014.jpg</v>
      </c>
      <c r="O55" t="str">
        <v>CNT-046</v>
      </c>
      <c r="P55" t="str">
        <f>IFERROR(VLOOKUP(O55,CATÁLOGOS!$L$6:$O$305,3,FALSE),"")</f>
        <v>Escoba de tipo Americana. Presentación: 1 unidad.</v>
      </c>
      <c r="Q55" t="str">
        <f>IFERROR(VLOOKUP(O55,CATÁLOGOS!$L$6:$O$305,4,FALSE),"")</f>
        <v>Escobas y escobillones. Accesorio resistente y práctico, pensado para facilitar las tareas de limpieza del hogar.</v>
      </c>
      <c r="T55" t="str">
        <v>Activo</v>
      </c>
      <c r="U55" t="str">
        <v>NO</v>
      </c>
    </row>
    <row r="56">
      <c r="A56" t="str">
        <v>052</v>
      </c>
      <c r="B56" t="str">
        <v>EYE015</v>
      </c>
      <c r="C56" t="str">
        <v>EYE015</v>
      </c>
      <c r="F56" t="str">
        <v>CAT-006</v>
      </c>
      <c r="G56" t="str">
        <f>IFERROR(VLOOKUP(F56,CATÁLOGOS!$A$6:$B$105,2,FALSE),"")</f>
        <v>🧰 Accesorios y equipamiento</v>
      </c>
      <c r="H56" t="str">
        <v>SUB-011</v>
      </c>
      <c r="I56" t="str">
        <f>IFERROR(VLOOKUP(H56,CATÁLOGOS!$F$6:$H$305,3,FALSE),"")</f>
        <v>Escobas y escobillones</v>
      </c>
      <c r="J56" t="str">
        <v>bethel</v>
      </c>
      <c r="K56" t="str">
        <v>Escoba de tipo Capuchina</v>
      </c>
      <c r="M56" t="str">
        <v>1 unidad</v>
      </c>
      <c r="N56" t="str">
        <v>EYE015.jpg</v>
      </c>
      <c r="O56" t="str">
        <v>CNT-047</v>
      </c>
      <c r="P56" t="str">
        <f>IFERROR(VLOOKUP(O56,CATÁLOGOS!$L$6:$O$305,3,FALSE),"")</f>
        <v>Escoba de tipo Capuchina. Presentación: 1 unidad.</v>
      </c>
      <c r="Q56" t="str">
        <f>IFERROR(VLOOKUP(O56,CATÁLOGOS!$L$6:$O$305,4,FALSE),"")</f>
        <v>Escobas y escobillones. Accesorio resistente y práctico, pensado para facilitar las tareas de limpieza del hogar.</v>
      </c>
      <c r="T56" t="str">
        <v>Activo</v>
      </c>
      <c r="U56" t="str">
        <v>NO</v>
      </c>
    </row>
    <row r="57">
      <c r="A57" t="str">
        <v>053</v>
      </c>
      <c r="B57" t="str">
        <v>EYE016</v>
      </c>
      <c r="C57" t="str">
        <v>EYE016</v>
      </c>
      <c r="F57" t="str">
        <v>CAT-006</v>
      </c>
      <c r="G57" t="str">
        <f>IFERROR(VLOOKUP(F57,CATÁLOGOS!$A$6:$B$105,2,FALSE),"")</f>
        <v>🧰 Accesorios y equipamiento</v>
      </c>
      <c r="H57" t="str">
        <v>SUB-011</v>
      </c>
      <c r="I57" t="str">
        <f>IFERROR(VLOOKUP(H57,CATÁLOGOS!$F$6:$H$305,3,FALSE),"")</f>
        <v>Escobas y escobillones</v>
      </c>
      <c r="J57" t="str">
        <v>bethel</v>
      </c>
      <c r="K57" t="str">
        <v>Escoba de tipo Barregrueso</v>
      </c>
      <c r="M57" t="str">
        <v>1 unidad</v>
      </c>
      <c r="N57" t="str">
        <v>EYE016.jpg</v>
      </c>
      <c r="O57" t="str">
        <v>CNT-048</v>
      </c>
      <c r="P57" t="str">
        <f>IFERROR(VLOOKUP(O57,CATÁLOGOS!$L$6:$O$305,3,FALSE),"")</f>
        <v>Escoba de tipo Barregrueso. Presentación: 1 unidad.</v>
      </c>
      <c r="Q57" t="str">
        <f>IFERROR(VLOOKUP(O57,CATÁLOGOS!$L$6:$O$305,4,FALSE),"")</f>
        <v>Escobas y escobillones. Accesorio resistente y práctico, pensado para facilitar las tareas de limpieza del hogar.</v>
      </c>
      <c r="T57" t="str">
        <v>Activo</v>
      </c>
      <c r="U57" t="str">
        <v>NO</v>
      </c>
    </row>
    <row r="58">
      <c r="A58" t="str">
        <v>054</v>
      </c>
      <c r="B58" t="str">
        <v>EYE017</v>
      </c>
      <c r="C58" t="str">
        <v>EYE017</v>
      </c>
      <c r="F58" t="str">
        <v>CAT-006</v>
      </c>
      <c r="G58" t="str">
        <f>IFERROR(VLOOKUP(F58,CATÁLOGOS!$A$6:$B$105,2,FALSE),"")</f>
        <v>🧰 Accesorios y equipamiento</v>
      </c>
      <c r="H58" t="str">
        <v>SUB-011</v>
      </c>
      <c r="I58" t="str">
        <f>IFERROR(VLOOKUP(H58,CATÁLOGOS!$F$6:$H$305,3,FALSE),"")</f>
        <v>Escobas y escobillones</v>
      </c>
      <c r="J58" t="str">
        <v>bethel</v>
      </c>
      <c r="K58" t="str">
        <v>Escobillon de tipo liso de Cerda</v>
      </c>
      <c r="M58" t="str">
        <v>1 unidad</v>
      </c>
      <c r="N58" t="str">
        <v>EYE017.jpg</v>
      </c>
      <c r="O58" t="str">
        <v>CNT-049</v>
      </c>
      <c r="P58" t="str">
        <f>IFERROR(VLOOKUP(O58,CATÁLOGOS!$L$6:$O$305,3,FALSE),"")</f>
        <v>Escobillon de tipo liso de Cerda. Presentación: 1 unidad.</v>
      </c>
      <c r="Q58" t="str">
        <f>IFERROR(VLOOKUP(O58,CATÁLOGOS!$L$6:$O$305,4,FALSE),"")</f>
        <v>Escobas y escobillones. Accesorio resistente y práctico, pensado para facilitar las tareas de limpieza del hogar.</v>
      </c>
      <c r="T58" t="str">
        <v>Activo</v>
      </c>
      <c r="U58" t="str">
        <v>NO</v>
      </c>
    </row>
    <row r="59">
      <c r="A59" t="str">
        <v>055</v>
      </c>
      <c r="B59" t="str">
        <v>EYE018</v>
      </c>
      <c r="C59" t="str">
        <v>EYE018</v>
      </c>
      <c r="F59" t="str">
        <v>CAT-006</v>
      </c>
      <c r="G59" t="str">
        <f>IFERROR(VLOOKUP(F59,CATÁLOGOS!$A$6:$B$105,2,FALSE),"")</f>
        <v>🧰 Accesorios y equipamiento</v>
      </c>
      <c r="H59" t="str">
        <v>SUB-011</v>
      </c>
      <c r="I59" t="str">
        <f>IFERROR(VLOOKUP(H59,CATÁLOGOS!$F$6:$H$305,3,FALSE),"")</f>
        <v>Escobas y escobillones</v>
      </c>
      <c r="J59" t="str">
        <v>bethel</v>
      </c>
      <c r="K59" t="str">
        <v>Escoba de tipo Galponera</v>
      </c>
      <c r="M59" t="str">
        <v>1 unidad</v>
      </c>
      <c r="N59" t="str">
        <v>EYE018.jpg</v>
      </c>
      <c r="O59" t="str">
        <v>CNT-050</v>
      </c>
      <c r="P59" t="str">
        <f>IFERROR(VLOOKUP(O59,CATÁLOGOS!$L$6:$O$305,3,FALSE),"")</f>
        <v>Escoba de tipo Galponera. Presentación: 1 unidad.</v>
      </c>
      <c r="Q59" t="str">
        <f>IFERROR(VLOOKUP(O59,CATÁLOGOS!$L$6:$O$305,4,FALSE),"")</f>
        <v>Escobas y escobillones. Accesorio resistente y práctico, pensado para facilitar las tareas de limpieza del hogar.</v>
      </c>
      <c r="T59" t="str">
        <v>Activo</v>
      </c>
      <c r="U59" t="str">
        <v>NO</v>
      </c>
    </row>
    <row r="60">
      <c r="A60" t="str">
        <v>056</v>
      </c>
      <c r="B60" t="str">
        <v>EYE019</v>
      </c>
      <c r="C60" t="str">
        <v>EYE019</v>
      </c>
      <c r="F60" t="str">
        <v>CAT-006</v>
      </c>
      <c r="G60" t="str">
        <f>IFERROR(VLOOKUP(F60,CATÁLOGOS!$A$6:$B$105,2,FALSE),"")</f>
        <v>🧰 Accesorios y equipamiento</v>
      </c>
      <c r="H60" t="str">
        <v>SUB-011</v>
      </c>
      <c r="I60" t="str">
        <f>IFERROR(VLOOKUP(H60,CATÁLOGOS!$F$6:$H$305,3,FALSE),"")</f>
        <v>Escobas y escobillones</v>
      </c>
      <c r="J60" t="str">
        <v>Rey Laqueado</v>
      </c>
      <c r="K60" t="str">
        <v>Escobillon Rey Laqueado</v>
      </c>
      <c r="M60" t="str">
        <v>1 unidad</v>
      </c>
      <c r="N60" t="str">
        <v>EYE019.jpg</v>
      </c>
      <c r="O60" t="str">
        <v>CNT-051</v>
      </c>
      <c r="P60" t="str">
        <f>IFERROR(VLOOKUP(O60,CATÁLOGOS!$L$6:$O$305,3,FALSE),"")</f>
        <v>Escobillon Rey Laqueado. Presentación: 1 unidad. Marca Rey Laqueado.</v>
      </c>
      <c r="Q60" t="str">
        <f>IFERROR(VLOOKUP(O60,CATÁLOGOS!$L$6:$O$305,4,FALSE),"")</f>
        <v>Escobas y escobillones. Accesorio resistente y práctico, pensado para facilitar las tareas de limpieza del hogar.</v>
      </c>
      <c r="T60" t="str">
        <v>Activo</v>
      </c>
      <c r="U60" t="str">
        <v>NO</v>
      </c>
    </row>
    <row r="61">
      <c r="A61" t="str">
        <v>057</v>
      </c>
      <c r="B61" t="str">
        <v>EYE020</v>
      </c>
      <c r="C61" t="str">
        <v>EYE020</v>
      </c>
      <c r="F61" t="str">
        <v>CAT-006</v>
      </c>
      <c r="G61" t="str">
        <f>IFERROR(VLOOKUP(F61,CATÁLOGOS!$A$6:$B$105,2,FALSE),"")</f>
        <v>🧰 Accesorios y equipamiento</v>
      </c>
      <c r="H61" t="str">
        <v>SUB-011</v>
      </c>
      <c r="I61" t="str">
        <f>IFERROR(VLOOKUP(H61,CATÁLOGOS!$F$6:$H$305,3,FALSE),"")</f>
        <v>Escobas y escobillones</v>
      </c>
      <c r="J61" t="str">
        <v>bethel</v>
      </c>
      <c r="K61" t="str">
        <v>Escobillon tipo princesa laqueado</v>
      </c>
      <c r="M61" t="str">
        <v>1 unidad</v>
      </c>
      <c r="N61" t="str">
        <v>EYE020.jpg</v>
      </c>
      <c r="O61" t="str">
        <v>CNT-052</v>
      </c>
      <c r="P61" t="str">
        <f>IFERROR(VLOOKUP(O61,CATÁLOGOS!$L$6:$O$305,3,FALSE),"")</f>
        <v>Escobillon tipo princesa laqueado. Presentación: 1 unidad.</v>
      </c>
      <c r="Q61" t="str">
        <f>IFERROR(VLOOKUP(O61,CATÁLOGOS!$L$6:$O$305,4,FALSE),"")</f>
        <v>Escobas y escobillones. Accesorio resistente y práctico, pensado para facilitar las tareas de limpieza del hogar.</v>
      </c>
      <c r="T61" t="str">
        <v>Activo</v>
      </c>
      <c r="U61" t="str">
        <v>NO</v>
      </c>
    </row>
    <row r="62">
      <c r="A62" t="str">
        <v>058</v>
      </c>
      <c r="B62" t="str">
        <v>EYE021</v>
      </c>
      <c r="C62" t="str">
        <v>EYE021</v>
      </c>
      <c r="F62" t="str">
        <v>CAT-006</v>
      </c>
      <c r="G62" t="str">
        <f>IFERROR(VLOOKUP(F62,CATÁLOGOS!$A$6:$B$105,2,FALSE),"")</f>
        <v>🧰 Accesorios y equipamiento</v>
      </c>
      <c r="H62" t="str">
        <v>SUB-011</v>
      </c>
      <c r="I62" t="str">
        <f>IFERROR(VLOOKUP(H62,CATÁLOGOS!$F$6:$H$305,3,FALSE),"")</f>
        <v>Escobas y escobillones</v>
      </c>
      <c r="J62" t="str">
        <v>bethel</v>
      </c>
      <c r="K62" t="str">
        <v>Escobillon tipo barregrueso economico</v>
      </c>
      <c r="M62" t="str">
        <v>1 unidad</v>
      </c>
      <c r="N62" t="str">
        <v>EYE021.jpg</v>
      </c>
      <c r="O62" t="str">
        <v>CNT-053</v>
      </c>
      <c r="P62" t="str">
        <f>IFERROR(VLOOKUP(O62,CATÁLOGOS!$L$6:$O$305,3,FALSE),"")</f>
        <v>Escobillon tipo barregrueso economico. Presentación: 1 unidad.</v>
      </c>
      <c r="Q62" t="str">
        <f>IFERROR(VLOOKUP(O62,CATÁLOGOS!$L$6:$O$305,4,FALSE),"")</f>
        <v>Escobas y escobillones. Accesorio resistente y práctico, pensado para facilitar las tareas de limpieza del hogar.</v>
      </c>
      <c r="T62" t="str">
        <v>Activo</v>
      </c>
      <c r="U62" t="str">
        <v>NO</v>
      </c>
    </row>
    <row r="63">
      <c r="A63" t="str">
        <v>059</v>
      </c>
      <c r="B63" t="str">
        <v>EYE022</v>
      </c>
      <c r="C63" t="str">
        <v>EYE022</v>
      </c>
      <c r="F63" t="str">
        <v>CAT-006</v>
      </c>
      <c r="G63" t="str">
        <f>IFERROR(VLOOKUP(F63,CATÁLOGOS!$A$6:$B$105,2,FALSE),"")</f>
        <v>🧰 Accesorios y equipamiento</v>
      </c>
      <c r="H63" t="str">
        <v>SUB-011</v>
      </c>
      <c r="I63" t="str">
        <f>IFERROR(VLOOKUP(H63,CATÁLOGOS!$F$6:$H$305,3,FALSE),"")</f>
        <v>Escobas y escobillones</v>
      </c>
      <c r="J63" t="str">
        <v>bethel</v>
      </c>
      <c r="K63" t="str">
        <v>Escobillon tipo barregrueso salzano</v>
      </c>
      <c r="M63" t="str">
        <v>1 unidad</v>
      </c>
      <c r="N63" t="str">
        <v>EYE022.jpg</v>
      </c>
      <c r="O63" t="str">
        <v>CNT-054</v>
      </c>
      <c r="P63" t="str">
        <f>IFERROR(VLOOKUP(O63,CATÁLOGOS!$L$6:$O$305,3,FALSE),"")</f>
        <v>Escobillon tipo barregrueso salzano. Presentación: 1 unidad.</v>
      </c>
      <c r="Q63" t="str">
        <f>IFERROR(VLOOKUP(O63,CATÁLOGOS!$L$6:$O$305,4,FALSE),"")</f>
        <v>Escobas y escobillones. Accesorio resistente y práctico, pensado para facilitar las tareas de limpieza del hogar.</v>
      </c>
      <c r="T63" t="str">
        <v>Activo</v>
      </c>
      <c r="U63" t="str">
        <v>NO</v>
      </c>
    </row>
    <row r="64">
      <c r="A64" t="str">
        <v>060</v>
      </c>
      <c r="B64" t="str">
        <v>EYE023</v>
      </c>
      <c r="C64" t="str">
        <v>EYE023</v>
      </c>
      <c r="F64" t="str">
        <v>CAT-006</v>
      </c>
      <c r="G64" t="str">
        <f>IFERROR(VLOOKUP(F64,CATÁLOGOS!$A$6:$B$105,2,FALSE),"")</f>
        <v>🧰 Accesorios y equipamiento</v>
      </c>
      <c r="H64" t="str">
        <v>SUB-011</v>
      </c>
      <c r="I64" t="str">
        <f>IFERROR(VLOOKUP(H64,CATÁLOGOS!$F$6:$H$305,3,FALSE),"")</f>
        <v>Escobas y escobillones</v>
      </c>
      <c r="J64" t="str">
        <v>bethel</v>
      </c>
      <c r="K64" t="str">
        <v>Escobillon de tipo gondola</v>
      </c>
      <c r="M64" t="str">
        <v>1 unidad</v>
      </c>
      <c r="N64" t="str">
        <v>EYE023.jpg</v>
      </c>
      <c r="O64" t="str">
        <v>CNT-055</v>
      </c>
      <c r="P64" t="str">
        <f>IFERROR(VLOOKUP(O64,CATÁLOGOS!$L$6:$O$305,3,FALSE),"")</f>
        <v>Escobillon de tipo gondola. Presentación: 1 unidad.</v>
      </c>
      <c r="Q64" t="str">
        <f>IFERROR(VLOOKUP(O64,CATÁLOGOS!$L$6:$O$305,4,FALSE),"")</f>
        <v>Escobas y escobillones. Accesorio resistente y práctico, pensado para facilitar las tareas de limpieza del hogar.</v>
      </c>
      <c r="T64" t="str">
        <v>Activo</v>
      </c>
      <c r="U64" t="str">
        <v>NO</v>
      </c>
    </row>
    <row r="65">
      <c r="A65" t="str">
        <v>061</v>
      </c>
      <c r="B65" t="str">
        <v>EYE024</v>
      </c>
      <c r="C65" t="str">
        <v>EYE024</v>
      </c>
      <c r="F65" t="str">
        <v>CAT-006</v>
      </c>
      <c r="G65" t="str">
        <f>IFERROR(VLOOKUP(F65,CATÁLOGOS!$A$6:$B$105,2,FALSE),"")</f>
        <v>🧰 Accesorios y equipamiento</v>
      </c>
      <c r="H65" t="str">
        <v>SUB-011</v>
      </c>
      <c r="I65" t="str">
        <f>IFERROR(VLOOKUP(H65,CATÁLOGOS!$F$6:$H$305,3,FALSE),"")</f>
        <v>Escobas y escobillones</v>
      </c>
      <c r="J65" t="str">
        <v>bethel</v>
      </c>
      <c r="K65" t="str">
        <v>Escobillon de tipo Barrendero Salzano</v>
      </c>
      <c r="M65" t="str">
        <v>1 unidad</v>
      </c>
      <c r="N65" t="str">
        <v>EYE024.jpg</v>
      </c>
      <c r="O65" t="str">
        <v>CNT-056</v>
      </c>
      <c r="P65" t="str">
        <f>IFERROR(VLOOKUP(O65,CATÁLOGOS!$L$6:$O$305,3,FALSE),"")</f>
        <v>Escobillon de tipo Barrendero Salzano. Presentación: 1 unidad.</v>
      </c>
      <c r="Q65" t="str">
        <f>IFERROR(VLOOKUP(O65,CATÁLOGOS!$L$6:$O$305,4,FALSE),"")</f>
        <v>Escobas y escobillones. Accesorio resistente y práctico, pensado para facilitar las tareas de limpieza del hogar.</v>
      </c>
      <c r="T65" t="str">
        <v>Activo</v>
      </c>
      <c r="U65" t="str">
        <v>NO</v>
      </c>
    </row>
    <row r="66">
      <c r="A66" t="str">
        <v>062</v>
      </c>
      <c r="B66" t="str">
        <v>EYE025</v>
      </c>
      <c r="C66" t="str">
        <v>EYE025</v>
      </c>
      <c r="F66" t="str">
        <v>CAT-006</v>
      </c>
      <c r="G66" t="str">
        <f>IFERROR(VLOOKUP(F66,CATÁLOGOS!$A$6:$B$105,2,FALSE),"")</f>
        <v>🧰 Accesorios y equipamiento</v>
      </c>
      <c r="H66" t="str">
        <v>SUB-011</v>
      </c>
      <c r="I66" t="str">
        <f>IFERROR(VLOOKUP(H66,CATÁLOGOS!$F$6:$H$305,3,FALSE),"")</f>
        <v>Escobas y escobillones</v>
      </c>
      <c r="J66" t="str">
        <v>bethel</v>
      </c>
      <c r="K66" t="str">
        <v>Escobillon bigote (cerda) Salzano</v>
      </c>
      <c r="M66" t="str">
        <v>1 unidad</v>
      </c>
      <c r="N66" t="str">
        <v>EYE025.jpg</v>
      </c>
      <c r="O66" t="str">
        <v>CNT-057</v>
      </c>
      <c r="P66" t="str">
        <f>IFERROR(VLOOKUP(O66,CATÁLOGOS!$L$6:$O$305,3,FALSE),"")</f>
        <v>Escobillon bigote (cerda) Salzano. Presentación: 1 unidad.</v>
      </c>
      <c r="Q66" t="str">
        <f>IFERROR(VLOOKUP(O66,CATÁLOGOS!$L$6:$O$305,4,FALSE),"")</f>
        <v>Escobas y escobillones. Accesorio resistente y práctico, pensado para facilitar las tareas de limpieza del hogar.</v>
      </c>
      <c r="T66" t="str">
        <v>Activo</v>
      </c>
      <c r="U66" t="str">
        <v>NO</v>
      </c>
    </row>
    <row r="67">
      <c r="A67" t="str">
        <v>063</v>
      </c>
      <c r="B67" t="str">
        <v>EYE026</v>
      </c>
      <c r="C67" t="str">
        <v>EYE026</v>
      </c>
      <c r="F67" t="str">
        <v>CAT-006</v>
      </c>
      <c r="G67" t="str">
        <f>IFERROR(VLOOKUP(F67,CATÁLOGOS!$A$6:$B$105,2,FALSE),"")</f>
        <v>🧰 Accesorios y equipamiento</v>
      </c>
      <c r="H67" t="str">
        <v>SUB-011</v>
      </c>
      <c r="I67" t="str">
        <f>IFERROR(VLOOKUP(H67,CATÁLOGOS!$F$6:$H$305,3,FALSE),"")</f>
        <v>Escobas y escobillones</v>
      </c>
      <c r="J67" t="str">
        <v>bethel</v>
      </c>
      <c r="K67" t="str">
        <v>Escobillon de tipo golf</v>
      </c>
      <c r="M67" t="str">
        <v>1 unidad</v>
      </c>
      <c r="N67" t="str">
        <v>EYE026.jpg</v>
      </c>
      <c r="O67" t="str">
        <v>CNT-058</v>
      </c>
      <c r="P67" t="str">
        <f>IFERROR(VLOOKUP(O67,CATÁLOGOS!$L$6:$O$305,3,FALSE),"")</f>
        <v>Escobillon de tipo golf. Presentación: 1 unidad.</v>
      </c>
      <c r="Q67" t="str">
        <f>IFERROR(VLOOKUP(O67,CATÁLOGOS!$L$6:$O$305,4,FALSE),"")</f>
        <v>Escobas y escobillones. Accesorio resistente y práctico, pensado para facilitar las tareas de limpieza del hogar.</v>
      </c>
      <c r="T67" t="str">
        <v>Activo</v>
      </c>
      <c r="U67" t="str">
        <v>NO</v>
      </c>
    </row>
    <row r="68">
      <c r="A68" t="str">
        <v>064</v>
      </c>
      <c r="B68" t="str">
        <v>EYE027</v>
      </c>
      <c r="C68" t="str">
        <v>EYE027</v>
      </c>
      <c r="F68" t="str">
        <v>CAT-006</v>
      </c>
      <c r="G68" t="str">
        <f>IFERROR(VLOOKUP(F68,CATÁLOGOS!$A$6:$B$105,2,FALSE),"")</f>
        <v>🧰 Accesorios y equipamiento</v>
      </c>
      <c r="H68" t="str">
        <v>SUB-011</v>
      </c>
      <c r="I68" t="str">
        <f>IFERROR(VLOOKUP(H68,CATÁLOGOS!$F$6:$H$305,3,FALSE),"")</f>
        <v>Escobas y escobillones</v>
      </c>
      <c r="J68" t="str">
        <v>bethel</v>
      </c>
      <c r="K68" t="str">
        <v>Escobillon Italia Salzano</v>
      </c>
      <c r="M68" t="str">
        <v>1 unidad</v>
      </c>
      <c r="N68" t="str">
        <v>EYE027.jpg</v>
      </c>
      <c r="O68" t="str">
        <v>CNT-059</v>
      </c>
      <c r="P68" t="str">
        <f>IFERROR(VLOOKUP(O68,CATÁLOGOS!$L$6:$O$305,3,FALSE),"")</f>
        <v>Escobillon Italia Salzano. Presentación: 1 unidad.</v>
      </c>
      <c r="Q68" t="str">
        <f>IFERROR(VLOOKUP(O68,CATÁLOGOS!$L$6:$O$305,4,FALSE),"")</f>
        <v>Escobas y escobillones. Accesorio resistente y práctico, pensado para facilitar las tareas de limpieza del hogar.</v>
      </c>
      <c r="T68" t="str">
        <v>Activo</v>
      </c>
      <c r="U68" t="str">
        <v>NO</v>
      </c>
    </row>
    <row r="69">
      <c r="A69" t="str">
        <v>065</v>
      </c>
      <c r="B69" t="str">
        <v>EYE028</v>
      </c>
      <c r="C69" t="str">
        <v>EYE028</v>
      </c>
      <c r="F69" t="str">
        <v>CAT-006</v>
      </c>
      <c r="G69" t="str">
        <f>IFERROR(VLOOKUP(F69,CATÁLOGOS!$A$6:$B$105,2,FALSE),"")</f>
        <v>🧰 Accesorios y equipamiento</v>
      </c>
      <c r="H69" t="str">
        <v>SUB-011</v>
      </c>
      <c r="I69" t="str">
        <f>IFERROR(VLOOKUP(H69,CATÁLOGOS!$F$6:$H$305,3,FALSE),"")</f>
        <v>Escobas y escobillones</v>
      </c>
      <c r="J69" t="str">
        <v>bethel</v>
      </c>
      <c r="K69" t="str">
        <v>Escobillon Martina Salzano</v>
      </c>
      <c r="M69" t="str">
        <v>1 unidad</v>
      </c>
      <c r="N69" t="str">
        <v>EYE028.jpg</v>
      </c>
      <c r="O69" t="str">
        <v>CNT-060</v>
      </c>
      <c r="P69" t="str">
        <f>IFERROR(VLOOKUP(O69,CATÁLOGOS!$L$6:$O$305,3,FALSE),"")</f>
        <v>Escobillon Martina Salzano. Presentación: 1 unidad.</v>
      </c>
      <c r="Q69" t="str">
        <f>IFERROR(VLOOKUP(O69,CATÁLOGOS!$L$6:$O$305,4,FALSE),"")</f>
        <v>Escobas y escobillones. Accesorio resistente y práctico, pensado para facilitar las tareas de limpieza del hogar.</v>
      </c>
      <c r="T69" t="str">
        <v>Activo</v>
      </c>
      <c r="U69" t="str">
        <v>NO</v>
      </c>
    </row>
    <row r="70">
      <c r="A70" t="str">
        <v>066</v>
      </c>
      <c r="B70" t="str">
        <v>EYE029</v>
      </c>
      <c r="C70" t="str">
        <v>EYE029</v>
      </c>
      <c r="F70" t="str">
        <v>CAT-006</v>
      </c>
      <c r="G70" t="str">
        <f>IFERROR(VLOOKUP(F70,CATÁLOGOS!$A$6:$B$105,2,FALSE),"")</f>
        <v>🧰 Accesorios y equipamiento</v>
      </c>
      <c r="H70" t="str">
        <v>SUB-011</v>
      </c>
      <c r="I70" t="str">
        <f>IFERROR(VLOOKUP(H70,CATÁLOGOS!$F$6:$H$305,3,FALSE),"")</f>
        <v>Escobas y escobillones</v>
      </c>
      <c r="J70" t="str">
        <v>bethel</v>
      </c>
      <c r="K70" t="str">
        <v>Escobillon Super Gondola</v>
      </c>
      <c r="M70" t="str">
        <v>1 unidad</v>
      </c>
      <c r="N70" t="str">
        <v>EYE029.jpg</v>
      </c>
      <c r="O70" t="str">
        <v>CNT-061</v>
      </c>
      <c r="P70" t="str">
        <f>IFERROR(VLOOKUP(O70,CATÁLOGOS!$L$6:$O$305,3,FALSE),"")</f>
        <v>Escobillon Super Gondola. Presentación: 1 unidad.</v>
      </c>
      <c r="Q70" t="str">
        <f>IFERROR(VLOOKUP(O70,CATÁLOGOS!$L$6:$O$305,4,FALSE),"")</f>
        <v>Escobas y escobillones. Accesorio resistente y práctico, pensado para facilitar las tareas de limpieza del hogar.</v>
      </c>
      <c r="T70" t="str">
        <v>Activo</v>
      </c>
      <c r="U70" t="str">
        <v>NO</v>
      </c>
    </row>
    <row r="71">
      <c r="A71" t="str">
        <v>067</v>
      </c>
      <c r="B71" t="str">
        <v>EYE030</v>
      </c>
      <c r="C71" t="str">
        <v>EYE030</v>
      </c>
      <c r="F71" t="str">
        <v>CAT-006</v>
      </c>
      <c r="G71" t="str">
        <f>IFERROR(VLOOKUP(F71,CATÁLOGOS!$A$6:$B$105,2,FALSE),"")</f>
        <v>🧰 Accesorios y equipamiento</v>
      </c>
      <c r="H71" t="str">
        <v>SUB-011</v>
      </c>
      <c r="I71" t="str">
        <f>IFERROR(VLOOKUP(H71,CATÁLOGOS!$F$6:$H$305,3,FALSE),"")</f>
        <v>Escobas y escobillones</v>
      </c>
      <c r="J71" t="str">
        <v>bethel</v>
      </c>
      <c r="K71" t="str">
        <v>Escobillon Super Panda</v>
      </c>
      <c r="M71" t="str">
        <v>1 unidad</v>
      </c>
      <c r="N71" t="str">
        <v>EYE030.jpg</v>
      </c>
      <c r="O71" t="str">
        <v>CNT-062</v>
      </c>
      <c r="P71" t="str">
        <f>IFERROR(VLOOKUP(O71,CATÁLOGOS!$L$6:$O$305,3,FALSE),"")</f>
        <v>Escobillon Super Panda. Presentación: 1 unidad.</v>
      </c>
      <c r="Q71" t="str">
        <f>IFERROR(VLOOKUP(O71,CATÁLOGOS!$L$6:$O$305,4,FALSE),"")</f>
        <v>Escobas y escobillones. Accesorio resistente y práctico, pensado para facilitar las tareas de limpieza del hogar.</v>
      </c>
      <c r="T71" t="str">
        <v>Activo</v>
      </c>
      <c r="U71" t="str">
        <v>NO</v>
      </c>
    </row>
    <row r="72">
      <c r="A72" t="str">
        <v>068</v>
      </c>
      <c r="B72" t="str">
        <v>EYE031</v>
      </c>
      <c r="C72" t="str">
        <v>EYE031</v>
      </c>
      <c r="F72" t="str">
        <v>CAT-006</v>
      </c>
      <c r="G72" t="str">
        <f>IFERROR(VLOOKUP(F72,CATÁLOGOS!$A$6:$B$105,2,FALSE),"")</f>
        <v>🧰 Accesorios y equipamiento</v>
      </c>
      <c r="H72" t="str">
        <v>SUB-011</v>
      </c>
      <c r="I72" t="str">
        <f>IFERROR(VLOOKUP(H72,CATÁLOGOS!$F$6:$H$305,3,FALSE),"")</f>
        <v>Escobas y escobillones</v>
      </c>
      <c r="J72" t="str">
        <v>bethel</v>
      </c>
      <c r="K72" t="str">
        <v>Escobillon Venecia Salzano</v>
      </c>
      <c r="M72" t="str">
        <v>1 unidad</v>
      </c>
      <c r="N72" t="str">
        <v>EYE031.jpg</v>
      </c>
      <c r="O72" t="str">
        <v>CNT-063</v>
      </c>
      <c r="P72" t="str">
        <f>IFERROR(VLOOKUP(O72,CATÁLOGOS!$L$6:$O$305,3,FALSE),"")</f>
        <v>Escobillon Venecia Salzano. Presentación: 1 unidad.</v>
      </c>
      <c r="Q72" t="str">
        <f>IFERROR(VLOOKUP(O72,CATÁLOGOS!$L$6:$O$305,4,FALSE),"")</f>
        <v>Escobas y escobillones. Accesorio resistente y práctico, pensado para facilitar las tareas de limpieza del hogar.</v>
      </c>
      <c r="T72" t="str">
        <v>Activo</v>
      </c>
      <c r="U72" t="str">
        <v>NO</v>
      </c>
    </row>
    <row r="73">
      <c r="A73" t="str">
        <v>069</v>
      </c>
      <c r="B73" t="str">
        <v>EYE032</v>
      </c>
      <c r="C73" t="str">
        <v>EYE032</v>
      </c>
      <c r="F73" t="str">
        <v>CAT-006</v>
      </c>
      <c r="G73" t="str">
        <f>IFERROR(VLOOKUP(F73,CATÁLOGOS!$A$6:$B$105,2,FALSE),"")</f>
        <v>🧰 Accesorios y equipamiento</v>
      </c>
      <c r="H73" t="str">
        <v>SUB-011</v>
      </c>
      <c r="I73" t="str">
        <f>IFERROR(VLOOKUP(H73,CATÁLOGOS!$F$6:$H$305,3,FALSE),"")</f>
        <v>Escobas y escobillones</v>
      </c>
      <c r="J73" t="str">
        <v>bethel</v>
      </c>
      <c r="K73" t="str">
        <v>Globo de Techo Make</v>
      </c>
      <c r="M73" t="str">
        <v>1 unidad</v>
      </c>
      <c r="N73" t="str">
        <v>EYE032.jpg</v>
      </c>
      <c r="O73" t="str">
        <v>CNT-064</v>
      </c>
      <c r="P73" t="str">
        <f>IFERROR(VLOOKUP(O73,CATÁLOGOS!$L$6:$O$305,3,FALSE),"")</f>
        <v>Globo de Techo Make. Presentación: 1 unidad.</v>
      </c>
      <c r="Q73" t="str">
        <f>IFERROR(VLOOKUP(O73,CATÁLOGOS!$L$6:$O$305,4,FALSE),"")</f>
        <v>Escobas y escobillones. Accesorio resistente y práctico, pensado para facilitar las tareas de limpieza del hogar.</v>
      </c>
      <c r="T73" t="str">
        <v>Activo</v>
      </c>
      <c r="U73" t="str">
        <v>NO</v>
      </c>
    </row>
    <row r="74">
      <c r="A74" t="str">
        <v>070</v>
      </c>
      <c r="B74" t="str">
        <v>EYE033</v>
      </c>
      <c r="C74" t="str">
        <v>EYE033</v>
      </c>
      <c r="F74" t="str">
        <v>CAT-006</v>
      </c>
      <c r="G74" t="str">
        <f>IFERROR(VLOOKUP(F74,CATÁLOGOS!$A$6:$B$105,2,FALSE),"")</f>
        <v>🧰 Accesorios y equipamiento</v>
      </c>
      <c r="H74" t="str">
        <v>SUB-011</v>
      </c>
      <c r="I74" t="str">
        <f>IFERROR(VLOOKUP(H74,CATÁLOGOS!$F$6:$H$305,3,FALSE),"")</f>
        <v>Escobas y escobillones</v>
      </c>
      <c r="J74" t="str">
        <v>bethel</v>
      </c>
      <c r="K74" t="str">
        <v>Globo de Techo Punky</v>
      </c>
      <c r="M74" t="str">
        <v>1 unidad</v>
      </c>
      <c r="N74" t="str">
        <v>EYE033.jpg</v>
      </c>
      <c r="O74" t="str">
        <v>CNT-065</v>
      </c>
      <c r="P74" t="str">
        <f>IFERROR(VLOOKUP(O74,CATÁLOGOS!$L$6:$O$305,3,FALSE),"")</f>
        <v>Globo de Techo Punky. Presentación: 1 unidad.</v>
      </c>
      <c r="Q74" t="str">
        <f>IFERROR(VLOOKUP(O74,CATÁLOGOS!$L$6:$O$305,4,FALSE),"")</f>
        <v>Escobas y escobillones. Accesorio resistente y práctico, pensado para facilitar las tareas de limpieza del hogar.</v>
      </c>
      <c r="T74" t="str">
        <v>Activo</v>
      </c>
      <c r="U74" t="str">
        <v>NO</v>
      </c>
    </row>
    <row r="75">
      <c r="A75" t="str">
        <v>071</v>
      </c>
      <c r="B75" t="str">
        <v>EYE034</v>
      </c>
      <c r="C75" t="str">
        <v>EYE034</v>
      </c>
      <c r="D75" t="str">
        <v>EYE-BARREDOR</v>
      </c>
      <c r="E75" t="str">
        <v>35 CM</v>
      </c>
      <c r="F75" t="str">
        <v>CAT-006</v>
      </c>
      <c r="G75" t="str">
        <f>IFERROR(VLOOKUP(F75,CATÁLOGOS!$A$6:$B$105,2,FALSE),"")</f>
        <v>🧰 Accesorios y equipamiento</v>
      </c>
      <c r="H75" t="str">
        <v>SUB-011</v>
      </c>
      <c r="I75" t="str">
        <f>IFERROR(VLOOKUP(H75,CATÁLOGOS!$F$6:$H$305,3,FALSE),"")</f>
        <v>Escobas y escobillones</v>
      </c>
      <c r="J75" t="str">
        <v>bethel</v>
      </c>
      <c r="K75" t="str">
        <v>Repuesto barredor</v>
      </c>
      <c r="M75" t="str">
        <v>1 unidad</v>
      </c>
      <c r="N75" t="str">
        <v>EYE034.jpg</v>
      </c>
      <c r="O75" t="str">
        <v>CNT-066</v>
      </c>
      <c r="P75" t="str">
        <f>IFERROR(VLOOKUP(O75,CATÁLOGOS!$L$6:$O$305,3,FALSE),"")</f>
        <v>Repuesto barredor. Presentación: 1 unidad.</v>
      </c>
      <c r="Q75" t="str">
        <f>IFERROR(VLOOKUP(O75,CATÁLOGOS!$L$6:$O$305,4,FALSE),"")</f>
        <v>Escobas y escobillones. Accesorio resistente y práctico, pensado para facilitar las tareas de limpieza del hogar.</v>
      </c>
      <c r="T75" t="str">
        <v>Activo</v>
      </c>
      <c r="U75" t="str">
        <v>NO</v>
      </c>
    </row>
    <row r="76">
      <c r="A76" t="str">
        <v>072</v>
      </c>
      <c r="B76" t="str">
        <v>EYE035</v>
      </c>
      <c r="C76" t="str">
        <v>EYE035</v>
      </c>
      <c r="D76" t="str">
        <v>EYE-BARREDOR</v>
      </c>
      <c r="E76" t="str">
        <v>60 CM</v>
      </c>
      <c r="F76" t="str">
        <v>CAT-006</v>
      </c>
      <c r="G76" t="str">
        <f>IFERROR(VLOOKUP(F76,CATÁLOGOS!$A$6:$B$105,2,FALSE),"")</f>
        <v>🧰 Accesorios y equipamiento</v>
      </c>
      <c r="H76" t="str">
        <v>SUB-011</v>
      </c>
      <c r="I76" t="str">
        <f>IFERROR(VLOOKUP(H76,CATÁLOGOS!$F$6:$H$305,3,FALSE),"")</f>
        <v>Escobas y escobillones</v>
      </c>
      <c r="J76" t="str">
        <v>bethel</v>
      </c>
      <c r="K76" t="str">
        <v>Repuesto barredor</v>
      </c>
      <c r="M76" t="str">
        <v>1 unidad</v>
      </c>
      <c r="N76" t="str">
        <v>EYE035.jpg</v>
      </c>
      <c r="O76" t="str">
        <v>CNT-066</v>
      </c>
      <c r="P76" t="str">
        <f>IFERROR(VLOOKUP(O76,CATÁLOGOS!$L$6:$O$305,3,FALSE),"")</f>
        <v>Repuesto barredor. Presentación: 1 unidad.</v>
      </c>
      <c r="Q76" t="str">
        <f>IFERROR(VLOOKUP(O76,CATÁLOGOS!$L$6:$O$305,4,FALSE),"")</f>
        <v>Escobas y escobillones. Accesorio resistente y práctico, pensado para facilitar las tareas de limpieza del hogar.</v>
      </c>
      <c r="T76" t="str">
        <v>Activo</v>
      </c>
      <c r="U76" t="str">
        <v>NO</v>
      </c>
    </row>
    <row r="77">
      <c r="A77" t="str">
        <v>073</v>
      </c>
      <c r="B77" t="str">
        <v>EYE036</v>
      </c>
      <c r="C77" t="str">
        <v>EYE036</v>
      </c>
      <c r="D77" t="str">
        <v>EYE-BARREDOR</v>
      </c>
      <c r="E77" t="str">
        <v>80 CM</v>
      </c>
      <c r="F77" t="str">
        <v>CAT-006</v>
      </c>
      <c r="G77" t="str">
        <f>IFERROR(VLOOKUP(F77,CATÁLOGOS!$A$6:$B$105,2,FALSE),"")</f>
        <v>🧰 Accesorios y equipamiento</v>
      </c>
      <c r="H77" t="str">
        <v>SUB-011</v>
      </c>
      <c r="I77" t="str">
        <f>IFERROR(VLOOKUP(H77,CATÁLOGOS!$F$6:$H$305,3,FALSE),"")</f>
        <v>Escobas y escobillones</v>
      </c>
      <c r="J77" t="str">
        <v>bethel</v>
      </c>
      <c r="K77" t="str">
        <v>Repuesto barredor</v>
      </c>
      <c r="M77" t="str">
        <v>1 unidad</v>
      </c>
      <c r="N77" t="str">
        <v>EYE036.jpg</v>
      </c>
      <c r="O77" t="str">
        <v>CNT-066</v>
      </c>
      <c r="P77" t="str">
        <f>IFERROR(VLOOKUP(O77,CATÁLOGOS!$L$6:$O$305,3,FALSE),"")</f>
        <v>Repuesto barredor. Presentación: 1 unidad.</v>
      </c>
      <c r="Q77" t="str">
        <f>IFERROR(VLOOKUP(O77,CATÁLOGOS!$L$6:$O$305,4,FALSE),"")</f>
        <v>Escobas y escobillones. Accesorio resistente y práctico, pensado para facilitar las tareas de limpieza del hogar.</v>
      </c>
      <c r="T77" t="str">
        <v>Activo</v>
      </c>
      <c r="U77" t="str">
        <v>NO</v>
      </c>
    </row>
    <row r="78">
      <c r="A78" t="str">
        <v>074</v>
      </c>
      <c r="B78" t="str">
        <v>EYE037</v>
      </c>
      <c r="C78" t="str">
        <v>EYE037</v>
      </c>
      <c r="D78" t="str">
        <v>EYE-BARREDOR</v>
      </c>
      <c r="E78" t="str">
        <v>100 CM</v>
      </c>
      <c r="F78" t="str">
        <v>CAT-006</v>
      </c>
      <c r="G78" t="str">
        <f>IFERROR(VLOOKUP(F78,CATÁLOGOS!$A$6:$B$105,2,FALSE),"")</f>
        <v>🧰 Accesorios y equipamiento</v>
      </c>
      <c r="H78" t="str">
        <v>SUB-011</v>
      </c>
      <c r="I78" t="str">
        <f>IFERROR(VLOOKUP(H78,CATÁLOGOS!$F$6:$H$305,3,FALSE),"")</f>
        <v>Escobas y escobillones</v>
      </c>
      <c r="J78" t="str">
        <v>bethel</v>
      </c>
      <c r="K78" t="str">
        <v>Repuesto barredor</v>
      </c>
      <c r="M78" t="str">
        <v>1 unidad</v>
      </c>
      <c r="N78" t="str">
        <v>EYE037.jpg</v>
      </c>
      <c r="O78" t="str">
        <v>CNT-066</v>
      </c>
      <c r="P78" t="str">
        <f>IFERROR(VLOOKUP(O78,CATÁLOGOS!$L$6:$O$305,3,FALSE),"")</f>
        <v>Repuesto barredor. Presentación: 1 unidad.</v>
      </c>
      <c r="Q78" t="str">
        <f>IFERROR(VLOOKUP(O78,CATÁLOGOS!$L$6:$O$305,4,FALSE),"")</f>
        <v>Escobas y escobillones. Accesorio resistente y práctico, pensado para facilitar las tareas de limpieza del hogar.</v>
      </c>
      <c r="T78" t="str">
        <v>Activo</v>
      </c>
      <c r="U78" t="str">
        <v>NO</v>
      </c>
    </row>
    <row r="79">
      <c r="A79" t="str">
        <v>075</v>
      </c>
      <c r="B79" t="str">
        <v>EYE038</v>
      </c>
      <c r="C79" t="str">
        <v>EYE038</v>
      </c>
      <c r="F79" t="str">
        <v>CAT-006</v>
      </c>
      <c r="G79" t="str">
        <f>IFERROR(VLOOKUP(F79,CATÁLOGOS!$A$6:$B$105,2,FALSE),"")</f>
        <v>🧰 Accesorios y equipamiento</v>
      </c>
      <c r="H79" t="str">
        <v>SUB-011</v>
      </c>
      <c r="I79" t="str">
        <f>IFERROR(VLOOKUP(H79,CATÁLOGOS!$F$6:$H$305,3,FALSE),"")</f>
        <v>Escobas y escobillones</v>
      </c>
      <c r="J79" t="str">
        <v>bethel</v>
      </c>
      <c r="K79" t="str">
        <v>Quita Pelusa Make</v>
      </c>
      <c r="M79" t="str">
        <v>1 unidad</v>
      </c>
      <c r="N79" t="str">
        <v>EYE038.jpg</v>
      </c>
      <c r="O79" t="str">
        <v>CNT-067</v>
      </c>
      <c r="P79" t="str">
        <f>IFERROR(VLOOKUP(O79,CATÁLOGOS!$L$6:$O$305,3,FALSE),"")</f>
        <v>Quita Pelusa Make. Presentación: 1 unidad.</v>
      </c>
      <c r="Q79" t="str">
        <f>IFERROR(VLOOKUP(O79,CATÁLOGOS!$L$6:$O$305,4,FALSE),"")</f>
        <v>Escobas y escobillones. Accesorio resistente y práctico, pensado para facilitar las tareas de limpieza del hogar.</v>
      </c>
      <c r="T79" t="str">
        <v>Activo</v>
      </c>
      <c r="U79" t="str">
        <v>NO</v>
      </c>
    </row>
    <row r="80">
      <c r="A80" t="str">
        <v>076</v>
      </c>
      <c r="B80" t="str">
        <v>AUT001</v>
      </c>
      <c r="C80" t="str">
        <v>AUT001</v>
      </c>
      <c r="F80" t="str">
        <v>CAT-007</v>
      </c>
      <c r="G80" t="str">
        <f>IFERROR(VLOOKUP(F80,CATÁLOGOS!$A$6:$B$105,2,FALSE),"")</f>
        <v>🚗 Automotor</v>
      </c>
      <c r="H80" t="str">
        <v>SUB-012</v>
      </c>
      <c r="I80" t="str">
        <f>IFERROR(VLOOKUP(H80,CATÁLOGOS!$F$6:$H$305,3,FALSE),"")</f>
        <v>Bruja</v>
      </c>
      <c r="J80" t="str">
        <v>bethel</v>
      </c>
      <c r="K80" t="str">
        <v>Limpiador Tipo "Bruja"</v>
      </c>
      <c r="M80" t="str">
        <v>1 unidad</v>
      </c>
      <c r="N80" t="str">
        <v>AUT001.jpg</v>
      </c>
      <c r="O80" t="str">
        <v>CNT-068</v>
      </c>
      <c r="P80" t="str">
        <f>IFERROR(VLOOKUP(O80,CATÁLOGOS!$L$6:$O$305,3,FALSE),"")</f>
        <v>Limpiador Tipo "Bruja". Presentación: 1 unidad.</v>
      </c>
      <c r="Q80" t="str">
        <f>IFERROR(VLOOKUP(O80,CATÁLOGOS!$L$6:$O$305,4,FALSE),"")</f>
        <v>Bruja. Cuida y da brillo a las superficies del vehículo, prolongando su buen aspecto.</v>
      </c>
      <c r="T80" t="str">
        <v>Activo</v>
      </c>
      <c r="U80" t="str">
        <v>NO</v>
      </c>
    </row>
    <row r="81">
      <c r="A81" t="str">
        <v>077</v>
      </c>
      <c r="B81" t="str">
        <v>AUT002</v>
      </c>
      <c r="C81" t="str">
        <v>AUT002</v>
      </c>
      <c r="F81" t="str">
        <v>CAT-007</v>
      </c>
      <c r="G81" t="str">
        <f>IFERROR(VLOOKUP(F81,CATÁLOGOS!$A$6:$B$105,2,FALSE),"")</f>
        <v>🚗 Automotor</v>
      </c>
      <c r="H81" t="str">
        <v>SUB-013</v>
      </c>
      <c r="I81" t="str">
        <f>IFERROR(VLOOKUP(H81,CATÁLOGOS!$F$6:$H$305,3,FALSE),"")</f>
        <v>Esponja</v>
      </c>
      <c r="J81" t="str">
        <v>bethel</v>
      </c>
      <c r="K81" t="str">
        <v>Esponja para auto</v>
      </c>
      <c r="M81" t="str">
        <v>1 unidad</v>
      </c>
      <c r="N81" t="str">
        <v>AUT002.jpg</v>
      </c>
      <c r="O81" t="str">
        <v>CNT-069</v>
      </c>
      <c r="P81" t="str">
        <f>IFERROR(VLOOKUP(O81,CATÁLOGOS!$L$6:$O$305,3,FALSE),"")</f>
        <v>Esponja para auto. Presentación: 1 unidad.</v>
      </c>
      <c r="Q81" t="str">
        <f>IFERROR(VLOOKUP(O81,CATÁLOGOS!$L$6:$O$305,4,FALSE),"")</f>
        <v>Esponja. Cuida y da brillo a las superficies del vehículo, prolongando su buen aspecto.</v>
      </c>
      <c r="T81" t="str">
        <v>Activo</v>
      </c>
      <c r="U81" t="str">
        <v>NO</v>
      </c>
    </row>
    <row r="82">
      <c r="A82" t="str">
        <v>078</v>
      </c>
      <c r="B82" t="str">
        <v>AUT003</v>
      </c>
      <c r="C82" t="str">
        <v>AUT003</v>
      </c>
      <c r="F82" t="str">
        <v>CAT-007</v>
      </c>
      <c r="G82" t="str">
        <f>IFERROR(VLOOKUP(F82,CATÁLOGOS!$A$6:$B$105,2,FALSE),"")</f>
        <v>🚗 Automotor</v>
      </c>
      <c r="H82" t="str">
        <v>SUB-014</v>
      </c>
      <c r="I82" t="str">
        <f>IFERROR(VLOOKUP(H82,CATÁLOGOS!$F$6:$H$305,3,FALSE),"")</f>
        <v>Silicona</v>
      </c>
      <c r="J82" t="str">
        <v>bethel</v>
      </c>
      <c r="K82" t="str">
        <v>Silicona para auto por litro</v>
      </c>
      <c r="M82" t="str">
        <v>1 unidad</v>
      </c>
      <c r="N82" t="str">
        <v>AUT003.jpg</v>
      </c>
      <c r="O82" t="str">
        <v>CNT-070</v>
      </c>
      <c r="P82" t="str">
        <f>IFERROR(VLOOKUP(O82,CATÁLOGOS!$L$6:$O$305,3,FALSE),"")</f>
        <v>Silicona para auto por litro. Presentación: 1 unidad.</v>
      </c>
      <c r="Q82" t="str">
        <f>IFERROR(VLOOKUP(O82,CATÁLOGOS!$L$6:$O$305,4,FALSE),"")</f>
        <v>Silicona. Cuida y da brillo a las superficies del vehículo, prolongando su buen aspecto.</v>
      </c>
      <c r="T82" t="str">
        <v>Activo</v>
      </c>
      <c r="U82" t="str">
        <v>NO</v>
      </c>
    </row>
    <row r="83">
      <c r="A83" t="str">
        <v>079</v>
      </c>
      <c r="B83" t="str">
        <v>AUT004</v>
      </c>
      <c r="C83" t="str">
        <v>AUT004</v>
      </c>
      <c r="D83" t="str">
        <v>AUT-SILICONA-AEROSOL</v>
      </c>
      <c r="E83" t="str">
        <v>Black</v>
      </c>
      <c r="F83" t="str">
        <v>CAT-007</v>
      </c>
      <c r="G83" t="str">
        <f>IFERROR(VLOOKUP(F83,CATÁLOGOS!$A$6:$B$105,2,FALSE),"")</f>
        <v>🚗 Automotor</v>
      </c>
      <c r="H83" t="str">
        <v>SUB-015</v>
      </c>
      <c r="I83" t="str">
        <f>IFERROR(VLOOKUP(H83,CATÁLOGOS!$F$6:$H$305,3,FALSE),"")</f>
        <v>Silicona en Aerosol</v>
      </c>
      <c r="J83" t="str">
        <v>Walker</v>
      </c>
      <c r="K83" t="str">
        <v>Silicona en Aerosol</v>
      </c>
      <c r="L83" t="str">
        <v>Black</v>
      </c>
      <c r="M83" t="str">
        <v>1 unidad</v>
      </c>
      <c r="N83" t="str">
        <v>AUT004.jpg</v>
      </c>
      <c r="O83" t="str">
        <v>CNT-071</v>
      </c>
      <c r="P83" t="str">
        <f>IFERROR(VLOOKUP(O83,CATÁLOGOS!$L$6:$O$305,3,FALSE),"")</f>
        <v>Silicona en Aerosol. Presentación: 1 unidad. Marca Walker. Fragancia: Black.</v>
      </c>
      <c r="Q83" t="str">
        <f>IFERROR(VLOOKUP(O83,CATÁLOGOS!$L$6:$O$305,4,FALSE),"")</f>
        <v>Silicona en Aerosol. Cuida y da brillo a las superficies del vehículo, prolongando su buen aspecto.</v>
      </c>
      <c r="T83" t="str">
        <v>Activo</v>
      </c>
      <c r="U83" t="str">
        <v>NO</v>
      </c>
    </row>
    <row r="84">
      <c r="A84" t="str">
        <v>080</v>
      </c>
      <c r="B84" t="str">
        <v>AUT005</v>
      </c>
      <c r="C84" t="str">
        <v>AUT005</v>
      </c>
      <c r="D84" t="str">
        <v>AUT-SILICONA-AEROSOL</v>
      </c>
      <c r="E84" t="str">
        <v>Carolina Herrera</v>
      </c>
      <c r="F84" t="str">
        <v>CAT-007</v>
      </c>
      <c r="G84" t="str">
        <f>IFERROR(VLOOKUP(F84,CATÁLOGOS!$A$6:$B$105,2,FALSE),"")</f>
        <v>🚗 Automotor</v>
      </c>
      <c r="H84" t="str">
        <v>SUB-015</v>
      </c>
      <c r="I84" t="str">
        <f>IFERROR(VLOOKUP(H84,CATÁLOGOS!$F$6:$H$305,3,FALSE),"")</f>
        <v>Silicona en Aerosol</v>
      </c>
      <c r="J84" t="str">
        <v>Walker</v>
      </c>
      <c r="K84" t="str">
        <v>Silicona en Aerosol</v>
      </c>
      <c r="L84" t="str">
        <v>Carolina Herrera</v>
      </c>
      <c r="M84" t="str">
        <v>1 unidad</v>
      </c>
      <c r="N84" t="str">
        <v>AUT005.jpg</v>
      </c>
      <c r="O84" t="str">
        <v>CNT-072</v>
      </c>
      <c r="P84" t="str">
        <f>IFERROR(VLOOKUP(O84,CATÁLOGOS!$L$6:$O$305,3,FALSE),"")</f>
        <v>Silicona en Aerosol. Presentación: 1 unidad. Marca Walker. Fragancia: Carolina Herrera.</v>
      </c>
      <c r="Q84" t="str">
        <f>IFERROR(VLOOKUP(O84,CATÁLOGOS!$L$6:$O$305,4,FALSE),"")</f>
        <v>Silicona en Aerosol. Cuida y da brillo a las superficies del vehículo, prolongando su buen aspecto.</v>
      </c>
      <c r="T84" t="str">
        <v>Activo</v>
      </c>
      <c r="U84" t="str">
        <v>NO</v>
      </c>
    </row>
    <row r="85">
      <c r="A85" t="str">
        <v>081</v>
      </c>
      <c r="B85" t="str">
        <v>AUT006</v>
      </c>
      <c r="C85" t="str">
        <v>AUT006</v>
      </c>
      <c r="D85" t="str">
        <v>AUT-SILICONA-AEROSOL</v>
      </c>
      <c r="E85" t="str">
        <v>Frutilla</v>
      </c>
      <c r="F85" t="str">
        <v>CAT-007</v>
      </c>
      <c r="G85" t="str">
        <f>IFERROR(VLOOKUP(F85,CATÁLOGOS!$A$6:$B$105,2,FALSE),"")</f>
        <v>🚗 Automotor</v>
      </c>
      <c r="H85" t="str">
        <v>SUB-015</v>
      </c>
      <c r="I85" t="str">
        <f>IFERROR(VLOOKUP(H85,CATÁLOGOS!$F$6:$H$305,3,FALSE),"")</f>
        <v>Silicona en Aerosol</v>
      </c>
      <c r="J85" t="str">
        <v>Walker</v>
      </c>
      <c r="K85" t="str">
        <v>Silicona en Aerosol</v>
      </c>
      <c r="L85" t="str">
        <v>Frutilla</v>
      </c>
      <c r="M85" t="str">
        <v>1 unidad</v>
      </c>
      <c r="N85" t="str">
        <v>AUT006.jpg</v>
      </c>
      <c r="O85" t="str">
        <v>CNT-073</v>
      </c>
      <c r="P85" t="str">
        <f>IFERROR(VLOOKUP(O85,CATÁLOGOS!$L$6:$O$305,3,FALSE),"")</f>
        <v>Silicona en Aerosol. Presentación: 1 unidad. Marca Walker. Fragancia: Frutilla.</v>
      </c>
      <c r="Q85" t="str">
        <f>IFERROR(VLOOKUP(O85,CATÁLOGOS!$L$6:$O$305,4,FALSE),"")</f>
        <v>Silicona en Aerosol. Cuida y da brillo a las superficies del vehículo, prolongando su buen aspecto.</v>
      </c>
      <c r="T85" t="str">
        <v>Activo</v>
      </c>
      <c r="U85" t="str">
        <v>NO</v>
      </c>
    </row>
    <row r="86">
      <c r="A86" t="str">
        <v>082</v>
      </c>
      <c r="B86" t="str">
        <v>AUT007</v>
      </c>
      <c r="C86" t="str">
        <v>AUT007</v>
      </c>
      <c r="D86" t="str">
        <v>AUT-SILICONA-AEROSOL</v>
      </c>
      <c r="E86" t="str">
        <v>Kenzo</v>
      </c>
      <c r="F86" t="str">
        <v>CAT-007</v>
      </c>
      <c r="G86" t="str">
        <f>IFERROR(VLOOKUP(F86,CATÁLOGOS!$A$6:$B$105,2,FALSE),"")</f>
        <v>🚗 Automotor</v>
      </c>
      <c r="H86" t="str">
        <v>SUB-015</v>
      </c>
      <c r="I86" t="str">
        <f>IFERROR(VLOOKUP(H86,CATÁLOGOS!$F$6:$H$305,3,FALSE),"")</f>
        <v>Silicona en Aerosol</v>
      </c>
      <c r="J86" t="str">
        <v>Walker</v>
      </c>
      <c r="K86" t="str">
        <v>Silicona en Aerosol</v>
      </c>
      <c r="L86" t="str">
        <v>Kenzo</v>
      </c>
      <c r="M86" t="str">
        <v>1 unidad</v>
      </c>
      <c r="N86" t="str">
        <v>AUT007.jpg</v>
      </c>
      <c r="O86" t="str">
        <v>CNT-074</v>
      </c>
      <c r="P86" t="str">
        <f>IFERROR(VLOOKUP(O86,CATÁLOGOS!$L$6:$O$305,3,FALSE),"")</f>
        <v>Silicona en Aerosol. Presentación: 1 unidad. Marca Walker. Fragancia: Kenzo.</v>
      </c>
      <c r="Q86" t="str">
        <f>IFERROR(VLOOKUP(O86,CATÁLOGOS!$L$6:$O$305,4,FALSE),"")</f>
        <v>Silicona en Aerosol. Cuida y da brillo a las superficies del vehículo, prolongando su buen aspecto.</v>
      </c>
      <c r="T86" t="str">
        <v>Activo</v>
      </c>
      <c r="U86" t="str">
        <v>NO</v>
      </c>
    </row>
    <row r="87">
      <c r="A87" t="str">
        <v>083</v>
      </c>
      <c r="B87" t="str">
        <v>AUT008</v>
      </c>
      <c r="C87" t="str">
        <v>AUT008</v>
      </c>
      <c r="D87" t="str">
        <v>AUT-SILICONA-AEROSOL</v>
      </c>
      <c r="E87" t="str">
        <v>Lavanda</v>
      </c>
      <c r="F87" t="str">
        <v>CAT-007</v>
      </c>
      <c r="G87" t="str">
        <f>IFERROR(VLOOKUP(F87,CATÁLOGOS!$A$6:$B$105,2,FALSE),"")</f>
        <v>🚗 Automotor</v>
      </c>
      <c r="H87" t="str">
        <v>SUB-015</v>
      </c>
      <c r="I87" t="str">
        <f>IFERROR(VLOOKUP(H87,CATÁLOGOS!$F$6:$H$305,3,FALSE),"")</f>
        <v>Silicona en Aerosol</v>
      </c>
      <c r="J87" t="str">
        <v>Walker</v>
      </c>
      <c r="K87" t="str">
        <v>Silicona en Aerosol</v>
      </c>
      <c r="L87" t="str">
        <v>Lavanda</v>
      </c>
      <c r="M87" t="str">
        <v>1 unidad</v>
      </c>
      <c r="N87" t="str">
        <v>AUT008.jpg</v>
      </c>
      <c r="O87" t="str">
        <v>CNT-075</v>
      </c>
      <c r="P87" t="str">
        <f>IFERROR(VLOOKUP(O87,CATÁLOGOS!$L$6:$O$305,3,FALSE),"")</f>
        <v>Silicona en Aerosol. Presentación: 1 unidad. Marca Walker. Fragancia: Lavanda.</v>
      </c>
      <c r="Q87" t="str">
        <f>IFERROR(VLOOKUP(O87,CATÁLOGOS!$L$6:$O$305,4,FALSE),"")</f>
        <v>Silicona en Aerosol. Cuida y da brillo a las superficies del vehículo, prolongando su buen aspecto.</v>
      </c>
      <c r="T87" t="str">
        <v>Activo</v>
      </c>
      <c r="U87" t="str">
        <v>NO</v>
      </c>
    </row>
    <row r="88">
      <c r="A88" t="str">
        <v>084</v>
      </c>
      <c r="B88" t="str">
        <v>AUT009</v>
      </c>
      <c r="C88" t="str">
        <v>AUT009</v>
      </c>
      <c r="D88" t="str">
        <v>AUT-SILICONA-AEROSOL</v>
      </c>
      <c r="E88" t="str">
        <v>One Million</v>
      </c>
      <c r="F88" t="str">
        <v>CAT-007</v>
      </c>
      <c r="G88" t="str">
        <f>IFERROR(VLOOKUP(F88,CATÁLOGOS!$A$6:$B$105,2,FALSE),"")</f>
        <v>🚗 Automotor</v>
      </c>
      <c r="H88" t="str">
        <v>SUB-015</v>
      </c>
      <c r="I88" t="str">
        <f>IFERROR(VLOOKUP(H88,CATÁLOGOS!$F$6:$H$305,3,FALSE),"")</f>
        <v>Silicona en Aerosol</v>
      </c>
      <c r="J88" t="str">
        <v>Walker</v>
      </c>
      <c r="K88" t="str">
        <v>Silicona en Aerosol</v>
      </c>
      <c r="L88" t="str">
        <v>One Million</v>
      </c>
      <c r="M88" t="str">
        <v>1 unidad</v>
      </c>
      <c r="N88" t="str">
        <v>AUT009.jpg</v>
      </c>
      <c r="O88" t="str">
        <v>CNT-076</v>
      </c>
      <c r="P88" t="str">
        <f>IFERROR(VLOOKUP(O88,CATÁLOGOS!$L$6:$O$305,3,FALSE),"")</f>
        <v>Silicona en Aerosol. Presentación: 1 unidad. Marca Walker. Fragancia: One Million.</v>
      </c>
      <c r="Q88" t="str">
        <f>IFERROR(VLOOKUP(O88,CATÁLOGOS!$L$6:$O$305,4,FALSE),"")</f>
        <v>Silicona en Aerosol. Cuida y da brillo a las superficies del vehículo, prolongando su buen aspecto.</v>
      </c>
      <c r="T88" t="str">
        <v>Activo</v>
      </c>
      <c r="U88" t="str">
        <v>NO</v>
      </c>
    </row>
    <row r="89">
      <c r="A89" t="str">
        <v>085</v>
      </c>
      <c r="B89" t="str">
        <v>AUT010</v>
      </c>
      <c r="C89" t="str">
        <v>AUT010</v>
      </c>
      <c r="D89" t="str">
        <v>AUT-SILICONA-AEROSOL</v>
      </c>
      <c r="E89" t="str">
        <v>Paco rabanne</v>
      </c>
      <c r="F89" t="str">
        <v>CAT-007</v>
      </c>
      <c r="G89" t="str">
        <f>IFERROR(VLOOKUP(F89,CATÁLOGOS!$A$6:$B$105,2,FALSE),"")</f>
        <v>🚗 Automotor</v>
      </c>
      <c r="H89" t="str">
        <v>SUB-015</v>
      </c>
      <c r="I89" t="str">
        <f>IFERROR(VLOOKUP(H89,CATÁLOGOS!$F$6:$H$305,3,FALSE),"")</f>
        <v>Silicona en Aerosol</v>
      </c>
      <c r="J89" t="str">
        <v>Walker</v>
      </c>
      <c r="K89" t="str">
        <v>Silicona en Aerosol</v>
      </c>
      <c r="L89" t="str">
        <v>Paco rabanne</v>
      </c>
      <c r="M89" t="str">
        <v>1 unidad</v>
      </c>
      <c r="N89" t="str">
        <v>AUT010.jpg</v>
      </c>
      <c r="O89" t="str">
        <v>CNT-077</v>
      </c>
      <c r="P89" t="str">
        <f>IFERROR(VLOOKUP(O89,CATÁLOGOS!$L$6:$O$305,3,FALSE),"")</f>
        <v>Silicona en Aerosol. Presentación: 1 unidad. Marca Walker. Fragancia: Paco rabanne.</v>
      </c>
      <c r="Q89" t="str">
        <f>IFERROR(VLOOKUP(O89,CATÁLOGOS!$L$6:$O$305,4,FALSE),"")</f>
        <v>Silicona en Aerosol. Cuida y da brillo a las superficies del vehículo, prolongando su buen aspecto.</v>
      </c>
      <c r="T89" t="str">
        <v>Activo</v>
      </c>
      <c r="U89" t="str">
        <v>NO</v>
      </c>
    </row>
    <row r="90">
      <c r="A90" t="str">
        <v>086</v>
      </c>
      <c r="B90" t="str">
        <v>AUT011</v>
      </c>
      <c r="C90" t="str">
        <v>AUT011</v>
      </c>
      <c r="D90" t="str">
        <v>AUT-SILICONA-AEROSOL</v>
      </c>
      <c r="E90" t="str">
        <v>Sensual</v>
      </c>
      <c r="F90" t="str">
        <v>CAT-007</v>
      </c>
      <c r="G90" t="str">
        <f>IFERROR(VLOOKUP(F90,CATÁLOGOS!$A$6:$B$105,2,FALSE),"")</f>
        <v>🚗 Automotor</v>
      </c>
      <c r="H90" t="str">
        <v>SUB-015</v>
      </c>
      <c r="I90" t="str">
        <f>IFERROR(VLOOKUP(H90,CATÁLOGOS!$F$6:$H$305,3,FALSE),"")</f>
        <v>Silicona en Aerosol</v>
      </c>
      <c r="J90" t="str">
        <v>Walker</v>
      </c>
      <c r="K90" t="str">
        <v>Silicona en Aerosol</v>
      </c>
      <c r="L90" t="str">
        <v>Sensual</v>
      </c>
      <c r="M90" t="str">
        <v>1 unidad</v>
      </c>
      <c r="N90" t="str">
        <v>AUT011.jpg</v>
      </c>
      <c r="O90" t="str">
        <v>CNT-078</v>
      </c>
      <c r="P90" t="str">
        <f>IFERROR(VLOOKUP(O90,CATÁLOGOS!$L$6:$O$305,3,FALSE),"")</f>
        <v>Silicona en Aerosol. Presentación: 1 unidad. Marca Walker. Fragancia: Sensual.</v>
      </c>
      <c r="Q90" t="str">
        <f>IFERROR(VLOOKUP(O90,CATÁLOGOS!$L$6:$O$305,4,FALSE),"")</f>
        <v>Silicona en Aerosol. Cuida y da brillo a las superficies del vehículo, prolongando su buen aspecto.</v>
      </c>
      <c r="T90" t="str">
        <v>Activo</v>
      </c>
      <c r="U90" t="str">
        <v>NO</v>
      </c>
    </row>
    <row r="91">
      <c r="A91" t="str">
        <v>087</v>
      </c>
      <c r="B91" t="str">
        <v>AUT012</v>
      </c>
      <c r="C91" t="str">
        <v>AUT012</v>
      </c>
      <c r="D91" t="str">
        <v>AUT-SILICONA-AEROSOL</v>
      </c>
      <c r="E91" t="str">
        <v>Vainilla</v>
      </c>
      <c r="F91" t="str">
        <v>CAT-007</v>
      </c>
      <c r="G91" t="str">
        <f>IFERROR(VLOOKUP(F91,CATÁLOGOS!$A$6:$B$105,2,FALSE),"")</f>
        <v>🚗 Automotor</v>
      </c>
      <c r="H91" t="str">
        <v>SUB-015</v>
      </c>
      <c r="I91" t="str">
        <f>IFERROR(VLOOKUP(H91,CATÁLOGOS!$F$6:$H$305,3,FALSE),"")</f>
        <v>Silicona en Aerosol</v>
      </c>
      <c r="J91" t="str">
        <v>Walker</v>
      </c>
      <c r="K91" t="str">
        <v>Silicona en Aerosol</v>
      </c>
      <c r="L91" t="str">
        <v>Vainilla</v>
      </c>
      <c r="M91" t="str">
        <v>1 unidad</v>
      </c>
      <c r="N91" t="str">
        <v>AUT012.jpg</v>
      </c>
      <c r="O91" t="str">
        <v>CNT-079</v>
      </c>
      <c r="P91" t="str">
        <f>IFERROR(VLOOKUP(O91,CATÁLOGOS!$L$6:$O$305,3,FALSE),"")</f>
        <v>Silicona en Aerosol. Presentación: 1 unidad. Marca Walker. Fragancia: Vainilla.</v>
      </c>
      <c r="Q91" t="str">
        <f>IFERROR(VLOOKUP(O91,CATÁLOGOS!$L$6:$O$305,4,FALSE),"")</f>
        <v>Silicona en Aerosol. Cuida y da brillo a las superficies del vehículo, prolongando su buen aspecto.</v>
      </c>
      <c r="T91" t="str">
        <v>Activo</v>
      </c>
      <c r="U91" t="str">
        <v>NO</v>
      </c>
    </row>
    <row r="92">
      <c r="A92" t="str">
        <v>088</v>
      </c>
      <c r="B92" t="str">
        <v>AUT013</v>
      </c>
      <c r="C92" t="str">
        <v>AUT013</v>
      </c>
      <c r="F92" t="str">
        <v>CAT-007</v>
      </c>
      <c r="G92" t="str">
        <f>IFERROR(VLOOKUP(F92,CATÁLOGOS!$A$6:$B$105,2,FALSE),"")</f>
        <v>🚗 Automotor</v>
      </c>
      <c r="H92" t="str">
        <v>SUB-016</v>
      </c>
      <c r="I92" t="str">
        <f>IFERROR(VLOOKUP(H92,CATÁLOGOS!$F$6:$H$305,3,FALSE),"")</f>
        <v>Shampoo Siliconado</v>
      </c>
      <c r="J92" t="str">
        <v>bethel</v>
      </c>
      <c r="K92" t="str">
        <v>Shampoo Siliconado por litro</v>
      </c>
      <c r="M92" t="str">
        <v>1 unidad</v>
      </c>
      <c r="N92" t="str">
        <v>AUT013.jpg</v>
      </c>
      <c r="O92" t="str">
        <v>CNT-080</v>
      </c>
      <c r="P92" t="str">
        <f>IFERROR(VLOOKUP(O92,CATÁLOGOS!$L$6:$O$305,3,FALSE),"")</f>
        <v>Shampoo Siliconado por litro. Presentación: 1 unidad.</v>
      </c>
      <c r="Q92" t="str">
        <f>IFERROR(VLOOKUP(O92,CATÁLOGOS!$L$6:$O$305,4,FALSE),"")</f>
        <v>Shampoo Siliconado. Cuida y da brillo a las superficies del vehículo, prolongando su buen aspecto.</v>
      </c>
      <c r="T92" t="str">
        <v>Activo</v>
      </c>
      <c r="U92" t="str">
        <v>NO</v>
      </c>
    </row>
    <row r="93">
      <c r="A93" t="str">
        <v>089</v>
      </c>
      <c r="B93" t="str">
        <v>AUT014</v>
      </c>
      <c r="C93" t="str">
        <v>AUT014</v>
      </c>
      <c r="F93" t="str">
        <v>CAT-007</v>
      </c>
      <c r="G93" t="str">
        <f>IFERROR(VLOOKUP(F93,CATÁLOGOS!$A$6:$B$105,2,FALSE),"")</f>
        <v>🚗 Automotor</v>
      </c>
      <c r="H93" t="str">
        <v>SUB-017</v>
      </c>
      <c r="I93" t="str">
        <f>IFERROR(VLOOKUP(H93,CATÁLOGOS!$F$6:$H$305,3,FALSE),"")</f>
        <v>Mini Lata Walker</v>
      </c>
      <c r="J93" t="str">
        <v>Walker</v>
      </c>
      <c r="K93" t="str">
        <v>Mini Lata Walker para auto</v>
      </c>
      <c r="L93" t="str">
        <v>universal</v>
      </c>
      <c r="M93" t="str">
        <v>1 unidad</v>
      </c>
      <c r="N93" t="str">
        <v>AUT014.jpg</v>
      </c>
      <c r="O93" t="str">
        <v>CNT-081</v>
      </c>
      <c r="P93" t="str">
        <f>IFERROR(VLOOKUP(O93,CATÁLOGOS!$L$6:$O$305,3,FALSE),"")</f>
        <v>Mini Lata Walker para auto. Presentación: 1 unidad. Marca Walker. Fragancia: universal.</v>
      </c>
      <c r="Q93" t="str">
        <f>IFERROR(VLOOKUP(O93,CATÁLOGOS!$L$6:$O$305,4,FALSE),"")</f>
        <v>Mini Lata Walker. Cuida y da brillo a las superficies del vehículo, prolongando su buen aspecto.</v>
      </c>
      <c r="T93" t="str">
        <v>Activo</v>
      </c>
      <c r="U93" t="str">
        <v>NO</v>
      </c>
    </row>
    <row r="94">
      <c r="A94" t="str">
        <v>090</v>
      </c>
      <c r="B94" t="str">
        <v>AUT015</v>
      </c>
      <c r="C94" t="str">
        <v>AUT015</v>
      </c>
      <c r="D94" t="str">
        <v>AUT-PERFUME-LATA</v>
      </c>
      <c r="E94" t="str">
        <v>Black</v>
      </c>
      <c r="F94" t="str">
        <v>CAT-007</v>
      </c>
      <c r="G94" t="str">
        <f>IFERROR(VLOOKUP(F94,CATÁLOGOS!$A$6:$B$105,2,FALSE),"")</f>
        <v>🚗 Automotor</v>
      </c>
      <c r="H94" t="str">
        <v>SUB-018</v>
      </c>
      <c r="I94" t="str">
        <f>IFERROR(VLOOKUP(H94,CATÁLOGOS!$F$6:$H$305,3,FALSE),"")</f>
        <v>Perfume en Lata Walker</v>
      </c>
      <c r="J94" t="str">
        <v>Walker</v>
      </c>
      <c r="K94" t="str">
        <v>Perfume en Lata Walker</v>
      </c>
      <c r="L94" t="str">
        <v>Black</v>
      </c>
      <c r="M94" t="str">
        <v>1 unidad</v>
      </c>
      <c r="N94" t="str">
        <v>AUT015.jpg</v>
      </c>
      <c r="O94" t="str">
        <v>CNT-082</v>
      </c>
      <c r="P94" t="str">
        <f>IFERROR(VLOOKUP(O94,CATÁLOGOS!$L$6:$O$305,3,FALSE),"")</f>
        <v>Perfume en Lata Walker. Presentación: 1 unidad. Marca Walker. Fragancia: Black.</v>
      </c>
      <c r="Q94" t="str">
        <f>IFERROR(VLOOKUP(O94,CATÁLOGOS!$L$6:$O$305,4,FALSE),"")</f>
        <v>Perfume en Lata Walker. Cuida y da brillo a las superficies del vehículo, prolongando su buen aspecto.</v>
      </c>
      <c r="T94" t="str">
        <v>Activo</v>
      </c>
      <c r="U94" t="str">
        <v>NO</v>
      </c>
    </row>
    <row r="95">
      <c r="A95" t="str">
        <v>091</v>
      </c>
      <c r="B95" t="str">
        <v>AUT016</v>
      </c>
      <c r="C95" t="str">
        <v>AUT016</v>
      </c>
      <c r="D95" t="str">
        <v>AUT-PERFUME-LATA</v>
      </c>
      <c r="E95" t="str">
        <v>Frutilla</v>
      </c>
      <c r="F95" t="str">
        <v>CAT-007</v>
      </c>
      <c r="G95" t="str">
        <f>IFERROR(VLOOKUP(F95,CATÁLOGOS!$A$6:$B$105,2,FALSE),"")</f>
        <v>🚗 Automotor</v>
      </c>
      <c r="H95" t="str">
        <v>SUB-018</v>
      </c>
      <c r="I95" t="str">
        <f>IFERROR(VLOOKUP(H95,CATÁLOGOS!$F$6:$H$305,3,FALSE),"")</f>
        <v>Perfume en Lata Walker</v>
      </c>
      <c r="J95" t="str">
        <v>Walker</v>
      </c>
      <c r="K95" t="str">
        <v>Perfume en Lata Walker</v>
      </c>
      <c r="L95" t="str">
        <v>Frutilla</v>
      </c>
      <c r="M95" t="str">
        <v>1 unidad</v>
      </c>
      <c r="N95" t="str">
        <v>AUT016.jpg</v>
      </c>
      <c r="O95" t="str">
        <v>CNT-083</v>
      </c>
      <c r="P95" t="str">
        <f>IFERROR(VLOOKUP(O95,CATÁLOGOS!$L$6:$O$305,3,FALSE),"")</f>
        <v>Perfume en Lata Walker. Presentación: 1 unidad. Marca Walker. Fragancia: Frutilla.</v>
      </c>
      <c r="Q95" t="str">
        <f>IFERROR(VLOOKUP(O95,CATÁLOGOS!$L$6:$O$305,4,FALSE),"")</f>
        <v>Perfume en Lata Walker. Cuida y da brillo a las superficies del vehículo, prolongando su buen aspecto.</v>
      </c>
      <c r="T95" t="str">
        <v>Activo</v>
      </c>
      <c r="U95" t="str">
        <v>NO</v>
      </c>
    </row>
    <row r="96">
      <c r="A96" t="str">
        <v>092</v>
      </c>
      <c r="B96" t="str">
        <v>AUT017</v>
      </c>
      <c r="C96" t="str">
        <v>AUT017</v>
      </c>
      <c r="D96" t="str">
        <v>AUT-PERFUME-LATA</v>
      </c>
      <c r="E96" t="str">
        <v>Limon</v>
      </c>
      <c r="F96" t="str">
        <v>CAT-007</v>
      </c>
      <c r="G96" t="str">
        <f>IFERROR(VLOOKUP(F96,CATÁLOGOS!$A$6:$B$105,2,FALSE),"")</f>
        <v>🚗 Automotor</v>
      </c>
      <c r="H96" t="str">
        <v>SUB-018</v>
      </c>
      <c r="I96" t="str">
        <f>IFERROR(VLOOKUP(H96,CATÁLOGOS!$F$6:$H$305,3,FALSE),"")</f>
        <v>Perfume en Lata Walker</v>
      </c>
      <c r="J96" t="str">
        <v>Walker</v>
      </c>
      <c r="K96" t="str">
        <v>Perfume en Lata Walker</v>
      </c>
      <c r="L96" t="str">
        <v>Limon</v>
      </c>
      <c r="M96" t="str">
        <v>1 unidad</v>
      </c>
      <c r="N96" t="str">
        <v>AUT017.jpg</v>
      </c>
      <c r="O96" t="str">
        <v>CNT-084</v>
      </c>
      <c r="P96" t="str">
        <f>IFERROR(VLOOKUP(O96,CATÁLOGOS!$L$6:$O$305,3,FALSE),"")</f>
        <v>Perfume en Lata Walker. Presentación: 1 unidad. Marca Walker. Fragancia: Limon.</v>
      </c>
      <c r="Q96" t="str">
        <f>IFERROR(VLOOKUP(O96,CATÁLOGOS!$L$6:$O$305,4,FALSE),"")</f>
        <v>Perfume en Lata Walker. Cuida y da brillo a las superficies del vehículo, prolongando su buen aspecto.</v>
      </c>
      <c r="T96" t="str">
        <v>Activo</v>
      </c>
      <c r="U96" t="str">
        <v>NO</v>
      </c>
    </row>
    <row r="97">
      <c r="A97" t="str">
        <v>093</v>
      </c>
      <c r="B97" t="str">
        <v>AUT018</v>
      </c>
      <c r="C97" t="str">
        <v>AUT018</v>
      </c>
      <c r="D97" t="str">
        <v>AUT-PERFUME-LATA</v>
      </c>
      <c r="E97" t="str">
        <v>Vainilla</v>
      </c>
      <c r="F97" t="str">
        <v>CAT-007</v>
      </c>
      <c r="G97" t="str">
        <f>IFERROR(VLOOKUP(F97,CATÁLOGOS!$A$6:$B$105,2,FALSE),"")</f>
        <v>🚗 Automotor</v>
      </c>
      <c r="H97" t="str">
        <v>SUB-018</v>
      </c>
      <c r="I97" t="str">
        <f>IFERROR(VLOOKUP(H97,CATÁLOGOS!$F$6:$H$305,3,FALSE),"")</f>
        <v>Perfume en Lata Walker</v>
      </c>
      <c r="J97" t="str">
        <v>Walker</v>
      </c>
      <c r="K97" t="str">
        <v>Perfume en Lata Walker</v>
      </c>
      <c r="L97" t="str">
        <v>Vainilla</v>
      </c>
      <c r="M97" t="str">
        <v>1 unidad</v>
      </c>
      <c r="N97" t="str">
        <v>AUT018.jpg</v>
      </c>
      <c r="O97" t="str">
        <v>CNT-085</v>
      </c>
      <c r="P97" t="str">
        <f>IFERROR(VLOOKUP(O97,CATÁLOGOS!$L$6:$O$305,3,FALSE),"")</f>
        <v>Perfume en Lata Walker. Presentación: 1 unidad. Marca Walker. Fragancia: Vainilla.</v>
      </c>
      <c r="Q97" t="str">
        <f>IFERROR(VLOOKUP(O97,CATÁLOGOS!$L$6:$O$305,4,FALSE),"")</f>
        <v>Perfume en Lata Walker. Cuida y da brillo a las superficies del vehículo, prolongando su buen aspecto.</v>
      </c>
      <c r="T97" t="str">
        <v>Activo</v>
      </c>
      <c r="U97" t="str">
        <v>NO</v>
      </c>
    </row>
    <row r="98">
      <c r="A98" t="str">
        <v>094</v>
      </c>
      <c r="B98" t="str">
        <v>AUT019</v>
      </c>
      <c r="C98" t="str">
        <v>AUT019</v>
      </c>
      <c r="D98" t="str">
        <v>AUT-PERFUME-LATA</v>
      </c>
      <c r="E98" t="str">
        <v>Aqua</v>
      </c>
      <c r="F98" t="str">
        <v>CAT-007</v>
      </c>
      <c r="G98" t="str">
        <f>IFERROR(VLOOKUP(F98,CATÁLOGOS!$A$6:$B$105,2,FALSE),"")</f>
        <v>🚗 Automotor</v>
      </c>
      <c r="H98" t="str">
        <v>SUB-018</v>
      </c>
      <c r="I98" t="str">
        <f>IFERROR(VLOOKUP(H98,CATÁLOGOS!$F$6:$H$305,3,FALSE),"")</f>
        <v>Perfume en Lata Walker</v>
      </c>
      <c r="J98" t="str">
        <v>Walker</v>
      </c>
      <c r="K98" t="str">
        <v>Perfume en Lata Walker</v>
      </c>
      <c r="L98" t="str">
        <v>Aqua</v>
      </c>
      <c r="M98" t="str">
        <v>1 unidad</v>
      </c>
      <c r="N98" t="str">
        <v>AUT019.jpg</v>
      </c>
      <c r="O98" t="str">
        <v>CNT-086</v>
      </c>
      <c r="P98" t="str">
        <f>IFERROR(VLOOKUP(O98,CATÁLOGOS!$L$6:$O$305,3,FALSE),"")</f>
        <v>Perfume en Lata Walker. Presentación: 1 unidad. Marca Walker. Fragancia: Aqua.</v>
      </c>
      <c r="Q98" t="str">
        <f>IFERROR(VLOOKUP(O98,CATÁLOGOS!$L$6:$O$305,4,FALSE),"")</f>
        <v>Perfume en Lata Walker. Cuida y da brillo a las superficies del vehículo, prolongando su buen aspecto.</v>
      </c>
      <c r="T98" t="str">
        <v>Activo</v>
      </c>
      <c r="U98" t="str">
        <v>NO</v>
      </c>
    </row>
    <row r="99">
      <c r="A99" t="str">
        <v>095</v>
      </c>
      <c r="B99" t="str">
        <v>AUT020</v>
      </c>
      <c r="C99" t="str">
        <v>AUT020</v>
      </c>
      <c r="F99" t="str">
        <v>CAT-007</v>
      </c>
      <c r="G99" t="str">
        <f>IFERROR(VLOOKUP(F99,CATÁLOGOS!$A$6:$B$105,2,FALSE),"")</f>
        <v>🚗 Automotor</v>
      </c>
      <c r="H99" t="str">
        <v>SUB-019</v>
      </c>
      <c r="I99" t="str">
        <f>IFERROR(VLOOKUP(H99,CATÁLOGOS!$F$6:$H$305,3,FALSE),"")</f>
        <v>Cera</v>
      </c>
      <c r="J99" t="str">
        <v>bethel</v>
      </c>
      <c r="K99" t="str">
        <v>Cera para auto por litro</v>
      </c>
      <c r="M99" t="str">
        <v>1 unidad</v>
      </c>
      <c r="N99" t="str">
        <v>AUT020.jpg</v>
      </c>
      <c r="O99" t="str">
        <v>CNT-087</v>
      </c>
      <c r="P99" t="str">
        <f>IFERROR(VLOOKUP(O99,CATÁLOGOS!$L$6:$O$305,3,FALSE),"")</f>
        <v>Cera para auto por litro. Presentación: 1 unidad.</v>
      </c>
      <c r="Q99" t="str">
        <f>IFERROR(VLOOKUP(O99,CATÁLOGOS!$L$6:$O$305,4,FALSE),"")</f>
        <v>Cera. Cuida y da brillo a las superficies del vehículo, prolongando su buen aspecto.</v>
      </c>
      <c r="T99" t="str">
        <v>Activo</v>
      </c>
      <c r="U99" t="str">
        <v>NO</v>
      </c>
    </row>
    <row r="100">
      <c r="A100" t="str">
        <v>096</v>
      </c>
      <c r="B100" t="str">
        <v>AUT021</v>
      </c>
      <c r="C100" t="str">
        <v>AUT021</v>
      </c>
      <c r="F100" t="str">
        <v>CAT-007</v>
      </c>
      <c r="G100" t="str">
        <f>IFERROR(VLOOKUP(F100,CATÁLOGOS!$A$6:$B$105,2,FALSE),"")</f>
        <v>🚗 Automotor</v>
      </c>
      <c r="H100" t="str">
        <v>SUB-020</v>
      </c>
      <c r="I100" t="str">
        <f>IFERROR(VLOOKUP(H100,CATÁLOGOS!$F$6:$H$305,3,FALSE),"")</f>
        <v>Limpia Tapizado en Aerosol</v>
      </c>
      <c r="J100" t="str">
        <v>Walker</v>
      </c>
      <c r="K100" t="str">
        <v>Limpia Tapizado en Aerosol</v>
      </c>
      <c r="M100" t="str">
        <v>1 unidad</v>
      </c>
      <c r="N100" t="str">
        <v>AUT021.jpg</v>
      </c>
      <c r="O100" t="str">
        <v>CNT-088</v>
      </c>
      <c r="P100" t="str">
        <f>IFERROR(VLOOKUP(O100,CATÁLOGOS!$L$6:$O$305,3,FALSE),"")</f>
        <v>Limpia Tapizado en Aerosol. Presentación: 1 unidad. Marca Walker.</v>
      </c>
      <c r="Q100" t="str">
        <f>IFERROR(VLOOKUP(O100,CATÁLOGOS!$L$6:$O$305,4,FALSE),"")</f>
        <v>Limpia Tapizado en Aerosol. Cuida y da brillo a las superficies del vehículo, prolongando su buen aspecto.</v>
      </c>
      <c r="T100" t="str">
        <v>Activo</v>
      </c>
      <c r="U100" t="str">
        <v>NO</v>
      </c>
    </row>
    <row r="101">
      <c r="A101" t="str">
        <v>097</v>
      </c>
      <c r="B101" t="str">
        <v>SHA001</v>
      </c>
      <c r="C101" t="str">
        <v>SHA001</v>
      </c>
      <c r="F101" t="str">
        <v>CAT-001</v>
      </c>
      <c r="G101" t="str">
        <f>IFERROR(VLOOKUP(F101,CATÁLOGOS!$A$6:$B$105,2,FALSE),"")</f>
        <v>🚽 Baño</v>
      </c>
      <c r="H101" t="str">
        <v>SUB-021</v>
      </c>
      <c r="I101" t="str">
        <f>IFERROR(VLOOKUP(H101,CATÁLOGOS!$F$6:$H$305,3,FALSE),"")</f>
        <v>Jabón líquido de manos</v>
      </c>
      <c r="J101" t="str">
        <v>bethel</v>
      </c>
      <c r="K101" t="str">
        <v>Shampoo para manos</v>
      </c>
      <c r="L101" t="str">
        <v>Frutilla</v>
      </c>
      <c r="M101" t="str">
        <v>1 unidad</v>
      </c>
      <c r="N101" t="str">
        <v>SHA001.png</v>
      </c>
      <c r="O101" t="str">
        <v>CNT-089</v>
      </c>
      <c r="P101" t="str">
        <f>IFERROR(VLOOKUP(O101,CATÁLOGOS!$L$6:$O$305,3,FALSE),"")</f>
        <v>Shampoo para manos. Presentación: 1 unidad. Fragancia: Frutilla.</v>
      </c>
      <c r="Q101" t="str">
        <f>IFERROR(VLOOKUP(O101,CATÁLOGOS!$L$6:$O$305,4,FALSE),"")</f>
        <v>Jabón líquido de manos. Elimina suciedad y gérmenes en inodoros, azulejos y superficies del baño, dejando un aroma agradable.</v>
      </c>
      <c r="T101" t="str">
        <v>Activo</v>
      </c>
      <c r="U101" t="str">
        <v>NO</v>
      </c>
    </row>
    <row r="102">
      <c r="A102" t="str">
        <v>098</v>
      </c>
      <c r="B102" t="str">
        <v>SHA002</v>
      </c>
      <c r="C102" t="str">
        <v>SHA002</v>
      </c>
      <c r="F102" t="str">
        <v>CAT-001</v>
      </c>
      <c r="G102" t="str">
        <f>IFERROR(VLOOKUP(F102,CATÁLOGOS!$A$6:$B$105,2,FALSE),"")</f>
        <v>🚽 Baño</v>
      </c>
      <c r="H102" t="str">
        <v>SUB-021</v>
      </c>
      <c r="I102" t="str">
        <f>IFERROR(VLOOKUP(H102,CATÁLOGOS!$F$6:$H$305,3,FALSE),"")</f>
        <v>Jabón líquido de manos</v>
      </c>
      <c r="J102" t="str">
        <v>bethel</v>
      </c>
      <c r="K102" t="str">
        <v>Shampoo para manos por 5 litros</v>
      </c>
      <c r="L102" t="str">
        <v>blanco</v>
      </c>
      <c r="M102" t="str">
        <v>1 unidad</v>
      </c>
      <c r="N102" t="str">
        <v>SHA002.png</v>
      </c>
      <c r="O102" t="str">
        <v>CNT-090</v>
      </c>
      <c r="P102" t="str">
        <f>IFERROR(VLOOKUP(O102,CATÁLOGOS!$L$6:$O$305,3,FALSE),"")</f>
        <v>Shampoo para manos por 5 litros. Presentación: 1 unidad. Fragancia: blanco.</v>
      </c>
      <c r="Q102" t="str">
        <f>IFERROR(VLOOKUP(O102,CATÁLOGOS!$L$6:$O$305,4,FALSE),"")</f>
        <v>Jabón líquido de manos. Elimina suciedad y gérmenes en inodoros, azulejos y superficies del baño, dejando un aroma agradable.</v>
      </c>
      <c r="T102" t="str">
        <v>Activo</v>
      </c>
      <c r="U102" t="str">
        <v>NO</v>
      </c>
    </row>
    <row r="103">
      <c r="A103" t="str">
        <v>099</v>
      </c>
      <c r="B103" t="str">
        <v>SHA003</v>
      </c>
      <c r="C103" t="str">
        <v>SHA003</v>
      </c>
      <c r="F103" t="str">
        <v>CAT-001</v>
      </c>
      <c r="G103" t="str">
        <f>IFERROR(VLOOKUP(F103,CATÁLOGOS!$A$6:$B$105,2,FALSE),"")</f>
        <v>🚽 Baño</v>
      </c>
      <c r="H103" t="str">
        <v>SUB-021</v>
      </c>
      <c r="I103" t="str">
        <f>IFERROR(VLOOKUP(H103,CATÁLOGOS!$F$6:$H$305,3,FALSE),"")</f>
        <v>Jabón líquido de manos</v>
      </c>
      <c r="J103" t="str">
        <v>bethel</v>
      </c>
      <c r="K103" t="str">
        <v>Shampoo para manos por 5 litros</v>
      </c>
      <c r="L103" t="str">
        <v>vaini coco</v>
      </c>
      <c r="M103" t="str">
        <v>1 unidad</v>
      </c>
      <c r="N103" t="str">
        <v>SHA003.png</v>
      </c>
      <c r="O103" t="str">
        <v>CNT-091</v>
      </c>
      <c r="P103" t="str">
        <f>IFERROR(VLOOKUP(O103,CATÁLOGOS!$L$6:$O$305,3,FALSE),"")</f>
        <v>Shampoo para manos por 5 litros. Presentación: 1 unidad. Fragancia: vaini coco.</v>
      </c>
      <c r="Q103" t="str">
        <f>IFERROR(VLOOKUP(O103,CATÁLOGOS!$L$6:$O$305,4,FALSE),"")</f>
        <v>Jabón líquido de manos. Elimina suciedad y gérmenes en inodoros, azulejos y superficies del baño, dejando un aroma agradable.</v>
      </c>
      <c r="T103" t="str">
        <v>Activo</v>
      </c>
      <c r="U103" t="str">
        <v>NO</v>
      </c>
    </row>
    <row r="104">
      <c r="A104" t="str">
        <v>100</v>
      </c>
      <c r="B104" t="str">
        <v>SHA004</v>
      </c>
      <c r="C104" t="str">
        <v>SHA004</v>
      </c>
      <c r="F104" t="str">
        <v>CAT-001</v>
      </c>
      <c r="G104" t="str">
        <f>IFERROR(VLOOKUP(F104,CATÁLOGOS!$A$6:$B$105,2,FALSE),"")</f>
        <v>🚽 Baño</v>
      </c>
      <c r="H104" t="str">
        <v>SUB-021</v>
      </c>
      <c r="I104" t="str">
        <f>IFERROR(VLOOKUP(H104,CATÁLOGOS!$F$6:$H$305,3,FALSE),"")</f>
        <v>Jabón líquido de manos</v>
      </c>
      <c r="J104" t="str">
        <v>bethel</v>
      </c>
      <c r="K104" t="str">
        <v>Shampoo para manos por 5 litros</v>
      </c>
      <c r="L104" t="str">
        <v>manzana</v>
      </c>
      <c r="M104" t="str">
        <v>1 unidad</v>
      </c>
      <c r="N104" t="str">
        <v>SHA004.png</v>
      </c>
      <c r="O104" t="str">
        <v>CNT-092</v>
      </c>
      <c r="P104" t="str">
        <f>IFERROR(VLOOKUP(O104,CATÁLOGOS!$L$6:$O$305,3,FALSE),"")</f>
        <v>Shampoo para manos por 5 litros. Presentación: 1 unidad. Fragancia: manzana.</v>
      </c>
      <c r="Q104" t="str">
        <f>IFERROR(VLOOKUP(O104,CATÁLOGOS!$L$6:$O$305,4,FALSE),"")</f>
        <v>Jabón líquido de manos. Elimina suciedad y gérmenes en inodoros, azulejos y superficies del baño, dejando un aroma agradable.</v>
      </c>
      <c r="T104" t="str">
        <v>Activo</v>
      </c>
      <c r="U104" t="str">
        <v>NO</v>
      </c>
    </row>
    <row r="105">
      <c r="A105" t="str">
        <v>101</v>
      </c>
      <c r="B105" t="str">
        <v>SHA005</v>
      </c>
      <c r="C105" t="str">
        <v>SHA005</v>
      </c>
      <c r="F105" t="str">
        <v>CAT-001</v>
      </c>
      <c r="G105" t="str">
        <f>IFERROR(VLOOKUP(F105,CATÁLOGOS!$A$6:$B$105,2,FALSE),"")</f>
        <v>🚽 Baño</v>
      </c>
      <c r="H105" t="str">
        <v>SUB-021</v>
      </c>
      <c r="I105" t="str">
        <f>IFERROR(VLOOKUP(H105,CATÁLOGOS!$F$6:$H$305,3,FALSE),"")</f>
        <v>Jabón líquido de manos</v>
      </c>
      <c r="J105" t="str">
        <v>bethel</v>
      </c>
      <c r="K105" t="str">
        <v>Shampoo para manos por 5 litros</v>
      </c>
      <c r="L105" t="str">
        <v>uva</v>
      </c>
      <c r="M105" t="str">
        <v>1 unidad</v>
      </c>
      <c r="N105" t="str">
        <v>SHA005.png</v>
      </c>
      <c r="O105" t="str">
        <v>CNT-093</v>
      </c>
      <c r="P105" t="str">
        <f>IFERROR(VLOOKUP(O105,CATÁLOGOS!$L$6:$O$305,3,FALSE),"")</f>
        <v>Shampoo para manos por 5 litros. Presentación: 1 unidad. Fragancia: uva.</v>
      </c>
      <c r="Q105" t="str">
        <f>IFERROR(VLOOKUP(O105,CATÁLOGOS!$L$6:$O$305,4,FALSE),"")</f>
        <v>Jabón líquido de manos. Elimina suciedad y gérmenes en inodoros, azulejos y superficies del baño, dejando un aroma agradable.</v>
      </c>
      <c r="T105" t="str">
        <v>Activo</v>
      </c>
      <c r="U105" t="str">
        <v>NO</v>
      </c>
    </row>
    <row r="106">
      <c r="A106" t="str">
        <v>102</v>
      </c>
      <c r="B106" t="str">
        <v>SHA006</v>
      </c>
      <c r="C106" t="str">
        <v>SHA006</v>
      </c>
      <c r="F106" t="str">
        <v>CAT-001</v>
      </c>
      <c r="G106" t="str">
        <f>IFERROR(VLOOKUP(F106,CATÁLOGOS!$A$6:$B$105,2,FALSE),"")</f>
        <v>🚽 Baño</v>
      </c>
      <c r="H106" t="str">
        <v>SUB-021</v>
      </c>
      <c r="I106" t="str">
        <f>IFERROR(VLOOKUP(H106,CATÁLOGOS!$F$6:$H$305,3,FALSE),"")</f>
        <v>Jabón líquido de manos</v>
      </c>
      <c r="J106" t="str">
        <v>bethel</v>
      </c>
      <c r="K106" t="str">
        <v>Shampoo para manos por 5 litros</v>
      </c>
      <c r="L106" t="str">
        <v>antibacterial</v>
      </c>
      <c r="M106" t="str">
        <v>1 unidad</v>
      </c>
      <c r="N106" t="str">
        <v>SHA006.png</v>
      </c>
      <c r="O106" t="str">
        <v>CNT-094</v>
      </c>
      <c r="P106" t="str">
        <f>IFERROR(VLOOKUP(O106,CATÁLOGOS!$L$6:$O$305,3,FALSE),"")</f>
        <v>Shampoo para manos por 5 litros. Presentación: 1 unidad. Fragancia: antibacterial.</v>
      </c>
      <c r="Q106" t="str">
        <f>IFERROR(VLOOKUP(O106,CATÁLOGOS!$L$6:$O$305,4,FALSE),"")</f>
        <v>Jabón líquido de manos. Elimina suciedad y gérmenes en inodoros, azulejos y superficies del baño, dejando un aroma agradable.</v>
      </c>
      <c r="T106" t="str">
        <v>Activo</v>
      </c>
      <c r="U106" t="str">
        <v>NO</v>
      </c>
    </row>
    <row r="107">
      <c r="A107" t="str">
        <v>103</v>
      </c>
      <c r="B107" t="str">
        <v>DAV001</v>
      </c>
      <c r="C107" t="str">
        <v>DAV001</v>
      </c>
      <c r="D107" t="str">
        <v>DAV-SIMPLE-DIFUSOR-SAPHIRUS</v>
      </c>
      <c r="E107" t="str">
        <v>vainilla</v>
      </c>
      <c r="F107" t="str">
        <v>CAT-004</v>
      </c>
      <c r="G107" t="str">
        <f>IFERROR(VLOOKUP(F107,CATÁLOGOS!$A$6:$B$105,2,FALSE),"")</f>
        <v>🌸 Aromas y fragancias</v>
      </c>
      <c r="H107" t="str">
        <v>SUB-022</v>
      </c>
      <c r="I107" t="str">
        <f>IFERROR(VLOOKUP(H107,CATÁLOGOS!$F$6:$H$305,3,FALSE),"")</f>
        <v>Difusores aromáticos</v>
      </c>
      <c r="J107" t="str">
        <v>Saphirus</v>
      </c>
      <c r="K107" t="str">
        <v>Difusor Aromatico Saphirus por 50 CC</v>
      </c>
      <c r="L107" t="str">
        <v>vainilla</v>
      </c>
      <c r="M107" t="str">
        <v>1 unidad</v>
      </c>
      <c r="N107" t="str">
        <v>DAV001.jpg</v>
      </c>
      <c r="O107" t="str">
        <v>CNT-095</v>
      </c>
      <c r="P107" t="str">
        <f>IFERROR(VLOOKUP(O107,CATÁLOGOS!$L$6:$O$305,3,FALSE),"")</f>
        <v>Difusor Aromatico Saphirus por 50 CC. Presentación: 1 unidad. Marca Saphirus. Fragancia: vainilla.</v>
      </c>
      <c r="Q107" t="str">
        <f>IFERROR(VLOOKUP(O107,CATÁLOGOS!$L$6:$O$305,4,FALSE),"")</f>
        <v>Difusores aromáticos. Perfuma ambientes y textiles con una fragancia agradable y duradera, ideal para dejar todo con olor a limpio.</v>
      </c>
      <c r="T107" t="str">
        <v>Activo</v>
      </c>
      <c r="U107" t="str">
        <v>NO</v>
      </c>
    </row>
    <row r="108">
      <c r="A108" t="str">
        <v>104</v>
      </c>
      <c r="B108" t="str">
        <v>DAV002</v>
      </c>
      <c r="C108" t="str">
        <v>DAV002</v>
      </c>
      <c r="D108" t="str">
        <v>DAV-SIMPLE-DIFUSOR-SAPHIRUS</v>
      </c>
      <c r="E108" t="str">
        <v>lavanda</v>
      </c>
      <c r="F108" t="str">
        <v>CAT-004</v>
      </c>
      <c r="G108" t="str">
        <f>IFERROR(VLOOKUP(F108,CATÁLOGOS!$A$6:$B$105,2,FALSE),"")</f>
        <v>🌸 Aromas y fragancias</v>
      </c>
      <c r="H108" t="str">
        <v>SUB-022</v>
      </c>
      <c r="I108" t="str">
        <f>IFERROR(VLOOKUP(H108,CATÁLOGOS!$F$6:$H$305,3,FALSE),"")</f>
        <v>Difusores aromáticos</v>
      </c>
      <c r="J108" t="str">
        <v>Saphirus</v>
      </c>
      <c r="K108" t="str">
        <v>Difusor Aromatico Saphirus por 50 CC</v>
      </c>
      <c r="L108" t="str">
        <v>lavanda</v>
      </c>
      <c r="M108" t="str">
        <v>1 unidad</v>
      </c>
      <c r="N108" t="str">
        <v>DAV002.jpg</v>
      </c>
      <c r="O108" t="str">
        <v>CNT-096</v>
      </c>
      <c r="P108" t="str">
        <f>IFERROR(VLOOKUP(O108,CATÁLOGOS!$L$6:$O$305,3,FALSE),"")</f>
        <v>Difusor Aromatico Saphirus por 50 CC. Presentación: 1 unidad. Marca Saphirus. Fragancia: lavanda.</v>
      </c>
      <c r="Q108" t="str">
        <f>IFERROR(VLOOKUP(O108,CATÁLOGOS!$L$6:$O$305,4,FALSE),"")</f>
        <v>Difusores aromáticos. Perfuma ambientes y textiles con una fragancia agradable y duradera, ideal para dejar todo con olor a limpio.</v>
      </c>
      <c r="T108" t="str">
        <v>Activo</v>
      </c>
      <c r="U108" t="str">
        <v>NO</v>
      </c>
    </row>
    <row r="109">
      <c r="A109" t="str">
        <v>105</v>
      </c>
      <c r="B109" t="str">
        <v>DAV003</v>
      </c>
      <c r="C109" t="str">
        <v>DAV003</v>
      </c>
      <c r="D109" t="str">
        <v>DAV-SIMPLE-DIFUSOR-SAPHIRUS</v>
      </c>
      <c r="E109" t="str">
        <v>uva</v>
      </c>
      <c r="F109" t="str">
        <v>CAT-004</v>
      </c>
      <c r="G109" t="str">
        <f>IFERROR(VLOOKUP(F109,CATÁLOGOS!$A$6:$B$105,2,FALSE),"")</f>
        <v>🌸 Aromas y fragancias</v>
      </c>
      <c r="H109" t="str">
        <v>SUB-022</v>
      </c>
      <c r="I109" t="str">
        <f>IFERROR(VLOOKUP(H109,CATÁLOGOS!$F$6:$H$305,3,FALSE),"")</f>
        <v>Difusores aromáticos</v>
      </c>
      <c r="J109" t="str">
        <v>Saphirus</v>
      </c>
      <c r="K109" t="str">
        <v>Difusor Aromatico Saphirus por 50 CC</v>
      </c>
      <c r="L109" t="str">
        <v>uva</v>
      </c>
      <c r="M109" t="str">
        <v>1 unidad</v>
      </c>
      <c r="N109" t="str">
        <v>DAV003.jpg</v>
      </c>
      <c r="O109" t="str">
        <v>CNT-097</v>
      </c>
      <c r="P109" t="str">
        <f>IFERROR(VLOOKUP(O109,CATÁLOGOS!$L$6:$O$305,3,FALSE),"")</f>
        <v>Difusor Aromatico Saphirus por 50 CC. Presentación: 1 unidad. Marca Saphirus. Fragancia: uva.</v>
      </c>
      <c r="Q109" t="str">
        <f>IFERROR(VLOOKUP(O109,CATÁLOGOS!$L$6:$O$305,4,FALSE),"")</f>
        <v>Difusores aromáticos. Perfuma ambientes y textiles con una fragancia agradable y duradera, ideal para dejar todo con olor a limpio.</v>
      </c>
      <c r="T109" t="str">
        <v>Activo</v>
      </c>
      <c r="U109" t="str">
        <v>NO</v>
      </c>
    </row>
    <row r="110">
      <c r="A110" t="str">
        <v>106</v>
      </c>
      <c r="B110" t="str">
        <v>DAV004</v>
      </c>
      <c r="C110" t="str">
        <v>DAV004</v>
      </c>
      <c r="D110" t="str">
        <v>DAV-SIMPLE-DIFUSOR-SAPHIRUS</v>
      </c>
      <c r="E110" t="str">
        <v>palito de la selva</v>
      </c>
      <c r="F110" t="str">
        <v>CAT-004</v>
      </c>
      <c r="G110" t="str">
        <f>IFERROR(VLOOKUP(F110,CATÁLOGOS!$A$6:$B$105,2,FALSE),"")</f>
        <v>🌸 Aromas y fragancias</v>
      </c>
      <c r="H110" t="str">
        <v>SUB-022</v>
      </c>
      <c r="I110" t="str">
        <f>IFERROR(VLOOKUP(H110,CATÁLOGOS!$F$6:$H$305,3,FALSE),"")</f>
        <v>Difusores aromáticos</v>
      </c>
      <c r="J110" t="str">
        <v>Saphirus</v>
      </c>
      <c r="K110" t="str">
        <v>Difusor Aromatico Saphirus por 50 CC</v>
      </c>
      <c r="L110" t="str">
        <v>palito de la selva</v>
      </c>
      <c r="M110" t="str">
        <v>1 unidad</v>
      </c>
      <c r="N110" t="str">
        <v>DAV004.jpg</v>
      </c>
      <c r="O110" t="str">
        <v>CNT-098</v>
      </c>
      <c r="P110" t="str">
        <f>IFERROR(VLOOKUP(O110,CATÁLOGOS!$L$6:$O$305,3,FALSE),"")</f>
        <v>Difusor Aromatico Saphirus por 50 CC. Presentación: 1 unidad. Marca Saphirus. Fragancia: palito de la selva.</v>
      </c>
      <c r="Q110" t="str">
        <f>IFERROR(VLOOKUP(O110,CATÁLOGOS!$L$6:$O$305,4,FALSE),"")</f>
        <v>Difusores aromáticos. Perfuma ambientes y textiles con una fragancia agradable y duradera, ideal para dejar todo con olor a limpio.</v>
      </c>
      <c r="T110" t="str">
        <v>Activo</v>
      </c>
      <c r="U110" t="str">
        <v>NO</v>
      </c>
    </row>
    <row r="111">
      <c r="A111" t="str">
        <v>107</v>
      </c>
      <c r="B111" t="str">
        <v>DAV005</v>
      </c>
      <c r="C111" t="str">
        <v>DAV005</v>
      </c>
      <c r="D111" t="str">
        <v>DAV-SIMPLE-DIFUSOR-SAPHIRUS</v>
      </c>
      <c r="E111" t="str">
        <v>vaini coco</v>
      </c>
      <c r="F111" t="str">
        <v>CAT-004</v>
      </c>
      <c r="G111" t="str">
        <f>IFERROR(VLOOKUP(F111,CATÁLOGOS!$A$6:$B$105,2,FALSE),"")</f>
        <v>🌸 Aromas y fragancias</v>
      </c>
      <c r="H111" t="str">
        <v>SUB-022</v>
      </c>
      <c r="I111" t="str">
        <f>IFERROR(VLOOKUP(H111,CATÁLOGOS!$F$6:$H$305,3,FALSE),"")</f>
        <v>Difusores aromáticos</v>
      </c>
      <c r="J111" t="str">
        <v>Saphirus</v>
      </c>
      <c r="K111" t="str">
        <v>Difusor Aromatico Saphirus por 50 CC</v>
      </c>
      <c r="L111" t="str">
        <v>vaini coco</v>
      </c>
      <c r="M111" t="str">
        <v>1 unidad</v>
      </c>
      <c r="N111" t="str">
        <v>DAV005.jpg</v>
      </c>
      <c r="O111" t="str">
        <v>CNT-099</v>
      </c>
      <c r="P111" t="str">
        <f>IFERROR(VLOOKUP(O111,CATÁLOGOS!$L$6:$O$305,3,FALSE),"")</f>
        <v>Difusor Aromatico Saphirus por 50 CC. Presentación: 1 unidad. Marca Saphirus. Fragancia: vaini coco.</v>
      </c>
      <c r="Q111" t="str">
        <f>IFERROR(VLOOKUP(O111,CATÁLOGOS!$L$6:$O$305,4,FALSE),"")</f>
        <v>Difusores aromáticos. Perfuma ambientes y textiles con una fragancia agradable y duradera, ideal para dejar todo con olor a limpio.</v>
      </c>
      <c r="T111" t="str">
        <v>Activo</v>
      </c>
      <c r="U111" t="str">
        <v>NO</v>
      </c>
    </row>
    <row r="112">
      <c r="A112" t="str">
        <v>108</v>
      </c>
      <c r="B112" t="str">
        <v>DAV006</v>
      </c>
      <c r="C112" t="str">
        <v>DAV006</v>
      </c>
      <c r="D112" t="str">
        <v>DAV-SIMPLE-DIFUSOR-SAPHIRUS</v>
      </c>
      <c r="E112" t="str">
        <v>coniglio</v>
      </c>
      <c r="F112" t="str">
        <v>CAT-004</v>
      </c>
      <c r="G112" t="str">
        <f>IFERROR(VLOOKUP(F112,CATÁLOGOS!$A$6:$B$105,2,FALSE),"")</f>
        <v>🌸 Aromas y fragancias</v>
      </c>
      <c r="H112" t="str">
        <v>SUB-022</v>
      </c>
      <c r="I112" t="str">
        <f>IFERROR(VLOOKUP(H112,CATÁLOGOS!$F$6:$H$305,3,FALSE),"")</f>
        <v>Difusores aromáticos</v>
      </c>
      <c r="J112" t="str">
        <v>Saphirus</v>
      </c>
      <c r="K112" t="str">
        <v>Difusor Aromatico Saphirus por 50 CC</v>
      </c>
      <c r="L112" t="str">
        <v>coniglio</v>
      </c>
      <c r="M112" t="str">
        <v>1 unidad</v>
      </c>
      <c r="N112" t="str">
        <v>DAV006.jpg</v>
      </c>
      <c r="O112" t="str">
        <v>CNT-100</v>
      </c>
      <c r="P112" t="str">
        <f>IFERROR(VLOOKUP(O112,CATÁLOGOS!$L$6:$O$305,3,FALSE),"")</f>
        <v>Difusor Aromatico Saphirus por 50 CC. Presentación: 1 unidad. Marca Saphirus. Fragancia: coniglio.</v>
      </c>
      <c r="Q112" t="str">
        <f>IFERROR(VLOOKUP(O112,CATÁLOGOS!$L$6:$O$305,4,FALSE),"")</f>
        <v>Difusores aromáticos. Perfuma ambientes y textiles con una fragancia agradable y duradera, ideal para dejar todo con olor a limpio.</v>
      </c>
      <c r="T112" t="str">
        <v>Activo</v>
      </c>
      <c r="U112" t="str">
        <v>NO</v>
      </c>
    </row>
    <row r="113">
      <c r="A113" t="str">
        <v>109</v>
      </c>
      <c r="B113" t="str">
        <v>DAV007</v>
      </c>
      <c r="C113" t="str">
        <v>DAV007</v>
      </c>
      <c r="D113" t="str">
        <v>DAV-SIMPLE-DIFUSOR-SAPHIRUS</v>
      </c>
      <c r="E113" t="str">
        <v>limon</v>
      </c>
      <c r="F113" t="str">
        <v>CAT-004</v>
      </c>
      <c r="G113" t="str">
        <f>IFERROR(VLOOKUP(F113,CATÁLOGOS!$A$6:$B$105,2,FALSE),"")</f>
        <v>🌸 Aromas y fragancias</v>
      </c>
      <c r="H113" t="str">
        <v>SUB-022</v>
      </c>
      <c r="I113" t="str">
        <f>IFERROR(VLOOKUP(H113,CATÁLOGOS!$F$6:$H$305,3,FALSE),"")</f>
        <v>Difusores aromáticos</v>
      </c>
      <c r="J113" t="str">
        <v>Saphirus</v>
      </c>
      <c r="K113" t="str">
        <v>Difusor Aromatico Saphirus por 50 CC</v>
      </c>
      <c r="L113" t="str">
        <v>limon</v>
      </c>
      <c r="M113" t="str">
        <v>1 unidad</v>
      </c>
      <c r="N113" t="str">
        <v>DAV007.jpg</v>
      </c>
      <c r="O113" t="str">
        <v>CNT-101</v>
      </c>
      <c r="P113" t="str">
        <f>IFERROR(VLOOKUP(O113,CATÁLOGOS!$L$6:$O$305,3,FALSE),"")</f>
        <v>Difusor Aromatico Saphirus por 50 CC. Presentación: 1 unidad. Marca Saphirus. Fragancia: limon.</v>
      </c>
      <c r="Q113" t="str">
        <f>IFERROR(VLOOKUP(O113,CATÁLOGOS!$L$6:$O$305,4,FALSE),"")</f>
        <v>Difusores aromáticos. Perfuma ambientes y textiles con una fragancia agradable y duradera, ideal para dejar todo con olor a limpio.</v>
      </c>
      <c r="T113" t="str">
        <v>Activo</v>
      </c>
      <c r="U113" t="str">
        <v>NO</v>
      </c>
    </row>
    <row r="114">
      <c r="A114" t="str">
        <v>110</v>
      </c>
      <c r="B114" t="str">
        <v>DAV008</v>
      </c>
      <c r="C114" t="str">
        <v>DAV008</v>
      </c>
      <c r="D114" t="str">
        <v>DAV-SIMPLE-DIFUSOR-SAPHIRUS</v>
      </c>
      <c r="E114" t="str">
        <v>coco</v>
      </c>
      <c r="F114" t="str">
        <v>CAT-004</v>
      </c>
      <c r="G114" t="str">
        <f>IFERROR(VLOOKUP(F114,CATÁLOGOS!$A$6:$B$105,2,FALSE),"")</f>
        <v>🌸 Aromas y fragancias</v>
      </c>
      <c r="H114" t="str">
        <v>SUB-022</v>
      </c>
      <c r="I114" t="str">
        <f>IFERROR(VLOOKUP(H114,CATÁLOGOS!$F$6:$H$305,3,FALSE),"")</f>
        <v>Difusores aromáticos</v>
      </c>
      <c r="J114" t="str">
        <v>Saphirus</v>
      </c>
      <c r="K114" t="str">
        <v>Difusor Aromatico Saphirus por 50 CC</v>
      </c>
      <c r="L114" t="str">
        <v>coco</v>
      </c>
      <c r="M114" t="str">
        <v>1 unidad</v>
      </c>
      <c r="N114" t="str">
        <v>DAV008.jpg</v>
      </c>
      <c r="O114" t="str">
        <v>CNT-102</v>
      </c>
      <c r="P114" t="str">
        <f>IFERROR(VLOOKUP(O114,CATÁLOGOS!$L$6:$O$305,3,FALSE),"")</f>
        <v>Difusor Aromatico Saphirus por 50 CC. Presentación: 1 unidad. Marca Saphirus. Fragancia: coco.</v>
      </c>
      <c r="Q114" t="str">
        <f>IFERROR(VLOOKUP(O114,CATÁLOGOS!$L$6:$O$305,4,FALSE),"")</f>
        <v>Difusores aromáticos. Perfuma ambientes y textiles con una fragancia agradable y duradera, ideal para dejar todo con olor a limpio.</v>
      </c>
      <c r="T114" t="str">
        <v>Activo</v>
      </c>
      <c r="U114" t="str">
        <v>NO</v>
      </c>
    </row>
    <row r="115">
      <c r="A115" t="str">
        <v>111</v>
      </c>
      <c r="B115" t="str">
        <v>DAV009</v>
      </c>
      <c r="C115" t="str">
        <v>DAV009</v>
      </c>
      <c r="D115" t="str">
        <v>DAV-SIMPLE-DIFUSOR-SAPHIRUS</v>
      </c>
      <c r="E115" t="str">
        <v>frutilla</v>
      </c>
      <c r="F115" t="str">
        <v>CAT-004</v>
      </c>
      <c r="G115" t="str">
        <f>IFERROR(VLOOKUP(F115,CATÁLOGOS!$A$6:$B$105,2,FALSE),"")</f>
        <v>🌸 Aromas y fragancias</v>
      </c>
      <c r="H115" t="str">
        <v>SUB-022</v>
      </c>
      <c r="I115" t="str">
        <f>IFERROR(VLOOKUP(H115,CATÁLOGOS!$F$6:$H$305,3,FALSE),"")</f>
        <v>Difusores aromáticos</v>
      </c>
      <c r="J115" t="str">
        <v>Saphirus</v>
      </c>
      <c r="K115" t="str">
        <v>Difusor Aromatico Saphirus por 50 CC</v>
      </c>
      <c r="L115" t="str">
        <v>frutilla</v>
      </c>
      <c r="M115" t="str">
        <v>1 unidad</v>
      </c>
      <c r="N115" t="str">
        <v>DAV009.jpg</v>
      </c>
      <c r="O115" t="str">
        <v>CNT-103</v>
      </c>
      <c r="P115" t="str">
        <f>IFERROR(VLOOKUP(O115,CATÁLOGOS!$L$6:$O$305,3,FALSE),"")</f>
        <v>Difusor Aromatico Saphirus por 50 CC. Presentación: 1 unidad. Marca Saphirus. Fragancia: frutilla.</v>
      </c>
      <c r="Q115" t="str">
        <f>IFERROR(VLOOKUP(O115,CATÁLOGOS!$L$6:$O$305,4,FALSE),"")</f>
        <v>Difusores aromáticos. Perfuma ambientes y textiles con una fragancia agradable y duradera, ideal para dejar todo con olor a limpio.</v>
      </c>
      <c r="T115" t="str">
        <v>Activo</v>
      </c>
      <c r="U115" t="str">
        <v>NO</v>
      </c>
    </row>
    <row r="116">
      <c r="A116" t="str">
        <v>112</v>
      </c>
      <c r="B116" t="str">
        <v>DAV010</v>
      </c>
      <c r="C116" t="str">
        <v>DAV010</v>
      </c>
      <c r="D116" t="str">
        <v>DAV-SIMPLE-DIFUSOR-SAPHIRUS</v>
      </c>
      <c r="E116" t="str">
        <v>j.baby</v>
      </c>
      <c r="F116" t="str">
        <v>CAT-004</v>
      </c>
      <c r="G116" t="str">
        <f>IFERROR(VLOOKUP(F116,CATÁLOGOS!$A$6:$B$105,2,FALSE),"")</f>
        <v>🌸 Aromas y fragancias</v>
      </c>
      <c r="H116" t="str">
        <v>SUB-022</v>
      </c>
      <c r="I116" t="str">
        <f>IFERROR(VLOOKUP(H116,CATÁLOGOS!$F$6:$H$305,3,FALSE),"")</f>
        <v>Difusores aromáticos</v>
      </c>
      <c r="J116" t="str">
        <v>Saphirus</v>
      </c>
      <c r="K116" t="str">
        <v>Difusor Aromatico Saphirus por 50 CC</v>
      </c>
      <c r="L116" t="str">
        <v>j.baby</v>
      </c>
      <c r="M116" t="str">
        <v>1 unidad</v>
      </c>
      <c r="N116" t="str">
        <v>DAV010.jpg</v>
      </c>
      <c r="O116" t="str">
        <v>CNT-104</v>
      </c>
      <c r="P116" t="str">
        <f>IFERROR(VLOOKUP(O116,CATÁLOGOS!$L$6:$O$305,3,FALSE),"")</f>
        <v>Difusor Aromatico Saphirus por 50 CC. Presentación: 1 unidad. Marca Saphirus. Fragancia: j.baby.</v>
      </c>
      <c r="Q116" t="str">
        <f>IFERROR(VLOOKUP(O116,CATÁLOGOS!$L$6:$O$305,4,FALSE),"")</f>
        <v>Difusores aromáticos. Perfuma ambientes y textiles con una fragancia agradable y duradera, ideal para dejar todo con olor a limpio.</v>
      </c>
      <c r="T116" t="str">
        <v>Activo</v>
      </c>
      <c r="U116" t="str">
        <v>NO</v>
      </c>
    </row>
    <row r="117">
      <c r="A117" t="str">
        <v>113</v>
      </c>
      <c r="B117" t="str">
        <v>DAV011</v>
      </c>
      <c r="C117" t="str">
        <v>DAV011</v>
      </c>
      <c r="D117" t="str">
        <v>DAV-SIMPLE-DIFUSOR-SAPHIRUS</v>
      </c>
      <c r="E117" t="str">
        <v>papaya</v>
      </c>
      <c r="F117" t="str">
        <v>CAT-004</v>
      </c>
      <c r="G117" t="str">
        <f>IFERROR(VLOOKUP(F117,CATÁLOGOS!$A$6:$B$105,2,FALSE),"")</f>
        <v>🌸 Aromas y fragancias</v>
      </c>
      <c r="H117" t="str">
        <v>SUB-022</v>
      </c>
      <c r="I117" t="str">
        <f>IFERROR(VLOOKUP(H117,CATÁLOGOS!$F$6:$H$305,3,FALSE),"")</f>
        <v>Difusores aromáticos</v>
      </c>
      <c r="J117" t="str">
        <v>Saphirus</v>
      </c>
      <c r="K117" t="str">
        <v>Difusor Aromatico Saphirus por 50 CC</v>
      </c>
      <c r="L117" t="str">
        <v>papaya</v>
      </c>
      <c r="M117" t="str">
        <v>1 unidad</v>
      </c>
      <c r="N117" t="str">
        <v>DAV011.jpg</v>
      </c>
      <c r="O117" t="str">
        <v>CNT-105</v>
      </c>
      <c r="P117" t="str">
        <f>IFERROR(VLOOKUP(O117,CATÁLOGOS!$L$6:$O$305,3,FALSE),"")</f>
        <v>Difusor Aromatico Saphirus por 50 CC. Presentación: 1 unidad. Marca Saphirus. Fragancia: papaya.</v>
      </c>
      <c r="Q117" t="str">
        <f>IFERROR(VLOOKUP(O117,CATÁLOGOS!$L$6:$O$305,4,FALSE),"")</f>
        <v>Difusores aromáticos. Perfuma ambientes y textiles con una fragancia agradable y duradera, ideal para dejar todo con olor a limpio.</v>
      </c>
      <c r="T117" t="str">
        <v>Activo</v>
      </c>
      <c r="U117" t="str">
        <v>NO</v>
      </c>
    </row>
    <row r="118">
      <c r="A118" t="str">
        <v>114</v>
      </c>
      <c r="B118" t="str">
        <v>DAV012</v>
      </c>
      <c r="C118" t="str">
        <v>DAV012</v>
      </c>
      <c r="D118" t="str">
        <v>DAV-SIMPLE-DIFUSOR-SAPHIRUS</v>
      </c>
      <c r="E118" t="str">
        <v>flores blancas</v>
      </c>
      <c r="F118" t="str">
        <v>CAT-004</v>
      </c>
      <c r="G118" t="str">
        <f>IFERROR(VLOOKUP(F118,CATÁLOGOS!$A$6:$B$105,2,FALSE),"")</f>
        <v>🌸 Aromas y fragancias</v>
      </c>
      <c r="H118" t="str">
        <v>SUB-022</v>
      </c>
      <c r="I118" t="str">
        <f>IFERROR(VLOOKUP(H118,CATÁLOGOS!$F$6:$H$305,3,FALSE),"")</f>
        <v>Difusores aromáticos</v>
      </c>
      <c r="J118" t="str">
        <v>Saphirus</v>
      </c>
      <c r="K118" t="str">
        <v>Difusor Aromatico Saphirus por 50 CC</v>
      </c>
      <c r="L118" t="str">
        <v>flores blancas</v>
      </c>
      <c r="M118" t="str">
        <v>1 unidad</v>
      </c>
      <c r="N118" t="str">
        <v>DAV012.jpg</v>
      </c>
      <c r="O118" t="str">
        <v>CNT-106</v>
      </c>
      <c r="P118" t="str">
        <f>IFERROR(VLOOKUP(O118,CATÁLOGOS!$L$6:$O$305,3,FALSE),"")</f>
        <v>Difusor Aromatico Saphirus por 50 CC. Presentación: 1 unidad. Marca Saphirus. Fragancia: flores blancas.</v>
      </c>
      <c r="Q118" t="str">
        <f>IFERROR(VLOOKUP(O118,CATÁLOGOS!$L$6:$O$305,4,FALSE),"")</f>
        <v>Difusores aromáticos. Perfuma ambientes y textiles con una fragancia agradable y duradera, ideal para dejar todo con olor a limpio.</v>
      </c>
      <c r="T118" t="str">
        <v>Activo</v>
      </c>
      <c r="U118" t="str">
        <v>NO</v>
      </c>
    </row>
    <row r="119">
      <c r="A119" t="str">
        <v>115</v>
      </c>
      <c r="B119" t="str">
        <v>DAV013</v>
      </c>
      <c r="C119" t="str">
        <v>DAV013</v>
      </c>
      <c r="D119" t="str">
        <v>DAV-SIMPLE-DIFUSOR-SAPHIRUS</v>
      </c>
      <c r="E119" t="str">
        <v>citrus</v>
      </c>
      <c r="F119" t="str">
        <v>CAT-004</v>
      </c>
      <c r="G119" t="str">
        <f>IFERROR(VLOOKUP(F119,CATÁLOGOS!$A$6:$B$105,2,FALSE),"")</f>
        <v>🌸 Aromas y fragancias</v>
      </c>
      <c r="H119" t="str">
        <v>SUB-022</v>
      </c>
      <c r="I119" t="str">
        <f>IFERROR(VLOOKUP(H119,CATÁLOGOS!$F$6:$H$305,3,FALSE),"")</f>
        <v>Difusores aromáticos</v>
      </c>
      <c r="J119" t="str">
        <v>Saphirus</v>
      </c>
      <c r="K119" t="str">
        <v>Difusor Aromatico Saphirus por 50 CC</v>
      </c>
      <c r="L119" t="str">
        <v>citrus</v>
      </c>
      <c r="M119" t="str">
        <v>1 unidad</v>
      </c>
      <c r="N119" t="str">
        <v>DAV013.jpg</v>
      </c>
      <c r="O119" t="str">
        <v>CNT-107</v>
      </c>
      <c r="P119" t="str">
        <f>IFERROR(VLOOKUP(O119,CATÁLOGOS!$L$6:$O$305,3,FALSE),"")</f>
        <v>Difusor Aromatico Saphirus por 50 CC. Presentación: 1 unidad. Marca Saphirus. Fragancia: citrus.</v>
      </c>
      <c r="Q119" t="str">
        <f>IFERROR(VLOOKUP(O119,CATÁLOGOS!$L$6:$O$305,4,FALSE),"")</f>
        <v>Difusores aromáticos. Perfuma ambientes y textiles con una fragancia agradable y duradera, ideal para dejar todo con olor a limpio.</v>
      </c>
      <c r="T119" t="str">
        <v>Activo</v>
      </c>
      <c r="U119" t="str">
        <v>NO</v>
      </c>
    </row>
    <row r="120">
      <c r="A120" t="str">
        <v>116</v>
      </c>
      <c r="B120" t="str">
        <v>DAV014</v>
      </c>
      <c r="C120" t="str">
        <v>DAV014</v>
      </c>
      <c r="D120" t="str">
        <v>DAV-SIMPLE-DIFUSOR-SAPHIRUS</v>
      </c>
      <c r="E120" t="str">
        <v>jazmin</v>
      </c>
      <c r="F120" t="str">
        <v>CAT-004</v>
      </c>
      <c r="G120" t="str">
        <f>IFERROR(VLOOKUP(F120,CATÁLOGOS!$A$6:$B$105,2,FALSE),"")</f>
        <v>🌸 Aromas y fragancias</v>
      </c>
      <c r="H120" t="str">
        <v>SUB-022</v>
      </c>
      <c r="I120" t="str">
        <f>IFERROR(VLOOKUP(H120,CATÁLOGOS!$F$6:$H$305,3,FALSE),"")</f>
        <v>Difusores aromáticos</v>
      </c>
      <c r="J120" t="str">
        <v>Saphirus</v>
      </c>
      <c r="K120" t="str">
        <v>Difusor Aromatico Saphirus por 50 CC</v>
      </c>
      <c r="L120" t="str">
        <v>jazmin</v>
      </c>
      <c r="M120" t="str">
        <v>1 unidad</v>
      </c>
      <c r="N120" t="str">
        <v>DAV014.jpg</v>
      </c>
      <c r="O120" t="str">
        <v>CNT-108</v>
      </c>
      <c r="P120" t="str">
        <f>IFERROR(VLOOKUP(O120,CATÁLOGOS!$L$6:$O$305,3,FALSE),"")</f>
        <v>Difusor Aromatico Saphirus por 50 CC. Presentación: 1 unidad. Marca Saphirus. Fragancia: jazmin.</v>
      </c>
      <c r="Q120" t="str">
        <f>IFERROR(VLOOKUP(O120,CATÁLOGOS!$L$6:$O$305,4,FALSE),"")</f>
        <v>Difusores aromáticos. Perfuma ambientes y textiles con una fragancia agradable y duradera, ideal para dejar todo con olor a limpio.</v>
      </c>
      <c r="T120" t="str">
        <v>Activo</v>
      </c>
      <c r="U120" t="str">
        <v>NO</v>
      </c>
    </row>
    <row r="121">
      <c r="A121" t="str">
        <v>117</v>
      </c>
      <c r="B121" t="str">
        <v>DAV015</v>
      </c>
      <c r="C121" t="str">
        <v>DAV015</v>
      </c>
      <c r="D121" t="str">
        <v>DAV-SIMPLE-DIFUSOR-SAPHIRUS</v>
      </c>
      <c r="E121" t="str">
        <v>vainilla</v>
      </c>
      <c r="F121" t="str">
        <v>CAT-004</v>
      </c>
      <c r="G121" t="str">
        <f>IFERROR(VLOOKUP(F121,CATÁLOGOS!$A$6:$B$105,2,FALSE),"")</f>
        <v>🌸 Aromas y fragancias</v>
      </c>
      <c r="H121" t="str">
        <v>SUB-022</v>
      </c>
      <c r="I121" t="str">
        <f>IFERROR(VLOOKUP(H121,CATÁLOGOS!$F$6:$H$305,3,FALSE),"")</f>
        <v>Difusores aromáticos</v>
      </c>
      <c r="J121" t="str">
        <v>Saphirus</v>
      </c>
      <c r="K121" t="str">
        <v>Difusor Aromatico Saphirus por 120 CC</v>
      </c>
      <c r="L121" t="str">
        <v>vainilla</v>
      </c>
      <c r="M121" t="str">
        <v>1 unidad</v>
      </c>
      <c r="N121" t="str">
        <v>DAV015.jpg</v>
      </c>
      <c r="O121" t="str">
        <v>CNT-109</v>
      </c>
      <c r="P121" t="str">
        <f>IFERROR(VLOOKUP(O121,CATÁLOGOS!$L$6:$O$305,3,FALSE),"")</f>
        <v>Difusor Aromatico Saphirus por 120 CC. Presentación: 1 unidad. Marca Saphirus. Fragancia: vainilla.</v>
      </c>
      <c r="Q121" t="str">
        <f>IFERROR(VLOOKUP(O121,CATÁLOGOS!$L$6:$O$305,4,FALSE),"")</f>
        <v>Difusores aromáticos. Perfuma ambientes y textiles con una fragancia agradable y duradera, ideal para dejar todo con olor a limpio.</v>
      </c>
      <c r="T121" t="str">
        <v>Activo</v>
      </c>
      <c r="U121" t="str">
        <v>NO</v>
      </c>
    </row>
    <row r="122">
      <c r="A122" t="str">
        <v>118</v>
      </c>
      <c r="B122" t="str">
        <v>DAV016</v>
      </c>
      <c r="C122" t="str">
        <v>DAV016</v>
      </c>
      <c r="D122" t="str">
        <v>DAV-SIMPLE-DIFUSOR-SAPHIRUS</v>
      </c>
      <c r="E122" t="str">
        <v>lavanda</v>
      </c>
      <c r="F122" t="str">
        <v>CAT-004</v>
      </c>
      <c r="G122" t="str">
        <f>IFERROR(VLOOKUP(F122,CATÁLOGOS!$A$6:$B$105,2,FALSE),"")</f>
        <v>🌸 Aromas y fragancias</v>
      </c>
      <c r="H122" t="str">
        <v>SUB-022</v>
      </c>
      <c r="I122" t="str">
        <f>IFERROR(VLOOKUP(H122,CATÁLOGOS!$F$6:$H$305,3,FALSE),"")</f>
        <v>Difusores aromáticos</v>
      </c>
      <c r="J122" t="str">
        <v>Saphirus</v>
      </c>
      <c r="K122" t="str">
        <v>Difusor Aromatico Saphirus por 120 CC</v>
      </c>
      <c r="L122" t="str">
        <v>lavanda</v>
      </c>
      <c r="M122" t="str">
        <v>1 unidad</v>
      </c>
      <c r="N122" t="str">
        <v>DAV016.jpg</v>
      </c>
      <c r="O122" t="str">
        <v>CNT-110</v>
      </c>
      <c r="P122" t="str">
        <f>IFERROR(VLOOKUP(O122,CATÁLOGOS!$L$6:$O$305,3,FALSE),"")</f>
        <v>Difusor Aromatico Saphirus por 120 CC. Presentación: 1 unidad. Marca Saphirus. Fragancia: lavanda.</v>
      </c>
      <c r="Q122" t="str">
        <f>IFERROR(VLOOKUP(O122,CATÁLOGOS!$L$6:$O$305,4,FALSE),"")</f>
        <v>Difusores aromáticos. Perfuma ambientes y textiles con una fragancia agradable y duradera, ideal para dejar todo con olor a limpio.</v>
      </c>
      <c r="T122" t="str">
        <v>Activo</v>
      </c>
      <c r="U122" t="str">
        <v>NO</v>
      </c>
    </row>
    <row r="123">
      <c r="A123" t="str">
        <v>119</v>
      </c>
      <c r="B123" t="str">
        <v>DAV017</v>
      </c>
      <c r="C123" t="str">
        <v>DAV017</v>
      </c>
      <c r="D123" t="str">
        <v>DAV-SIMPLE-DIFUSOR-SAPHIRUS</v>
      </c>
      <c r="E123" t="str">
        <v>limon</v>
      </c>
      <c r="F123" t="str">
        <v>CAT-004</v>
      </c>
      <c r="G123" t="str">
        <f>IFERROR(VLOOKUP(F123,CATÁLOGOS!$A$6:$B$105,2,FALSE),"")</f>
        <v>🌸 Aromas y fragancias</v>
      </c>
      <c r="H123" t="str">
        <v>SUB-022</v>
      </c>
      <c r="I123" t="str">
        <f>IFERROR(VLOOKUP(H123,CATÁLOGOS!$F$6:$H$305,3,FALSE),"")</f>
        <v>Difusores aromáticos</v>
      </c>
      <c r="J123" t="str">
        <v>Saphirus</v>
      </c>
      <c r="K123" t="str">
        <v>Difusor Aromatico Saphirus por 120 CC</v>
      </c>
      <c r="L123" t="str">
        <v>limon</v>
      </c>
      <c r="M123" t="str">
        <v>1 unidad</v>
      </c>
      <c r="N123" t="str">
        <v>DAV017.jpg</v>
      </c>
      <c r="O123" t="str">
        <v>CNT-111</v>
      </c>
      <c r="P123" t="str">
        <f>IFERROR(VLOOKUP(O123,CATÁLOGOS!$L$6:$O$305,3,FALSE),"")</f>
        <v>Difusor Aromatico Saphirus por 120 CC. Presentación: 1 unidad. Marca Saphirus. Fragancia: limon.</v>
      </c>
      <c r="Q123" t="str">
        <f>IFERROR(VLOOKUP(O123,CATÁLOGOS!$L$6:$O$305,4,FALSE),"")</f>
        <v>Difusores aromáticos. Perfuma ambientes y textiles con una fragancia agradable y duradera, ideal para dejar todo con olor a limpio.</v>
      </c>
      <c r="T123" t="str">
        <v>Activo</v>
      </c>
      <c r="U123" t="str">
        <v>NO</v>
      </c>
    </row>
    <row r="124">
      <c r="A124" t="str">
        <v>120</v>
      </c>
      <c r="B124" t="str">
        <v>DAV018</v>
      </c>
      <c r="C124" t="str">
        <v>DAV018</v>
      </c>
      <c r="D124" t="str">
        <v>DAV-SIMPLE-DIFUSOR-SAPHIRUS</v>
      </c>
      <c r="E124" t="str">
        <v>vainilla madagascar</v>
      </c>
      <c r="F124" t="str">
        <v>CAT-004</v>
      </c>
      <c r="G124" t="str">
        <f>IFERROR(VLOOKUP(F124,CATÁLOGOS!$A$6:$B$105,2,FALSE),"")</f>
        <v>🌸 Aromas y fragancias</v>
      </c>
      <c r="H124" t="str">
        <v>SUB-022</v>
      </c>
      <c r="I124" t="str">
        <f>IFERROR(VLOOKUP(H124,CATÁLOGOS!$F$6:$H$305,3,FALSE),"")</f>
        <v>Difusores aromáticos</v>
      </c>
      <c r="J124" t="str">
        <v>Saphirus</v>
      </c>
      <c r="K124" t="str">
        <v>Difusor Aromatico Saphirus por 120 CC</v>
      </c>
      <c r="L124" t="str">
        <v>vainilla madagascar</v>
      </c>
      <c r="M124" t="str">
        <v>1 unidad</v>
      </c>
      <c r="N124" t="str">
        <v>DAV018.jpg</v>
      </c>
      <c r="O124" t="str">
        <v>CNT-112</v>
      </c>
      <c r="P124" t="str">
        <f>IFERROR(VLOOKUP(O124,CATÁLOGOS!$L$6:$O$305,3,FALSE),"")</f>
        <v>Difusor Aromatico Saphirus por 120 CC. Presentación: 1 unidad. Marca Saphirus. Fragancia: vainilla madagascar.</v>
      </c>
      <c r="Q124" t="str">
        <f>IFERROR(VLOOKUP(O124,CATÁLOGOS!$L$6:$O$305,4,FALSE),"")</f>
        <v>Difusores aromáticos. Perfuma ambientes y textiles con una fragancia agradable y duradera, ideal para dejar todo con olor a limpio.</v>
      </c>
      <c r="T124" t="str">
        <v>Activo</v>
      </c>
      <c r="U124" t="str">
        <v>NO</v>
      </c>
    </row>
    <row r="125">
      <c r="A125" t="str">
        <v>121</v>
      </c>
      <c r="B125" t="str">
        <v>DAV019</v>
      </c>
      <c r="C125" t="str">
        <v>DAV019</v>
      </c>
      <c r="D125" t="str">
        <v>DAV-SIMPLE-DIFUSOR-SAPHIRUS</v>
      </c>
      <c r="E125" t="str">
        <v>floral</v>
      </c>
      <c r="F125" t="str">
        <v>CAT-004</v>
      </c>
      <c r="G125" t="str">
        <f>IFERROR(VLOOKUP(F125,CATÁLOGOS!$A$6:$B$105,2,FALSE),"")</f>
        <v>🌸 Aromas y fragancias</v>
      </c>
      <c r="H125" t="str">
        <v>SUB-022</v>
      </c>
      <c r="I125" t="str">
        <f>IFERROR(VLOOKUP(H125,CATÁLOGOS!$F$6:$H$305,3,FALSE),"")</f>
        <v>Difusores aromáticos</v>
      </c>
      <c r="J125" t="str">
        <v>Saphirus</v>
      </c>
      <c r="K125" t="str">
        <v>Difusor Aromatico Saphirus por 120 CC</v>
      </c>
      <c r="L125" t="str">
        <v>floral</v>
      </c>
      <c r="M125" t="str">
        <v>1 unidad</v>
      </c>
      <c r="N125" t="str">
        <v>DAV019.jpg</v>
      </c>
      <c r="O125" t="str">
        <v>CNT-113</v>
      </c>
      <c r="P125" t="str">
        <f>IFERROR(VLOOKUP(O125,CATÁLOGOS!$L$6:$O$305,3,FALSE),"")</f>
        <v>Difusor Aromatico Saphirus por 120 CC. Presentación: 1 unidad. Marca Saphirus. Fragancia: floral.</v>
      </c>
      <c r="Q125" t="str">
        <f>IFERROR(VLOOKUP(O125,CATÁLOGOS!$L$6:$O$305,4,FALSE),"")</f>
        <v>Difusores aromáticos. Perfuma ambientes y textiles con una fragancia agradable y duradera, ideal para dejar todo con olor a limpio.</v>
      </c>
      <c r="T125" t="str">
        <v>Activo</v>
      </c>
      <c r="U125" t="str">
        <v>NO</v>
      </c>
    </row>
    <row r="126">
      <c r="A126" t="str">
        <v>122</v>
      </c>
      <c r="B126" t="str">
        <v>DAV020</v>
      </c>
      <c r="C126" t="str">
        <v>DAV020</v>
      </c>
      <c r="D126" t="str">
        <v>DAV-SIMPLE-DIFUSOR-SAPHIRUS</v>
      </c>
      <c r="E126" t="str">
        <v>chicle</v>
      </c>
      <c r="F126" t="str">
        <v>CAT-004</v>
      </c>
      <c r="G126" t="str">
        <f>IFERROR(VLOOKUP(F126,CATÁLOGOS!$A$6:$B$105,2,FALSE),"")</f>
        <v>🌸 Aromas y fragancias</v>
      </c>
      <c r="H126" t="str">
        <v>SUB-022</v>
      </c>
      <c r="I126" t="str">
        <f>IFERROR(VLOOKUP(H126,CATÁLOGOS!$F$6:$H$305,3,FALSE),"")</f>
        <v>Difusores aromáticos</v>
      </c>
      <c r="J126" t="str">
        <v>Saphirus</v>
      </c>
      <c r="K126" t="str">
        <v>Difusor Aromatico Saphirus por 120 CC</v>
      </c>
      <c r="L126" t="str">
        <v>chicle</v>
      </c>
      <c r="M126" t="str">
        <v>1 unidad</v>
      </c>
      <c r="N126" t="str">
        <v>DAV020.jpg</v>
      </c>
      <c r="O126" t="str">
        <v>CNT-114</v>
      </c>
      <c r="P126" t="str">
        <f>IFERROR(VLOOKUP(O126,CATÁLOGOS!$L$6:$O$305,3,FALSE),"")</f>
        <v>Difusor Aromatico Saphirus por 120 CC. Presentación: 1 unidad. Marca Saphirus. Fragancia: chicle.</v>
      </c>
      <c r="Q126" t="str">
        <f>IFERROR(VLOOKUP(O126,CATÁLOGOS!$L$6:$O$305,4,FALSE),"")</f>
        <v>Difusores aromáticos. Perfuma ambientes y textiles con una fragancia agradable y duradera, ideal para dejar todo con olor a limpio.</v>
      </c>
      <c r="T126" t="str">
        <v>Activo</v>
      </c>
      <c r="U126" t="str">
        <v>NO</v>
      </c>
    </row>
    <row r="127">
      <c r="A127" t="str">
        <v>123</v>
      </c>
      <c r="B127" t="str">
        <v>DAV021</v>
      </c>
      <c r="C127" t="str">
        <v>DAV021</v>
      </c>
      <c r="D127" t="str">
        <v>DAV-SIMPLE-DIFUSOR-SAPHIRUS</v>
      </c>
      <c r="E127" t="str">
        <v>palito de la selva</v>
      </c>
      <c r="F127" t="str">
        <v>CAT-004</v>
      </c>
      <c r="G127" t="str">
        <f>IFERROR(VLOOKUP(F127,CATÁLOGOS!$A$6:$B$105,2,FALSE),"")</f>
        <v>🌸 Aromas y fragancias</v>
      </c>
      <c r="H127" t="str">
        <v>SUB-022</v>
      </c>
      <c r="I127" t="str">
        <f>IFERROR(VLOOKUP(H127,CATÁLOGOS!$F$6:$H$305,3,FALSE),"")</f>
        <v>Difusores aromáticos</v>
      </c>
      <c r="J127" t="str">
        <v>Saphirus</v>
      </c>
      <c r="K127" t="str">
        <v>Difusor Aromatico Saphirus por 120 CC</v>
      </c>
      <c r="L127" t="str">
        <v>palito de la selva</v>
      </c>
      <c r="M127" t="str">
        <v>1 unidad</v>
      </c>
      <c r="N127" t="str">
        <v>DAV021.jpg</v>
      </c>
      <c r="O127" t="str">
        <v>CNT-115</v>
      </c>
      <c r="P127" t="str">
        <f>IFERROR(VLOOKUP(O127,CATÁLOGOS!$L$6:$O$305,3,FALSE),"")</f>
        <v>Difusor Aromatico Saphirus por 120 CC. Presentación: 1 unidad. Marca Saphirus. Fragancia: palito de la selva.</v>
      </c>
      <c r="Q127" t="str">
        <f>IFERROR(VLOOKUP(O127,CATÁLOGOS!$L$6:$O$305,4,FALSE),"")</f>
        <v>Difusores aromáticos. Perfuma ambientes y textiles con una fragancia agradable y duradera, ideal para dejar todo con olor a limpio.</v>
      </c>
      <c r="T127" t="str">
        <v>Activo</v>
      </c>
      <c r="U127" t="str">
        <v>NO</v>
      </c>
    </row>
    <row r="128">
      <c r="A128" t="str">
        <v>124</v>
      </c>
      <c r="B128" t="str">
        <v>DAV022</v>
      </c>
      <c r="C128" t="str">
        <v>DAV022</v>
      </c>
      <c r="D128" t="str">
        <v>DAV-SIMPLE-DIFUSOR-SAPHIRUS</v>
      </c>
      <c r="E128" t="str">
        <v>nag champa</v>
      </c>
      <c r="F128" t="str">
        <v>CAT-004</v>
      </c>
      <c r="G128" t="str">
        <f>IFERROR(VLOOKUP(F128,CATÁLOGOS!$A$6:$B$105,2,FALSE),"")</f>
        <v>🌸 Aromas y fragancias</v>
      </c>
      <c r="H128" t="str">
        <v>SUB-022</v>
      </c>
      <c r="I128" t="str">
        <f>IFERROR(VLOOKUP(H128,CATÁLOGOS!$F$6:$H$305,3,FALSE),"")</f>
        <v>Difusores aromáticos</v>
      </c>
      <c r="J128" t="str">
        <v>Saphirus</v>
      </c>
      <c r="K128" t="str">
        <v>Difusor Aromatico Saphirus por 120 CC</v>
      </c>
      <c r="L128" t="str">
        <v>nag champa</v>
      </c>
      <c r="M128" t="str">
        <v>1 unidad</v>
      </c>
      <c r="N128" t="str">
        <v>DAV022.jpg</v>
      </c>
      <c r="O128" t="str">
        <v>CNT-116</v>
      </c>
      <c r="P128" t="str">
        <f>IFERROR(VLOOKUP(O128,CATÁLOGOS!$L$6:$O$305,3,FALSE),"")</f>
        <v>Difusor Aromatico Saphirus por 120 CC. Presentación: 1 unidad. Marca Saphirus. Fragancia: nag champa.</v>
      </c>
      <c r="Q128" t="str">
        <f>IFERROR(VLOOKUP(O128,CATÁLOGOS!$L$6:$O$305,4,FALSE),"")</f>
        <v>Difusores aromáticos. Perfuma ambientes y textiles con una fragancia agradable y duradera, ideal para dejar todo con olor a limpio.</v>
      </c>
      <c r="T128" t="str">
        <v>Activo</v>
      </c>
      <c r="U128" t="str">
        <v>NO</v>
      </c>
    </row>
    <row r="129">
      <c r="A129" t="str">
        <v>125</v>
      </c>
      <c r="B129" t="str">
        <v>DAV023</v>
      </c>
      <c r="C129" t="str">
        <v>DAV023</v>
      </c>
      <c r="D129" t="str">
        <v>DAV-COMBINADO-DIFUSOR-SAPHIRUS</v>
      </c>
      <c r="E129" t="str">
        <v>sandia / melon</v>
      </c>
      <c r="F129" t="str">
        <v>CAT-004</v>
      </c>
      <c r="G129" t="str">
        <f>IFERROR(VLOOKUP(F129,CATÁLOGOS!$A$6:$B$105,2,FALSE),"")</f>
        <v>🌸 Aromas y fragancias</v>
      </c>
      <c r="H129" t="str">
        <v>SUB-022</v>
      </c>
      <c r="I129" t="str">
        <f>IFERROR(VLOOKUP(H129,CATÁLOGOS!$F$6:$H$305,3,FALSE),"")</f>
        <v>Difusores aromáticos</v>
      </c>
      <c r="J129" t="str">
        <v>Saphirus</v>
      </c>
      <c r="K129" t="str">
        <v>Difusor Aromatico Saphirus combinados por 120 CC</v>
      </c>
      <c r="L129" t="str">
        <v>sandia / melon</v>
      </c>
      <c r="M129" t="str">
        <v>1 unidad</v>
      </c>
      <c r="N129" t="str">
        <v>DAV023.jpg</v>
      </c>
      <c r="O129" t="str">
        <v>CNT-117</v>
      </c>
      <c r="P129" t="str">
        <f>IFERROR(VLOOKUP(O129,CATÁLOGOS!$L$6:$O$305,3,FALSE),"")</f>
        <v>Difusor Aromatico Saphirus combinados por 120 CC. Presentación: 1 unidad. Marca Saphirus. Fragancia: sandia / melon.</v>
      </c>
      <c r="Q129" t="str">
        <f>IFERROR(VLOOKUP(O129,CATÁLOGOS!$L$6:$O$305,4,FALSE),"")</f>
        <v>Difusores aromáticos. Perfuma ambientes y textiles con una fragancia agradable y duradera, ideal para dejar todo con olor a limpio.</v>
      </c>
      <c r="T129" t="str">
        <v>Activo</v>
      </c>
      <c r="U129" t="str">
        <v>NO</v>
      </c>
    </row>
    <row r="130">
      <c r="A130" t="str">
        <v>126</v>
      </c>
      <c r="B130" t="str">
        <v>DAV024</v>
      </c>
      <c r="C130" t="str">
        <v>DAV024</v>
      </c>
      <c r="D130" t="str">
        <v>DAV-COMBINADO-DIFUSOR-SAPHIRUS</v>
      </c>
      <c r="E130" t="str">
        <v>vainilla / frambruesa</v>
      </c>
      <c r="F130" t="str">
        <v>CAT-004</v>
      </c>
      <c r="G130" t="str">
        <f>IFERROR(VLOOKUP(F130,CATÁLOGOS!$A$6:$B$105,2,FALSE),"")</f>
        <v>🌸 Aromas y fragancias</v>
      </c>
      <c r="H130" t="str">
        <v>SUB-022</v>
      </c>
      <c r="I130" t="str">
        <f>IFERROR(VLOOKUP(H130,CATÁLOGOS!$F$6:$H$305,3,FALSE),"")</f>
        <v>Difusores aromáticos</v>
      </c>
      <c r="J130" t="str">
        <v>Saphirus</v>
      </c>
      <c r="K130" t="str">
        <v>Difusor Aromatico Saphirus combinados por 120 CC</v>
      </c>
      <c r="L130" t="str">
        <v>vainilla / frambruesa</v>
      </c>
      <c r="M130" t="str">
        <v>1 unidad</v>
      </c>
      <c r="N130" t="str">
        <v>DAV024.jpg</v>
      </c>
      <c r="O130" t="str">
        <v>CNT-118</v>
      </c>
      <c r="P130" t="str">
        <f>IFERROR(VLOOKUP(O130,CATÁLOGOS!$L$6:$O$305,3,FALSE),"")</f>
        <v>Difusor Aromatico Saphirus combinados por 120 CC. Presentación: 1 unidad. Marca Saphirus. Fragancia: vainilla / frambruesa.</v>
      </c>
      <c r="Q130" t="str">
        <f>IFERROR(VLOOKUP(O130,CATÁLOGOS!$L$6:$O$305,4,FALSE),"")</f>
        <v>Difusores aromáticos. Perfuma ambientes y textiles con una fragancia agradable y duradera, ideal para dejar todo con olor a limpio.</v>
      </c>
      <c r="T130" t="str">
        <v>Activo</v>
      </c>
      <c r="U130" t="str">
        <v>NO</v>
      </c>
    </row>
    <row r="131">
      <c r="A131" t="str">
        <v>127</v>
      </c>
      <c r="B131" t="str">
        <v>DAV025</v>
      </c>
      <c r="C131" t="str">
        <v>DAV025</v>
      </c>
      <c r="D131" t="str">
        <v>DAV-COMBINADO-DIFUSOR-SAPHIRUS</v>
      </c>
      <c r="E131" t="str">
        <v>vainilla / chocolate</v>
      </c>
      <c r="F131" t="str">
        <v>CAT-004</v>
      </c>
      <c r="G131" t="str">
        <f>IFERROR(VLOOKUP(F131,CATÁLOGOS!$A$6:$B$105,2,FALSE),"")</f>
        <v>🌸 Aromas y fragancias</v>
      </c>
      <c r="H131" t="str">
        <v>SUB-022</v>
      </c>
      <c r="I131" t="str">
        <f>IFERROR(VLOOKUP(H131,CATÁLOGOS!$F$6:$H$305,3,FALSE),"")</f>
        <v>Difusores aromáticos</v>
      </c>
      <c r="J131" t="str">
        <v>Saphirus</v>
      </c>
      <c r="K131" t="str">
        <v>Difusor Aromatico Saphirus combinados por 120 CC</v>
      </c>
      <c r="L131" t="str">
        <v>vainilla / chocolate</v>
      </c>
      <c r="M131" t="str">
        <v>1 unidad</v>
      </c>
      <c r="N131" t="str">
        <v>DAV025.jpg</v>
      </c>
      <c r="O131" t="str">
        <v>CNT-119</v>
      </c>
      <c r="P131" t="str">
        <f>IFERROR(VLOOKUP(O131,CATÁLOGOS!$L$6:$O$305,3,FALSE),"")</f>
        <v>Difusor Aromatico Saphirus combinados por 120 CC. Presentación: 1 unidad. Marca Saphirus. Fragancia: vainilla / chocolate.</v>
      </c>
      <c r="Q131" t="str">
        <f>IFERROR(VLOOKUP(O131,CATÁLOGOS!$L$6:$O$305,4,FALSE),"")</f>
        <v>Difusores aromáticos. Perfuma ambientes y textiles con una fragancia agradable y duradera, ideal para dejar todo con olor a limpio.</v>
      </c>
      <c r="T131" t="str">
        <v>Activo</v>
      </c>
      <c r="U131" t="str">
        <v>NO</v>
      </c>
    </row>
    <row r="132">
      <c r="A132" t="str">
        <v>128</v>
      </c>
      <c r="B132" t="str">
        <v>DAV026</v>
      </c>
      <c r="C132" t="str">
        <v>DAV026</v>
      </c>
      <c r="D132" t="str">
        <v>DAV-COMBINADO-DIFUSOR-SAPHIRUS</v>
      </c>
      <c r="E132" t="str">
        <v>vaini / coco</v>
      </c>
      <c r="F132" t="str">
        <v>CAT-004</v>
      </c>
      <c r="G132" t="str">
        <f>IFERROR(VLOOKUP(F132,CATÁLOGOS!$A$6:$B$105,2,FALSE),"")</f>
        <v>🌸 Aromas y fragancias</v>
      </c>
      <c r="H132" t="str">
        <v>SUB-022</v>
      </c>
      <c r="I132" t="str">
        <f>IFERROR(VLOOKUP(H132,CATÁLOGOS!$F$6:$H$305,3,FALSE),"")</f>
        <v>Difusores aromáticos</v>
      </c>
      <c r="J132" t="str">
        <v>Saphirus</v>
      </c>
      <c r="K132" t="str">
        <v>Difusor Aromatico Saphirus combinados por 120 CC</v>
      </c>
      <c r="L132" t="str">
        <v>vaini / coco</v>
      </c>
      <c r="M132" t="str">
        <v>1 unidad</v>
      </c>
      <c r="N132" t="str">
        <v>DAV026.jpg</v>
      </c>
      <c r="O132" t="str">
        <v>CNT-120</v>
      </c>
      <c r="P132" t="str">
        <f>IFERROR(VLOOKUP(O132,CATÁLOGOS!$L$6:$O$305,3,FALSE),"")</f>
        <v>Difusor Aromatico Saphirus combinados por 120 CC. Presentación: 1 unidad. Marca Saphirus. Fragancia: vaini / coco.</v>
      </c>
      <c r="Q132" t="str">
        <f>IFERROR(VLOOKUP(O132,CATÁLOGOS!$L$6:$O$305,4,FALSE),"")</f>
        <v>Difusores aromáticos. Perfuma ambientes y textiles con una fragancia agradable y duradera, ideal para dejar todo con olor a limpio.</v>
      </c>
      <c r="T132" t="str">
        <v>Activo</v>
      </c>
      <c r="U132" t="str">
        <v>NO</v>
      </c>
    </row>
    <row r="133">
      <c r="A133" t="str">
        <v>129</v>
      </c>
      <c r="B133" t="str">
        <v>DAV027</v>
      </c>
      <c r="C133" t="str">
        <v>DAV027</v>
      </c>
      <c r="D133" t="str">
        <v>DAV-COMBINADO-DIFUSOR-SAPHIRUS</v>
      </c>
      <c r="E133" t="str">
        <v>flores blancas / uvas</v>
      </c>
      <c r="F133" t="str">
        <v>CAT-004</v>
      </c>
      <c r="G133" t="str">
        <f>IFERROR(VLOOKUP(F133,CATÁLOGOS!$A$6:$B$105,2,FALSE),"")</f>
        <v>🌸 Aromas y fragancias</v>
      </c>
      <c r="H133" t="str">
        <v>SUB-022</v>
      </c>
      <c r="I133" t="str">
        <f>IFERROR(VLOOKUP(H133,CATÁLOGOS!$F$6:$H$305,3,FALSE),"")</f>
        <v>Difusores aromáticos</v>
      </c>
      <c r="J133" t="str">
        <v>Saphirus</v>
      </c>
      <c r="K133" t="str">
        <v>Difusor Aromatico Saphirus combinados por 120 CC</v>
      </c>
      <c r="L133" t="str">
        <v>flores blancas / uvas</v>
      </c>
      <c r="M133" t="str">
        <v>1 unidad</v>
      </c>
      <c r="N133" t="str">
        <v>DAV027.jpg</v>
      </c>
      <c r="O133" t="str">
        <v>CNT-121</v>
      </c>
      <c r="P133" t="str">
        <f>IFERROR(VLOOKUP(O133,CATÁLOGOS!$L$6:$O$305,3,FALSE),"")</f>
        <v>Difusor Aromatico Saphirus combinados por 120 CC. Presentación: 1 unidad. Marca Saphirus. Fragancia: flores blancas / uvas.</v>
      </c>
      <c r="Q133" t="str">
        <f>IFERROR(VLOOKUP(O133,CATÁLOGOS!$L$6:$O$305,4,FALSE),"")</f>
        <v>Difusores aromáticos. Perfuma ambientes y textiles con una fragancia agradable y duradera, ideal para dejar todo con olor a limpio.</v>
      </c>
      <c r="T133" t="str">
        <v>Activo</v>
      </c>
      <c r="U133" t="str">
        <v>NO</v>
      </c>
    </row>
    <row r="134">
      <c r="A134" t="str">
        <v>130</v>
      </c>
      <c r="B134" t="str">
        <v>PROM001</v>
      </c>
      <c r="C134" t="str">
        <v>PROM001</v>
      </c>
      <c r="F134" t="str">
        <v>CAT-008</v>
      </c>
      <c r="G134" t="str">
        <f>IFERROR(VLOOKUP(F134,CATÁLOGOS!$A$6:$B$105,2,FALSE),"")</f>
        <v>📦 Packs y ofertas</v>
      </c>
      <c r="H134" t="str">
        <v>SUB-023</v>
      </c>
      <c r="I134" t="str">
        <f>IFERROR(VLOOKUP(H134,CATÁLOGOS!$F$6:$H$305,3,FALSE),"")</f>
        <v>Promo 15 litros</v>
      </c>
      <c r="J134" t="str">
        <v>bethel</v>
      </c>
      <c r="K134" t="str">
        <v>Promo 15 litros</v>
      </c>
      <c r="M134" t="str">
        <v>1 unidad</v>
      </c>
      <c r="N134" t="str">
        <v>PROM001.png</v>
      </c>
      <c r="O134" t="str">
        <v>CNT-122</v>
      </c>
      <c r="P134" t="str">
        <f>IFERROR(VLOOKUP(O134,CATÁLOGOS!$L$6:$O$305,3,FALSE),"")</f>
        <v>Promo 15 litros. Presentación: 1 unidad.</v>
      </c>
      <c r="Q134" t="str">
        <f>IFERROR(VLOOKUP(O134,CATÁLOGOS!$L$6:$O$305,4,FALSE),"")</f>
        <v>Promo 15 litros. Combo pensado para ahorrar, con mayor cantidad de producto al mejor precio por litro.</v>
      </c>
      <c r="T134" t="str">
        <v>Activo</v>
      </c>
      <c r="U134" t="str">
        <v>NO</v>
      </c>
    </row>
    <row r="135">
      <c r="A135" t="str">
        <v>131</v>
      </c>
      <c r="B135" t="str">
        <v>PROM002</v>
      </c>
      <c r="C135" t="str">
        <v>PROM002</v>
      </c>
      <c r="F135" t="str">
        <v>CAT-008</v>
      </c>
      <c r="G135" t="str">
        <f>IFERROR(VLOOKUP(F135,CATÁLOGOS!$A$6:$B$105,2,FALSE),"")</f>
        <v>📦 Packs y ofertas</v>
      </c>
      <c r="H135" t="str">
        <v>SUB-024</v>
      </c>
      <c r="I135" t="str">
        <f>IFERROR(VLOOKUP(H135,CATÁLOGOS!$F$6:$H$305,3,FALSE),"")</f>
        <v>Promo 12 litros</v>
      </c>
      <c r="J135" t="str">
        <v>bethel</v>
      </c>
      <c r="K135" t="str">
        <v>Promo 12 litros + 5 de regalo</v>
      </c>
      <c r="M135" t="str">
        <v>1 unidad</v>
      </c>
      <c r="N135" t="str">
        <v>PROM002.png</v>
      </c>
      <c r="O135" t="str">
        <v>CNT-123</v>
      </c>
      <c r="P135" t="str">
        <f>IFERROR(VLOOKUP(O135,CATÁLOGOS!$L$6:$O$305,3,FALSE),"")</f>
        <v>Promo 12 litros + 5 de regalo. Presentación: 1 unidad.</v>
      </c>
      <c r="Q135" t="str">
        <f>IFERROR(VLOOKUP(O135,CATÁLOGOS!$L$6:$O$305,4,FALSE),"")</f>
        <v>Promo 12 litros. Combo pensado para ahorrar, con mayor cantidad de producto al mejor precio por litro.</v>
      </c>
      <c r="T135" t="str">
        <v>Activo</v>
      </c>
      <c r="U135" t="str">
        <v>NO</v>
      </c>
    </row>
    <row r="136">
      <c r="A136" t="str">
        <v>132</v>
      </c>
      <c r="B136" t="str">
        <v>PROM003</v>
      </c>
      <c r="C136" t="str">
        <v>PROM003</v>
      </c>
      <c r="F136" t="str">
        <v>CAT-008</v>
      </c>
      <c r="G136" t="str">
        <f>IFERROR(VLOOKUP(F136,CATÁLOGOS!$A$6:$B$105,2,FALSE),"")</f>
        <v>📦 Packs y ofertas</v>
      </c>
      <c r="H136" t="str">
        <v>SUB-025</v>
      </c>
      <c r="I136" t="str">
        <f>IFERROR(VLOOKUP(H136,CATÁLOGOS!$F$6:$H$305,3,FALSE),"")</f>
        <v>Promo 10 litros</v>
      </c>
      <c r="J136" t="str">
        <v>bethel</v>
      </c>
      <c r="K136" t="str">
        <v>Promo 10 litros</v>
      </c>
      <c r="M136" t="str">
        <v>1 unidad</v>
      </c>
      <c r="N136" t="str">
        <v>PROM003.png</v>
      </c>
      <c r="O136" t="str">
        <v>CNT-124</v>
      </c>
      <c r="P136" t="str">
        <f>IFERROR(VLOOKUP(O136,CATÁLOGOS!$L$6:$O$305,3,FALSE),"")</f>
        <v>Promo 10 litros. Presentación: 1 unidad.</v>
      </c>
      <c r="Q136" t="str">
        <f>IFERROR(VLOOKUP(O136,CATÁLOGOS!$L$6:$O$305,4,FALSE),"")</f>
        <v>Promo 10 litros. Combo pensado para ahorrar, con mayor cantidad de producto al mejor precio por litro.</v>
      </c>
      <c r="T136" t="str">
        <v>Activo</v>
      </c>
      <c r="U136" t="str">
        <v>NO</v>
      </c>
    </row>
    <row r="137">
      <c r="A137" t="str">
        <v>133</v>
      </c>
      <c r="B137" t="str">
        <v>CLO002</v>
      </c>
      <c r="C137" t="str">
        <v>CLO002</v>
      </c>
      <c r="F137" t="str">
        <v>CAT-005</v>
      </c>
      <c r="G137" t="str">
        <f>IFERROR(VLOOKUP(F137,CATÁLOGOS!$A$6:$B$105,2,FALSE),"")</f>
        <v>🦠 Desinfección y limpieza</v>
      </c>
      <c r="H137" t="str">
        <v>SUB-026</v>
      </c>
      <c r="I137" t="str">
        <f>IFERROR(VLOOKUP(H137,CATÁLOGOS!$F$6:$H$305,3,FALSE),"")</f>
        <v>Cloro</v>
      </c>
      <c r="J137" t="str">
        <v>bethel</v>
      </c>
      <c r="K137" t="str">
        <v>Cloro liquido x 1 litro</v>
      </c>
      <c r="M137" t="str">
        <v>1 litro</v>
      </c>
      <c r="N137" t="str">
        <v>CLO002.png</v>
      </c>
      <c r="O137" t="str">
        <v>CNT-125</v>
      </c>
      <c r="P137" t="str">
        <f>IFERROR(VLOOKUP(O137,CATÁLOGOS!$L$6:$O$305,3,FALSE),"")</f>
        <v>Cloro liquido x 1 litro. Presentación: 1 litro.</v>
      </c>
      <c r="Q137" t="str">
        <f>IFERROR(VLOOKUP(O137,CATÁLOGOS!$L$6:$O$305,4,FALSE),"")</f>
        <v>Cloro. Elimina bacterias y gérmenes, desinfectando a fondo superficies del hogar, comercios e industrias.</v>
      </c>
      <c r="T137" t="str">
        <v>Activo</v>
      </c>
      <c r="U137" t="str">
        <v>SI</v>
      </c>
    </row>
    <row r="138">
      <c r="A138" t="str">
        <v>134</v>
      </c>
      <c r="B138" t="str">
        <v>CLO003</v>
      </c>
      <c r="C138" t="str">
        <v>CLO003</v>
      </c>
      <c r="F138" t="str">
        <v>CAT-005</v>
      </c>
      <c r="G138" t="str">
        <f>IFERROR(VLOOKUP(F138,CATÁLOGOS!$A$6:$B$105,2,FALSE),"")</f>
        <v>🦠 Desinfección y limpieza</v>
      </c>
      <c r="H138" t="str">
        <v>SUB-026</v>
      </c>
      <c r="I138" t="str">
        <f>IFERROR(VLOOKUP(H138,CATÁLOGOS!$F$6:$H$305,3,FALSE),"")</f>
        <v>Cloro</v>
      </c>
      <c r="J138" t="str">
        <v>bethel</v>
      </c>
      <c r="K138" t="str">
        <v>Cloro liquido pack x 6</v>
      </c>
      <c r="M138" t="str">
        <v>6 litros</v>
      </c>
      <c r="N138" t="str">
        <v>CLO003.png</v>
      </c>
      <c r="O138" t="str">
        <v>CNT-126</v>
      </c>
      <c r="P138" t="str">
        <f>IFERROR(VLOOKUP(O138,CATÁLOGOS!$L$6:$O$305,3,FALSE),"")</f>
        <v>Cloro liquido pack x 6. Presentación: 6 litros.</v>
      </c>
      <c r="Q138" t="str">
        <f>IFERROR(VLOOKUP(O138,CATÁLOGOS!$L$6:$O$305,4,FALSE),"")</f>
        <v>Cloro. Elimina bacterias y gérmenes, desinfectando a fondo superficies del hogar, comercios e industrias.</v>
      </c>
      <c r="T138" t="str">
        <v>Activo</v>
      </c>
      <c r="U138" t="str">
        <v>SI</v>
      </c>
    </row>
    <row r="139">
      <c r="A139" t="str">
        <v>135</v>
      </c>
      <c r="B139" t="str">
        <v>DET002</v>
      </c>
      <c r="C139" t="str">
        <v>DET002</v>
      </c>
      <c r="F139" t="str">
        <v>CAT-002</v>
      </c>
      <c r="G139" t="str">
        <f>IFERROR(VLOOKUP(F139,CATÁLOGOS!$A$6:$B$105,2,FALSE),"")</f>
        <v>🍽️ Cocina</v>
      </c>
      <c r="H139" t="str">
        <v>SUB-002</v>
      </c>
      <c r="I139" t="str">
        <f>IFERROR(VLOOKUP(H139,CATÁLOGOS!$F$6:$H$305,3,FALSE),"")</f>
        <v>Detergente concentrado</v>
      </c>
      <c r="J139" t="str">
        <v>bethel</v>
      </c>
      <c r="K139" t="str">
        <v>Detergente concentrado Industrial</v>
      </c>
      <c r="M139" t="str">
        <v>1 litros</v>
      </c>
      <c r="N139" t="str">
        <v>DET002.png</v>
      </c>
      <c r="O139" t="str">
        <v>CNT-127</v>
      </c>
      <c r="P139" t="str">
        <f>IFERROR(VLOOKUP(O139,CATÁLOGOS!$L$6:$O$305,3,FALSE),"")</f>
        <v>Detergente concentrado rinde x2. Presentación: 1 litros.</v>
      </c>
      <c r="Q139" t="str">
        <f>IFERROR(VLOOKUP(O139,CATÁLOGOS!$L$6:$O$305,4,FALSE),"")</f>
        <v>Detergente concentrado. Ideal para desengrasar y limpiar utensilios, vajilla y superficies de cocina de forma rápida y efectiva.</v>
      </c>
      <c r="T139" t="str">
        <v>Activo</v>
      </c>
      <c r="U139" t="str">
        <v>SI</v>
      </c>
    </row>
    <row r="140">
      <c r="A140" t="str">
        <v>136</v>
      </c>
      <c r="B140" t="str">
        <v>DET003</v>
      </c>
      <c r="C140" t="str">
        <v>DET003</v>
      </c>
      <c r="F140" t="str">
        <v>CAT-002</v>
      </c>
      <c r="G140" t="str">
        <f>IFERROR(VLOOKUP(F140,CATÁLOGOS!$A$6:$B$105,2,FALSE),"")</f>
        <v>🍽️ Cocina</v>
      </c>
      <c r="H140" t="str">
        <v>SUB-002</v>
      </c>
      <c r="I140" t="str">
        <f>IFERROR(VLOOKUP(H140,CATÁLOGOS!$F$6:$H$305,3,FALSE),"")</f>
        <v>Detergente concentrado</v>
      </c>
      <c r="J140" t="str">
        <v>bethel</v>
      </c>
      <c r="K140" t="str">
        <v>Detergente liquido concentrado pack 6 unidades</v>
      </c>
      <c r="M140" t="str">
        <v>6 litros</v>
      </c>
      <c r="N140" t="str">
        <v>DET003.png</v>
      </c>
      <c r="O140" t="str">
        <v>CNT-128</v>
      </c>
      <c r="P140" t="str">
        <f>IFERROR(VLOOKUP(O140,CATÁLOGOS!$L$6:$O$305,3,FALSE),"")</f>
        <v>Detergente liquido concentrado pack 6 unidades. Presentación: 6 litros.</v>
      </c>
      <c r="Q140" t="str">
        <f>IFERROR(VLOOKUP(O140,CATÁLOGOS!$L$6:$O$305,4,FALSE),"")</f>
        <v>Detergente concentrado. Ideal para desengrasar y limpiar utensilios, vajilla y superficies de cocina de forma rápida y efectiva.</v>
      </c>
      <c r="T140" t="str">
        <v>Activo</v>
      </c>
      <c r="U140" t="str">
        <v>SI</v>
      </c>
    </row>
    <row r="141">
      <c r="A141" t="str">
        <v>137</v>
      </c>
      <c r="B141" t="str">
        <v>LVA003</v>
      </c>
      <c r="C141" t="str">
        <v>LVA003</v>
      </c>
      <c r="F141" t="str">
        <v>CAT-002</v>
      </c>
      <c r="G141" t="str">
        <f>IFERROR(VLOOKUP(F141,CATÁLOGOS!$A$6:$B$105,2,FALSE),"")</f>
        <v>🍽️ Cocina</v>
      </c>
      <c r="H141" t="str">
        <v>SUB-027</v>
      </c>
      <c r="I141" t="str">
        <f>IFERROR(VLOOKUP(H141,CATÁLOGOS!$F$6:$H$305,3,FALSE),"")</f>
        <v>Lavavajillas Listo para usar</v>
      </c>
      <c r="J141" t="str">
        <v>bethel</v>
      </c>
      <c r="K141" t="str">
        <v>Lavavajillas listo para usar 1 litro</v>
      </c>
      <c r="M141" t="str">
        <v>1 litro</v>
      </c>
      <c r="N141" t="str">
        <v>LVA003.png</v>
      </c>
      <c r="O141" t="str">
        <v>CNT-129</v>
      </c>
      <c r="P141" t="str">
        <f>IFERROR(VLOOKUP(O141,CATÁLOGOS!$L$6:$O$305,3,FALSE),"")</f>
        <v>Lavavajillas listo para usar 1 litro. Presentación: 1 litro.</v>
      </c>
      <c r="Q141" t="str">
        <f>IFERROR(VLOOKUP(O141,CATÁLOGOS!$L$6:$O$305,4,FALSE),"")</f>
        <v>Lavavajillas Listo para usar. Ideal para desengrasar y limpiar utensilios, vajilla y superficies de cocina de forma rápida y efectiva.</v>
      </c>
      <c r="T141" t="str">
        <v>Activo</v>
      </c>
      <c r="U141" t="str">
        <v>SI</v>
      </c>
    </row>
    <row r="142">
      <c r="A142" t="str">
        <v>138</v>
      </c>
      <c r="B142" t="str">
        <v>LVA004</v>
      </c>
      <c r="C142" t="str">
        <v>LVA004</v>
      </c>
      <c r="F142" t="str">
        <v>CAT-002</v>
      </c>
      <c r="G142" t="str">
        <f>IFERROR(VLOOKUP(F142,CATÁLOGOS!$A$6:$B$105,2,FALSE),"")</f>
        <v>🍽️ Cocina</v>
      </c>
      <c r="H142" t="str">
        <v>SUB-027</v>
      </c>
      <c r="I142" t="str">
        <f>IFERROR(VLOOKUP(H142,CATÁLOGOS!$F$6:$H$305,3,FALSE),"")</f>
        <v>Lavavajillas Listo para usar</v>
      </c>
      <c r="J142" t="str">
        <v>bethel</v>
      </c>
      <c r="K142" t="str">
        <v>Lavavajillas listo para usar pack 6 litros</v>
      </c>
      <c r="M142" t="str">
        <v>6 litros</v>
      </c>
      <c r="N142" t="str">
        <v>LVA004.png</v>
      </c>
      <c r="O142" t="str">
        <v>CNT-130</v>
      </c>
      <c r="P142" t="str">
        <f>IFERROR(VLOOKUP(O142,CATÁLOGOS!$L$6:$O$305,3,FALSE),"")</f>
        <v>Lavavajillas listo para usar pack 6 litros. Presentación: 6 litros.</v>
      </c>
      <c r="Q142" t="str">
        <f>IFERROR(VLOOKUP(O142,CATÁLOGOS!$L$6:$O$305,4,FALSE),"")</f>
        <v>Lavavajillas Listo para usar. Ideal para desengrasar y limpiar utensilios, vajilla y superficies de cocina de forma rápida y efectiva.</v>
      </c>
      <c r="T142" t="str">
        <v>Activo</v>
      </c>
      <c r="U142" t="str">
        <v>SI</v>
      </c>
    </row>
    <row r="143">
      <c r="A143" t="str">
        <v>139</v>
      </c>
      <c r="B143" t="str">
        <v>LVA005</v>
      </c>
      <c r="C143" t="str">
        <v>LVA005</v>
      </c>
      <c r="F143" t="str">
        <v>CAT-002</v>
      </c>
      <c r="G143" t="str">
        <f>IFERROR(VLOOKUP(F143,CATÁLOGOS!$A$6:$B$105,2,FALSE),"")</f>
        <v>🍽️ Cocina</v>
      </c>
      <c r="H143" t="str">
        <v>SUB-028</v>
      </c>
      <c r="I143" t="str">
        <f>IFERROR(VLOOKUP(H143,CATÁLOGOS!$F$6:$H$305,3,FALSE),"")</f>
        <v>Lavavajillas Concentrado</v>
      </c>
      <c r="J143" t="str">
        <v>bethel</v>
      </c>
      <c r="K143" t="str">
        <v>Lavavajillas concentrado 1 litro</v>
      </c>
      <c r="M143" t="str">
        <v>1 litro</v>
      </c>
      <c r="N143" t="str">
        <v>LVA005.png</v>
      </c>
      <c r="O143" t="str">
        <v>CNT-131</v>
      </c>
      <c r="P143" t="str">
        <f>IFERROR(VLOOKUP(O143,CATÁLOGOS!$L$6:$O$305,3,FALSE),"")</f>
        <v>Lavavajillas concentrado 1 litro. Presentación: 1 litro.</v>
      </c>
      <c r="Q143" t="str">
        <f>IFERROR(VLOOKUP(O143,CATÁLOGOS!$L$6:$O$305,4,FALSE),"")</f>
        <v>Lavavajillas Concentrado. Ideal para desengrasar y limpiar utensilios, vajilla y superficies de cocina de forma rápida y efectiva.</v>
      </c>
      <c r="T143" t="str">
        <v>Activo</v>
      </c>
      <c r="U143" t="str">
        <v>SI</v>
      </c>
    </row>
    <row r="144">
      <c r="A144" t="str">
        <v>140</v>
      </c>
      <c r="B144" t="str">
        <v>LVA006</v>
      </c>
      <c r="C144" t="str">
        <v>LVA006</v>
      </c>
      <c r="F144" t="str">
        <v>CAT-002</v>
      </c>
      <c r="G144" t="str">
        <f>IFERROR(VLOOKUP(F144,CATÁLOGOS!$A$6:$B$105,2,FALSE),"")</f>
        <v>🍽️ Cocina</v>
      </c>
      <c r="H144" t="str">
        <v>SUB-028</v>
      </c>
      <c r="I144" t="str">
        <f>IFERROR(VLOOKUP(H144,CATÁLOGOS!$F$6:$H$305,3,FALSE),"")</f>
        <v>Lavavajillas Concentrado</v>
      </c>
      <c r="J144" t="str">
        <v>bethel</v>
      </c>
      <c r="K144" t="str">
        <v>Lavavajillas concentrado pack 6 litros</v>
      </c>
      <c r="M144" t="str">
        <v>6 litros</v>
      </c>
      <c r="N144" t="str">
        <v>LVA006.png</v>
      </c>
      <c r="O144" t="str">
        <v>CNT-132</v>
      </c>
      <c r="P144" t="str">
        <f>IFERROR(VLOOKUP(O144,CATÁLOGOS!$L$6:$O$305,3,FALSE),"")</f>
        <v>Lavavajillas concentrado pack 6 litros. Presentación: 6 litros.</v>
      </c>
      <c r="Q144" t="str">
        <f>IFERROR(VLOOKUP(O144,CATÁLOGOS!$L$6:$O$305,4,FALSE),"")</f>
        <v>Lavavajillas Concentrado. Ideal para desengrasar y limpiar utensilios, vajilla y superficies de cocina de forma rápida y efectiva.</v>
      </c>
      <c r="T144" t="str">
        <v>Activo</v>
      </c>
      <c r="U144" t="str">
        <v>SI</v>
      </c>
    </row>
    <row r="145">
      <c r="A145" t="str">
        <v>141</v>
      </c>
      <c r="B145" t="str">
        <v>SUA003</v>
      </c>
      <c r="C145" t="str">
        <v>SUA003</v>
      </c>
      <c r="F145" t="str">
        <v>CAT-003</v>
      </c>
      <c r="G145" t="str">
        <f>IFERROR(VLOOKUP(F145,CATÁLOGOS!$A$6:$B$105,2,FALSE),"")</f>
        <v>👕 Ropa y lavado</v>
      </c>
      <c r="H145" t="str">
        <v>SUB-005</v>
      </c>
      <c r="I145" t="str">
        <f>IFERROR(VLOOKUP(H145,CATÁLOGOS!$F$6:$H$305,3,FALSE),"")</f>
        <v>Suavizante</v>
      </c>
      <c r="J145" t="str">
        <v>bethel</v>
      </c>
      <c r="K145" t="str">
        <v>Suavizante listo para usar 1 litro</v>
      </c>
      <c r="L145" t="str">
        <v>color blanco premium</v>
      </c>
      <c r="M145" t="str">
        <v>1 litro</v>
      </c>
      <c r="N145" t="str">
        <v>SUA003.png</v>
      </c>
      <c r="O145" t="str">
        <v>CNT-133</v>
      </c>
      <c r="P145" t="str">
        <f>IFERROR(VLOOKUP(O145,CATÁLOGOS!$L$6:$O$305,3,FALSE),"")</f>
        <v>Suavizante listo para usar 1 litro. Presentación: 1 litro. Fragancia: color blanco premium.</v>
      </c>
      <c r="Q145" t="str">
        <f>IFERROR(VLOOKUP(O145,CATÁLOGOS!$L$6:$O$305,4,FALSE),"")</f>
        <v>Suavizante. Cuida las fibras de la ropa, suaviza y deja un aroma agradable y duradero en cada lavado.</v>
      </c>
      <c r="T145" t="str">
        <v>Activo</v>
      </c>
      <c r="U145" t="str">
        <v>SI</v>
      </c>
    </row>
    <row r="146">
      <c r="A146" t="str">
        <v>142</v>
      </c>
      <c r="B146" t="str">
        <v>SUA004</v>
      </c>
      <c r="C146" t="str">
        <v>SUA004</v>
      </c>
      <c r="F146" t="str">
        <v>CAT-003</v>
      </c>
      <c r="G146" t="str">
        <f>IFERROR(VLOOKUP(F146,CATÁLOGOS!$A$6:$B$105,2,FALSE),"")</f>
        <v>👕 Ropa y lavado</v>
      </c>
      <c r="H146" t="str">
        <v>SUB-005</v>
      </c>
      <c r="I146" t="str">
        <f>IFERROR(VLOOKUP(H146,CATÁLOGOS!$F$6:$H$305,3,FALSE),"")</f>
        <v>Suavizante</v>
      </c>
      <c r="J146" t="str">
        <v>bethel</v>
      </c>
      <c r="K146" t="str">
        <v>Suavizante listo para usar pack 6 x 6 litros</v>
      </c>
      <c r="M146" t="str">
        <v>6 litros</v>
      </c>
      <c r="N146" t="str">
        <v>SUA004.png</v>
      </c>
      <c r="O146" t="str">
        <v>CNT-134</v>
      </c>
      <c r="P146" t="str">
        <f>IFERROR(VLOOKUP(O146,CATÁLOGOS!$L$6:$O$305,3,FALSE),"")</f>
        <v>Suavizante listo para usar pack 6 x 6 litros. Presentación: 6 litros.</v>
      </c>
      <c r="Q146" t="str">
        <f>IFERROR(VLOOKUP(O146,CATÁLOGOS!$L$6:$O$305,4,FALSE),"")</f>
        <v>Suavizante. Cuida las fibras de la ropa, suaviza y deja un aroma agradable y duradero en cada lavado.</v>
      </c>
      <c r="T146" t="str">
        <v>Activo</v>
      </c>
      <c r="U146" t="str">
        <v>SI</v>
      </c>
    </row>
    <row r="147">
      <c r="A147" t="str">
        <v>143</v>
      </c>
      <c r="B147" t="str">
        <v>SUA005</v>
      </c>
      <c r="C147" t="str">
        <v>SUA005</v>
      </c>
      <c r="F147" t="str">
        <v>CAT-003</v>
      </c>
      <c r="G147" t="str">
        <f>IFERROR(VLOOKUP(F147,CATÁLOGOS!$A$6:$B$105,2,FALSE),"")</f>
        <v>👕 Ropa y lavado</v>
      </c>
      <c r="H147" t="str">
        <v>SUB-005</v>
      </c>
      <c r="I147" t="str">
        <f>IFERROR(VLOOKUP(H147,CATÁLOGOS!$F$6:$H$305,3,FALSE),"")</f>
        <v>Suavizante</v>
      </c>
      <c r="J147" t="str">
        <v>bethel</v>
      </c>
      <c r="K147" t="str">
        <v>Suavizante listo para usar x 1 litro</v>
      </c>
      <c r="L147" t="str">
        <v>color celeste economico</v>
      </c>
      <c r="M147" t="str">
        <v>1 litro</v>
      </c>
      <c r="N147" t="str">
        <v>SUA005.png</v>
      </c>
      <c r="O147" t="str">
        <v>CNT-135</v>
      </c>
      <c r="P147" t="str">
        <f>IFERROR(VLOOKUP(O147,CATÁLOGOS!$L$6:$O$305,3,FALSE),"")</f>
        <v>Suavizante listo para usar x 1 litro. Presentación: 1 litro. Fragancia: color celeste economico.</v>
      </c>
      <c r="Q147" t="str">
        <f>IFERROR(VLOOKUP(O147,CATÁLOGOS!$L$6:$O$305,4,FALSE),"")</f>
        <v>Suavizante. Cuida las fibras de la ropa, suaviza y deja un aroma agradable y duradero en cada lavado.</v>
      </c>
      <c r="T147" t="str">
        <v>Activo</v>
      </c>
      <c r="U147" t="str">
        <v>SI</v>
      </c>
    </row>
    <row r="148">
      <c r="A148" t="str">
        <v>144</v>
      </c>
      <c r="B148" t="str">
        <v>SUA006</v>
      </c>
      <c r="C148" t="str">
        <v>SUA006</v>
      </c>
      <c r="F148" t="str">
        <v>CAT-003</v>
      </c>
      <c r="G148" t="str">
        <f>IFERROR(VLOOKUP(F148,CATÁLOGOS!$A$6:$B$105,2,FALSE),"")</f>
        <v>👕 Ropa y lavado</v>
      </c>
      <c r="H148" t="str">
        <v>SUB-005</v>
      </c>
      <c r="I148" t="str">
        <f>IFERROR(VLOOKUP(H148,CATÁLOGOS!$F$6:$H$305,3,FALSE),"")</f>
        <v>Suavizante</v>
      </c>
      <c r="J148" t="str">
        <v>bethel</v>
      </c>
      <c r="K148" t="str">
        <v>Suavizante listo para usar pack x 6 litros</v>
      </c>
      <c r="L148" t="str">
        <v>color celeste economico</v>
      </c>
      <c r="M148" t="str">
        <v>6 litros</v>
      </c>
      <c r="N148" t="str">
        <v>SUA006.png</v>
      </c>
      <c r="O148" t="str">
        <v>CNT-136</v>
      </c>
      <c r="P148" t="str">
        <f>IFERROR(VLOOKUP(O148,CATÁLOGOS!$L$6:$O$305,3,FALSE),"")</f>
        <v>Suavizante listo para usar pack x 6 litros. Presentación: 6 litros. Fragancia: color celeste economico.</v>
      </c>
      <c r="Q148" t="str">
        <f>IFERROR(VLOOKUP(O148,CATÁLOGOS!$L$6:$O$305,4,FALSE),"")</f>
        <v>Suavizante. Cuida las fibras de la ropa, suaviza y deja un aroma agradable y duradero en cada lavado.</v>
      </c>
      <c r="T148" t="str">
        <v>Activo</v>
      </c>
      <c r="U148" t="str">
        <v>SI</v>
      </c>
    </row>
    <row r="149">
      <c r="A149" t="str">
        <v>145</v>
      </c>
      <c r="B149" t="str">
        <v>DPP001</v>
      </c>
      <c r="C149" t="str">
        <v>DPP001</v>
      </c>
      <c r="D149" t="str">
        <v>DPP-1056</v>
      </c>
      <c r="E149" t="str">
        <v>5 L</v>
      </c>
      <c r="F149" t="str">
        <v>CAT-009</v>
      </c>
      <c r="G149" t="str">
        <f>IFERROR(VLOOKUP(F149,CATÁLOGOS!$A$6:$B$105,2,FALSE),"")</f>
        <v>🧹 Pisos y superficies</v>
      </c>
      <c r="H149" t="str">
        <v>SUB-029</v>
      </c>
      <c r="I149" t="str">
        <f>IFERROR(VLOOKUP(H149,CATÁLOGOS!$F$6:$H$305,3,FALSE),"")</f>
        <v>Desodorante para piso</v>
      </c>
      <c r="J149" t="str">
        <v>bethel</v>
      </c>
      <c r="K149" t="str">
        <v>Desodorante para piso x 5 litros</v>
      </c>
      <c r="L149">
        <v>1056</v>
      </c>
      <c r="M149" t="str">
        <v>5 litros</v>
      </c>
      <c r="N149" t="str">
        <v>DPP001.png</v>
      </c>
      <c r="O149" t="str">
        <v>CNT-137</v>
      </c>
      <c r="P149" t="str">
        <f>IFERROR(VLOOKUP(O149,CATÁLOGOS!$L$6:$O$305,3,FALSE),"")</f>
        <v>Desodorante para piso x 5 litros. Presentación: 5 litros. Fragancia: 1056.</v>
      </c>
      <c r="Q149" t="str">
        <f>IFERROR(VLOOKUP(O149,CATÁLOGOS!$L$6:$O$305,4,FALSE),"")</f>
        <v>Desodorante para piso. Limpia y perfuma pisos y superficies, dejando un aroma duradero y sensación de frescura en el hogar.</v>
      </c>
      <c r="T149" t="str">
        <v>Activo</v>
      </c>
      <c r="U149" t="str">
        <v>NO</v>
      </c>
    </row>
    <row r="150">
      <c r="A150" t="str">
        <v>146</v>
      </c>
      <c r="B150" t="str">
        <v>DPP002</v>
      </c>
      <c r="C150" t="str">
        <v>DPP002</v>
      </c>
      <c r="D150" t="str">
        <v>DPP-1056</v>
      </c>
      <c r="E150" t="str">
        <v>1 L</v>
      </c>
      <c r="F150" t="str">
        <v>CAT-009</v>
      </c>
      <c r="G150" t="str">
        <f>IFERROR(VLOOKUP(F150,CATÁLOGOS!$A$6:$B$105,2,FALSE),"")</f>
        <v>🧹 Pisos y superficies</v>
      </c>
      <c r="H150" t="str">
        <v>SUB-029</v>
      </c>
      <c r="I150" t="str">
        <f>IFERROR(VLOOKUP(H150,CATÁLOGOS!$F$6:$H$305,3,FALSE),"")</f>
        <v>Desodorante para piso</v>
      </c>
      <c r="J150" t="str">
        <v>bethel</v>
      </c>
      <c r="K150" t="str">
        <v>Desodorante para piso x 1 litro</v>
      </c>
      <c r="L150">
        <v>1056</v>
      </c>
      <c r="M150" t="str">
        <v>1 litro</v>
      </c>
      <c r="N150" t="str">
        <v>DPP002.png</v>
      </c>
      <c r="O150" t="str">
        <v>CNT-138</v>
      </c>
      <c r="P150" t="str">
        <f>IFERROR(VLOOKUP(O150,CATÁLOGOS!$L$6:$O$305,3,FALSE),"")</f>
        <v>Desodorante para piso x 1 litro. Presentación: 1 litro. Fragancia: 1056.</v>
      </c>
      <c r="Q150" t="str">
        <f>IFERROR(VLOOKUP(O150,CATÁLOGOS!$L$6:$O$305,4,FALSE),"")</f>
        <v>Desodorante para piso. Limpia y perfuma pisos y superficies, dejando un aroma duradero y sensación de frescura en el hogar.</v>
      </c>
      <c r="T150" t="str">
        <v>Activo</v>
      </c>
      <c r="U150" t="str">
        <v>NO</v>
      </c>
    </row>
    <row r="151">
      <c r="A151" t="str">
        <v>147</v>
      </c>
      <c r="B151" t="str">
        <v>DPP003</v>
      </c>
      <c r="C151" t="str">
        <v>DPP003</v>
      </c>
      <c r="D151" t="str">
        <v>DPP-1056</v>
      </c>
      <c r="E151" t="str">
        <v>6 L PACK</v>
      </c>
      <c r="F151" t="str">
        <v>CAT-009</v>
      </c>
      <c r="G151" t="str">
        <f>IFERROR(VLOOKUP(F151,CATÁLOGOS!$A$6:$B$105,2,FALSE),"")</f>
        <v>🧹 Pisos y superficies</v>
      </c>
      <c r="H151" t="str">
        <v>SUB-029</v>
      </c>
      <c r="I151" t="str">
        <f>IFERROR(VLOOKUP(H151,CATÁLOGOS!$F$6:$H$305,3,FALSE),"")</f>
        <v>Desodorante para piso</v>
      </c>
      <c r="J151" t="str">
        <v>bethel</v>
      </c>
      <c r="K151" t="str">
        <v>Desodorante para piso pack x 6 unidades</v>
      </c>
      <c r="L151">
        <v>1056</v>
      </c>
      <c r="M151" t="str">
        <v>1 pack</v>
      </c>
      <c r="N151" t="str">
        <v>DPP003.png</v>
      </c>
      <c r="O151" t="str">
        <v>CNT-139</v>
      </c>
      <c r="P151" t="str">
        <f>IFERROR(VLOOKUP(O151,CATÁLOGOS!$L$6:$O$305,3,FALSE),"")</f>
        <v>Desodorante para piso pack x 6 unidades. Presentación: 1 pack. Fragancia: 1056.</v>
      </c>
      <c r="Q151" t="str">
        <f>IFERROR(VLOOKUP(O151,CATÁLOGOS!$L$6:$O$305,4,FALSE),"")</f>
        <v>Desodorante para piso. Limpia y perfuma pisos y superficies, dejando un aroma duradero y sensación de frescura en el hogar.</v>
      </c>
      <c r="T151" t="str">
        <v>Activo</v>
      </c>
      <c r="U151" t="str">
        <v>NO</v>
      </c>
    </row>
    <row r="152">
      <c r="A152" t="str">
        <v>148</v>
      </c>
      <c r="B152" t="str">
        <v>DPP004</v>
      </c>
      <c r="C152" t="str">
        <v>DPP004</v>
      </c>
      <c r="D152" t="str">
        <v>DPP-CHERRY</v>
      </c>
      <c r="E152" t="str">
        <v>5 L</v>
      </c>
      <c r="F152" t="str">
        <v>CAT-009</v>
      </c>
      <c r="G152" t="str">
        <f>IFERROR(VLOOKUP(F152,CATÁLOGOS!$A$6:$B$105,2,FALSE),"")</f>
        <v>🧹 Pisos y superficies</v>
      </c>
      <c r="H152" t="str">
        <v>SUB-029</v>
      </c>
      <c r="I152" t="str">
        <f>IFERROR(VLOOKUP(H152,CATÁLOGOS!$F$6:$H$305,3,FALSE),"")</f>
        <v>Desodorante para piso</v>
      </c>
      <c r="J152" t="str">
        <v>bethel</v>
      </c>
      <c r="K152" t="str">
        <v>Desodorante para piso x 5 litros</v>
      </c>
      <c r="L152" t="str">
        <v>Cherry</v>
      </c>
      <c r="M152" t="str">
        <v>5 litros</v>
      </c>
      <c r="N152" t="str">
        <v>DPP004.png</v>
      </c>
      <c r="O152" t="str">
        <v>CNT-140</v>
      </c>
      <c r="P152" t="str">
        <f>IFERROR(VLOOKUP(O152,CATÁLOGOS!$L$6:$O$305,3,FALSE),"")</f>
        <v>Desodorante para piso x 5 litros. Presentación: 5 litros. Fragancia: Cherry.</v>
      </c>
      <c r="Q152" t="str">
        <f>IFERROR(VLOOKUP(O152,CATÁLOGOS!$L$6:$O$305,4,FALSE),"")</f>
        <v>Desodorante para piso. Limpia y perfuma pisos y superficies, dejando un aroma duradero y sensación de frescura en el hogar.</v>
      </c>
      <c r="T152" t="str">
        <v>Activo</v>
      </c>
      <c r="U152" t="str">
        <v>NO</v>
      </c>
    </row>
    <row r="153">
      <c r="A153" t="str">
        <v>149</v>
      </c>
      <c r="B153" t="str">
        <v>DPP005</v>
      </c>
      <c r="C153" t="str">
        <v>DPP005</v>
      </c>
      <c r="D153" t="str">
        <v>DPP-CHERRY</v>
      </c>
      <c r="E153" t="str">
        <v>1 L</v>
      </c>
      <c r="F153" t="str">
        <v>CAT-009</v>
      </c>
      <c r="G153" t="str">
        <f>IFERROR(VLOOKUP(F153,CATÁLOGOS!$A$6:$B$105,2,FALSE),"")</f>
        <v>🧹 Pisos y superficies</v>
      </c>
      <c r="H153" t="str">
        <v>SUB-029</v>
      </c>
      <c r="I153" t="str">
        <f>IFERROR(VLOOKUP(H153,CATÁLOGOS!$F$6:$H$305,3,FALSE),"")</f>
        <v>Desodorante para piso</v>
      </c>
      <c r="J153" t="str">
        <v>bethel</v>
      </c>
      <c r="K153" t="str">
        <v>Desodorante para piso x 1 litro</v>
      </c>
      <c r="L153" t="str">
        <v>Cherry</v>
      </c>
      <c r="M153" t="str">
        <v>1 litro</v>
      </c>
      <c r="N153" t="str">
        <v>DPP005.png</v>
      </c>
      <c r="O153" t="str">
        <v>CNT-141</v>
      </c>
      <c r="P153" t="str">
        <f>IFERROR(VLOOKUP(O153,CATÁLOGOS!$L$6:$O$305,3,FALSE),"")</f>
        <v>Desodorante para piso x 1 litro. Presentación: 1 litro. Fragancia: Cherry.</v>
      </c>
      <c r="Q153" t="str">
        <f>IFERROR(VLOOKUP(O153,CATÁLOGOS!$L$6:$O$305,4,FALSE),"")</f>
        <v>Desodorante para piso. Limpia y perfuma pisos y superficies, dejando un aroma duradero y sensación de frescura en el hogar.</v>
      </c>
      <c r="T153" t="str">
        <v>Activo</v>
      </c>
      <c r="U153" t="str">
        <v>NO</v>
      </c>
    </row>
    <row r="154">
      <c r="A154" t="str">
        <v>150</v>
      </c>
      <c r="B154" t="str">
        <v>DPP006</v>
      </c>
      <c r="C154" t="str">
        <v>DPP006</v>
      </c>
      <c r="D154" t="str">
        <v>DPP-CHERRY</v>
      </c>
      <c r="E154" t="str">
        <v>6 L PACK</v>
      </c>
      <c r="F154" t="str">
        <v>CAT-009</v>
      </c>
      <c r="G154" t="str">
        <f>IFERROR(VLOOKUP(F154,CATÁLOGOS!$A$6:$B$105,2,FALSE),"")</f>
        <v>🧹 Pisos y superficies</v>
      </c>
      <c r="H154" t="str">
        <v>SUB-029</v>
      </c>
      <c r="I154" t="str">
        <f>IFERROR(VLOOKUP(H154,CATÁLOGOS!$F$6:$H$305,3,FALSE),"")</f>
        <v>Desodorante para piso</v>
      </c>
      <c r="J154" t="str">
        <v>bethel</v>
      </c>
      <c r="K154" t="str">
        <v>Desodorante para piso pack x 6 unidades</v>
      </c>
      <c r="L154" t="str">
        <v>Cherry</v>
      </c>
      <c r="M154" t="str">
        <v>1 pack</v>
      </c>
      <c r="N154" t="str">
        <v>DPP006.png</v>
      </c>
      <c r="O154" t="str">
        <v>CNT-142</v>
      </c>
      <c r="P154" t="str">
        <f>IFERROR(VLOOKUP(O154,CATÁLOGOS!$L$6:$O$305,3,FALSE),"")</f>
        <v>Desodorante para piso pack x 6 unidades. Presentación: 1 pack. Fragancia: Cherry.</v>
      </c>
      <c r="Q154" t="str">
        <f>IFERROR(VLOOKUP(O154,CATÁLOGOS!$L$6:$O$305,4,FALSE),"")</f>
        <v>Desodorante para piso. Limpia y perfuma pisos y superficies, dejando un aroma duradero y sensación de frescura en el hogar.</v>
      </c>
      <c r="T154" t="str">
        <v>Activo</v>
      </c>
      <c r="U154" t="str">
        <v>NO</v>
      </c>
    </row>
    <row r="155">
      <c r="A155" t="str">
        <v>151</v>
      </c>
      <c r="B155" t="str">
        <v>DPP007</v>
      </c>
      <c r="C155" t="str">
        <v>DPP007</v>
      </c>
      <c r="D155" t="str">
        <v>DPP-PINO</v>
      </c>
      <c r="E155" t="str">
        <v>5 L</v>
      </c>
      <c r="F155" t="str">
        <v>CAT-009</v>
      </c>
      <c r="G155" t="str">
        <f>IFERROR(VLOOKUP(F155,CATÁLOGOS!$A$6:$B$105,2,FALSE),"")</f>
        <v>🧹 Pisos y superficies</v>
      </c>
      <c r="H155" t="str">
        <v>SUB-029</v>
      </c>
      <c r="I155" t="str">
        <f>IFERROR(VLOOKUP(H155,CATÁLOGOS!$F$6:$H$305,3,FALSE),"")</f>
        <v>Desodorante para piso</v>
      </c>
      <c r="J155" t="str">
        <v>bethel</v>
      </c>
      <c r="K155" t="str">
        <v>Desodorante para piso x 5 litros</v>
      </c>
      <c r="L155" t="str">
        <v>pino</v>
      </c>
      <c r="M155" t="str">
        <v>5 litros</v>
      </c>
      <c r="N155" t="str">
        <v>DPP007.png</v>
      </c>
      <c r="O155" t="str">
        <v>CNT-143</v>
      </c>
      <c r="P155" t="str">
        <f>IFERROR(VLOOKUP(O155,CATÁLOGOS!$L$6:$O$305,3,FALSE),"")</f>
        <v>Desodorante para piso x 5 litros. Presentación: 5 litros. Fragancia: pino.</v>
      </c>
      <c r="Q155" t="str">
        <f>IFERROR(VLOOKUP(O155,CATÁLOGOS!$L$6:$O$305,4,FALSE),"")</f>
        <v>Desodorante para piso. Limpia y perfuma pisos y superficies, dejando un aroma duradero y sensación de frescura en el hogar.</v>
      </c>
      <c r="T155" t="str">
        <v>Activo</v>
      </c>
      <c r="U155" t="str">
        <v>NO</v>
      </c>
    </row>
    <row r="156">
      <c r="A156" t="str">
        <v>152</v>
      </c>
      <c r="B156" t="str">
        <v>DPP008</v>
      </c>
      <c r="C156" t="str">
        <v>DPP008</v>
      </c>
      <c r="D156" t="str">
        <v>DPP-PINO</v>
      </c>
      <c r="E156" t="str">
        <v>1 L</v>
      </c>
      <c r="F156" t="str">
        <v>CAT-009</v>
      </c>
      <c r="G156" t="str">
        <f>IFERROR(VLOOKUP(F156,CATÁLOGOS!$A$6:$B$105,2,FALSE),"")</f>
        <v>🧹 Pisos y superficies</v>
      </c>
      <c r="H156" t="str">
        <v>SUB-029</v>
      </c>
      <c r="I156" t="str">
        <f>IFERROR(VLOOKUP(H156,CATÁLOGOS!$F$6:$H$305,3,FALSE),"")</f>
        <v>Desodorante para piso</v>
      </c>
      <c r="J156" t="str">
        <v>bethel</v>
      </c>
      <c r="K156" t="str">
        <v>Desodorante para piso x 1 litro</v>
      </c>
      <c r="L156" t="str">
        <v>pino</v>
      </c>
      <c r="M156" t="str">
        <v>1 litro</v>
      </c>
      <c r="N156" t="str">
        <v>DPP008.png</v>
      </c>
      <c r="O156" t="str">
        <v>CNT-144</v>
      </c>
      <c r="P156" t="str">
        <f>IFERROR(VLOOKUP(O156,CATÁLOGOS!$L$6:$O$305,3,FALSE),"")</f>
        <v>Desodorante para piso x 1 litro. Presentación: 1 litro. Fragancia: pino.</v>
      </c>
      <c r="Q156" t="str">
        <f>IFERROR(VLOOKUP(O156,CATÁLOGOS!$L$6:$O$305,4,FALSE),"")</f>
        <v>Desodorante para piso. Limpia y perfuma pisos y superficies, dejando un aroma duradero y sensación de frescura en el hogar.</v>
      </c>
      <c r="T156" t="str">
        <v>Activo</v>
      </c>
      <c r="U156" t="str">
        <v>NO</v>
      </c>
    </row>
    <row r="157">
      <c r="A157" t="str">
        <v>153</v>
      </c>
      <c r="B157" t="str">
        <v>DPP009</v>
      </c>
      <c r="C157" t="str">
        <v>DPP009</v>
      </c>
      <c r="D157" t="str">
        <v>DPP-PINO</v>
      </c>
      <c r="E157" t="str">
        <v>6 L PACK</v>
      </c>
      <c r="F157" t="str">
        <v>CAT-009</v>
      </c>
      <c r="G157" t="str">
        <f>IFERROR(VLOOKUP(F157,CATÁLOGOS!$A$6:$B$105,2,FALSE),"")</f>
        <v>🧹 Pisos y superficies</v>
      </c>
      <c r="H157" t="str">
        <v>SUB-029</v>
      </c>
      <c r="I157" t="str">
        <f>IFERROR(VLOOKUP(H157,CATÁLOGOS!$F$6:$H$305,3,FALSE),"")</f>
        <v>Desodorante para piso</v>
      </c>
      <c r="J157" t="str">
        <v>bethel</v>
      </c>
      <c r="K157" t="str">
        <v>Desodorante para piso pack x 6 unidades</v>
      </c>
      <c r="L157" t="str">
        <v>pino</v>
      </c>
      <c r="M157" t="str">
        <v>1 pack</v>
      </c>
      <c r="N157" t="str">
        <v>DPP009.png</v>
      </c>
      <c r="O157" t="str">
        <v>CNT-145</v>
      </c>
      <c r="P157" t="str">
        <f>IFERROR(VLOOKUP(O157,CATÁLOGOS!$L$6:$O$305,3,FALSE),"")</f>
        <v>Desodorante para piso pack x 6 unidades. Presentación: 1 pack. Fragancia: pino.</v>
      </c>
      <c r="Q157" t="str">
        <f>IFERROR(VLOOKUP(O157,CATÁLOGOS!$L$6:$O$305,4,FALSE),"")</f>
        <v>Desodorante para piso. Limpia y perfuma pisos y superficies, dejando un aroma duradero y sensación de frescura en el hogar.</v>
      </c>
      <c r="T157" t="str">
        <v>Activo</v>
      </c>
      <c r="U157" t="str">
        <v>NO</v>
      </c>
    </row>
    <row r="158">
      <c r="A158" t="str">
        <v>154</v>
      </c>
      <c r="B158" t="str">
        <v>DPP010</v>
      </c>
      <c r="C158" t="str">
        <v>DPP010</v>
      </c>
      <c r="D158" t="str">
        <v>DPP-LAVANDA</v>
      </c>
      <c r="E158" t="str">
        <v>5 L</v>
      </c>
      <c r="F158" t="str">
        <v>CAT-009</v>
      </c>
      <c r="G158" t="str">
        <f>IFERROR(VLOOKUP(F158,CATÁLOGOS!$A$6:$B$105,2,FALSE),"")</f>
        <v>🧹 Pisos y superficies</v>
      </c>
      <c r="H158" t="str">
        <v>SUB-029</v>
      </c>
      <c r="I158" t="str">
        <f>IFERROR(VLOOKUP(H158,CATÁLOGOS!$F$6:$H$305,3,FALSE),"")</f>
        <v>Desodorante para piso</v>
      </c>
      <c r="J158" t="str">
        <v>bethel</v>
      </c>
      <c r="K158" t="str">
        <v>Desodorante para piso x 5 litros</v>
      </c>
      <c r="L158" t="str">
        <v>lavanda</v>
      </c>
      <c r="M158" t="str">
        <v>5 litros</v>
      </c>
      <c r="N158" t="str">
        <v>DPP010.png</v>
      </c>
      <c r="O158" t="str">
        <v>CNT-146</v>
      </c>
      <c r="P158" t="str">
        <f>IFERROR(VLOOKUP(O158,CATÁLOGOS!$L$6:$O$305,3,FALSE),"")</f>
        <v>Desodorante para piso x 5 litros. Presentación: 5 litros. Fragancia: lavanda.</v>
      </c>
      <c r="Q158" t="str">
        <f>IFERROR(VLOOKUP(O158,CATÁLOGOS!$L$6:$O$305,4,FALSE),"")</f>
        <v>Desodorante para piso. Limpia y perfuma pisos y superficies, dejando un aroma duradero y sensación de frescura en el hogar.</v>
      </c>
      <c r="T158" t="str">
        <v>Activo</v>
      </c>
      <c r="U158" t="str">
        <v>NO</v>
      </c>
    </row>
    <row r="159">
      <c r="A159" t="str">
        <v>155</v>
      </c>
      <c r="B159" t="str">
        <v>DPP011</v>
      </c>
      <c r="C159" t="str">
        <v>DPP011</v>
      </c>
      <c r="D159" t="str">
        <v>DPP-LAVANDA</v>
      </c>
      <c r="E159" t="str">
        <v>1 L</v>
      </c>
      <c r="F159" t="str">
        <v>CAT-009</v>
      </c>
      <c r="G159" t="str">
        <f>IFERROR(VLOOKUP(F159,CATÁLOGOS!$A$6:$B$105,2,FALSE),"")</f>
        <v>🧹 Pisos y superficies</v>
      </c>
      <c r="H159" t="str">
        <v>SUB-029</v>
      </c>
      <c r="I159" t="str">
        <f>IFERROR(VLOOKUP(H159,CATÁLOGOS!$F$6:$H$305,3,FALSE),"")</f>
        <v>Desodorante para piso</v>
      </c>
      <c r="J159" t="str">
        <v>bethel</v>
      </c>
      <c r="K159" t="str">
        <v>Desodorante para piso x 1 litro</v>
      </c>
      <c r="L159" t="str">
        <v>lavanda</v>
      </c>
      <c r="M159" t="str">
        <v>1 litro</v>
      </c>
      <c r="N159" t="str">
        <v>DPP011.png</v>
      </c>
      <c r="O159" t="str">
        <v>CNT-147</v>
      </c>
      <c r="P159" t="str">
        <f>IFERROR(VLOOKUP(O159,CATÁLOGOS!$L$6:$O$305,3,FALSE),"")</f>
        <v>Desodorante para piso x 1 litro. Presentación: 1 litro. Fragancia: lavanda.</v>
      </c>
      <c r="Q159" t="str">
        <f>IFERROR(VLOOKUP(O159,CATÁLOGOS!$L$6:$O$305,4,FALSE),"")</f>
        <v>Desodorante para piso. Limpia y perfuma pisos y superficies, dejando un aroma duradero y sensación de frescura en el hogar.</v>
      </c>
      <c r="T159" t="str">
        <v>Activo</v>
      </c>
      <c r="U159" t="str">
        <v>NO</v>
      </c>
    </row>
    <row r="160">
      <c r="A160" t="str">
        <v>156</v>
      </c>
      <c r="B160" t="str">
        <v>DPP012</v>
      </c>
      <c r="C160" t="str">
        <v>DPP012</v>
      </c>
      <c r="D160" t="str">
        <v>DPP-LAVANDA</v>
      </c>
      <c r="E160" t="str">
        <v>6 L PACK</v>
      </c>
      <c r="F160" t="str">
        <v>CAT-009</v>
      </c>
      <c r="G160" t="str">
        <f>IFERROR(VLOOKUP(F160,CATÁLOGOS!$A$6:$B$105,2,FALSE),"")</f>
        <v>🧹 Pisos y superficies</v>
      </c>
      <c r="H160" t="str">
        <v>SUB-029</v>
      </c>
      <c r="I160" t="str">
        <f>IFERROR(VLOOKUP(H160,CATÁLOGOS!$F$6:$H$305,3,FALSE),"")</f>
        <v>Desodorante para piso</v>
      </c>
      <c r="J160" t="str">
        <v>bethel</v>
      </c>
      <c r="K160" t="str">
        <v>Desodorante para piso pack x 6 unidades</v>
      </c>
      <c r="L160" t="str">
        <v>lavanda</v>
      </c>
      <c r="M160" t="str">
        <v>1 pack</v>
      </c>
      <c r="N160" t="str">
        <v>DPP012.png</v>
      </c>
      <c r="O160" t="str">
        <v>CNT-148</v>
      </c>
      <c r="P160" t="str">
        <f>IFERROR(VLOOKUP(O160,CATÁLOGOS!$L$6:$O$305,3,FALSE),"")</f>
        <v>Desodorante para piso pack x 6 unidades. Presentación: 1 pack. Fragancia: lavanda.</v>
      </c>
      <c r="Q160" t="str">
        <f>IFERROR(VLOOKUP(O160,CATÁLOGOS!$L$6:$O$305,4,FALSE),"")</f>
        <v>Desodorante para piso. Limpia y perfuma pisos y superficies, dejando un aroma duradero y sensación de frescura en el hogar.</v>
      </c>
      <c r="T160" t="str">
        <v>Activo</v>
      </c>
      <c r="U160" t="str">
        <v>NO</v>
      </c>
    </row>
    <row r="161">
      <c r="A161" t="str">
        <v>157</v>
      </c>
      <c r="B161" t="str">
        <v>CBS001</v>
      </c>
      <c r="C161" t="str">
        <v>CBS001</v>
      </c>
      <c r="D161" t="str">
        <v>CBS-CABO-MADERA</v>
      </c>
      <c r="E161" t="str">
        <v>1.2 MTS</v>
      </c>
      <c r="F161" t="str">
        <v>CAT-006</v>
      </c>
      <c r="G161" t="str">
        <f>IFERROR(VLOOKUP(F161,CATÁLOGOS!$A$6:$B$105,2,FALSE),"")</f>
        <v>🧰 Accesorios y equipamiento</v>
      </c>
      <c r="H161" t="str">
        <v>SUB-030</v>
      </c>
      <c r="I161" t="str">
        <f>IFERROR(VLOOKUP(H161,CATÁLOGOS!$F$6:$H$305,3,FALSE),"")</f>
        <v>Cabos y mangos</v>
      </c>
      <c r="J161" t="str">
        <v>bethel</v>
      </c>
      <c r="K161" t="str">
        <v>Cabo de madera de 1,2 Metros</v>
      </c>
      <c r="L161" t="str">
        <v>1,2 Metros</v>
      </c>
      <c r="M161" t="str">
        <v>1 unidad</v>
      </c>
      <c r="N161" t="str">
        <v>CBS001.jpg</v>
      </c>
      <c r="O161" t="str">
        <v>CNT-149</v>
      </c>
      <c r="P161" t="str">
        <f>IFERROR(VLOOKUP(O161,CATÁLOGOS!$L$6:$O$305,3,FALSE),"")</f>
        <v>Cabo de madera de 1,2 Metros. Presentación: 1 unidad.</v>
      </c>
      <c r="Q161" t="str">
        <f>IFERROR(VLOOKUP(O161,CATÁLOGOS!$L$6:$O$305,4,FALSE),"")</f>
        <v>Cabos y mangos. Accesorio resistente y práctico, pensado para facilitar las tareas de limpieza del hogar. Disponible en múltiples fragancias a elección.</v>
      </c>
      <c r="T161" t="str">
        <v>Activo</v>
      </c>
      <c r="U161" t="str">
        <v>NO</v>
      </c>
    </row>
    <row r="162">
      <c r="A162" t="str">
        <v>158</v>
      </c>
      <c r="B162" t="str">
        <v>CBS002</v>
      </c>
      <c r="C162" t="str">
        <v>CBS002</v>
      </c>
      <c r="D162" t="str">
        <v>CBS-CABO-MADERA</v>
      </c>
      <c r="E162" t="str">
        <v>1.5 MTS</v>
      </c>
      <c r="F162" t="str">
        <v>CAT-006</v>
      </c>
      <c r="G162" t="str">
        <f>IFERROR(VLOOKUP(F162,CATÁLOGOS!$A$6:$B$105,2,FALSE),"")</f>
        <v>🧰 Accesorios y equipamiento</v>
      </c>
      <c r="H162" t="str">
        <v>SUB-030</v>
      </c>
      <c r="I162" t="str">
        <f>IFERROR(VLOOKUP(H162,CATÁLOGOS!$F$6:$H$305,3,FALSE),"")</f>
        <v>Cabos y mangos</v>
      </c>
      <c r="J162" t="str">
        <v>bethel</v>
      </c>
      <c r="K162" t="str">
        <v>Cabo de madera de 1,5 Metros</v>
      </c>
      <c r="L162" t="str">
        <v>1,5 Metros</v>
      </c>
      <c r="M162" t="str">
        <v>1 unidad</v>
      </c>
      <c r="N162" t="str">
        <v>CBS002.jpg</v>
      </c>
      <c r="O162" t="str">
        <v>CNT-150</v>
      </c>
      <c r="P162" t="str">
        <f>IFERROR(VLOOKUP(O162,CATÁLOGOS!$L$6:$O$305,3,FALSE),"")</f>
        <v>Cabo de madera de 1,5 Metros. Presentación: 1 unidad.</v>
      </c>
      <c r="Q162" t="str">
        <f>IFERROR(VLOOKUP(O162,CATÁLOGOS!$L$6:$O$305,4,FALSE),"")</f>
        <v>Cabos y mangos. Accesorio resistente y práctico, pensado para facilitar las tareas de limpieza del hogar. Disponible en múltiples fragancias a elección.</v>
      </c>
      <c r="T162" t="str">
        <v>Activo</v>
      </c>
      <c r="U162" t="str">
        <v>NO</v>
      </c>
    </row>
    <row r="163">
      <c r="A163" t="str">
        <v>159</v>
      </c>
      <c r="B163" t="str">
        <v>CBS003</v>
      </c>
      <c r="C163" t="str">
        <v>CBS003</v>
      </c>
      <c r="D163" t="str">
        <v>CBS-CABO-MADERA</v>
      </c>
      <c r="E163" t="str">
        <v>2.0 MTS</v>
      </c>
      <c r="F163" t="str">
        <v>CAT-006</v>
      </c>
      <c r="G163" t="str">
        <f>IFERROR(VLOOKUP(F163,CATÁLOGOS!$A$6:$B$105,2,FALSE),"")</f>
        <v>🧰 Accesorios y equipamiento</v>
      </c>
      <c r="H163" t="str">
        <v>SUB-030</v>
      </c>
      <c r="I163" t="str">
        <f>IFERROR(VLOOKUP(H163,CATÁLOGOS!$F$6:$H$305,3,FALSE),"")</f>
        <v>Cabos y mangos</v>
      </c>
      <c r="J163" t="str">
        <v>bethel</v>
      </c>
      <c r="K163" t="str">
        <v>Cabo de madera de 2 Metros</v>
      </c>
      <c r="L163" t="str">
        <v>2 Metros</v>
      </c>
      <c r="M163" t="str">
        <v>1 unidad</v>
      </c>
      <c r="N163" t="str">
        <v>CBS003.jpg</v>
      </c>
      <c r="O163" t="str">
        <v>CNT-151</v>
      </c>
      <c r="P163" t="str">
        <f>IFERROR(VLOOKUP(O163,CATÁLOGOS!$L$6:$O$305,3,FALSE),"")</f>
        <v>Cabo de madera de 2 Metros. Presentación: 1 unidad. Fragancia: 2 Metros.</v>
      </c>
      <c r="Q163" t="str">
        <f>IFERROR(VLOOKUP(O163,CATÁLOGOS!$L$6:$O$305,4,FALSE),"")</f>
        <v>Cabos y mangos. Accesorio resistente y práctico, pensado para facilitar las tareas de limpieza del hogar.</v>
      </c>
      <c r="T163" t="str">
        <v>Activo</v>
      </c>
      <c r="U163" t="str">
        <v>NO</v>
      </c>
    </row>
    <row r="164">
      <c r="A164" t="str">
        <v>160</v>
      </c>
      <c r="B164" t="str">
        <v>CBS004</v>
      </c>
      <c r="C164" t="str">
        <v>CBS004</v>
      </c>
      <c r="F164" t="str">
        <v>CAT-006</v>
      </c>
      <c r="G164" t="str">
        <f>IFERROR(VLOOKUP(F164,CATÁLOGOS!$A$6:$B$105,2,FALSE),"")</f>
        <v>🧰 Accesorios y equipamiento</v>
      </c>
      <c r="H164" t="str">
        <v>SUB-030</v>
      </c>
      <c r="I164" t="str">
        <f>IFERROR(VLOOKUP(H164,CATÁLOGOS!$F$6:$H$305,3,FALSE),"")</f>
        <v>Cabos y mangos</v>
      </c>
      <c r="J164" t="str">
        <v>bethel</v>
      </c>
      <c r="K164" t="str">
        <v>Cabo de metal make</v>
      </c>
      <c r="M164" t="str">
        <v>1 unidad</v>
      </c>
      <c r="N164" t="str">
        <v>CBS004.jpg</v>
      </c>
      <c r="O164" t="str">
        <v>CNT-152</v>
      </c>
      <c r="P164" t="str">
        <f>IFERROR(VLOOKUP(O164,CATÁLOGOS!$L$6:$O$305,3,FALSE),"")</f>
        <v>Cabo de metal make. Presentación: 1 unidad.</v>
      </c>
      <c r="Q164" t="str">
        <f>IFERROR(VLOOKUP(O164,CATÁLOGOS!$L$6:$O$305,4,FALSE),"")</f>
        <v>Cabos y mangos. Accesorio resistente y práctico, pensado para facilitar las tareas de limpieza del hogar.</v>
      </c>
      <c r="T164" t="str">
        <v>Activo</v>
      </c>
      <c r="U164" t="str">
        <v>NO</v>
      </c>
    </row>
    <row r="165">
      <c r="A165" t="str">
        <v>161</v>
      </c>
      <c r="B165" t="str">
        <v>CBS005</v>
      </c>
      <c r="C165" t="str">
        <v>CBS005</v>
      </c>
      <c r="F165" t="str">
        <v>CAT-006</v>
      </c>
      <c r="G165" t="str">
        <f>IFERROR(VLOOKUP(F165,CATÁLOGOS!$A$6:$B$105,2,FALSE),"")</f>
        <v>🧰 Accesorios y equipamiento</v>
      </c>
      <c r="H165" t="str">
        <v>SUB-030</v>
      </c>
      <c r="I165" t="str">
        <f>IFERROR(VLOOKUP(H165,CATÁLOGOS!$F$6:$H$305,3,FALSE),"")</f>
        <v>Cabos y mangos</v>
      </c>
      <c r="J165" t="str">
        <v>bethel</v>
      </c>
      <c r="K165" t="str">
        <v>Cabo Saca Hojas</v>
      </c>
      <c r="M165" t="str">
        <v>1 unidad</v>
      </c>
      <c r="N165" t="str">
        <v>CBS005.jpg</v>
      </c>
      <c r="O165" t="str">
        <v>CNT-153</v>
      </c>
      <c r="P165" t="str">
        <f>IFERROR(VLOOKUP(O165,CATÁLOGOS!$L$6:$O$305,3,FALSE),"")</f>
        <v>Cabo Saca Hojas. Presentación: 1 unidad.</v>
      </c>
      <c r="Q165" t="str">
        <f>IFERROR(VLOOKUP(O165,CATÁLOGOS!$L$6:$O$305,4,FALSE),"")</f>
        <v>Cabos y mangos. Accesorio resistente y práctico, pensado para facilitar las tareas de limpieza del hogar.</v>
      </c>
      <c r="T165" t="str">
        <v>Activo</v>
      </c>
      <c r="U165" t="str">
        <v>NO</v>
      </c>
    </row>
    <row r="166">
      <c r="A166" t="str">
        <v>162</v>
      </c>
      <c r="B166" t="str">
        <v>CBS006</v>
      </c>
      <c r="C166" t="str">
        <v>CBS006</v>
      </c>
      <c r="F166" t="str">
        <v>CAT-006</v>
      </c>
      <c r="G166" t="str">
        <f>IFERROR(VLOOKUP(F166,CATÁLOGOS!$A$6:$B$105,2,FALSE),"")</f>
        <v>🧰 Accesorios y equipamiento</v>
      </c>
      <c r="H166" t="str">
        <v>SUB-030</v>
      </c>
      <c r="I166" t="str">
        <f>IFERROR(VLOOKUP(H166,CATÁLOGOS!$F$6:$H$305,3,FALSE),"")</f>
        <v>Cabos y mangos</v>
      </c>
      <c r="J166" t="str">
        <v>bethel</v>
      </c>
      <c r="K166" t="str">
        <v>Cabo extensible 2 metros</v>
      </c>
      <c r="M166" t="str">
        <v>1 unidad</v>
      </c>
      <c r="N166" t="str">
        <v>CBS006.jpg</v>
      </c>
      <c r="O166" t="str">
        <v>CNT-154</v>
      </c>
      <c r="P166" t="str">
        <f>IFERROR(VLOOKUP(O166,CATÁLOGOS!$L$6:$O$305,3,FALSE),"")</f>
        <v>Cabo extensible 2 metros. Presentación: 1 unidad.</v>
      </c>
      <c r="Q166" t="str">
        <f>IFERROR(VLOOKUP(O166,CATÁLOGOS!$L$6:$O$305,4,FALSE),"")</f>
        <v>Cabos y mangos. Accesorio resistente y práctico, pensado para facilitar las tareas de limpieza del hogar.</v>
      </c>
      <c r="T166" t="str">
        <v>Activo</v>
      </c>
      <c r="U166" t="str">
        <v>NO</v>
      </c>
    </row>
    <row r="167">
      <c r="A167" t="str">
        <v>163</v>
      </c>
      <c r="B167" t="str">
        <v>CBS007</v>
      </c>
      <c r="C167" t="str">
        <v>CBS007</v>
      </c>
      <c r="F167" t="str">
        <v>CAT-006</v>
      </c>
      <c r="G167" t="str">
        <f>IFERROR(VLOOKUP(F167,CATÁLOGOS!$A$6:$B$105,2,FALSE),"")</f>
        <v>🧰 Accesorios y equipamiento</v>
      </c>
      <c r="H167" t="str">
        <v>SUB-030</v>
      </c>
      <c r="I167" t="str">
        <f>IFERROR(VLOOKUP(H167,CATÁLOGOS!$F$6:$H$305,3,FALSE),"")</f>
        <v>Cabos y mangos</v>
      </c>
      <c r="J167" t="str">
        <v>bethel</v>
      </c>
      <c r="K167" t="str">
        <v>Cabo extensible 3 metros</v>
      </c>
      <c r="M167" t="str">
        <v>1 unidad</v>
      </c>
      <c r="N167" t="str">
        <v>CBS007.jpg</v>
      </c>
      <c r="O167" t="str">
        <v>CNT-155</v>
      </c>
      <c r="P167" t="str">
        <f>IFERROR(VLOOKUP(O167,CATÁLOGOS!$L$6:$O$305,3,FALSE),"")</f>
        <v>Cabo extensible 3 metros. Presentación: 1 unidad.</v>
      </c>
      <c r="Q167" t="str">
        <f>IFERROR(VLOOKUP(O167,CATÁLOGOS!$L$6:$O$305,4,FALSE),"")</f>
        <v>Cabos y mangos. Accesorio resistente y práctico, pensado para facilitar las tareas de limpieza del hogar.</v>
      </c>
      <c r="T167" t="str">
        <v>Activo</v>
      </c>
      <c r="U167" t="str">
        <v>NO</v>
      </c>
    </row>
    <row r="168">
      <c r="A168" t="str">
        <v>164</v>
      </c>
      <c r="B168" t="str">
        <v>ESP001</v>
      </c>
      <c r="C168" t="str">
        <v>ESP001</v>
      </c>
      <c r="F168" t="str">
        <v>CAT-006</v>
      </c>
      <c r="G168" t="str">
        <f>IFERROR(VLOOKUP(F168,CATÁLOGOS!$A$6:$B$105,2,FALSE),"")</f>
        <v>🧰 Accesorios y equipamiento</v>
      </c>
      <c r="H168" t="str">
        <v>SUB-031</v>
      </c>
      <c r="I168" t="str">
        <f>IFERROR(VLOOKUP(H168,CATÁLOGOS!$F$6:$H$305,3,FALSE),"")</f>
        <v>Esponjas</v>
      </c>
      <c r="J168" t="str">
        <v>Make</v>
      </c>
      <c r="K168" t="str">
        <v>Esponja de acero 10 Gr</v>
      </c>
      <c r="M168" t="str">
        <v>1 unidad</v>
      </c>
      <c r="N168" t="str">
        <v>ESP001.jpg</v>
      </c>
      <c r="O168" t="str">
        <v>CNT-156</v>
      </c>
      <c r="P168" t="str">
        <f>IFERROR(VLOOKUP(O168,CATÁLOGOS!$L$6:$O$305,3,FALSE),"")</f>
        <v>Esponja de acero 10 Gr. Presentación: 1 unidad.</v>
      </c>
      <c r="Q168" t="str">
        <f>IFERROR(VLOOKUP(O168,CATÁLOGOS!$L$6:$O$305,4,FALSE),"")</f>
        <v>Esponjas. Accesorio resistente y práctico, pensado para facilitar las tareas de limpieza del hogar.</v>
      </c>
      <c r="T168" t="str">
        <v>Activo</v>
      </c>
      <c r="U168" t="str">
        <v>NO</v>
      </c>
    </row>
    <row r="169">
      <c r="A169" t="str">
        <v>165</v>
      </c>
      <c r="B169" t="str">
        <v>ESP002</v>
      </c>
      <c r="C169" t="str">
        <v>ESP002</v>
      </c>
      <c r="F169" t="str">
        <v>CAT-006</v>
      </c>
      <c r="G169" t="str">
        <f>IFERROR(VLOOKUP(F169,CATÁLOGOS!$A$6:$B$105,2,FALSE),"")</f>
        <v>🧰 Accesorios y equipamiento</v>
      </c>
      <c r="H169" t="str">
        <v>SUB-031</v>
      </c>
      <c r="I169" t="str">
        <f>IFERROR(VLOOKUP(H169,CATÁLOGOS!$F$6:$H$305,3,FALSE),"")</f>
        <v>Esponjas</v>
      </c>
      <c r="J169" t="str">
        <v>Make</v>
      </c>
      <c r="K169" t="str">
        <v>Esponja dorada de 30 Gr</v>
      </c>
      <c r="M169" t="str">
        <v>1 unidad</v>
      </c>
      <c r="N169" t="str">
        <v>ESP002.jpg</v>
      </c>
      <c r="O169" t="str">
        <v>CNT-157</v>
      </c>
      <c r="P169" t="str">
        <f>IFERROR(VLOOKUP(O169,CATÁLOGOS!$L$6:$O$305,3,FALSE),"")</f>
        <v>Esponja dorada de 30 Gr. Presentación: 1 unidad.</v>
      </c>
      <c r="Q169" t="str">
        <f>IFERROR(VLOOKUP(O169,CATÁLOGOS!$L$6:$O$305,4,FALSE),"")</f>
        <v>Esponjas. Accesorio resistente y práctico, pensado para facilitar las tareas de limpieza del hogar.</v>
      </c>
      <c r="T169" t="str">
        <v>Activo</v>
      </c>
      <c r="U169" t="str">
        <v>NO</v>
      </c>
    </row>
    <row r="170">
      <c r="A170" t="str">
        <v>166</v>
      </c>
      <c r="B170" t="str">
        <v>ESP003</v>
      </c>
      <c r="C170" t="str">
        <v>ESP003</v>
      </c>
      <c r="F170" t="str">
        <v>CAT-006</v>
      </c>
      <c r="G170" t="str">
        <f>IFERROR(VLOOKUP(F170,CATÁLOGOS!$A$6:$B$105,2,FALSE),"")</f>
        <v>🧰 Accesorios y equipamiento</v>
      </c>
      <c r="H170" t="str">
        <v>SUB-031</v>
      </c>
      <c r="I170" t="str">
        <f>IFERROR(VLOOKUP(H170,CATÁLOGOS!$F$6:$H$305,3,FALSE),"")</f>
        <v>Esponjas</v>
      </c>
      <c r="J170" t="str">
        <v>Make</v>
      </c>
      <c r="K170" t="str">
        <v>Esponja azul para teflon</v>
      </c>
      <c r="M170" t="str">
        <v>1 unidad</v>
      </c>
      <c r="N170" t="str">
        <v>ESP003.jpg</v>
      </c>
      <c r="O170" t="str">
        <v>CNT-158</v>
      </c>
      <c r="P170" t="str">
        <f>IFERROR(VLOOKUP(O170,CATÁLOGOS!$L$6:$O$305,3,FALSE),"")</f>
        <v>Esponja azul para teflon. Presentación: 1 unidad.</v>
      </c>
      <c r="Q170" t="str">
        <f>IFERROR(VLOOKUP(O170,CATÁLOGOS!$L$6:$O$305,4,FALSE),"")</f>
        <v>Esponjas. Accesorio resistente y práctico, pensado para facilitar las tareas de limpieza del hogar.</v>
      </c>
      <c r="T170" t="str">
        <v>Activo</v>
      </c>
      <c r="U170" t="str">
        <v>NO</v>
      </c>
    </row>
    <row r="171">
      <c r="A171" t="str">
        <v>167</v>
      </c>
      <c r="B171" t="str">
        <v>ESP004</v>
      </c>
      <c r="C171" t="str">
        <v>ESP004</v>
      </c>
      <c r="F171" t="str">
        <v>CAT-006</v>
      </c>
      <c r="G171" t="str">
        <f>IFERROR(VLOOKUP(F171,CATÁLOGOS!$A$6:$B$105,2,FALSE),"")</f>
        <v>🧰 Accesorios y equipamiento</v>
      </c>
      <c r="H171" t="str">
        <v>SUB-031</v>
      </c>
      <c r="I171" t="str">
        <f>IFERROR(VLOOKUP(H171,CATÁLOGOS!$F$6:$H$305,3,FALSE),"")</f>
        <v>Esponjas</v>
      </c>
      <c r="J171" t="str">
        <v>Make</v>
      </c>
      <c r="K171" t="str">
        <v>Esponja de acero 10 Gr pack de 12 unidades</v>
      </c>
      <c r="M171" t="str">
        <v>1 pack</v>
      </c>
      <c r="N171" t="str">
        <v>ESP004.jpg</v>
      </c>
      <c r="O171" t="str">
        <v>CNT-159</v>
      </c>
      <c r="P171" t="str">
        <f>IFERROR(VLOOKUP(O171,CATÁLOGOS!$L$6:$O$305,3,FALSE),"")</f>
        <v>Esponja de acero 10 Gr pack de 12 unidades. Presentación: 1 pack.</v>
      </c>
      <c r="Q171" t="str">
        <f>IFERROR(VLOOKUP(O171,CATÁLOGOS!$L$6:$O$305,4,FALSE),"")</f>
        <v>Esponjas. Accesorio resistente y práctico, pensado para facilitar las tareas de limpieza del hogar.</v>
      </c>
      <c r="T171" t="str">
        <v>Activo</v>
      </c>
      <c r="U171" t="str">
        <v>NO</v>
      </c>
    </row>
    <row r="172">
      <c r="A172" t="str">
        <v>168</v>
      </c>
      <c r="B172" t="str">
        <v>ESP005</v>
      </c>
      <c r="C172" t="str">
        <v>ESP005</v>
      </c>
      <c r="F172" t="str">
        <v>CAT-006</v>
      </c>
      <c r="G172" t="str">
        <f>IFERROR(VLOOKUP(F172,CATÁLOGOS!$A$6:$B$105,2,FALSE),"")</f>
        <v>🧰 Accesorios y equipamiento</v>
      </c>
      <c r="H172" t="str">
        <v>SUB-031</v>
      </c>
      <c r="I172" t="str">
        <f>IFERROR(VLOOKUP(H172,CATÁLOGOS!$F$6:$H$305,3,FALSE),"")</f>
        <v>Esponjas</v>
      </c>
      <c r="J172" t="str">
        <v>Make</v>
      </c>
      <c r="K172" t="str">
        <v>Esponja dorada 30 Gr pack de 12 unidades</v>
      </c>
      <c r="M172" t="str">
        <v>1 pack</v>
      </c>
      <c r="N172" t="str">
        <v>ESP005.jpg</v>
      </c>
      <c r="O172" t="str">
        <v>CNT-160</v>
      </c>
      <c r="P172" t="str">
        <f>IFERROR(VLOOKUP(O172,CATÁLOGOS!$L$6:$O$305,3,FALSE),"")</f>
        <v>Esponja dorada 30 Gr pack de 12 unidades. Presentación: 1 pack.</v>
      </c>
      <c r="Q172" t="str">
        <f>IFERROR(VLOOKUP(O172,CATÁLOGOS!$L$6:$O$305,4,FALSE),"")</f>
        <v>Esponjas. Accesorio resistente y práctico, pensado para facilitar las tareas de limpieza del hogar.</v>
      </c>
      <c r="T172" t="str">
        <v>Activo</v>
      </c>
      <c r="U172" t="str">
        <v>NO</v>
      </c>
    </row>
    <row r="173">
      <c r="A173" t="str">
        <v>169</v>
      </c>
      <c r="B173" t="str">
        <v>ESP006</v>
      </c>
      <c r="C173" t="str">
        <v>ESP006</v>
      </c>
      <c r="F173" t="str">
        <v>CAT-006</v>
      </c>
      <c r="G173" t="str">
        <f>IFERROR(VLOOKUP(F173,CATÁLOGOS!$A$6:$B$105,2,FALSE),"")</f>
        <v>🧰 Accesorios y equipamiento</v>
      </c>
      <c r="H173" t="str">
        <v>SUB-031</v>
      </c>
      <c r="I173" t="str">
        <f>IFERROR(VLOOKUP(H173,CATÁLOGOS!$F$6:$H$305,3,FALSE),"")</f>
        <v>Esponjas</v>
      </c>
      <c r="J173" t="str">
        <v>Make</v>
      </c>
      <c r="K173" t="str">
        <v>Lana de acero Make</v>
      </c>
      <c r="M173" t="str">
        <v>1 unidad</v>
      </c>
      <c r="N173" t="str">
        <v>ESP006.jpg</v>
      </c>
      <c r="O173" t="str">
        <v>CNT-161</v>
      </c>
      <c r="P173" t="str">
        <f>IFERROR(VLOOKUP(O173,CATÁLOGOS!$L$6:$O$305,3,FALSE),"")</f>
        <v>Lana de acero Make. Presentación: 1 unidad.</v>
      </c>
      <c r="Q173" t="str">
        <f>IFERROR(VLOOKUP(O173,CATÁLOGOS!$L$6:$O$305,4,FALSE),"")</f>
        <v>Esponjas. Accesorio resistente y práctico, pensado para facilitar las tareas de limpieza del hogar.</v>
      </c>
      <c r="T173" t="str">
        <v>Activo</v>
      </c>
      <c r="U173" t="str">
        <v>NO</v>
      </c>
    </row>
    <row r="174">
      <c r="A174" t="str">
        <v>170</v>
      </c>
      <c r="B174" t="str">
        <v>ESP007</v>
      </c>
      <c r="C174" t="str">
        <v>ESP007</v>
      </c>
      <c r="F174" t="str">
        <v>CAT-006</v>
      </c>
      <c r="G174" t="str">
        <f>IFERROR(VLOOKUP(F174,CATÁLOGOS!$A$6:$B$105,2,FALSE),"")</f>
        <v>🧰 Accesorios y equipamiento</v>
      </c>
      <c r="H174" t="str">
        <v>SUB-031</v>
      </c>
      <c r="I174" t="str">
        <f>IFERROR(VLOOKUP(H174,CATÁLOGOS!$F$6:$H$305,3,FALSE),"")</f>
        <v>Esponjas</v>
      </c>
      <c r="J174" t="str">
        <v>bethel</v>
      </c>
      <c r="K174" t="str">
        <v>Lana de acero virulana</v>
      </c>
      <c r="M174" t="str">
        <v>1 unidad</v>
      </c>
      <c r="N174" t="str">
        <v>ESP007.jpg</v>
      </c>
      <c r="O174" t="str">
        <v>CNT-162</v>
      </c>
      <c r="P174" t="str">
        <f>IFERROR(VLOOKUP(O174,CATÁLOGOS!$L$6:$O$305,3,FALSE),"")</f>
        <v>Lana de acero virulana. Presentación: 1 unidad.</v>
      </c>
      <c r="Q174" t="str">
        <f>IFERROR(VLOOKUP(O174,CATÁLOGOS!$L$6:$O$305,4,FALSE),"")</f>
        <v>Esponjas. Accesorio resistente y práctico, pensado para facilitar las tareas de limpieza del hogar.</v>
      </c>
      <c r="T174" t="str">
        <v>Activo</v>
      </c>
      <c r="U174" t="str">
        <v>NO</v>
      </c>
    </row>
    <row r="175">
      <c r="A175" t="str">
        <v>171</v>
      </c>
      <c r="B175" t="str">
        <v>APR001</v>
      </c>
      <c r="C175" t="str">
        <v>APR001</v>
      </c>
      <c r="F175" t="str">
        <v>CAT-006</v>
      </c>
      <c r="G175" t="str">
        <f>IFERROR(VLOOKUP(F175,CATÁLOGOS!$A$6:$B$105,2,FALSE),"")</f>
        <v>🧰 Accesorios y equipamiento</v>
      </c>
      <c r="H175" t="str">
        <v>SUB-032</v>
      </c>
      <c r="I175" t="str">
        <f>IFERROR(VLOOKUP(H175,CATÁLOGOS!$F$6:$H$305,3,FALSE),"")</f>
        <v>Artículos para tender</v>
      </c>
      <c r="J175" t="str">
        <v>bethel</v>
      </c>
      <c r="K175" t="str">
        <v>Tender Vertical para Ropa 3 niveles</v>
      </c>
      <c r="M175" t="str">
        <v>1 unidad</v>
      </c>
      <c r="N175" t="str">
        <v>APR001.jpg</v>
      </c>
      <c r="O175" t="str">
        <v>CNT-163</v>
      </c>
      <c r="P175" t="str">
        <f>IFERROR(VLOOKUP(O175,CATÁLOGOS!$L$6:$O$305,3,FALSE),"")</f>
        <v>Tender Vertical para Ropa 3 niveles. Presentación: 1 unidad.</v>
      </c>
      <c r="Q175" t="str">
        <f>IFERROR(VLOOKUP(O175,CATÁLOGOS!$L$6:$O$305,4,FALSE),"")</f>
        <v>Artículos para tender. Accesorio resistente y práctico, pensado para facilitar las tareas de limpieza del hogar.</v>
      </c>
      <c r="T175" t="str">
        <v>Activo</v>
      </c>
      <c r="U175" t="str">
        <v>NO</v>
      </c>
    </row>
    <row r="176">
      <c r="A176" t="str">
        <v>172</v>
      </c>
      <c r="B176" t="str">
        <v>APR002</v>
      </c>
      <c r="C176" t="str">
        <v>APR002</v>
      </c>
      <c r="F176" t="str">
        <v>CAT-006</v>
      </c>
      <c r="G176" t="str">
        <f>IFERROR(VLOOKUP(F176,CATÁLOGOS!$A$6:$B$105,2,FALSE),"")</f>
        <v>🧰 Accesorios y equipamiento</v>
      </c>
      <c r="H176" t="str">
        <v>SUB-032</v>
      </c>
      <c r="I176" t="str">
        <f>IFERROR(VLOOKUP(H176,CATÁLOGOS!$F$6:$H$305,3,FALSE),"")</f>
        <v>Artículos para tender</v>
      </c>
      <c r="J176" t="str">
        <v>bethel</v>
      </c>
      <c r="K176" t="str">
        <v>Tender Para Medias de 18 Broches</v>
      </c>
      <c r="M176" t="str">
        <v>1 unidad</v>
      </c>
      <c r="N176" t="str">
        <v>APR002.jpg</v>
      </c>
      <c r="O176" t="str">
        <v>CNT-164</v>
      </c>
      <c r="P176" t="str">
        <f>IFERROR(VLOOKUP(O176,CATÁLOGOS!$L$6:$O$305,3,FALSE),"")</f>
        <v>Tender Para Medias de 18 Broches. Presentación: 1 unidad.</v>
      </c>
      <c r="Q176" t="str">
        <f>IFERROR(VLOOKUP(O176,CATÁLOGOS!$L$6:$O$305,4,FALSE),"")</f>
        <v>Artículos para tender. Accesorio resistente y práctico, pensado para facilitar las tareas de limpieza del hogar.</v>
      </c>
      <c r="T176" t="str">
        <v>Activo</v>
      </c>
      <c r="U176" t="str">
        <v>NO</v>
      </c>
    </row>
    <row r="177">
      <c r="A177" t="str">
        <v>173</v>
      </c>
      <c r="B177" t="str">
        <v>APR003</v>
      </c>
      <c r="C177" t="str">
        <v>APR003</v>
      </c>
      <c r="F177" t="str">
        <v>CAT-006</v>
      </c>
      <c r="G177" t="str">
        <f>IFERROR(VLOOKUP(F177,CATÁLOGOS!$A$6:$B$105,2,FALSE),"")</f>
        <v>🧰 Accesorios y equipamiento</v>
      </c>
      <c r="H177" t="str">
        <v>SUB-032</v>
      </c>
      <c r="I177" t="str">
        <f>IFERROR(VLOOKUP(H177,CATÁLOGOS!$F$6:$H$305,3,FALSE),"")</f>
        <v>Artículos para tender</v>
      </c>
      <c r="J177" t="str">
        <v>bethel</v>
      </c>
      <c r="K177" t="str">
        <v>Tender 10 varillas con Alas</v>
      </c>
      <c r="M177" t="str">
        <v>1 unidad</v>
      </c>
      <c r="N177" t="str">
        <v>APR003.jpg</v>
      </c>
      <c r="O177" t="str">
        <v>CNT-165</v>
      </c>
      <c r="P177" t="str">
        <f>IFERROR(VLOOKUP(O177,CATÁLOGOS!$L$6:$O$305,3,FALSE),"")</f>
        <v>Tender 10 varillas con Alas. Presentación: 1 unidad.</v>
      </c>
      <c r="Q177" t="str">
        <f>IFERROR(VLOOKUP(O177,CATÁLOGOS!$L$6:$O$305,4,FALSE),"")</f>
        <v>Artículos para tender. Accesorio resistente y práctico, pensado para facilitar las tareas de limpieza del hogar.</v>
      </c>
      <c r="T177" t="str">
        <v>Activo</v>
      </c>
      <c r="U177" t="str">
        <v>NO</v>
      </c>
    </row>
    <row r="178">
      <c r="A178" t="str">
        <v>174</v>
      </c>
      <c r="B178" t="str">
        <v>APR004</v>
      </c>
      <c r="C178" t="str">
        <v>APR004</v>
      </c>
      <c r="F178" t="str">
        <v>CAT-006</v>
      </c>
      <c r="G178" t="str">
        <f>IFERROR(VLOOKUP(F178,CATÁLOGOS!$A$6:$B$105,2,FALSE),"")</f>
        <v>🧰 Accesorios y equipamiento</v>
      </c>
      <c r="H178" t="str">
        <v>SUB-032</v>
      </c>
      <c r="I178" t="str">
        <f>IFERROR(VLOOKUP(H178,CATÁLOGOS!$F$6:$H$305,3,FALSE),"")</f>
        <v>Artículos para tender</v>
      </c>
      <c r="J178" t="str">
        <v>bethel</v>
      </c>
      <c r="K178" t="str">
        <v>Broches Plasticos x 12 unidades</v>
      </c>
      <c r="M178" t="str">
        <v>1 pack</v>
      </c>
      <c r="N178" t="str">
        <v>APR004.jpg</v>
      </c>
      <c r="O178" t="str">
        <v>CNT-166</v>
      </c>
      <c r="P178" t="str">
        <f>IFERROR(VLOOKUP(O178,CATÁLOGOS!$L$6:$O$305,3,FALSE),"")</f>
        <v>Broches Plasticos x 12 unidades. Presentación: 1 pack.</v>
      </c>
      <c r="Q178" t="str">
        <f>IFERROR(VLOOKUP(O178,CATÁLOGOS!$L$6:$O$305,4,FALSE),"")</f>
        <v>Artículos para tender. Accesorio resistente y práctico, pensado para facilitar las tareas de limpieza del hogar.</v>
      </c>
      <c r="T178" t="str">
        <v>Activo</v>
      </c>
      <c r="U178" t="str">
        <v>NO</v>
      </c>
    </row>
    <row r="179">
      <c r="A179" t="str">
        <v>175</v>
      </c>
      <c r="B179" t="str">
        <v>APR005</v>
      </c>
      <c r="C179" t="str">
        <v>APR005</v>
      </c>
      <c r="F179" t="str">
        <v>CAT-006</v>
      </c>
      <c r="G179" t="str">
        <f>IFERROR(VLOOKUP(F179,CATÁLOGOS!$A$6:$B$105,2,FALSE),"")</f>
        <v>🧰 Accesorios y equipamiento</v>
      </c>
      <c r="H179" t="str">
        <v>SUB-032</v>
      </c>
      <c r="I179" t="str">
        <f>IFERROR(VLOOKUP(H179,CATÁLOGOS!$F$6:$H$305,3,FALSE),"")</f>
        <v>Artículos para tender</v>
      </c>
      <c r="J179" t="str">
        <v>bethel</v>
      </c>
      <c r="K179" t="str">
        <v>Broches Madera x 12 unidades</v>
      </c>
      <c r="M179" t="str">
        <v>1 pack</v>
      </c>
      <c r="N179" t="str">
        <v>APR005.jpg</v>
      </c>
      <c r="O179" t="str">
        <v>CNT-167</v>
      </c>
      <c r="P179" t="str">
        <f>IFERROR(VLOOKUP(O179,CATÁLOGOS!$L$6:$O$305,3,FALSE),"")</f>
        <v>Broches Madera x 12 unidades. Presentación: 1 pack.</v>
      </c>
      <c r="Q179" t="str">
        <f>IFERROR(VLOOKUP(O179,CATÁLOGOS!$L$6:$O$305,4,FALSE),"")</f>
        <v>Artículos para tender. Accesorio resistente y práctico, pensado para facilitar las tareas de limpieza del hogar.</v>
      </c>
      <c r="T179" t="str">
        <v>Activo</v>
      </c>
      <c r="U179" t="str">
        <v>NO</v>
      </c>
    </row>
    <row r="180">
      <c r="A180" t="str">
        <v>176</v>
      </c>
      <c r="B180" t="str">
        <v>APB001</v>
      </c>
      <c r="C180" t="str">
        <v>APB001</v>
      </c>
      <c r="F180" t="str">
        <v>CAT-001</v>
      </c>
      <c r="G180" t="str">
        <f>IFERROR(VLOOKUP(F180,CATÁLOGOS!$A$6:$B$105,2,FALSE),"")</f>
        <v>🚽 Baño</v>
      </c>
      <c r="H180" t="str">
        <v>SUB-033</v>
      </c>
      <c r="I180" t="str">
        <f>IFERROR(VLOOKUP(H180,CATÁLOGOS!$F$6:$H$305,3,FALSE),"")</f>
        <v>Accesorios de baño</v>
      </c>
      <c r="J180" t="str">
        <v>bethel</v>
      </c>
      <c r="K180" t="str">
        <v>Cepillo Lava Espalda Plastico</v>
      </c>
      <c r="M180" t="str">
        <v>1 unidad</v>
      </c>
      <c r="N180" t="str">
        <v>APB001.jpg</v>
      </c>
      <c r="O180" t="str">
        <v>CNT-168</v>
      </c>
      <c r="P180" t="str">
        <f>IFERROR(VLOOKUP(O180,CATÁLOGOS!$L$6:$O$305,3,FALSE),"")</f>
        <v>Cepillo Lava Espalda Plastico. Presentación: 1 unidad.</v>
      </c>
      <c r="Q180" t="str">
        <f>IFERROR(VLOOKUP(O180,CATÁLOGOS!$L$6:$O$305,4,FALSE),"")</f>
        <v>Accesorios de baño. Elimina suciedad y gérmenes en inodoros, azulejos y superficies del baño, dejando un aroma agradable.</v>
      </c>
      <c r="T180" t="str">
        <v>Activo</v>
      </c>
      <c r="U180" t="str">
        <v>NO</v>
      </c>
    </row>
    <row r="181">
      <c r="A181" t="str">
        <v>177</v>
      </c>
      <c r="B181" t="str">
        <v>APB002</v>
      </c>
      <c r="C181" t="str">
        <v>APB002</v>
      </c>
      <c r="F181" t="str">
        <v>CAT-001</v>
      </c>
      <c r="G181" t="str">
        <f>IFERROR(VLOOKUP(F181,CATÁLOGOS!$A$6:$B$105,2,FALSE),"")</f>
        <v>🚽 Baño</v>
      </c>
      <c r="H181" t="str">
        <v>SUB-033</v>
      </c>
      <c r="I181" t="str">
        <f>IFERROR(VLOOKUP(H181,CATÁLOGOS!$F$6:$H$305,3,FALSE),"")</f>
        <v>Accesorios de baño</v>
      </c>
      <c r="J181" t="str">
        <v>bethel</v>
      </c>
      <c r="K181" t="str">
        <v>Jabonera Deseplast</v>
      </c>
      <c r="M181" t="str">
        <v>1 unidad</v>
      </c>
      <c r="N181" t="str">
        <v>APB002.jpg</v>
      </c>
      <c r="O181" t="str">
        <v>CNT-169</v>
      </c>
      <c r="P181" t="str">
        <f>IFERROR(VLOOKUP(O181,CATÁLOGOS!$L$6:$O$305,3,FALSE),"")</f>
        <v>Jabonera Deseplast. Presentación: 1 unidad.</v>
      </c>
      <c r="Q181" t="str">
        <f>IFERROR(VLOOKUP(O181,CATÁLOGOS!$L$6:$O$305,4,FALSE),"")</f>
        <v>Accesorios de baño. Elimina suciedad y gérmenes en inodoros, azulejos y superficies del baño, dejando un aroma agradable.</v>
      </c>
      <c r="T181" t="str">
        <v>Activo</v>
      </c>
      <c r="U181" t="str">
        <v>NO</v>
      </c>
    </row>
    <row r="182">
      <c r="A182" t="str">
        <v>178</v>
      </c>
      <c r="B182" t="str">
        <v>APB003</v>
      </c>
      <c r="C182" t="str">
        <v>APB003</v>
      </c>
      <c r="F182" t="str">
        <v>CAT-001</v>
      </c>
      <c r="G182" t="str">
        <f>IFERROR(VLOOKUP(F182,CATÁLOGOS!$A$6:$B$105,2,FALSE),"")</f>
        <v>🚽 Baño</v>
      </c>
      <c r="H182" t="str">
        <v>SUB-033</v>
      </c>
      <c r="I182" t="str">
        <f>IFERROR(VLOOKUP(H182,CATÁLOGOS!$F$6:$H$305,3,FALSE),"")</f>
        <v>Accesorios de baño</v>
      </c>
      <c r="J182" t="str">
        <v>Pato</v>
      </c>
      <c r="K182" t="str">
        <v>Limpiador Adhesivo inodoro</v>
      </c>
      <c r="M182" t="str">
        <v>1 unidad</v>
      </c>
      <c r="N182" t="str">
        <v>APB003.jpg</v>
      </c>
      <c r="O182" t="str">
        <v>CNT-170</v>
      </c>
      <c r="P182" t="str">
        <f>IFERROR(VLOOKUP(O182,CATÁLOGOS!$L$6:$O$305,3,FALSE),"")</f>
        <v>Limpiador Adhesivo inodoro. Presentación: 1 unidad. Marca Pato.</v>
      </c>
      <c r="Q182" t="str">
        <f>IFERROR(VLOOKUP(O182,CATÁLOGOS!$L$6:$O$305,4,FALSE),"")</f>
        <v>Accesorios de baño. Elimina suciedad y gérmenes en inodoros, azulejos y superficies del baño, dejando un aroma agradable.</v>
      </c>
      <c r="T182" t="str">
        <v>Activo</v>
      </c>
      <c r="U182" t="str">
        <v>NO</v>
      </c>
    </row>
    <row r="183">
      <c r="A183" t="str">
        <v>179</v>
      </c>
      <c r="B183" t="str">
        <v>APB004</v>
      </c>
      <c r="C183" t="str">
        <v>APB004</v>
      </c>
      <c r="F183" t="str">
        <v>CAT-001</v>
      </c>
      <c r="G183" t="str">
        <f>IFERROR(VLOOKUP(F183,CATÁLOGOS!$A$6:$B$105,2,FALSE),"")</f>
        <v>🚽 Baño</v>
      </c>
      <c r="H183" t="str">
        <v>SUB-033</v>
      </c>
      <c r="I183" t="str">
        <f>IFERROR(VLOOKUP(H183,CATÁLOGOS!$F$6:$H$305,3,FALSE),"")</f>
        <v>Accesorios de baño</v>
      </c>
      <c r="J183" t="str">
        <v>Glade</v>
      </c>
      <c r="K183" t="str">
        <v>Pastilla para inodoro</v>
      </c>
      <c r="M183" t="str">
        <v>1 unidad</v>
      </c>
      <c r="N183" t="str">
        <v>APB004.jpg</v>
      </c>
      <c r="O183" t="str">
        <v>CNT-171</v>
      </c>
      <c r="P183" t="str">
        <f>IFERROR(VLOOKUP(O183,CATÁLOGOS!$L$6:$O$305,3,FALSE),"")</f>
        <v>Pastilla para inodoro. Presentación: 1 unidad. Marca Glade.</v>
      </c>
      <c r="Q183" t="str">
        <f>IFERROR(VLOOKUP(O183,CATÁLOGOS!$L$6:$O$305,4,FALSE),"")</f>
        <v>Accesorios de baño. Elimina suciedad y gérmenes en inodoros, azulejos y superficies del baño, dejando un aroma agradable.</v>
      </c>
      <c r="T183" t="str">
        <v>Activo</v>
      </c>
      <c r="U183" t="str">
        <v>NO</v>
      </c>
    </row>
    <row r="184">
      <c r="A184" t="str">
        <v>180</v>
      </c>
      <c r="B184" t="str">
        <v>APB005</v>
      </c>
      <c r="C184" t="str">
        <v>APB005</v>
      </c>
      <c r="F184" t="str">
        <v>CAT-001</v>
      </c>
      <c r="G184" t="str">
        <f>IFERROR(VLOOKUP(F184,CATÁLOGOS!$A$6:$B$105,2,FALSE),"")</f>
        <v>🚽 Baño</v>
      </c>
      <c r="H184" t="str">
        <v>SUB-033</v>
      </c>
      <c r="I184" t="str">
        <f>IFERROR(VLOOKUP(H184,CATÁLOGOS!$F$6:$H$305,3,FALSE),"")</f>
        <v>Accesorios de baño</v>
      </c>
      <c r="J184" t="str">
        <v>bethel</v>
      </c>
      <c r="K184" t="str">
        <v>Protector cortina de baño</v>
      </c>
      <c r="M184" t="str">
        <v>1 unidad</v>
      </c>
      <c r="N184" t="str">
        <v>APB005.jpg</v>
      </c>
      <c r="O184" t="str">
        <v>CNT-172</v>
      </c>
      <c r="P184" t="str">
        <f>IFERROR(VLOOKUP(O184,CATÁLOGOS!$L$6:$O$305,3,FALSE),"")</f>
        <v>Protector cortina de baño. Presentación: 1 unidad.</v>
      </c>
      <c r="Q184" t="str">
        <f>IFERROR(VLOOKUP(O184,CATÁLOGOS!$L$6:$O$305,4,FALSE),"")</f>
        <v>Accesorios de baño. Elimina suciedad y gérmenes en inodoros, azulejos y superficies del baño, dejando un aroma agradable.</v>
      </c>
      <c r="T184" t="str">
        <v>Activo</v>
      </c>
      <c r="U184" t="str">
        <v>NO</v>
      </c>
    </row>
    <row r="185">
      <c r="A185" t="str">
        <v>181</v>
      </c>
      <c r="B185" t="str">
        <v>AER001</v>
      </c>
      <c r="C185" t="str">
        <v>AER001</v>
      </c>
      <c r="F185" t="str">
        <v>CAT-004</v>
      </c>
      <c r="G185" t="str">
        <f>IFERROR(VLOOKUP(F185,CATÁLOGOS!$A$6:$B$105,2,FALSE),"")</f>
        <v>🌸 Aromas y fragancias</v>
      </c>
      <c r="H185" t="str">
        <v>SUB-034</v>
      </c>
      <c r="I185" t="str">
        <f>IFERROR(VLOOKUP(H185,CATÁLOGOS!$F$6:$H$305,3,FALSE),"")</f>
        <v>Aerosol ambiental</v>
      </c>
      <c r="J185" t="str">
        <v>Poe</v>
      </c>
      <c r="K185" t="str">
        <v>Poett Desodorante de Ambiente</v>
      </c>
      <c r="M185" t="str">
        <v>1 unidad</v>
      </c>
      <c r="N185" t="str">
        <v>AER001.jpg</v>
      </c>
      <c r="O185" t="str">
        <v>CNT-173</v>
      </c>
      <c r="P185" t="str">
        <f>IFERROR(VLOOKUP(O185,CATÁLOGOS!$L$6:$O$305,3,FALSE),"")</f>
        <v>Poett Desodorante de Ambiente. Presentación: 1 unidad. Marca Poe.</v>
      </c>
      <c r="Q185" t="str">
        <f>IFERROR(VLOOKUP(O185,CATÁLOGOS!$L$6:$O$305,4,FALSE),"")</f>
        <v>Aerosol ambiental. Perfuma ambientes y textiles con una fragancia agradable y duradera, ideal para dejar todo con olor a limpio.</v>
      </c>
      <c r="T185" t="str">
        <v>Activo</v>
      </c>
      <c r="U185" t="str">
        <v>NO</v>
      </c>
    </row>
    <row r="186">
      <c r="A186" t="str">
        <v>182</v>
      </c>
      <c r="B186" t="str">
        <v>AER002</v>
      </c>
      <c r="C186" t="str">
        <v>AER002</v>
      </c>
      <c r="F186" t="str">
        <v>CAT-005</v>
      </c>
      <c r="G186" t="str">
        <f>IFERROR(VLOOKUP(F186,CATÁLOGOS!$A$6:$B$105,2,FALSE),"")</f>
        <v>🦠 Desinfección y limpieza</v>
      </c>
      <c r="H186" t="str">
        <v>SUB-035</v>
      </c>
      <c r="I186" t="str">
        <f>IFERROR(VLOOKUP(H186,CATÁLOGOS!$F$6:$H$305,3,FALSE),"")</f>
        <v>Aerosol desinfectante</v>
      </c>
      <c r="J186" t="str">
        <v>Lysoform</v>
      </c>
      <c r="K186" t="str">
        <v>Lysoform Desisfectante</v>
      </c>
      <c r="M186" t="str">
        <v>1 unidad</v>
      </c>
      <c r="N186" t="str">
        <v>AER002.jpg</v>
      </c>
      <c r="O186" t="str">
        <v>CNT-174</v>
      </c>
      <c r="P186" t="str">
        <f>IFERROR(VLOOKUP(O186,CATÁLOGOS!$L$6:$O$305,3,FALSE),"")</f>
        <v>Lysoform Desisfectante. Presentación: 1 unidad.</v>
      </c>
      <c r="Q186" t="str">
        <f>IFERROR(VLOOKUP(O186,CATÁLOGOS!$L$6:$O$305,4,FALSE),"")</f>
        <v>Aerosol desinfectante. Elimina bacterias y gérmenes, desinfectando a fondo superficies del hogar, comercios e industrias.</v>
      </c>
      <c r="T186" t="str">
        <v>Activo</v>
      </c>
      <c r="U186" t="str">
        <v>NO</v>
      </c>
    </row>
    <row r="187">
      <c r="A187" t="str">
        <v>183</v>
      </c>
      <c r="B187" t="str">
        <v>AER003</v>
      </c>
      <c r="C187" t="str">
        <v>AER003</v>
      </c>
      <c r="F187" t="str">
        <v>CAT-010</v>
      </c>
      <c r="G187" t="str">
        <f>IFERROR(VLOOKUP(F187,CATÁLOGOS!$A$6:$B$105,2,FALSE),"")</f>
        <v>🏠 Hogar y varios</v>
      </c>
      <c r="H187" t="str">
        <v>SUB-036</v>
      </c>
      <c r="I187" t="str">
        <f>IFERROR(VLOOKUP(H187,CATÁLOGOS!$F$6:$H$305,3,FALSE),"")</f>
        <v>Lustramuebles</v>
      </c>
      <c r="J187" t="str">
        <v>Blem</v>
      </c>
      <c r="K187" t="str">
        <v>Lustra Muebles</v>
      </c>
      <c r="M187" t="str">
        <v>1 unidad</v>
      </c>
      <c r="N187" t="str">
        <v>AER003.jpg</v>
      </c>
      <c r="O187" t="str">
        <v>CNT-175</v>
      </c>
      <c r="P187" t="str">
        <f>IFERROR(VLOOKUP(O187,CATÁLOGOS!$L$6:$O$305,3,FALSE),"")</f>
        <v>Lustra Muebles. Presentación: 1 unidad. Marca Blem.</v>
      </c>
      <c r="Q187" t="str">
        <f>IFERROR(VLOOKUP(O187,CATÁLOGOS!$L$6:$O$305,4,FALSE),"")</f>
        <v>Lustramuebles. Producto práctico pensado para facilitar las tareas diarias del hogar.</v>
      </c>
      <c r="T187" t="str">
        <v>Activo</v>
      </c>
      <c r="U187" t="str">
        <v>SI</v>
      </c>
    </row>
    <row r="188">
      <c r="A188" t="str">
        <v>184</v>
      </c>
      <c r="B188" t="str">
        <v>AER004</v>
      </c>
      <c r="C188" t="str">
        <v>AER004</v>
      </c>
      <c r="F188" t="str">
        <v>CAT-002</v>
      </c>
      <c r="G188" t="str">
        <f>IFERROR(VLOOKUP(F188,CATÁLOGOS!$A$6:$B$105,2,FALSE),"")</f>
        <v>🍽️ Cocina</v>
      </c>
      <c r="H188" t="str">
        <v>SUB-037</v>
      </c>
      <c r="I188" t="str">
        <f>IFERROR(VLOOKUP(H188,CATÁLOGOS!$F$6:$H$305,3,FALSE),"")</f>
        <v>Limpiador de horno</v>
      </c>
      <c r="J188" t="str">
        <v>Mr. Musculo</v>
      </c>
      <c r="K188" t="str">
        <v>Limpiador para hornos</v>
      </c>
      <c r="M188" t="str">
        <v>1 unidad</v>
      </c>
      <c r="N188" t="str">
        <v>AER004.jpg</v>
      </c>
      <c r="O188" t="str">
        <v>CNT-176</v>
      </c>
      <c r="P188" t="str">
        <f>IFERROR(VLOOKUP(O188,CATÁLOGOS!$L$6:$O$305,3,FALSE),"")</f>
        <v>Limpiador para hornos. Presentación: 1 unidad. Marca Mr. Musculo.</v>
      </c>
      <c r="Q188" t="str">
        <f>IFERROR(VLOOKUP(O188,CATÁLOGOS!$L$6:$O$305,4,FALSE),"")</f>
        <v>Limpiador de horno. Ideal para desengrasar y limpiar utensilios, vajilla y superficies de cocina de forma rápida y efectiva.</v>
      </c>
      <c r="T188" t="str">
        <v>Activo</v>
      </c>
      <c r="U188" t="str">
        <v>NO</v>
      </c>
    </row>
    <row r="189">
      <c r="A189" t="str">
        <v>185</v>
      </c>
      <c r="B189" t="str">
        <v>AER005</v>
      </c>
      <c r="C189" t="str">
        <v>AER005</v>
      </c>
      <c r="F189" t="str">
        <v>CAT-003</v>
      </c>
      <c r="G189" t="str">
        <f>IFERROR(VLOOKUP(F189,CATÁLOGOS!$A$6:$B$105,2,FALSE),"")</f>
        <v>👕 Ropa y lavado</v>
      </c>
      <c r="H189" t="str">
        <v>SUB-038</v>
      </c>
      <c r="I189" t="str">
        <f>IFERROR(VLOOKUP(H189,CATÁLOGOS!$F$6:$H$305,3,FALSE),"")</f>
        <v>Apresto para ropa</v>
      </c>
      <c r="J189" t="str">
        <v>Apresto Danubio</v>
      </c>
      <c r="K189" t="str">
        <v>Apresto Danubio</v>
      </c>
      <c r="M189" t="str">
        <v>1 unidad</v>
      </c>
      <c r="N189" t="str">
        <v>AER005.jpg</v>
      </c>
      <c r="O189" t="str">
        <v>CNT-177</v>
      </c>
      <c r="P189" t="str">
        <f>IFERROR(VLOOKUP(O189,CATÁLOGOS!$L$6:$O$305,3,FALSE),"")</f>
        <v>Apresto Danubio. Presentación: 1 unidad. Marca Apresto Danubio.</v>
      </c>
      <c r="Q189" t="str">
        <f>IFERROR(VLOOKUP(O189,CATÁLOGOS!$L$6:$O$305,4,FALSE),"")</f>
        <v>Apresto para ropa. Cuida las fibras de la ropa, suaviza y deja un aroma agradable y duradero en cada lavado.</v>
      </c>
      <c r="T189" t="str">
        <v>Activo</v>
      </c>
      <c r="U189" t="str">
        <v>NO</v>
      </c>
    </row>
    <row r="190">
      <c r="A190" t="str">
        <v>186</v>
      </c>
      <c r="B190" t="str">
        <v>AER006</v>
      </c>
      <c r="C190" t="str">
        <v>AER006</v>
      </c>
      <c r="F190" t="str">
        <v>CAT-010</v>
      </c>
      <c r="G190" t="str">
        <f>IFERROR(VLOOKUP(F190,CATÁLOGOS!$A$6:$B$105,2,FALSE),"")</f>
        <v>🏠 Hogar y varios</v>
      </c>
      <c r="H190" t="str">
        <v>SUB-039</v>
      </c>
      <c r="I190" t="str">
        <f>IFERROR(VLOOKUP(H190,CATÁLOGOS!$F$6:$H$305,3,FALSE),"")</f>
        <v>Insecticidas</v>
      </c>
      <c r="J190" t="str">
        <v>Fuyi</v>
      </c>
      <c r="K190" t="str">
        <v>Fuyi Mata Moscas y Mosquitos</v>
      </c>
      <c r="M190" t="str">
        <v>1 unidad</v>
      </c>
      <c r="N190" t="str">
        <v>AER006.jpg</v>
      </c>
      <c r="O190" t="str">
        <v>CNT-178</v>
      </c>
      <c r="P190" t="str">
        <f>IFERROR(VLOOKUP(O190,CATÁLOGOS!$L$6:$O$305,3,FALSE),"")</f>
        <v>Fuyi Mata Moscas y Mosquitos. Presentación: 1 unidad.</v>
      </c>
      <c r="Q190" t="str">
        <f>IFERROR(VLOOKUP(O190,CATÁLOGOS!$L$6:$O$305,4,FALSE),"")</f>
        <v>Insecticidas. Producto práctico pensado para facilitar las tareas diarias del hogar.</v>
      </c>
      <c r="T190" t="str">
        <v>Activo</v>
      </c>
      <c r="U190" t="str">
        <v>NO</v>
      </c>
    </row>
    <row r="191">
      <c r="A191" t="str">
        <v>187</v>
      </c>
      <c r="B191" t="str">
        <v>AER007</v>
      </c>
      <c r="C191" t="str">
        <v>AER007</v>
      </c>
      <c r="F191" t="str">
        <v>CAT-010</v>
      </c>
      <c r="G191" t="str">
        <f>IFERROR(VLOOKUP(F191,CATÁLOGOS!$A$6:$B$105,2,FALSE),"")</f>
        <v>🏠 Hogar y varios</v>
      </c>
      <c r="H191" t="str">
        <v>SUB-039</v>
      </c>
      <c r="I191" t="str">
        <f>IFERROR(VLOOKUP(H191,CATÁLOGOS!$F$6:$H$305,3,FALSE),"")</f>
        <v>Insecticidas</v>
      </c>
      <c r="J191" t="str">
        <v>Raid</v>
      </c>
      <c r="K191" t="str">
        <v>Raid Azul</v>
      </c>
      <c r="M191" t="str">
        <v>1 unidad</v>
      </c>
      <c r="N191" t="str">
        <v>AER007.jpg</v>
      </c>
      <c r="O191" t="str">
        <v>CNT-179</v>
      </c>
      <c r="P191" t="str">
        <f>IFERROR(VLOOKUP(O191,CATÁLOGOS!$L$6:$O$305,3,FALSE),"")</f>
        <v>Raid Azul. Presentación: 1 unidad.</v>
      </c>
      <c r="Q191" t="str">
        <f>IFERROR(VLOOKUP(O191,CATÁLOGOS!$L$6:$O$305,4,FALSE),"")</f>
        <v>Insecticidas. Producto práctico pensado para facilitar las tareas diarias del hogar.</v>
      </c>
      <c r="T191" t="str">
        <v>Activo</v>
      </c>
      <c r="U191" t="str">
        <v>NO</v>
      </c>
    </row>
    <row r="192">
      <c r="A192" t="str">
        <v>188</v>
      </c>
      <c r="B192" t="str">
        <v>AER008</v>
      </c>
      <c r="C192" t="str">
        <v>AER008</v>
      </c>
      <c r="F192" t="str">
        <v>CAT-010</v>
      </c>
      <c r="G192" t="str">
        <f>IFERROR(VLOOKUP(F192,CATÁLOGOS!$A$6:$B$105,2,FALSE),"")</f>
        <v>🏠 Hogar y varios</v>
      </c>
      <c r="H192" t="str">
        <v>SUB-039</v>
      </c>
      <c r="I192" t="str">
        <f>IFERROR(VLOOKUP(H192,CATÁLOGOS!$F$6:$H$305,3,FALSE),"")</f>
        <v>Insecticidas</v>
      </c>
      <c r="J192" t="str">
        <v>Raid</v>
      </c>
      <c r="K192" t="str">
        <v>Raid Negro</v>
      </c>
      <c r="M192" t="str">
        <v>1 unidad</v>
      </c>
      <c r="N192" t="str">
        <v>AER008.jpg</v>
      </c>
      <c r="O192" t="str">
        <v>CNT-180</v>
      </c>
      <c r="P192" t="str">
        <f>IFERROR(VLOOKUP(O192,CATÁLOGOS!$L$6:$O$305,3,FALSE),"")</f>
        <v>Raid Negro. Presentación: 1 unidad.</v>
      </c>
      <c r="Q192" t="str">
        <f>IFERROR(VLOOKUP(O192,CATÁLOGOS!$L$6:$O$305,4,FALSE),"")</f>
        <v>Insecticidas. Producto práctico pensado para facilitar las tareas diarias del hogar.</v>
      </c>
      <c r="T192" t="str">
        <v>Activo</v>
      </c>
      <c r="U192" t="str">
        <v>NO</v>
      </c>
    </row>
    <row r="193">
      <c r="A193" t="str">
        <v>189</v>
      </c>
      <c r="B193" t="str">
        <v>MYG001</v>
      </c>
      <c r="C193" t="str">
        <v>MYG001</v>
      </c>
      <c r="D193" t="str">
        <v>MYG-GUANTES</v>
      </c>
      <c r="E193" t="str">
        <v>TALLE S</v>
      </c>
      <c r="F193" t="str">
        <v>CAT-006</v>
      </c>
      <c r="G193" t="str">
        <f>IFERROR(VLOOKUP(F193,CATÁLOGOS!$A$6:$B$105,2,FALSE),"")</f>
        <v>🧰 Accesorios y equipamiento</v>
      </c>
      <c r="H193" t="str">
        <v>SUB-040</v>
      </c>
      <c r="I193" t="str">
        <f>IFERROR(VLOOKUP(H193,CATÁLOGOS!$F$6:$H$305,3,FALSE),"")</f>
        <v>Guantes</v>
      </c>
      <c r="J193" t="str">
        <v>Make</v>
      </c>
      <c r="K193" t="str">
        <v>Guantes de Goma Make</v>
      </c>
      <c r="L193" t="str">
        <v>Talle S</v>
      </c>
      <c r="M193" t="str">
        <v>1 unidad</v>
      </c>
      <c r="N193" t="str">
        <v>MYG001.jpg</v>
      </c>
      <c r="O193" t="str">
        <v>CNT-181</v>
      </c>
      <c r="P193" t="str">
        <f>IFERROR(VLOOKUP(O193,CATÁLOGOS!$L$6:$O$305,3,FALSE),"")</f>
        <v>Guantes de Goma Make. Presentación: 1 unidad. Fragancia: Talle S.</v>
      </c>
      <c r="Q193" t="str">
        <f>IFERROR(VLOOKUP(O193,CATÁLOGOS!$L$6:$O$305,4,FALSE),"")</f>
        <v>Guantes. Accesorio resistente y práctico, pensado para facilitar las tareas de limpieza del hogar.</v>
      </c>
      <c r="T193" t="str">
        <v>Activo</v>
      </c>
      <c r="U193" t="str">
        <v>NO</v>
      </c>
    </row>
    <row r="194">
      <c r="A194" t="str">
        <v>190</v>
      </c>
      <c r="B194" t="str">
        <v>MYG002</v>
      </c>
      <c r="C194" t="str">
        <v>MYG002</v>
      </c>
      <c r="D194" t="str">
        <v>MYG-GUANTES</v>
      </c>
      <c r="E194" t="str">
        <v>TALLE M</v>
      </c>
      <c r="F194" t="str">
        <v>CAT-006</v>
      </c>
      <c r="G194" t="str">
        <f>IFERROR(VLOOKUP(F194,CATÁLOGOS!$A$6:$B$105,2,FALSE),"")</f>
        <v>🧰 Accesorios y equipamiento</v>
      </c>
      <c r="H194" t="str">
        <v>SUB-040</v>
      </c>
      <c r="I194" t="str">
        <f>IFERROR(VLOOKUP(H194,CATÁLOGOS!$F$6:$H$305,3,FALSE),"")</f>
        <v>Guantes</v>
      </c>
      <c r="J194" t="str">
        <v>Make</v>
      </c>
      <c r="K194" t="str">
        <v>Guantes de Goma Make</v>
      </c>
      <c r="L194" t="str">
        <v>Talle M</v>
      </c>
      <c r="M194" t="str">
        <v>1 unidad</v>
      </c>
      <c r="N194" t="str">
        <v>MYG002.jpg</v>
      </c>
      <c r="O194" t="str">
        <v>CNT-182</v>
      </c>
      <c r="P194" t="str">
        <f>IFERROR(VLOOKUP(O194,CATÁLOGOS!$L$6:$O$305,3,FALSE),"")</f>
        <v>Guantes de Goma Make. Presentación: 1 unidad. Fragancia: Talle M.</v>
      </c>
      <c r="Q194" t="str">
        <f>IFERROR(VLOOKUP(O194,CATÁLOGOS!$L$6:$O$305,4,FALSE),"")</f>
        <v>Guantes. Accesorio resistente y práctico, pensado para facilitar las tareas de limpieza del hogar.</v>
      </c>
      <c r="T194" t="str">
        <v>Activo</v>
      </c>
      <c r="U194" t="str">
        <v>NO</v>
      </c>
    </row>
    <row r="195">
      <c r="A195" t="str">
        <v>191</v>
      </c>
      <c r="B195" t="str">
        <v>MYG003</v>
      </c>
      <c r="C195" t="str">
        <v>MYG003</v>
      </c>
      <c r="D195" t="str">
        <v>MYG-GUANTES</v>
      </c>
      <c r="E195" t="str">
        <v>TALLE L</v>
      </c>
      <c r="F195" t="str">
        <v>CAT-006</v>
      </c>
      <c r="G195" t="str">
        <f>IFERROR(VLOOKUP(F195,CATÁLOGOS!$A$6:$B$105,2,FALSE),"")</f>
        <v>🧰 Accesorios y equipamiento</v>
      </c>
      <c r="H195" t="str">
        <v>SUB-040</v>
      </c>
      <c r="I195" t="str">
        <f>IFERROR(VLOOKUP(H195,CATÁLOGOS!$F$6:$H$305,3,FALSE),"")</f>
        <v>Guantes</v>
      </c>
      <c r="J195" t="str">
        <v>Make</v>
      </c>
      <c r="K195" t="str">
        <v>Guantes de Goma Make</v>
      </c>
      <c r="L195" t="str">
        <v>Talle L</v>
      </c>
      <c r="M195" t="str">
        <v>1 unidad</v>
      </c>
      <c r="N195" t="str">
        <v>MYG003.jpg</v>
      </c>
      <c r="O195" t="str">
        <v>CNT-183</v>
      </c>
      <c r="P195" t="str">
        <f>IFERROR(VLOOKUP(O195,CATÁLOGOS!$L$6:$O$305,3,FALSE),"")</f>
        <v>Guantes de Goma Make. Presentación: 1 unidad. Fragancia: Talle L.</v>
      </c>
      <c r="Q195" t="str">
        <f>IFERROR(VLOOKUP(O195,CATÁLOGOS!$L$6:$O$305,4,FALSE),"")</f>
        <v>Guantes. Accesorio resistente y práctico, pensado para facilitar las tareas de limpieza del hogar.</v>
      </c>
      <c r="T195" t="str">
        <v>Activo</v>
      </c>
      <c r="U195" t="str">
        <v>NO</v>
      </c>
    </row>
    <row r="196">
      <c r="A196" t="str">
        <v>192</v>
      </c>
      <c r="B196" t="str">
        <v>MYG004</v>
      </c>
      <c r="C196" t="str">
        <v>MYG004</v>
      </c>
      <c r="D196" t="str">
        <v>MYG-GUANTES</v>
      </c>
      <c r="E196" t="str">
        <v>TALLE XL</v>
      </c>
      <c r="F196" t="str">
        <v>CAT-006</v>
      </c>
      <c r="G196" t="str">
        <f>IFERROR(VLOOKUP(F196,CATÁLOGOS!$A$6:$B$105,2,FALSE),"")</f>
        <v>🧰 Accesorios y equipamiento</v>
      </c>
      <c r="H196" t="str">
        <v>SUB-040</v>
      </c>
      <c r="I196" t="str">
        <f>IFERROR(VLOOKUP(H196,CATÁLOGOS!$F$6:$H$305,3,FALSE),"")</f>
        <v>Guantes</v>
      </c>
      <c r="J196" t="str">
        <v>Make</v>
      </c>
      <c r="K196" t="str">
        <v>Guantes de Goma Make</v>
      </c>
      <c r="L196" t="str">
        <v>Talle XL</v>
      </c>
      <c r="M196" t="str">
        <v>1 unidad</v>
      </c>
      <c r="N196" t="str">
        <v>MYG004.jpg</v>
      </c>
      <c r="O196" t="str">
        <v>CNT-184</v>
      </c>
      <c r="P196" t="str">
        <f>IFERROR(VLOOKUP(O196,CATÁLOGOS!$L$6:$O$305,3,FALSE),"")</f>
        <v>Guantes de Goma Make. Presentación: 1 unidad. Fragancia: Talle XL.</v>
      </c>
      <c r="Q196" t="str">
        <f>IFERROR(VLOOKUP(O196,CATÁLOGOS!$L$6:$O$305,4,FALSE),"")</f>
        <v>Guantes. Accesorio resistente y práctico, pensado para facilitar las tareas de limpieza del hogar.</v>
      </c>
      <c r="T196" t="str">
        <v>Activo</v>
      </c>
      <c r="U196" t="str">
        <v>NO</v>
      </c>
    </row>
    <row r="197">
      <c r="A197" t="str">
        <v>193</v>
      </c>
      <c r="B197" t="str">
        <v>MYG005</v>
      </c>
      <c r="C197" t="str">
        <v>MYG005</v>
      </c>
      <c r="F197" t="str">
        <v>CAT-006</v>
      </c>
      <c r="G197" t="str">
        <f>IFERROR(VLOOKUP(F197,CATÁLOGOS!$A$6:$B$105,2,FALSE),"")</f>
        <v>🧰 Accesorios y equipamiento</v>
      </c>
      <c r="H197" t="str">
        <v>SUB-040</v>
      </c>
      <c r="I197" t="str">
        <f>IFERROR(VLOOKUP(H197,CATÁLOGOS!$F$6:$H$305,3,FALSE),"")</f>
        <v>Guantes</v>
      </c>
      <c r="J197" t="str">
        <v>bethel</v>
      </c>
      <c r="K197" t="str">
        <v>Guantes de Latex descartable Caja x 100 unidades</v>
      </c>
      <c r="M197" t="str">
        <v>1 pack</v>
      </c>
      <c r="N197" t="str">
        <v>MYG005.jpg</v>
      </c>
      <c r="O197" t="str">
        <v>CNT-185</v>
      </c>
      <c r="P197" t="str">
        <f>IFERROR(VLOOKUP(O197,CATÁLOGOS!$L$6:$O$305,3,FALSE),"")</f>
        <v>Guantes de Latex descartable Caja x 100 unidades. Presentación: 1 pack.</v>
      </c>
      <c r="Q197" t="str">
        <f>IFERROR(VLOOKUP(O197,CATÁLOGOS!$L$6:$O$305,4,FALSE),"")</f>
        <v>Guantes. Accesorio resistente y práctico, pensado para facilitar las tareas de limpieza del hogar.</v>
      </c>
      <c r="T197" t="str">
        <v>Activo</v>
      </c>
      <c r="U197" t="str">
        <v>NO</v>
      </c>
    </row>
    <row r="198">
      <c r="A198" t="str">
        <v>194</v>
      </c>
      <c r="B198" t="str">
        <v>MYG006</v>
      </c>
      <c r="C198" t="str">
        <v>MYG006</v>
      </c>
      <c r="F198" t="str">
        <v>CAT-006</v>
      </c>
      <c r="G198" t="str">
        <f>IFERROR(VLOOKUP(F198,CATÁLOGOS!$A$6:$B$105,2,FALSE),"")</f>
        <v>🧰 Accesorios y equipamiento</v>
      </c>
      <c r="H198" t="str">
        <v>SUB-040</v>
      </c>
      <c r="I198" t="str">
        <f>IFERROR(VLOOKUP(H198,CATÁLOGOS!$F$6:$H$305,3,FALSE),"")</f>
        <v>Guantes</v>
      </c>
      <c r="J198" t="str">
        <v>bethel</v>
      </c>
      <c r="K198" t="str">
        <v>Guantes de Nitrilo Caja x 100 unidades</v>
      </c>
      <c r="M198" t="str">
        <v>1 pack</v>
      </c>
      <c r="N198" t="str">
        <v>MYG006.jpg</v>
      </c>
      <c r="O198" t="str">
        <v>CNT-186</v>
      </c>
      <c r="P198" t="str">
        <f>IFERROR(VLOOKUP(O198,CATÁLOGOS!$L$6:$O$305,3,FALSE),"")</f>
        <v>Guantes de Nitrilo Caja x 100 unidades. Presentación: 1 pack.</v>
      </c>
      <c r="Q198" t="str">
        <f>IFERROR(VLOOKUP(O198,CATÁLOGOS!$L$6:$O$305,4,FALSE),"")</f>
        <v>Guantes. Accesorio resistente y práctico, pensado para facilitar las tareas de limpieza del hogar.</v>
      </c>
      <c r="T198" t="str">
        <v>Activo</v>
      </c>
      <c r="U198" t="str">
        <v>NO</v>
      </c>
    </row>
    <row r="199">
      <c r="A199" t="str">
        <v>195</v>
      </c>
      <c r="B199" t="str">
        <v>MYG007</v>
      </c>
      <c r="C199" t="str">
        <v>MYG007</v>
      </c>
      <c r="F199" t="str">
        <v>CAT-006</v>
      </c>
      <c r="G199" t="str">
        <f>IFERROR(VLOOKUP(F199,CATÁLOGOS!$A$6:$B$105,2,FALSE),"")</f>
        <v>🧰 Accesorios y equipamiento</v>
      </c>
      <c r="H199" t="str">
        <v>SUB-041</v>
      </c>
      <c r="I199" t="str">
        <f>IFERROR(VLOOKUP(H199,CATÁLOGOS!$F$6:$H$305,3,FALSE),"")</f>
        <v>Mopas</v>
      </c>
      <c r="J199" t="str">
        <v>Iberia</v>
      </c>
      <c r="K199" t="str">
        <v>Escurre Facil Iberia</v>
      </c>
      <c r="M199" t="str">
        <v>1 unidad</v>
      </c>
      <c r="N199" t="str">
        <v>MYG007.jpg</v>
      </c>
      <c r="O199" t="str">
        <v>CNT-187</v>
      </c>
      <c r="P199" t="str">
        <f>IFERROR(VLOOKUP(O199,CATÁLOGOS!$L$6:$O$305,3,FALSE),"")</f>
        <v>Escurre Facil Iberia. Presentación: 1 unidad. Marca Iberia.</v>
      </c>
      <c r="Q199" t="str">
        <f>IFERROR(VLOOKUP(O199,CATÁLOGOS!$L$6:$O$305,4,FALSE),"")</f>
        <v>Mopas. Accesorio resistente y práctico, pensado para facilitar las tareas de limpieza del hogar.</v>
      </c>
      <c r="T199" t="str">
        <v>Activo</v>
      </c>
      <c r="U199" t="str">
        <v>NO</v>
      </c>
    </row>
    <row r="200">
      <c r="A200" t="str">
        <v>196</v>
      </c>
      <c r="B200" t="str">
        <v>MYG008</v>
      </c>
      <c r="C200" t="str">
        <v>MYG008</v>
      </c>
      <c r="F200" t="str">
        <v>CAT-006</v>
      </c>
      <c r="G200" t="str">
        <f>IFERROR(VLOOKUP(F200,CATÁLOGOS!$A$6:$B$105,2,FALSE),"")</f>
        <v>🧰 Accesorios y equipamiento</v>
      </c>
      <c r="H200" t="str">
        <v>SUB-041</v>
      </c>
      <c r="I200" t="str">
        <f>IFERROR(VLOOKUP(H200,CATÁLOGOS!$F$6:$H$305,3,FALSE),"")</f>
        <v>Mopas</v>
      </c>
      <c r="J200" t="str">
        <v>MrTrapo</v>
      </c>
      <c r="K200" t="str">
        <v>Mopa Algodon Amarillo MrTrapo</v>
      </c>
      <c r="M200" t="str">
        <v>1 unidad</v>
      </c>
      <c r="N200" t="str">
        <v>MYG008.jpg</v>
      </c>
      <c r="O200" t="str">
        <v>CNT-188</v>
      </c>
      <c r="P200" t="str">
        <f>IFERROR(VLOOKUP(O200,CATÁLOGOS!$L$6:$O$305,3,FALSE),"")</f>
        <v>Mopa Algodon Amarillo MrTrapo. Presentación: 1 unidad. Marca MrTrapo.</v>
      </c>
      <c r="Q200" t="str">
        <f>IFERROR(VLOOKUP(O200,CATÁLOGOS!$L$6:$O$305,4,FALSE),"")</f>
        <v>Mopas. Accesorio resistente y práctico, pensado para facilitar las tareas de limpieza del hogar.</v>
      </c>
      <c r="T200" t="str">
        <v>Activo</v>
      </c>
      <c r="U200" t="str">
        <v>NO</v>
      </c>
    </row>
    <row r="201">
      <c r="A201" t="str">
        <v>197</v>
      </c>
      <c r="B201" t="str">
        <v>MYG009</v>
      </c>
      <c r="C201" t="str">
        <v>MYG009</v>
      </c>
      <c r="F201" t="str">
        <v>CAT-006</v>
      </c>
      <c r="G201" t="str">
        <f>IFERROR(VLOOKUP(F201,CATÁLOGOS!$A$6:$B$105,2,FALSE),"")</f>
        <v>🧰 Accesorios y equipamiento</v>
      </c>
      <c r="H201" t="str">
        <v>SUB-041</v>
      </c>
      <c r="I201" t="str">
        <f>IFERROR(VLOOKUP(H201,CATÁLOGOS!$F$6:$H$305,3,FALSE),"")</f>
        <v>Mopas</v>
      </c>
      <c r="J201" t="str">
        <v>Romyl</v>
      </c>
      <c r="K201" t="str">
        <v>Mopa Amarilla Romyl</v>
      </c>
      <c r="M201" t="str">
        <v>1 unidad</v>
      </c>
      <c r="N201" t="str">
        <v>MYG009.jpg</v>
      </c>
      <c r="O201" t="str">
        <v>CNT-189</v>
      </c>
      <c r="P201" t="str">
        <f>IFERROR(VLOOKUP(O201,CATÁLOGOS!$L$6:$O$305,3,FALSE),"")</f>
        <v>Mopa Amarilla Romyl. Presentación: 1 unidad. Marca Romyl.</v>
      </c>
      <c r="Q201" t="str">
        <f>IFERROR(VLOOKUP(O201,CATÁLOGOS!$L$6:$O$305,4,FALSE),"")</f>
        <v>Mopas. Accesorio resistente y práctico, pensado para facilitar las tareas de limpieza del hogar.</v>
      </c>
      <c r="T201" t="str">
        <v>Activo</v>
      </c>
      <c r="U201" t="str">
        <v>NO</v>
      </c>
    </row>
    <row r="202">
      <c r="A202" t="str">
        <v>198</v>
      </c>
      <c r="B202" t="str">
        <v>MYG010</v>
      </c>
      <c r="C202" t="str">
        <v>MYG010</v>
      </c>
      <c r="F202" t="str">
        <v>CAT-006</v>
      </c>
      <c r="G202" t="str">
        <f>IFERROR(VLOOKUP(F202,CATÁLOGOS!$A$6:$B$105,2,FALSE),"")</f>
        <v>🧰 Accesorios y equipamiento</v>
      </c>
      <c r="H202" t="str">
        <v>SUB-041</v>
      </c>
      <c r="I202" t="str">
        <f>IFERROR(VLOOKUP(H202,CATÁLOGOS!$F$6:$H$305,3,FALSE),"")</f>
        <v>Mopas</v>
      </c>
      <c r="J202" t="str">
        <v>Fibran Sur</v>
      </c>
      <c r="K202" t="str">
        <v>Mopa Blanca Algodon FibranSur</v>
      </c>
      <c r="M202" t="str">
        <v>1 unidad</v>
      </c>
      <c r="N202" t="str">
        <v>MYG010.jpg</v>
      </c>
      <c r="O202" t="str">
        <v>CNT-190</v>
      </c>
      <c r="P202" t="str">
        <f>IFERROR(VLOOKUP(O202,CATÁLOGOS!$L$6:$O$305,3,FALSE),"")</f>
        <v>Mopa Blanca Algodon FibranSur. Presentación: 1 unidad. Marca Fibran Sur.</v>
      </c>
      <c r="Q202" t="str">
        <f>IFERROR(VLOOKUP(O202,CATÁLOGOS!$L$6:$O$305,4,FALSE),"")</f>
        <v>Mopas. Accesorio resistente y práctico, pensado para facilitar las tareas de limpieza del hogar.</v>
      </c>
      <c r="T202" t="str">
        <v>Activo</v>
      </c>
      <c r="U202" t="str">
        <v>NO</v>
      </c>
    </row>
    <row r="203">
      <c r="A203" t="str">
        <v>199</v>
      </c>
      <c r="B203" t="str">
        <v>MYG011</v>
      </c>
      <c r="C203" t="str">
        <v>MYG011</v>
      </c>
      <c r="F203" t="str">
        <v>CAT-006</v>
      </c>
      <c r="G203" t="str">
        <f>IFERROR(VLOOKUP(F203,CATÁLOGOS!$A$6:$B$105,2,FALSE),"")</f>
        <v>🧰 Accesorios y equipamiento</v>
      </c>
      <c r="H203" t="str">
        <v>SUB-041</v>
      </c>
      <c r="I203" t="str">
        <f>IFERROR(VLOOKUP(H203,CATÁLOGOS!$F$6:$H$305,3,FALSE),"")</f>
        <v>Mopas</v>
      </c>
      <c r="J203" t="str">
        <v>Make</v>
      </c>
      <c r="K203" t="str">
        <v>Mopa Blanca Algodon Make</v>
      </c>
      <c r="M203" t="str">
        <v>1 unidad</v>
      </c>
      <c r="N203" t="str">
        <v>MYG011.jpg</v>
      </c>
      <c r="O203" t="str">
        <v>CNT-191</v>
      </c>
      <c r="P203" t="str">
        <f>IFERROR(VLOOKUP(O203,CATÁLOGOS!$L$6:$O$305,3,FALSE),"")</f>
        <v>Mopa Blanca Algodon Make. Presentación: 1 unidad.</v>
      </c>
      <c r="Q203" t="str">
        <f>IFERROR(VLOOKUP(O203,CATÁLOGOS!$L$6:$O$305,4,FALSE),"")</f>
        <v>Mopas. Accesorio resistente y práctico, pensado para facilitar las tareas de limpieza del hogar.</v>
      </c>
      <c r="T203" t="str">
        <v>Activo</v>
      </c>
      <c r="U203" t="str">
        <v>NO</v>
      </c>
    </row>
    <row r="204">
      <c r="A204" t="str">
        <v>200</v>
      </c>
      <c r="B204" t="str">
        <v>MYG012</v>
      </c>
      <c r="C204" t="str">
        <v>MYG012</v>
      </c>
      <c r="F204" t="str">
        <v>CAT-006</v>
      </c>
      <c r="G204" t="str">
        <f>IFERROR(VLOOKUP(F204,CATÁLOGOS!$A$6:$B$105,2,FALSE),"")</f>
        <v>🧰 Accesorios y equipamiento</v>
      </c>
      <c r="H204" t="str">
        <v>SUB-042</v>
      </c>
      <c r="I204" t="str">
        <f>IFERROR(VLOOKUP(H204,CATÁLOGOS!$F$6:$H$305,3,FALSE),"")</f>
        <v>Repuestos</v>
      </c>
      <c r="J204" t="str">
        <v>Turbo Facil</v>
      </c>
      <c r="K204" t="str">
        <v>Repuesto Mopa Pelo Corto Turbo Facil</v>
      </c>
      <c r="M204" t="str">
        <v>1 unidad</v>
      </c>
      <c r="N204" t="str">
        <v>MYG012.jpg</v>
      </c>
      <c r="O204" t="str">
        <v>CNT-192</v>
      </c>
      <c r="P204" t="str">
        <f>IFERROR(VLOOKUP(O204,CATÁLOGOS!$L$6:$O$305,3,FALSE),"")</f>
        <v>Repuesto Mopa Pelo Corto Turbo Facil. Presentación: 1 unidad. Marca Turbo Facil.</v>
      </c>
      <c r="Q204" t="str">
        <f>IFERROR(VLOOKUP(O204,CATÁLOGOS!$L$6:$O$305,4,FALSE),"")</f>
        <v>Repuestos. Accesorio resistente y práctico, pensado para facilitar las tareas de limpieza del hogar.</v>
      </c>
      <c r="T204" t="str">
        <v>Activo</v>
      </c>
      <c r="U204" t="str">
        <v>NO</v>
      </c>
    </row>
    <row r="205">
      <c r="A205" t="str">
        <v>201</v>
      </c>
      <c r="B205" t="str">
        <v>MYG013</v>
      </c>
      <c r="C205" t="str">
        <v>MYG013</v>
      </c>
      <c r="F205" t="str">
        <v>CAT-006</v>
      </c>
      <c r="G205" t="str">
        <f>IFERROR(VLOOKUP(F205,CATÁLOGOS!$A$6:$B$105,2,FALSE),"")</f>
        <v>🧰 Accesorios y equipamiento</v>
      </c>
      <c r="H205" t="str">
        <v>SUB-042</v>
      </c>
      <c r="I205" t="str">
        <f>IFERROR(VLOOKUP(H205,CATÁLOGOS!$F$6:$H$305,3,FALSE),"")</f>
        <v>Repuestos</v>
      </c>
      <c r="J205" t="str">
        <v>Turbo Matic</v>
      </c>
      <c r="K205" t="str">
        <v>Repuesto Mopa Pelo Largo Turbo Matic</v>
      </c>
      <c r="M205" t="str">
        <v>1 unidad</v>
      </c>
      <c r="N205" t="str">
        <v>MYG013.jpg</v>
      </c>
      <c r="O205" t="str">
        <v>CNT-193</v>
      </c>
      <c r="P205" t="str">
        <f>IFERROR(VLOOKUP(O205,CATÁLOGOS!$L$6:$O$305,3,FALSE),"")</f>
        <v>Repuesto Mopa Pelo Largo Turbo Matic. Presentación: 1 unidad. Marca Turbo Matic.</v>
      </c>
      <c r="Q205" t="str">
        <f>IFERROR(VLOOKUP(O205,CATÁLOGOS!$L$6:$O$305,4,FALSE),"")</f>
        <v>Repuestos. Accesorio resistente y práctico, pensado para facilitar las tareas de limpieza del hogar.</v>
      </c>
      <c r="T205" t="str">
        <v>Activo</v>
      </c>
      <c r="U205" t="str">
        <v>NO</v>
      </c>
    </row>
    <row r="206">
      <c r="A206" t="str">
        <v>202</v>
      </c>
      <c r="B206" t="str">
        <v>RPP001</v>
      </c>
      <c r="C206" t="str">
        <v>RPP001</v>
      </c>
      <c r="F206" t="str">
        <v>CAT-006</v>
      </c>
      <c r="G206" t="str">
        <f>IFERROR(VLOOKUP(F206,CATÁLOGOS!$A$6:$B$105,2,FALSE),"")</f>
        <v>🧰 Accesorios y equipamiento</v>
      </c>
      <c r="H206" t="str">
        <v>SUB-043</v>
      </c>
      <c r="I206" t="str">
        <f>IFERROR(VLOOKUP(H206,CATÁLOGOS!$F$6:$H$305,3,FALSE),"")</f>
        <v>Baldes y recipientes</v>
      </c>
      <c r="J206" t="str">
        <v>Matriplaster</v>
      </c>
      <c r="K206" t="str">
        <v>Balde Mopa 9 lts Matriplaster</v>
      </c>
      <c r="M206" t="str">
        <v>1 unidad</v>
      </c>
      <c r="N206" t="str">
        <v>RPP001.jpg</v>
      </c>
      <c r="O206" t="str">
        <v>CNT-194</v>
      </c>
      <c r="P206" t="str">
        <f>IFERROR(VLOOKUP(O206,CATÁLOGOS!$L$6:$O$305,3,FALSE),"")</f>
        <v>Balde Mopa 9 lts Matriplaster. Presentación: 1 unidad. Marca Matriplaster.</v>
      </c>
      <c r="Q206" t="str">
        <f>IFERROR(VLOOKUP(O206,CATÁLOGOS!$L$6:$O$305,4,FALSE),"")</f>
        <v>Baldes y recipientes. Accesorio resistente y práctico, pensado para facilitar las tareas de limpieza del hogar.</v>
      </c>
      <c r="T206" t="str">
        <v>Activo</v>
      </c>
      <c r="U206" t="str">
        <v>NO</v>
      </c>
    </row>
    <row r="207">
      <c r="A207" t="str">
        <v>203</v>
      </c>
      <c r="B207" t="str">
        <v>RPP002</v>
      </c>
      <c r="C207" t="str">
        <v>RPP002</v>
      </c>
      <c r="F207" t="str">
        <v>CAT-006</v>
      </c>
      <c r="G207" t="str">
        <f>IFERROR(VLOOKUP(F207,CATÁLOGOS!$A$6:$B$105,2,FALSE),"")</f>
        <v>🧰 Accesorios y equipamiento</v>
      </c>
      <c r="H207" t="str">
        <v>SUB-043</v>
      </c>
      <c r="I207" t="str">
        <f>IFERROR(VLOOKUP(H207,CATÁLOGOS!$F$6:$H$305,3,FALSE),"")</f>
        <v>Baldes y recipientes</v>
      </c>
      <c r="J207" t="str">
        <v>Matriplaster</v>
      </c>
      <c r="K207" t="str">
        <v>Balde Mopa 14 lts Matriplaster</v>
      </c>
      <c r="M207" t="str">
        <v>1 unidad</v>
      </c>
      <c r="N207" t="str">
        <v>RPP002.jpg</v>
      </c>
      <c r="O207" t="str">
        <v>CNT-195</v>
      </c>
      <c r="P207" t="str">
        <f>IFERROR(VLOOKUP(O207,CATÁLOGOS!$L$6:$O$305,3,FALSE),"")</f>
        <v>Balde Mopa 14 lts Matriplaster. Presentación: 1 unidad. Marca Matriplaster.</v>
      </c>
      <c r="Q207" t="str">
        <f>IFERROR(VLOOKUP(O207,CATÁLOGOS!$L$6:$O$305,4,FALSE),"")</f>
        <v>Baldes y recipientes. Accesorio resistente y práctico, pensado para facilitar las tareas de limpieza del hogar.</v>
      </c>
      <c r="T207" t="str">
        <v>Activo</v>
      </c>
      <c r="U207" t="str">
        <v>NO</v>
      </c>
    </row>
    <row r="208">
      <c r="A208" t="str">
        <v>204</v>
      </c>
      <c r="B208" t="str">
        <v>RPP003</v>
      </c>
      <c r="C208" t="str">
        <v>RPP003</v>
      </c>
      <c r="F208" t="str">
        <v>CAT-006</v>
      </c>
      <c r="G208" t="str">
        <f>IFERROR(VLOOKUP(F208,CATÁLOGOS!$A$6:$B$105,2,FALSE),"")</f>
        <v>🧰 Accesorios y equipamiento</v>
      </c>
      <c r="H208" t="str">
        <v>SUB-043</v>
      </c>
      <c r="I208" t="str">
        <f>IFERROR(VLOOKUP(H208,CATÁLOGOS!$F$6:$H$305,3,FALSE),"")</f>
        <v>Baldes y recipientes</v>
      </c>
      <c r="J208" t="str">
        <v>bethel</v>
      </c>
      <c r="K208" t="str">
        <v>Balde x 10 lts</v>
      </c>
      <c r="M208" t="str">
        <v>1 unidad</v>
      </c>
      <c r="N208" t="str">
        <v>RPP003.jpg</v>
      </c>
      <c r="O208" t="str">
        <v>CNT-196</v>
      </c>
      <c r="P208" t="str">
        <f>IFERROR(VLOOKUP(O208,CATÁLOGOS!$L$6:$O$305,3,FALSE),"")</f>
        <v>Balde x 10 lts. Presentación: 1 unidad.</v>
      </c>
      <c r="Q208" t="str">
        <f>IFERROR(VLOOKUP(O208,CATÁLOGOS!$L$6:$O$305,4,FALSE),"")</f>
        <v>Baldes y recipientes. Accesorio resistente y práctico, pensado para facilitar las tareas de limpieza del hogar.</v>
      </c>
      <c r="T208" t="str">
        <v>Activo</v>
      </c>
      <c r="U208" t="str">
        <v>NO</v>
      </c>
    </row>
    <row r="209">
      <c r="A209" t="str">
        <v>205</v>
      </c>
      <c r="B209" t="str">
        <v>RPP004</v>
      </c>
      <c r="C209" t="str">
        <v>RPP004</v>
      </c>
      <c r="F209" t="str">
        <v>CAT-006</v>
      </c>
      <c r="G209" t="str">
        <f>IFERROR(VLOOKUP(F209,CATÁLOGOS!$A$6:$B$105,2,FALSE),"")</f>
        <v>🧰 Accesorios y equipamiento</v>
      </c>
      <c r="H209" t="str">
        <v>SUB-043</v>
      </c>
      <c r="I209" t="str">
        <f>IFERROR(VLOOKUP(H209,CATÁLOGOS!$F$6:$H$305,3,FALSE),"")</f>
        <v>Baldes y recipientes</v>
      </c>
      <c r="J209" t="str">
        <v>bethel</v>
      </c>
      <c r="K209" t="str">
        <v>Balde x 12 lts</v>
      </c>
      <c r="M209" t="str">
        <v>1 unidad</v>
      </c>
      <c r="N209" t="str">
        <v>RPP004.jpg</v>
      </c>
      <c r="O209" t="str">
        <v>CNT-197</v>
      </c>
      <c r="P209" t="str">
        <f>IFERROR(VLOOKUP(O209,CATÁLOGOS!$L$6:$O$305,3,FALSE),"")</f>
        <v>Balde x 12 lts. Presentación: 1 unidad.</v>
      </c>
      <c r="Q209" t="str">
        <f>IFERROR(VLOOKUP(O209,CATÁLOGOS!$L$6:$O$305,4,FALSE),"")</f>
        <v>Baldes y recipientes. Accesorio resistente y práctico, pensado para facilitar las tareas de limpieza del hogar.</v>
      </c>
      <c r="T209" t="str">
        <v>Activo</v>
      </c>
      <c r="U209" t="str">
        <v>NO</v>
      </c>
    </row>
    <row r="210">
      <c r="A210" t="str">
        <v>206</v>
      </c>
      <c r="B210" t="str">
        <v>RPP005</v>
      </c>
      <c r="C210" t="str">
        <v>RPP005</v>
      </c>
      <c r="F210" t="str">
        <v>CAT-006</v>
      </c>
      <c r="G210" t="str">
        <f>IFERROR(VLOOKUP(F210,CATÁLOGOS!$A$6:$B$105,2,FALSE),"")</f>
        <v>🧰 Accesorios y equipamiento</v>
      </c>
      <c r="H210" t="str">
        <v>SUB-043</v>
      </c>
      <c r="I210" t="str">
        <f>IFERROR(VLOOKUP(H210,CATÁLOGOS!$F$6:$H$305,3,FALSE),"")</f>
        <v>Baldes y recipientes</v>
      </c>
      <c r="J210" t="str">
        <v>Matriplaster</v>
      </c>
      <c r="K210" t="str">
        <v>Balde Mopa Duo Matriplaster</v>
      </c>
      <c r="M210" t="str">
        <v>1 unidad</v>
      </c>
      <c r="N210" t="str">
        <v>RPP005.jpg</v>
      </c>
      <c r="O210" t="str">
        <v>CNT-198</v>
      </c>
      <c r="P210" t="str">
        <f>IFERROR(VLOOKUP(O210,CATÁLOGOS!$L$6:$O$305,3,FALSE),"")</f>
        <v>Balde Mopa Duo Matriplaster. Presentación: 1 unidad. Marca Matriplaster.</v>
      </c>
      <c r="Q210" t="str">
        <f>IFERROR(VLOOKUP(O210,CATÁLOGOS!$L$6:$O$305,4,FALSE),"")</f>
        <v>Baldes y recipientes. Accesorio resistente y práctico, pensado para facilitar las tareas de limpieza del hogar.</v>
      </c>
      <c r="T210" t="str">
        <v>Activo</v>
      </c>
      <c r="U210" t="str">
        <v>NO</v>
      </c>
    </row>
    <row r="211">
      <c r="A211" t="str">
        <v>207</v>
      </c>
      <c r="B211" t="str">
        <v>RPP006</v>
      </c>
      <c r="C211" t="str">
        <v>RPP006</v>
      </c>
      <c r="F211" t="str">
        <v>CAT-006</v>
      </c>
      <c r="G211" t="str">
        <f>IFERROR(VLOOKUP(F211,CATÁLOGOS!$A$6:$B$105,2,FALSE),"")</f>
        <v>🧰 Accesorios y equipamiento</v>
      </c>
      <c r="H211" t="str">
        <v>SUB-043</v>
      </c>
      <c r="I211" t="str">
        <f>IFERROR(VLOOKUP(H211,CATÁLOGOS!$F$6:$H$305,3,FALSE),"")</f>
        <v>Baldes y recipientes</v>
      </c>
      <c r="J211" t="str">
        <v>bethel</v>
      </c>
      <c r="K211" t="str">
        <v>Balde Mopa Plana</v>
      </c>
      <c r="M211" t="str">
        <v>1 unidad</v>
      </c>
      <c r="N211" t="str">
        <v>RPP006.jpg</v>
      </c>
      <c r="O211" t="str">
        <v>CNT-199</v>
      </c>
      <c r="P211" t="str">
        <f>IFERROR(VLOOKUP(O211,CATÁLOGOS!$L$6:$O$305,3,FALSE),"")</f>
        <v>Balde Mopa Plana. Presentación: 1 unidad.</v>
      </c>
      <c r="Q211" t="str">
        <f>IFERROR(VLOOKUP(O211,CATÁLOGOS!$L$6:$O$305,4,FALSE),"")</f>
        <v>Baldes y recipientes. Accesorio resistente y práctico, pensado para facilitar las tareas de limpieza del hogar.</v>
      </c>
      <c r="T211" t="str">
        <v>Activo</v>
      </c>
      <c r="U211" t="str">
        <v>NO</v>
      </c>
    </row>
    <row r="212">
      <c r="A212" t="str">
        <v>208</v>
      </c>
      <c r="B212" t="str">
        <v>PPP001</v>
      </c>
      <c r="C212" t="str">
        <v>PPP001</v>
      </c>
      <c r="F212" t="str">
        <v>CAT-011</v>
      </c>
      <c r="G212" t="str">
        <f>IFERROR(VLOOKUP(F212,CATÁLOGOS!$A$6:$B$105,2,FALSE),"")</f>
        <v>🏊 Piletas</v>
      </c>
      <c r="H212" t="str">
        <v>SUB-044</v>
      </c>
      <c r="I212" t="str">
        <f>IFERROR(VLOOKUP(H212,CATÁLOGOS!$F$6:$H$305,3,FALSE),"")</f>
        <v>Líquidos</v>
      </c>
      <c r="J212" t="str">
        <v>Clorotec</v>
      </c>
      <c r="K212" t="str">
        <v>Alguicida Clorotec 1 litro</v>
      </c>
      <c r="M212" t="str">
        <v>1 litro</v>
      </c>
      <c r="N212" t="str">
        <v>PPP001.jpg</v>
      </c>
      <c r="O212" t="str">
        <v>CNT-200</v>
      </c>
      <c r="P212" t="str">
        <f>IFERROR(VLOOKUP(O212,CATÁLOGOS!$L$6:$O$305,3,FALSE),"")</f>
        <v>Alguicida Clorotec 1 litro. Presentación: 1 litro. Marca Clorotec.</v>
      </c>
      <c r="Q212" t="str">
        <f>IFERROR(VLOOKUP(O212,CATÁLOGOS!$L$6:$O$305,4,FALSE),"")</f>
        <v>Líquidos. Mantiene el agua de la pileta limpia, clara y segura para el baño durante toda la temporada.</v>
      </c>
      <c r="T212" t="str">
        <v>Activo</v>
      </c>
      <c r="U212" t="str">
        <v>NO</v>
      </c>
    </row>
    <row r="213">
      <c r="A213" t="str">
        <v>209</v>
      </c>
      <c r="B213" t="str">
        <v>PPP002</v>
      </c>
      <c r="C213" t="str">
        <v>PPP002</v>
      </c>
      <c r="F213" t="str">
        <v>CAT-011</v>
      </c>
      <c r="G213" t="str">
        <f>IFERROR(VLOOKUP(F213,CATÁLOGOS!$A$6:$B$105,2,FALSE),"")</f>
        <v>🏊 Piletas</v>
      </c>
      <c r="H213" t="str">
        <v>SUB-044</v>
      </c>
      <c r="I213" t="str">
        <f>IFERROR(VLOOKUP(H213,CATÁLOGOS!$F$6:$H$305,3,FALSE),"")</f>
        <v>Líquidos</v>
      </c>
      <c r="J213" t="str">
        <v>Clorotec</v>
      </c>
      <c r="K213" t="str">
        <v>Clarificante Clorotec 1 litro</v>
      </c>
      <c r="M213" t="str">
        <v>1 litro</v>
      </c>
      <c r="N213" t="str">
        <v>PPP002.jpg</v>
      </c>
      <c r="O213" t="str">
        <v>CNT-201</v>
      </c>
      <c r="P213" t="str">
        <f>IFERROR(VLOOKUP(O213,CATÁLOGOS!$L$6:$O$305,3,FALSE),"")</f>
        <v>Clarificante Clorotec 1 litro. Presentación: 1 litro. Marca Clorotec.</v>
      </c>
      <c r="Q213" t="str">
        <f>IFERROR(VLOOKUP(O213,CATÁLOGOS!$L$6:$O$305,4,FALSE),"")</f>
        <v>Líquidos. Mantiene el agua de la pileta limpia, clara y segura para el baño durante toda la temporada.</v>
      </c>
      <c r="T213" t="str">
        <v>Activo</v>
      </c>
      <c r="U213" t="str">
        <v>NO</v>
      </c>
    </row>
    <row r="214">
      <c r="A214" t="str">
        <v>210</v>
      </c>
      <c r="B214" t="str">
        <v>PPP003</v>
      </c>
      <c r="C214" t="str">
        <v>PPP003</v>
      </c>
      <c r="F214" t="str">
        <v>CAT-011</v>
      </c>
      <c r="G214" t="str">
        <f>IFERROR(VLOOKUP(F214,CATÁLOGOS!$A$6:$B$105,2,FALSE),"")</f>
        <v>🏊 Piletas</v>
      </c>
      <c r="H214" t="str">
        <v>SUB-044</v>
      </c>
      <c r="I214" t="str">
        <f>IFERROR(VLOOKUP(H214,CATÁLOGOS!$F$6:$H$305,3,FALSE),"")</f>
        <v>Líquidos</v>
      </c>
      <c r="J214" t="str">
        <v>bethel</v>
      </c>
      <c r="K214" t="str">
        <v>Regulador PH 5 litros</v>
      </c>
      <c r="M214" t="str">
        <v>5 litros</v>
      </c>
      <c r="N214" t="str">
        <v>PPP003.jpg</v>
      </c>
      <c r="O214" t="str">
        <v>CNT-202</v>
      </c>
      <c r="P214" t="str">
        <f>IFERROR(VLOOKUP(O214,CATÁLOGOS!$L$6:$O$305,3,FALSE),"")</f>
        <v>Regulador PH 5 litros. Presentación: 5 litros.</v>
      </c>
      <c r="Q214" t="str">
        <f>IFERROR(VLOOKUP(O214,CATÁLOGOS!$L$6:$O$305,4,FALSE),"")</f>
        <v>Líquidos. Mantiene el agua de la pileta limpia, clara y segura para el baño durante toda la temporada.</v>
      </c>
      <c r="T214" t="str">
        <v>Activo</v>
      </c>
      <c r="U214" t="str">
        <v>NO</v>
      </c>
    </row>
    <row r="215">
      <c r="A215" t="str">
        <v>211</v>
      </c>
      <c r="B215" t="str">
        <v>PPP004</v>
      </c>
      <c r="C215" t="str">
        <v>PPP004</v>
      </c>
      <c r="F215" t="str">
        <v>CAT-011</v>
      </c>
      <c r="G215" t="str">
        <f>IFERROR(VLOOKUP(F215,CATÁLOGOS!$A$6:$B$105,2,FALSE),"")</f>
        <v>🏊 Piletas</v>
      </c>
      <c r="H215" t="str">
        <v>SUB-045</v>
      </c>
      <c r="I215" t="str">
        <f>IFERROR(VLOOKUP(H215,CATÁLOGOS!$F$6:$H$305,3,FALSE),"")</f>
        <v>Químicos</v>
      </c>
      <c r="J215" t="str">
        <v>bethel</v>
      </c>
      <c r="K215" t="str">
        <v>Cloro Granulado Lento x 50 kg</v>
      </c>
      <c r="M215" t="str">
        <v>50 kilos</v>
      </c>
      <c r="N215" t="str">
        <v>PPP004.jpg</v>
      </c>
      <c r="O215" t="str">
        <v>CNT-203</v>
      </c>
      <c r="P215" t="str">
        <f>IFERROR(VLOOKUP(O215,CATÁLOGOS!$L$6:$O$305,3,FALSE),"")</f>
        <v>Cloro Granulado Lento x 50 kg. Presentación: 50 kilos.</v>
      </c>
      <c r="Q215" t="str">
        <f>IFERROR(VLOOKUP(O215,CATÁLOGOS!$L$6:$O$305,4,FALSE),"")</f>
        <v>Químicos. Mantiene el agua de la pileta limpia, clara y segura para el baño durante toda la temporada.</v>
      </c>
      <c r="T215" t="str">
        <v>Activo</v>
      </c>
      <c r="U215" t="str">
        <v>NO</v>
      </c>
    </row>
    <row r="216">
      <c r="A216" t="str">
        <v>212</v>
      </c>
      <c r="B216" t="str">
        <v>PPP005</v>
      </c>
      <c r="C216" t="str">
        <v>PPP005</v>
      </c>
      <c r="F216" t="str">
        <v>CAT-011</v>
      </c>
      <c r="G216" t="str">
        <f>IFERROR(VLOOKUP(F216,CATÁLOGOS!$A$6:$B$105,2,FALSE),"")</f>
        <v>🏊 Piletas</v>
      </c>
      <c r="H216" t="str">
        <v>SUB-045</v>
      </c>
      <c r="I216" t="str">
        <f>IFERROR(VLOOKUP(H216,CATÁLOGOS!$F$6:$H$305,3,FALSE),"")</f>
        <v>Químicos</v>
      </c>
      <c r="J216" t="str">
        <v>KING</v>
      </c>
      <c r="K216" t="str">
        <v>Cloro Granulado Lento 1 kg</v>
      </c>
      <c r="M216" t="str">
        <v>1 kilo</v>
      </c>
      <c r="N216" t="str">
        <v>PPP005.jpg</v>
      </c>
      <c r="O216" t="str">
        <v>CNT-204</v>
      </c>
      <c r="P216" t="str">
        <f>IFERROR(VLOOKUP(O216,CATÁLOGOS!$L$6:$O$305,3,FALSE),"")</f>
        <v>Cloro Granulado Lento 1 kg. Presentación: 1 kilo.</v>
      </c>
      <c r="Q216" t="str">
        <f>IFERROR(VLOOKUP(O216,CATÁLOGOS!$L$6:$O$305,4,FALSE),"")</f>
        <v>Químicos. Mantiene el agua de la pileta limpia, clara y segura para el baño durante toda la temporada.</v>
      </c>
      <c r="T216" t="str">
        <v>Activo</v>
      </c>
      <c r="U216" t="str">
        <v>NO</v>
      </c>
    </row>
    <row r="217">
      <c r="A217" t="str">
        <v>213</v>
      </c>
      <c r="B217" t="str">
        <v>PPP006</v>
      </c>
      <c r="C217" t="str">
        <v>PPP006</v>
      </c>
      <c r="F217" t="str">
        <v>CAT-011</v>
      </c>
      <c r="G217" t="str">
        <f>IFERROR(VLOOKUP(F217,CATÁLOGOS!$A$6:$B$105,2,FALSE),"")</f>
        <v>🏊 Piletas</v>
      </c>
      <c r="H217" t="str">
        <v>SUB-045</v>
      </c>
      <c r="I217" t="str">
        <f>IFERROR(VLOOKUP(H217,CATÁLOGOS!$F$6:$H$305,3,FALSE),"")</f>
        <v>Químicos</v>
      </c>
      <c r="J217" t="str">
        <v>KING</v>
      </c>
      <c r="K217" t="str">
        <v>Reactivos x 2</v>
      </c>
      <c r="M217" t="str">
        <v>1 unidad</v>
      </c>
      <c r="N217" t="str">
        <v>PPP006.jpg</v>
      </c>
      <c r="O217" t="str">
        <v>CNT-205</v>
      </c>
      <c r="P217" t="str">
        <f>IFERROR(VLOOKUP(O217,CATÁLOGOS!$L$6:$O$305,3,FALSE),"")</f>
        <v>Reactivos x 2. Presentación: 1 unidad.</v>
      </c>
      <c r="Q217" t="str">
        <f>IFERROR(VLOOKUP(O217,CATÁLOGOS!$L$6:$O$305,4,FALSE),"")</f>
        <v>Químicos. Mantiene el agua de la pileta limpia, clara y segura para el baño durante toda la temporada.</v>
      </c>
      <c r="T217" t="str">
        <v>Activo</v>
      </c>
      <c r="U217" t="str">
        <v>NO</v>
      </c>
    </row>
    <row r="218">
      <c r="A218" t="str">
        <v>214</v>
      </c>
      <c r="B218" t="str">
        <v>PPP007</v>
      </c>
      <c r="C218" t="str">
        <v>PPP007</v>
      </c>
      <c r="F218" t="str">
        <v>CAT-011</v>
      </c>
      <c r="G218" t="str">
        <f>IFERROR(VLOOKUP(F218,CATÁLOGOS!$A$6:$B$105,2,FALSE),"")</f>
        <v>🏊 Piletas</v>
      </c>
      <c r="H218" t="str">
        <v>SUB-045</v>
      </c>
      <c r="I218" t="str">
        <f>IFERROR(VLOOKUP(H218,CATÁLOGOS!$F$6:$H$305,3,FALSE),"")</f>
        <v>Químicos</v>
      </c>
      <c r="J218" t="str">
        <v>KING</v>
      </c>
      <c r="K218" t="str">
        <v>Pastillas de Cloro triple Accion de 200 gr pack x 5 pastillas</v>
      </c>
      <c r="M218" t="str">
        <v>1 pack</v>
      </c>
      <c r="N218" t="str">
        <v>PPP007.jpg</v>
      </c>
      <c r="O218" t="str">
        <v>CNT-206</v>
      </c>
      <c r="P218" t="str">
        <f>IFERROR(VLOOKUP(O218,CATÁLOGOS!$L$6:$O$305,3,FALSE),"")</f>
        <v>Pastillas de Cloro triple Accion de 200 gr pack x 5 pastillas. Presentación: 1 pack.</v>
      </c>
      <c r="Q218" t="str">
        <f>IFERROR(VLOOKUP(O218,CATÁLOGOS!$L$6:$O$305,4,FALSE),"")</f>
        <v>Químicos. Mantiene el agua de la pileta limpia, clara y segura para el baño durante toda la temporada.</v>
      </c>
      <c r="T218" t="str">
        <v>Activo</v>
      </c>
      <c r="U218" t="str">
        <v>NO</v>
      </c>
    </row>
    <row r="219">
      <c r="A219" t="str">
        <v>215</v>
      </c>
      <c r="B219" t="str">
        <v>PPP008</v>
      </c>
      <c r="C219" t="str">
        <v>PPP008</v>
      </c>
      <c r="F219" t="str">
        <v>CAT-011</v>
      </c>
      <c r="G219" t="str">
        <f>IFERROR(VLOOKUP(F219,CATÁLOGOS!$A$6:$B$105,2,FALSE),"")</f>
        <v>🏊 Piletas</v>
      </c>
      <c r="H219" t="str">
        <v>SUB-045</v>
      </c>
      <c r="I219" t="str">
        <f>IFERROR(VLOOKUP(H219,CATÁLOGOS!$F$6:$H$305,3,FALSE),"")</f>
        <v>Químicos</v>
      </c>
      <c r="J219" t="str">
        <v>KING</v>
      </c>
      <c r="K219" t="str">
        <v>Test kit</v>
      </c>
      <c r="M219" t="str">
        <v>1 unidad</v>
      </c>
      <c r="N219" t="str">
        <v>PPP008.jpg</v>
      </c>
      <c r="O219" t="str">
        <v>CNT-207</v>
      </c>
      <c r="P219" t="str">
        <f>IFERROR(VLOOKUP(O219,CATÁLOGOS!$L$6:$O$305,3,FALSE),"")</f>
        <v>Test kit. Presentación: 1 unidad.</v>
      </c>
      <c r="Q219" t="str">
        <f>IFERROR(VLOOKUP(O219,CATÁLOGOS!$L$6:$O$305,4,FALSE),"")</f>
        <v>Químicos. Mantiene el agua de la pileta limpia, clara y segura para el baño durante toda la temporada.</v>
      </c>
      <c r="T219" t="str">
        <v>Activo</v>
      </c>
      <c r="U219" t="str">
        <v>NO</v>
      </c>
    </row>
    <row r="220">
      <c r="A220" t="str">
        <v>216</v>
      </c>
      <c r="B220" t="str">
        <v>PPP009</v>
      </c>
      <c r="C220" t="str">
        <v>PPP009</v>
      </c>
      <c r="F220" t="str">
        <v>CAT-011</v>
      </c>
      <c r="G220" t="str">
        <f>IFERROR(VLOOKUP(F220,CATÁLOGOS!$A$6:$B$105,2,FALSE),"")</f>
        <v>🏊 Piletas</v>
      </c>
      <c r="H220" t="str">
        <v>SUB-046</v>
      </c>
      <c r="I220" t="str">
        <f>IFERROR(VLOOKUP(H220,CATÁLOGOS!$F$6:$H$305,3,FALSE),"")</f>
        <v>Mangueras</v>
      </c>
      <c r="J220" t="str">
        <v>KING</v>
      </c>
      <c r="K220" t="str">
        <v>Manguera 1'' x 15 mts</v>
      </c>
      <c r="M220" t="str">
        <v>1 unidad</v>
      </c>
      <c r="N220" t="str">
        <v>PPP009.jpg</v>
      </c>
      <c r="O220" t="str">
        <v>CNT-208</v>
      </c>
      <c r="P220" t="str">
        <f>IFERROR(VLOOKUP(O220,CATÁLOGOS!$L$6:$O$305,3,FALSE),"")</f>
        <v>Manguera 1'' x 15 mts. Presentación: 1 unidad.</v>
      </c>
      <c r="Q220" t="str">
        <f>IFERROR(VLOOKUP(O220,CATÁLOGOS!$L$6:$O$305,4,FALSE),"")</f>
        <v>Mangueras. Mantiene el agua de la pileta limpia, clara y segura para el baño durante toda la temporada.</v>
      </c>
      <c r="T220" t="str">
        <v>Activo</v>
      </c>
      <c r="U220" t="str">
        <v>NO</v>
      </c>
    </row>
    <row r="221">
      <c r="A221" t="str">
        <v>217</v>
      </c>
      <c r="B221" t="str">
        <v>PPP010</v>
      </c>
      <c r="C221" t="str">
        <v>PPP010</v>
      </c>
      <c r="F221" t="str">
        <v>CAT-011</v>
      </c>
      <c r="G221" t="str">
        <f>IFERROR(VLOOKUP(F221,CATÁLOGOS!$A$6:$B$105,2,FALSE),"")</f>
        <v>🏊 Piletas</v>
      </c>
      <c r="H221" t="str">
        <v>SUB-046</v>
      </c>
      <c r="I221" t="str">
        <f>IFERROR(VLOOKUP(H221,CATÁLOGOS!$F$6:$H$305,3,FALSE),"")</f>
        <v>Mangueras</v>
      </c>
      <c r="J221" t="str">
        <v>KING</v>
      </c>
      <c r="K221" t="str">
        <v>Manguera 3/4" x 15 mts</v>
      </c>
      <c r="M221" t="str">
        <v>1 unidad</v>
      </c>
      <c r="N221" t="str">
        <v>PPP010.jpg</v>
      </c>
      <c r="O221" t="str">
        <v>CNT-209</v>
      </c>
      <c r="P221" t="str">
        <f>IFERROR(VLOOKUP(O221,CATÁLOGOS!$L$6:$O$305,3,FALSE),"")</f>
        <v>Manguera 3/4" x 15 mts. Presentación: 1 unidad.</v>
      </c>
      <c r="Q221" t="str">
        <f>IFERROR(VLOOKUP(O221,CATÁLOGOS!$L$6:$O$305,4,FALSE),"")</f>
        <v>Mangueras. Mantiene el agua de la pileta limpia, clara y segura para el baño durante toda la temporada.</v>
      </c>
      <c r="T221" t="str">
        <v>Activo</v>
      </c>
      <c r="U221" t="str">
        <v>NO</v>
      </c>
    </row>
    <row r="222">
      <c r="A222" t="str">
        <v>218</v>
      </c>
      <c r="B222" t="str">
        <v>PPP011</v>
      </c>
      <c r="C222" t="str">
        <v>PPP011</v>
      </c>
      <c r="F222" t="str">
        <v>CAT-011</v>
      </c>
      <c r="G222" t="str">
        <f>IFERROR(VLOOKUP(F222,CATÁLOGOS!$A$6:$B$105,2,FALSE),"")</f>
        <v>🏊 Piletas</v>
      </c>
      <c r="H222" t="str">
        <v>SUB-046</v>
      </c>
      <c r="I222" t="str">
        <f>IFERROR(VLOOKUP(H222,CATÁLOGOS!$F$6:$H$305,3,FALSE),"")</f>
        <v>Mangueras</v>
      </c>
      <c r="J222" t="str">
        <v>KING</v>
      </c>
      <c r="K222" t="str">
        <v>Manguera 1/2" x 15 mts</v>
      </c>
      <c r="M222" t="str">
        <v>1 unidad</v>
      </c>
      <c r="N222" t="str">
        <v>PPP011.jpg</v>
      </c>
      <c r="O222" t="str">
        <v>CNT-210</v>
      </c>
      <c r="P222" t="str">
        <f>IFERROR(VLOOKUP(O222,CATÁLOGOS!$L$6:$O$305,3,FALSE),"")</f>
        <v>Manguera 1/2" x 15 mts. Presentación: 1 unidad.</v>
      </c>
      <c r="Q222" t="str">
        <f>IFERROR(VLOOKUP(O222,CATÁLOGOS!$L$6:$O$305,4,FALSE),"")</f>
        <v>Mangueras. Mantiene el agua de la pileta limpia, clara y segura para el baño durante toda la temporada.</v>
      </c>
      <c r="T222" t="str">
        <v>Activo</v>
      </c>
      <c r="U222" t="str">
        <v>NO</v>
      </c>
    </row>
    <row r="223">
      <c r="A223" t="str">
        <v>219</v>
      </c>
      <c r="B223" t="str">
        <v>PPP012</v>
      </c>
      <c r="C223" t="str">
        <v>PPP012</v>
      </c>
      <c r="F223" t="str">
        <v>CAT-011</v>
      </c>
      <c r="G223" t="str">
        <f>IFERROR(VLOOKUP(F223,CATÁLOGOS!$A$6:$B$105,2,FALSE),"")</f>
        <v>🏊 Piletas</v>
      </c>
      <c r="H223" t="str">
        <v>SUB-046</v>
      </c>
      <c r="I223" t="str">
        <f>IFERROR(VLOOKUP(H223,CATÁLOGOS!$F$6:$H$305,3,FALSE),"")</f>
        <v>Mangueras</v>
      </c>
      <c r="J223" t="str">
        <v>KING</v>
      </c>
      <c r="K223" t="str">
        <v>Manguera Corrugada 1 1/2" x 10 mts</v>
      </c>
      <c r="M223" t="str">
        <v>1 unidad</v>
      </c>
      <c r="N223" t="str">
        <v>PPP012.jpg</v>
      </c>
      <c r="O223" t="str">
        <v>CNT-211</v>
      </c>
      <c r="P223" t="str">
        <f>IFERROR(VLOOKUP(O223,CATÁLOGOS!$L$6:$O$305,3,FALSE),"")</f>
        <v>Manguera Corrugada 1 1/2" x 10 mts. Presentación: 1 unidad.</v>
      </c>
      <c r="Q223" t="str">
        <f>IFERROR(VLOOKUP(O223,CATÁLOGOS!$L$6:$O$305,4,FALSE),"")</f>
        <v>Mangueras. Mantiene el agua de la pileta limpia, clara y segura para el baño durante toda la temporada.</v>
      </c>
      <c r="T223" t="str">
        <v>Activo</v>
      </c>
      <c r="U223" t="str">
        <v>NO</v>
      </c>
    </row>
    <row r="224">
      <c r="A224" t="str">
        <v>220</v>
      </c>
      <c r="B224" t="str">
        <v>PPP013</v>
      </c>
      <c r="C224" t="str">
        <v>PPP013</v>
      </c>
      <c r="F224" t="str">
        <v>CAT-011</v>
      </c>
      <c r="G224" t="str">
        <f>IFERROR(VLOOKUP(F224,CATÁLOGOS!$A$6:$B$105,2,FALSE),"")</f>
        <v>🏊 Piletas</v>
      </c>
      <c r="H224" t="str">
        <v>SUB-047</v>
      </c>
      <c r="I224" t="str">
        <f>IFERROR(VLOOKUP(H224,CATÁLOGOS!$F$6:$H$305,3,FALSE),"")</f>
        <v>Accesorios de pileta</v>
      </c>
      <c r="J224" t="str">
        <v>KING</v>
      </c>
      <c r="K224" t="str">
        <v>Flota Flota</v>
      </c>
      <c r="M224" t="str">
        <v>1 unidad</v>
      </c>
      <c r="N224" t="str">
        <v>PPP013.jpg</v>
      </c>
      <c r="O224" t="str">
        <v>CNT-212</v>
      </c>
      <c r="P224" t="str">
        <f>IFERROR(VLOOKUP(O224,CATÁLOGOS!$L$6:$O$305,3,FALSE),"")</f>
        <v>Flota Flota. Presentación: 1 unidad.</v>
      </c>
      <c r="Q224" t="str">
        <f>IFERROR(VLOOKUP(O224,CATÁLOGOS!$L$6:$O$305,4,FALSE),"")</f>
        <v>Accesorios de pileta. Mantiene el agua de la pileta limpia, clara y segura para el baño durante toda la temporada.</v>
      </c>
      <c r="T224" t="str">
        <v>Activo</v>
      </c>
      <c r="U224" t="str">
        <v>NO</v>
      </c>
    </row>
    <row r="225">
      <c r="A225" t="str">
        <v>221</v>
      </c>
      <c r="B225" t="str">
        <v>PPP014</v>
      </c>
      <c r="C225" t="str">
        <v>PPP014</v>
      </c>
      <c r="F225" t="str">
        <v>CAT-011</v>
      </c>
      <c r="G225" t="str">
        <f>IFERROR(VLOOKUP(F225,CATÁLOGOS!$A$6:$B$105,2,FALSE),"")</f>
        <v>🏊 Piletas</v>
      </c>
      <c r="H225" t="str">
        <v>SUB-047</v>
      </c>
      <c r="I225" t="str">
        <f>IFERROR(VLOOKUP(H225,CATÁLOGOS!$F$6:$H$305,3,FALSE),"")</f>
        <v>Accesorios de pileta</v>
      </c>
      <c r="J225" t="str">
        <v>KING</v>
      </c>
      <c r="K225" t="str">
        <v>Barrefondo 8 Ruedas</v>
      </c>
      <c r="M225" t="str">
        <v>1 unidad</v>
      </c>
      <c r="N225" t="str">
        <v>PPP014.jpg</v>
      </c>
      <c r="O225" t="str">
        <v>CNT-213</v>
      </c>
      <c r="P225" t="str">
        <f>IFERROR(VLOOKUP(O225,CATÁLOGOS!$L$6:$O$305,3,FALSE),"")</f>
        <v>Barrefondo 8 Ruedas. Presentación: 1 unidad.</v>
      </c>
      <c r="Q225" t="str">
        <f>IFERROR(VLOOKUP(O225,CATÁLOGOS!$L$6:$O$305,4,FALSE),"")</f>
        <v>Accesorios de pileta. Mantiene el agua de la pileta limpia, clara y segura para el baño durante toda la temporada.</v>
      </c>
      <c r="T225" t="str">
        <v>Activo</v>
      </c>
      <c r="U225" t="str">
        <v>NO</v>
      </c>
    </row>
    <row r="226">
      <c r="A226" t="str">
        <v>222</v>
      </c>
      <c r="B226" t="str">
        <v>PPP015</v>
      </c>
      <c r="C226" t="str">
        <v>PPP015</v>
      </c>
      <c r="F226" t="str">
        <v>CAT-011</v>
      </c>
      <c r="G226" t="str">
        <f>IFERROR(VLOOKUP(F226,CATÁLOGOS!$A$6:$B$105,2,FALSE),"")</f>
        <v>🏊 Piletas</v>
      </c>
      <c r="H226" t="str">
        <v>SUB-047</v>
      </c>
      <c r="I226" t="str">
        <f>IFERROR(VLOOKUP(H226,CATÁLOGOS!$F$6:$H$305,3,FALSE),"")</f>
        <v>Accesorios de pileta</v>
      </c>
      <c r="J226" t="str">
        <v>KING</v>
      </c>
      <c r="K226" t="str">
        <v>Barrefondo Medialuna</v>
      </c>
      <c r="M226" t="str">
        <v>1 unidad</v>
      </c>
      <c r="N226" t="str">
        <v>PPP015.jpg</v>
      </c>
      <c r="O226" t="str">
        <v>CNT-214</v>
      </c>
      <c r="P226" t="str">
        <f>IFERROR(VLOOKUP(O226,CATÁLOGOS!$L$6:$O$305,3,FALSE),"")</f>
        <v>Barrefondo Medialuna. Presentación: 1 unidad.</v>
      </c>
      <c r="Q226" t="str">
        <f>IFERROR(VLOOKUP(O226,CATÁLOGOS!$L$6:$O$305,4,FALSE),"")</f>
        <v>Accesorios de pileta. Mantiene el agua de la pileta limpia, clara y segura para el baño durante toda la temporada.</v>
      </c>
      <c r="T226" t="str">
        <v>Activo</v>
      </c>
      <c r="U226" t="str">
        <v>NO</v>
      </c>
    </row>
    <row r="227">
      <c r="A227" t="str">
        <v>223</v>
      </c>
      <c r="B227" t="str">
        <v>PPP016</v>
      </c>
      <c r="C227" t="str">
        <v>PPP016</v>
      </c>
      <c r="F227" t="str">
        <v>CAT-011</v>
      </c>
      <c r="G227" t="str">
        <f>IFERROR(VLOOKUP(F227,CATÁLOGOS!$A$6:$B$105,2,FALSE),"")</f>
        <v>🏊 Piletas</v>
      </c>
      <c r="H227" t="str">
        <v>SUB-047</v>
      </c>
      <c r="I227" t="str">
        <f>IFERROR(VLOOKUP(H227,CATÁLOGOS!$F$6:$H$305,3,FALSE),"")</f>
        <v>Accesorios de pileta</v>
      </c>
      <c r="J227" t="str">
        <v>KING</v>
      </c>
      <c r="K227" t="str">
        <v>Boya Hongo</v>
      </c>
      <c r="M227" t="str">
        <v>1 unidad</v>
      </c>
      <c r="N227" t="str">
        <v>PPP016.jpg</v>
      </c>
      <c r="O227" t="str">
        <v>CNT-215</v>
      </c>
      <c r="P227" t="str">
        <f>IFERROR(VLOOKUP(O227,CATÁLOGOS!$L$6:$O$305,3,FALSE),"")</f>
        <v>Boya Hongo. Presentación: 1 unidad.</v>
      </c>
      <c r="Q227" t="str">
        <f>IFERROR(VLOOKUP(O227,CATÁLOGOS!$L$6:$O$305,4,FALSE),"")</f>
        <v>Accesorios de pileta. Mantiene el agua de la pileta limpia, clara y segura para el baño durante toda la temporada.</v>
      </c>
      <c r="T227" t="str">
        <v>Activo</v>
      </c>
      <c r="U227" t="str">
        <v>NO</v>
      </c>
    </row>
    <row r="228">
      <c r="A228" t="str">
        <v>224</v>
      </c>
      <c r="B228" t="str">
        <v>PPP017</v>
      </c>
      <c r="C228" t="str">
        <v>PPP017</v>
      </c>
      <c r="F228" t="str">
        <v>CAT-011</v>
      </c>
      <c r="G228" t="str">
        <f>IFERROR(VLOOKUP(F228,CATÁLOGOS!$A$6:$B$105,2,FALSE),"")</f>
        <v>🏊 Piletas</v>
      </c>
      <c r="H228" t="str">
        <v>SUB-047</v>
      </c>
      <c r="I228" t="str">
        <f>IFERROR(VLOOKUP(H228,CATÁLOGOS!$F$6:$H$305,3,FALSE),"")</f>
        <v>Accesorios de pileta</v>
      </c>
      <c r="J228" t="str">
        <v>KING</v>
      </c>
      <c r="K228" t="str">
        <v>Boya Satelite</v>
      </c>
      <c r="M228" t="str">
        <v>1 unidad</v>
      </c>
      <c r="N228" t="str">
        <v>PPP017.jpg</v>
      </c>
      <c r="O228" t="str">
        <v>CNT-216</v>
      </c>
      <c r="P228" t="str">
        <f>IFERROR(VLOOKUP(O228,CATÁLOGOS!$L$6:$O$305,3,FALSE),"")</f>
        <v>Boya Satelite. Presentación: 1 unidad.</v>
      </c>
      <c r="Q228" t="str">
        <f>IFERROR(VLOOKUP(O228,CATÁLOGOS!$L$6:$O$305,4,FALSE),"")</f>
        <v>Accesorios de pileta. Mantiene el agua de la pileta limpia, clara y segura para el baño durante toda la temporada.</v>
      </c>
      <c r="T228" t="str">
        <v>Activo</v>
      </c>
      <c r="U228" t="str">
        <v>NO</v>
      </c>
    </row>
    <row r="229">
      <c r="A229" t="str">
        <v>225</v>
      </c>
      <c r="B229" t="str">
        <v>VAR001</v>
      </c>
      <c r="C229" t="str">
        <v>VAR001</v>
      </c>
      <c r="F229" t="str">
        <v>CAT-010</v>
      </c>
      <c r="G229" t="str">
        <f>IFERROR(VLOOKUP(F229,CATÁLOGOS!$A$6:$B$105,2,FALSE),"")</f>
        <v>🏠 Hogar y varios</v>
      </c>
      <c r="H229" t="str">
        <v>SUB-048</v>
      </c>
      <c r="I229" t="str">
        <f>IFERROR(VLOOKUP(H229,CATÁLOGOS!$F$6:$H$305,3,FALSE),"")</f>
        <v>Velas</v>
      </c>
      <c r="J229" t="str">
        <v>Make</v>
      </c>
      <c r="K229" t="str">
        <v>Velas x 4 de 205 mm make</v>
      </c>
      <c r="M229" t="str">
        <v>1 unidad</v>
      </c>
      <c r="N229" t="str">
        <v>VAR001.jpg</v>
      </c>
      <c r="O229" t="str">
        <v>CNT-217</v>
      </c>
      <c r="P229" t="str">
        <f>IFERROR(VLOOKUP(O229,CATÁLOGOS!$L$6:$O$305,3,FALSE),"")</f>
        <v>Velas x 4 de 205 mm make. Presentación: 1 unidad.</v>
      </c>
      <c r="Q229" t="str">
        <f>IFERROR(VLOOKUP(O229,CATÁLOGOS!$L$6:$O$305,4,FALSE),"")</f>
        <v>Velas. Producto práctico pensado para facilitar las tareas diarias del hogar.</v>
      </c>
      <c r="T229" t="str">
        <v>Activo</v>
      </c>
      <c r="U229" t="str">
        <v>NO</v>
      </c>
    </row>
    <row r="230">
      <c r="A230" t="str">
        <v>226</v>
      </c>
      <c r="B230" t="str">
        <v>VAR002</v>
      </c>
      <c r="C230" t="str">
        <v>VAR002</v>
      </c>
      <c r="F230" t="str">
        <v>CAT-010</v>
      </c>
      <c r="G230" t="str">
        <f>IFERROR(VLOOKUP(F230,CATÁLOGOS!$A$6:$B$105,2,FALSE),"")</f>
        <v>🏠 Hogar y varios</v>
      </c>
      <c r="H230" t="str">
        <v>SUB-048</v>
      </c>
      <c r="I230" t="str">
        <f>IFERROR(VLOOKUP(H230,CATÁLOGOS!$F$6:$H$305,3,FALSE),"")</f>
        <v>Velas</v>
      </c>
      <c r="J230" t="str">
        <v>Make</v>
      </c>
      <c r="K230" t="str">
        <v>Velas x 12 de 205 mm make</v>
      </c>
      <c r="M230" t="str">
        <v>1 unidad</v>
      </c>
      <c r="N230" t="str">
        <v>VAR002.jpg</v>
      </c>
      <c r="O230" t="str">
        <v>CNT-218</v>
      </c>
      <c r="P230" t="str">
        <f>IFERROR(VLOOKUP(O230,CATÁLOGOS!$L$6:$O$305,3,FALSE),"")</f>
        <v>Velas x 12 de 205 mm make. Presentación: 1 unidad.</v>
      </c>
      <c r="Q230" t="str">
        <f>IFERROR(VLOOKUP(O230,CATÁLOGOS!$L$6:$O$305,4,FALSE),"")</f>
        <v>Velas. Producto práctico pensado para facilitar las tareas diarias del hogar.</v>
      </c>
      <c r="T230" t="str">
        <v>Activo</v>
      </c>
      <c r="U230" t="str">
        <v>NO</v>
      </c>
    </row>
    <row r="231">
      <c r="A231" t="str">
        <v>227</v>
      </c>
      <c r="B231" t="str">
        <v>VAR003</v>
      </c>
      <c r="C231" t="str">
        <v>VAR003</v>
      </c>
      <c r="F231" t="str">
        <v>CAT-010</v>
      </c>
      <c r="G231" t="str">
        <f>IFERROR(VLOOKUP(F231,CATÁLOGOS!$A$6:$B$105,2,FALSE),"")</f>
        <v>🏠 Hogar y varios</v>
      </c>
      <c r="H231" t="str">
        <v>SUB-049</v>
      </c>
      <c r="I231" t="str">
        <f>IFERROR(VLOOKUP(H231,CATÁLOGOS!$F$6:$H$305,3,FALSE),"")</f>
        <v>Papel y film</v>
      </c>
      <c r="J231" t="str">
        <v>Make</v>
      </c>
      <c r="K231" t="str">
        <v>Papel Manteca Make</v>
      </c>
      <c r="M231" t="str">
        <v>1 unidad</v>
      </c>
      <c r="N231" t="str">
        <v>VAR003.jpg</v>
      </c>
      <c r="O231" t="str">
        <v>CNT-219</v>
      </c>
      <c r="P231" t="str">
        <f>IFERROR(VLOOKUP(O231,CATÁLOGOS!$L$6:$O$305,3,FALSE),"")</f>
        <v>Papel Manteca Make. Presentación: 1 unidad.</v>
      </c>
      <c r="Q231" t="str">
        <f>IFERROR(VLOOKUP(O231,CATÁLOGOS!$L$6:$O$305,4,FALSE),"")</f>
        <v>Papel y film. Producto práctico pensado para facilitar las tareas diarias del hogar.</v>
      </c>
      <c r="T231" t="str">
        <v>Activo</v>
      </c>
      <c r="U231" t="str">
        <v>NO</v>
      </c>
    </row>
    <row r="232">
      <c r="A232" t="str">
        <v>228</v>
      </c>
      <c r="B232" t="str">
        <v>VAR004</v>
      </c>
      <c r="C232" t="str">
        <v>VAR004</v>
      </c>
      <c r="F232" t="str">
        <v>CAT-010</v>
      </c>
      <c r="G232" t="str">
        <f>IFERROR(VLOOKUP(F232,CATÁLOGOS!$A$6:$B$105,2,FALSE),"")</f>
        <v>🏠 Hogar y varios</v>
      </c>
      <c r="H232" t="str">
        <v>SUB-049</v>
      </c>
      <c r="I232" t="str">
        <f>IFERROR(VLOOKUP(H232,CATÁLOGOS!$F$6:$H$305,3,FALSE),"")</f>
        <v>Papel y film</v>
      </c>
      <c r="J232" t="str">
        <v>Make</v>
      </c>
      <c r="K232" t="str">
        <v>Papel Aluminio Make</v>
      </c>
      <c r="M232" t="str">
        <v>1 unidad</v>
      </c>
      <c r="N232" t="str">
        <v>VAR004.jpg</v>
      </c>
      <c r="O232" t="str">
        <v>CNT-220</v>
      </c>
      <c r="P232" t="str">
        <f>IFERROR(VLOOKUP(O232,CATÁLOGOS!$L$6:$O$305,3,FALSE),"")</f>
        <v>Papel Aluminio Make. Presentación: 1 unidad.</v>
      </c>
      <c r="Q232" t="str">
        <f>IFERROR(VLOOKUP(O232,CATÁLOGOS!$L$6:$O$305,4,FALSE),"")</f>
        <v>Papel y film. Producto práctico pensado para facilitar las tareas diarias del hogar.</v>
      </c>
      <c r="T232" t="str">
        <v>Activo</v>
      </c>
      <c r="U232" t="str">
        <v>NO</v>
      </c>
    </row>
    <row r="233">
      <c r="A233" t="str">
        <v>229</v>
      </c>
      <c r="B233" t="str">
        <v>VAR005</v>
      </c>
      <c r="C233" t="str">
        <v>VAR005</v>
      </c>
      <c r="F233" t="str">
        <v>CAT-010</v>
      </c>
      <c r="G233" t="str">
        <f>IFERROR(VLOOKUP(F233,CATÁLOGOS!$A$6:$B$105,2,FALSE),"")</f>
        <v>🏠 Hogar y varios</v>
      </c>
      <c r="H233" t="str">
        <v>SUB-049</v>
      </c>
      <c r="I233" t="str">
        <f>IFERROR(VLOOKUP(H233,CATÁLOGOS!$F$6:$H$305,3,FALSE),"")</f>
        <v>Papel y film</v>
      </c>
      <c r="J233" t="str">
        <v>Make</v>
      </c>
      <c r="K233" t="str">
        <v>Film Adherente Make 30 metros</v>
      </c>
      <c r="M233" t="str">
        <v>1 unidad</v>
      </c>
      <c r="N233" t="str">
        <v>VAR005.jpg</v>
      </c>
      <c r="O233" t="str">
        <v>CNT-221</v>
      </c>
      <c r="P233" t="str">
        <f>IFERROR(VLOOKUP(O233,CATÁLOGOS!$L$6:$O$305,3,FALSE),"")</f>
        <v>Film Adherente Make 30 metros. Presentación: 1 unidad.</v>
      </c>
      <c r="Q233" t="str">
        <f>IFERROR(VLOOKUP(O233,CATÁLOGOS!$L$6:$O$305,4,FALSE),"")</f>
        <v>Papel y film. Producto práctico pensado para facilitar las tareas diarias del hogar.</v>
      </c>
      <c r="T233" t="str">
        <v>Activo</v>
      </c>
      <c r="U233" t="str">
        <v>NO</v>
      </c>
    </row>
    <row r="234">
      <c r="A234" t="str">
        <v>230</v>
      </c>
      <c r="B234" t="str">
        <v>VAR006</v>
      </c>
      <c r="C234" t="str">
        <v>VAR006</v>
      </c>
      <c r="F234" t="str">
        <v>CAT-010</v>
      </c>
      <c r="G234" t="str">
        <f>IFERROR(VLOOKUP(F234,CATÁLOGOS!$A$6:$B$105,2,FALSE),"")</f>
        <v>🏠 Hogar y varios</v>
      </c>
      <c r="H234" t="str">
        <v>SUB-050</v>
      </c>
      <c r="I234" t="str">
        <f>IFERROR(VLOOKUP(H234,CATÁLOGOS!$F$6:$H$305,3,FALSE),"")</f>
        <v>Bolsas y freezer</v>
      </c>
      <c r="J234" t="str">
        <v>Make</v>
      </c>
      <c r="K234" t="str">
        <v>Separador de Freezer Make x 200 unidades</v>
      </c>
      <c r="M234" t="str">
        <v>1 unidad</v>
      </c>
      <c r="N234" t="str">
        <v>VAR006.jpg</v>
      </c>
      <c r="O234" t="str">
        <v>CNT-222</v>
      </c>
      <c r="P234" t="str">
        <f>IFERROR(VLOOKUP(O234,CATÁLOGOS!$L$6:$O$305,3,FALSE),"")</f>
        <v>Separador de Freezer Make x 200 unidades. Presentación: 1 unidad.</v>
      </c>
      <c r="Q234" t="str">
        <f>IFERROR(VLOOKUP(O234,CATÁLOGOS!$L$6:$O$305,4,FALSE),"")</f>
        <v>Bolsas y freezer. Producto práctico pensado para facilitar las tareas diarias del hogar.</v>
      </c>
      <c r="T234" t="str">
        <v>Activo</v>
      </c>
      <c r="U234" t="str">
        <v>NO</v>
      </c>
    </row>
    <row r="235">
      <c r="A235" t="str">
        <v>231</v>
      </c>
      <c r="B235" t="str">
        <v>VAR007</v>
      </c>
      <c r="C235" t="str">
        <v>VAR007</v>
      </c>
      <c r="F235" t="str">
        <v>CAT-010</v>
      </c>
      <c r="G235" t="str">
        <f>IFERROR(VLOOKUP(F235,CATÁLOGOS!$A$6:$B$105,2,FALSE),"")</f>
        <v>🏠 Hogar y varios</v>
      </c>
      <c r="H235" t="str">
        <v>SUB-050</v>
      </c>
      <c r="I235" t="str">
        <f>IFERROR(VLOOKUP(H235,CATÁLOGOS!$F$6:$H$305,3,FALSE),"")</f>
        <v>Bolsas y freezer</v>
      </c>
      <c r="J235" t="str">
        <v>Bolzip</v>
      </c>
      <c r="K235" t="str">
        <v>Bolsa para cubitos Bolzip</v>
      </c>
      <c r="M235" t="str">
        <v>1 unidad</v>
      </c>
      <c r="N235" t="str">
        <v>VAR007.jpg</v>
      </c>
      <c r="O235" t="str">
        <v>CNT-223</v>
      </c>
      <c r="P235" t="str">
        <f>IFERROR(VLOOKUP(O235,CATÁLOGOS!$L$6:$O$305,3,FALSE),"")</f>
        <v>Bolsa para cubitos Bolzip. Presentación: 1 unidad. Marca Bolzip.</v>
      </c>
      <c r="Q235" t="str">
        <f>IFERROR(VLOOKUP(O235,CATÁLOGOS!$L$6:$O$305,4,FALSE),"")</f>
        <v>Bolsas y freezer. Producto práctico pensado para facilitar las tareas diarias del hogar.</v>
      </c>
      <c r="T235" t="str">
        <v>Activo</v>
      </c>
      <c r="U235" t="str">
        <v>NO</v>
      </c>
    </row>
    <row r="236">
      <c r="A236" t="str">
        <v>232</v>
      </c>
      <c r="B236" t="str">
        <v>VAR008</v>
      </c>
      <c r="C236" t="str">
        <v>VAR008</v>
      </c>
      <c r="F236" t="str">
        <v>CAT-010</v>
      </c>
      <c r="G236" t="str">
        <f>IFERROR(VLOOKUP(F236,CATÁLOGOS!$A$6:$B$105,2,FALSE),"")</f>
        <v>🏠 Hogar y varios</v>
      </c>
      <c r="H236" t="str">
        <v>SUB-051</v>
      </c>
      <c r="I236" t="str">
        <f>IFERROR(VLOOKUP(H236,CATÁLOGOS!$F$6:$H$305,3,FALSE),"")</f>
        <v>Varios</v>
      </c>
      <c r="J236" t="str">
        <v>KING</v>
      </c>
      <c r="K236" t="str">
        <v>Palmeta Mata Moscas Plastica</v>
      </c>
      <c r="M236" t="str">
        <v>1 unidad</v>
      </c>
      <c r="N236" t="str">
        <v>VAR008.jpg</v>
      </c>
      <c r="O236" t="str">
        <v>CNT-224</v>
      </c>
      <c r="P236" t="str">
        <f>IFERROR(VLOOKUP(O236,CATÁLOGOS!$L$6:$O$305,3,FALSE),"")</f>
        <v>Palmeta Mata Moscas Plastica. Presentación: 1 unidad.</v>
      </c>
      <c r="Q236" t="str">
        <f>IFERROR(VLOOKUP(O236,CATÁLOGOS!$L$6:$O$305,4,FALSE),"")</f>
        <v>Varios. Producto práctico pensado para facilitar las tareas diarias del hogar.</v>
      </c>
      <c r="T236" t="str">
        <v>Activo</v>
      </c>
      <c r="U236" t="str">
        <v>NO</v>
      </c>
    </row>
    <row r="237">
      <c r="A237" t="str">
        <v>233</v>
      </c>
      <c r="B237" t="str">
        <v>VAR009</v>
      </c>
      <c r="C237" t="str">
        <v>VAR009</v>
      </c>
      <c r="F237" t="str">
        <v>CAT-010</v>
      </c>
      <c r="G237" t="str">
        <f>IFERROR(VLOOKUP(F237,CATÁLOGOS!$A$6:$B$105,2,FALSE),"")</f>
        <v>🏠 Hogar y varios</v>
      </c>
      <c r="H237" t="str">
        <v>SUB-039</v>
      </c>
      <c r="I237" t="str">
        <f>IFERROR(VLOOKUP(H237,CATÁLOGOS!$F$6:$H$305,3,FALSE),"")</f>
        <v>Insecticidas</v>
      </c>
      <c r="J237" t="str">
        <v>Gorrion</v>
      </c>
      <c r="K237" t="str">
        <v>Insecticida liquido Gorrion x 500 cc</v>
      </c>
      <c r="M237" t="str">
        <v>1 unidad</v>
      </c>
      <c r="N237" t="str">
        <v>VAR009.jpg</v>
      </c>
      <c r="O237" t="str">
        <v>CNT-225</v>
      </c>
      <c r="P237" t="str">
        <f>IFERROR(VLOOKUP(O237,CATÁLOGOS!$L$6:$O$305,3,FALSE),"")</f>
        <v>Insecticida liquido Gorrion x 500 cc. Presentación: 1 unidad. Marca Gorrion.</v>
      </c>
      <c r="Q237" t="str">
        <f>IFERROR(VLOOKUP(O237,CATÁLOGOS!$L$6:$O$305,4,FALSE),"")</f>
        <v>Insecticidas. Producto práctico pensado para facilitar las tareas diarias del hogar.</v>
      </c>
      <c r="T237" t="str">
        <v>Activo</v>
      </c>
      <c r="U237" t="str">
        <v>NO</v>
      </c>
    </row>
    <row r="238">
      <c r="A238" t="str">
        <v>234</v>
      </c>
      <c r="B238" t="str">
        <v>CIF001</v>
      </c>
      <c r="C238" t="str">
        <v>CIF001</v>
      </c>
      <c r="D238" t="str">
        <v>CIF-CREMOSO</v>
      </c>
      <c r="E238" t="str">
        <v>5 L</v>
      </c>
      <c r="F238" t="str">
        <v>CAT-001</v>
      </c>
      <c r="G238" t="str">
        <f>IFERROR(VLOOKUP(F238,CATÁLOGOS!$A$6:$B$105,2,FALSE),"")</f>
        <v>🚽 Baño</v>
      </c>
      <c r="H238" t="str">
        <v>SUB-052</v>
      </c>
      <c r="I238" t="str">
        <f>IFERROR(VLOOKUP(H238,CATÁLOGOS!$F$6:$H$305,3,FALSE),"")</f>
        <v>CIF</v>
      </c>
      <c r="J238" t="str">
        <v>KING</v>
      </c>
      <c r="K238" t="str">
        <v>Limpiador Cremoso CIF x 5 litros</v>
      </c>
      <c r="M238" t="str">
        <v>1 unidad</v>
      </c>
      <c r="N238" t="str">
        <v>CIF001.jpg</v>
      </c>
      <c r="O238" t="str">
        <v>CNT-226</v>
      </c>
      <c r="P238" t="str">
        <f>IFERROR(VLOOKUP(O238,CATÁLOGOS!$L$6:$O$305,3,FALSE),"")</f>
        <v>CIF limpiador cremoso</v>
      </c>
      <c r="Q238" t="str">
        <f>IFERROR(VLOOKUP(O238,CATÁLOGOS!$L$6:$O$305,4,FALSE),"")</f>
        <v>CIF limpiador cremoso</v>
      </c>
      <c r="T238" t="str">
        <v>Activo</v>
      </c>
      <c r="U238" t="str">
        <v>NO</v>
      </c>
    </row>
    <row r="239">
      <c r="A239" t="str">
        <v>235</v>
      </c>
      <c r="B239" t="str">
        <v>CIF002</v>
      </c>
      <c r="C239" t="str">
        <v>CIF002</v>
      </c>
      <c r="D239" t="str">
        <v>CIF-CREMOSO</v>
      </c>
      <c r="E239" t="str">
        <v>1 L</v>
      </c>
      <c r="F239" t="str">
        <v>CAT-001</v>
      </c>
      <c r="G239" t="str">
        <f>IFERROR(VLOOKUP(F239,CATÁLOGOS!$A$6:$B$105,2,FALSE),"")</f>
        <v>🚽 Baño</v>
      </c>
      <c r="H239" t="str">
        <v>SUB-052</v>
      </c>
      <c r="I239" t="str">
        <f>IFERROR(VLOOKUP(H239,CATÁLOGOS!$F$6:$H$305,3,FALSE),"")</f>
        <v>CIF</v>
      </c>
      <c r="J239" t="str">
        <v>KING</v>
      </c>
      <c r="K239" t="str">
        <v>Limpiador Cremoso CIF x 1 litros</v>
      </c>
      <c r="M239" t="str">
        <v>1 unidad</v>
      </c>
      <c r="N239" t="str">
        <v>CIF002.jpg</v>
      </c>
      <c r="O239" t="str">
        <v>CNT-226</v>
      </c>
      <c r="P239" t="str">
        <f>IFERROR(VLOOKUP(O239,CATÁLOGOS!$L$6:$O$305,3,FALSE),"")</f>
        <v>CIF limpiador cremoso</v>
      </c>
      <c r="Q239" t="str">
        <f>IFERROR(VLOOKUP(O239,CATÁLOGOS!$L$6:$O$305,4,FALSE),"")</f>
        <v>CIF limpiador cremoso</v>
      </c>
      <c r="T239" t="str">
        <v>Activo</v>
      </c>
      <c r="U239" t="str">
        <v>NO</v>
      </c>
    </row>
    <row r="240">
      <c r="A240" t="str">
        <v>236</v>
      </c>
      <c r="B240" t="str">
        <v>ESP008</v>
      </c>
      <c r="C240" t="str">
        <v>ESP008</v>
      </c>
      <c r="F240" t="str">
        <v>CAT-006</v>
      </c>
      <c r="G240" t="str">
        <f>IFERROR(VLOOKUP(F240,CATÁLOGOS!$A$6:$B$105,2,FALSE),"")</f>
        <v>🧰 Accesorios y equipamiento</v>
      </c>
      <c r="H240" t="str">
        <v>SUB-031</v>
      </c>
      <c r="I240" t="str">
        <f>IFERROR(VLOOKUP(H240,CATÁLOGOS!$F$6:$H$305,3,FALSE),"")</f>
        <v>Esponjas</v>
      </c>
      <c r="J240" t="str">
        <v>KING</v>
      </c>
      <c r="K240" t="str">
        <v>Esponja Dorada</v>
      </c>
      <c r="M240" t="str">
        <v>1 unidad</v>
      </c>
      <c r="N240" t="str">
        <v>ESP008.jpg</v>
      </c>
      <c r="O240" t="str">
        <v>CNT-227</v>
      </c>
      <c r="P240" t="str">
        <f>IFERROR(VLOOKUP(O240,CATÁLOGOS!$L$6:$O$305,3,FALSE),"")</f>
        <v>Esponja dorada. Presentación: 1 unidad.</v>
      </c>
      <c r="Q240" t="str">
        <f>IFERROR(VLOOKUP(O240,CATÁLOGOS!$L$6:$O$305,4,FALSE),"")</f>
        <v>Esponjas. Accesorio resistente y práctico, pensado para facilitar las tareas de limpieza del hogar.</v>
      </c>
      <c r="T240" t="str">
        <v>Activo</v>
      </c>
      <c r="U240" t="str">
        <v>NO</v>
      </c>
    </row>
    <row r="241">
      <c r="A241" t="str">
        <v>237</v>
      </c>
      <c r="B241" t="str">
        <v>CLO004</v>
      </c>
      <c r="C241" t="str">
        <v>CLO004</v>
      </c>
      <c r="D241" t="str">
        <v/>
      </c>
      <c r="E241" t="str">
        <v/>
      </c>
      <c r="F241" t="str">
        <v>CAT-001</v>
      </c>
      <c r="G241" t="str">
        <f>IFERROR(VLOOKUP(F241,CATÁLOGOS!$A$6:$B$105,2,FALSE),"")</f>
        <v>🚽 Baño</v>
      </c>
      <c r="H241" t="str">
        <v>SUB-001</v>
      </c>
      <c r="I241" t="str">
        <f>IFERROR(VLOOKUP(H241,CATÁLOGOS!$F$6:$H$305,3,FALSE),"")</f>
        <v>Lavandina</v>
      </c>
      <c r="J241" t="str">
        <v>King</v>
      </c>
      <c r="K241" t="str">
        <v>Lavandina 1 L</v>
      </c>
      <c r="L241" t="str">
        <v/>
      </c>
      <c r="M241" t="str">
        <v>1L</v>
      </c>
      <c r="N241" t="str">
        <v>CLO004.jpg</v>
      </c>
      <c r="O241" t="str">
        <v>CNT-001</v>
      </c>
      <c r="P241" t="str">
        <f>IFERROR(VLOOKUP(O241,CATÁLOGOS!$L$6:$O$305,3,FALSE),"")</f>
        <v>Lavandina al 4%. Presentación: 5 litros.</v>
      </c>
      <c r="Q241" t="str">
        <f>IFERROR(VLOOKUP(O241,CATÁLOGOS!$L$6:$O$305,4,FALSE),"")</f>
        <v>Lavandina. Elimina suciedad y gérmenes en inodoros, azulejos y superficies del baño, dejando un aroma agradable.</v>
      </c>
      <c r="R241" s="1" t="str">
        <v/>
      </c>
      <c r="S241" s="1" t="str">
        <v/>
      </c>
      <c r="T241" t="str">
        <v>Activo</v>
      </c>
      <c r="U241" t="str">
        <v>NO</v>
      </c>
    </row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</sheetData>
  <mergeCells count="2">
    <mergeCell ref="A1:U1"/>
    <mergeCell ref="A2:U2"/>
  </mergeCells>
  <pageMargins left="0.7" right="0.7" top="0.75" bottom="0.75" header="0.3" footer="0.3"/>
  <ignoredErrors>
    <ignoredError numberStoredAsText="1" sqref="A1:U100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L1014"/>
  <sheetViews>
    <sheetView workbookViewId="0" rightToLeft="0"/>
  </sheetViews>
  <cols>
    <col min="1" max="1" customWidth="1" width="15"/>
    <col min="2" max="2" customWidth="1" width="14"/>
    <col min="3" max="3" customWidth="1" width="16"/>
    <col min="4" max="4" customWidth="1" width="20"/>
    <col min="5" max="5" customWidth="1" width="18"/>
    <col min="6" max="6" customWidth="1" width="20"/>
    <col min="7" max="7" customWidth="1" width="20"/>
    <col min="8" max="8" customWidth="1" width="16"/>
    <col min="9" max="9" customWidth="1" width="18"/>
    <col min="10" max="10" customWidth="1" width="20"/>
    <col min="11" max="11" customWidth="1" width="20"/>
    <col min="12" max="12" customWidth="1" width="18"/>
  </cols>
  <sheetData>
    <row r="1" ht="30" customHeight="1">
      <c r="A1" t="str">
        <v>PRECIOS · COSTOS Y CÁLCULO AUTOMÁTICO</v>
      </c>
    </row>
    <row r="2" ht="24" customHeight="1">
      <c r="A2" t="str">
        <v>Editá las celdas amarillas. Para empaque, elegí SÍ/NO y usá un importe específico solo si corresponde. El resto se calcula solo.</v>
      </c>
    </row>
    <row r="3"/>
    <row r="4" ht="26" customHeight="1">
      <c r="A4" t="str">
        <v>SUPUESTOS GENERALES</v>
      </c>
      <c r="B4" t="str">
        <v>VALOR</v>
      </c>
      <c r="C4" t="str">
        <v>UNIDAD</v>
      </c>
      <c r="D4" t="str">
        <v>NOTA</v>
      </c>
      <c r="F4" t="str">
        <v>FÓRMULA: (Costo + Empaque aplicado + Viático prorrateado + Subsidio prorrateado) / (1 - Comisión - Margen)</v>
      </c>
    </row>
    <row r="5">
      <c r="A5" t="str">
        <v>Margen bruto objetivo</v>
      </c>
      <c r="B5" s="2">
        <v>0.333</v>
      </c>
      <c r="C5" t="str">
        <v>%</v>
      </c>
      <c r="D5" t="str">
        <v>Aplicado luego de costos y comisión.</v>
      </c>
    </row>
    <row r="6">
      <c r="A6" t="str">
        <v>Productos promedio por pedido</v>
      </c>
      <c r="B6">
        <v>4</v>
      </c>
      <c r="C6" t="str">
        <v>productos</v>
      </c>
      <c r="D6" t="str">
        <v>Para prorratear costos por pedido.</v>
      </c>
    </row>
    <row r="7">
      <c r="A7" t="str">
        <v>Viático de abastecimiento por pedido</v>
      </c>
      <c r="B7" s="3">
        <v>100</v>
      </c>
      <c r="C7" t="str">
        <v>$ / pedido</v>
      </c>
      <c r="D7" t="str">
        <v>Costo operativo por pedido.</v>
      </c>
    </row>
    <row r="8">
      <c r="A8" t="str">
        <v>Costo real de entrega por pedido</v>
      </c>
      <c r="B8" s="3">
        <v>100</v>
      </c>
      <c r="C8" t="str">
        <v>$ / pedido</v>
      </c>
      <c r="D8" t="str">
        <v>Referencia para el subsidio.</v>
      </c>
    </row>
    <row r="9">
      <c r="A9" t="str">
        <v>Envío cobrado de referencia</v>
      </c>
      <c r="B9" s="3">
        <v>100</v>
      </c>
      <c r="C9" t="str">
        <v>$ / pedido</v>
      </c>
      <c r="D9" t="str">
        <v>Tramo de referencia.</v>
      </c>
    </row>
    <row r="10">
      <c r="A10" t="str">
        <v>Comisión de cobro QR Mercado Pago</v>
      </c>
      <c r="B10" s="4">
        <v>0</v>
      </c>
      <c r="C10" t="str">
        <v>%</v>
      </c>
      <c r="D10" t="str">
        <v>Comisión sobre el precio final.</v>
      </c>
    </row>
    <row r="11">
      <c r="A11" t="str">
        <v>Empaque promedio por producto</v>
      </c>
      <c r="B11" s="3">
        <v>1000</v>
      </c>
      <c r="C11" t="str">
        <v>$ / producto</v>
      </c>
      <c r="D11" t="str">
        <v>Predeterminado para SÍ; se omite al elegir NO o se reemplaza con un importe específico.</v>
      </c>
    </row>
    <row r="12"/>
    <row r="13"/>
    <row r="14" ht="34" customHeight="1">
      <c r="A14" t="str">
        <v>CODIGO</v>
      </c>
      <c r="B14" t="str">
        <v>COSTO</v>
      </c>
      <c r="C14" t="str">
        <v>¿USA EMPAQUE?</v>
      </c>
      <c r="D14" t="str">
        <v>EMPAQUE ESPECÍFICO</v>
      </c>
      <c r="E14" t="str">
        <v>EMPAQUE APLICADO</v>
      </c>
      <c r="F14" t="str">
        <v>VIÁTICO PRORRATEADO</v>
      </c>
      <c r="G14" t="str">
        <v>SUBSIDIO ENVÍO PRORR.</v>
      </c>
      <c r="H14" t="str">
        <v>COMISIÓN COBRO</v>
      </c>
      <c r="I14" t="str">
        <v>MARGEN BRUTO OBJ.</v>
      </c>
      <c r="J14" t="str">
        <v>PRECIO VENTA AJUSTADO</v>
      </c>
      <c r="K14" t="str">
        <v>GANANCIA BRUTA EST.</v>
      </c>
      <c r="L14" t="str">
        <v>MARGEN BRUTO EST.</v>
      </c>
    </row>
    <row r="15">
      <c r="A15" t="str">
        <v>CLO001</v>
      </c>
      <c r="B15" s="3">
        <v>1150</v>
      </c>
      <c r="C15" s="3" t="str">
        <v>SÍ</v>
      </c>
      <c r="D15" s="3">
        <v>2000</v>
      </c>
      <c r="E15" s="3">
        <f>IF(A15="","",IF(C15="NO",0,IF(D15&lt;&gt;"",D15,$B$11)))</f>
        <v>2000</v>
      </c>
      <c r="F15" s="3">
        <f>IF(A15="","",$B$7/$B$6)</f>
        <v>25</v>
      </c>
      <c r="G15" s="3">
        <f>IF(A15="","",($B$8-$B$9)/$B$6)</f>
        <v>0</v>
      </c>
      <c r="H15" s="4">
        <f>IF(A15="","",$B$10)</f>
        <v>0</v>
      </c>
      <c r="I15" s="4">
        <f>IF(A15="","",$B$5)</f>
        <v>0.333</v>
      </c>
      <c r="J15" s="3">
        <f>IF(OR(A15="",B15=""),"",ROUND((B15+E15+F15+G15)/(1-H15-I15),-1))</f>
        <v>4760</v>
      </c>
      <c r="K15" s="3">
        <f>IF(J15="","",J15-B15-E15-F15-G15-(J15*H15))</f>
        <v>1585</v>
      </c>
      <c r="L15" s="2">
        <f>IF(J15="","",K15/J15)</f>
        <v>0.3329831932773109</v>
      </c>
    </row>
    <row r="16">
      <c r="A16" t="str">
        <v>DET001</v>
      </c>
      <c r="B16" s="3">
        <v>9000</v>
      </c>
      <c r="C16" s="3" t="str">
        <v>SÍ</v>
      </c>
      <c r="D16" s="3">
        <v>1000</v>
      </c>
      <c r="E16" s="3">
        <f>IF(A16="","",IF(C16="NO",0,IF(D16&lt;&gt;"",D16,$B$11)))</f>
        <v>1000</v>
      </c>
      <c r="F16" s="3">
        <f>IF(A16="","",$B$7/$B$6)</f>
        <v>25</v>
      </c>
      <c r="G16" s="3">
        <f>IF(A16="","",($B$8-$B$9)/$B$6)</f>
        <v>0</v>
      </c>
      <c r="H16" s="4">
        <f>IF(A16="","",$B$10)</f>
        <v>0</v>
      </c>
      <c r="I16" s="4">
        <f>IF(A16="","",$B$5)</f>
        <v>0.333</v>
      </c>
      <c r="J16" s="3">
        <f>IF(OR(A16="",B16=""),"",ROUND((B16+E16+F16+G16)/(1-H16-I16),-1))</f>
        <v>15030</v>
      </c>
      <c r="K16" s="3">
        <f>IF(J16="","",J16-B16-E16-F16-G16-(J16*H16))</f>
        <v>5005</v>
      </c>
      <c r="L16" s="2">
        <f>IF(J16="","",K16/J16)</f>
        <v>0.33300066533599465</v>
      </c>
    </row>
    <row r="17">
      <c r="A17" t="str">
        <v>LVA001</v>
      </c>
      <c r="B17" s="3">
        <v>2750</v>
      </c>
      <c r="C17" s="3" t="str">
        <v>SÍ</v>
      </c>
      <c r="D17" s="3">
        <v>1000</v>
      </c>
      <c r="E17" s="3">
        <f>IF(A17="","",IF(C17="NO",0,IF(D17&lt;&gt;"",D17,$B$11)))</f>
        <v>1000</v>
      </c>
      <c r="F17" s="3">
        <f>IF(A17="","",$B$7/$B$6)</f>
        <v>25</v>
      </c>
      <c r="G17" s="3">
        <f>IF(A17="","",($B$8-$B$9)/$B$6)</f>
        <v>0</v>
      </c>
      <c r="H17" s="4">
        <f>IF(A17="","",$B$10)</f>
        <v>0</v>
      </c>
      <c r="I17" s="4">
        <f>IF(A17="","",$B$5)</f>
        <v>0.333</v>
      </c>
      <c r="J17" s="3">
        <f>IF(OR(A17="",B17=""),"",ROUND((B17+E17+F17+G17)/(1-H17-I17),-1))</f>
        <v>5660</v>
      </c>
      <c r="K17" s="3">
        <f>IF(J17="","",J17-B17-E17-F17-G17-(J17*H17))</f>
        <v>1885</v>
      </c>
      <c r="L17" s="2">
        <f>IF(J17="","",K17/J17)</f>
        <v>0.3330388692579505</v>
      </c>
    </row>
    <row r="18">
      <c r="A18" t="str">
        <v>LVA002</v>
      </c>
      <c r="B18" s="3">
        <v>3250</v>
      </c>
      <c r="C18" s="3" t="str">
        <v>SÍ</v>
      </c>
      <c r="D18" s="3">
        <v>1000</v>
      </c>
      <c r="E18" s="3">
        <f>IF(A18="","",IF(C18="NO",0,IF(D18&lt;&gt;"",D18,$B$11)))</f>
        <v>1000</v>
      </c>
      <c r="F18" s="3">
        <f>IF(A18="","",$B$7/$B$6)</f>
        <v>25</v>
      </c>
      <c r="G18" s="3">
        <f>IF(A18="","",($B$8-$B$9)/$B$6)</f>
        <v>0</v>
      </c>
      <c r="H18" s="4">
        <f>IF(A18="","",$B$10)</f>
        <v>0</v>
      </c>
      <c r="I18" s="4">
        <f>IF(A18="","",$B$5)</f>
        <v>0.333</v>
      </c>
      <c r="J18" s="3">
        <f>IF(OR(A18="",B18=""),"",ROUND((B18+E18+F18+G18)/(1-H18-I18),-1))</f>
        <v>6410</v>
      </c>
      <c r="K18" s="3">
        <f>IF(J18="","",J18-B18-E18-F18-G18-(J18*H18))</f>
        <v>2135</v>
      </c>
      <c r="L18" s="2">
        <f>IF(J18="","",K18/J18)</f>
        <v>0.3330733229329173</v>
      </c>
    </row>
    <row r="19">
      <c r="A19" t="str">
        <v>SUA001</v>
      </c>
      <c r="B19" s="3">
        <v>2250</v>
      </c>
      <c r="C19" s="3" t="str">
        <v>SÍ</v>
      </c>
      <c r="D19" s="3">
        <v>1000</v>
      </c>
      <c r="E19" s="3">
        <f>IF(A19="","",IF(C19="NO",0,IF(D19&lt;&gt;"",D19,$B$11)))</f>
        <v>1000</v>
      </c>
      <c r="F19" s="3">
        <f>IF(A19="","",$B$7/$B$6)</f>
        <v>25</v>
      </c>
      <c r="G19" s="3">
        <f>IF(A19="","",($B$8-$B$9)/$B$6)</f>
        <v>0</v>
      </c>
      <c r="H19" s="4">
        <f>IF(A19="","",$B$10)</f>
        <v>0</v>
      </c>
      <c r="I19" s="4">
        <f>IF(A19="","",$B$5)</f>
        <v>0.333</v>
      </c>
      <c r="J19" s="3">
        <f>IF(OR(A19="",B19=""),"",ROUND((B19+E19+F19+G19)/(1-H19-I19),-1))</f>
        <v>4910</v>
      </c>
      <c r="K19" s="3">
        <f>IF(J19="","",J19-B19-E19-F19-G19-(J19*H19))</f>
        <v>1635</v>
      </c>
      <c r="L19" s="2">
        <f>IF(J19="","",K19/J19)</f>
        <v>0.3329938900203666</v>
      </c>
    </row>
    <row r="20">
      <c r="A20" t="str">
        <v>SUA002</v>
      </c>
      <c r="B20" s="3">
        <v>1650</v>
      </c>
      <c r="C20" s="3" t="str">
        <v>SÍ</v>
      </c>
      <c r="D20" s="3">
        <v>1000</v>
      </c>
      <c r="E20" s="3">
        <f>IF(A20="","",IF(C20="NO",0,IF(D20&lt;&gt;"",D20,$B$11)))</f>
        <v>1000</v>
      </c>
      <c r="F20" s="3">
        <f>IF(A20="","",$B$7/$B$6)</f>
        <v>25</v>
      </c>
      <c r="G20" s="3">
        <f>IF(A20="","",($B$8-$B$9)/$B$6)</f>
        <v>0</v>
      </c>
      <c r="H20" s="4">
        <f>IF(A20="","",$B$10)</f>
        <v>0</v>
      </c>
      <c r="I20" s="4">
        <f>IF(A20="","",$B$5)</f>
        <v>0.333</v>
      </c>
      <c r="J20" s="3">
        <f>IF(OR(A20="",B20=""),"",ROUND((B20+E20+F20+G20)/(1-H20-I20),-1))</f>
        <v>4010</v>
      </c>
      <c r="K20" s="3">
        <f>IF(J20="","",J20-B20-E20-F20-G20-(J20*H20))</f>
        <v>1335</v>
      </c>
      <c r="L20" s="2">
        <f>IF(J20="","",K20/J20)</f>
        <v>0.3329177057356609</v>
      </c>
    </row>
    <row r="21">
      <c r="A21" t="str">
        <v>JBP001</v>
      </c>
      <c r="B21" s="3">
        <v>20000</v>
      </c>
      <c r="C21" s="3" t="str">
        <v>SÍ</v>
      </c>
      <c r="D21" s="3">
        <v>1000</v>
      </c>
      <c r="E21" s="3">
        <f>IF(A21="","",IF(C21="NO",0,IF(D21&lt;&gt;"",D21,$B$11)))</f>
        <v>1000</v>
      </c>
      <c r="F21" s="3">
        <f>IF(A21="","",$B$7/$B$6)</f>
        <v>25</v>
      </c>
      <c r="G21" s="3">
        <f>IF(A21="","",($B$8-$B$9)/$B$6)</f>
        <v>0</v>
      </c>
      <c r="H21" s="4">
        <f>IF(A21="","",$B$10)</f>
        <v>0</v>
      </c>
      <c r="I21" s="4">
        <f>IF(A21="","",$B$5)</f>
        <v>0.333</v>
      </c>
      <c r="J21" s="3">
        <f>IF(OR(A21="",B21=""),"",ROUND((B21+E21+F21+G21)/(1-H21-I21),-1))</f>
        <v>31520</v>
      </c>
      <c r="K21" s="3">
        <f>IF(J21="","",J21-B21-E21-F21-G21-(J21*H21))</f>
        <v>10495</v>
      </c>
      <c r="L21" s="2">
        <f>IF(J21="","",K21/J21)</f>
        <v>0.33296319796954316</v>
      </c>
    </row>
    <row r="22">
      <c r="A22" t="str">
        <v>PFA001</v>
      </c>
      <c r="B22" s="3">
        <v>2200</v>
      </c>
      <c r="C22" s="3" t="str">
        <v>SÍ</v>
      </c>
      <c r="D22" s="3">
        <v>1000</v>
      </c>
      <c r="E22" s="3">
        <f>IF(A22="","",IF(C22="NO",0,IF(D22&lt;&gt;"",D22,$B$11)))</f>
        <v>1000</v>
      </c>
      <c r="F22" s="3">
        <f>IF(A22="","",$B$7/$B$6)</f>
        <v>25</v>
      </c>
      <c r="G22" s="3">
        <f>IF(A22="","",($B$8-$B$9)/$B$6)</f>
        <v>0</v>
      </c>
      <c r="H22" s="4">
        <f>IF(A22="","",$B$10)</f>
        <v>0</v>
      </c>
      <c r="I22" s="4">
        <f>IF(A22="","",$B$5)</f>
        <v>0.333</v>
      </c>
      <c r="J22" s="3">
        <f>IF(OR(A22="",B22=""),"",ROUND((B22+E22+F22+G22)/(1-H22-I22),-1))</f>
        <v>4840</v>
      </c>
      <c r="K22" s="3">
        <f>IF(J22="","",J22-B22-E22-F22-G22-(J22*H22))</f>
        <v>1615</v>
      </c>
      <c r="L22" s="2">
        <f>IF(J22="","",K22/J22)</f>
        <v>0.33367768595041325</v>
      </c>
    </row>
    <row r="23">
      <c r="A23" t="str">
        <v>PFA002</v>
      </c>
      <c r="B23" s="3">
        <v>16000</v>
      </c>
      <c r="C23" s="3" t="str">
        <v>SÍ</v>
      </c>
      <c r="D23" s="3">
        <v>1000</v>
      </c>
      <c r="E23" s="3">
        <f>IF(A23="","",IF(C23="NO",0,IF(D23&lt;&gt;"",D23,$B$11)))</f>
        <v>1000</v>
      </c>
      <c r="F23" s="3">
        <f>IF(A23="","",$B$7/$B$6)</f>
        <v>25</v>
      </c>
      <c r="G23" s="3">
        <f>IF(A23="","",($B$8-$B$9)/$B$6)</f>
        <v>0</v>
      </c>
      <c r="H23" s="4">
        <f>IF(A23="","",$B$10)</f>
        <v>0</v>
      </c>
      <c r="I23" s="4">
        <f>IF(A23="","",$B$5)</f>
        <v>0.333</v>
      </c>
      <c r="J23" s="3">
        <f>IF(OR(A23="",B23=""),"",ROUND((B23+E23+F23+G23)/(1-H23-I23),-1))</f>
        <v>25520</v>
      </c>
      <c r="K23" s="3">
        <f>IF(J23="","",J23-B23-E23-F23-G23-(J23*H23))</f>
        <v>8495</v>
      </c>
      <c r="L23" s="2">
        <f>IF(J23="","",K23/J23)</f>
        <v>0.33287617554858934</v>
      </c>
    </row>
    <row r="24">
      <c r="A24" t="str">
        <v>DES001</v>
      </c>
      <c r="B24" s="3">
        <v>4600</v>
      </c>
      <c r="C24" s="3" t="str">
        <v>SÍ</v>
      </c>
      <c r="D24" s="3">
        <v>1000</v>
      </c>
      <c r="E24" s="3">
        <f>IF(A24="","",IF(C24="NO",0,IF(D24&lt;&gt;"",D24,$B$11)))</f>
        <v>1000</v>
      </c>
      <c r="F24" s="3">
        <f>IF(A24="","",$B$7/$B$6)</f>
        <v>25</v>
      </c>
      <c r="G24" s="3">
        <f>IF(A24="","",($B$8-$B$9)/$B$6)</f>
        <v>0</v>
      </c>
      <c r="H24" s="4">
        <f>IF(A24="","",$B$10)</f>
        <v>0</v>
      </c>
      <c r="I24" s="4">
        <f>IF(A24="","",$B$5)</f>
        <v>0.333</v>
      </c>
      <c r="J24" s="3">
        <f>IF(OR(A24="",B24=""),"",ROUND((B24+E24+F24+G24)/(1-H24-I24),-1))</f>
        <v>8430</v>
      </c>
      <c r="K24" s="3">
        <f>IF(J24="","",J24-B24-E24-F24-G24-(J24*H24))</f>
        <v>2805</v>
      </c>
      <c r="L24" s="2">
        <f>IF(J24="","",K24/J24)</f>
        <v>0.33274021352313166</v>
      </c>
    </row>
    <row r="25">
      <c r="A25" t="str">
        <v>DES002</v>
      </c>
      <c r="B25" s="3">
        <v>5400</v>
      </c>
      <c r="C25" s="3" t="str">
        <v>SÍ</v>
      </c>
      <c r="D25" s="3">
        <v>1000</v>
      </c>
      <c r="E25" s="3">
        <f>IF(A25="","",IF(C25="NO",0,IF(D25&lt;&gt;"",D25,$B$11)))</f>
        <v>1000</v>
      </c>
      <c r="F25" s="3">
        <f>IF(A25="","",$B$7/$B$6)</f>
        <v>25</v>
      </c>
      <c r="G25" s="3">
        <f>IF(A25="","",($B$8-$B$9)/$B$6)</f>
        <v>0</v>
      </c>
      <c r="H25" s="4">
        <f>IF(A25="","",$B$10)</f>
        <v>0</v>
      </c>
      <c r="I25" s="4">
        <f>IF(A25="","",$B$5)</f>
        <v>0.333</v>
      </c>
      <c r="J25" s="3">
        <f>IF(OR(A25="",B25=""),"",ROUND((B25+E25+F25+G25)/(1-H25-I25),-1))</f>
        <v>9630</v>
      </c>
      <c r="K25" s="3">
        <f>IF(J25="","",J25-B25-E25-F25-G25-(J25*H25))</f>
        <v>3205</v>
      </c>
      <c r="L25" s="2">
        <f>IF(J25="","",K25/J25)</f>
        <v>0.3328141225337487</v>
      </c>
    </row>
    <row r="26">
      <c r="A26" t="str">
        <v>DES003</v>
      </c>
      <c r="B26" s="3">
        <v>5400</v>
      </c>
      <c r="C26" s="3" t="str">
        <v>SÍ</v>
      </c>
      <c r="D26" s="3">
        <v>1000</v>
      </c>
      <c r="E26" s="3">
        <f>IF(A26="","",IF(C26="NO",0,IF(D26&lt;&gt;"",D26,$B$11)))</f>
        <v>1000</v>
      </c>
      <c r="F26" s="3">
        <f>IF(A26="","",$B$7/$B$6)</f>
        <v>25</v>
      </c>
      <c r="G26" s="3">
        <f>IF(A26="","",($B$8-$B$9)/$B$6)</f>
        <v>0</v>
      </c>
      <c r="H26" s="4">
        <f>IF(A26="","",$B$10)</f>
        <v>0</v>
      </c>
      <c r="I26" s="4">
        <f>IF(A26="","",$B$5)</f>
        <v>0.333</v>
      </c>
      <c r="J26" s="3">
        <f>IF(OR(A26="",B26=""),"",ROUND((B26+E26+F26+G26)/(1-H26-I26),-1))</f>
        <v>9630</v>
      </c>
      <c r="K26" s="3">
        <f>IF(J26="","",J26-B26-E26-F26-G26-(J26*H26))</f>
        <v>3205</v>
      </c>
      <c r="L26" s="2">
        <f>IF(J26="","",K26/J26)</f>
        <v>0.3328141225337487</v>
      </c>
    </row>
    <row r="27">
      <c r="A27" t="str">
        <v>DES004</v>
      </c>
      <c r="B27" s="3">
        <v>5400</v>
      </c>
      <c r="C27" s="3" t="str">
        <v>SÍ</v>
      </c>
      <c r="D27" s="3">
        <v>1000</v>
      </c>
      <c r="E27" s="3">
        <f>IF(A27="","",IF(C27="NO",0,IF(D27&lt;&gt;"",D27,$B$11)))</f>
        <v>1000</v>
      </c>
      <c r="F27" s="3">
        <f>IF(A27="","",$B$7/$B$6)</f>
        <v>25</v>
      </c>
      <c r="G27" s="3">
        <f>IF(A27="","",($B$8-$B$9)/$B$6)</f>
        <v>0</v>
      </c>
      <c r="H27" s="4">
        <f>IF(A27="","",$B$10)</f>
        <v>0</v>
      </c>
      <c r="I27" s="4">
        <f>IF(A27="","",$B$5)</f>
        <v>0.333</v>
      </c>
      <c r="J27" s="3">
        <f>IF(OR(A27="",B27=""),"",ROUND((B27+E27+F27+G27)/(1-H27-I27),-1))</f>
        <v>9630</v>
      </c>
      <c r="K27" s="3">
        <f>IF(J27="","",J27-B27-E27-F27-G27-(J27*H27))</f>
        <v>3205</v>
      </c>
      <c r="L27" s="2">
        <f>IF(J27="","",K27/J27)</f>
        <v>0.3328141225337487</v>
      </c>
    </row>
    <row r="28">
      <c r="A28" t="str">
        <v>DES005</v>
      </c>
      <c r="B28" s="3">
        <v>7300</v>
      </c>
      <c r="C28" s="3" t="str">
        <v>SÍ</v>
      </c>
      <c r="D28" s="3">
        <v>1000</v>
      </c>
      <c r="E28" s="3">
        <f>IF(A28="","",IF(C28="NO",0,IF(D28&lt;&gt;"",D28,$B$11)))</f>
        <v>1000</v>
      </c>
      <c r="F28" s="3">
        <f>IF(A28="","",$B$7/$B$6)</f>
        <v>25</v>
      </c>
      <c r="G28" s="3">
        <f>IF(A28="","",($B$8-$B$9)/$B$6)</f>
        <v>0</v>
      </c>
      <c r="H28" s="4">
        <f>IF(A28="","",$B$10)</f>
        <v>0</v>
      </c>
      <c r="I28" s="4">
        <f>IF(A28="","",$B$5)</f>
        <v>0.333</v>
      </c>
      <c r="J28" s="3">
        <f>IF(OR(A28="",B28=""),"",ROUND((B28+E28+F28+G28)/(1-H28-I28),-1))</f>
        <v>12480</v>
      </c>
      <c r="K28" s="3">
        <f>IF(J28="","",J28-B28-E28-F28-G28-(J28*H28))</f>
        <v>4155</v>
      </c>
      <c r="L28" s="2">
        <f>IF(J28="","",K28/J28)</f>
        <v>0.3329326923076923</v>
      </c>
    </row>
    <row r="29">
      <c r="A29" t="str">
        <v>RJR001</v>
      </c>
      <c r="B29" s="3">
        <v>700</v>
      </c>
      <c r="C29" s="3" t="str">
        <v>NO</v>
      </c>
      <c r="D29" s="3">
        <f>IF(A29="","",$B$7/$B$6)</f>
        <v>25</v>
      </c>
      <c r="E29" s="3">
        <f>IF(A29="","",IF(C29="NO",0,IF(D29&lt;&gt;"",D29,$B$11)))</f>
        <v>0</v>
      </c>
      <c r="F29" s="3">
        <f>IF(A29="","",$B$7/$B$6)</f>
        <v>25</v>
      </c>
      <c r="G29" s="3">
        <f>IF(A29="","",($B$8-$B$9)/$B$6)</f>
        <v>0</v>
      </c>
      <c r="H29" s="4">
        <f>IF(A29="","",$B$10)</f>
        <v>0</v>
      </c>
      <c r="I29" s="4">
        <f>IF(A29="","",$B$5)</f>
        <v>0.333</v>
      </c>
      <c r="J29" s="3">
        <f>IF(OR(A29="",B29=""),"",ROUND((B29+E29+F29+G29)/(1-H29-I29),-1))</f>
        <v>1090</v>
      </c>
      <c r="K29" s="3">
        <f>IF(J29="","",J29-B29-E29-F29-G29-(J29*H29))</f>
        <v>365</v>
      </c>
      <c r="L29" s="2">
        <f>IF(J29="","",K29/J29)</f>
        <v>0.3348623853211009</v>
      </c>
    </row>
    <row r="30">
      <c r="A30" t="str">
        <v>RJR002</v>
      </c>
      <c r="B30" s="3">
        <v>300</v>
      </c>
      <c r="C30" s="3" t="str">
        <v>NO</v>
      </c>
      <c r="D30" s="3">
        <f>IF(A30="","",$B$7/$B$6)</f>
        <v>25</v>
      </c>
      <c r="E30" s="3">
        <f>IF(A30="","",IF(C30="NO",0,IF(D30&lt;&gt;"",D30,$B$11)))</f>
        <v>0</v>
      </c>
      <c r="F30" s="3">
        <f>IF(A30="","",$B$7/$B$6)</f>
        <v>25</v>
      </c>
      <c r="G30" s="3">
        <f>IF(A30="","",($B$8-$B$9)/$B$6)</f>
        <v>0</v>
      </c>
      <c r="H30" s="4">
        <f>IF(A30="","",$B$10)</f>
        <v>0</v>
      </c>
      <c r="I30" s="4">
        <f>IF(A30="","",$B$5)</f>
        <v>0.333</v>
      </c>
      <c r="J30" s="3">
        <f>IF(OR(A30="",B30=""),"",ROUND((B30+E30+F30+G30)/(1-H30-I30),-1))</f>
        <v>490</v>
      </c>
      <c r="K30" s="3">
        <f>IF(J30="","",J30-B30-E30-F30-G30-(J30*H30))</f>
        <v>165</v>
      </c>
      <c r="L30" s="2">
        <f>IF(J30="","",K30/J30)</f>
        <v>0.336734693877551</v>
      </c>
    </row>
    <row r="31">
      <c r="A31" t="str">
        <v>RJR003</v>
      </c>
      <c r="B31" s="3">
        <v>500</v>
      </c>
      <c r="C31" s="3" t="str">
        <v>NO</v>
      </c>
      <c r="D31" s="3">
        <f>IF(A31="","",$B$7/$B$6)</f>
        <v>25</v>
      </c>
      <c r="E31" s="3">
        <f>IF(A31="","",IF(C31="NO",0,IF(D31&lt;&gt;"",D31,$B$11)))</f>
        <v>0</v>
      </c>
      <c r="F31" s="3">
        <f>IF(A31="","",$B$7/$B$6)</f>
        <v>25</v>
      </c>
      <c r="G31" s="3">
        <f>IF(A31="","",($B$8-$B$9)/$B$6)</f>
        <v>0</v>
      </c>
      <c r="H31" s="4">
        <f>IF(A31="","",$B$10)</f>
        <v>0</v>
      </c>
      <c r="I31" s="4">
        <f>IF(A31="","",$B$5)</f>
        <v>0.333</v>
      </c>
      <c r="J31" s="3">
        <f>IF(OR(A31="",B31=""),"",ROUND((B31+E31+F31+G31)/(1-H31-I31),-1))</f>
        <v>790</v>
      </c>
      <c r="K31" s="3">
        <f>IF(J31="","",J31-B31-E31-F31-G31-(J31*H31))</f>
        <v>265</v>
      </c>
      <c r="L31" s="2">
        <f>IF(J31="","",K31/J31)</f>
        <v>0.33544303797468356</v>
      </c>
    </row>
    <row r="32">
      <c r="A32" t="str">
        <v>RJR004</v>
      </c>
      <c r="B32" s="3">
        <v>500</v>
      </c>
      <c r="C32" s="3" t="str">
        <v>NO</v>
      </c>
      <c r="D32" s="3">
        <f>IF(A32="","",$B$7/$B$6)</f>
        <v>25</v>
      </c>
      <c r="E32" s="3">
        <f>IF(A32="","",IF(C32="NO",0,IF(D32&lt;&gt;"",D32,$B$11)))</f>
        <v>0</v>
      </c>
      <c r="F32" s="3">
        <f>IF(A32="","",$B$7/$B$6)</f>
        <v>25</v>
      </c>
      <c r="G32" s="3">
        <f>IF(A32="","",($B$8-$B$9)/$B$6)</f>
        <v>0</v>
      </c>
      <c r="H32" s="4">
        <f>IF(A32="","",$B$10)</f>
        <v>0</v>
      </c>
      <c r="I32" s="4">
        <f>IF(A32="","",$B$5)</f>
        <v>0.333</v>
      </c>
      <c r="J32" s="3">
        <f>IF(OR(A32="",B32=""),"",ROUND((B32+E32+F32+G32)/(1-H32-I32),-1))</f>
        <v>790</v>
      </c>
      <c r="K32" s="3">
        <f>IF(J32="","",J32-B32-E32-F32-G32-(J32*H32))</f>
        <v>265</v>
      </c>
      <c r="L32" s="2">
        <f>IF(J32="","",K32/J32)</f>
        <v>0.33544303797468356</v>
      </c>
    </row>
    <row r="33">
      <c r="A33" t="str">
        <v>RJR005</v>
      </c>
      <c r="B33" s="3">
        <v>500</v>
      </c>
      <c r="C33" s="3" t="str">
        <v>NO</v>
      </c>
      <c r="D33" s="3">
        <f>IF(A33="","",$B$7/$B$6)</f>
        <v>25</v>
      </c>
      <c r="E33" s="3">
        <f>IF(A33="","",IF(C33="NO",0,IF(D33&lt;&gt;"",D33,$B$11)))</f>
        <v>0</v>
      </c>
      <c r="F33" s="3">
        <f>IF(A33="","",$B$7/$B$6)</f>
        <v>25</v>
      </c>
      <c r="G33" s="3">
        <f>IF(A33="","",($B$8-$B$9)/$B$6)</f>
        <v>0</v>
      </c>
      <c r="H33" s="4">
        <f>IF(A33="","",$B$10)</f>
        <v>0</v>
      </c>
      <c r="I33" s="4">
        <f>IF(A33="","",$B$5)</f>
        <v>0.333</v>
      </c>
      <c r="J33" s="3">
        <f>IF(OR(A33="",B33=""),"",ROUND((B33+E33+F33+G33)/(1-H33-I33),-1))</f>
        <v>790</v>
      </c>
      <c r="K33" s="3">
        <f>IF(J33="","",J33-B33-E33-F33-G33-(J33*H33))</f>
        <v>265</v>
      </c>
      <c r="L33" s="2">
        <f>IF(J33="","",K33/J33)</f>
        <v>0.33544303797468356</v>
      </c>
    </row>
    <row r="34">
      <c r="A34" t="str">
        <v>RJR006</v>
      </c>
      <c r="B34" s="3">
        <v>2050</v>
      </c>
      <c r="C34" s="3" t="str">
        <v>NO</v>
      </c>
      <c r="D34" s="3">
        <f>IF(A34="","",$B$7/$B$6)</f>
        <v>25</v>
      </c>
      <c r="E34" s="3">
        <f>IF(A34="","",IF(C34="NO",0,IF(D34&lt;&gt;"",D34,$B$11)))</f>
        <v>0</v>
      </c>
      <c r="F34" s="3">
        <f>IF(A34="","",$B$7/$B$6)</f>
        <v>25</v>
      </c>
      <c r="G34" s="3">
        <f>IF(A34="","",($B$8-$B$9)/$B$6)</f>
        <v>0</v>
      </c>
      <c r="H34" s="4">
        <f>IF(A34="","",$B$10)</f>
        <v>0</v>
      </c>
      <c r="I34" s="4">
        <f>IF(A34="","",$B$5)</f>
        <v>0.333</v>
      </c>
      <c r="J34" s="3">
        <f>IF(OR(A34="",B34=""),"",ROUND((B34+E34+F34+G34)/(1-H34-I34),-1))</f>
        <v>3110</v>
      </c>
      <c r="K34" s="3">
        <f>IF(J34="","",J34-B34-E34-F34-G34-(J34*H34))</f>
        <v>1035</v>
      </c>
      <c r="L34" s="2">
        <f>IF(J34="","",K34/J34)</f>
        <v>0.3327974276527331</v>
      </c>
    </row>
    <row r="35">
      <c r="A35" t="str">
        <v>RJR007</v>
      </c>
      <c r="B35" s="3">
        <v>2050</v>
      </c>
      <c r="C35" s="3" t="str">
        <v>NO</v>
      </c>
      <c r="D35" s="3">
        <f>IF(A35="","",$B$7/$B$6)</f>
        <v>25</v>
      </c>
      <c r="E35" s="3">
        <f>IF(A35="","",IF(C35="NO",0,IF(D35&lt;&gt;"",D35,$B$11)))</f>
        <v>0</v>
      </c>
      <c r="F35" s="3">
        <f>IF(A35="","",$B$7/$B$6)</f>
        <v>25</v>
      </c>
      <c r="G35" s="3">
        <f>IF(A35="","",($B$8-$B$9)/$B$6)</f>
        <v>0</v>
      </c>
      <c r="H35" s="4">
        <f>IF(A35="","",$B$10)</f>
        <v>0</v>
      </c>
      <c r="I35" s="4">
        <f>IF(A35="","",$B$5)</f>
        <v>0.333</v>
      </c>
      <c r="J35" s="3">
        <f>IF(OR(A35="",B35=""),"",ROUND((B35+E35+F35+G35)/(1-H35-I35),-1))</f>
        <v>3110</v>
      </c>
      <c r="K35" s="3">
        <f>IF(J35="","",J35-B35-E35-F35-G35-(J35*H35))</f>
        <v>1035</v>
      </c>
      <c r="L35" s="2">
        <f>IF(J35="","",K35/J35)</f>
        <v>0.3327974276527331</v>
      </c>
    </row>
    <row r="36">
      <c r="A36" t="str">
        <v>RJR008</v>
      </c>
      <c r="B36" s="3">
        <v>750</v>
      </c>
      <c r="C36" s="3" t="str">
        <v>NO</v>
      </c>
      <c r="D36" s="3">
        <f>IF(A36="","",$B$7/$B$6)</f>
        <v>25</v>
      </c>
      <c r="E36" s="3">
        <f>IF(A36="","",IF(C36="NO",0,IF(D36&lt;&gt;"",D36,$B$11)))</f>
        <v>0</v>
      </c>
      <c r="F36" s="3">
        <f>IF(A36="","",$B$7/$B$6)</f>
        <v>25</v>
      </c>
      <c r="G36" s="3">
        <f>IF(A36="","",($B$8-$B$9)/$B$6)</f>
        <v>0</v>
      </c>
      <c r="H36" s="4">
        <f>IF(A36="","",$B$10)</f>
        <v>0</v>
      </c>
      <c r="I36" s="4">
        <f>IF(A36="","",$B$5)</f>
        <v>0.333</v>
      </c>
      <c r="J36" s="3">
        <f>IF(OR(A36="",B36=""),"",ROUND((B36+E36+F36+G36)/(1-H36-I36),-1))</f>
        <v>1160</v>
      </c>
      <c r="K36" s="3">
        <f>IF(J36="","",J36-B36-E36-F36-G36-(J36*H36))</f>
        <v>385</v>
      </c>
      <c r="L36" s="2">
        <f>IF(J36="","",K36/J36)</f>
        <v>0.33189655172413796</v>
      </c>
    </row>
    <row r="37">
      <c r="A37" t="str">
        <v>RJR009</v>
      </c>
      <c r="B37" s="3">
        <v>650</v>
      </c>
      <c r="C37" s="3" t="str">
        <v>NO</v>
      </c>
      <c r="D37" s="3">
        <f>IF(A37="","",$B$7/$B$6)</f>
        <v>25</v>
      </c>
      <c r="E37" s="3">
        <f>IF(A37="","",IF(C37="NO",0,IF(D37&lt;&gt;"",D37,$B$11)))</f>
        <v>0</v>
      </c>
      <c r="F37" s="3">
        <f>IF(A37="","",$B$7/$B$6)</f>
        <v>25</v>
      </c>
      <c r="G37" s="3">
        <f>IF(A37="","",($B$8-$B$9)/$B$6)</f>
        <v>0</v>
      </c>
      <c r="H37" s="4">
        <f>IF(A37="","",$B$10)</f>
        <v>0</v>
      </c>
      <c r="I37" s="4">
        <f>IF(A37="","",$B$5)</f>
        <v>0.333</v>
      </c>
      <c r="J37" s="3">
        <f>IF(OR(A37="",B37=""),"",ROUND((B37+E37+F37+G37)/(1-H37-I37),-1))</f>
        <v>1010</v>
      </c>
      <c r="K37" s="3">
        <f>IF(J37="","",J37-B37-E37-F37-G37-(J37*H37))</f>
        <v>335</v>
      </c>
      <c r="L37" s="2">
        <f>IF(J37="","",K37/J37)</f>
        <v>0.3316831683168317</v>
      </c>
    </row>
    <row r="38">
      <c r="A38" t="str">
        <v>RJR010</v>
      </c>
      <c r="B38" s="3">
        <v>260</v>
      </c>
      <c r="C38" s="3" t="str">
        <v>NO</v>
      </c>
      <c r="D38" s="3">
        <f>IF(A38="","",$B$7/$B$6)</f>
        <v>25</v>
      </c>
      <c r="E38" s="3">
        <f>IF(A38="","",IF(C38="NO",0,IF(D38&lt;&gt;"",D38,$B$11)))</f>
        <v>0</v>
      </c>
      <c r="F38" s="3">
        <f>IF(A38="","",$B$7/$B$6)</f>
        <v>25</v>
      </c>
      <c r="G38" s="3">
        <f>IF(A38="","",($B$8-$B$9)/$B$6)</f>
        <v>0</v>
      </c>
      <c r="H38" s="4">
        <f>IF(A38="","",$B$10)</f>
        <v>0</v>
      </c>
      <c r="I38" s="4">
        <f>IF(A38="","",$B$5)</f>
        <v>0.333</v>
      </c>
      <c r="J38" s="3">
        <f>IF(OR(A38="",B38=""),"",ROUND((B38+E38+F38+G38)/(1-H38-I38),-1))</f>
        <v>430</v>
      </c>
      <c r="K38" s="3">
        <f>IF(J38="","",J38-B38-E38-F38-G38-(J38*H38))</f>
        <v>145</v>
      </c>
      <c r="L38" s="2">
        <f>IF(J38="","",K38/J38)</f>
        <v>0.3372093023255814</v>
      </c>
    </row>
    <row r="39">
      <c r="A39" t="str">
        <v>RJR011</v>
      </c>
      <c r="B39" s="3">
        <v>300</v>
      </c>
      <c r="C39" s="3" t="str">
        <v>NO</v>
      </c>
      <c r="D39" s="3">
        <f>IF(A39="","",$B$7/$B$6)</f>
        <v>25</v>
      </c>
      <c r="E39" s="3">
        <f>IF(A39="","",IF(C39="NO",0,IF(D39&lt;&gt;"",D39,$B$11)))</f>
        <v>0</v>
      </c>
      <c r="F39" s="3">
        <f>IF(A39="","",$B$7/$B$6)</f>
        <v>25</v>
      </c>
      <c r="G39" s="3">
        <f>IF(A39="","",($B$8-$B$9)/$B$6)</f>
        <v>0</v>
      </c>
      <c r="H39" s="4">
        <f>IF(A39="","",$B$10)</f>
        <v>0</v>
      </c>
      <c r="I39" s="4">
        <f>IF(A39="","",$B$5)</f>
        <v>0.333</v>
      </c>
      <c r="J39" s="3">
        <f>IF(OR(A39="",B39=""),"",ROUND((B39+E39+F39+G39)/(1-H39-I39),-1))</f>
        <v>490</v>
      </c>
      <c r="K39" s="3">
        <f>IF(J39="","",J39-B39-E39-F39-G39-(J39*H39))</f>
        <v>165</v>
      </c>
      <c r="L39" s="2">
        <f>IF(J39="","",K39/J39)</f>
        <v>0.336734693877551</v>
      </c>
    </row>
    <row r="40">
      <c r="A40" t="str">
        <v>RJR012</v>
      </c>
      <c r="B40" s="3">
        <v>300</v>
      </c>
      <c r="C40" s="3" t="str">
        <v>NO</v>
      </c>
      <c r="D40" s="3">
        <f>IF(A40="","",$B$7/$B$6)</f>
        <v>25</v>
      </c>
      <c r="E40" s="3">
        <f>IF(A40="","",IF(C40="NO",0,IF(D40&lt;&gt;"",D40,$B$11)))</f>
        <v>0</v>
      </c>
      <c r="F40" s="3">
        <f>IF(A40="","",$B$7/$B$6)</f>
        <v>25</v>
      </c>
      <c r="G40" s="3">
        <f>IF(A40="","",($B$8-$B$9)/$B$6)</f>
        <v>0</v>
      </c>
      <c r="H40" s="4">
        <f>IF(A40="","",$B$10)</f>
        <v>0</v>
      </c>
      <c r="I40" s="4">
        <f>IF(A40="","",$B$5)</f>
        <v>0.333</v>
      </c>
      <c r="J40" s="3">
        <f>IF(OR(A40="",B40=""),"",ROUND((B40+E40+F40+G40)/(1-H40-I40),-1))</f>
        <v>490</v>
      </c>
      <c r="K40" s="3">
        <f>IF(J40="","",J40-B40-E40-F40-G40-(J40*H40))</f>
        <v>165</v>
      </c>
      <c r="L40" s="2">
        <f>IF(J40="","",K40/J40)</f>
        <v>0.336734693877551</v>
      </c>
    </row>
    <row r="41">
      <c r="A41" t="str">
        <v>RJR013</v>
      </c>
      <c r="B41" s="3">
        <v>1100</v>
      </c>
      <c r="C41" s="3" t="str">
        <v>NO</v>
      </c>
      <c r="D41" s="3">
        <f>IF(A41="","",$B$7/$B$6)</f>
        <v>25</v>
      </c>
      <c r="E41" s="3">
        <f>IF(A41="","",IF(C41="NO",0,IF(D41&lt;&gt;"",D41,$B$11)))</f>
        <v>0</v>
      </c>
      <c r="F41" s="3">
        <f>IF(A41="","",$B$7/$B$6)</f>
        <v>25</v>
      </c>
      <c r="G41" s="3">
        <f>IF(A41="","",($B$8-$B$9)/$B$6)</f>
        <v>0</v>
      </c>
      <c r="H41" s="4">
        <f>IF(A41="","",$B$10)</f>
        <v>0</v>
      </c>
      <c r="I41" s="4">
        <f>IF(A41="","",$B$5)</f>
        <v>0.333</v>
      </c>
      <c r="J41" s="3">
        <f>IF(OR(A41="",B41=""),"",ROUND((B41+E41+F41+G41)/(1-H41-I41),-1))</f>
        <v>1690</v>
      </c>
      <c r="K41" s="3">
        <f>IF(J41="","",J41-B41-E41-F41-G41-(J41*H41))</f>
        <v>565</v>
      </c>
      <c r="L41" s="2">
        <f>IF(J41="","",K41/J41)</f>
        <v>0.3343195266272189</v>
      </c>
    </row>
    <row r="42">
      <c r="A42" t="str">
        <v>RJR014</v>
      </c>
      <c r="B42" s="3">
        <v>1700</v>
      </c>
      <c r="C42" s="3" t="str">
        <v>NO</v>
      </c>
      <c r="D42" s="3">
        <f>IF(A42="","",$B$7/$B$6)</f>
        <v>25</v>
      </c>
      <c r="E42" s="3">
        <f>IF(A42="","",IF(C42="NO",0,IF(D42&lt;&gt;"",D42,$B$11)))</f>
        <v>0</v>
      </c>
      <c r="F42" s="3">
        <f>IF(A42="","",$B$7/$B$6)</f>
        <v>25</v>
      </c>
      <c r="G42" s="3">
        <f>IF(A42="","",($B$8-$B$9)/$B$6)</f>
        <v>0</v>
      </c>
      <c r="H42" s="4">
        <f>IF(A42="","",$B$10)</f>
        <v>0</v>
      </c>
      <c r="I42" s="4">
        <f>IF(A42="","",$B$5)</f>
        <v>0.333</v>
      </c>
      <c r="J42" s="3">
        <f>IF(OR(A42="",B42=""),"",ROUND((B42+E42+F42+G42)/(1-H42-I42),-1))</f>
        <v>2590</v>
      </c>
      <c r="K42" s="3">
        <f>IF(J42="","",J42-B42-E42-F42-G42-(J42*H42))</f>
        <v>865</v>
      </c>
      <c r="L42" s="2">
        <f>IF(J42="","",K42/J42)</f>
        <v>0.333976833976834</v>
      </c>
    </row>
    <row r="43">
      <c r="A43" t="str">
        <v>RJR015</v>
      </c>
      <c r="B43" s="3">
        <v>600</v>
      </c>
      <c r="C43" s="3" t="str">
        <v>NO</v>
      </c>
      <c r="D43" s="3">
        <f>IF(A43="","",$B$7/$B$6)</f>
        <v>25</v>
      </c>
      <c r="E43" s="3">
        <f>IF(A43="","",IF(C43="NO",0,IF(D43&lt;&gt;"",D43,$B$11)))</f>
        <v>0</v>
      </c>
      <c r="F43" s="3">
        <f>IF(A43="","",$B$7/$B$6)</f>
        <v>25</v>
      </c>
      <c r="G43" s="3">
        <f>IF(A43="","",($B$8-$B$9)/$B$6)</f>
        <v>0</v>
      </c>
      <c r="H43" s="4">
        <f>IF(A43="","",$B$10)</f>
        <v>0</v>
      </c>
      <c r="I43" s="4">
        <f>IF(A43="","",$B$5)</f>
        <v>0.333</v>
      </c>
      <c r="J43" s="3">
        <f>IF(OR(A43="",B43=""),"",ROUND((B43+E43+F43+G43)/(1-H43-I43),-1))</f>
        <v>940</v>
      </c>
      <c r="K43" s="3">
        <f>IF(J43="","",J43-B43-E43-F43-G43-(J43*H43))</f>
        <v>315</v>
      </c>
      <c r="L43" s="2">
        <f>IF(J43="","",K43/J43)</f>
        <v>0.3351063829787234</v>
      </c>
    </row>
    <row r="44">
      <c r="A44" t="str">
        <v>TDP001</v>
      </c>
      <c r="B44" s="3">
        <v>1150</v>
      </c>
      <c r="C44" s="3" t="str">
        <v>NO</v>
      </c>
      <c r="D44" s="3">
        <f>IF(A44="","",$B$7/$B$6)</f>
        <v>25</v>
      </c>
      <c r="E44" s="3">
        <f>IF(A44="","",IF(C44="NO",0,IF(D44&lt;&gt;"",D44,$B$11)))</f>
        <v>0</v>
      </c>
      <c r="F44" s="3">
        <f>IF(A44="","",$B$7/$B$6)</f>
        <v>25</v>
      </c>
      <c r="G44" s="3">
        <f>IF(A44="","",($B$8-$B$9)/$B$6)</f>
        <v>0</v>
      </c>
      <c r="H44" s="4">
        <f>IF(A44="","",$B$10)</f>
        <v>0</v>
      </c>
      <c r="I44" s="4">
        <f>IF(A44="","",$B$5)</f>
        <v>0.333</v>
      </c>
      <c r="J44" s="3">
        <f>IF(OR(A44="",B44=""),"",ROUND((B44+E44+F44+G44)/(1-H44-I44),-1))</f>
        <v>1760</v>
      </c>
      <c r="K44" s="3">
        <f>IF(J44="","",J44-B44-E44-F44-G44-(J44*H44))</f>
        <v>585</v>
      </c>
      <c r="L44" s="2">
        <f>IF(J44="","",K44/J44)</f>
        <v>0.33238636363636365</v>
      </c>
    </row>
    <row r="45">
      <c r="A45" t="str">
        <v>TDP002</v>
      </c>
      <c r="B45" s="3">
        <v>1150</v>
      </c>
      <c r="C45" s="3" t="str">
        <v>NO</v>
      </c>
      <c r="D45" s="3">
        <f>IF(A45="","",$B$7/$B$6)</f>
        <v>25</v>
      </c>
      <c r="E45" s="3">
        <f>IF(A45="","",IF(C45="NO",0,IF(D45&lt;&gt;"",D45,$B$11)))</f>
        <v>0</v>
      </c>
      <c r="F45" s="3">
        <f>IF(A45="","",$B$7/$B$6)</f>
        <v>25</v>
      </c>
      <c r="G45" s="3">
        <f>IF(A45="","",($B$8-$B$9)/$B$6)</f>
        <v>0</v>
      </c>
      <c r="H45" s="4">
        <f>IF(A45="","",$B$10)</f>
        <v>0</v>
      </c>
      <c r="I45" s="4">
        <f>IF(A45="","",$B$5)</f>
        <v>0.333</v>
      </c>
      <c r="J45" s="3">
        <f>IF(OR(A45="",B45=""),"",ROUND((B45+E45+F45+G45)/(1-H45-I45),-1))</f>
        <v>1760</v>
      </c>
      <c r="K45" s="3">
        <f>IF(J45="","",J45-B45-E45-F45-G45-(J45*H45))</f>
        <v>585</v>
      </c>
      <c r="L45" s="2">
        <f>IF(J45="","",K45/J45)</f>
        <v>0.33238636363636365</v>
      </c>
    </row>
    <row r="46">
      <c r="A46" t="str">
        <v>TDP003</v>
      </c>
      <c r="B46" s="3">
        <v>1000</v>
      </c>
      <c r="C46" s="3" t="str">
        <v>NO</v>
      </c>
      <c r="D46" s="3">
        <f>IF(A46="","",$B$7/$B$6)</f>
        <v>25</v>
      </c>
      <c r="E46" s="3">
        <f>IF(A46="","",IF(C46="NO",0,IF(D46&lt;&gt;"",D46,$B$11)))</f>
        <v>0</v>
      </c>
      <c r="F46" s="3">
        <f>IF(A46="","",$B$7/$B$6)</f>
        <v>25</v>
      </c>
      <c r="G46" s="3">
        <f>IF(A46="","",($B$8-$B$9)/$B$6)</f>
        <v>0</v>
      </c>
      <c r="H46" s="4">
        <f>IF(A46="","",$B$10)</f>
        <v>0</v>
      </c>
      <c r="I46" s="4">
        <f>IF(A46="","",$B$5)</f>
        <v>0.333</v>
      </c>
      <c r="J46" s="3">
        <f>IF(OR(A46="",B46=""),"",ROUND((B46+E46+F46+G46)/(1-H46-I46),-1))</f>
        <v>1540</v>
      </c>
      <c r="K46" s="3">
        <f>IF(J46="","",J46-B46-E46-F46-G46-(J46*H46))</f>
        <v>515</v>
      </c>
      <c r="L46" s="2">
        <f>IF(J46="","",K46/J46)</f>
        <v>0.3344155844155844</v>
      </c>
    </row>
    <row r="47">
      <c r="A47" t="str">
        <v>TDP004</v>
      </c>
      <c r="B47" s="3">
        <v>650</v>
      </c>
      <c r="C47" s="3" t="str">
        <v>NO</v>
      </c>
      <c r="D47" s="3">
        <f>IF(A47="","",$B$7/$B$6)</f>
        <v>25</v>
      </c>
      <c r="E47" s="3">
        <f>IF(A47="","",IF(C47="NO",0,IF(D47&lt;&gt;"",D47,$B$11)))</f>
        <v>0</v>
      </c>
      <c r="F47" s="3">
        <f>IF(A47="","",$B$7/$B$6)</f>
        <v>25</v>
      </c>
      <c r="G47" s="3">
        <f>IF(A47="","",($B$8-$B$9)/$B$6)</f>
        <v>0</v>
      </c>
      <c r="H47" s="4">
        <f>IF(A47="","",$B$10)</f>
        <v>0</v>
      </c>
      <c r="I47" s="4">
        <f>IF(A47="","",$B$5)</f>
        <v>0.333</v>
      </c>
      <c r="J47" s="3">
        <f>IF(OR(A47="",B47=""),"",ROUND((B47+E47+F47+G47)/(1-H47-I47),-1))</f>
        <v>1010</v>
      </c>
      <c r="K47" s="3">
        <f>IF(J47="","",J47-B47-E47-F47-G47-(J47*H47))</f>
        <v>335</v>
      </c>
      <c r="L47" s="2">
        <f>IF(J47="","",K47/J47)</f>
        <v>0.3316831683168317</v>
      </c>
    </row>
    <row r="48">
      <c r="A48" t="str">
        <v>TDP005</v>
      </c>
      <c r="B48" s="3">
        <v>1300</v>
      </c>
      <c r="C48" s="3" t="str">
        <v>NO</v>
      </c>
      <c r="D48" s="3">
        <f>IF(A48="","",$B$7/$B$6)</f>
        <v>25</v>
      </c>
      <c r="E48" s="3">
        <f>IF(A48="","",IF(C48="NO",0,IF(D48&lt;&gt;"",D48,$B$11)))</f>
        <v>0</v>
      </c>
      <c r="F48" s="3">
        <f>IF(A48="","",$B$7/$B$6)</f>
        <v>25</v>
      </c>
      <c r="G48" s="3">
        <f>IF(A48="","",($B$8-$B$9)/$B$6)</f>
        <v>0</v>
      </c>
      <c r="H48" s="4">
        <f>IF(A48="","",$B$10)</f>
        <v>0</v>
      </c>
      <c r="I48" s="4">
        <f>IF(A48="","",$B$5)</f>
        <v>0.333</v>
      </c>
      <c r="J48" s="3">
        <f>IF(OR(A48="",B48=""),"",ROUND((B48+E48+F48+G48)/(1-H48-I48),-1))</f>
        <v>1990</v>
      </c>
      <c r="K48" s="3">
        <f>IF(J48="","",J48-B48-E48-F48-G48-(J48*H48))</f>
        <v>665</v>
      </c>
      <c r="L48" s="2">
        <f>IF(J48="","",K48/J48)</f>
        <v>0.3341708542713568</v>
      </c>
    </row>
    <row r="49">
      <c r="A49" t="str">
        <v>TDP006</v>
      </c>
      <c r="C49" s="3" t="str">
        <v>NO</v>
      </c>
      <c r="D49" s="3">
        <f>IF(A49="","",$B$7/$B$6)</f>
        <v>25</v>
      </c>
      <c r="E49" s="3">
        <f>IF(A49="","",IF(C49="NO",0,IF(D49&lt;&gt;"",D49,$B$11)))</f>
        <v>0</v>
      </c>
      <c r="F49" s="3">
        <f>IF(A49="","",$B$7/$B$6)</f>
        <v>25</v>
      </c>
      <c r="G49" s="3">
        <f>IF(A49="","",($B$8-$B$9)/$B$6)</f>
        <v>0</v>
      </c>
      <c r="H49" s="4">
        <f>IF(A49="","",$B$10)</f>
        <v>0</v>
      </c>
      <c r="I49" s="4">
        <f>IF(A49="","",$B$5)</f>
        <v>0.333</v>
      </c>
      <c r="J49" s="3" t="str">
        <f>IF(OR(A49="",B49=""),"",ROUND((B49+E49+F49+G49)/(1-H49-I49),-1))</f>
        <v/>
      </c>
      <c r="K49" s="3" t="str">
        <f>IF(J49="","",J49-B49-E49-F49-G49-(J49*H49))</f>
        <v/>
      </c>
      <c r="L49" s="2" t="str">
        <f>IF(J49="","",K49/J49)</f>
        <v/>
      </c>
    </row>
    <row r="50">
      <c r="A50" t="str">
        <v>TDP007</v>
      </c>
      <c r="B50" s="3">
        <v>1100</v>
      </c>
      <c r="C50" s="3" t="str">
        <v>NO</v>
      </c>
      <c r="D50" s="3">
        <f>IF(A50="","",$B$7/$B$6)</f>
        <v>25</v>
      </c>
      <c r="E50" s="3">
        <f>IF(A50="","",IF(C50="NO",0,IF(D50&lt;&gt;"",D50,$B$11)))</f>
        <v>0</v>
      </c>
      <c r="F50" s="3">
        <f>IF(A50="","",$B$7/$B$6)</f>
        <v>25</v>
      </c>
      <c r="G50" s="3">
        <f>IF(A50="","",($B$8-$B$9)/$B$6)</f>
        <v>0</v>
      </c>
      <c r="H50" s="4">
        <f>IF(A50="","",$B$10)</f>
        <v>0</v>
      </c>
      <c r="I50" s="4">
        <f>IF(A50="","",$B$5)</f>
        <v>0.333</v>
      </c>
      <c r="J50" s="3">
        <f>IF(OR(A50="",B50=""),"",ROUND((B50+E50+F50+G50)/(1-H50-I50),-1))</f>
        <v>1690</v>
      </c>
      <c r="K50" s="3">
        <f>IF(J50="","",J50-B50-E50-F50-G50-(J50*H50))</f>
        <v>565</v>
      </c>
      <c r="L50" s="2">
        <f>IF(J50="","",K50/J50)</f>
        <v>0.3343195266272189</v>
      </c>
    </row>
    <row r="51">
      <c r="A51" t="str">
        <v>TDP008</v>
      </c>
      <c r="B51" s="3">
        <v>1150</v>
      </c>
      <c r="C51" s="3" t="str">
        <v>NO</v>
      </c>
      <c r="D51" s="3">
        <f>IF(A51="","",$B$7/$B$6)</f>
        <v>25</v>
      </c>
      <c r="E51" s="3">
        <f>IF(A51="","",IF(C51="NO",0,IF(D51&lt;&gt;"",D51,$B$11)))</f>
        <v>0</v>
      </c>
      <c r="F51" s="3">
        <f>IF(A51="","",$B$7/$B$6)</f>
        <v>25</v>
      </c>
      <c r="G51" s="3">
        <f>IF(A51="","",($B$8-$B$9)/$B$6)</f>
        <v>0</v>
      </c>
      <c r="H51" s="4">
        <f>IF(A51="","",$B$10)</f>
        <v>0</v>
      </c>
      <c r="I51" s="4">
        <f>IF(A51="","",$B$5)</f>
        <v>0.333</v>
      </c>
      <c r="J51" s="3">
        <f>IF(OR(A51="",B51=""),"",ROUND((B51+E51+F51+G51)/(1-H51-I51),-1))</f>
        <v>1760</v>
      </c>
      <c r="K51" s="3">
        <f>IF(J51="","",J51-B51-E51-F51-G51-(J51*H51))</f>
        <v>585</v>
      </c>
      <c r="L51" s="2">
        <f>IF(J51="","",K51/J51)</f>
        <v>0.33238636363636365</v>
      </c>
    </row>
    <row r="52">
      <c r="A52" t="str">
        <v>EYE001</v>
      </c>
      <c r="B52" s="3">
        <v>5100</v>
      </c>
      <c r="C52" s="3" t="str">
        <v>NO</v>
      </c>
      <c r="D52" s="3">
        <f>IF(A52="","",$B$7/$B$6)</f>
        <v>25</v>
      </c>
      <c r="E52" s="3">
        <f>IF(A52="","",IF(C52="NO",0,IF(D52&lt;&gt;"",D52,$B$11)))</f>
        <v>0</v>
      </c>
      <c r="F52" s="3">
        <f>IF(A52="","",$B$7/$B$6)</f>
        <v>25</v>
      </c>
      <c r="G52" s="3">
        <f>IF(A52="","",($B$8-$B$9)/$B$6)</f>
        <v>0</v>
      </c>
      <c r="H52" s="4">
        <f>IF(A52="","",$B$10)</f>
        <v>0</v>
      </c>
      <c r="I52" s="4">
        <f>IF(A52="","",$B$5)</f>
        <v>0.333</v>
      </c>
      <c r="J52" s="3">
        <f>IF(OR(A52="",B52=""),"",ROUND((B52+E52+F52+G52)/(1-H52-I52),-1))</f>
        <v>7680</v>
      </c>
      <c r="K52" s="3">
        <f>IF(J52="","",J52-B52-E52-F52-G52-(J52*H52))</f>
        <v>2555</v>
      </c>
      <c r="L52" s="2">
        <f>IF(J52="","",K52/J52)</f>
        <v>0.3326822916666667</v>
      </c>
    </row>
    <row r="53">
      <c r="A53" t="str">
        <v>EYE002</v>
      </c>
      <c r="B53" s="3">
        <v>7200</v>
      </c>
      <c r="C53" s="3" t="str">
        <v>NO</v>
      </c>
      <c r="D53" s="3">
        <f>IF(A53="","",$B$7/$B$6)</f>
        <v>25</v>
      </c>
      <c r="E53" s="3">
        <f>IF(A53="","",IF(C53="NO",0,IF(D53&lt;&gt;"",D53,$B$11)))</f>
        <v>0</v>
      </c>
      <c r="F53" s="3">
        <f>IF(A53="","",$B$7/$B$6)</f>
        <v>25</v>
      </c>
      <c r="G53" s="3">
        <f>IF(A53="","",($B$8-$B$9)/$B$6)</f>
        <v>0</v>
      </c>
      <c r="H53" s="4">
        <f>IF(A53="","",$B$10)</f>
        <v>0</v>
      </c>
      <c r="I53" s="4">
        <f>IF(A53="","",$B$5)</f>
        <v>0.333</v>
      </c>
      <c r="J53" s="3">
        <f>IF(OR(A53="",B53=""),"",ROUND((B53+E53+F53+G53)/(1-H53-I53),-1))</f>
        <v>10830</v>
      </c>
      <c r="K53" s="3">
        <f>IF(J53="","",J53-B53-E53-F53-G53-(J53*H53))</f>
        <v>3605</v>
      </c>
      <c r="L53" s="2">
        <f>IF(J53="","",K53/J53)</f>
        <v>0.33287165281625114</v>
      </c>
    </row>
    <row r="54">
      <c r="A54" t="str">
        <v>EYE003</v>
      </c>
      <c r="B54" s="3">
        <v>8900</v>
      </c>
      <c r="C54" s="3" t="str">
        <v>NO</v>
      </c>
      <c r="D54" s="3">
        <f>IF(A54="","",$B$7/$B$6)</f>
        <v>25</v>
      </c>
      <c r="E54" s="3">
        <f>IF(A54="","",IF(C54="NO",0,IF(D54&lt;&gt;"",D54,$B$11)))</f>
        <v>0</v>
      </c>
      <c r="F54" s="3">
        <f>IF(A54="","",$B$7/$B$6)</f>
        <v>25</v>
      </c>
      <c r="G54" s="3">
        <f>IF(A54="","",($B$8-$B$9)/$B$6)</f>
        <v>0</v>
      </c>
      <c r="H54" s="4">
        <f>IF(A54="","",$B$10)</f>
        <v>0</v>
      </c>
      <c r="I54" s="4">
        <f>IF(A54="","",$B$5)</f>
        <v>0.333</v>
      </c>
      <c r="J54" s="3">
        <f>IF(OR(A54="",B54=""),"",ROUND((B54+E54+F54+G54)/(1-H54-I54),-1))</f>
        <v>13380</v>
      </c>
      <c r="K54" s="3">
        <f>IF(J54="","",J54-B54-E54-F54-G54-(J54*H54))</f>
        <v>4455</v>
      </c>
      <c r="L54" s="2">
        <f>IF(J54="","",K54/J54)</f>
        <v>0.3329596412556054</v>
      </c>
    </row>
    <row r="55">
      <c r="A55" t="str">
        <v>EYE004</v>
      </c>
      <c r="B55" s="3">
        <v>11500</v>
      </c>
      <c r="C55" s="3" t="str">
        <v>NO</v>
      </c>
      <c r="D55" s="3">
        <f>IF(A55="","",$B$7/$B$6)</f>
        <v>25</v>
      </c>
      <c r="E55" s="3">
        <f>IF(A55="","",IF(C55="NO",0,IF(D55&lt;&gt;"",D55,$B$11)))</f>
        <v>0</v>
      </c>
      <c r="F55" s="3">
        <f>IF(A55="","",$B$7/$B$6)</f>
        <v>25</v>
      </c>
      <c r="G55" s="3">
        <f>IF(A55="","",($B$8-$B$9)/$B$6)</f>
        <v>0</v>
      </c>
      <c r="H55" s="4">
        <f>IF(A55="","",$B$10)</f>
        <v>0</v>
      </c>
      <c r="I55" s="4">
        <f>IF(A55="","",$B$5)</f>
        <v>0.333</v>
      </c>
      <c r="J55" s="3">
        <f>IF(OR(A55="",B55=""),"",ROUND((B55+E55+F55+G55)/(1-H55-I55),-1))</f>
        <v>17280</v>
      </c>
      <c r="K55" s="3">
        <f>IF(J55="","",J55-B55-E55-F55-G55-(J55*H55))</f>
        <v>5755</v>
      </c>
      <c r="L55" s="2">
        <f>IF(J55="","",K55/J55)</f>
        <v>0.33304398148148145</v>
      </c>
    </row>
    <row r="56">
      <c r="A56" t="str">
        <v>EYE005</v>
      </c>
      <c r="B56" s="3">
        <v>6200</v>
      </c>
      <c r="C56" s="3" t="str">
        <v>NO</v>
      </c>
      <c r="D56" s="3">
        <f>IF(A56="","",$B$7/$B$6)</f>
        <v>25</v>
      </c>
      <c r="E56" s="3">
        <f>IF(A56="","",IF(C56="NO",0,IF(D56&lt;&gt;"",D56,$B$11)))</f>
        <v>0</v>
      </c>
      <c r="F56" s="3">
        <f>IF(A56="","",$B$7/$B$6)</f>
        <v>25</v>
      </c>
      <c r="G56" s="3">
        <f>IF(A56="","",($B$8-$B$9)/$B$6)</f>
        <v>0</v>
      </c>
      <c r="H56" s="4">
        <f>IF(A56="","",$B$10)</f>
        <v>0</v>
      </c>
      <c r="I56" s="4">
        <f>IF(A56="","",$B$5)</f>
        <v>0.333</v>
      </c>
      <c r="J56" s="3">
        <f>IF(OR(A56="",B56=""),"",ROUND((B56+E56+F56+G56)/(1-H56-I56),-1))</f>
        <v>9330</v>
      </c>
      <c r="K56" s="3">
        <f>IF(J56="","",J56-B56-E56-F56-G56-(J56*H56))</f>
        <v>3105</v>
      </c>
      <c r="L56" s="2">
        <f>IF(J56="","",K56/J56)</f>
        <v>0.3327974276527331</v>
      </c>
    </row>
    <row r="57">
      <c r="A57" t="str">
        <v>EYE006</v>
      </c>
      <c r="B57" s="3">
        <v>7100</v>
      </c>
      <c r="C57" s="3" t="str">
        <v>NO</v>
      </c>
      <c r="D57" s="3">
        <f>IF(A57="","",$B$7/$B$6)</f>
        <v>25</v>
      </c>
      <c r="E57" s="3">
        <f>IF(A57="","",IF(C57="NO",0,IF(D57&lt;&gt;"",D57,$B$11)))</f>
        <v>0</v>
      </c>
      <c r="F57" s="3">
        <f>IF(A57="","",$B$7/$B$6)</f>
        <v>25</v>
      </c>
      <c r="G57" s="3">
        <f>IF(A57="","",($B$8-$B$9)/$B$6)</f>
        <v>0</v>
      </c>
      <c r="H57" s="4">
        <f>IF(A57="","",$B$10)</f>
        <v>0</v>
      </c>
      <c r="I57" s="4">
        <f>IF(A57="","",$B$5)</f>
        <v>0.333</v>
      </c>
      <c r="J57" s="3">
        <f>IF(OR(A57="",B57=""),"",ROUND((B57+E57+F57+G57)/(1-H57-I57),-1))</f>
        <v>10680</v>
      </c>
      <c r="K57" s="3">
        <f>IF(J57="","",J57-B57-E57-F57-G57-(J57*H57))</f>
        <v>3555</v>
      </c>
      <c r="L57" s="2">
        <f>IF(J57="","",K57/J57)</f>
        <v>0.33286516853932585</v>
      </c>
    </row>
    <row r="58">
      <c r="A58" t="str">
        <v>EYE007</v>
      </c>
      <c r="B58" s="3">
        <v>5500</v>
      </c>
      <c r="C58" s="3" t="str">
        <v>NO</v>
      </c>
      <c r="D58" s="3">
        <f>IF(A58="","",$B$7/$B$6)</f>
        <v>25</v>
      </c>
      <c r="E58" s="3">
        <f>IF(A58="","",IF(C58="NO",0,IF(D58&lt;&gt;"",D58,$B$11)))</f>
        <v>0</v>
      </c>
      <c r="F58" s="3">
        <f>IF(A58="","",$B$7/$B$6)</f>
        <v>25</v>
      </c>
      <c r="G58" s="3">
        <f>IF(A58="","",($B$8-$B$9)/$B$6)</f>
        <v>0</v>
      </c>
      <c r="H58" s="4">
        <f>IF(A58="","",$B$10)</f>
        <v>0</v>
      </c>
      <c r="I58" s="4">
        <f>IF(A58="","",$B$5)</f>
        <v>0.333</v>
      </c>
      <c r="J58" s="3">
        <f>IF(OR(A58="",B58=""),"",ROUND((B58+E58+F58+G58)/(1-H58-I58),-1))</f>
        <v>8280</v>
      </c>
      <c r="K58" s="3">
        <f>IF(J58="","",J58-B58-E58-F58-G58-(J58*H58))</f>
        <v>2755</v>
      </c>
      <c r="L58" s="2">
        <f>IF(J58="","",K58/J58)</f>
        <v>0.3327294685990338</v>
      </c>
    </row>
    <row r="59">
      <c r="A59" t="str">
        <v>EYE008</v>
      </c>
      <c r="B59" s="3">
        <v>7000</v>
      </c>
      <c r="C59" s="3" t="str">
        <v>NO</v>
      </c>
      <c r="D59" s="3">
        <f>IF(A59="","",$B$7/$B$6)</f>
        <v>25</v>
      </c>
      <c r="E59" s="3">
        <f>IF(A59="","",IF(C59="NO",0,IF(D59&lt;&gt;"",D59,$B$11)))</f>
        <v>0</v>
      </c>
      <c r="F59" s="3">
        <f>IF(A59="","",$B$7/$B$6)</f>
        <v>25</v>
      </c>
      <c r="G59" s="3">
        <f>IF(A59="","",($B$8-$B$9)/$B$6)</f>
        <v>0</v>
      </c>
      <c r="H59" s="4">
        <f>IF(A59="","",$B$10)</f>
        <v>0</v>
      </c>
      <c r="I59" s="4">
        <f>IF(A59="","",$B$5)</f>
        <v>0.333</v>
      </c>
      <c r="J59" s="3">
        <f>IF(OR(A59="",B59=""),"",ROUND((B59+E59+F59+G59)/(1-H59-I59),-1))</f>
        <v>10530</v>
      </c>
      <c r="K59" s="3">
        <f>IF(J59="","",J59-B59-E59-F59-G59-(J59*H59))</f>
        <v>3505</v>
      </c>
      <c r="L59" s="2">
        <f>IF(J59="","",K59/J59)</f>
        <v>0.3328584995251662</v>
      </c>
    </row>
    <row r="60">
      <c r="A60" t="str">
        <v>EYE009</v>
      </c>
      <c r="B60" s="3">
        <v>8000</v>
      </c>
      <c r="C60" s="3" t="str">
        <v>NO</v>
      </c>
      <c r="D60" s="3">
        <f>IF(A60="","",$B$7/$B$6)</f>
        <v>25</v>
      </c>
      <c r="E60" s="3">
        <f>IF(A60="","",IF(C60="NO",0,IF(D60&lt;&gt;"",D60,$B$11)))</f>
        <v>0</v>
      </c>
      <c r="F60" s="3">
        <f>IF(A60="","",$B$7/$B$6)</f>
        <v>25</v>
      </c>
      <c r="G60" s="3">
        <f>IF(A60="","",($B$8-$B$9)/$B$6)</f>
        <v>0</v>
      </c>
      <c r="H60" s="4">
        <f>IF(A60="","",$B$10)</f>
        <v>0</v>
      </c>
      <c r="I60" s="4">
        <f>IF(A60="","",$B$5)</f>
        <v>0.333</v>
      </c>
      <c r="J60" s="3">
        <f>IF(OR(A60="",B60=""),"",ROUND((B60+E60+F60+G60)/(1-H60-I60),-1))</f>
        <v>12030</v>
      </c>
      <c r="K60" s="3">
        <f>IF(J60="","",J60-B60-E60-F60-G60-(J60*H60))</f>
        <v>4005</v>
      </c>
      <c r="L60" s="2">
        <f>IF(J60="","",K60/J60)</f>
        <v>0.3329177057356609</v>
      </c>
    </row>
    <row r="61">
      <c r="A61" t="str">
        <v>EYE010</v>
      </c>
      <c r="B61" s="3">
        <v>9900</v>
      </c>
      <c r="C61" s="3" t="str">
        <v>NO</v>
      </c>
      <c r="D61" s="3">
        <f>IF(A61="","",$B$7/$B$6)</f>
        <v>25</v>
      </c>
      <c r="E61" s="3">
        <f>IF(A61="","",IF(C61="NO",0,IF(D61&lt;&gt;"",D61,$B$11)))</f>
        <v>0</v>
      </c>
      <c r="F61" s="3">
        <f>IF(A61="","",$B$7/$B$6)</f>
        <v>25</v>
      </c>
      <c r="G61" s="3">
        <f>IF(A61="","",($B$8-$B$9)/$B$6)</f>
        <v>0</v>
      </c>
      <c r="H61" s="4">
        <f>IF(A61="","",$B$10)</f>
        <v>0</v>
      </c>
      <c r="I61" s="4">
        <f>IF(A61="","",$B$5)</f>
        <v>0.333</v>
      </c>
      <c r="J61" s="3">
        <f>IF(OR(A61="",B61=""),"",ROUND((B61+E61+F61+G61)/(1-H61-I61),-1))</f>
        <v>14880</v>
      </c>
      <c r="K61" s="3">
        <f>IF(J61="","",J61-B61-E61-F61-G61-(J61*H61))</f>
        <v>4955</v>
      </c>
      <c r="L61" s="2">
        <f>IF(J61="","",K61/J61)</f>
        <v>0.332997311827957</v>
      </c>
    </row>
    <row r="62">
      <c r="A62" t="str">
        <v>EYE011</v>
      </c>
      <c r="B62" s="3">
        <v>1800</v>
      </c>
      <c r="C62" s="3" t="str">
        <v>NO</v>
      </c>
      <c r="D62" s="3">
        <f>IF(A62="","",$B$7/$B$6)</f>
        <v>25</v>
      </c>
      <c r="E62" s="3">
        <f>IF(A62="","",IF(C62="NO",0,IF(D62&lt;&gt;"",D62,$B$11)))</f>
        <v>0</v>
      </c>
      <c r="F62" s="3">
        <f>IF(A62="","",$B$7/$B$6)</f>
        <v>25</v>
      </c>
      <c r="G62" s="3">
        <f>IF(A62="","",($B$8-$B$9)/$B$6)</f>
        <v>0</v>
      </c>
      <c r="H62" s="4">
        <f>IF(A62="","",$B$10)</f>
        <v>0</v>
      </c>
      <c r="I62" s="4">
        <f>IF(A62="","",$B$5)</f>
        <v>0.333</v>
      </c>
      <c r="J62" s="3">
        <f>IF(OR(A62="",B62=""),"",ROUND((B62+E62+F62+G62)/(1-H62-I62),-1))</f>
        <v>2740</v>
      </c>
      <c r="K62" s="3">
        <f>IF(J62="","",J62-B62-E62-F62-G62-(J62*H62))</f>
        <v>915</v>
      </c>
      <c r="L62" s="2">
        <f>IF(J62="","",K62/J62)</f>
        <v>0.33394160583941607</v>
      </c>
    </row>
    <row r="63">
      <c r="A63" t="str">
        <v>EYE012</v>
      </c>
      <c r="B63" s="3">
        <v>2900</v>
      </c>
      <c r="C63" s="3" t="str">
        <v>NO</v>
      </c>
      <c r="D63" s="3">
        <f>IF(A63="","",$B$7/$B$6)</f>
        <v>25</v>
      </c>
      <c r="E63" s="3">
        <f>IF(A63="","",IF(C63="NO",0,IF(D63&lt;&gt;"",D63,$B$11)))</f>
        <v>0</v>
      </c>
      <c r="F63" s="3">
        <f>IF(A63="","",$B$7/$B$6)</f>
        <v>25</v>
      </c>
      <c r="G63" s="3">
        <f>IF(A63="","",($B$8-$B$9)/$B$6)</f>
        <v>0</v>
      </c>
      <c r="H63" s="4">
        <f>IF(A63="","",$B$10)</f>
        <v>0</v>
      </c>
      <c r="I63" s="4">
        <f>IF(A63="","",$B$5)</f>
        <v>0.333</v>
      </c>
      <c r="J63" s="3">
        <f>IF(OR(A63="",B63=""),"",ROUND((B63+E63+F63+G63)/(1-H63-I63),-1))</f>
        <v>4390</v>
      </c>
      <c r="K63" s="3">
        <f>IF(J63="","",J63-B63-E63-F63-G63-(J63*H63))</f>
        <v>1465</v>
      </c>
      <c r="L63" s="2">
        <f>IF(J63="","",K63/J63)</f>
        <v>0.3337129840546697</v>
      </c>
    </row>
    <row r="64">
      <c r="A64" t="str">
        <v>EYE013</v>
      </c>
      <c r="B64" s="3">
        <v>6500</v>
      </c>
      <c r="C64" s="3" t="str">
        <v>NO</v>
      </c>
      <c r="D64" s="3">
        <f>IF(A64="","",$B$7/$B$6)</f>
        <v>25</v>
      </c>
      <c r="E64" s="3">
        <f>IF(A64="","",IF(C64="NO",0,IF(D64&lt;&gt;"",D64,$B$11)))</f>
        <v>0</v>
      </c>
      <c r="F64" s="3">
        <f>IF(A64="","",$B$7/$B$6)</f>
        <v>25</v>
      </c>
      <c r="G64" s="3">
        <f>IF(A64="","",($B$8-$B$9)/$B$6)</f>
        <v>0</v>
      </c>
      <c r="H64" s="4">
        <f>IF(A64="","",$B$10)</f>
        <v>0</v>
      </c>
      <c r="I64" s="4">
        <f>IF(A64="","",$B$5)</f>
        <v>0.333</v>
      </c>
      <c r="J64" s="3">
        <f>IF(OR(A64="",B64=""),"",ROUND((B64+E64+F64+G64)/(1-H64-I64),-1))</f>
        <v>9780</v>
      </c>
      <c r="K64" s="3">
        <f>IF(J64="","",J64-B64-E64-F64-G64-(J64*H64))</f>
        <v>3255</v>
      </c>
      <c r="L64" s="2">
        <f>IF(J64="","",K64/J64)</f>
        <v>0.3328220858895706</v>
      </c>
    </row>
    <row r="65">
      <c r="A65" t="str">
        <v>EYE014</v>
      </c>
      <c r="B65" s="3">
        <v>2000</v>
      </c>
      <c r="C65" s="3" t="str">
        <v>NO</v>
      </c>
      <c r="D65" s="3">
        <f>IF(A65="","",$B$7/$B$6)</f>
        <v>25</v>
      </c>
      <c r="E65" s="3">
        <f>IF(A65="","",IF(C65="NO",0,IF(D65&lt;&gt;"",D65,$B$11)))</f>
        <v>0</v>
      </c>
      <c r="F65" s="3">
        <f>IF(A65="","",$B$7/$B$6)</f>
        <v>25</v>
      </c>
      <c r="G65" s="3">
        <f>IF(A65="","",($B$8-$B$9)/$B$6)</f>
        <v>0</v>
      </c>
      <c r="H65" s="4">
        <f>IF(A65="","",$B$10)</f>
        <v>0</v>
      </c>
      <c r="I65" s="4">
        <f>IF(A65="","",$B$5)</f>
        <v>0.333</v>
      </c>
      <c r="J65" s="3">
        <f>IF(OR(A65="",B65=""),"",ROUND((B65+E65+F65+G65)/(1-H65-I65),-1))</f>
        <v>3040</v>
      </c>
      <c r="K65" s="3">
        <f>IF(J65="","",J65-B65-E65-F65-G65-(J65*H65))</f>
        <v>1015</v>
      </c>
      <c r="L65" s="2">
        <f>IF(J65="","",K65/J65)</f>
        <v>0.3338815789473684</v>
      </c>
    </row>
    <row r="66">
      <c r="A66" t="str">
        <v>EYE015</v>
      </c>
      <c r="B66" s="3">
        <v>2600</v>
      </c>
      <c r="C66" s="3" t="str">
        <v>NO</v>
      </c>
      <c r="D66" s="3">
        <f>IF(A66="","",$B$7/$B$6)</f>
        <v>25</v>
      </c>
      <c r="E66" s="3">
        <f>IF(A66="","",IF(C66="NO",0,IF(D66&lt;&gt;"",D66,$B$11)))</f>
        <v>0</v>
      </c>
      <c r="F66" s="3">
        <f>IF(A66="","",$B$7/$B$6)</f>
        <v>25</v>
      </c>
      <c r="G66" s="3">
        <f>IF(A66="","",($B$8-$B$9)/$B$6)</f>
        <v>0</v>
      </c>
      <c r="H66" s="4">
        <f>IF(A66="","",$B$10)</f>
        <v>0</v>
      </c>
      <c r="I66" s="4">
        <f>IF(A66="","",$B$5)</f>
        <v>0.333</v>
      </c>
      <c r="J66" s="3">
        <f>IF(OR(A66="",B66=""),"",ROUND((B66+E66+F66+G66)/(1-H66-I66),-1))</f>
        <v>3940</v>
      </c>
      <c r="K66" s="3">
        <f>IF(J66="","",J66-B66-E66-F66-G66-(J66*H66))</f>
        <v>1315</v>
      </c>
      <c r="L66" s="2">
        <f>IF(J66="","",K66/J66)</f>
        <v>0.33375634517766495</v>
      </c>
    </row>
    <row r="67">
      <c r="A67" t="str">
        <v>EYE016</v>
      </c>
      <c r="B67" s="3">
        <v>2000</v>
      </c>
      <c r="C67" s="3" t="str">
        <v>NO</v>
      </c>
      <c r="D67" s="3">
        <f>IF(A67="","",$B$7/$B$6)</f>
        <v>25</v>
      </c>
      <c r="E67" s="3">
        <f>IF(A67="","",IF(C67="NO",0,IF(D67&lt;&gt;"",D67,$B$11)))</f>
        <v>0</v>
      </c>
      <c r="F67" s="3">
        <f>IF(A67="","",$B$7/$B$6)</f>
        <v>25</v>
      </c>
      <c r="G67" s="3">
        <f>IF(A67="","",($B$8-$B$9)/$B$6)</f>
        <v>0</v>
      </c>
      <c r="H67" s="4">
        <f>IF(A67="","",$B$10)</f>
        <v>0</v>
      </c>
      <c r="I67" s="4">
        <f>IF(A67="","",$B$5)</f>
        <v>0.333</v>
      </c>
      <c r="J67" s="3">
        <f>IF(OR(A67="",B67=""),"",ROUND((B67+E67+F67+G67)/(1-H67-I67),-1))</f>
        <v>3040</v>
      </c>
      <c r="K67" s="3">
        <f>IF(J67="","",J67-B67-E67-F67-G67-(J67*H67))</f>
        <v>1015</v>
      </c>
      <c r="L67" s="2">
        <f>IF(J67="","",K67/J67)</f>
        <v>0.3338815789473684</v>
      </c>
    </row>
    <row r="68">
      <c r="A68" t="str">
        <v>EYE017</v>
      </c>
      <c r="B68" s="3">
        <v>9100</v>
      </c>
      <c r="C68" s="3" t="str">
        <v>NO</v>
      </c>
      <c r="D68" s="3">
        <f>IF(A68="","",$B$7/$B$6)</f>
        <v>25</v>
      </c>
      <c r="E68" s="3">
        <f>IF(A68="","",IF(C68="NO",0,IF(D68&lt;&gt;"",D68,$B$11)))</f>
        <v>0</v>
      </c>
      <c r="F68" s="3">
        <f>IF(A68="","",$B$7/$B$6)</f>
        <v>25</v>
      </c>
      <c r="G68" s="3">
        <f>IF(A68="","",($B$8-$B$9)/$B$6)</f>
        <v>0</v>
      </c>
      <c r="H68" s="4">
        <f>IF(A68="","",$B$10)</f>
        <v>0</v>
      </c>
      <c r="I68" s="4">
        <f>IF(A68="","",$B$5)</f>
        <v>0.333</v>
      </c>
      <c r="J68" s="3">
        <f>IF(OR(A68="",B68=""),"",ROUND((B68+E68+F68+G68)/(1-H68-I68),-1))</f>
        <v>13680</v>
      </c>
      <c r="K68" s="3">
        <f>IF(J68="","",J68-B68-E68-F68-G68-(J68*H68))</f>
        <v>4555</v>
      </c>
      <c r="L68" s="2">
        <f>IF(J68="","",K68/J68)</f>
        <v>0.33296783625730997</v>
      </c>
    </row>
    <row r="69">
      <c r="A69" t="str">
        <v>EYE018</v>
      </c>
      <c r="B69" s="3">
        <v>3000</v>
      </c>
      <c r="C69" s="3" t="str">
        <v>NO</v>
      </c>
      <c r="D69" s="3">
        <f>IF(A69="","",$B$7/$B$6)</f>
        <v>25</v>
      </c>
      <c r="E69" s="3">
        <f>IF(A69="","",IF(C69="NO",0,IF(D69&lt;&gt;"",D69,$B$11)))</f>
        <v>0</v>
      </c>
      <c r="F69" s="3">
        <f>IF(A69="","",$B$7/$B$6)</f>
        <v>25</v>
      </c>
      <c r="G69" s="3">
        <f>IF(A69="","",($B$8-$B$9)/$B$6)</f>
        <v>0</v>
      </c>
      <c r="H69" s="4">
        <f>IF(A69="","",$B$10)</f>
        <v>0</v>
      </c>
      <c r="I69" s="4">
        <f>IF(A69="","",$B$5)</f>
        <v>0.333</v>
      </c>
      <c r="J69" s="3">
        <f>IF(OR(A69="",B69=""),"",ROUND((B69+E69+F69+G69)/(1-H69-I69),-1))</f>
        <v>4540</v>
      </c>
      <c r="K69" s="3">
        <f>IF(J69="","",J69-B69-E69-F69-G69-(J69*H69))</f>
        <v>1515</v>
      </c>
      <c r="L69" s="2">
        <f>IF(J69="","",K69/J69)</f>
        <v>0.33370044052863435</v>
      </c>
    </row>
    <row r="70">
      <c r="A70" t="str">
        <v>EYE019</v>
      </c>
      <c r="B70" s="3">
        <v>3000</v>
      </c>
      <c r="C70" s="3" t="str">
        <v>NO</v>
      </c>
      <c r="D70" s="3">
        <f>IF(A70="","",$B$7/$B$6)</f>
        <v>25</v>
      </c>
      <c r="E70" s="3">
        <f>IF(A70="","",IF(C70="NO",0,IF(D70&lt;&gt;"",D70,$B$11)))</f>
        <v>0</v>
      </c>
      <c r="F70" s="3">
        <f>IF(A70="","",$B$7/$B$6)</f>
        <v>25</v>
      </c>
      <c r="G70" s="3">
        <f>IF(A70="","",($B$8-$B$9)/$B$6)</f>
        <v>0</v>
      </c>
      <c r="H70" s="4">
        <f>IF(A70="","",$B$10)</f>
        <v>0</v>
      </c>
      <c r="I70" s="4">
        <f>IF(A70="","",$B$5)</f>
        <v>0.333</v>
      </c>
      <c r="J70" s="3">
        <f>IF(OR(A70="",B70=""),"",ROUND((B70+E70+F70+G70)/(1-H70-I70),-1))</f>
        <v>4540</v>
      </c>
      <c r="K70" s="3">
        <f>IF(J70="","",J70-B70-E70-F70-G70-(J70*H70))</f>
        <v>1515</v>
      </c>
      <c r="L70" s="2">
        <f>IF(J70="","",K70/J70)</f>
        <v>0.33370044052863435</v>
      </c>
    </row>
    <row r="71">
      <c r="A71" t="str">
        <v>EYE020</v>
      </c>
      <c r="B71" s="3">
        <v>4200</v>
      </c>
      <c r="C71" s="3" t="str">
        <v>NO</v>
      </c>
      <c r="D71" s="3">
        <f>IF(A71="","",$B$7/$B$6)</f>
        <v>25</v>
      </c>
      <c r="E71" s="3">
        <f>IF(A71="","",IF(C71="NO",0,IF(D71&lt;&gt;"",D71,$B$11)))</f>
        <v>0</v>
      </c>
      <c r="F71" s="3">
        <f>IF(A71="","",$B$7/$B$6)</f>
        <v>25</v>
      </c>
      <c r="G71" s="3">
        <f>IF(A71="","",($B$8-$B$9)/$B$6)</f>
        <v>0</v>
      </c>
      <c r="H71" s="4">
        <f>IF(A71="","",$B$10)</f>
        <v>0</v>
      </c>
      <c r="I71" s="4">
        <f>IF(A71="","",$B$5)</f>
        <v>0.333</v>
      </c>
      <c r="J71" s="3">
        <f>IF(OR(A71="",B71=""),"",ROUND((B71+E71+F71+G71)/(1-H71-I71),-1))</f>
        <v>6330</v>
      </c>
      <c r="K71" s="3">
        <f>IF(J71="","",J71-B71-E71-F71-G71-(J71*H71))</f>
        <v>2105</v>
      </c>
      <c r="L71" s="2">
        <f>IF(J71="","",K71/J71)</f>
        <v>0.3325434439178515</v>
      </c>
    </row>
    <row r="72">
      <c r="A72" t="str">
        <v>EYE021</v>
      </c>
      <c r="B72" s="3">
        <v>3100</v>
      </c>
      <c r="C72" s="3" t="str">
        <v>NO</v>
      </c>
      <c r="D72" s="3">
        <f>IF(A72="","",$B$7/$B$6)</f>
        <v>25</v>
      </c>
      <c r="E72" s="3">
        <f>IF(A72="","",IF(C72="NO",0,IF(D72&lt;&gt;"",D72,$B$11)))</f>
        <v>0</v>
      </c>
      <c r="F72" s="3">
        <f>IF(A72="","",$B$7/$B$6)</f>
        <v>25</v>
      </c>
      <c r="G72" s="3">
        <f>IF(A72="","",($B$8-$B$9)/$B$6)</f>
        <v>0</v>
      </c>
      <c r="H72" s="4">
        <f>IF(A72="","",$B$10)</f>
        <v>0</v>
      </c>
      <c r="I72" s="4">
        <f>IF(A72="","",$B$5)</f>
        <v>0.333</v>
      </c>
      <c r="J72" s="3">
        <f>IF(OR(A72="",B72=""),"",ROUND((B72+E72+F72+G72)/(1-H72-I72),-1))</f>
        <v>4690</v>
      </c>
      <c r="K72" s="3">
        <f>IF(J72="","",J72-B72-E72-F72-G72-(J72*H72))</f>
        <v>1565</v>
      </c>
      <c r="L72" s="2">
        <f>IF(J72="","",K72/J72)</f>
        <v>0.3336886993603412</v>
      </c>
    </row>
    <row r="73">
      <c r="A73" t="str">
        <v>EYE022</v>
      </c>
      <c r="B73" s="3">
        <v>4000</v>
      </c>
      <c r="C73" s="3" t="str">
        <v>NO</v>
      </c>
      <c r="D73" s="3">
        <f>IF(A73="","",$B$7/$B$6)</f>
        <v>25</v>
      </c>
      <c r="E73" s="3">
        <f>IF(A73="","",IF(C73="NO",0,IF(D73&lt;&gt;"",D73,$B$11)))</f>
        <v>0</v>
      </c>
      <c r="F73" s="3">
        <f>IF(A73="","",$B$7/$B$6)</f>
        <v>25</v>
      </c>
      <c r="G73" s="3">
        <f>IF(A73="","",($B$8-$B$9)/$B$6)</f>
        <v>0</v>
      </c>
      <c r="H73" s="4">
        <f>IF(A73="","",$B$10)</f>
        <v>0</v>
      </c>
      <c r="I73" s="4">
        <f>IF(A73="","",$B$5)</f>
        <v>0.333</v>
      </c>
      <c r="J73" s="3">
        <f>IF(OR(A73="",B73=""),"",ROUND((B73+E73+F73+G73)/(1-H73-I73),-1))</f>
        <v>6030</v>
      </c>
      <c r="K73" s="3">
        <f>IF(J73="","",J73-B73-E73-F73-G73-(J73*H73))</f>
        <v>2005</v>
      </c>
      <c r="L73" s="2">
        <f>IF(J73="","",K73/J73)</f>
        <v>0.33250414593698174</v>
      </c>
    </row>
    <row r="74">
      <c r="A74" t="str">
        <v>EYE023</v>
      </c>
      <c r="B74" s="3">
        <v>2000</v>
      </c>
      <c r="C74" s="3" t="str">
        <v>NO</v>
      </c>
      <c r="D74" s="3">
        <f>IF(A74="","",$B$7/$B$6)</f>
        <v>25</v>
      </c>
      <c r="E74" s="3">
        <f>IF(A74="","",IF(C74="NO",0,IF(D74&lt;&gt;"",D74,$B$11)))</f>
        <v>0</v>
      </c>
      <c r="F74" s="3">
        <f>IF(A74="","",$B$7/$B$6)</f>
        <v>25</v>
      </c>
      <c r="G74" s="3">
        <f>IF(A74="","",($B$8-$B$9)/$B$6)</f>
        <v>0</v>
      </c>
      <c r="H74" s="4">
        <f>IF(A74="","",$B$10)</f>
        <v>0</v>
      </c>
      <c r="I74" s="4">
        <f>IF(A74="","",$B$5)</f>
        <v>0.333</v>
      </c>
      <c r="J74" s="3">
        <f>IF(OR(A74="",B74=""),"",ROUND((B74+E74+F74+G74)/(1-H74-I74),-1))</f>
        <v>3040</v>
      </c>
      <c r="K74" s="3">
        <f>IF(J74="","",J74-B74-E74-F74-G74-(J74*H74))</f>
        <v>1015</v>
      </c>
      <c r="L74" s="2">
        <f>IF(J74="","",K74/J74)</f>
        <v>0.3338815789473684</v>
      </c>
    </row>
    <row r="75">
      <c r="A75" t="str">
        <v>EYE024</v>
      </c>
      <c r="B75" s="3">
        <v>7500</v>
      </c>
      <c r="C75" s="3" t="str">
        <v>NO</v>
      </c>
      <c r="D75" s="3">
        <f>IF(A75="","",$B$7/$B$6)</f>
        <v>25</v>
      </c>
      <c r="E75" s="3">
        <f>IF(A75="","",IF(C75="NO",0,IF(D75&lt;&gt;"",D75,$B$11)))</f>
        <v>0</v>
      </c>
      <c r="F75" s="3">
        <f>IF(A75="","",$B$7/$B$6)</f>
        <v>25</v>
      </c>
      <c r="G75" s="3">
        <f>IF(A75="","",($B$8-$B$9)/$B$6)</f>
        <v>0</v>
      </c>
      <c r="H75" s="4">
        <f>IF(A75="","",$B$10)</f>
        <v>0</v>
      </c>
      <c r="I75" s="4">
        <f>IF(A75="","",$B$5)</f>
        <v>0.333</v>
      </c>
      <c r="J75" s="3">
        <f>IF(OR(A75="",B75=""),"",ROUND((B75+E75+F75+G75)/(1-H75-I75),-1))</f>
        <v>11280</v>
      </c>
      <c r="K75" s="3">
        <f>IF(J75="","",J75-B75-E75-F75-G75-(J75*H75))</f>
        <v>3755</v>
      </c>
      <c r="L75" s="2">
        <f>IF(J75="","",K75/J75)</f>
        <v>0.3328900709219858</v>
      </c>
    </row>
    <row r="76">
      <c r="A76" t="str">
        <v>EYE025</v>
      </c>
      <c r="B76" s="3">
        <v>5700</v>
      </c>
      <c r="C76" s="3" t="str">
        <v>NO</v>
      </c>
      <c r="D76" s="3">
        <f>IF(A76="","",$B$7/$B$6)</f>
        <v>25</v>
      </c>
      <c r="E76" s="3">
        <f>IF(A76="","",IF(C76="NO",0,IF(D76&lt;&gt;"",D76,$B$11)))</f>
        <v>0</v>
      </c>
      <c r="F76" s="3">
        <f>IF(A76="","",$B$7/$B$6)</f>
        <v>25</v>
      </c>
      <c r="G76" s="3">
        <f>IF(A76="","",($B$8-$B$9)/$B$6)</f>
        <v>0</v>
      </c>
      <c r="H76" s="4">
        <f>IF(A76="","",$B$10)</f>
        <v>0</v>
      </c>
      <c r="I76" s="4">
        <f>IF(A76="","",$B$5)</f>
        <v>0.333</v>
      </c>
      <c r="J76" s="3">
        <f>IF(OR(A76="",B76=""),"",ROUND((B76+E76+F76+G76)/(1-H76-I76),-1))</f>
        <v>8580</v>
      </c>
      <c r="K76" s="3">
        <f>IF(J76="","",J76-B76-E76-F76-G76-(J76*H76))</f>
        <v>2855</v>
      </c>
      <c r="L76" s="2">
        <f>IF(J76="","",K76/J76)</f>
        <v>0.3327505827505827</v>
      </c>
    </row>
    <row r="77">
      <c r="A77" t="str">
        <v>EYE026</v>
      </c>
      <c r="B77" s="3">
        <v>5000</v>
      </c>
      <c r="C77" s="3" t="str">
        <v>NO</v>
      </c>
      <c r="D77" s="3">
        <f>IF(A77="","",$B$7/$B$6)</f>
        <v>25</v>
      </c>
      <c r="E77" s="3">
        <f>IF(A77="","",IF(C77="NO",0,IF(D77&lt;&gt;"",D77,$B$11)))</f>
        <v>0</v>
      </c>
      <c r="F77" s="3">
        <f>IF(A77="","",$B$7/$B$6)</f>
        <v>25</v>
      </c>
      <c r="G77" s="3">
        <f>IF(A77="","",($B$8-$B$9)/$B$6)</f>
        <v>0</v>
      </c>
      <c r="H77" s="4">
        <f>IF(A77="","",$B$10)</f>
        <v>0</v>
      </c>
      <c r="I77" s="4">
        <f>IF(A77="","",$B$5)</f>
        <v>0.333</v>
      </c>
      <c r="J77" s="3">
        <f>IF(OR(A77="",B77=""),"",ROUND((B77+E77+F77+G77)/(1-H77-I77),-1))</f>
        <v>7530</v>
      </c>
      <c r="K77" s="3">
        <f>IF(J77="","",J77-B77-E77-F77-G77-(J77*H77))</f>
        <v>2505</v>
      </c>
      <c r="L77" s="2">
        <f>IF(J77="","",K77/J77)</f>
        <v>0.33266932270916333</v>
      </c>
    </row>
    <row r="78">
      <c r="A78" t="str">
        <v>EYE027</v>
      </c>
      <c r="B78" s="3">
        <v>1600</v>
      </c>
      <c r="C78" s="3" t="str">
        <v>NO</v>
      </c>
      <c r="D78" s="3">
        <f>IF(A78="","",$B$7/$B$6)</f>
        <v>25</v>
      </c>
      <c r="E78" s="3">
        <f>IF(A78="","",IF(C78="NO",0,IF(D78&lt;&gt;"",D78,$B$11)))</f>
        <v>0</v>
      </c>
      <c r="F78" s="3">
        <f>IF(A78="","",$B$7/$B$6)</f>
        <v>25</v>
      </c>
      <c r="G78" s="3">
        <f>IF(A78="","",($B$8-$B$9)/$B$6)</f>
        <v>0</v>
      </c>
      <c r="H78" s="4">
        <f>IF(A78="","",$B$10)</f>
        <v>0</v>
      </c>
      <c r="I78" s="4">
        <f>IF(A78="","",$B$5)</f>
        <v>0.333</v>
      </c>
      <c r="J78" s="3">
        <f>IF(OR(A78="",B78=""),"",ROUND((B78+E78+F78+G78)/(1-H78-I78),-1))</f>
        <v>2440</v>
      </c>
      <c r="K78" s="3">
        <f>IF(J78="","",J78-B78-E78-F78-G78-(J78*H78))</f>
        <v>815</v>
      </c>
      <c r="L78" s="2">
        <f>IF(J78="","",K78/J78)</f>
        <v>0.33401639344262296</v>
      </c>
    </row>
    <row r="79">
      <c r="A79" t="str">
        <v>EYE028</v>
      </c>
      <c r="B79" s="3">
        <v>4400</v>
      </c>
      <c r="C79" s="3" t="str">
        <v>NO</v>
      </c>
      <c r="D79" s="3">
        <f>IF(A79="","",$B$7/$B$6)</f>
        <v>25</v>
      </c>
      <c r="E79" s="3">
        <f>IF(A79="","",IF(C79="NO",0,IF(D79&lt;&gt;"",D79,$B$11)))</f>
        <v>0</v>
      </c>
      <c r="F79" s="3">
        <f>IF(A79="","",$B$7/$B$6)</f>
        <v>25</v>
      </c>
      <c r="G79" s="3">
        <f>IF(A79="","",($B$8-$B$9)/$B$6)</f>
        <v>0</v>
      </c>
      <c r="H79" s="4">
        <f>IF(A79="","",$B$10)</f>
        <v>0</v>
      </c>
      <c r="I79" s="4">
        <f>IF(A79="","",$B$5)</f>
        <v>0.333</v>
      </c>
      <c r="J79" s="3">
        <f>IF(OR(A79="",B79=""),"",ROUND((B79+E79+F79+G79)/(1-H79-I79),-1))</f>
        <v>6630</v>
      </c>
      <c r="K79" s="3">
        <f>IF(J79="","",J79-B79-E79-F79-G79-(J79*H79))</f>
        <v>2205</v>
      </c>
      <c r="L79" s="2">
        <f>IF(J79="","",K79/J79)</f>
        <v>0.332579185520362</v>
      </c>
    </row>
    <row r="80">
      <c r="A80" t="str">
        <v>EYE029</v>
      </c>
      <c r="B80" s="3">
        <v>4300</v>
      </c>
      <c r="C80" s="3" t="str">
        <v>NO</v>
      </c>
      <c r="D80" s="3">
        <f>IF(A80="","",$B$7/$B$6)</f>
        <v>25</v>
      </c>
      <c r="E80" s="3">
        <f>IF(A80="","",IF(C80="NO",0,IF(D80&lt;&gt;"",D80,$B$11)))</f>
        <v>0</v>
      </c>
      <c r="F80" s="3">
        <f>IF(A80="","",$B$7/$B$6)</f>
        <v>25</v>
      </c>
      <c r="G80" s="3">
        <f>IF(A80="","",($B$8-$B$9)/$B$6)</f>
        <v>0</v>
      </c>
      <c r="H80" s="4">
        <f>IF(A80="","",$B$10)</f>
        <v>0</v>
      </c>
      <c r="I80" s="4">
        <f>IF(A80="","",$B$5)</f>
        <v>0.333</v>
      </c>
      <c r="J80" s="3">
        <f>IF(OR(A80="",B80=""),"",ROUND((B80+E80+F80+G80)/(1-H80-I80),-1))</f>
        <v>6480</v>
      </c>
      <c r="K80" s="3">
        <f>IF(J80="","",J80-B80-E80-F80-G80-(J80*H80))</f>
        <v>2155</v>
      </c>
      <c r="L80" s="2">
        <f>IF(J80="","",K80/J80)</f>
        <v>0.3325617283950617</v>
      </c>
    </row>
    <row r="81">
      <c r="A81" t="str">
        <v>EYE030</v>
      </c>
      <c r="B81" s="3">
        <v>2200</v>
      </c>
      <c r="C81" s="3" t="str">
        <v>NO</v>
      </c>
      <c r="D81" s="3">
        <f>IF(A81="","",$B$7/$B$6)</f>
        <v>25</v>
      </c>
      <c r="E81" s="3">
        <f>IF(A81="","",IF(C81="NO",0,IF(D81&lt;&gt;"",D81,$B$11)))</f>
        <v>0</v>
      </c>
      <c r="F81" s="3">
        <f>IF(A81="","",$B$7/$B$6)</f>
        <v>25</v>
      </c>
      <c r="G81" s="3">
        <f>IF(A81="","",($B$8-$B$9)/$B$6)</f>
        <v>0</v>
      </c>
      <c r="H81" s="4">
        <f>IF(A81="","",$B$10)</f>
        <v>0</v>
      </c>
      <c r="I81" s="4">
        <f>IF(A81="","",$B$5)</f>
        <v>0.333</v>
      </c>
      <c r="J81" s="3">
        <f>IF(OR(A81="",B81=""),"",ROUND((B81+E81+F81+G81)/(1-H81-I81),-1))</f>
        <v>3340</v>
      </c>
      <c r="K81" s="3">
        <f>IF(J81="","",J81-B81-E81-F81-G81-(J81*H81))</f>
        <v>1115</v>
      </c>
      <c r="L81" s="2">
        <f>IF(J81="","",K81/J81)</f>
        <v>0.3338323353293413</v>
      </c>
    </row>
    <row r="82">
      <c r="A82" t="str">
        <v>EYE031</v>
      </c>
      <c r="B82" s="3">
        <v>1900</v>
      </c>
      <c r="C82" s="3" t="str">
        <v>NO</v>
      </c>
      <c r="D82" s="3">
        <f>IF(A82="","",$B$7/$B$6)</f>
        <v>25</v>
      </c>
      <c r="E82" s="3">
        <f>IF(A82="","",IF(C82="NO",0,IF(D82&lt;&gt;"",D82,$B$11)))</f>
        <v>0</v>
      </c>
      <c r="F82" s="3">
        <f>IF(A82="","",$B$7/$B$6)</f>
        <v>25</v>
      </c>
      <c r="G82" s="3">
        <f>IF(A82="","",($B$8-$B$9)/$B$6)</f>
        <v>0</v>
      </c>
      <c r="H82" s="4">
        <f>IF(A82="","",$B$10)</f>
        <v>0</v>
      </c>
      <c r="I82" s="4">
        <f>IF(A82="","",$B$5)</f>
        <v>0.333</v>
      </c>
      <c r="J82" s="3">
        <f>IF(OR(A82="",B82=""),"",ROUND((B82+E82+F82+G82)/(1-H82-I82),-1))</f>
        <v>2890</v>
      </c>
      <c r="K82" s="3">
        <f>IF(J82="","",J82-B82-E82-F82-G82-(J82*H82))</f>
        <v>965</v>
      </c>
      <c r="L82" s="2">
        <f>IF(J82="","",K82/J82)</f>
        <v>0.33391003460207613</v>
      </c>
    </row>
    <row r="83">
      <c r="A83" t="str">
        <v>EYE032</v>
      </c>
      <c r="B83" s="3">
        <v>4500</v>
      </c>
      <c r="C83" s="3" t="str">
        <v>NO</v>
      </c>
      <c r="D83" s="3">
        <f>IF(A83="","",$B$7/$B$6)</f>
        <v>25</v>
      </c>
      <c r="E83" s="3">
        <f>IF(A83="","",IF(C83="NO",0,IF(D83&lt;&gt;"",D83,$B$11)))</f>
        <v>0</v>
      </c>
      <c r="F83" s="3">
        <f>IF(A83="","",$B$7/$B$6)</f>
        <v>25</v>
      </c>
      <c r="G83" s="3">
        <f>IF(A83="","",($B$8-$B$9)/$B$6)</f>
        <v>0</v>
      </c>
      <c r="H83" s="4">
        <f>IF(A83="","",$B$10)</f>
        <v>0</v>
      </c>
      <c r="I83" s="4">
        <f>IF(A83="","",$B$5)</f>
        <v>0.333</v>
      </c>
      <c r="J83" s="3">
        <f>IF(OR(A83="",B83=""),"",ROUND((B83+E83+F83+G83)/(1-H83-I83),-1))</f>
        <v>6780</v>
      </c>
      <c r="K83" s="3">
        <f>IF(J83="","",J83-B83-E83-F83-G83-(J83*H83))</f>
        <v>2255</v>
      </c>
      <c r="L83" s="2">
        <f>IF(J83="","",K83/J83)</f>
        <v>0.3325958702064897</v>
      </c>
    </row>
    <row r="84">
      <c r="A84" t="str">
        <v>EYE033</v>
      </c>
      <c r="B84" s="3">
        <v>2700</v>
      </c>
      <c r="C84" s="3" t="str">
        <v>NO</v>
      </c>
      <c r="D84" s="3">
        <f>IF(A84="","",$B$7/$B$6)</f>
        <v>25</v>
      </c>
      <c r="E84" s="3">
        <f>IF(A84="","",IF(C84="NO",0,IF(D84&lt;&gt;"",D84,$B$11)))</f>
        <v>0</v>
      </c>
      <c r="F84" s="3">
        <f>IF(A84="","",$B$7/$B$6)</f>
        <v>25</v>
      </c>
      <c r="G84" s="3">
        <f>IF(A84="","",($B$8-$B$9)/$B$6)</f>
        <v>0</v>
      </c>
      <c r="H84" s="4">
        <f>IF(A84="","",$B$10)</f>
        <v>0</v>
      </c>
      <c r="I84" s="4">
        <f>IF(A84="","",$B$5)</f>
        <v>0.333</v>
      </c>
      <c r="J84" s="3">
        <f>IF(OR(A84="",B84=""),"",ROUND((B84+E84+F84+G84)/(1-H84-I84),-1))</f>
        <v>4090</v>
      </c>
      <c r="K84" s="3">
        <f>IF(J84="","",J84-B84-E84-F84-G84-(J84*H84))</f>
        <v>1365</v>
      </c>
      <c r="L84" s="2">
        <f>IF(J84="","",K84/J84)</f>
        <v>0.33374083129584353</v>
      </c>
    </row>
    <row r="85">
      <c r="A85" t="str">
        <v>EYE034</v>
      </c>
      <c r="B85" s="3">
        <v>2600</v>
      </c>
      <c r="C85" s="3" t="str">
        <v>NO</v>
      </c>
      <c r="D85" s="3">
        <f>IF(A85="","",$B$7/$B$6)</f>
        <v>25</v>
      </c>
      <c r="E85" s="3">
        <f>IF(A85="","",IF(C85="NO",0,IF(D85&lt;&gt;"",D85,$B$11)))</f>
        <v>0</v>
      </c>
      <c r="F85" s="3">
        <f>IF(A85="","",$B$7/$B$6)</f>
        <v>25</v>
      </c>
      <c r="G85" s="3">
        <f>IF(A85="","",($B$8-$B$9)/$B$6)</f>
        <v>0</v>
      </c>
      <c r="H85" s="4">
        <f>IF(A85="","",$B$10)</f>
        <v>0</v>
      </c>
      <c r="I85" s="4">
        <f>IF(A85="","",$B$5)</f>
        <v>0.333</v>
      </c>
      <c r="J85" s="3">
        <f>IF(OR(A85="",B85=""),"",ROUND((B85+E85+F85+G85)/(1-H85-I85),-1))</f>
        <v>3940</v>
      </c>
      <c r="K85" s="3">
        <f>IF(J85="","",J85-B85-E85-F85-G85-(J85*H85))</f>
        <v>1315</v>
      </c>
      <c r="L85" s="2">
        <f>IF(J85="","",K85/J85)</f>
        <v>0.33375634517766495</v>
      </c>
    </row>
    <row r="86">
      <c r="A86" t="str">
        <v>EYE035</v>
      </c>
      <c r="B86" s="3">
        <v>3700</v>
      </c>
      <c r="C86" s="3" t="str">
        <v>NO</v>
      </c>
      <c r="D86" s="3">
        <f>IF(A86="","",$B$7/$B$6)</f>
        <v>25</v>
      </c>
      <c r="E86" s="3">
        <f>IF(A86="","",IF(C86="NO",0,IF(D86&lt;&gt;"",D86,$B$11)))</f>
        <v>0</v>
      </c>
      <c r="F86" s="3">
        <f>IF(A86="","",$B$7/$B$6)</f>
        <v>25</v>
      </c>
      <c r="G86" s="3">
        <f>IF(A86="","",($B$8-$B$9)/$B$6)</f>
        <v>0</v>
      </c>
      <c r="H86" s="4">
        <f>IF(A86="","",$B$10)</f>
        <v>0</v>
      </c>
      <c r="I86" s="4">
        <f>IF(A86="","",$B$5)</f>
        <v>0.333</v>
      </c>
      <c r="J86" s="3">
        <f>IF(OR(A86="",B86=""),"",ROUND((B86+E86+F86+G86)/(1-H86-I86),-1))</f>
        <v>5580</v>
      </c>
      <c r="K86" s="3">
        <f>IF(J86="","",J86-B86-E86-F86-G86-(J86*H86))</f>
        <v>1855</v>
      </c>
      <c r="L86" s="2">
        <f>IF(J86="","",K86/J86)</f>
        <v>0.3324372759856631</v>
      </c>
    </row>
    <row r="87">
      <c r="A87" t="str">
        <v>EYE036</v>
      </c>
      <c r="B87" s="3">
        <v>4000</v>
      </c>
      <c r="C87" s="3" t="str">
        <v>NO</v>
      </c>
      <c r="D87" s="3">
        <f>IF(A87="","",$B$7/$B$6)</f>
        <v>25</v>
      </c>
      <c r="E87" s="3">
        <f>IF(A87="","",IF(C87="NO",0,IF(D87&lt;&gt;"",D87,$B$11)))</f>
        <v>0</v>
      </c>
      <c r="F87" s="3">
        <f>IF(A87="","",$B$7/$B$6)</f>
        <v>25</v>
      </c>
      <c r="G87" s="3">
        <f>IF(A87="","",($B$8-$B$9)/$B$6)</f>
        <v>0</v>
      </c>
      <c r="H87" s="4">
        <f>IF(A87="","",$B$10)</f>
        <v>0</v>
      </c>
      <c r="I87" s="4">
        <f>IF(A87="","",$B$5)</f>
        <v>0.333</v>
      </c>
      <c r="J87" s="3">
        <f>IF(OR(A87="",B87=""),"",ROUND((B87+E87+F87+G87)/(1-H87-I87),-1))</f>
        <v>6030</v>
      </c>
      <c r="K87" s="3">
        <f>IF(J87="","",J87-B87-E87-F87-G87-(J87*H87))</f>
        <v>2005</v>
      </c>
      <c r="L87" s="2">
        <f>IF(J87="","",K87/J87)</f>
        <v>0.33250414593698174</v>
      </c>
    </row>
    <row r="88">
      <c r="A88" t="str">
        <v>EYE037</v>
      </c>
      <c r="B88" s="3">
        <v>4900</v>
      </c>
      <c r="C88" s="3" t="str">
        <v>NO</v>
      </c>
      <c r="D88" s="3">
        <f>IF(A88="","",$B$7/$B$6)</f>
        <v>25</v>
      </c>
      <c r="E88" s="3">
        <f>IF(A88="","",IF(C88="NO",0,IF(D88&lt;&gt;"",D88,$B$11)))</f>
        <v>0</v>
      </c>
      <c r="F88" s="3">
        <f>IF(A88="","",$B$7/$B$6)</f>
        <v>25</v>
      </c>
      <c r="G88" s="3">
        <f>IF(A88="","",($B$8-$B$9)/$B$6)</f>
        <v>0</v>
      </c>
      <c r="H88" s="4">
        <f>IF(A88="","",$B$10)</f>
        <v>0</v>
      </c>
      <c r="I88" s="4">
        <f>IF(A88="","",$B$5)</f>
        <v>0.333</v>
      </c>
      <c r="J88" s="3">
        <f>IF(OR(A88="",B88=""),"",ROUND((B88+E88+F88+G88)/(1-H88-I88),-1))</f>
        <v>7380</v>
      </c>
      <c r="K88" s="3">
        <f>IF(J88="","",J88-B88-E88-F88-G88-(J88*H88))</f>
        <v>2455</v>
      </c>
      <c r="L88" s="2">
        <f>IF(J88="","",K88/J88)</f>
        <v>0.3326558265582656</v>
      </c>
    </row>
    <row r="89">
      <c r="A89" t="str">
        <v>EYE038</v>
      </c>
      <c r="B89" s="3">
        <v>2200</v>
      </c>
      <c r="C89" s="3" t="str">
        <v>NO</v>
      </c>
      <c r="D89" s="3">
        <f>IF(A89="","",$B$7/$B$6)</f>
        <v>25</v>
      </c>
      <c r="E89" s="3">
        <f>IF(A89="","",IF(C89="NO",0,IF(D89&lt;&gt;"",D89,$B$11)))</f>
        <v>0</v>
      </c>
      <c r="F89" s="3">
        <f>IF(A89="","",$B$7/$B$6)</f>
        <v>25</v>
      </c>
      <c r="G89" s="3">
        <f>IF(A89="","",($B$8-$B$9)/$B$6)</f>
        <v>0</v>
      </c>
      <c r="H89" s="4">
        <f>IF(A89="","",$B$10)</f>
        <v>0</v>
      </c>
      <c r="I89" s="4">
        <f>IF(A89="","",$B$5)</f>
        <v>0.333</v>
      </c>
      <c r="J89" s="3">
        <f>IF(OR(A89="",B89=""),"",ROUND((B89+E89+F89+G89)/(1-H89-I89),-1))</f>
        <v>3340</v>
      </c>
      <c r="K89" s="3">
        <f>IF(J89="","",J89-B89-E89-F89-G89-(J89*H89))</f>
        <v>1115</v>
      </c>
      <c r="L89" s="2">
        <f>IF(J89="","",K89/J89)</f>
        <v>0.3338323353293413</v>
      </c>
    </row>
    <row r="90">
      <c r="A90" t="str">
        <v>AUT001</v>
      </c>
      <c r="B90" s="3">
        <v>1900</v>
      </c>
      <c r="C90" s="3" t="str">
        <v>NO</v>
      </c>
      <c r="D90" s="3">
        <f>IF(A90="","",$B$7/$B$6)</f>
        <v>25</v>
      </c>
      <c r="E90" s="3">
        <f>IF(A90="","",IF(C90="NO",0,IF(D90&lt;&gt;"",D90,$B$11)))</f>
        <v>0</v>
      </c>
      <c r="F90" s="3">
        <f>IF(A90="","",$B$7/$B$6)</f>
        <v>25</v>
      </c>
      <c r="G90" s="3">
        <f>IF(A90="","",($B$8-$B$9)/$B$6)</f>
        <v>0</v>
      </c>
      <c r="H90" s="4">
        <f>IF(A90="","",$B$10)</f>
        <v>0</v>
      </c>
      <c r="I90" s="4">
        <f>IF(A90="","",$B$5)</f>
        <v>0.333</v>
      </c>
      <c r="J90" s="3">
        <f>IF(OR(A90="",B90=""),"",ROUND((B90+E90+F90+G90)/(1-H90-I90),-1))</f>
        <v>2890</v>
      </c>
      <c r="K90" s="3">
        <f>IF(J90="","",J90-B90-E90-F90-G90-(J90*H90))</f>
        <v>965</v>
      </c>
      <c r="L90" s="2">
        <f>IF(J90="","",K90/J90)</f>
        <v>0.33391003460207613</v>
      </c>
    </row>
    <row r="91">
      <c r="A91" t="str">
        <v>AUT002</v>
      </c>
      <c r="B91" s="3">
        <v>800</v>
      </c>
      <c r="C91" s="3" t="str">
        <v>NO</v>
      </c>
      <c r="D91" s="3">
        <f>IF(A91="","",$B$7/$B$6)</f>
        <v>25</v>
      </c>
      <c r="E91" s="3">
        <f>IF(A91="","",IF(C91="NO",0,IF(D91&lt;&gt;"",D91,$B$11)))</f>
        <v>0</v>
      </c>
      <c r="F91" s="3">
        <f>IF(A91="","",$B$7/$B$6)</f>
        <v>25</v>
      </c>
      <c r="G91" s="3">
        <f>IF(A91="","",($B$8-$B$9)/$B$6)</f>
        <v>0</v>
      </c>
      <c r="H91" s="4">
        <f>IF(A91="","",$B$10)</f>
        <v>0</v>
      </c>
      <c r="I91" s="4">
        <f>IF(A91="","",$B$5)</f>
        <v>0.333</v>
      </c>
      <c r="J91" s="3">
        <f>IF(OR(A91="",B91=""),"",ROUND((B91+E91+F91+G91)/(1-H91-I91),-1))</f>
        <v>1240</v>
      </c>
      <c r="K91" s="3">
        <f>IF(J91="","",J91-B91-E91-F91-G91-(J91*H91))</f>
        <v>415</v>
      </c>
      <c r="L91" s="2">
        <f>IF(J91="","",K91/J91)</f>
        <v>0.3346774193548387</v>
      </c>
    </row>
    <row r="92">
      <c r="A92" t="str">
        <v>AUT003</v>
      </c>
      <c r="B92" s="3">
        <v>5000</v>
      </c>
      <c r="C92" s="3" t="str">
        <v>SÍ</v>
      </c>
      <c r="D92" s="3">
        <v>1000</v>
      </c>
      <c r="E92" s="3">
        <f>IF(A92="","",IF(C92="NO",0,IF(D92&lt;&gt;"",D92,$B$11)))</f>
        <v>1000</v>
      </c>
      <c r="F92" s="3">
        <f>IF(A92="","",$B$7/$B$6)</f>
        <v>25</v>
      </c>
      <c r="G92" s="3">
        <f>IF(A92="","",($B$8-$B$9)/$B$6)</f>
        <v>0</v>
      </c>
      <c r="H92" s="4">
        <f>IF(A92="","",$B$10)</f>
        <v>0</v>
      </c>
      <c r="I92" s="4">
        <f>IF(A92="","",$B$5)</f>
        <v>0.333</v>
      </c>
      <c r="J92" s="3">
        <f>IF(OR(A92="",B92=""),"",ROUND((B92+E92+F92+G92)/(1-H92-I92),-1))</f>
        <v>9030</v>
      </c>
      <c r="K92" s="3">
        <f>IF(J92="","",J92-B92-E92-F92-G92-(J92*H92))</f>
        <v>3005</v>
      </c>
      <c r="L92" s="2">
        <f>IF(J92="","",K92/J92)</f>
        <v>0.3327796234772979</v>
      </c>
    </row>
    <row r="93">
      <c r="A93" t="str">
        <v>AUT004</v>
      </c>
      <c r="B93" s="3">
        <v>4100</v>
      </c>
      <c r="C93" s="3" t="str">
        <v>NO</v>
      </c>
      <c r="D93" s="3">
        <f>IF(A93="","",$B$7/$B$6)</f>
        <v>25</v>
      </c>
      <c r="E93" s="3">
        <f>IF(A93="","",IF(C93="NO",0,IF(D93&lt;&gt;"",D93,$B$11)))</f>
        <v>0</v>
      </c>
      <c r="F93" s="3">
        <f>IF(A93="","",$B$7/$B$6)</f>
        <v>25</v>
      </c>
      <c r="G93" s="3">
        <f>IF(A93="","",($B$8-$B$9)/$B$6)</f>
        <v>0</v>
      </c>
      <c r="H93" s="4">
        <f>IF(A93="","",$B$10)</f>
        <v>0</v>
      </c>
      <c r="I93" s="4">
        <f>IF(A93="","",$B$5)</f>
        <v>0.333</v>
      </c>
      <c r="J93" s="3">
        <f>IF(OR(A93="",B93=""),"",ROUND((B93+E93+F93+G93)/(1-H93-I93),-1))</f>
        <v>6180</v>
      </c>
      <c r="K93" s="3">
        <f>IF(J93="","",J93-B93-E93-F93-G93-(J93*H93))</f>
        <v>2055</v>
      </c>
      <c r="L93" s="2">
        <f>IF(J93="","",K93/J93)</f>
        <v>0.3325242718446602</v>
      </c>
    </row>
    <row r="94">
      <c r="A94" t="str">
        <v>AUT005</v>
      </c>
      <c r="B94" s="3">
        <v>4100</v>
      </c>
      <c r="C94" s="3" t="str">
        <v>NO</v>
      </c>
      <c r="D94" s="3">
        <f>IF(A94="","",$B$7/$B$6)</f>
        <v>25</v>
      </c>
      <c r="E94" s="3">
        <f>IF(A94="","",IF(C94="NO",0,IF(D94&lt;&gt;"",D94,$B$11)))</f>
        <v>0</v>
      </c>
      <c r="F94" s="3">
        <f>IF(A94="","",$B$7/$B$6)</f>
        <v>25</v>
      </c>
      <c r="G94" s="3">
        <f>IF(A94="","",($B$8-$B$9)/$B$6)</f>
        <v>0</v>
      </c>
      <c r="H94" s="4">
        <f>IF(A94="","",$B$10)</f>
        <v>0</v>
      </c>
      <c r="I94" s="4">
        <f>IF(A94="","",$B$5)</f>
        <v>0.333</v>
      </c>
      <c r="J94" s="3">
        <f>IF(OR(A94="",B94=""),"",ROUND((B94+E94+F94+G94)/(1-H94-I94),-1))</f>
        <v>6180</v>
      </c>
      <c r="K94" s="3">
        <f>IF(J94="","",J94-B94-E94-F94-G94-(J94*H94))</f>
        <v>2055</v>
      </c>
      <c r="L94" s="2">
        <f>IF(J94="","",K94/J94)</f>
        <v>0.3325242718446602</v>
      </c>
    </row>
    <row r="95">
      <c r="A95" t="str">
        <v>AUT006</v>
      </c>
      <c r="B95" s="3">
        <v>4100</v>
      </c>
      <c r="C95" s="3" t="str">
        <v>NO</v>
      </c>
      <c r="D95" s="3">
        <f>IF(A95="","",$B$7/$B$6)</f>
        <v>25</v>
      </c>
      <c r="E95" s="3">
        <f>IF(A95="","",IF(C95="NO",0,IF(D95&lt;&gt;"",D95,$B$11)))</f>
        <v>0</v>
      </c>
      <c r="F95" s="3">
        <f>IF(A95="","",$B$7/$B$6)</f>
        <v>25</v>
      </c>
      <c r="G95" s="3">
        <f>IF(A95="","",($B$8-$B$9)/$B$6)</f>
        <v>0</v>
      </c>
      <c r="H95" s="4">
        <f>IF(A95="","",$B$10)</f>
        <v>0</v>
      </c>
      <c r="I95" s="4">
        <f>IF(A95="","",$B$5)</f>
        <v>0.333</v>
      </c>
      <c r="J95" s="3">
        <f>IF(OR(A95="",B95=""),"",ROUND((B95+E95+F95+G95)/(1-H95-I95),-1))</f>
        <v>6180</v>
      </c>
      <c r="K95" s="3">
        <f>IF(J95="","",J95-B95-E95-F95-G95-(J95*H95))</f>
        <v>2055</v>
      </c>
      <c r="L95" s="2">
        <f>IF(J95="","",K95/J95)</f>
        <v>0.3325242718446602</v>
      </c>
    </row>
    <row r="96">
      <c r="A96" t="str">
        <v>AUT007</v>
      </c>
      <c r="B96" s="3">
        <v>4100</v>
      </c>
      <c r="C96" s="3" t="str">
        <v>NO</v>
      </c>
      <c r="D96" s="3">
        <f>IF(A96="","",$B$7/$B$6)</f>
        <v>25</v>
      </c>
      <c r="E96" s="3">
        <f>IF(A96="","",IF(C96="NO",0,IF(D96&lt;&gt;"",D96,$B$11)))</f>
        <v>0</v>
      </c>
      <c r="F96" s="3">
        <f>IF(A96="","",$B$7/$B$6)</f>
        <v>25</v>
      </c>
      <c r="G96" s="3">
        <f>IF(A96="","",($B$8-$B$9)/$B$6)</f>
        <v>0</v>
      </c>
      <c r="H96" s="4">
        <f>IF(A96="","",$B$10)</f>
        <v>0</v>
      </c>
      <c r="I96" s="4">
        <f>IF(A96="","",$B$5)</f>
        <v>0.333</v>
      </c>
      <c r="J96" s="3">
        <f>IF(OR(A96="",B96=""),"",ROUND((B96+E96+F96+G96)/(1-H96-I96),-1))</f>
        <v>6180</v>
      </c>
      <c r="K96" s="3">
        <f>IF(J96="","",J96-B96-E96-F96-G96-(J96*H96))</f>
        <v>2055</v>
      </c>
      <c r="L96" s="2">
        <f>IF(J96="","",K96/J96)</f>
        <v>0.3325242718446602</v>
      </c>
    </row>
    <row r="97">
      <c r="A97" t="str">
        <v>AUT008</v>
      </c>
      <c r="B97" s="3">
        <v>4100</v>
      </c>
      <c r="C97" s="3" t="str">
        <v>NO</v>
      </c>
      <c r="D97" s="3">
        <f>IF(A97="","",$B$7/$B$6)</f>
        <v>25</v>
      </c>
      <c r="E97" s="3">
        <f>IF(A97="","",IF(C97="NO",0,IF(D97&lt;&gt;"",D97,$B$11)))</f>
        <v>0</v>
      </c>
      <c r="F97" s="3">
        <f>IF(A97="","",$B$7/$B$6)</f>
        <v>25</v>
      </c>
      <c r="G97" s="3">
        <f>IF(A97="","",($B$8-$B$9)/$B$6)</f>
        <v>0</v>
      </c>
      <c r="H97" s="4">
        <f>IF(A97="","",$B$10)</f>
        <v>0</v>
      </c>
      <c r="I97" s="4">
        <f>IF(A97="","",$B$5)</f>
        <v>0.333</v>
      </c>
      <c r="J97" s="3">
        <f>IF(OR(A97="",B97=""),"",ROUND((B97+E97+F97+G97)/(1-H97-I97),-1))</f>
        <v>6180</v>
      </c>
      <c r="K97" s="3">
        <f>IF(J97="","",J97-B97-E97-F97-G97-(J97*H97))</f>
        <v>2055</v>
      </c>
      <c r="L97" s="2">
        <f>IF(J97="","",K97/J97)</f>
        <v>0.3325242718446602</v>
      </c>
    </row>
    <row r="98">
      <c r="A98" t="str">
        <v>AUT009</v>
      </c>
      <c r="B98" s="3">
        <v>4100</v>
      </c>
      <c r="C98" s="3" t="str">
        <v>NO</v>
      </c>
      <c r="D98" s="3">
        <f>IF(A98="","",$B$7/$B$6)</f>
        <v>25</v>
      </c>
      <c r="E98" s="3">
        <f>IF(A98="","",IF(C98="NO",0,IF(D98&lt;&gt;"",D98,$B$11)))</f>
        <v>0</v>
      </c>
      <c r="F98" s="3">
        <f>IF(A98="","",$B$7/$B$6)</f>
        <v>25</v>
      </c>
      <c r="G98" s="3">
        <f>IF(A98="","",($B$8-$B$9)/$B$6)</f>
        <v>0</v>
      </c>
      <c r="H98" s="4">
        <f>IF(A98="","",$B$10)</f>
        <v>0</v>
      </c>
      <c r="I98" s="4">
        <f>IF(A98="","",$B$5)</f>
        <v>0.333</v>
      </c>
      <c r="J98" s="3">
        <f>IF(OR(A98="",B98=""),"",ROUND((B98+E98+F98+G98)/(1-H98-I98),-1))</f>
        <v>6180</v>
      </c>
      <c r="K98" s="3">
        <f>IF(J98="","",J98-B98-E98-F98-G98-(J98*H98))</f>
        <v>2055</v>
      </c>
      <c r="L98" s="2">
        <f>IF(J98="","",K98/J98)</f>
        <v>0.3325242718446602</v>
      </c>
    </row>
    <row r="99">
      <c r="A99" t="str">
        <v>AUT010</v>
      </c>
      <c r="B99" s="3">
        <v>4100</v>
      </c>
      <c r="C99" s="3" t="str">
        <v>NO</v>
      </c>
      <c r="D99" s="3">
        <f>IF(A99="","",$B$7/$B$6)</f>
        <v>25</v>
      </c>
      <c r="E99" s="3">
        <f>IF(A99="","",IF(C99="NO",0,IF(D99&lt;&gt;"",D99,$B$11)))</f>
        <v>0</v>
      </c>
      <c r="F99" s="3">
        <f>IF(A99="","",$B$7/$B$6)</f>
        <v>25</v>
      </c>
      <c r="G99" s="3">
        <f>IF(A99="","",($B$8-$B$9)/$B$6)</f>
        <v>0</v>
      </c>
      <c r="H99" s="4">
        <f>IF(A99="","",$B$10)</f>
        <v>0</v>
      </c>
      <c r="I99" s="4">
        <f>IF(A99="","",$B$5)</f>
        <v>0.333</v>
      </c>
      <c r="J99" s="3">
        <f>IF(OR(A99="",B99=""),"",ROUND((B99+E99+F99+G99)/(1-H99-I99),-1))</f>
        <v>6180</v>
      </c>
      <c r="K99" s="3">
        <f>IF(J99="","",J99-B99-E99-F99-G99-(J99*H99))</f>
        <v>2055</v>
      </c>
      <c r="L99" s="2">
        <f>IF(J99="","",K99/J99)</f>
        <v>0.3325242718446602</v>
      </c>
    </row>
    <row r="100">
      <c r="A100" t="str">
        <v>AUT011</v>
      </c>
      <c r="B100" s="3">
        <v>4100</v>
      </c>
      <c r="C100" s="3" t="str">
        <v>NO</v>
      </c>
      <c r="D100" s="3">
        <f>IF(A100="","",$B$7/$B$6)</f>
        <v>25</v>
      </c>
      <c r="E100" s="3">
        <f>IF(A100="","",IF(C100="NO",0,IF(D100&lt;&gt;"",D100,$B$11)))</f>
        <v>0</v>
      </c>
      <c r="F100" s="3">
        <f>IF(A100="","",$B$7/$B$6)</f>
        <v>25</v>
      </c>
      <c r="G100" s="3">
        <f>IF(A100="","",($B$8-$B$9)/$B$6)</f>
        <v>0</v>
      </c>
      <c r="H100" s="4">
        <f>IF(A100="","",$B$10)</f>
        <v>0</v>
      </c>
      <c r="I100" s="4">
        <f>IF(A100="","",$B$5)</f>
        <v>0.333</v>
      </c>
      <c r="J100" s="3">
        <f>IF(OR(A100="",B100=""),"",ROUND((B100+E100+F100+G100)/(1-H100-I100),-1))</f>
        <v>6180</v>
      </c>
      <c r="K100" s="3">
        <f>IF(J100="","",J100-B100-E100-F100-G100-(J100*H100))</f>
        <v>2055</v>
      </c>
      <c r="L100" s="2">
        <f>IF(J100="","",K100/J100)</f>
        <v>0.3325242718446602</v>
      </c>
    </row>
    <row r="101">
      <c r="A101" t="str">
        <v>AUT012</v>
      </c>
      <c r="B101" s="3">
        <v>4100</v>
      </c>
      <c r="C101" s="3" t="str">
        <v>NO</v>
      </c>
      <c r="D101" s="3">
        <f>IF(A101="","",$B$7/$B$6)</f>
        <v>25</v>
      </c>
      <c r="E101" s="3">
        <f>IF(A101="","",IF(C101="NO",0,IF(D101&lt;&gt;"",D101,$B$11)))</f>
        <v>0</v>
      </c>
      <c r="F101" s="3">
        <f>IF(A101="","",$B$7/$B$6)</f>
        <v>25</v>
      </c>
      <c r="G101" s="3">
        <f>IF(A101="","",($B$8-$B$9)/$B$6)</f>
        <v>0</v>
      </c>
      <c r="H101" s="4">
        <f>IF(A101="","",$B$10)</f>
        <v>0</v>
      </c>
      <c r="I101" s="4">
        <f>IF(A101="","",$B$5)</f>
        <v>0.333</v>
      </c>
      <c r="J101" s="3">
        <f>IF(OR(A101="",B101=""),"",ROUND((B101+E101+F101+G101)/(1-H101-I101),-1))</f>
        <v>6180</v>
      </c>
      <c r="K101" s="3">
        <f>IF(J101="","",J101-B101-E101-F101-G101-(J101*H101))</f>
        <v>2055</v>
      </c>
      <c r="L101" s="2">
        <f>IF(J101="","",K101/J101)</f>
        <v>0.3325242718446602</v>
      </c>
    </row>
    <row r="102">
      <c r="A102" t="str">
        <v>AUT013</v>
      </c>
      <c r="B102" s="3">
        <v>3000</v>
      </c>
      <c r="C102" s="3" t="str">
        <v>SÍ</v>
      </c>
      <c r="D102" s="3">
        <v>1000</v>
      </c>
      <c r="E102" s="3">
        <f>IF(A102="","",IF(C102="NO",0,IF(D102&lt;&gt;"",D102,$B$11)))</f>
        <v>1000</v>
      </c>
      <c r="F102" s="3">
        <f>IF(A102="","",$B$7/$B$6)</f>
        <v>25</v>
      </c>
      <c r="G102" s="3">
        <f>IF(A102="","",($B$8-$B$9)/$B$6)</f>
        <v>0</v>
      </c>
      <c r="H102" s="4">
        <f>IF(A102="","",$B$10)</f>
        <v>0</v>
      </c>
      <c r="I102" s="4">
        <f>IF(A102="","",$B$5)</f>
        <v>0.333</v>
      </c>
      <c r="J102" s="3">
        <f>IF(OR(A102="",B102=""),"",ROUND((B102+E102+F102+G102)/(1-H102-I102),-1))</f>
        <v>6030</v>
      </c>
      <c r="K102" s="3">
        <f>IF(J102="","",J102-B102-E102-F102-G102-(J102*H102))</f>
        <v>2005</v>
      </c>
      <c r="L102" s="2">
        <f>IF(J102="","",K102/J102)</f>
        <v>0.33250414593698174</v>
      </c>
    </row>
    <row r="103">
      <c r="A103" t="str">
        <v>AUT014</v>
      </c>
      <c r="B103" s="3">
        <v>4300</v>
      </c>
      <c r="C103" s="3" t="str">
        <v>NO</v>
      </c>
      <c r="D103" s="3">
        <f>IF(A103="","",$B$7/$B$6)</f>
        <v>25</v>
      </c>
      <c r="E103" s="3">
        <f>IF(A103="","",IF(C103="NO",0,IF(D103&lt;&gt;"",D103,$B$11)))</f>
        <v>0</v>
      </c>
      <c r="F103" s="3">
        <f>IF(A103="","",$B$7/$B$6)</f>
        <v>25</v>
      </c>
      <c r="G103" s="3">
        <f>IF(A103="","",($B$8-$B$9)/$B$6)</f>
        <v>0</v>
      </c>
      <c r="H103" s="4">
        <f>IF(A103="","",$B$10)</f>
        <v>0</v>
      </c>
      <c r="I103" s="4">
        <f>IF(A103="","",$B$5)</f>
        <v>0.333</v>
      </c>
      <c r="J103" s="3">
        <f>IF(OR(A103="",B103=""),"",ROUND((B103+E103+F103+G103)/(1-H103-I103),-1))</f>
        <v>6480</v>
      </c>
      <c r="K103" s="3">
        <f>IF(J103="","",J103-B103-E103-F103-G103-(J103*H103))</f>
        <v>2155</v>
      </c>
      <c r="L103" s="2">
        <f>IF(J103="","",K103/J103)</f>
        <v>0.3325617283950617</v>
      </c>
    </row>
    <row r="104">
      <c r="A104" t="str">
        <v>AUT015</v>
      </c>
      <c r="B104" s="3">
        <v>6500</v>
      </c>
      <c r="C104" s="3" t="str">
        <v>NO</v>
      </c>
      <c r="D104" s="3">
        <f>IF(A104="","",$B$7/$B$6)</f>
        <v>25</v>
      </c>
      <c r="E104" s="3">
        <f>IF(A104="","",IF(C104="NO",0,IF(D104&lt;&gt;"",D104,$B$11)))</f>
        <v>0</v>
      </c>
      <c r="F104" s="3">
        <f>IF(A104="","",$B$7/$B$6)</f>
        <v>25</v>
      </c>
      <c r="G104" s="3">
        <f>IF(A104="","",($B$8-$B$9)/$B$6)</f>
        <v>0</v>
      </c>
      <c r="H104" s="4">
        <f>IF(A104="","",$B$10)</f>
        <v>0</v>
      </c>
      <c r="I104" s="4">
        <f>IF(A104="","",$B$5)</f>
        <v>0.333</v>
      </c>
      <c r="J104" s="3">
        <f>IF(OR(A104="",B104=""),"",ROUND((B104+E104+F104+G104)/(1-H104-I104),-1))</f>
        <v>9780</v>
      </c>
      <c r="K104" s="3">
        <f>IF(J104="","",J104-B104-E104-F104-G104-(J104*H104))</f>
        <v>3255</v>
      </c>
      <c r="L104" s="2">
        <f>IF(J104="","",K104/J104)</f>
        <v>0.3328220858895706</v>
      </c>
    </row>
    <row r="105">
      <c r="A105" t="str">
        <v>AUT016</v>
      </c>
      <c r="B105" s="3">
        <v>6500</v>
      </c>
      <c r="C105" s="3" t="str">
        <v>NO</v>
      </c>
      <c r="D105" s="3">
        <f>IF(A105="","",$B$7/$B$6)</f>
        <v>25</v>
      </c>
      <c r="E105" s="3">
        <f>IF(A105="","",IF(C105="NO",0,IF(D105&lt;&gt;"",D105,$B$11)))</f>
        <v>0</v>
      </c>
      <c r="F105" s="3">
        <f>IF(A105="","",$B$7/$B$6)</f>
        <v>25</v>
      </c>
      <c r="G105" s="3">
        <f>IF(A105="","",($B$8-$B$9)/$B$6)</f>
        <v>0</v>
      </c>
      <c r="H105" s="4">
        <f>IF(A105="","",$B$10)</f>
        <v>0</v>
      </c>
      <c r="I105" s="4">
        <f>IF(A105="","",$B$5)</f>
        <v>0.333</v>
      </c>
      <c r="J105" s="3">
        <f>IF(OR(A105="",B105=""),"",ROUND((B105+E105+F105+G105)/(1-H105-I105),-1))</f>
        <v>9780</v>
      </c>
      <c r="K105" s="3">
        <f>IF(J105="","",J105-B105-E105-F105-G105-(J105*H105))</f>
        <v>3255</v>
      </c>
      <c r="L105" s="2">
        <f>IF(J105="","",K105/J105)</f>
        <v>0.3328220858895706</v>
      </c>
    </row>
    <row r="106">
      <c r="A106" t="str">
        <v>AUT017</v>
      </c>
      <c r="B106" s="3">
        <v>6500</v>
      </c>
      <c r="C106" s="3" t="str">
        <v>NO</v>
      </c>
      <c r="D106" s="3">
        <f>IF(A106="","",$B$7/$B$6)</f>
        <v>25</v>
      </c>
      <c r="E106" s="3">
        <f>IF(A106="","",IF(C106="NO",0,IF(D106&lt;&gt;"",D106,$B$11)))</f>
        <v>0</v>
      </c>
      <c r="F106" s="3">
        <f>IF(A106="","",$B$7/$B$6)</f>
        <v>25</v>
      </c>
      <c r="G106" s="3">
        <f>IF(A106="","",($B$8-$B$9)/$B$6)</f>
        <v>0</v>
      </c>
      <c r="H106" s="4">
        <f>IF(A106="","",$B$10)</f>
        <v>0</v>
      </c>
      <c r="I106" s="4">
        <f>IF(A106="","",$B$5)</f>
        <v>0.333</v>
      </c>
      <c r="J106" s="3">
        <f>IF(OR(A106="",B106=""),"",ROUND((B106+E106+F106+G106)/(1-H106-I106),-1))</f>
        <v>9780</v>
      </c>
      <c r="K106" s="3">
        <f>IF(J106="","",J106-B106-E106-F106-G106-(J106*H106))</f>
        <v>3255</v>
      </c>
      <c r="L106" s="2">
        <f>IF(J106="","",K106/J106)</f>
        <v>0.3328220858895706</v>
      </c>
    </row>
    <row r="107">
      <c r="A107" t="str">
        <v>AUT018</v>
      </c>
      <c r="B107" s="3">
        <v>6500</v>
      </c>
      <c r="C107" s="3" t="str">
        <v>NO</v>
      </c>
      <c r="D107" s="3">
        <f>IF(A107="","",$B$7/$B$6)</f>
        <v>25</v>
      </c>
      <c r="E107" s="3">
        <f>IF(A107="","",IF(C107="NO",0,IF(D107&lt;&gt;"",D107,$B$11)))</f>
        <v>0</v>
      </c>
      <c r="F107" s="3">
        <f>IF(A107="","",$B$7/$B$6)</f>
        <v>25</v>
      </c>
      <c r="G107" s="3">
        <f>IF(A107="","",($B$8-$B$9)/$B$6)</f>
        <v>0</v>
      </c>
      <c r="H107" s="4">
        <f>IF(A107="","",$B$10)</f>
        <v>0</v>
      </c>
      <c r="I107" s="4">
        <f>IF(A107="","",$B$5)</f>
        <v>0.333</v>
      </c>
      <c r="J107" s="3">
        <f>IF(OR(A107="",B107=""),"",ROUND((B107+E107+F107+G107)/(1-H107-I107),-1))</f>
        <v>9780</v>
      </c>
      <c r="K107" s="3">
        <f>IF(J107="","",J107-B107-E107-F107-G107-(J107*H107))</f>
        <v>3255</v>
      </c>
      <c r="L107" s="2">
        <f>IF(J107="","",K107/J107)</f>
        <v>0.3328220858895706</v>
      </c>
    </row>
    <row r="108">
      <c r="A108" t="str">
        <v>AUT019</v>
      </c>
      <c r="B108" s="3">
        <v>6500</v>
      </c>
      <c r="C108" s="3" t="str">
        <v>NO</v>
      </c>
      <c r="D108" s="3">
        <f>IF(A108="","",$B$7/$B$6)</f>
        <v>25</v>
      </c>
      <c r="E108" s="3">
        <f>IF(A108="","",IF(C108="NO",0,IF(D108&lt;&gt;"",D108,$B$11)))</f>
        <v>0</v>
      </c>
      <c r="F108" s="3">
        <f>IF(A108="","",$B$7/$B$6)</f>
        <v>25</v>
      </c>
      <c r="G108" s="3">
        <f>IF(A108="","",($B$8-$B$9)/$B$6)</f>
        <v>0</v>
      </c>
      <c r="H108" s="4">
        <f>IF(A108="","",$B$10)</f>
        <v>0</v>
      </c>
      <c r="I108" s="4">
        <f>IF(A108="","",$B$5)</f>
        <v>0.333</v>
      </c>
      <c r="J108" s="3">
        <f>IF(OR(A108="",B108=""),"",ROUND((B108+E108+F108+G108)/(1-H108-I108),-1))</f>
        <v>9780</v>
      </c>
      <c r="K108" s="3">
        <f>IF(J108="","",J108-B108-E108-F108-G108-(J108*H108))</f>
        <v>3255</v>
      </c>
      <c r="L108" s="2">
        <f>IF(J108="","",K108/J108)</f>
        <v>0.3328220858895706</v>
      </c>
    </row>
    <row r="109">
      <c r="A109" t="str">
        <v>AUT020</v>
      </c>
      <c r="B109" s="3">
        <v>2500</v>
      </c>
      <c r="C109" s="3" t="str">
        <v>SÍ</v>
      </c>
      <c r="D109" s="3">
        <v>1000</v>
      </c>
      <c r="E109" s="3">
        <f>IF(A109="","",IF(C109="NO",0,IF(D109&lt;&gt;"",D109,$B$11)))</f>
        <v>1000</v>
      </c>
      <c r="F109" s="3">
        <f>IF(A109="","",$B$7/$B$6)</f>
        <v>25</v>
      </c>
      <c r="G109" s="3">
        <f>IF(A109="","",($B$8-$B$9)/$B$6)</f>
        <v>0</v>
      </c>
      <c r="H109" s="4">
        <f>IF(A109="","",$B$10)</f>
        <v>0</v>
      </c>
      <c r="I109" s="4">
        <f>IF(A109="","",$B$5)</f>
        <v>0.333</v>
      </c>
      <c r="J109" s="3">
        <f>IF(OR(A109="",B109=""),"",ROUND((B109+E109+F109+G109)/(1-H109-I109),-1))</f>
        <v>5280</v>
      </c>
      <c r="K109" s="3">
        <f>IF(J109="","",J109-B109-E109-F109-G109-(J109*H109))</f>
        <v>1755</v>
      </c>
      <c r="L109" s="2">
        <f>IF(J109="","",K109/J109)</f>
        <v>0.33238636363636365</v>
      </c>
    </row>
    <row r="110">
      <c r="A110" t="str">
        <v>AUT021</v>
      </c>
      <c r="B110" s="3">
        <v>3400</v>
      </c>
      <c r="C110" s="3" t="str">
        <v>SÍ</v>
      </c>
      <c r="D110" s="3">
        <v>1000</v>
      </c>
      <c r="E110" s="3">
        <f>IF(A110="","",IF(C110="NO",0,IF(D110&lt;&gt;"",D110,$B$11)))</f>
        <v>1000</v>
      </c>
      <c r="F110" s="3">
        <f>IF(A110="","",$B$7/$B$6)</f>
        <v>25</v>
      </c>
      <c r="G110" s="3">
        <f>IF(A110="","",($B$8-$B$9)/$B$6)</f>
        <v>0</v>
      </c>
      <c r="H110" s="4">
        <f>IF(A110="","",$B$10)</f>
        <v>0</v>
      </c>
      <c r="I110" s="4">
        <f>IF(A110="","",$B$5)</f>
        <v>0.333</v>
      </c>
      <c r="J110" s="3">
        <f>IF(OR(A110="",B110=""),"",ROUND((B110+E110+F110+G110)/(1-H110-I110),-1))</f>
        <v>6630</v>
      </c>
      <c r="K110" s="3">
        <f>IF(J110="","",J110-B110-E110-F110-G110-(J110*H110))</f>
        <v>2205</v>
      </c>
      <c r="L110" s="2">
        <f>IF(J110="","",K110/J110)</f>
        <v>0.332579185520362</v>
      </c>
    </row>
    <row r="111">
      <c r="A111" t="str">
        <v>SHA001</v>
      </c>
      <c r="B111" s="3">
        <v>4300</v>
      </c>
      <c r="C111" s="3" t="str">
        <v>SÍ</v>
      </c>
      <c r="D111" s="3">
        <v>1000</v>
      </c>
      <c r="E111" s="3">
        <f>IF(A111="","",IF(C111="NO",0,IF(D111&lt;&gt;"",D111,$B$11)))</f>
        <v>1000</v>
      </c>
      <c r="F111" s="3">
        <f>IF(A111="","",$B$7/$B$6)</f>
        <v>25</v>
      </c>
      <c r="G111" s="3">
        <f>IF(A111="","",($B$8-$B$9)/$B$6)</f>
        <v>0</v>
      </c>
      <c r="H111" s="4">
        <f>IF(A111="","",$B$10)</f>
        <v>0</v>
      </c>
      <c r="I111" s="4">
        <f>IF(A111="","",$B$5)</f>
        <v>0.333</v>
      </c>
      <c r="J111" s="3">
        <f>IF(OR(A111="",B111=""),"",ROUND((B111+E111+F111+G111)/(1-H111-I111),-1))</f>
        <v>7980</v>
      </c>
      <c r="K111" s="3">
        <f>IF(J111="","",J111-B111-E111-F111-G111-(J111*H111))</f>
        <v>2655</v>
      </c>
      <c r="L111" s="2">
        <f>IF(J111="","",K111/J111)</f>
        <v>0.33270676691729323</v>
      </c>
    </row>
    <row r="112">
      <c r="A112" t="str">
        <v>SHA002</v>
      </c>
      <c r="B112" s="3">
        <v>4300</v>
      </c>
      <c r="C112" s="3" t="str">
        <v>SÍ</v>
      </c>
      <c r="D112" s="3">
        <v>1000</v>
      </c>
      <c r="E112" s="3">
        <f>IF(A112="","",IF(C112="NO",0,IF(D112&lt;&gt;"",D112,$B$11)))</f>
        <v>1000</v>
      </c>
      <c r="F112" s="3">
        <f>IF(A112="","",$B$7/$B$6)</f>
        <v>25</v>
      </c>
      <c r="G112" s="3">
        <f>IF(A112="","",($B$8-$B$9)/$B$6)</f>
        <v>0</v>
      </c>
      <c r="H112" s="4">
        <f>IF(A112="","",$B$10)</f>
        <v>0</v>
      </c>
      <c r="I112" s="4">
        <f>IF(A112="","",$B$5)</f>
        <v>0.333</v>
      </c>
      <c r="J112" s="3">
        <f>IF(OR(A112="",B112=""),"",ROUND((B112+E112+F112+G112)/(1-H112-I112),-1))</f>
        <v>7980</v>
      </c>
      <c r="K112" s="3">
        <f>IF(J112="","",J112-B112-E112-F112-G112-(J112*H112))</f>
        <v>2655</v>
      </c>
      <c r="L112" s="2">
        <f>IF(J112="","",K112/J112)</f>
        <v>0.33270676691729323</v>
      </c>
    </row>
    <row r="113">
      <c r="A113" t="str">
        <v>SHA003</v>
      </c>
      <c r="B113" s="3">
        <v>4300</v>
      </c>
      <c r="C113" s="3" t="str">
        <v>SÍ</v>
      </c>
      <c r="D113" s="3">
        <v>1000</v>
      </c>
      <c r="E113" s="3">
        <f>IF(A113="","",IF(C113="NO",0,IF(D113&lt;&gt;"",D113,$B$11)))</f>
        <v>1000</v>
      </c>
      <c r="F113" s="3">
        <f>IF(A113="","",$B$7/$B$6)</f>
        <v>25</v>
      </c>
      <c r="G113" s="3">
        <f>IF(A113="","",($B$8-$B$9)/$B$6)</f>
        <v>0</v>
      </c>
      <c r="H113" s="4">
        <f>IF(A113="","",$B$10)</f>
        <v>0</v>
      </c>
      <c r="I113" s="4">
        <f>IF(A113="","",$B$5)</f>
        <v>0.333</v>
      </c>
      <c r="J113" s="3">
        <f>IF(OR(A113="",B113=""),"",ROUND((B113+E113+F113+G113)/(1-H113-I113),-1))</f>
        <v>7980</v>
      </c>
      <c r="K113" s="3">
        <f>IF(J113="","",J113-B113-E113-F113-G113-(J113*H113))</f>
        <v>2655</v>
      </c>
      <c r="L113" s="2">
        <f>IF(J113="","",K113/J113)</f>
        <v>0.33270676691729323</v>
      </c>
    </row>
    <row r="114">
      <c r="A114" t="str">
        <v>SHA004</v>
      </c>
      <c r="B114" s="3">
        <v>4300</v>
      </c>
      <c r="C114" s="3" t="str">
        <v>SÍ</v>
      </c>
      <c r="D114" s="3">
        <v>1000</v>
      </c>
      <c r="E114" s="3">
        <f>IF(A114="","",IF(C114="NO",0,IF(D114&lt;&gt;"",D114,$B$11)))</f>
        <v>1000</v>
      </c>
      <c r="F114" s="3">
        <f>IF(A114="","",$B$7/$B$6)</f>
        <v>25</v>
      </c>
      <c r="G114" s="3">
        <f>IF(A114="","",($B$8-$B$9)/$B$6)</f>
        <v>0</v>
      </c>
      <c r="H114" s="4">
        <f>IF(A114="","",$B$10)</f>
        <v>0</v>
      </c>
      <c r="I114" s="4">
        <f>IF(A114="","",$B$5)</f>
        <v>0.333</v>
      </c>
      <c r="J114" s="3">
        <f>IF(OR(A114="",B114=""),"",ROUND((B114+E114+F114+G114)/(1-H114-I114),-1))</f>
        <v>7980</v>
      </c>
      <c r="K114" s="3">
        <f>IF(J114="","",J114-B114-E114-F114-G114-(J114*H114))</f>
        <v>2655</v>
      </c>
      <c r="L114" s="2">
        <f>IF(J114="","",K114/J114)</f>
        <v>0.33270676691729323</v>
      </c>
    </row>
    <row r="115">
      <c r="A115" t="str">
        <v>SHA005</v>
      </c>
      <c r="B115" s="3">
        <v>4300</v>
      </c>
      <c r="C115" s="3" t="str">
        <v>SÍ</v>
      </c>
      <c r="D115" s="3">
        <v>1000</v>
      </c>
      <c r="E115" s="3">
        <f>IF(A115="","",IF(C115="NO",0,IF(D115&lt;&gt;"",D115,$B$11)))</f>
        <v>1000</v>
      </c>
      <c r="F115" s="3">
        <f>IF(A115="","",$B$7/$B$6)</f>
        <v>25</v>
      </c>
      <c r="G115" s="3">
        <f>IF(A115="","",($B$8-$B$9)/$B$6)</f>
        <v>0</v>
      </c>
      <c r="H115" s="4">
        <f>IF(A115="","",$B$10)</f>
        <v>0</v>
      </c>
      <c r="I115" s="4">
        <f>IF(A115="","",$B$5)</f>
        <v>0.333</v>
      </c>
      <c r="J115" s="3">
        <f>IF(OR(A115="",B115=""),"",ROUND((B115+E115+F115+G115)/(1-H115-I115),-1))</f>
        <v>7980</v>
      </c>
      <c r="K115" s="3">
        <f>IF(J115="","",J115-B115-E115-F115-G115-(J115*H115))</f>
        <v>2655</v>
      </c>
      <c r="L115" s="2">
        <f>IF(J115="","",K115/J115)</f>
        <v>0.33270676691729323</v>
      </c>
    </row>
    <row r="116">
      <c r="A116" t="str">
        <v>SHA006</v>
      </c>
      <c r="B116" s="3">
        <v>4300</v>
      </c>
      <c r="C116" s="3" t="str">
        <v>SÍ</v>
      </c>
      <c r="D116" s="3">
        <v>1000</v>
      </c>
      <c r="E116" s="3">
        <f>IF(A116="","",IF(C116="NO",0,IF(D116&lt;&gt;"",D116,$B$11)))</f>
        <v>1000</v>
      </c>
      <c r="F116" s="3">
        <f>IF(A116="","",$B$7/$B$6)</f>
        <v>25</v>
      </c>
      <c r="G116" s="3">
        <f>IF(A116="","",($B$8-$B$9)/$B$6)</f>
        <v>0</v>
      </c>
      <c r="H116" s="4">
        <f>IF(A116="","",$B$10)</f>
        <v>0</v>
      </c>
      <c r="I116" s="4">
        <f>IF(A116="","",$B$5)</f>
        <v>0.333</v>
      </c>
      <c r="J116" s="3">
        <f>IF(OR(A116="",B116=""),"",ROUND((B116+E116+F116+G116)/(1-H116-I116),-1))</f>
        <v>7980</v>
      </c>
      <c r="K116" s="3">
        <f>IF(J116="","",J116-B116-E116-F116-G116-(J116*H116))</f>
        <v>2655</v>
      </c>
      <c r="L116" s="2">
        <f>IF(J116="","",K116/J116)</f>
        <v>0.33270676691729323</v>
      </c>
    </row>
    <row r="117">
      <c r="A117" t="str">
        <v>DAV001</v>
      </c>
      <c r="B117" s="3">
        <v>1600</v>
      </c>
      <c r="C117" s="3" t="str">
        <v>NO</v>
      </c>
      <c r="D117" s="3">
        <f>IF(A117="","",$B$7/$B$6)</f>
        <v>25</v>
      </c>
      <c r="E117" s="3">
        <f>IF(A117="","",IF(C117="NO",0,IF(D117&lt;&gt;"",D117,$B$11)))</f>
        <v>0</v>
      </c>
      <c r="F117" s="3">
        <f>IF(A117="","",$B$7/$B$6)</f>
        <v>25</v>
      </c>
      <c r="G117" s="3">
        <f>IF(A117="","",($B$8-$B$9)/$B$6)</f>
        <v>0</v>
      </c>
      <c r="H117" s="4">
        <f>IF(A117="","",$B$10)</f>
        <v>0</v>
      </c>
      <c r="I117" s="4">
        <f>IF(A117="","",$B$5)</f>
        <v>0.333</v>
      </c>
      <c r="J117" s="3">
        <f>IF(OR(A117="",B117=""),"",ROUND((B117+E117+F117+G117)/(1-H117-I117),-1))</f>
        <v>2440</v>
      </c>
      <c r="K117" s="3">
        <f>IF(J117="","",J117-B117-E117-F117-G117-(J117*H117))</f>
        <v>815</v>
      </c>
      <c r="L117" s="2">
        <f>IF(J117="","",K117/J117)</f>
        <v>0.33401639344262296</v>
      </c>
    </row>
    <row r="118">
      <c r="A118" t="str">
        <v>DAV002</v>
      </c>
      <c r="B118" s="3">
        <v>1600</v>
      </c>
      <c r="C118" s="3" t="str">
        <v>NO</v>
      </c>
      <c r="D118" s="3">
        <f>IF(A118="","",$B$7/$B$6)</f>
        <v>25</v>
      </c>
      <c r="E118" s="3">
        <f>IF(A118="","",IF(C118="NO",0,IF(D118&lt;&gt;"",D118,$B$11)))</f>
        <v>0</v>
      </c>
      <c r="F118" s="3">
        <f>IF(A118="","",$B$7/$B$6)</f>
        <v>25</v>
      </c>
      <c r="G118" s="3">
        <f>IF(A118="","",($B$8-$B$9)/$B$6)</f>
        <v>0</v>
      </c>
      <c r="H118" s="4">
        <f>IF(A118="","",$B$10)</f>
        <v>0</v>
      </c>
      <c r="I118" s="4">
        <f>IF(A118="","",$B$5)</f>
        <v>0.333</v>
      </c>
      <c r="J118" s="3">
        <f>IF(OR(A118="",B118=""),"",ROUND((B118+E118+F118+G118)/(1-H118-I118),-1))</f>
        <v>2440</v>
      </c>
      <c r="K118" s="3">
        <f>IF(J118="","",J118-B118-E118-F118-G118-(J118*H118))</f>
        <v>815</v>
      </c>
      <c r="L118" s="2">
        <f>IF(J118="","",K118/J118)</f>
        <v>0.33401639344262296</v>
      </c>
    </row>
    <row r="119">
      <c r="A119" t="str">
        <v>DAV003</v>
      </c>
      <c r="B119" s="3">
        <v>1600</v>
      </c>
      <c r="C119" s="3" t="str">
        <v>NO</v>
      </c>
      <c r="D119" s="3">
        <f>IF(A119="","",$B$7/$B$6)</f>
        <v>25</v>
      </c>
      <c r="E119" s="3">
        <f>IF(A119="","",IF(C119="NO",0,IF(D119&lt;&gt;"",D119,$B$11)))</f>
        <v>0</v>
      </c>
      <c r="F119" s="3">
        <f>IF(A119="","",$B$7/$B$6)</f>
        <v>25</v>
      </c>
      <c r="G119" s="3">
        <f>IF(A119="","",($B$8-$B$9)/$B$6)</f>
        <v>0</v>
      </c>
      <c r="H119" s="4">
        <f>IF(A119="","",$B$10)</f>
        <v>0</v>
      </c>
      <c r="I119" s="4">
        <f>IF(A119="","",$B$5)</f>
        <v>0.333</v>
      </c>
      <c r="J119" s="3">
        <f>IF(OR(A119="",B119=""),"",ROUND((B119+E119+F119+G119)/(1-H119-I119),-1))</f>
        <v>2440</v>
      </c>
      <c r="K119" s="3">
        <f>IF(J119="","",J119-B119-E119-F119-G119-(J119*H119))</f>
        <v>815</v>
      </c>
      <c r="L119" s="2">
        <f>IF(J119="","",K119/J119)</f>
        <v>0.33401639344262296</v>
      </c>
    </row>
    <row r="120">
      <c r="A120" t="str">
        <v>DAV004</v>
      </c>
      <c r="B120" s="3">
        <v>1600</v>
      </c>
      <c r="C120" s="3" t="str">
        <v>NO</v>
      </c>
      <c r="D120" s="3">
        <f>IF(A120="","",$B$7/$B$6)</f>
        <v>25</v>
      </c>
      <c r="E120" s="3">
        <f>IF(A120="","",IF(C120="NO",0,IF(D120&lt;&gt;"",D120,$B$11)))</f>
        <v>0</v>
      </c>
      <c r="F120" s="3">
        <f>IF(A120="","",$B$7/$B$6)</f>
        <v>25</v>
      </c>
      <c r="G120" s="3">
        <f>IF(A120="","",($B$8-$B$9)/$B$6)</f>
        <v>0</v>
      </c>
      <c r="H120" s="4">
        <f>IF(A120="","",$B$10)</f>
        <v>0</v>
      </c>
      <c r="I120" s="4">
        <f>IF(A120="","",$B$5)</f>
        <v>0.333</v>
      </c>
      <c r="J120" s="3">
        <f>IF(OR(A120="",B120=""),"",ROUND((B120+E120+F120+G120)/(1-H120-I120),-1))</f>
        <v>2440</v>
      </c>
      <c r="K120" s="3">
        <f>IF(J120="","",J120-B120-E120-F120-G120-(J120*H120))</f>
        <v>815</v>
      </c>
      <c r="L120" s="2">
        <f>IF(J120="","",K120/J120)</f>
        <v>0.33401639344262296</v>
      </c>
    </row>
    <row r="121">
      <c r="A121" t="str">
        <v>DAV005</v>
      </c>
      <c r="B121" s="3">
        <v>1600</v>
      </c>
      <c r="C121" s="3" t="str">
        <v>NO</v>
      </c>
      <c r="D121" s="3">
        <f>IF(A121="","",$B$7/$B$6)</f>
        <v>25</v>
      </c>
      <c r="E121" s="3">
        <f>IF(A121="","",IF(C121="NO",0,IF(D121&lt;&gt;"",D121,$B$11)))</f>
        <v>0</v>
      </c>
      <c r="F121" s="3">
        <f>IF(A121="","",$B$7/$B$6)</f>
        <v>25</v>
      </c>
      <c r="G121" s="3">
        <f>IF(A121="","",($B$8-$B$9)/$B$6)</f>
        <v>0</v>
      </c>
      <c r="H121" s="4">
        <f>IF(A121="","",$B$10)</f>
        <v>0</v>
      </c>
      <c r="I121" s="4">
        <f>IF(A121="","",$B$5)</f>
        <v>0.333</v>
      </c>
      <c r="J121" s="3">
        <f>IF(OR(A121="",B121=""),"",ROUND((B121+E121+F121+G121)/(1-H121-I121),-1))</f>
        <v>2440</v>
      </c>
      <c r="K121" s="3">
        <f>IF(J121="","",J121-B121-E121-F121-G121-(J121*H121))</f>
        <v>815</v>
      </c>
      <c r="L121" s="2">
        <f>IF(J121="","",K121/J121)</f>
        <v>0.33401639344262296</v>
      </c>
    </row>
    <row r="122">
      <c r="A122" t="str">
        <v>DAV006</v>
      </c>
      <c r="B122" s="3">
        <v>1600</v>
      </c>
      <c r="C122" s="3" t="str">
        <v>NO</v>
      </c>
      <c r="D122" s="3">
        <f>IF(A122="","",$B$7/$B$6)</f>
        <v>25</v>
      </c>
      <c r="E122" s="3">
        <f>IF(A122="","",IF(C122="NO",0,IF(D122&lt;&gt;"",D122,$B$11)))</f>
        <v>0</v>
      </c>
      <c r="F122" s="3">
        <f>IF(A122="","",$B$7/$B$6)</f>
        <v>25</v>
      </c>
      <c r="G122" s="3">
        <f>IF(A122="","",($B$8-$B$9)/$B$6)</f>
        <v>0</v>
      </c>
      <c r="H122" s="4">
        <f>IF(A122="","",$B$10)</f>
        <v>0</v>
      </c>
      <c r="I122" s="4">
        <f>IF(A122="","",$B$5)</f>
        <v>0.333</v>
      </c>
      <c r="J122" s="3">
        <f>IF(OR(A122="",B122=""),"",ROUND((B122+E122+F122+G122)/(1-H122-I122),-1))</f>
        <v>2440</v>
      </c>
      <c r="K122" s="3">
        <f>IF(J122="","",J122-B122-E122-F122-G122-(J122*H122))</f>
        <v>815</v>
      </c>
      <c r="L122" s="2">
        <f>IF(J122="","",K122/J122)</f>
        <v>0.33401639344262296</v>
      </c>
    </row>
    <row r="123">
      <c r="A123" t="str">
        <v>DAV007</v>
      </c>
      <c r="B123" s="3">
        <v>1600</v>
      </c>
      <c r="C123" s="3" t="str">
        <v>NO</v>
      </c>
      <c r="D123" s="3">
        <f>IF(A123="","",$B$7/$B$6)</f>
        <v>25</v>
      </c>
      <c r="E123" s="3">
        <f>IF(A123="","",IF(C123="NO",0,IF(D123&lt;&gt;"",D123,$B$11)))</f>
        <v>0</v>
      </c>
      <c r="F123" s="3">
        <f>IF(A123="","",$B$7/$B$6)</f>
        <v>25</v>
      </c>
      <c r="G123" s="3">
        <f>IF(A123="","",($B$8-$B$9)/$B$6)</f>
        <v>0</v>
      </c>
      <c r="H123" s="4">
        <f>IF(A123="","",$B$10)</f>
        <v>0</v>
      </c>
      <c r="I123" s="4">
        <f>IF(A123="","",$B$5)</f>
        <v>0.333</v>
      </c>
      <c r="J123" s="3">
        <f>IF(OR(A123="",B123=""),"",ROUND((B123+E123+F123+G123)/(1-H123-I123),-1))</f>
        <v>2440</v>
      </c>
      <c r="K123" s="3">
        <f>IF(J123="","",J123-B123-E123-F123-G123-(J123*H123))</f>
        <v>815</v>
      </c>
      <c r="L123" s="2">
        <f>IF(J123="","",K123/J123)</f>
        <v>0.33401639344262296</v>
      </c>
    </row>
    <row r="124">
      <c r="A124" t="str">
        <v>DAV008</v>
      </c>
      <c r="B124" s="3">
        <v>1600</v>
      </c>
      <c r="C124" s="3" t="str">
        <v>NO</v>
      </c>
      <c r="D124" s="3">
        <f>IF(A124="","",$B$7/$B$6)</f>
        <v>25</v>
      </c>
      <c r="E124" s="3">
        <f>IF(A124="","",IF(C124="NO",0,IF(D124&lt;&gt;"",D124,$B$11)))</f>
        <v>0</v>
      </c>
      <c r="F124" s="3">
        <f>IF(A124="","",$B$7/$B$6)</f>
        <v>25</v>
      </c>
      <c r="G124" s="3">
        <f>IF(A124="","",($B$8-$B$9)/$B$6)</f>
        <v>0</v>
      </c>
      <c r="H124" s="4">
        <f>IF(A124="","",$B$10)</f>
        <v>0</v>
      </c>
      <c r="I124" s="4">
        <f>IF(A124="","",$B$5)</f>
        <v>0.333</v>
      </c>
      <c r="J124" s="3">
        <f>IF(OR(A124="",B124=""),"",ROUND((B124+E124+F124+G124)/(1-H124-I124),-1))</f>
        <v>2440</v>
      </c>
      <c r="K124" s="3">
        <f>IF(J124="","",J124-B124-E124-F124-G124-(J124*H124))</f>
        <v>815</v>
      </c>
      <c r="L124" s="2">
        <f>IF(J124="","",K124/J124)</f>
        <v>0.33401639344262296</v>
      </c>
    </row>
    <row r="125">
      <c r="A125" t="str">
        <v>DAV009</v>
      </c>
      <c r="B125" s="3">
        <v>1600</v>
      </c>
      <c r="C125" s="3" t="str">
        <v>NO</v>
      </c>
      <c r="D125" s="3">
        <f>IF(A125="","",$B$7/$B$6)</f>
        <v>25</v>
      </c>
      <c r="E125" s="3">
        <f>IF(A125="","",IF(C125="NO",0,IF(D125&lt;&gt;"",D125,$B$11)))</f>
        <v>0</v>
      </c>
      <c r="F125" s="3">
        <f>IF(A125="","",$B$7/$B$6)</f>
        <v>25</v>
      </c>
      <c r="G125" s="3">
        <f>IF(A125="","",($B$8-$B$9)/$B$6)</f>
        <v>0</v>
      </c>
      <c r="H125" s="4">
        <f>IF(A125="","",$B$10)</f>
        <v>0</v>
      </c>
      <c r="I125" s="4">
        <f>IF(A125="","",$B$5)</f>
        <v>0.333</v>
      </c>
      <c r="J125" s="3">
        <f>IF(OR(A125="",B125=""),"",ROUND((B125+E125+F125+G125)/(1-H125-I125),-1))</f>
        <v>2440</v>
      </c>
      <c r="K125" s="3">
        <f>IF(J125="","",J125-B125-E125-F125-G125-(J125*H125))</f>
        <v>815</v>
      </c>
      <c r="L125" s="2">
        <f>IF(J125="","",K125/J125)</f>
        <v>0.33401639344262296</v>
      </c>
    </row>
    <row r="126">
      <c r="A126" t="str">
        <v>DAV010</v>
      </c>
      <c r="B126" s="3">
        <v>1600</v>
      </c>
      <c r="C126" s="3" t="str">
        <v>NO</v>
      </c>
      <c r="D126" s="3">
        <f>IF(A126="","",$B$7/$B$6)</f>
        <v>25</v>
      </c>
      <c r="E126" s="3">
        <f>IF(A126="","",IF(C126="NO",0,IF(D126&lt;&gt;"",D126,$B$11)))</f>
        <v>0</v>
      </c>
      <c r="F126" s="3">
        <f>IF(A126="","",$B$7/$B$6)</f>
        <v>25</v>
      </c>
      <c r="G126" s="3">
        <f>IF(A126="","",($B$8-$B$9)/$B$6)</f>
        <v>0</v>
      </c>
      <c r="H126" s="4">
        <f>IF(A126="","",$B$10)</f>
        <v>0</v>
      </c>
      <c r="I126" s="4">
        <f>IF(A126="","",$B$5)</f>
        <v>0.333</v>
      </c>
      <c r="J126" s="3">
        <f>IF(OR(A126="",B126=""),"",ROUND((B126+E126+F126+G126)/(1-H126-I126),-1))</f>
        <v>2440</v>
      </c>
      <c r="K126" s="3">
        <f>IF(J126="","",J126-B126-E126-F126-G126-(J126*H126))</f>
        <v>815</v>
      </c>
      <c r="L126" s="2">
        <f>IF(J126="","",K126/J126)</f>
        <v>0.33401639344262296</v>
      </c>
    </row>
    <row r="127">
      <c r="A127" t="str">
        <v>DAV011</v>
      </c>
      <c r="B127" s="3">
        <v>1600</v>
      </c>
      <c r="C127" s="3" t="str">
        <v>NO</v>
      </c>
      <c r="D127" s="3">
        <f>IF(A127="","",$B$7/$B$6)</f>
        <v>25</v>
      </c>
      <c r="E127" s="3">
        <f>IF(A127="","",IF(C127="NO",0,IF(D127&lt;&gt;"",D127,$B$11)))</f>
        <v>0</v>
      </c>
      <c r="F127" s="3">
        <f>IF(A127="","",$B$7/$B$6)</f>
        <v>25</v>
      </c>
      <c r="G127" s="3">
        <f>IF(A127="","",($B$8-$B$9)/$B$6)</f>
        <v>0</v>
      </c>
      <c r="H127" s="4">
        <f>IF(A127="","",$B$10)</f>
        <v>0</v>
      </c>
      <c r="I127" s="4">
        <f>IF(A127="","",$B$5)</f>
        <v>0.333</v>
      </c>
      <c r="J127" s="3">
        <f>IF(OR(A127="",B127=""),"",ROUND((B127+E127+F127+G127)/(1-H127-I127),-1))</f>
        <v>2440</v>
      </c>
      <c r="K127" s="3">
        <f>IF(J127="","",J127-B127-E127-F127-G127-(J127*H127))</f>
        <v>815</v>
      </c>
      <c r="L127" s="2">
        <f>IF(J127="","",K127/J127)</f>
        <v>0.33401639344262296</v>
      </c>
    </row>
    <row r="128">
      <c r="A128" t="str">
        <v>DAV012</v>
      </c>
      <c r="B128" s="3">
        <v>1600</v>
      </c>
      <c r="C128" s="3" t="str">
        <v>NO</v>
      </c>
      <c r="D128" s="3">
        <f>IF(A128="","",$B$7/$B$6)</f>
        <v>25</v>
      </c>
      <c r="E128" s="3">
        <f>IF(A128="","",IF(C128="NO",0,IF(D128&lt;&gt;"",D128,$B$11)))</f>
        <v>0</v>
      </c>
      <c r="F128" s="3">
        <f>IF(A128="","",$B$7/$B$6)</f>
        <v>25</v>
      </c>
      <c r="G128" s="3">
        <f>IF(A128="","",($B$8-$B$9)/$B$6)</f>
        <v>0</v>
      </c>
      <c r="H128" s="4">
        <f>IF(A128="","",$B$10)</f>
        <v>0</v>
      </c>
      <c r="I128" s="4">
        <f>IF(A128="","",$B$5)</f>
        <v>0.333</v>
      </c>
      <c r="J128" s="3">
        <f>IF(OR(A128="",B128=""),"",ROUND((B128+E128+F128+G128)/(1-H128-I128),-1))</f>
        <v>2440</v>
      </c>
      <c r="K128" s="3">
        <f>IF(J128="","",J128-B128-E128-F128-G128-(J128*H128))</f>
        <v>815</v>
      </c>
      <c r="L128" s="2">
        <f>IF(J128="","",K128/J128)</f>
        <v>0.33401639344262296</v>
      </c>
    </row>
    <row r="129">
      <c r="A129" t="str">
        <v>DAV013</v>
      </c>
      <c r="B129" s="3">
        <v>1600</v>
      </c>
      <c r="C129" s="3" t="str">
        <v>NO</v>
      </c>
      <c r="D129" s="3">
        <f>IF(A129="","",$B$7/$B$6)</f>
        <v>25</v>
      </c>
      <c r="E129" s="3">
        <f>IF(A129="","",IF(C129="NO",0,IF(D129&lt;&gt;"",D129,$B$11)))</f>
        <v>0</v>
      </c>
      <c r="F129" s="3">
        <f>IF(A129="","",$B$7/$B$6)</f>
        <v>25</v>
      </c>
      <c r="G129" s="3">
        <f>IF(A129="","",($B$8-$B$9)/$B$6)</f>
        <v>0</v>
      </c>
      <c r="H129" s="4">
        <f>IF(A129="","",$B$10)</f>
        <v>0</v>
      </c>
      <c r="I129" s="4">
        <f>IF(A129="","",$B$5)</f>
        <v>0.333</v>
      </c>
      <c r="J129" s="3">
        <f>IF(OR(A129="",B129=""),"",ROUND((B129+E129+F129+G129)/(1-H129-I129),-1))</f>
        <v>2440</v>
      </c>
      <c r="K129" s="3">
        <f>IF(J129="","",J129-B129-E129-F129-G129-(J129*H129))</f>
        <v>815</v>
      </c>
      <c r="L129" s="2">
        <f>IF(J129="","",K129/J129)</f>
        <v>0.33401639344262296</v>
      </c>
    </row>
    <row r="130">
      <c r="A130" t="str">
        <v>DAV014</v>
      </c>
      <c r="B130" s="3">
        <v>1600</v>
      </c>
      <c r="C130" s="3" t="str">
        <v>NO</v>
      </c>
      <c r="D130" s="3">
        <f>IF(A130="","",$B$7/$B$6)</f>
        <v>25</v>
      </c>
      <c r="E130" s="3">
        <f>IF(A130="","",IF(C130="NO",0,IF(D130&lt;&gt;"",D130,$B$11)))</f>
        <v>0</v>
      </c>
      <c r="F130" s="3">
        <f>IF(A130="","",$B$7/$B$6)</f>
        <v>25</v>
      </c>
      <c r="G130" s="3">
        <f>IF(A130="","",($B$8-$B$9)/$B$6)</f>
        <v>0</v>
      </c>
      <c r="H130" s="4">
        <f>IF(A130="","",$B$10)</f>
        <v>0</v>
      </c>
      <c r="I130" s="4">
        <f>IF(A130="","",$B$5)</f>
        <v>0.333</v>
      </c>
      <c r="J130" s="3">
        <f>IF(OR(A130="",B130=""),"",ROUND((B130+E130+F130+G130)/(1-H130-I130),-1))</f>
        <v>2440</v>
      </c>
      <c r="K130" s="3">
        <f>IF(J130="","",J130-B130-E130-F130-G130-(J130*H130))</f>
        <v>815</v>
      </c>
      <c r="L130" s="2">
        <f>IF(J130="","",K130/J130)</f>
        <v>0.33401639344262296</v>
      </c>
    </row>
    <row r="131">
      <c r="A131" t="str">
        <v>DAV015</v>
      </c>
      <c r="B131" s="3">
        <v>2000</v>
      </c>
      <c r="C131" s="3" t="str">
        <v>NO</v>
      </c>
      <c r="D131" s="3">
        <f>IF(A131="","",$B$7/$B$6)</f>
        <v>25</v>
      </c>
      <c r="E131" s="3">
        <f>IF(A131="","",IF(C131="NO",0,IF(D131&lt;&gt;"",D131,$B$11)))</f>
        <v>0</v>
      </c>
      <c r="F131" s="3">
        <f>IF(A131="","",$B$7/$B$6)</f>
        <v>25</v>
      </c>
      <c r="G131" s="3">
        <f>IF(A131="","",($B$8-$B$9)/$B$6)</f>
        <v>0</v>
      </c>
      <c r="H131" s="4">
        <f>IF(A131="","",$B$10)</f>
        <v>0</v>
      </c>
      <c r="I131" s="4">
        <f>IF(A131="","",$B$5)</f>
        <v>0.333</v>
      </c>
      <c r="J131" s="3">
        <f>IF(OR(A131="",B131=""),"",ROUND((B131+E131+F131+G131)/(1-H131-I131),-1))</f>
        <v>3040</v>
      </c>
      <c r="K131" s="3">
        <f>IF(J131="","",J131-B131-E131-F131-G131-(J131*H131))</f>
        <v>1015</v>
      </c>
      <c r="L131" s="2">
        <f>IF(J131="","",K131/J131)</f>
        <v>0.3338815789473684</v>
      </c>
    </row>
    <row r="132">
      <c r="A132" t="str">
        <v>DAV016</v>
      </c>
      <c r="B132" s="3">
        <v>2000</v>
      </c>
      <c r="C132" s="3" t="str">
        <v>NO</v>
      </c>
      <c r="D132" s="3">
        <f>IF(A132="","",$B$7/$B$6)</f>
        <v>25</v>
      </c>
      <c r="E132" s="3">
        <f>IF(A132="","",IF(C132="NO",0,IF(D132&lt;&gt;"",D132,$B$11)))</f>
        <v>0</v>
      </c>
      <c r="F132" s="3">
        <f>IF(A132="","",$B$7/$B$6)</f>
        <v>25</v>
      </c>
      <c r="G132" s="3">
        <f>IF(A132="","",($B$8-$B$9)/$B$6)</f>
        <v>0</v>
      </c>
      <c r="H132" s="4">
        <f>IF(A132="","",$B$10)</f>
        <v>0</v>
      </c>
      <c r="I132" s="4">
        <f>IF(A132="","",$B$5)</f>
        <v>0.333</v>
      </c>
      <c r="J132" s="3">
        <f>IF(OR(A132="",B132=""),"",ROUND((B132+E132+F132+G132)/(1-H132-I132),-1))</f>
        <v>3040</v>
      </c>
      <c r="K132" s="3">
        <f>IF(J132="","",J132-B132-E132-F132-G132-(J132*H132))</f>
        <v>1015</v>
      </c>
      <c r="L132" s="2">
        <f>IF(J132="","",K132/J132)</f>
        <v>0.3338815789473684</v>
      </c>
    </row>
    <row r="133">
      <c r="A133" t="str">
        <v>DAV017</v>
      </c>
      <c r="B133" s="3">
        <v>2000</v>
      </c>
      <c r="C133" s="3" t="str">
        <v>NO</v>
      </c>
      <c r="D133" s="3">
        <f>IF(A133="","",$B$7/$B$6)</f>
        <v>25</v>
      </c>
      <c r="E133" s="3">
        <f>IF(A133="","",IF(C133="NO",0,IF(D133&lt;&gt;"",D133,$B$11)))</f>
        <v>0</v>
      </c>
      <c r="F133" s="3">
        <f>IF(A133="","",$B$7/$B$6)</f>
        <v>25</v>
      </c>
      <c r="G133" s="3">
        <f>IF(A133="","",($B$8-$B$9)/$B$6)</f>
        <v>0</v>
      </c>
      <c r="H133" s="4">
        <f>IF(A133="","",$B$10)</f>
        <v>0</v>
      </c>
      <c r="I133" s="4">
        <f>IF(A133="","",$B$5)</f>
        <v>0.333</v>
      </c>
      <c r="J133" s="3">
        <f>IF(OR(A133="",B133=""),"",ROUND((B133+E133+F133+G133)/(1-H133-I133),-1))</f>
        <v>3040</v>
      </c>
      <c r="K133" s="3">
        <f>IF(J133="","",J133-B133-E133-F133-G133-(J133*H133))</f>
        <v>1015</v>
      </c>
      <c r="L133" s="2">
        <f>IF(J133="","",K133/J133)</f>
        <v>0.3338815789473684</v>
      </c>
    </row>
    <row r="134">
      <c r="A134" t="str">
        <v>DAV018</v>
      </c>
      <c r="B134" s="3">
        <v>2000</v>
      </c>
      <c r="C134" s="3" t="str">
        <v>NO</v>
      </c>
      <c r="D134" s="3">
        <f>IF(A134="","",$B$7/$B$6)</f>
        <v>25</v>
      </c>
      <c r="E134" s="3">
        <f>IF(A134="","",IF(C134="NO",0,IF(D134&lt;&gt;"",D134,$B$11)))</f>
        <v>0</v>
      </c>
      <c r="F134" s="3">
        <f>IF(A134="","",$B$7/$B$6)</f>
        <v>25</v>
      </c>
      <c r="G134" s="3">
        <f>IF(A134="","",($B$8-$B$9)/$B$6)</f>
        <v>0</v>
      </c>
      <c r="H134" s="4">
        <f>IF(A134="","",$B$10)</f>
        <v>0</v>
      </c>
      <c r="I134" s="4">
        <f>IF(A134="","",$B$5)</f>
        <v>0.333</v>
      </c>
      <c r="J134" s="3">
        <f>IF(OR(A134="",B134=""),"",ROUND((B134+E134+F134+G134)/(1-H134-I134),-1))</f>
        <v>3040</v>
      </c>
      <c r="K134" s="3">
        <f>IF(J134="","",J134-B134-E134-F134-G134-(J134*H134))</f>
        <v>1015</v>
      </c>
      <c r="L134" s="2">
        <f>IF(J134="","",K134/J134)</f>
        <v>0.3338815789473684</v>
      </c>
    </row>
    <row r="135">
      <c r="A135" t="str">
        <v>DAV019</v>
      </c>
      <c r="B135" s="3">
        <v>2000</v>
      </c>
      <c r="C135" s="3" t="str">
        <v>NO</v>
      </c>
      <c r="D135" s="3">
        <f>IF(A135="","",$B$7/$B$6)</f>
        <v>25</v>
      </c>
      <c r="E135" s="3">
        <f>IF(A135="","",IF(C135="NO",0,IF(D135&lt;&gt;"",D135,$B$11)))</f>
        <v>0</v>
      </c>
      <c r="F135" s="3">
        <f>IF(A135="","",$B$7/$B$6)</f>
        <v>25</v>
      </c>
      <c r="G135" s="3">
        <f>IF(A135="","",($B$8-$B$9)/$B$6)</f>
        <v>0</v>
      </c>
      <c r="H135" s="4">
        <f>IF(A135="","",$B$10)</f>
        <v>0</v>
      </c>
      <c r="I135" s="4">
        <f>IF(A135="","",$B$5)</f>
        <v>0.333</v>
      </c>
      <c r="J135" s="3">
        <f>IF(OR(A135="",B135=""),"",ROUND((B135+E135+F135+G135)/(1-H135-I135),-1))</f>
        <v>3040</v>
      </c>
      <c r="K135" s="3">
        <f>IF(J135="","",J135-B135-E135-F135-G135-(J135*H135))</f>
        <v>1015</v>
      </c>
      <c r="L135" s="2">
        <f>IF(J135="","",K135/J135)</f>
        <v>0.3338815789473684</v>
      </c>
    </row>
    <row r="136">
      <c r="A136" t="str">
        <v>DAV020</v>
      </c>
      <c r="B136" s="3">
        <v>2000</v>
      </c>
      <c r="C136" s="3" t="str">
        <v>NO</v>
      </c>
      <c r="D136" s="3">
        <f>IF(A136="","",$B$7/$B$6)</f>
        <v>25</v>
      </c>
      <c r="E136" s="3">
        <f>IF(A136="","",IF(C136="NO",0,IF(D136&lt;&gt;"",D136,$B$11)))</f>
        <v>0</v>
      </c>
      <c r="F136" s="3">
        <f>IF(A136="","",$B$7/$B$6)</f>
        <v>25</v>
      </c>
      <c r="G136" s="3">
        <f>IF(A136="","",($B$8-$B$9)/$B$6)</f>
        <v>0</v>
      </c>
      <c r="H136" s="4">
        <f>IF(A136="","",$B$10)</f>
        <v>0</v>
      </c>
      <c r="I136" s="4">
        <f>IF(A136="","",$B$5)</f>
        <v>0.333</v>
      </c>
      <c r="J136" s="3">
        <f>IF(OR(A136="",B136=""),"",ROUND((B136+E136+F136+G136)/(1-H136-I136),-1))</f>
        <v>3040</v>
      </c>
      <c r="K136" s="3">
        <f>IF(J136="","",J136-B136-E136-F136-G136-(J136*H136))</f>
        <v>1015</v>
      </c>
      <c r="L136" s="2">
        <f>IF(J136="","",K136/J136)</f>
        <v>0.3338815789473684</v>
      </c>
    </row>
    <row r="137">
      <c r="A137" t="str">
        <v>DAV021</v>
      </c>
      <c r="B137" s="3">
        <v>2000</v>
      </c>
      <c r="C137" s="3" t="str">
        <v>NO</v>
      </c>
      <c r="D137" s="3">
        <f>IF(A137="","",$B$7/$B$6)</f>
        <v>25</v>
      </c>
      <c r="E137" s="3">
        <f>IF(A137="","",IF(C137="NO",0,IF(D137&lt;&gt;"",D137,$B$11)))</f>
        <v>0</v>
      </c>
      <c r="F137" s="3">
        <f>IF(A137="","",$B$7/$B$6)</f>
        <v>25</v>
      </c>
      <c r="G137" s="3">
        <f>IF(A137="","",($B$8-$B$9)/$B$6)</f>
        <v>0</v>
      </c>
      <c r="H137" s="4">
        <f>IF(A137="","",$B$10)</f>
        <v>0</v>
      </c>
      <c r="I137" s="4">
        <f>IF(A137="","",$B$5)</f>
        <v>0.333</v>
      </c>
      <c r="J137" s="3">
        <f>IF(OR(A137="",B137=""),"",ROUND((B137+E137+F137+G137)/(1-H137-I137),-1))</f>
        <v>3040</v>
      </c>
      <c r="K137" s="3">
        <f>IF(J137="","",J137-B137-E137-F137-G137-(J137*H137))</f>
        <v>1015</v>
      </c>
      <c r="L137" s="2">
        <f>IF(J137="","",K137/J137)</f>
        <v>0.3338815789473684</v>
      </c>
    </row>
    <row r="138">
      <c r="A138" t="str">
        <v>DAV022</v>
      </c>
      <c r="B138" s="3">
        <v>2000</v>
      </c>
      <c r="C138" s="3" t="str">
        <v>NO</v>
      </c>
      <c r="D138" s="3">
        <f>IF(A138="","",$B$7/$B$6)</f>
        <v>25</v>
      </c>
      <c r="E138" s="3">
        <f>IF(A138="","",IF(C138="NO",0,IF(D138&lt;&gt;"",D138,$B$11)))</f>
        <v>0</v>
      </c>
      <c r="F138" s="3">
        <f>IF(A138="","",$B$7/$B$6)</f>
        <v>25</v>
      </c>
      <c r="G138" s="3">
        <f>IF(A138="","",($B$8-$B$9)/$B$6)</f>
        <v>0</v>
      </c>
      <c r="H138" s="4">
        <f>IF(A138="","",$B$10)</f>
        <v>0</v>
      </c>
      <c r="I138" s="4">
        <f>IF(A138="","",$B$5)</f>
        <v>0.333</v>
      </c>
      <c r="J138" s="3">
        <f>IF(OR(A138="",B138=""),"",ROUND((B138+E138+F138+G138)/(1-H138-I138),-1))</f>
        <v>3040</v>
      </c>
      <c r="K138" s="3">
        <f>IF(J138="","",J138-B138-E138-F138-G138-(J138*H138))</f>
        <v>1015</v>
      </c>
      <c r="L138" s="2">
        <f>IF(J138="","",K138/J138)</f>
        <v>0.3338815789473684</v>
      </c>
    </row>
    <row r="139">
      <c r="A139" t="str">
        <v>DAV023</v>
      </c>
      <c r="B139" s="3">
        <v>2000</v>
      </c>
      <c r="C139" s="3" t="str">
        <v>NO</v>
      </c>
      <c r="D139" s="3">
        <f>IF(A139="","",$B$7/$B$6)</f>
        <v>25</v>
      </c>
      <c r="E139" s="3">
        <f>IF(A139="","",IF(C139="NO",0,IF(D139&lt;&gt;"",D139,$B$11)))</f>
        <v>0</v>
      </c>
      <c r="F139" s="3">
        <f>IF(A139="","",$B$7/$B$6)</f>
        <v>25</v>
      </c>
      <c r="G139" s="3">
        <f>IF(A139="","",($B$8-$B$9)/$B$6)</f>
        <v>0</v>
      </c>
      <c r="H139" s="4">
        <f>IF(A139="","",$B$10)</f>
        <v>0</v>
      </c>
      <c r="I139" s="4">
        <f>IF(A139="","",$B$5)</f>
        <v>0.333</v>
      </c>
      <c r="J139" s="3">
        <f>IF(OR(A139="",B139=""),"",ROUND((B139+E139+F139+G139)/(1-H139-I139),-1))</f>
        <v>3040</v>
      </c>
      <c r="K139" s="3">
        <f>IF(J139="","",J139-B139-E139-F139-G139-(J139*H139))</f>
        <v>1015</v>
      </c>
      <c r="L139" s="2">
        <f>IF(J139="","",K139/J139)</f>
        <v>0.3338815789473684</v>
      </c>
    </row>
    <row r="140">
      <c r="A140" t="str">
        <v>DAV024</v>
      </c>
      <c r="B140" s="3">
        <v>2000</v>
      </c>
      <c r="C140" s="3" t="str">
        <v>NO</v>
      </c>
      <c r="D140" s="3">
        <f>IF(A140="","",$B$7/$B$6)</f>
        <v>25</v>
      </c>
      <c r="E140" s="3">
        <f>IF(A140="","",IF(C140="NO",0,IF(D140&lt;&gt;"",D140,$B$11)))</f>
        <v>0</v>
      </c>
      <c r="F140" s="3">
        <f>IF(A140="","",$B$7/$B$6)</f>
        <v>25</v>
      </c>
      <c r="G140" s="3">
        <f>IF(A140="","",($B$8-$B$9)/$B$6)</f>
        <v>0</v>
      </c>
      <c r="H140" s="4">
        <f>IF(A140="","",$B$10)</f>
        <v>0</v>
      </c>
      <c r="I140" s="4">
        <f>IF(A140="","",$B$5)</f>
        <v>0.333</v>
      </c>
      <c r="J140" s="3">
        <f>IF(OR(A140="",B140=""),"",ROUND((B140+E140+F140+G140)/(1-H140-I140),-1))</f>
        <v>3040</v>
      </c>
      <c r="K140" s="3">
        <f>IF(J140="","",J140-B140-E140-F140-G140-(J140*H140))</f>
        <v>1015</v>
      </c>
      <c r="L140" s="2">
        <f>IF(J140="","",K140/J140)</f>
        <v>0.3338815789473684</v>
      </c>
    </row>
    <row r="141">
      <c r="A141" t="str">
        <v>DAV025</v>
      </c>
      <c r="B141" s="3">
        <v>2000</v>
      </c>
      <c r="C141" s="3" t="str">
        <v>NO</v>
      </c>
      <c r="D141" s="3">
        <v>1000</v>
      </c>
      <c r="E141" s="3">
        <f>IF(A141="","",IF(C141="NO",0,IF(D141&lt;&gt;"",D141,$B$11)))</f>
        <v>0</v>
      </c>
      <c r="F141" s="3">
        <f>IF(A141="","",$B$7/$B$6)</f>
        <v>25</v>
      </c>
      <c r="G141" s="3">
        <f>IF(A141="","",($B$8-$B$9)/$B$6)</f>
        <v>0</v>
      </c>
      <c r="H141" s="4">
        <f>IF(A141="","",$B$10)</f>
        <v>0</v>
      </c>
      <c r="I141" s="4">
        <f>IF(A141="","",$B$5)</f>
        <v>0.333</v>
      </c>
      <c r="J141" s="3">
        <f>IF(OR(A141="",B141=""),"",ROUND((B141+E141+F141+G141)/(1-H141-I141),-1))</f>
        <v>3040</v>
      </c>
      <c r="K141" s="3">
        <f>IF(J141="","",J141-B141-E141-F141-G141-(J141*H141))</f>
        <v>1015</v>
      </c>
      <c r="L141" s="2">
        <f>IF(J141="","",K141/J141)</f>
        <v>0.3338815789473684</v>
      </c>
    </row>
    <row r="142">
      <c r="A142" t="str">
        <v>DAV026</v>
      </c>
      <c r="B142" s="3">
        <v>2000</v>
      </c>
      <c r="C142" s="3" t="str">
        <v>NO</v>
      </c>
      <c r="D142" s="3">
        <v>1000</v>
      </c>
      <c r="E142" s="3">
        <f>IF(A142="","",IF(C142="NO",0,IF(D142&lt;&gt;"",D142,$B$11)))</f>
        <v>0</v>
      </c>
      <c r="F142" s="3">
        <f>IF(A142="","",$B$7/$B$6)</f>
        <v>25</v>
      </c>
      <c r="G142" s="3">
        <f>IF(A142="","",($B$8-$B$9)/$B$6)</f>
        <v>0</v>
      </c>
      <c r="H142" s="4">
        <f>IF(A142="","",$B$10)</f>
        <v>0</v>
      </c>
      <c r="I142" s="4">
        <f>IF(A142="","",$B$5)</f>
        <v>0.333</v>
      </c>
      <c r="J142" s="3">
        <f>IF(OR(A142="",B142=""),"",ROUND((B142+E142+F142+G142)/(1-H142-I142),-1))</f>
        <v>3040</v>
      </c>
      <c r="K142" s="3">
        <f>IF(J142="","",J142-B142-E142-F142-G142-(J142*H142))</f>
        <v>1015</v>
      </c>
      <c r="L142" s="2">
        <f>IF(J142="","",K142/J142)</f>
        <v>0.3338815789473684</v>
      </c>
    </row>
    <row r="143">
      <c r="A143" t="str">
        <v>DAV027</v>
      </c>
      <c r="B143" s="3">
        <v>2000</v>
      </c>
      <c r="C143" s="3" t="str">
        <v>NO</v>
      </c>
      <c r="D143" s="3">
        <v>1000</v>
      </c>
      <c r="E143" s="3">
        <f>IF(A143="","",IF(C143="NO",0,IF(D143&lt;&gt;"",D143,$B$11)))</f>
        <v>0</v>
      </c>
      <c r="F143" s="3">
        <f>IF(A143="","",$B$7/$B$6)</f>
        <v>25</v>
      </c>
      <c r="G143" s="3">
        <f>IF(A143="","",($B$8-$B$9)/$B$6)</f>
        <v>0</v>
      </c>
      <c r="H143" s="4">
        <f>IF(A143="","",$B$10)</f>
        <v>0</v>
      </c>
      <c r="I143" s="4">
        <f>IF(A143="","",$B$5)</f>
        <v>0.333</v>
      </c>
      <c r="J143" s="3">
        <f>IF(OR(A143="",B143=""),"",ROUND((B143+E143+F143+G143)/(1-H143-I143),-1))</f>
        <v>3040</v>
      </c>
      <c r="K143" s="3">
        <f>IF(J143="","",J143-B143-E143-F143-G143-(J143*H143))</f>
        <v>1015</v>
      </c>
      <c r="L143" s="2">
        <f>IF(J143="","",K143/J143)</f>
        <v>0.3338815789473684</v>
      </c>
    </row>
    <row r="144">
      <c r="A144" t="str">
        <v>PROM001</v>
      </c>
      <c r="B144" s="3">
        <v>20000</v>
      </c>
      <c r="C144" s="3" t="str">
        <v>SI</v>
      </c>
      <c r="D144" s="3">
        <v>3000</v>
      </c>
      <c r="E144" s="3">
        <f>IF(A144="","",IF(C144="NO",0,IF(D144&lt;&gt;"",D144,$B$11)))</f>
        <v>3000</v>
      </c>
      <c r="F144" s="3">
        <f>IF(A144="","",$B$7/$B$6)</f>
        <v>25</v>
      </c>
      <c r="G144" s="3">
        <f>IF(A144="","",($B$8-$B$9)/$B$6)</f>
        <v>0</v>
      </c>
      <c r="H144" s="4">
        <f>IF(A144="","",$B$10)</f>
        <v>0</v>
      </c>
      <c r="I144" s="4">
        <f>IF(A144="","",$B$5)</f>
        <v>0.333</v>
      </c>
      <c r="J144" s="3">
        <f>IF(OR(A144="",B144=""),"",ROUND((B144+E144+F144+G144)/(1-H144-I144),-1))</f>
        <v>34520</v>
      </c>
      <c r="K144" s="3">
        <f>IF(J144="","",J144-B144-E144-F144-G144-(J144*H144))</f>
        <v>11495</v>
      </c>
      <c r="L144" s="2">
        <f>IF(J144="","",K144/J144)</f>
        <v>0.33299536500579374</v>
      </c>
    </row>
    <row r="145">
      <c r="A145" t="str">
        <v>PROM002</v>
      </c>
      <c r="B145" s="3">
        <v>6500</v>
      </c>
      <c r="C145" s="3" t="str">
        <v>SI</v>
      </c>
      <c r="D145" s="3">
        <v>3000</v>
      </c>
      <c r="E145" s="3">
        <f>IF(A145="","",IF(C145="NO",0,IF(D145&lt;&gt;"",D145,$B$11)))</f>
        <v>3000</v>
      </c>
      <c r="F145" s="3">
        <f>IF(A145="","",$B$7/$B$6)</f>
        <v>25</v>
      </c>
      <c r="G145" s="3">
        <f>IF(A145="","",($B$8-$B$9)/$B$6)</f>
        <v>0</v>
      </c>
      <c r="H145" s="4">
        <f>IF(A145="","",$B$10)</f>
        <v>0</v>
      </c>
      <c r="I145" s="4">
        <f>IF(A145="","",$B$5)</f>
        <v>0.333</v>
      </c>
      <c r="J145" s="3">
        <f>IF(OR(A145="",B145=""),"",ROUND((B145+E145+F145+G145)/(1-H145-I145),-1))</f>
        <v>14280</v>
      </c>
      <c r="K145" s="3">
        <f>IF(J145="","",J145-B145-E145-F145-G145-(J145*H145))</f>
        <v>4755</v>
      </c>
      <c r="L145" s="2">
        <f>IF(J145="","",K145/J145)</f>
        <v>0.3329831932773109</v>
      </c>
    </row>
    <row r="146">
      <c r="A146" t="str">
        <v>PROM003</v>
      </c>
      <c r="B146" s="3">
        <v>9000</v>
      </c>
      <c r="C146" s="3" t="str">
        <v>SI</v>
      </c>
      <c r="D146" s="3">
        <v>2000</v>
      </c>
      <c r="E146" s="3">
        <f>IF(A146="","",IF(C146="NO",0,IF(D146&lt;&gt;"",D146,$B$11)))</f>
        <v>2000</v>
      </c>
      <c r="F146" s="3">
        <f>IF(A146="","",$B$7/$B$6)</f>
        <v>25</v>
      </c>
      <c r="G146" s="3">
        <f>IF(A146="","",($B$8-$B$9)/$B$6)</f>
        <v>0</v>
      </c>
      <c r="H146" s="4">
        <f>IF(A146="","",$B$10)</f>
        <v>0</v>
      </c>
      <c r="I146" s="4">
        <f>IF(A146="","",$B$5)</f>
        <v>0.333</v>
      </c>
      <c r="J146" s="3">
        <f>IF(OR(A146="",B146=""),"",ROUND((B146+E146+F146+G146)/(1-H146-I146),-1))</f>
        <v>16530</v>
      </c>
      <c r="K146" s="3">
        <f>IF(J146="","",J146-B146-E146-F146-G146-(J146*H146))</f>
        <v>5505</v>
      </c>
      <c r="L146" s="2">
        <f>IF(J146="","",K146/J146)</f>
        <v>0.33303085299455537</v>
      </c>
    </row>
    <row r="147">
      <c r="A147" t="str">
        <v>CLO002</v>
      </c>
      <c r="B147" s="3">
        <v>1660</v>
      </c>
      <c r="C147" s="3" t="str">
        <v>SÍ</v>
      </c>
      <c r="D147" s="3">
        <v>1000</v>
      </c>
      <c r="E147" s="3">
        <f>IF(A147="","",IF(C147="NO",0,IF(D147&lt;&gt;"",D147,$B$11)))</f>
        <v>1000</v>
      </c>
      <c r="F147" s="3">
        <f>IF(A147="","",$B$7/$B$6)</f>
        <v>25</v>
      </c>
      <c r="G147" s="3">
        <f>IF(A147="","",($B$8-$B$9)/$B$6)</f>
        <v>0</v>
      </c>
      <c r="H147" s="4">
        <f>IF(A147="","",$B$10)</f>
        <v>0</v>
      </c>
      <c r="I147" s="4">
        <f>IF(A147="","",$B$5)</f>
        <v>0.333</v>
      </c>
      <c r="J147" s="3">
        <f>IF(OR(A147="",B147=""),"",ROUND((B147+E147+F147+G147)/(1-H147-I147),-1))</f>
        <v>4030</v>
      </c>
      <c r="K147" s="3">
        <f>IF(J147="","",J147-B147-E147-F147-G147-(J147*H147))</f>
        <v>1345</v>
      </c>
      <c r="L147" s="2">
        <f>IF(J147="","",K147/J147)</f>
        <v>0.3337468982630273</v>
      </c>
    </row>
    <row r="148">
      <c r="A148" t="str">
        <v>CLO003</v>
      </c>
      <c r="B148" s="3">
        <v>9960</v>
      </c>
      <c r="C148" s="3" t="str">
        <v>SÍ</v>
      </c>
      <c r="D148" s="3">
        <v>1000</v>
      </c>
      <c r="E148" s="3">
        <f>IF(A148="","",IF(C148="NO",0,IF(D148&lt;&gt;"",D148,$B$11)))</f>
        <v>1000</v>
      </c>
      <c r="F148" s="3">
        <f>IF(A148="","",$B$7/$B$6)</f>
        <v>25</v>
      </c>
      <c r="G148" s="3">
        <f>IF(A148="","",($B$8-$B$9)/$B$6)</f>
        <v>0</v>
      </c>
      <c r="H148" s="4">
        <f>IF(A148="","",$B$10)</f>
        <v>0</v>
      </c>
      <c r="I148" s="4">
        <f>IF(A148="","",$B$5)</f>
        <v>0.333</v>
      </c>
      <c r="J148" s="3">
        <f>IF(OR(A148="",B148=""),"",ROUND((B148+E148+F148+G148)/(1-H148-I148),-1))</f>
        <v>16470</v>
      </c>
      <c r="K148" s="3">
        <f>IF(J148="","",J148-B148-E148-F148-G148-(J148*H148))</f>
        <v>5485</v>
      </c>
      <c r="L148" s="2">
        <f>IF(J148="","",K148/J148)</f>
        <v>0.33302975106253796</v>
      </c>
    </row>
    <row r="149">
      <c r="A149" t="str">
        <v>DET002</v>
      </c>
      <c r="B149" s="3">
        <v>1800</v>
      </c>
      <c r="C149" s="3" t="str">
        <v>SÍ</v>
      </c>
      <c r="D149" s="3">
        <v>1000</v>
      </c>
      <c r="E149" s="3">
        <f>IF(A149="","",IF(C149="NO",0,IF(D149&lt;&gt;"",D149,$B$11)))</f>
        <v>1000</v>
      </c>
      <c r="F149" s="3">
        <f>IF(A149="","",$B$7/$B$6)</f>
        <v>25</v>
      </c>
      <c r="G149" s="3">
        <f>IF(A149="","",($B$8-$B$9)/$B$6)</f>
        <v>0</v>
      </c>
      <c r="H149" s="4">
        <f>IF(A149="","",$B$10)</f>
        <v>0</v>
      </c>
      <c r="I149" s="4">
        <f>IF(A149="","",$B$5)</f>
        <v>0.333</v>
      </c>
      <c r="J149" s="3">
        <f>IF(OR(A149="",B149=""),"",ROUND((B149+E149+F149+G149)/(1-H149-I149),-1))</f>
        <v>4240</v>
      </c>
      <c r="K149" s="3">
        <f>IF(J149="","",J149-B149-E149-F149-G149-(J149*H149))</f>
        <v>1415</v>
      </c>
      <c r="L149" s="2">
        <f>IF(J149="","",K149/J149)</f>
        <v>0.33372641509433965</v>
      </c>
    </row>
    <row r="150">
      <c r="A150" t="str">
        <v>DET003</v>
      </c>
      <c r="B150" s="3">
        <v>10800</v>
      </c>
      <c r="C150" s="3" t="str">
        <v>SÍ</v>
      </c>
      <c r="D150" s="3">
        <v>6000</v>
      </c>
      <c r="E150" s="3">
        <f>IF(A150="","",IF(C150="NO",0,IF(D150&lt;&gt;"",D150,$B$11)))</f>
        <v>6000</v>
      </c>
      <c r="F150" s="3">
        <f>IF(A150="","",$B$7/$B$6)</f>
        <v>25</v>
      </c>
      <c r="G150" s="3">
        <f>IF(A150="","",($B$8-$B$9)/$B$6)</f>
        <v>0</v>
      </c>
      <c r="H150" s="4">
        <f>IF(A150="","",$B$10)</f>
        <v>0</v>
      </c>
      <c r="I150" s="4">
        <f>IF(A150="","",$B$5)</f>
        <v>0.333</v>
      </c>
      <c r="J150" s="3">
        <f>IF(OR(A150="",B150=""),"",ROUND((B150+E150+F150+G150)/(1-H150-I150),-1))</f>
        <v>25220</v>
      </c>
      <c r="K150" s="3">
        <f>IF(J150="","",J150-B150-E150-F150-G150-(J150*H150))</f>
        <v>8395</v>
      </c>
      <c r="L150" s="2">
        <f>IF(J150="","",K150/J150)</f>
        <v>0.33287073750991275</v>
      </c>
    </row>
    <row r="151">
      <c r="A151" t="str">
        <v>LVA003</v>
      </c>
      <c r="B151" s="3">
        <v>1550</v>
      </c>
      <c r="C151" s="3" t="str">
        <v>SÍ</v>
      </c>
      <c r="D151" s="3">
        <v>1000</v>
      </c>
      <c r="E151" s="3">
        <f>IF(A151="","",IF(C151="NO",0,IF(D151&lt;&gt;"",D151,$B$11)))</f>
        <v>1000</v>
      </c>
      <c r="F151" s="3">
        <f>IF(A151="","",$B$7/$B$6)</f>
        <v>25</v>
      </c>
      <c r="G151" s="3">
        <f>IF(A151="","",($B$8-$B$9)/$B$6)</f>
        <v>0</v>
      </c>
      <c r="H151" s="4">
        <f>IF(A151="","",$B$10)</f>
        <v>0</v>
      </c>
      <c r="I151" s="4">
        <f>IF(A151="","",$B$5)</f>
        <v>0.333</v>
      </c>
      <c r="J151" s="3">
        <f>IF(OR(A151="",B151=""),"",ROUND((B151+E151+F151+G151)/(1-H151-I151),-1))</f>
        <v>3860</v>
      </c>
      <c r="K151" s="3">
        <f>IF(J151="","",J151-B151-E151-F151-G151-(J151*H151))</f>
        <v>1285</v>
      </c>
      <c r="L151" s="2">
        <f>IF(J151="","",K151/J151)</f>
        <v>0.3329015544041451</v>
      </c>
    </row>
    <row r="152">
      <c r="A152" t="str">
        <v>LVA004</v>
      </c>
      <c r="B152" s="3">
        <v>9300</v>
      </c>
      <c r="C152" s="3" t="str">
        <v>SÍ</v>
      </c>
      <c r="D152" s="3">
        <v>1000</v>
      </c>
      <c r="E152" s="3">
        <f>IF(A152="","",IF(C152="NO",0,IF(D152&lt;&gt;"",D152,$B$11)))</f>
        <v>1000</v>
      </c>
      <c r="F152" s="3">
        <f>IF(A152="","",$B$7/$B$6)</f>
        <v>25</v>
      </c>
      <c r="G152" s="3">
        <f>IF(A152="","",($B$8-$B$9)/$B$6)</f>
        <v>0</v>
      </c>
      <c r="H152" s="4">
        <f>IF(A152="","",$B$10)</f>
        <v>0</v>
      </c>
      <c r="I152" s="4">
        <f>IF(A152="","",$B$5)</f>
        <v>0.333</v>
      </c>
      <c r="J152" s="3">
        <f>IF(OR(A152="",B152=""),"",ROUND((B152+E152+F152+G152)/(1-H152-I152),-1))</f>
        <v>15480</v>
      </c>
      <c r="K152" s="3">
        <f>IF(J152="","",J152-B152-E152-F152-G152-(J152*H152))</f>
        <v>5155</v>
      </c>
      <c r="L152" s="2">
        <f>IF(J152="","",K152/J152)</f>
        <v>0.33301033591731266</v>
      </c>
    </row>
    <row r="153">
      <c r="A153" t="str">
        <v>LVA005</v>
      </c>
      <c r="B153" s="3">
        <v>1650</v>
      </c>
      <c r="C153" s="3" t="str">
        <v>SÍ</v>
      </c>
      <c r="D153" s="3">
        <v>1000</v>
      </c>
      <c r="E153" s="3">
        <f>IF(A153="","",IF(C153="NO",0,IF(D153&lt;&gt;"",D153,$B$11)))</f>
        <v>1000</v>
      </c>
      <c r="F153" s="3">
        <f>IF(A153="","",$B$7/$B$6)</f>
        <v>25</v>
      </c>
      <c r="G153" s="3">
        <f>IF(A153="","",($B$8-$B$9)/$B$6)</f>
        <v>0</v>
      </c>
      <c r="H153" s="4">
        <f>IF(A153="","",$B$10)</f>
        <v>0</v>
      </c>
      <c r="I153" s="4">
        <f>IF(A153="","",$B$5)</f>
        <v>0.333</v>
      </c>
      <c r="J153" s="3">
        <f>IF(OR(A153="",B153=""),"",ROUND((B153+E153+F153+G153)/(1-H153-I153),-1))</f>
        <v>4010</v>
      </c>
      <c r="K153" s="3">
        <f>IF(J153="","",J153-B153-E153-F153-G153-(J153*H153))</f>
        <v>1335</v>
      </c>
      <c r="L153" s="2">
        <f>IF(J153="","",K153/J153)</f>
        <v>0.3329177057356609</v>
      </c>
    </row>
    <row r="154">
      <c r="A154" t="str">
        <v>LVA006</v>
      </c>
      <c r="B154" s="3">
        <v>9900</v>
      </c>
      <c r="C154" s="3" t="str">
        <v>SÍ</v>
      </c>
      <c r="D154" s="3">
        <v>1000</v>
      </c>
      <c r="E154" s="3">
        <f>IF(A154="","",IF(C154="NO",0,IF(D154&lt;&gt;"",D154,$B$11)))</f>
        <v>1000</v>
      </c>
      <c r="F154" s="3">
        <f>IF(A154="","",$B$7/$B$6)</f>
        <v>25</v>
      </c>
      <c r="G154" s="3">
        <f>IF(A154="","",($B$8-$B$9)/$B$6)</f>
        <v>0</v>
      </c>
      <c r="H154" s="4">
        <f>IF(A154="","",$B$10)</f>
        <v>0</v>
      </c>
      <c r="I154" s="4">
        <f>IF(A154="","",$B$5)</f>
        <v>0.333</v>
      </c>
      <c r="J154" s="3">
        <f>IF(OR(A154="",B154=""),"",ROUND((B154+E154+F154+G154)/(1-H154-I154),-1))</f>
        <v>16380</v>
      </c>
      <c r="K154" s="3">
        <f>IF(J154="","",J154-B154-E154-F154-G154-(J154*H154))</f>
        <v>5455</v>
      </c>
      <c r="L154" s="2">
        <f>IF(J154="","",K154/J154)</f>
        <v>0.333028083028083</v>
      </c>
    </row>
    <row r="155">
      <c r="A155" t="str">
        <v>SUA003</v>
      </c>
      <c r="B155" s="3">
        <v>450</v>
      </c>
      <c r="C155" s="3" t="str">
        <v>SÍ</v>
      </c>
      <c r="D155" s="3">
        <v>2000</v>
      </c>
      <c r="E155" s="3">
        <f>IF(A155="","",IF(C155="NO",0,IF(D155&lt;&gt;"",D155,$B$11)))</f>
        <v>2000</v>
      </c>
      <c r="F155" s="3">
        <f>IF(A155="","",$B$7/$B$6)</f>
        <v>25</v>
      </c>
      <c r="G155" s="3">
        <f>IF(A155="","",($B$8-$B$9)/$B$6)</f>
        <v>0</v>
      </c>
      <c r="H155" s="4">
        <f>IF(A155="","",$B$10)</f>
        <v>0</v>
      </c>
      <c r="I155" s="4">
        <f>IF(A155="","",$B$5)</f>
        <v>0.333</v>
      </c>
      <c r="J155" s="3">
        <f>IF(OR(A155="",B155=""),"",ROUND((B155+E155+F155+G155)/(1-H155-I155),-1))</f>
        <v>3710</v>
      </c>
      <c r="K155" s="3">
        <f>IF(J155="","",J155-B155-E155-F155-G155-(J155*H155))</f>
        <v>1235</v>
      </c>
      <c r="L155" s="2">
        <f>IF(J155="","",K155/J155)</f>
        <v>0.3328840970350404</v>
      </c>
    </row>
    <row r="156">
      <c r="A156" t="str">
        <v>SUA004</v>
      </c>
      <c r="B156" s="3">
        <v>2700</v>
      </c>
      <c r="C156" s="3" t="str">
        <v>SÍ</v>
      </c>
      <c r="D156" s="3">
        <v>6000</v>
      </c>
      <c r="E156" s="3">
        <f>IF(A156="","",IF(C156="NO",0,IF(D156&lt;&gt;"",D156,$B$11)))</f>
        <v>6000</v>
      </c>
      <c r="F156" s="3">
        <f>IF(A156="","",$B$7/$B$6)</f>
        <v>25</v>
      </c>
      <c r="G156" s="3">
        <f>IF(A156="","",($B$8-$B$9)/$B$6)</f>
        <v>0</v>
      </c>
      <c r="H156" s="4">
        <f>IF(A156="","",$B$10)</f>
        <v>0</v>
      </c>
      <c r="I156" s="4">
        <f>IF(A156="","",$B$5)</f>
        <v>0.333</v>
      </c>
      <c r="J156" s="3">
        <f>IF(OR(A156="",B156=""),"",ROUND((B156+E156+F156+G156)/(1-H156-I156),-1))</f>
        <v>13080</v>
      </c>
      <c r="K156" s="3">
        <f>IF(J156="","",J156-B156-E156-F156-G156-(J156*H156))</f>
        <v>4355</v>
      </c>
      <c r="L156" s="2">
        <f>IF(J156="","",K156/J156)</f>
        <v>0.33295107033639143</v>
      </c>
    </row>
    <row r="157">
      <c r="A157" t="str">
        <v>SUA005</v>
      </c>
      <c r="B157" s="3">
        <v>330</v>
      </c>
      <c r="C157" s="3" t="str">
        <v>SÍ</v>
      </c>
      <c r="D157" s="3">
        <v>2000</v>
      </c>
      <c r="E157" s="3">
        <f>IF(A157="","",IF(C157="NO",0,IF(D157&lt;&gt;"",D157,$B$11)))</f>
        <v>2000</v>
      </c>
      <c r="F157" s="3">
        <f>IF(A157="","",$B$7/$B$6)</f>
        <v>25</v>
      </c>
      <c r="G157" s="3">
        <f>IF(A157="","",($B$8-$B$9)/$B$6)</f>
        <v>0</v>
      </c>
      <c r="H157" s="4">
        <f>IF(A157="","",$B$10)</f>
        <v>0</v>
      </c>
      <c r="I157" s="4">
        <f>IF(A157="","",$B$5)</f>
        <v>0.333</v>
      </c>
      <c r="J157" s="3">
        <f>IF(OR(A157="",B157=""),"",ROUND((B157+E157+F157+G157)/(1-H157-I157),-1))</f>
        <v>3530</v>
      </c>
      <c r="K157" s="3">
        <f>IF(J157="","",J157-B157-E157-F157-G157-(J157*H157))</f>
        <v>1175</v>
      </c>
      <c r="L157" s="2">
        <f>IF(J157="","",K157/J157)</f>
        <v>0.3328611898016997</v>
      </c>
    </row>
    <row r="158">
      <c r="A158" t="str">
        <v>SUA006</v>
      </c>
      <c r="B158" s="3">
        <v>1980</v>
      </c>
      <c r="C158" s="3" t="str">
        <v>SÍ</v>
      </c>
      <c r="D158" s="3">
        <v>6000</v>
      </c>
      <c r="E158" s="3">
        <f>IF(A158="","",IF(C158="NO",0,IF(D158&lt;&gt;"",D158,$B$11)))</f>
        <v>6000</v>
      </c>
      <c r="F158" s="3">
        <f>IF(A158="","",$B$7/$B$6)</f>
        <v>25</v>
      </c>
      <c r="G158" s="3">
        <f>IF(A158="","",($B$8-$B$9)/$B$6)</f>
        <v>0</v>
      </c>
      <c r="H158" s="4">
        <f>IF(A158="","",$B$10)</f>
        <v>0</v>
      </c>
      <c r="I158" s="4">
        <f>IF(A158="","",$B$5)</f>
        <v>0.333</v>
      </c>
      <c r="J158" s="3">
        <f>IF(OR(A158="",B158=""),"",ROUND((B158+E158+F158+G158)/(1-H158-I158),-1))</f>
        <v>12000</v>
      </c>
      <c r="K158" s="3">
        <f>IF(J158="","",J158-B158-E158-F158-G158-(J158*H158))</f>
        <v>3995</v>
      </c>
      <c r="L158" s="2">
        <f>IF(J158="","",K158/J158)</f>
        <v>0.3329166666666667</v>
      </c>
    </row>
    <row r="159">
      <c r="A159" t="str">
        <v>DPP001</v>
      </c>
      <c r="B159" s="3">
        <v>1700</v>
      </c>
      <c r="C159" s="3" t="str">
        <v>SÍ</v>
      </c>
      <c r="D159" s="3">
        <v>1000</v>
      </c>
      <c r="E159" s="3">
        <f>IF(A159="","",IF(C159="NO",0,IF(D159&lt;&gt;"",D159,$B$11)))</f>
        <v>1000</v>
      </c>
      <c r="F159" s="3">
        <f>IF(A159="","",$B$7/$B$6)</f>
        <v>25</v>
      </c>
      <c r="G159" s="3">
        <f>IF(A159="","",($B$8-$B$9)/$B$6)</f>
        <v>0</v>
      </c>
      <c r="H159" s="4">
        <f>IF(A159="","",$B$10)</f>
        <v>0</v>
      </c>
      <c r="I159" s="4">
        <f>IF(A159="","",$B$5)</f>
        <v>0.333</v>
      </c>
      <c r="J159" s="3">
        <f>IF(OR(A159="",B159=""),"",ROUND((B159+E159+F159+G159)/(1-H159-I159),-1))</f>
        <v>4090</v>
      </c>
      <c r="K159" s="3">
        <f>IF(J159="","",J159-B159-E159-F159-G159-(J159*H159))</f>
        <v>1365</v>
      </c>
      <c r="L159" s="2">
        <f>IF(J159="","",K159/J159)</f>
        <v>0.33374083129584353</v>
      </c>
    </row>
    <row r="160">
      <c r="A160" t="str">
        <v>DPP002</v>
      </c>
      <c r="B160" s="3">
        <v>340</v>
      </c>
      <c r="C160" s="3" t="str">
        <v>SÍ</v>
      </c>
      <c r="D160" s="3">
        <v>1000</v>
      </c>
      <c r="E160" s="3">
        <f>IF(A160="","",IF(C160="NO",0,IF(D160&lt;&gt;"",D160,$B$11)))</f>
        <v>1000</v>
      </c>
      <c r="F160" s="3">
        <f>IF(A160="","",$B$7/$B$6)</f>
        <v>25</v>
      </c>
      <c r="G160" s="3">
        <f>IF(A160="","",($B$8-$B$9)/$B$6)</f>
        <v>0</v>
      </c>
      <c r="H160" s="4">
        <f>IF(A160="","",$B$10)</f>
        <v>0</v>
      </c>
      <c r="I160" s="4">
        <f>IF(A160="","",$B$5)</f>
        <v>0.333</v>
      </c>
      <c r="J160" s="3">
        <f>IF(OR(A160="",B160=""),"",ROUND((B160+E160+F160+G160)/(1-H160-I160),-1))</f>
        <v>2050</v>
      </c>
      <c r="K160" s="3">
        <f>IF(J160="","",J160-B160-E160-F160-G160-(J160*H160))</f>
        <v>685</v>
      </c>
      <c r="L160" s="2">
        <f>IF(J160="","",K160/J160)</f>
        <v>0.33414634146341465</v>
      </c>
    </row>
    <row r="161">
      <c r="A161" t="str">
        <v>DPP003</v>
      </c>
      <c r="B161" s="3">
        <v>2040</v>
      </c>
      <c r="C161" s="3" t="str">
        <v>SÍ</v>
      </c>
      <c r="D161" s="3">
        <v>6000</v>
      </c>
      <c r="E161" s="3">
        <f>IF(A161="","",IF(C161="NO",0,IF(D161&lt;&gt;"",D161,$B$11)))</f>
        <v>6000</v>
      </c>
      <c r="F161" s="3">
        <f>IF(A161="","",$B$7/$B$6)</f>
        <v>25</v>
      </c>
      <c r="G161" s="3">
        <f>IF(A161="","",($B$8-$B$9)/$B$6)</f>
        <v>0</v>
      </c>
      <c r="H161" s="4">
        <f>IF(A161="","",$B$10)</f>
        <v>0</v>
      </c>
      <c r="I161" s="4">
        <f>IF(A161="","",$B$5)</f>
        <v>0.333</v>
      </c>
      <c r="J161" s="3">
        <f>IF(OR(A161="",B161=""),"",ROUND((B161+E161+F161+G161)/(1-H161-I161),-1))</f>
        <v>12090</v>
      </c>
      <c r="K161" s="3">
        <f>IF(J161="","",J161-B161-E161-F161-G161-(J161*H161))</f>
        <v>4025</v>
      </c>
      <c r="L161" s="2">
        <f>IF(J161="","",K161/J161)</f>
        <v>0.33291976840363935</v>
      </c>
    </row>
    <row r="162">
      <c r="A162" t="str">
        <v>DPP004</v>
      </c>
      <c r="B162" s="3">
        <v>1700</v>
      </c>
      <c r="C162" s="3" t="str">
        <v>SÍ</v>
      </c>
      <c r="D162" s="3">
        <v>1000</v>
      </c>
      <c r="E162" s="3">
        <f>IF(A162="","",IF(C162="NO",0,IF(D162&lt;&gt;"",D162,$B$11)))</f>
        <v>1000</v>
      </c>
      <c r="F162" s="3">
        <f>IF(A162="","",$B$7/$B$6)</f>
        <v>25</v>
      </c>
      <c r="G162" s="3">
        <f>IF(A162="","",($B$8-$B$9)/$B$6)</f>
        <v>0</v>
      </c>
      <c r="H162" s="4">
        <f>IF(A162="","",$B$10)</f>
        <v>0</v>
      </c>
      <c r="I162" s="4">
        <f>IF(A162="","",$B$5)</f>
        <v>0.333</v>
      </c>
      <c r="J162" s="3">
        <f>IF(OR(A162="",B162=""),"",ROUND((B162+E162+F162+G162)/(1-H162-I162),-1))</f>
        <v>4090</v>
      </c>
      <c r="K162" s="3">
        <f>IF(J162="","",J162-B162-E162-F162-G162-(J162*H162))</f>
        <v>1365</v>
      </c>
      <c r="L162" s="2">
        <f>IF(J162="","",K162/J162)</f>
        <v>0.33374083129584353</v>
      </c>
    </row>
    <row r="163">
      <c r="A163" t="str">
        <v>DPP005</v>
      </c>
      <c r="B163" s="3">
        <v>340</v>
      </c>
      <c r="C163" s="3" t="str">
        <v>SÍ</v>
      </c>
      <c r="D163" s="3">
        <v>1000</v>
      </c>
      <c r="E163" s="3">
        <f>IF(A163="","",IF(C163="NO",0,IF(D163&lt;&gt;"",D163,$B$11)))</f>
        <v>1000</v>
      </c>
      <c r="F163" s="3">
        <f>IF(A163="","",$B$7/$B$6)</f>
        <v>25</v>
      </c>
      <c r="G163" s="3">
        <f>IF(A163="","",($B$8-$B$9)/$B$6)</f>
        <v>0</v>
      </c>
      <c r="H163" s="4">
        <f>IF(A163="","",$B$10)</f>
        <v>0</v>
      </c>
      <c r="I163" s="4">
        <f>IF(A163="","",$B$5)</f>
        <v>0.333</v>
      </c>
      <c r="J163" s="3">
        <f>IF(OR(A163="",B163=""),"",ROUND((B163+E163+F163+G163)/(1-H163-I163),-1))</f>
        <v>2050</v>
      </c>
      <c r="K163" s="3">
        <f>IF(J163="","",J163-B163-E163-F163-G163-(J163*H163))</f>
        <v>685</v>
      </c>
      <c r="L163" s="2">
        <f>IF(J163="","",K163/J163)</f>
        <v>0.33414634146341465</v>
      </c>
    </row>
    <row r="164">
      <c r="A164" t="str">
        <v>DPP006</v>
      </c>
      <c r="B164" s="3">
        <v>2040</v>
      </c>
      <c r="C164" s="3" t="str">
        <v>SÍ</v>
      </c>
      <c r="D164" s="3">
        <v>6000</v>
      </c>
      <c r="E164" s="3">
        <f>IF(A164="","",IF(C164="NO",0,IF(D164&lt;&gt;"",D164,$B$11)))</f>
        <v>6000</v>
      </c>
      <c r="F164" s="3">
        <f>IF(A164="","",$B$7/$B$6)</f>
        <v>25</v>
      </c>
      <c r="G164" s="3">
        <f>IF(A164="","",($B$8-$B$9)/$B$6)</f>
        <v>0</v>
      </c>
      <c r="H164" s="4">
        <f>IF(A164="","",$B$10)</f>
        <v>0</v>
      </c>
      <c r="I164" s="4">
        <f>IF(A164="","",$B$5)</f>
        <v>0.333</v>
      </c>
      <c r="J164" s="3">
        <f>IF(OR(A164="",B164=""),"",ROUND((B164+E164+F164+G164)/(1-H164-I164),-1))</f>
        <v>12090</v>
      </c>
      <c r="K164" s="3">
        <f>IF(J164="","",J164-B164-E164-F164-G164-(J164*H164))</f>
        <v>4025</v>
      </c>
      <c r="L164" s="2">
        <f>IF(J164="","",K164/J164)</f>
        <v>0.33291976840363935</v>
      </c>
    </row>
    <row r="165">
      <c r="A165" t="str">
        <v>DPP007</v>
      </c>
      <c r="B165" s="3">
        <v>1700</v>
      </c>
      <c r="C165" s="3" t="str">
        <v>SÍ</v>
      </c>
      <c r="D165" s="3">
        <v>1000</v>
      </c>
      <c r="E165" s="3">
        <f>IF(A165="","",IF(C165="NO",0,IF(D165&lt;&gt;"",D165,$B$11)))</f>
        <v>1000</v>
      </c>
      <c r="F165" s="3">
        <f>IF(A165="","",$B$7/$B$6)</f>
        <v>25</v>
      </c>
      <c r="G165" s="3">
        <f>IF(A165="","",($B$8-$B$9)/$B$6)</f>
        <v>0</v>
      </c>
      <c r="H165" s="4">
        <f>IF(A165="","",$B$10)</f>
        <v>0</v>
      </c>
      <c r="I165" s="4">
        <f>IF(A165="","",$B$5)</f>
        <v>0.333</v>
      </c>
      <c r="J165" s="3">
        <f>IF(OR(A165="",B165=""),"",ROUND((B165+E165+F165+G165)/(1-H165-I165),-1))</f>
        <v>4090</v>
      </c>
      <c r="K165" s="3">
        <f>IF(J165="","",J165-B165-E165-F165-G165-(J165*H165))</f>
        <v>1365</v>
      </c>
      <c r="L165" s="2">
        <f>IF(J165="","",K165/J165)</f>
        <v>0.33374083129584353</v>
      </c>
    </row>
    <row r="166">
      <c r="A166" t="str">
        <v>DPP008</v>
      </c>
      <c r="B166" s="3">
        <v>340</v>
      </c>
      <c r="C166" s="3" t="str">
        <v>SÍ</v>
      </c>
      <c r="D166" s="3">
        <v>1000</v>
      </c>
      <c r="E166" s="3">
        <f>IF(A166="","",IF(C166="NO",0,IF(D166&lt;&gt;"",D166,$B$11)))</f>
        <v>1000</v>
      </c>
      <c r="F166" s="3">
        <f>IF(A166="","",$B$7/$B$6)</f>
        <v>25</v>
      </c>
      <c r="G166" s="3">
        <f>IF(A166="","",($B$8-$B$9)/$B$6)</f>
        <v>0</v>
      </c>
      <c r="H166" s="4">
        <f>IF(A166="","",$B$10)</f>
        <v>0</v>
      </c>
      <c r="I166" s="4">
        <f>IF(A166="","",$B$5)</f>
        <v>0.333</v>
      </c>
      <c r="J166" s="3">
        <f>IF(OR(A166="",B166=""),"",ROUND((B166+E166+F166+G166)/(1-H166-I166),-1))</f>
        <v>2050</v>
      </c>
      <c r="K166" s="3">
        <f>IF(J166="","",J166-B166-E166-F166-G166-(J166*H166))</f>
        <v>685</v>
      </c>
      <c r="L166" s="2">
        <f>IF(J166="","",K166/J166)</f>
        <v>0.33414634146341465</v>
      </c>
    </row>
    <row r="167">
      <c r="A167" t="str">
        <v>DPP009</v>
      </c>
      <c r="B167" s="3">
        <v>2040</v>
      </c>
      <c r="C167" s="3" t="str">
        <v>SÍ</v>
      </c>
      <c r="D167" s="3">
        <v>6000</v>
      </c>
      <c r="E167" s="3">
        <f>IF(A167="","",IF(C167="NO",0,IF(D167&lt;&gt;"",D167,$B$11)))</f>
        <v>6000</v>
      </c>
      <c r="F167" s="3">
        <f>IF(A167="","",$B$7/$B$6)</f>
        <v>25</v>
      </c>
      <c r="G167" s="3">
        <f>IF(A167="","",($B$8-$B$9)/$B$6)</f>
        <v>0</v>
      </c>
      <c r="H167" s="4">
        <f>IF(A167="","",$B$10)</f>
        <v>0</v>
      </c>
      <c r="I167" s="4">
        <f>IF(A167="","",$B$5)</f>
        <v>0.333</v>
      </c>
      <c r="J167" s="3">
        <f>IF(OR(A167="",B167=""),"",ROUND((B167+E167+F167+G167)/(1-H167-I167),-1))</f>
        <v>12090</v>
      </c>
      <c r="K167" s="3">
        <f>IF(J167="","",J167-B167-E167-F167-G167-(J167*H167))</f>
        <v>4025</v>
      </c>
      <c r="L167" s="2">
        <f>IF(J167="","",K167/J167)</f>
        <v>0.33291976840363935</v>
      </c>
    </row>
    <row r="168">
      <c r="A168" t="str">
        <v>DPP010</v>
      </c>
      <c r="B168" s="3">
        <v>1700</v>
      </c>
      <c r="C168" s="3" t="str">
        <v>SÍ</v>
      </c>
      <c r="D168" s="3">
        <v>1000</v>
      </c>
      <c r="E168" s="3">
        <f>IF(A168="","",IF(C168="NO",0,IF(D168&lt;&gt;"",D168,$B$11)))</f>
        <v>1000</v>
      </c>
      <c r="F168" s="3">
        <f>IF(A168="","",$B$7/$B$6)</f>
        <v>25</v>
      </c>
      <c r="G168" s="3">
        <f>IF(A168="","",($B$8-$B$9)/$B$6)</f>
        <v>0</v>
      </c>
      <c r="H168" s="4">
        <f>IF(A168="","",$B$10)</f>
        <v>0</v>
      </c>
      <c r="I168" s="4">
        <f>IF(A168="","",$B$5)</f>
        <v>0.333</v>
      </c>
      <c r="J168" s="3">
        <f>IF(OR(A168="",B168=""),"",ROUND((B168+E168+F168+G168)/(1-H168-I168),-1))</f>
        <v>4090</v>
      </c>
      <c r="K168" s="3">
        <f>IF(J168="","",J168-B168-E168-F168-G168-(J168*H168))</f>
        <v>1365</v>
      </c>
      <c r="L168" s="2">
        <f>IF(J168="","",K168/J168)</f>
        <v>0.33374083129584353</v>
      </c>
    </row>
    <row r="169">
      <c r="A169" t="str">
        <v>DPP011</v>
      </c>
      <c r="B169" s="3">
        <v>340</v>
      </c>
      <c r="C169" s="3" t="str">
        <v>SÍ</v>
      </c>
      <c r="D169" s="3">
        <v>1000</v>
      </c>
      <c r="E169" s="3">
        <f>IF(A169="","",IF(C169="NO",0,IF(D169&lt;&gt;"",D169,$B$11)))</f>
        <v>1000</v>
      </c>
      <c r="F169" s="3">
        <f>IF(A169="","",$B$7/$B$6)</f>
        <v>25</v>
      </c>
      <c r="G169" s="3">
        <f>IF(A169="","",($B$8-$B$9)/$B$6)</f>
        <v>0</v>
      </c>
      <c r="H169" s="4">
        <f>IF(A169="","",$B$10)</f>
        <v>0</v>
      </c>
      <c r="I169" s="4">
        <f>IF(A169="","",$B$5)</f>
        <v>0.333</v>
      </c>
      <c r="J169" s="3">
        <f>IF(OR(A169="",B169=""),"",ROUND((B169+E169+F169+G169)/(1-H169-I169),-1))</f>
        <v>2050</v>
      </c>
      <c r="K169" s="3">
        <f>IF(J169="","",J169-B169-E169-F169-G169-(J169*H169))</f>
        <v>685</v>
      </c>
      <c r="L169" s="2">
        <f>IF(J169="","",K169/J169)</f>
        <v>0.33414634146341465</v>
      </c>
    </row>
    <row r="170">
      <c r="A170" t="str">
        <v>DPP012</v>
      </c>
      <c r="B170" s="3">
        <v>2040</v>
      </c>
      <c r="C170" s="3" t="str">
        <v>SÍ</v>
      </c>
      <c r="D170" s="3">
        <v>6000</v>
      </c>
      <c r="E170" s="3">
        <f>IF(A170="","",IF(C170="NO",0,IF(D170&lt;&gt;"",D170,$B$11)))</f>
        <v>6000</v>
      </c>
      <c r="F170" s="3">
        <f>IF(A170="","",$B$7/$B$6)</f>
        <v>25</v>
      </c>
      <c r="G170" s="3">
        <f>IF(A170="","",($B$8-$B$9)/$B$6)</f>
        <v>0</v>
      </c>
      <c r="H170" s="4">
        <f>IF(A170="","",$B$10)</f>
        <v>0</v>
      </c>
      <c r="I170" s="4">
        <f>IF(A170="","",$B$5)</f>
        <v>0.333</v>
      </c>
      <c r="J170" s="3">
        <f>IF(OR(A170="",B170=""),"",ROUND((B170+E170+F170+G170)/(1-H170-I170),-1))</f>
        <v>12090</v>
      </c>
      <c r="K170" s="3">
        <f>IF(J170="","",J170-B170-E170-F170-G170-(J170*H170))</f>
        <v>4025</v>
      </c>
      <c r="L170" s="2">
        <f>IF(J170="","",K170/J170)</f>
        <v>0.33291976840363935</v>
      </c>
    </row>
    <row r="171">
      <c r="A171" t="str">
        <v>CBS001</v>
      </c>
      <c r="B171" s="3">
        <v>1000</v>
      </c>
      <c r="C171" s="3" t="str">
        <v>NO</v>
      </c>
      <c r="D171" s="3">
        <f>IF(A171="","",$B$7/$B$6)</f>
        <v>25</v>
      </c>
      <c r="E171" s="3">
        <f>IF(A171="","",IF(C171="NO",0,IF(D171&lt;&gt;"",D171,$B$11)))</f>
        <v>0</v>
      </c>
      <c r="F171" s="3">
        <f>IF(A171="","",$B$7/$B$6)</f>
        <v>25</v>
      </c>
      <c r="G171" s="3">
        <f>IF(A171="","",($B$8-$B$9)/$B$6)</f>
        <v>0</v>
      </c>
      <c r="H171" s="4">
        <f>IF(A171="","",$B$10)</f>
        <v>0</v>
      </c>
      <c r="I171" s="4">
        <f>IF(A171="","",$B$5)</f>
        <v>0.333</v>
      </c>
      <c r="J171" s="3">
        <f>IF(OR(A171="",B171=""),"",ROUND((B171+E171+F171+G171)/(1-H171-I171),-1))</f>
        <v>1540</v>
      </c>
      <c r="K171" s="3">
        <f>IF(J171="","",J171-B171-E171-F171-G171-(J171*H171))</f>
        <v>515</v>
      </c>
      <c r="L171" s="2">
        <f>IF(J171="","",K171/J171)</f>
        <v>0.3344155844155844</v>
      </c>
    </row>
    <row r="172">
      <c r="A172" t="str">
        <v>CBS002</v>
      </c>
      <c r="B172" s="3">
        <v>1200</v>
      </c>
      <c r="C172" s="3" t="str">
        <v>NO</v>
      </c>
      <c r="D172" s="3">
        <f>IF(A172="","",$B$7/$B$6)</f>
        <v>25</v>
      </c>
      <c r="E172" s="3">
        <f>IF(A172="","",IF(C172="NO",0,IF(D172&lt;&gt;"",D172,$B$11)))</f>
        <v>0</v>
      </c>
      <c r="F172" s="3">
        <f>IF(A172="","",$B$7/$B$6)</f>
        <v>25</v>
      </c>
      <c r="G172" s="3">
        <f>IF(A172="","",($B$8-$B$9)/$B$6)</f>
        <v>0</v>
      </c>
      <c r="H172" s="4">
        <f>IF(A172="","",$B$10)</f>
        <v>0</v>
      </c>
      <c r="I172" s="4">
        <f>IF(A172="","",$B$5)</f>
        <v>0.333</v>
      </c>
      <c r="J172" s="3">
        <f>IF(OR(A172="",B172=""),"",ROUND((B172+E172+F172+G172)/(1-H172-I172),-1))</f>
        <v>1840</v>
      </c>
      <c r="K172" s="3">
        <f>IF(J172="","",J172-B172-E172-F172-G172-(J172*H172))</f>
        <v>615</v>
      </c>
      <c r="L172" s="2">
        <f>IF(J172="","",K172/J172)</f>
        <v>0.3342391304347826</v>
      </c>
    </row>
    <row r="173">
      <c r="A173" t="str">
        <v>CBS003</v>
      </c>
      <c r="B173" s="3">
        <v>1400</v>
      </c>
      <c r="C173" s="3" t="str">
        <v>NO</v>
      </c>
      <c r="D173" s="3">
        <f>IF(A173="","",$B$7/$B$6)</f>
        <v>25</v>
      </c>
      <c r="E173" s="3">
        <f>IF(A173="","",IF(C173="NO",0,IF(D173&lt;&gt;"",D173,$B$11)))</f>
        <v>0</v>
      </c>
      <c r="F173" s="3">
        <f>IF(A173="","",$B$7/$B$6)</f>
        <v>25</v>
      </c>
      <c r="G173" s="3">
        <f>IF(A173="","",($B$8-$B$9)/$B$6)</f>
        <v>0</v>
      </c>
      <c r="H173" s="4">
        <f>IF(A173="","",$B$10)</f>
        <v>0</v>
      </c>
      <c r="I173" s="4">
        <f>IF(A173="","",$B$5)</f>
        <v>0.333</v>
      </c>
      <c r="J173" s="3">
        <f>IF(OR(A173="",B173=""),"",ROUND((B173+E173+F173+G173)/(1-H173-I173),-1))</f>
        <v>2140</v>
      </c>
      <c r="K173" s="3">
        <f>IF(J173="","",J173-B173-E173-F173-G173-(J173*H173))</f>
        <v>715</v>
      </c>
      <c r="L173" s="2">
        <f>IF(J173="","",K173/J173)</f>
        <v>0.3341121495327103</v>
      </c>
    </row>
    <row r="174">
      <c r="A174" t="str">
        <v>CBS004</v>
      </c>
      <c r="B174" s="3">
        <v>2000</v>
      </c>
      <c r="C174" s="3" t="str">
        <v>NO</v>
      </c>
      <c r="D174" s="3">
        <f>IF(A174="","",$B$7/$B$6)</f>
        <v>25</v>
      </c>
      <c r="E174" s="3">
        <f>IF(A174="","",IF(C174="NO",0,IF(D174&lt;&gt;"",D174,$B$11)))</f>
        <v>0</v>
      </c>
      <c r="F174" s="3">
        <f>IF(A174="","",$B$7/$B$6)</f>
        <v>25</v>
      </c>
      <c r="G174" s="3">
        <f>IF(A174="","",($B$8-$B$9)/$B$6)</f>
        <v>0</v>
      </c>
      <c r="H174" s="4">
        <f>IF(A174="","",$B$10)</f>
        <v>0</v>
      </c>
      <c r="I174" s="4">
        <f>IF(A174="","",$B$5)</f>
        <v>0.333</v>
      </c>
      <c r="J174" s="3">
        <f>IF(OR(A174="",B174=""),"",ROUND((B174+E174+F174+G174)/(1-H174-I174),-1))</f>
        <v>3040</v>
      </c>
      <c r="K174" s="3">
        <f>IF(J174="","",J174-B174-E174-F174-G174-(J174*H174))</f>
        <v>1015</v>
      </c>
      <c r="L174" s="2">
        <f>IF(J174="","",K174/J174)</f>
        <v>0.3338815789473684</v>
      </c>
    </row>
    <row r="175">
      <c r="A175" t="str">
        <v>CBS005</v>
      </c>
      <c r="B175" s="3">
        <v>4400</v>
      </c>
      <c r="C175" s="3" t="str">
        <v>NO</v>
      </c>
      <c r="D175" s="3">
        <f>IF(A175="","",$B$7/$B$6)</f>
        <v>25</v>
      </c>
      <c r="E175" s="3">
        <f>IF(A175="","",IF(C175="NO",0,IF(D175&lt;&gt;"",D175,$B$11)))</f>
        <v>0</v>
      </c>
      <c r="F175" s="3">
        <f>IF(A175="","",$B$7/$B$6)</f>
        <v>25</v>
      </c>
      <c r="G175" s="3">
        <f>IF(A175="","",($B$8-$B$9)/$B$6)</f>
        <v>0</v>
      </c>
      <c r="H175" s="4">
        <f>IF(A175="","",$B$10)</f>
        <v>0</v>
      </c>
      <c r="I175" s="4">
        <f>IF(A175="","",$B$5)</f>
        <v>0.333</v>
      </c>
      <c r="J175" s="3">
        <f>IF(OR(A175="",B175=""),"",ROUND((B175+E175+F175+G175)/(1-H175-I175),-1))</f>
        <v>6630</v>
      </c>
      <c r="K175" s="3">
        <f>IF(J175="","",J175-B175-E175-F175-G175-(J175*H175))</f>
        <v>2205</v>
      </c>
      <c r="L175" s="2">
        <f>IF(J175="","",K175/J175)</f>
        <v>0.332579185520362</v>
      </c>
    </row>
    <row r="176">
      <c r="A176" t="str">
        <v>CBS006</v>
      </c>
      <c r="B176" s="3">
        <v>7000</v>
      </c>
      <c r="C176" s="3" t="str">
        <v>NO</v>
      </c>
      <c r="D176" s="3">
        <f>IF(A176="","",$B$7/$B$6)</f>
        <v>25</v>
      </c>
      <c r="E176" s="3">
        <f>IF(A176="","",IF(C176="NO",0,IF(D176&lt;&gt;"",D176,$B$11)))</f>
        <v>0</v>
      </c>
      <c r="F176" s="3">
        <f>IF(A176="","",$B$7/$B$6)</f>
        <v>25</v>
      </c>
      <c r="G176" s="3">
        <f>IF(A176="","",($B$8-$B$9)/$B$6)</f>
        <v>0</v>
      </c>
      <c r="H176" s="4">
        <f>IF(A176="","",$B$10)</f>
        <v>0</v>
      </c>
      <c r="I176" s="4">
        <f>IF(A176="","",$B$5)</f>
        <v>0.333</v>
      </c>
      <c r="J176" s="3">
        <f>IF(OR(A176="",B176=""),"",ROUND((B176+E176+F176+G176)/(1-H176-I176),-1))</f>
        <v>10530</v>
      </c>
      <c r="K176" s="3">
        <f>IF(J176="","",J176-B176-E176-F176-G176-(J176*H176))</f>
        <v>3505</v>
      </c>
      <c r="L176" s="2">
        <f>IF(J176="","",K176/J176)</f>
        <v>0.3328584995251662</v>
      </c>
    </row>
    <row r="177">
      <c r="A177" t="str">
        <v>CBS007</v>
      </c>
      <c r="B177" s="3">
        <v>8800</v>
      </c>
      <c r="C177" s="3" t="str">
        <v>NO</v>
      </c>
      <c r="D177" s="3">
        <f>IF(A177="","",$B$7/$B$6)</f>
        <v>25</v>
      </c>
      <c r="E177" s="3">
        <f>IF(A177="","",IF(C177="NO",0,IF(D177&lt;&gt;"",D177,$B$11)))</f>
        <v>0</v>
      </c>
      <c r="F177" s="3">
        <f>IF(A177="","",$B$7/$B$6)</f>
        <v>25</v>
      </c>
      <c r="G177" s="3">
        <f>IF(A177="","",($B$8-$B$9)/$B$6)</f>
        <v>0</v>
      </c>
      <c r="H177" s="4">
        <f>IF(A177="","",$B$10)</f>
        <v>0</v>
      </c>
      <c r="I177" s="4">
        <f>IF(A177="","",$B$5)</f>
        <v>0.333</v>
      </c>
      <c r="J177" s="3">
        <f>IF(OR(A177="",B177=""),"",ROUND((B177+E177+F177+G177)/(1-H177-I177),-1))</f>
        <v>13230</v>
      </c>
      <c r="K177" s="3">
        <f>IF(J177="","",J177-B177-E177-F177-G177-(J177*H177))</f>
        <v>4405</v>
      </c>
      <c r="L177" s="2">
        <f>IF(J177="","",K177/J177)</f>
        <v>0.3329554043839758</v>
      </c>
    </row>
    <row r="178">
      <c r="A178" t="str">
        <v>ESP001</v>
      </c>
      <c r="B178" s="3">
        <v>300</v>
      </c>
      <c r="C178" s="3" t="str">
        <v>NO</v>
      </c>
      <c r="D178" s="3">
        <f>IF(A178="","",$B$7/$B$6)</f>
        <v>25</v>
      </c>
      <c r="E178" s="3">
        <f>IF(A178="","",IF(C178="NO",0,IF(D178&lt;&gt;"",D178,$B$11)))</f>
        <v>0</v>
      </c>
      <c r="F178" s="3">
        <f>IF(A178="","",$B$7/$B$6)</f>
        <v>25</v>
      </c>
      <c r="G178" s="3">
        <f>IF(A178="","",($B$8-$B$9)/$B$6)</f>
        <v>0</v>
      </c>
      <c r="H178" s="4">
        <f>IF(A178="","",$B$10)</f>
        <v>0</v>
      </c>
      <c r="I178" s="4">
        <f>IF(A178="","",$B$5)</f>
        <v>0.333</v>
      </c>
      <c r="J178" s="3">
        <f>IF(OR(A178="",B178=""),"",ROUND((B178+E178+F178+G178)/(1-H178-I178),-1))</f>
        <v>490</v>
      </c>
      <c r="K178" s="3">
        <f>IF(J178="","",J178-B178-E178-F178-G178-(J178*H178))</f>
        <v>165</v>
      </c>
      <c r="L178" s="2">
        <f>IF(J178="","",K178/J178)</f>
        <v>0.336734693877551</v>
      </c>
    </row>
    <row r="179">
      <c r="A179" t="str">
        <v>ESP002</v>
      </c>
      <c r="B179" s="3">
        <v>1400</v>
      </c>
      <c r="C179" s="3" t="str">
        <v>NO</v>
      </c>
      <c r="D179" s="3">
        <f>IF(A179="","",$B$7/$B$6)</f>
        <v>25</v>
      </c>
      <c r="E179" s="3">
        <f>IF(A179="","",IF(C179="NO",0,IF(D179&lt;&gt;"",D179,$B$11)))</f>
        <v>0</v>
      </c>
      <c r="F179" s="3">
        <f>IF(A179="","",$B$7/$B$6)</f>
        <v>25</v>
      </c>
      <c r="G179" s="3">
        <f>IF(A179="","",($B$8-$B$9)/$B$6)</f>
        <v>0</v>
      </c>
      <c r="H179" s="4">
        <f>IF(A179="","",$B$10)</f>
        <v>0</v>
      </c>
      <c r="I179" s="4">
        <f>IF(A179="","",$B$5)</f>
        <v>0.333</v>
      </c>
      <c r="J179" s="3">
        <f>IF(OR(A179="",B179=""),"",ROUND((B179+E179+F179+G179)/(1-H179-I179),-1))</f>
        <v>2140</v>
      </c>
      <c r="K179" s="3">
        <f>IF(J179="","",J179-B179-E179-F179-G179-(J179*H179))</f>
        <v>715</v>
      </c>
      <c r="L179" s="2">
        <f>IF(J179="","",K179/J179)</f>
        <v>0.3341121495327103</v>
      </c>
    </row>
    <row r="180">
      <c r="A180" t="str">
        <v>ESP003</v>
      </c>
      <c r="B180" s="3">
        <v>400</v>
      </c>
      <c r="C180" s="3" t="str">
        <v>NO</v>
      </c>
      <c r="D180" s="3">
        <f>IF(A180="","",$B$7/$B$6)</f>
        <v>25</v>
      </c>
      <c r="E180" s="3">
        <f>IF(A180="","",IF(C180="NO",0,IF(D180&lt;&gt;"",D180,$B$11)))</f>
        <v>0</v>
      </c>
      <c r="F180" s="3">
        <f>IF(A180="","",$B$7/$B$6)</f>
        <v>25</v>
      </c>
      <c r="G180" s="3">
        <f>IF(A180="","",($B$8-$B$9)/$B$6)</f>
        <v>0</v>
      </c>
      <c r="H180" s="4">
        <f>IF(A180="","",$B$10)</f>
        <v>0</v>
      </c>
      <c r="I180" s="4">
        <f>IF(A180="","",$B$5)</f>
        <v>0.333</v>
      </c>
      <c r="J180" s="3">
        <f>IF(OR(A180="",B180=""),"",ROUND((B180+E180+F180+G180)/(1-H180-I180),-1))</f>
        <v>640</v>
      </c>
      <c r="K180" s="3">
        <f>IF(J180="","",J180-B180-E180-F180-G180-(J180*H180))</f>
        <v>215</v>
      </c>
      <c r="L180" s="2">
        <f>IF(J180="","",K180/J180)</f>
        <v>0.3359375</v>
      </c>
    </row>
    <row r="181">
      <c r="A181" t="str">
        <v>ESP004</v>
      </c>
      <c r="B181" s="3">
        <v>2280</v>
      </c>
      <c r="C181" s="3" t="str">
        <v>NO</v>
      </c>
      <c r="D181" s="3">
        <f>IF(A181="","",$B$7/$B$6)</f>
        <v>25</v>
      </c>
      <c r="E181" s="3">
        <f>IF(A181="","",IF(C181="NO",0,IF(D181&lt;&gt;"",D181,$B$11)))</f>
        <v>0</v>
      </c>
      <c r="F181" s="3">
        <f>IF(A181="","",$B$7/$B$6)</f>
        <v>25</v>
      </c>
      <c r="G181" s="3">
        <f>IF(A181="","",($B$8-$B$9)/$B$6)</f>
        <v>0</v>
      </c>
      <c r="H181" s="4">
        <f>IF(A181="","",$B$10)</f>
        <v>0</v>
      </c>
      <c r="I181" s="4">
        <f>IF(A181="","",$B$5)</f>
        <v>0.333</v>
      </c>
      <c r="J181" s="3">
        <f>IF(OR(A181="",B181=""),"",ROUND((B181+E181+F181+G181)/(1-H181-I181),-1))</f>
        <v>3460</v>
      </c>
      <c r="K181" s="3">
        <f>IF(J181="","",J181-B181-E181-F181-G181-(J181*H181))</f>
        <v>1155</v>
      </c>
      <c r="L181" s="2">
        <f>IF(J181="","",K181/J181)</f>
        <v>0.3338150289017341</v>
      </c>
    </row>
    <row r="182">
      <c r="A182" t="str">
        <v>ESP005</v>
      </c>
      <c r="B182" s="3">
        <v>14000</v>
      </c>
      <c r="C182" s="3" t="str">
        <v>NO</v>
      </c>
      <c r="D182" s="3">
        <f>IF(A182="","",$B$7/$B$6)</f>
        <v>25</v>
      </c>
      <c r="E182" s="3">
        <f>IF(A182="","",IF(C182="NO",0,IF(D182&lt;&gt;"",D182,$B$11)))</f>
        <v>0</v>
      </c>
      <c r="F182" s="3">
        <f>IF(A182="","",$B$7/$B$6)</f>
        <v>25</v>
      </c>
      <c r="G182" s="3">
        <f>IF(A182="","",($B$8-$B$9)/$B$6)</f>
        <v>0</v>
      </c>
      <c r="H182" s="4">
        <f>IF(A182="","",$B$10)</f>
        <v>0</v>
      </c>
      <c r="I182" s="4">
        <f>IF(A182="","",$B$5)</f>
        <v>0.333</v>
      </c>
      <c r="J182" s="3">
        <f>IF(OR(A182="",B182=""),"",ROUND((B182+E182+F182+G182)/(1-H182-I182),-1))</f>
        <v>21030</v>
      </c>
      <c r="K182" s="3">
        <f>IF(J182="","",J182-B182-E182-F182-G182-(J182*H182))</f>
        <v>7005</v>
      </c>
      <c r="L182" s="2">
        <f>IF(J182="","",K182/J182)</f>
        <v>0.333095577746077</v>
      </c>
    </row>
    <row r="183">
      <c r="A183" t="str">
        <v>ESP006</v>
      </c>
      <c r="B183" s="3">
        <v>650</v>
      </c>
      <c r="C183" s="3" t="str">
        <v>NO</v>
      </c>
      <c r="D183" s="3">
        <f>IF(A183="","",$B$7/$B$6)</f>
        <v>25</v>
      </c>
      <c r="E183" s="3">
        <f>IF(A183="","",IF(C183="NO",0,IF(D183&lt;&gt;"",D183,$B$11)))</f>
        <v>0</v>
      </c>
      <c r="F183" s="3">
        <f>IF(A183="","",$B$7/$B$6)</f>
        <v>25</v>
      </c>
      <c r="G183" s="3">
        <f>IF(A183="","",($B$8-$B$9)/$B$6)</f>
        <v>0</v>
      </c>
      <c r="H183" s="4">
        <f>IF(A183="","",$B$10)</f>
        <v>0</v>
      </c>
      <c r="I183" s="4">
        <f>IF(A183="","",$B$5)</f>
        <v>0.333</v>
      </c>
      <c r="J183" s="3">
        <f>IF(OR(A183="",B183=""),"",ROUND((B183+E183+F183+G183)/(1-H183-I183),-1))</f>
        <v>1010</v>
      </c>
      <c r="K183" s="3">
        <f>IF(J183="","",J183-B183-E183-F183-G183-(J183*H183))</f>
        <v>335</v>
      </c>
      <c r="L183" s="2">
        <f>IF(J183="","",K183/J183)</f>
        <v>0.3316831683168317</v>
      </c>
    </row>
    <row r="184">
      <c r="A184" t="str">
        <v>ESP007</v>
      </c>
      <c r="B184" s="3">
        <v>1700</v>
      </c>
      <c r="C184" s="3" t="str">
        <v>NO</v>
      </c>
      <c r="D184" s="3">
        <f>IF(A184="","",$B$7/$B$6)</f>
        <v>25</v>
      </c>
      <c r="E184" s="3">
        <f>IF(A184="","",IF(C184="NO",0,IF(D184&lt;&gt;"",D184,$B$11)))</f>
        <v>0</v>
      </c>
      <c r="F184" s="3">
        <f>IF(A184="","",$B$7/$B$6)</f>
        <v>25</v>
      </c>
      <c r="G184" s="3">
        <f>IF(A184="","",($B$8-$B$9)/$B$6)</f>
        <v>0</v>
      </c>
      <c r="H184" s="4">
        <f>IF(A184="","",$B$10)</f>
        <v>0</v>
      </c>
      <c r="I184" s="4">
        <f>IF(A184="","",$B$5)</f>
        <v>0.333</v>
      </c>
      <c r="J184" s="3">
        <f>IF(OR(A184="",B184=""),"",ROUND((B184+E184+F184+G184)/(1-H184-I184),-1))</f>
        <v>2590</v>
      </c>
      <c r="K184" s="3">
        <f>IF(J184="","",J184-B184-E184-F184-G184-(J184*H184))</f>
        <v>865</v>
      </c>
      <c r="L184" s="2">
        <f>IF(J184="","",K184/J184)</f>
        <v>0.333976833976834</v>
      </c>
    </row>
    <row r="185">
      <c r="A185" t="str">
        <v>APR001</v>
      </c>
      <c r="B185" s="3">
        <v>20000</v>
      </c>
      <c r="C185" s="3" t="str">
        <v>NO</v>
      </c>
      <c r="D185" s="3">
        <f>IF(A185="","",$B$7/$B$6)</f>
        <v>25</v>
      </c>
      <c r="E185" s="3">
        <f>IF(A185="","",IF(C185="NO",0,IF(D185&lt;&gt;"",D185,$B$11)))</f>
        <v>0</v>
      </c>
      <c r="F185" s="3">
        <f>IF(A185="","",$B$7/$B$6)</f>
        <v>25</v>
      </c>
      <c r="G185" s="3">
        <f>IF(A185="","",($B$8-$B$9)/$B$6)</f>
        <v>0</v>
      </c>
      <c r="H185" s="4">
        <f>IF(A185="","",$B$10)</f>
        <v>0</v>
      </c>
      <c r="I185" s="4">
        <f>IF(A185="","",$B$5)</f>
        <v>0.333</v>
      </c>
      <c r="J185" s="3">
        <f>IF(OR(A185="",B185=""),"",ROUND((B185+E185+F185+G185)/(1-H185-I185),-1))</f>
        <v>30020</v>
      </c>
      <c r="K185" s="3">
        <f>IF(J185="","",J185-B185-E185-F185-G185-(J185*H185))</f>
        <v>9995</v>
      </c>
      <c r="L185" s="2">
        <f>IF(J185="","",K185/J185)</f>
        <v>0.3329447035309793</v>
      </c>
    </row>
    <row r="186">
      <c r="A186" t="str">
        <v>APR002</v>
      </c>
      <c r="B186" s="3">
        <v>4000</v>
      </c>
      <c r="C186" s="3" t="str">
        <v>NO</v>
      </c>
      <c r="D186" s="3">
        <f>IF(A186="","",$B$7/$B$6)</f>
        <v>25</v>
      </c>
      <c r="E186" s="3">
        <f>IF(A186="","",IF(C186="NO",0,IF(D186&lt;&gt;"",D186,$B$11)))</f>
        <v>0</v>
      </c>
      <c r="F186" s="3">
        <f>IF(A186="","",$B$7/$B$6)</f>
        <v>25</v>
      </c>
      <c r="G186" s="3">
        <f>IF(A186="","",($B$8-$B$9)/$B$6)</f>
        <v>0</v>
      </c>
      <c r="H186" s="4">
        <f>IF(A186="","",$B$10)</f>
        <v>0</v>
      </c>
      <c r="I186" s="4">
        <f>IF(A186="","",$B$5)</f>
        <v>0.333</v>
      </c>
      <c r="J186" s="3">
        <f>IF(OR(A186="",B186=""),"",ROUND((B186+E186+F186+G186)/(1-H186-I186),-1))</f>
        <v>6030</v>
      </c>
      <c r="K186" s="3">
        <f>IF(J186="","",J186-B186-E186-F186-G186-(J186*H186))</f>
        <v>2005</v>
      </c>
      <c r="L186" s="2">
        <f>IF(J186="","",K186/J186)</f>
        <v>0.33250414593698174</v>
      </c>
    </row>
    <row r="187">
      <c r="A187" t="str">
        <v>APR003</v>
      </c>
      <c r="B187" s="3">
        <v>27000</v>
      </c>
      <c r="C187" s="3" t="str">
        <v>NO</v>
      </c>
      <c r="D187" s="3">
        <f>IF(A187="","",$B$7/$B$6)</f>
        <v>25</v>
      </c>
      <c r="E187" s="3">
        <f>IF(A187="","",IF(C187="NO",0,IF(D187&lt;&gt;"",D187,$B$11)))</f>
        <v>0</v>
      </c>
      <c r="F187" s="3">
        <f>IF(A187="","",$B$7/$B$6)</f>
        <v>25</v>
      </c>
      <c r="G187" s="3">
        <f>IF(A187="","",($B$8-$B$9)/$B$6)</f>
        <v>0</v>
      </c>
      <c r="H187" s="4">
        <f>IF(A187="","",$B$10)</f>
        <v>0</v>
      </c>
      <c r="I187" s="4">
        <f>IF(A187="","",$B$5)</f>
        <v>0.333</v>
      </c>
      <c r="J187" s="3">
        <f>IF(OR(A187="",B187=""),"",ROUND((B187+E187+F187+G187)/(1-H187-I187),-1))</f>
        <v>40520</v>
      </c>
      <c r="K187" s="3">
        <f>IF(J187="","",J187-B187-E187-F187-G187-(J187*H187))</f>
        <v>13495</v>
      </c>
      <c r="L187" s="2">
        <f>IF(J187="","",K187/J187)</f>
        <v>0.33304540967423496</v>
      </c>
    </row>
    <row r="188">
      <c r="A188" t="str">
        <v>APR004</v>
      </c>
      <c r="B188" s="3">
        <v>700</v>
      </c>
      <c r="C188" s="3" t="str">
        <v>NO</v>
      </c>
      <c r="D188" s="3">
        <f>IF(A188="","",$B$7/$B$6)</f>
        <v>25</v>
      </c>
      <c r="E188" s="3">
        <f>IF(A188="","",IF(C188="NO",0,IF(D188&lt;&gt;"",D188,$B$11)))</f>
        <v>0</v>
      </c>
      <c r="F188" s="3">
        <f>IF(A188="","",$B$7/$B$6)</f>
        <v>25</v>
      </c>
      <c r="G188" s="3">
        <f>IF(A188="","",($B$8-$B$9)/$B$6)</f>
        <v>0</v>
      </c>
      <c r="H188" s="4">
        <f>IF(A188="","",$B$10)</f>
        <v>0</v>
      </c>
      <c r="I188" s="4">
        <f>IF(A188="","",$B$5)</f>
        <v>0.333</v>
      </c>
      <c r="J188" s="3">
        <f>IF(OR(A188="",B188=""),"",ROUND((B188+E188+F188+G188)/(1-H188-I188),-1))</f>
        <v>1090</v>
      </c>
      <c r="K188" s="3">
        <f>IF(J188="","",J188-B188-E188-F188-G188-(J188*H188))</f>
        <v>365</v>
      </c>
      <c r="L188" s="2">
        <f>IF(J188="","",K188/J188)</f>
        <v>0.3348623853211009</v>
      </c>
    </row>
    <row r="189">
      <c r="A189" t="str">
        <v>APR005</v>
      </c>
      <c r="B189" s="3">
        <v>800</v>
      </c>
      <c r="C189" s="3" t="str">
        <v>NO</v>
      </c>
      <c r="D189" s="3">
        <f>IF(A189="","",$B$7/$B$6)</f>
        <v>25</v>
      </c>
      <c r="E189" s="3">
        <f>IF(A189="","",IF(C189="NO",0,IF(D189&lt;&gt;"",D189,$B$11)))</f>
        <v>0</v>
      </c>
      <c r="F189" s="3">
        <f>IF(A189="","",$B$7/$B$6)</f>
        <v>25</v>
      </c>
      <c r="G189" s="3">
        <f>IF(A189="","",($B$8-$B$9)/$B$6)</f>
        <v>0</v>
      </c>
      <c r="H189" s="4">
        <f>IF(A189="","",$B$10)</f>
        <v>0</v>
      </c>
      <c r="I189" s="4">
        <f>IF(A189="","",$B$5)</f>
        <v>0.333</v>
      </c>
      <c r="J189" s="3">
        <f>IF(OR(A189="",B189=""),"",ROUND((B189+E189+F189+G189)/(1-H189-I189),-1))</f>
        <v>1240</v>
      </c>
      <c r="K189" s="3">
        <f>IF(J189="","",J189-B189-E189-F189-G189-(J189*H189))</f>
        <v>415</v>
      </c>
      <c r="L189" s="2">
        <f>IF(J189="","",K189/J189)</f>
        <v>0.3346774193548387</v>
      </c>
    </row>
    <row r="190">
      <c r="A190" t="str">
        <v>APB001</v>
      </c>
      <c r="B190" s="3">
        <v>1400</v>
      </c>
      <c r="C190" s="3" t="str">
        <v>NO</v>
      </c>
      <c r="D190" s="3">
        <f>IF(A190="","",$B$7/$B$6)</f>
        <v>25</v>
      </c>
      <c r="E190" s="3">
        <f>IF(A190="","",IF(C190="NO",0,IF(D190&lt;&gt;"",D190,$B$11)))</f>
        <v>0</v>
      </c>
      <c r="F190" s="3">
        <f>IF(A190="","",$B$7/$B$6)</f>
        <v>25</v>
      </c>
      <c r="G190" s="3">
        <f>IF(A190="","",($B$8-$B$9)/$B$6)</f>
        <v>0</v>
      </c>
      <c r="H190" s="4">
        <f>IF(A190="","",$B$10)</f>
        <v>0</v>
      </c>
      <c r="I190" s="4">
        <f>IF(A190="","",$B$5)</f>
        <v>0.333</v>
      </c>
      <c r="J190" s="3">
        <f>IF(OR(A190="",B190=""),"",ROUND((B190+E190+F190+G190)/(1-H190-I190),-1))</f>
        <v>2140</v>
      </c>
      <c r="K190" s="3">
        <f>IF(J190="","",J190-B190-E190-F190-G190-(J190*H190))</f>
        <v>715</v>
      </c>
      <c r="L190" s="2">
        <f>IF(J190="","",K190/J190)</f>
        <v>0.3341121495327103</v>
      </c>
    </row>
    <row r="191">
      <c r="A191" t="str">
        <v>APB002</v>
      </c>
      <c r="B191" s="3">
        <v>700</v>
      </c>
      <c r="C191" s="3" t="str">
        <v>NO</v>
      </c>
      <c r="D191" s="3">
        <f>IF(A191="","",$B$7/$B$6)</f>
        <v>25</v>
      </c>
      <c r="E191" s="3">
        <f>IF(A191="","",IF(C191="NO",0,IF(D191&lt;&gt;"",D191,$B$11)))</f>
        <v>0</v>
      </c>
      <c r="F191" s="3">
        <f>IF(A191="","",$B$7/$B$6)</f>
        <v>25</v>
      </c>
      <c r="G191" s="3">
        <f>IF(A191="","",($B$8-$B$9)/$B$6)</f>
        <v>0</v>
      </c>
      <c r="H191" s="4">
        <f>IF(A191="","",$B$10)</f>
        <v>0</v>
      </c>
      <c r="I191" s="4">
        <f>IF(A191="","",$B$5)</f>
        <v>0.333</v>
      </c>
      <c r="J191" s="3">
        <f>IF(OR(A191="",B191=""),"",ROUND((B191+E191+F191+G191)/(1-H191-I191),-1))</f>
        <v>1090</v>
      </c>
      <c r="K191" s="3">
        <f>IF(J191="","",J191-B191-E191-F191-G191-(J191*H191))</f>
        <v>365</v>
      </c>
      <c r="L191" s="2">
        <f>IF(J191="","",K191/J191)</f>
        <v>0.3348623853211009</v>
      </c>
    </row>
    <row r="192">
      <c r="A192" t="str">
        <v>APB003</v>
      </c>
      <c r="B192" s="3">
        <v>1800</v>
      </c>
      <c r="C192" s="3" t="str">
        <v>NO</v>
      </c>
      <c r="D192" s="3">
        <f>IF(A192="","",$B$7/$B$6)</f>
        <v>25</v>
      </c>
      <c r="E192" s="3">
        <f>IF(A192="","",IF(C192="NO",0,IF(D192&lt;&gt;"",D192,$B$11)))</f>
        <v>0</v>
      </c>
      <c r="F192" s="3">
        <f>IF(A192="","",$B$7/$B$6)</f>
        <v>25</v>
      </c>
      <c r="G192" s="3">
        <f>IF(A192="","",($B$8-$B$9)/$B$6)</f>
        <v>0</v>
      </c>
      <c r="H192" s="4">
        <f>IF(A192="","",$B$10)</f>
        <v>0</v>
      </c>
      <c r="I192" s="4">
        <f>IF(A192="","",$B$5)</f>
        <v>0.333</v>
      </c>
      <c r="J192" s="3">
        <f>IF(OR(A192="",B192=""),"",ROUND((B192+E192+F192+G192)/(1-H192-I192),-1))</f>
        <v>2740</v>
      </c>
      <c r="K192" s="3">
        <f>IF(J192="","",J192-B192-E192-F192-G192-(J192*H192))</f>
        <v>915</v>
      </c>
      <c r="L192" s="2">
        <f>IF(J192="","",K192/J192)</f>
        <v>0.33394160583941607</v>
      </c>
    </row>
    <row r="193">
      <c r="A193" t="str">
        <v>APB004</v>
      </c>
      <c r="B193" s="3">
        <v>1400</v>
      </c>
      <c r="C193" s="3" t="str">
        <v>NO</v>
      </c>
      <c r="D193" s="3">
        <f>IF(A193="","",$B$7/$B$6)</f>
        <v>25</v>
      </c>
      <c r="E193" s="3">
        <f>IF(A193="","",IF(C193="NO",0,IF(D193&lt;&gt;"",D193,$B$11)))</f>
        <v>0</v>
      </c>
      <c r="F193" s="3">
        <f>IF(A193="","",$B$7/$B$6)</f>
        <v>25</v>
      </c>
      <c r="G193" s="3">
        <f>IF(A193="","",($B$8-$B$9)/$B$6)</f>
        <v>0</v>
      </c>
      <c r="H193" s="4">
        <f>IF(A193="","",$B$10)</f>
        <v>0</v>
      </c>
      <c r="I193" s="4">
        <f>IF(A193="","",$B$5)</f>
        <v>0.333</v>
      </c>
      <c r="J193" s="3">
        <f>IF(OR(A193="",B193=""),"",ROUND((B193+E193+F193+G193)/(1-H193-I193),-1))</f>
        <v>2140</v>
      </c>
      <c r="K193" s="3">
        <f>IF(J193="","",J193-B193-E193-F193-G193-(J193*H193))</f>
        <v>715</v>
      </c>
      <c r="L193" s="2">
        <f>IF(J193="","",K193/J193)</f>
        <v>0.3341121495327103</v>
      </c>
    </row>
    <row r="194">
      <c r="A194" t="str">
        <v>APB005</v>
      </c>
      <c r="B194" s="3">
        <v>2600</v>
      </c>
      <c r="C194" s="3" t="str">
        <v>NO</v>
      </c>
      <c r="D194" s="3">
        <f>IF(A194="","",$B$7/$B$6)</f>
        <v>25</v>
      </c>
      <c r="E194" s="3">
        <f>IF(A194="","",IF(C194="NO",0,IF(D194&lt;&gt;"",D194,$B$11)))</f>
        <v>0</v>
      </c>
      <c r="F194" s="3">
        <f>IF(A194="","",$B$7/$B$6)</f>
        <v>25</v>
      </c>
      <c r="G194" s="3">
        <f>IF(A194="","",($B$8-$B$9)/$B$6)</f>
        <v>0</v>
      </c>
      <c r="H194" s="4">
        <f>IF(A194="","",$B$10)</f>
        <v>0</v>
      </c>
      <c r="I194" s="4">
        <f>IF(A194="","",$B$5)</f>
        <v>0.333</v>
      </c>
      <c r="J194" s="3">
        <f>IF(OR(A194="",B194=""),"",ROUND((B194+E194+F194+G194)/(1-H194-I194),-1))</f>
        <v>3940</v>
      </c>
      <c r="K194" s="3">
        <f>IF(J194="","",J194-B194-E194-F194-G194-(J194*H194))</f>
        <v>1315</v>
      </c>
      <c r="L194" s="2">
        <f>IF(J194="","",K194/J194)</f>
        <v>0.33375634517766495</v>
      </c>
    </row>
    <row r="195">
      <c r="A195" t="str">
        <v>AER001</v>
      </c>
      <c r="B195" s="3">
        <v>2600</v>
      </c>
      <c r="C195" s="3" t="str">
        <v>NO</v>
      </c>
      <c r="D195" s="3">
        <f>IF(A195="","",$B$7/$B$6)</f>
        <v>25</v>
      </c>
      <c r="E195" s="3">
        <f>IF(A195="","",IF(C195="NO",0,IF(D195&lt;&gt;"",D195,$B$11)))</f>
        <v>0</v>
      </c>
      <c r="F195" s="3">
        <f>IF(A195="","",$B$7/$B$6)</f>
        <v>25</v>
      </c>
      <c r="G195" s="3">
        <f>IF(A195="","",($B$8-$B$9)/$B$6)</f>
        <v>0</v>
      </c>
      <c r="H195" s="4">
        <f>IF(A195="","",$B$10)</f>
        <v>0</v>
      </c>
      <c r="I195" s="4">
        <f>IF(A195="","",$B$5)</f>
        <v>0.333</v>
      </c>
      <c r="J195" s="3">
        <f>IF(OR(A195="",B195=""),"",ROUND((B195+E195+F195+G195)/(1-H195-I195),-1))</f>
        <v>3940</v>
      </c>
      <c r="K195" s="3">
        <f>IF(J195="","",J195-B195-E195-F195-G195-(J195*H195))</f>
        <v>1315</v>
      </c>
      <c r="L195" s="2">
        <f>IF(J195="","",K195/J195)</f>
        <v>0.33375634517766495</v>
      </c>
    </row>
    <row r="196">
      <c r="A196" t="str">
        <v>AER002</v>
      </c>
      <c r="B196" s="3">
        <v>3200</v>
      </c>
      <c r="C196" s="3" t="str">
        <v>NO</v>
      </c>
      <c r="D196" s="3">
        <f>IF(A196="","",$B$7/$B$6)</f>
        <v>25</v>
      </c>
      <c r="E196" s="3">
        <f>IF(A196="","",IF(C196="NO",0,IF(D196&lt;&gt;"",D196,$B$11)))</f>
        <v>0</v>
      </c>
      <c r="F196" s="3">
        <f>IF(A196="","",$B$7/$B$6)</f>
        <v>25</v>
      </c>
      <c r="G196" s="3">
        <f>IF(A196="","",($B$8-$B$9)/$B$6)</f>
        <v>0</v>
      </c>
      <c r="H196" s="4">
        <f>IF(A196="","",$B$10)</f>
        <v>0</v>
      </c>
      <c r="I196" s="4">
        <f>IF(A196="","",$B$5)</f>
        <v>0.333</v>
      </c>
      <c r="J196" s="3">
        <f>IF(OR(A196="",B196=""),"",ROUND((B196+E196+F196+G196)/(1-H196-I196),-1))</f>
        <v>4840</v>
      </c>
      <c r="K196" s="3">
        <f>IF(J196="","",J196-B196-E196-F196-G196-(J196*H196))</f>
        <v>1615</v>
      </c>
      <c r="L196" s="2">
        <f>IF(J196="","",K196/J196)</f>
        <v>0.33367768595041325</v>
      </c>
    </row>
    <row r="197">
      <c r="A197" t="str">
        <v>AER003</v>
      </c>
      <c r="B197" s="3">
        <v>4600</v>
      </c>
      <c r="C197" s="3" t="str">
        <v>NO</v>
      </c>
      <c r="D197" s="3">
        <f>IF(A197="","",$B$7/$B$6)</f>
        <v>25</v>
      </c>
      <c r="E197" s="3">
        <f>IF(A197="","",IF(C197="NO",0,IF(D197&lt;&gt;"",D197,$B$11)))</f>
        <v>0</v>
      </c>
      <c r="F197" s="3">
        <f>IF(A197="","",$B$7/$B$6)</f>
        <v>25</v>
      </c>
      <c r="G197" s="3">
        <f>IF(A197="","",($B$8-$B$9)/$B$6)</f>
        <v>0</v>
      </c>
      <c r="H197" s="4">
        <f>IF(A197="","",$B$10)</f>
        <v>0</v>
      </c>
      <c r="I197" s="4">
        <f>IF(A197="","",$B$5)</f>
        <v>0.333</v>
      </c>
      <c r="J197" s="3">
        <f>IF(OR(A197="",B197=""),"",ROUND((B197+E197+F197+G197)/(1-H197-I197),-1))</f>
        <v>6930</v>
      </c>
      <c r="K197" s="3">
        <f>IF(J197="","",J197-B197-E197-F197-G197-(J197*H197))</f>
        <v>2305</v>
      </c>
      <c r="L197" s="2">
        <f>IF(J197="","",K197/J197)</f>
        <v>0.33261183261183264</v>
      </c>
    </row>
    <row r="198">
      <c r="A198" t="str">
        <v>AER004</v>
      </c>
      <c r="B198" s="3">
        <v>2600</v>
      </c>
      <c r="C198" s="3" t="str">
        <v>NO</v>
      </c>
      <c r="D198" s="3">
        <f>IF(A198="","",$B$7/$B$6)</f>
        <v>25</v>
      </c>
      <c r="E198" s="3">
        <f>IF(A198="","",IF(C198="NO",0,IF(D198&lt;&gt;"",D198,$B$11)))</f>
        <v>0</v>
      </c>
      <c r="F198" s="3">
        <f>IF(A198="","",$B$7/$B$6)</f>
        <v>25</v>
      </c>
      <c r="G198" s="3">
        <f>IF(A198="","",($B$8-$B$9)/$B$6)</f>
        <v>0</v>
      </c>
      <c r="H198" s="4">
        <f>IF(A198="","",$B$10)</f>
        <v>0</v>
      </c>
      <c r="I198" s="4">
        <f>IF(A198="","",$B$5)</f>
        <v>0.333</v>
      </c>
      <c r="J198" s="3">
        <f>IF(OR(A198="",B198=""),"",ROUND((B198+E198+F198+G198)/(1-H198-I198),-1))</f>
        <v>3940</v>
      </c>
      <c r="K198" s="3">
        <f>IF(J198="","",J198-B198-E198-F198-G198-(J198*H198))</f>
        <v>1315</v>
      </c>
      <c r="L198" s="2">
        <f>IF(J198="","",K198/J198)</f>
        <v>0.33375634517766495</v>
      </c>
    </row>
    <row r="199">
      <c r="A199" t="str">
        <v>AER005</v>
      </c>
      <c r="B199" s="3">
        <v>2900</v>
      </c>
      <c r="C199" s="3" t="str">
        <v>NO</v>
      </c>
      <c r="D199" s="3">
        <f>IF(A199="","",$B$7/$B$6)</f>
        <v>25</v>
      </c>
      <c r="E199" s="3">
        <f>IF(A199="","",IF(C199="NO",0,IF(D199&lt;&gt;"",D199,$B$11)))</f>
        <v>0</v>
      </c>
      <c r="F199" s="3">
        <f>IF(A199="","",$B$7/$B$6)</f>
        <v>25</v>
      </c>
      <c r="G199" s="3">
        <f>IF(A199="","",($B$8-$B$9)/$B$6)</f>
        <v>0</v>
      </c>
      <c r="H199" s="4">
        <f>IF(A199="","",$B$10)</f>
        <v>0</v>
      </c>
      <c r="I199" s="4">
        <f>IF(A199="","",$B$5)</f>
        <v>0.333</v>
      </c>
      <c r="J199" s="3">
        <f>IF(OR(A199="",B199=""),"",ROUND((B199+E199+F199+G199)/(1-H199-I199),-1))</f>
        <v>4390</v>
      </c>
      <c r="K199" s="3">
        <f>IF(J199="","",J199-B199-E199-F199-G199-(J199*H199))</f>
        <v>1465</v>
      </c>
      <c r="L199" s="2">
        <f>IF(J199="","",K199/J199)</f>
        <v>0.3337129840546697</v>
      </c>
    </row>
    <row r="200">
      <c r="A200" t="str">
        <v>AER006</v>
      </c>
      <c r="B200" s="3">
        <v>4200</v>
      </c>
      <c r="C200" s="3" t="str">
        <v>NO</v>
      </c>
      <c r="D200" s="3">
        <f>IF(A200="","",$B$7/$B$6)</f>
        <v>25</v>
      </c>
      <c r="E200" s="3">
        <f>IF(A200="","",IF(C200="NO",0,IF(D200&lt;&gt;"",D200,$B$11)))</f>
        <v>0</v>
      </c>
      <c r="F200" s="3">
        <f>IF(A200="","",$B$7/$B$6)</f>
        <v>25</v>
      </c>
      <c r="G200" s="3">
        <f>IF(A200="","",($B$8-$B$9)/$B$6)</f>
        <v>0</v>
      </c>
      <c r="H200" s="4">
        <f>IF(A200="","",$B$10)</f>
        <v>0</v>
      </c>
      <c r="I200" s="4">
        <f>IF(A200="","",$B$5)</f>
        <v>0.333</v>
      </c>
      <c r="J200" s="3">
        <f>IF(OR(A200="",B200=""),"",ROUND((B200+E200+F200+G200)/(1-H200-I200),-1))</f>
        <v>6330</v>
      </c>
      <c r="K200" s="3">
        <f>IF(J200="","",J200-B200-E200-F200-G200-(J200*H200))</f>
        <v>2105</v>
      </c>
      <c r="L200" s="2">
        <f>IF(J200="","",K200/J200)</f>
        <v>0.3325434439178515</v>
      </c>
    </row>
    <row r="201">
      <c r="A201" t="str">
        <v>AER007</v>
      </c>
      <c r="B201" s="3">
        <v>6000</v>
      </c>
      <c r="C201" s="3" t="str">
        <v>NO</v>
      </c>
      <c r="D201" s="3">
        <f>IF(A201="","",$B$7/$B$6)</f>
        <v>25</v>
      </c>
      <c r="E201" s="3">
        <f>IF(A201="","",IF(C201="NO",0,IF(D201&lt;&gt;"",D201,$B$11)))</f>
        <v>0</v>
      </c>
      <c r="F201" s="3">
        <f>IF(A201="","",$B$7/$B$6)</f>
        <v>25</v>
      </c>
      <c r="G201" s="3">
        <f>IF(A201="","",($B$8-$B$9)/$B$6)</f>
        <v>0</v>
      </c>
      <c r="H201" s="4">
        <f>IF(A201="","",$B$10)</f>
        <v>0</v>
      </c>
      <c r="I201" s="4">
        <f>IF(A201="","",$B$5)</f>
        <v>0.333</v>
      </c>
      <c r="J201" s="3">
        <f>IF(OR(A201="",B201=""),"",ROUND((B201+E201+F201+G201)/(1-H201-I201),-1))</f>
        <v>9030</v>
      </c>
      <c r="K201" s="3">
        <f>IF(J201="","",J201-B201-E201-F201-G201-(J201*H201))</f>
        <v>3005</v>
      </c>
      <c r="L201" s="2">
        <f>IF(J201="","",K201/J201)</f>
        <v>0.3327796234772979</v>
      </c>
    </row>
    <row r="202">
      <c r="A202" t="str">
        <v>AER008</v>
      </c>
      <c r="B202" s="3">
        <v>5000</v>
      </c>
      <c r="C202" s="3" t="str">
        <v>NO</v>
      </c>
      <c r="D202" s="3">
        <f>IF(A202="","",$B$7/$B$6)</f>
        <v>25</v>
      </c>
      <c r="E202" s="3">
        <f>IF(A202="","",IF(C202="NO",0,IF(D202&lt;&gt;"",D202,$B$11)))</f>
        <v>0</v>
      </c>
      <c r="F202" s="3">
        <f>IF(A202="","",$B$7/$B$6)</f>
        <v>25</v>
      </c>
      <c r="G202" s="3">
        <f>IF(A202="","",($B$8-$B$9)/$B$6)</f>
        <v>0</v>
      </c>
      <c r="H202" s="4">
        <f>IF(A202="","",$B$10)</f>
        <v>0</v>
      </c>
      <c r="I202" s="4">
        <f>IF(A202="","",$B$5)</f>
        <v>0.333</v>
      </c>
      <c r="J202" s="3">
        <f>IF(OR(A202="",B202=""),"",ROUND((B202+E202+F202+G202)/(1-H202-I202),-1))</f>
        <v>7530</v>
      </c>
      <c r="K202" s="3">
        <f>IF(J202="","",J202-B202-E202-F202-G202-(J202*H202))</f>
        <v>2505</v>
      </c>
      <c r="L202" s="2">
        <f>IF(J202="","",K202/J202)</f>
        <v>0.33266932270916333</v>
      </c>
    </row>
    <row r="203">
      <c r="A203" t="str">
        <v>MYG001</v>
      </c>
      <c r="B203" s="3">
        <v>1300</v>
      </c>
      <c r="C203" s="3" t="str">
        <v>NO</v>
      </c>
      <c r="D203" s="3">
        <f>IF(A203="","",$B$7/$B$6)</f>
        <v>25</v>
      </c>
      <c r="E203" s="3">
        <f>IF(A203="","",IF(C203="NO",0,IF(D203&lt;&gt;"",D203,$B$11)))</f>
        <v>0</v>
      </c>
      <c r="F203" s="3">
        <f>IF(A203="","",$B$7/$B$6)</f>
        <v>25</v>
      </c>
      <c r="G203" s="3">
        <f>IF(A203="","",($B$8-$B$9)/$B$6)</f>
        <v>0</v>
      </c>
      <c r="H203" s="4">
        <f>IF(A203="","",$B$10)</f>
        <v>0</v>
      </c>
      <c r="I203" s="4">
        <f>IF(A203="","",$B$5)</f>
        <v>0.333</v>
      </c>
      <c r="J203" s="3">
        <f>IF(OR(A203="",B203=""),"",ROUND((B203+E203+F203+G203)/(1-H203-I203),-1))</f>
        <v>1990</v>
      </c>
      <c r="K203" s="3">
        <f>IF(J203="","",J203-B203-E203-F203-G203-(J203*H203))</f>
        <v>665</v>
      </c>
      <c r="L203" s="2">
        <f>IF(J203="","",K203/J203)</f>
        <v>0.3341708542713568</v>
      </c>
    </row>
    <row r="204">
      <c r="A204" t="str">
        <v>MYG002</v>
      </c>
      <c r="B204" s="3">
        <v>1300</v>
      </c>
      <c r="C204" s="3" t="str">
        <v>NO</v>
      </c>
      <c r="D204" s="3">
        <f>IF(A204="","",$B$7/$B$6)</f>
        <v>25</v>
      </c>
      <c r="E204" s="3">
        <f>IF(A204="","",IF(C204="NO",0,IF(D204&lt;&gt;"",D204,$B$11)))</f>
        <v>0</v>
      </c>
      <c r="F204" s="3">
        <f>IF(A204="","",$B$7/$B$6)</f>
        <v>25</v>
      </c>
      <c r="G204" s="3">
        <f>IF(A204="","",($B$8-$B$9)/$B$6)</f>
        <v>0</v>
      </c>
      <c r="H204" s="4">
        <f>IF(A204="","",$B$10)</f>
        <v>0</v>
      </c>
      <c r="I204" s="4">
        <f>IF(A204="","",$B$5)</f>
        <v>0.333</v>
      </c>
      <c r="J204" s="3">
        <f>IF(OR(A204="",B204=""),"",ROUND((B204+E204+F204+G204)/(1-H204-I204),-1))</f>
        <v>1990</v>
      </c>
      <c r="K204" s="3">
        <f>IF(J204="","",J204-B204-E204-F204-G204-(J204*H204))</f>
        <v>665</v>
      </c>
      <c r="L204" s="2">
        <f>IF(J204="","",K204/J204)</f>
        <v>0.3341708542713568</v>
      </c>
    </row>
    <row r="205">
      <c r="A205" t="str">
        <v>MYG003</v>
      </c>
      <c r="B205" s="3">
        <v>1300</v>
      </c>
      <c r="C205" s="3" t="str">
        <v>NO</v>
      </c>
      <c r="D205" s="3">
        <f>IF(A205="","",$B$7/$B$6)</f>
        <v>25</v>
      </c>
      <c r="E205" s="3">
        <f>IF(A205="","",IF(C205="NO",0,IF(D205&lt;&gt;"",D205,$B$11)))</f>
        <v>0</v>
      </c>
      <c r="F205" s="3">
        <f>IF(A205="","",$B$7/$B$6)</f>
        <v>25</v>
      </c>
      <c r="G205" s="3">
        <f>IF(A205="","",($B$8-$B$9)/$B$6)</f>
        <v>0</v>
      </c>
      <c r="H205" s="4">
        <f>IF(A205="","",$B$10)</f>
        <v>0</v>
      </c>
      <c r="I205" s="4">
        <f>IF(A205="","",$B$5)</f>
        <v>0.333</v>
      </c>
      <c r="J205" s="3">
        <f>IF(OR(A205="",B205=""),"",ROUND((B205+E205+F205+G205)/(1-H205-I205),-1))</f>
        <v>1990</v>
      </c>
      <c r="K205" s="3">
        <f>IF(J205="","",J205-B205-E205-F205-G205-(J205*H205))</f>
        <v>665</v>
      </c>
      <c r="L205" s="2">
        <f>IF(J205="","",K205/J205)</f>
        <v>0.3341708542713568</v>
      </c>
    </row>
    <row r="206">
      <c r="A206" t="str">
        <v>MYG004</v>
      </c>
      <c r="B206" s="3">
        <v>1300</v>
      </c>
      <c r="C206" s="3" t="str">
        <v>NO</v>
      </c>
      <c r="D206" s="3">
        <f>IF(A206="","",$B$7/$B$6)</f>
        <v>25</v>
      </c>
      <c r="E206" s="3">
        <f>IF(A206="","",IF(C206="NO",0,IF(D206&lt;&gt;"",D206,$B$11)))</f>
        <v>0</v>
      </c>
      <c r="F206" s="3">
        <f>IF(A206="","",$B$7/$B$6)</f>
        <v>25</v>
      </c>
      <c r="G206" s="3">
        <f>IF(A206="","",($B$8-$B$9)/$B$6)</f>
        <v>0</v>
      </c>
      <c r="H206" s="4">
        <f>IF(A206="","",$B$10)</f>
        <v>0</v>
      </c>
      <c r="I206" s="4">
        <f>IF(A206="","",$B$5)</f>
        <v>0.333</v>
      </c>
      <c r="J206" s="3">
        <f>IF(OR(A206="",B206=""),"",ROUND((B206+E206+F206+G206)/(1-H206-I206),-1))</f>
        <v>1990</v>
      </c>
      <c r="K206" s="3">
        <f>IF(J206="","",J206-B206-E206-F206-G206-(J206*H206))</f>
        <v>665</v>
      </c>
      <c r="L206" s="2">
        <f>IF(J206="","",K206/J206)</f>
        <v>0.3341708542713568</v>
      </c>
    </row>
    <row r="207">
      <c r="A207" t="str">
        <v>MYG005</v>
      </c>
      <c r="B207" s="3">
        <v>7000</v>
      </c>
      <c r="C207" s="3" t="str">
        <v>NO</v>
      </c>
      <c r="D207" s="3">
        <f>IF(A207="","",$B$7/$B$6)</f>
        <v>25</v>
      </c>
      <c r="E207" s="3">
        <f>IF(A207="","",IF(C207="NO",0,IF(D207&lt;&gt;"",D207,$B$11)))</f>
        <v>0</v>
      </c>
      <c r="F207" s="3">
        <f>IF(A207="","",$B$7/$B$6)</f>
        <v>25</v>
      </c>
      <c r="G207" s="3">
        <f>IF(A207="","",($B$8-$B$9)/$B$6)</f>
        <v>0</v>
      </c>
      <c r="H207" s="4">
        <f>IF(A207="","",$B$10)</f>
        <v>0</v>
      </c>
      <c r="I207" s="4">
        <f>IF(A207="","",$B$5)</f>
        <v>0.333</v>
      </c>
      <c r="J207" s="3">
        <f>IF(OR(A207="",B207=""),"",ROUND((B207+E207+F207+G207)/(1-H207-I207),-1))</f>
        <v>10530</v>
      </c>
      <c r="K207" s="3">
        <f>IF(J207="","",J207-B207-E207-F207-G207-(J207*H207))</f>
        <v>3505</v>
      </c>
      <c r="L207" s="2">
        <f>IF(J207="","",K207/J207)</f>
        <v>0.3328584995251662</v>
      </c>
    </row>
    <row r="208">
      <c r="A208" t="str">
        <v>MYG006</v>
      </c>
      <c r="B208" s="3">
        <v>8000</v>
      </c>
      <c r="C208" s="3" t="str">
        <v>NO</v>
      </c>
      <c r="D208" s="3">
        <f>IF(A208="","",$B$7/$B$6)</f>
        <v>25</v>
      </c>
      <c r="E208" s="3">
        <f>IF(A208="","",IF(C208="NO",0,IF(D208&lt;&gt;"",D208,$B$11)))</f>
        <v>0</v>
      </c>
      <c r="F208" s="3">
        <f>IF(A208="","",$B$7/$B$6)</f>
        <v>25</v>
      </c>
      <c r="G208" s="3">
        <f>IF(A208="","",($B$8-$B$9)/$B$6)</f>
        <v>0</v>
      </c>
      <c r="H208" s="4">
        <f>IF(A208="","",$B$10)</f>
        <v>0</v>
      </c>
      <c r="I208" s="4">
        <f>IF(A208="","",$B$5)</f>
        <v>0.333</v>
      </c>
      <c r="J208" s="3">
        <f>IF(OR(A208="",B208=""),"",ROUND((B208+E208+F208+G208)/(1-H208-I208),-1))</f>
        <v>12030</v>
      </c>
      <c r="K208" s="3">
        <f>IF(J208="","",J208-B208-E208-F208-G208-(J208*H208))</f>
        <v>4005</v>
      </c>
      <c r="L208" s="2">
        <f>IF(J208="","",K208/J208)</f>
        <v>0.3329177057356609</v>
      </c>
    </row>
    <row r="209">
      <c r="A209" t="str">
        <v>MYG007</v>
      </c>
      <c r="B209" s="3">
        <v>7000</v>
      </c>
      <c r="C209" s="3" t="str">
        <v>NO</v>
      </c>
      <c r="D209" s="3">
        <f>IF(A209="","",$B$7/$B$6)</f>
        <v>25</v>
      </c>
      <c r="E209" s="3">
        <f>IF(A209="","",IF(C209="NO",0,IF(D209&lt;&gt;"",D209,$B$11)))</f>
        <v>0</v>
      </c>
      <c r="F209" s="3">
        <f>IF(A209="","",$B$7/$B$6)</f>
        <v>25</v>
      </c>
      <c r="G209" s="3">
        <f>IF(A209="","",($B$8-$B$9)/$B$6)</f>
        <v>0</v>
      </c>
      <c r="H209" s="4">
        <f>IF(A209="","",$B$10)</f>
        <v>0</v>
      </c>
      <c r="I209" s="4">
        <f>IF(A209="","",$B$5)</f>
        <v>0.333</v>
      </c>
      <c r="J209" s="3">
        <f>IF(OR(A209="",B209=""),"",ROUND((B209+E209+F209+G209)/(1-H209-I209),-1))</f>
        <v>10530</v>
      </c>
      <c r="K209" s="3">
        <f>IF(J209="","",J209-B209-E209-F209-G209-(J209*H209))</f>
        <v>3505</v>
      </c>
      <c r="L209" s="2">
        <f>IF(J209="","",K209/J209)</f>
        <v>0.3328584995251662</v>
      </c>
    </row>
    <row r="210">
      <c r="A210" t="str">
        <v>MYG008</v>
      </c>
      <c r="B210" s="3">
        <v>1300</v>
      </c>
      <c r="C210" s="3" t="str">
        <v>NO</v>
      </c>
      <c r="D210" s="3">
        <f>IF(A210="","",$B$7/$B$6)</f>
        <v>25</v>
      </c>
      <c r="E210" s="3">
        <f>IF(A210="","",IF(C210="NO",0,IF(D210&lt;&gt;"",D210,$B$11)))</f>
        <v>0</v>
      </c>
      <c r="F210" s="3">
        <f>IF(A210="","",$B$7/$B$6)</f>
        <v>25</v>
      </c>
      <c r="G210" s="3">
        <f>IF(A210="","",($B$8-$B$9)/$B$6)</f>
        <v>0</v>
      </c>
      <c r="H210" s="4">
        <f>IF(A210="","",$B$10)</f>
        <v>0</v>
      </c>
      <c r="I210" s="4">
        <f>IF(A210="","",$B$5)</f>
        <v>0.333</v>
      </c>
      <c r="J210" s="3">
        <f>IF(OR(A210="",B210=""),"",ROUND((B210+E210+F210+G210)/(1-H210-I210),-1))</f>
        <v>1990</v>
      </c>
      <c r="K210" s="3">
        <f>IF(J210="","",J210-B210-E210-F210-G210-(J210*H210))</f>
        <v>665</v>
      </c>
      <c r="L210" s="2">
        <f>IF(J210="","",K210/J210)</f>
        <v>0.3341708542713568</v>
      </c>
    </row>
    <row r="211">
      <c r="A211" t="str">
        <v>MYG009</v>
      </c>
      <c r="B211" s="3">
        <v>2100</v>
      </c>
      <c r="C211" s="3" t="str">
        <v>NO</v>
      </c>
      <c r="D211" s="3">
        <f>IF(A211="","",$B$7/$B$6)</f>
        <v>25</v>
      </c>
      <c r="E211" s="3">
        <f>IF(A211="","",IF(C211="NO",0,IF(D211&lt;&gt;"",D211,$B$11)))</f>
        <v>0</v>
      </c>
      <c r="F211" s="3">
        <f>IF(A211="","",$B$7/$B$6)</f>
        <v>25</v>
      </c>
      <c r="G211" s="3">
        <f>IF(A211="","",($B$8-$B$9)/$B$6)</f>
        <v>0</v>
      </c>
      <c r="H211" s="4">
        <f>IF(A211="","",$B$10)</f>
        <v>0</v>
      </c>
      <c r="I211" s="4">
        <f>IF(A211="","",$B$5)</f>
        <v>0.333</v>
      </c>
      <c r="J211" s="3">
        <f>IF(OR(A211="",B211=""),"",ROUND((B211+E211+F211+G211)/(1-H211-I211),-1))</f>
        <v>3190</v>
      </c>
      <c r="K211" s="3">
        <f>IF(J211="","",J211-B211-E211-F211-G211-(J211*H211))</f>
        <v>1065</v>
      </c>
      <c r="L211" s="2">
        <f>IF(J211="","",K211/J211)</f>
        <v>0.3338557993730408</v>
      </c>
    </row>
    <row r="212">
      <c r="A212" t="str">
        <v>MYG010</v>
      </c>
      <c r="B212" s="3">
        <v>2000</v>
      </c>
      <c r="C212" s="3" t="str">
        <v>NO</v>
      </c>
      <c r="D212" s="3">
        <f>IF(A212="","",$B$7/$B$6)</f>
        <v>25</v>
      </c>
      <c r="E212" s="3">
        <f>IF(A212="","",IF(C212="NO",0,IF(D212&lt;&gt;"",D212,$B$11)))</f>
        <v>0</v>
      </c>
      <c r="F212" s="3">
        <f>IF(A212="","",$B$7/$B$6)</f>
        <v>25</v>
      </c>
      <c r="G212" s="3">
        <f>IF(A212="","",($B$8-$B$9)/$B$6)</f>
        <v>0</v>
      </c>
      <c r="H212" s="4">
        <f>IF(A212="","",$B$10)</f>
        <v>0</v>
      </c>
      <c r="I212" s="4">
        <f>IF(A212="","",$B$5)</f>
        <v>0.333</v>
      </c>
      <c r="J212" s="3">
        <f>IF(OR(A212="",B212=""),"",ROUND((B212+E212+F212+G212)/(1-H212-I212),-1))</f>
        <v>3040</v>
      </c>
      <c r="K212" s="3">
        <f>IF(J212="","",J212-B212-E212-F212-G212-(J212*H212))</f>
        <v>1015</v>
      </c>
      <c r="L212" s="2">
        <f>IF(J212="","",K212/J212)</f>
        <v>0.3338815789473684</v>
      </c>
    </row>
    <row r="213">
      <c r="A213" t="str">
        <v>MYG011</v>
      </c>
      <c r="B213" s="3">
        <v>6600</v>
      </c>
      <c r="C213" s="3" t="str">
        <v>NO</v>
      </c>
      <c r="D213" s="3">
        <f>IF(A213="","",$B$7/$B$6)</f>
        <v>25</v>
      </c>
      <c r="E213" s="3">
        <f>IF(A213="","",IF(C213="NO",0,IF(D213&lt;&gt;"",D213,$B$11)))</f>
        <v>0</v>
      </c>
      <c r="F213" s="3">
        <f>IF(A213="","",$B$7/$B$6)</f>
        <v>25</v>
      </c>
      <c r="G213" s="3">
        <f>IF(A213="","",($B$8-$B$9)/$B$6)</f>
        <v>0</v>
      </c>
      <c r="H213" s="4">
        <f>IF(A213="","",$B$10)</f>
        <v>0</v>
      </c>
      <c r="I213" s="4">
        <f>IF(A213="","",$B$5)</f>
        <v>0.333</v>
      </c>
      <c r="J213" s="3">
        <f>IF(OR(A213="",B213=""),"",ROUND((B213+E213+F213+G213)/(1-H213-I213),-1))</f>
        <v>9930</v>
      </c>
      <c r="K213" s="3">
        <f>IF(J213="","",J213-B213-E213-F213-G213-(J213*H213))</f>
        <v>3305</v>
      </c>
      <c r="L213" s="2">
        <f>IF(J213="","",K213/J213)</f>
        <v>0.3328298086606244</v>
      </c>
    </row>
    <row r="214">
      <c r="A214" t="str">
        <v>MYG012</v>
      </c>
      <c r="B214" s="3">
        <v>1000</v>
      </c>
      <c r="C214" s="3" t="str">
        <v>NO</v>
      </c>
      <c r="D214" s="3">
        <f>IF(A214="","",$B$7/$B$6)</f>
        <v>25</v>
      </c>
      <c r="E214" s="3">
        <f>IF(A214="","",IF(C214="NO",0,IF(D214&lt;&gt;"",D214,$B$11)))</f>
        <v>0</v>
      </c>
      <c r="F214" s="3">
        <f>IF(A214="","",$B$7/$B$6)</f>
        <v>25</v>
      </c>
      <c r="G214" s="3">
        <f>IF(A214="","",($B$8-$B$9)/$B$6)</f>
        <v>0</v>
      </c>
      <c r="H214" s="4">
        <f>IF(A214="","",$B$10)</f>
        <v>0</v>
      </c>
      <c r="I214" s="4">
        <f>IF(A214="","",$B$5)</f>
        <v>0.333</v>
      </c>
      <c r="J214" s="3">
        <f>IF(OR(A214="",B214=""),"",ROUND((B214+E214+F214+G214)/(1-H214-I214),-1))</f>
        <v>1540</v>
      </c>
      <c r="K214" s="3">
        <f>IF(J214="","",J214-B214-E214-F214-G214-(J214*H214))</f>
        <v>515</v>
      </c>
      <c r="L214" s="2">
        <f>IF(J214="","",K214/J214)</f>
        <v>0.3344155844155844</v>
      </c>
    </row>
    <row r="215">
      <c r="A215" t="str">
        <v>MYG013</v>
      </c>
      <c r="B215" s="3">
        <v>6600</v>
      </c>
      <c r="C215" s="3" t="str">
        <v>NO</v>
      </c>
      <c r="D215" s="3">
        <f>IF(A215="","",$B$7/$B$6)</f>
        <v>25</v>
      </c>
      <c r="E215" s="3">
        <f>IF(A215="","",IF(C215="NO",0,IF(D215&lt;&gt;"",D215,$B$11)))</f>
        <v>0</v>
      </c>
      <c r="F215" s="3">
        <f>IF(A215="","",$B$7/$B$6)</f>
        <v>25</v>
      </c>
      <c r="G215" s="3">
        <f>IF(A215="","",($B$8-$B$9)/$B$6)</f>
        <v>0</v>
      </c>
      <c r="H215" s="4">
        <f>IF(A215="","",$B$10)</f>
        <v>0</v>
      </c>
      <c r="I215" s="4">
        <f>IF(A215="","",$B$5)</f>
        <v>0.333</v>
      </c>
      <c r="J215" s="3">
        <f>IF(OR(A215="",B215=""),"",ROUND((B215+E215+F215+G215)/(1-H215-I215),-1))</f>
        <v>9930</v>
      </c>
      <c r="K215" s="3">
        <f>IF(J215="","",J215-B215-E215-F215-G215-(J215*H215))</f>
        <v>3305</v>
      </c>
      <c r="L215" s="2">
        <f>IF(J215="","",K215/J215)</f>
        <v>0.3328298086606244</v>
      </c>
    </row>
    <row r="216">
      <c r="A216" t="str">
        <v>RPP001</v>
      </c>
      <c r="B216" s="3">
        <v>6400</v>
      </c>
      <c r="C216" s="3" t="str">
        <v>NO</v>
      </c>
      <c r="D216" s="3">
        <f>IF(A216="","",$B$7/$B$6)</f>
        <v>25</v>
      </c>
      <c r="E216" s="3">
        <f>IF(A216="","",IF(C216="NO",0,IF(D216&lt;&gt;"",D216,$B$11)))</f>
        <v>0</v>
      </c>
      <c r="F216" s="3">
        <f>IF(A216="","",$B$7/$B$6)</f>
        <v>25</v>
      </c>
      <c r="G216" s="3">
        <f>IF(A216="","",($B$8-$B$9)/$B$6)</f>
        <v>0</v>
      </c>
      <c r="H216" s="4">
        <f>IF(A216="","",$B$10)</f>
        <v>0</v>
      </c>
      <c r="I216" s="4">
        <f>IF(A216="","",$B$5)</f>
        <v>0.333</v>
      </c>
      <c r="J216" s="3">
        <f>IF(OR(A216="",B216=""),"",ROUND((B216+E216+F216+G216)/(1-H216-I216),-1))</f>
        <v>9630</v>
      </c>
      <c r="K216" s="3">
        <f>IF(J216="","",J216-B216-E216-F216-G216-(J216*H216))</f>
        <v>3205</v>
      </c>
      <c r="L216" s="2">
        <f>IF(J216="","",K216/J216)</f>
        <v>0.3328141225337487</v>
      </c>
    </row>
    <row r="217">
      <c r="A217" t="str">
        <v>RPP002</v>
      </c>
      <c r="B217" s="3">
        <v>10000</v>
      </c>
      <c r="C217" s="3" t="str">
        <v>NO</v>
      </c>
      <c r="D217" s="3">
        <f>IF(A217="","",$B$7/$B$6)</f>
        <v>25</v>
      </c>
      <c r="E217" s="3">
        <f>IF(A217="","",IF(C217="NO",0,IF(D217&lt;&gt;"",D217,$B$11)))</f>
        <v>0</v>
      </c>
      <c r="F217" s="3">
        <f>IF(A217="","",$B$7/$B$6)</f>
        <v>25</v>
      </c>
      <c r="G217" s="3">
        <f>IF(A217="","",($B$8-$B$9)/$B$6)</f>
        <v>0</v>
      </c>
      <c r="H217" s="4">
        <f>IF(A217="","",$B$10)</f>
        <v>0</v>
      </c>
      <c r="I217" s="4">
        <f>IF(A217="","",$B$5)</f>
        <v>0.333</v>
      </c>
      <c r="J217" s="3">
        <f>IF(OR(A217="",B217=""),"",ROUND((B217+E217+F217+G217)/(1-H217-I217),-1))</f>
        <v>15030</v>
      </c>
      <c r="K217" s="3">
        <f>IF(J217="","",J217-B217-E217-F217-G217-(J217*H217))</f>
        <v>5005</v>
      </c>
      <c r="L217" s="2">
        <f>IF(J217="","",K217/J217)</f>
        <v>0.33300066533599465</v>
      </c>
    </row>
    <row r="218">
      <c r="A218" t="str">
        <v>RPP003</v>
      </c>
      <c r="B218" s="3">
        <v>2400</v>
      </c>
      <c r="C218" s="3" t="str">
        <v>NO</v>
      </c>
      <c r="D218" s="3">
        <f>IF(A218="","",$B$7/$B$6)</f>
        <v>25</v>
      </c>
      <c r="E218" s="3">
        <f>IF(A218="","",IF(C218="NO",0,IF(D218&lt;&gt;"",D218,$B$11)))</f>
        <v>0</v>
      </c>
      <c r="F218" s="3">
        <f>IF(A218="","",$B$7/$B$6)</f>
        <v>25</v>
      </c>
      <c r="G218" s="3">
        <f>IF(A218="","",($B$8-$B$9)/$B$6)</f>
        <v>0</v>
      </c>
      <c r="H218" s="4">
        <f>IF(A218="","",$B$10)</f>
        <v>0</v>
      </c>
      <c r="I218" s="4">
        <f>IF(A218="","",$B$5)</f>
        <v>0.333</v>
      </c>
      <c r="J218" s="3">
        <f>IF(OR(A218="",B218=""),"",ROUND((B218+E218+F218+G218)/(1-H218-I218),-1))</f>
        <v>3640</v>
      </c>
      <c r="K218" s="3">
        <f>IF(J218="","",J218-B218-E218-F218-G218-(J218*H218))</f>
        <v>1215</v>
      </c>
      <c r="L218" s="2">
        <f>IF(J218="","",K218/J218)</f>
        <v>0.33379120879120877</v>
      </c>
    </row>
    <row r="219">
      <c r="A219" t="str">
        <v>RPP004</v>
      </c>
      <c r="B219" s="3">
        <v>3200</v>
      </c>
      <c r="C219" s="3" t="str">
        <v>NO</v>
      </c>
      <c r="D219" s="3">
        <f>IF(A219="","",$B$7/$B$6)</f>
        <v>25</v>
      </c>
      <c r="E219" s="3">
        <f>IF(A219="","",IF(C219="NO",0,IF(D219&lt;&gt;"",D219,$B$11)))</f>
        <v>0</v>
      </c>
      <c r="F219" s="3">
        <f>IF(A219="","",$B$7/$B$6)</f>
        <v>25</v>
      </c>
      <c r="G219" s="3">
        <f>IF(A219="","",($B$8-$B$9)/$B$6)</f>
        <v>0</v>
      </c>
      <c r="H219" s="4">
        <f>IF(A219="","",$B$10)</f>
        <v>0</v>
      </c>
      <c r="I219" s="4">
        <f>IF(A219="","",$B$5)</f>
        <v>0.333</v>
      </c>
      <c r="J219" s="3">
        <f>IF(OR(A219="",B219=""),"",ROUND((B219+E219+F219+G219)/(1-H219-I219),-1))</f>
        <v>4840</v>
      </c>
      <c r="K219" s="3">
        <f>IF(J219="","",J219-B219-E219-F219-G219-(J219*H219))</f>
        <v>1615</v>
      </c>
      <c r="L219" s="2">
        <f>IF(J219="","",K219/J219)</f>
        <v>0.33367768595041325</v>
      </c>
    </row>
    <row r="220">
      <c r="A220" t="str">
        <v>RPP005</v>
      </c>
      <c r="B220" s="3">
        <v>11800</v>
      </c>
      <c r="C220" s="3" t="str">
        <v>NO</v>
      </c>
      <c r="D220" s="3">
        <f>IF(A220="","",$B$7/$B$6)</f>
        <v>25</v>
      </c>
      <c r="E220" s="3">
        <f>IF(A220="","",IF(C220="NO",0,IF(D220&lt;&gt;"",D220,$B$11)))</f>
        <v>0</v>
      </c>
      <c r="F220" s="3">
        <f>IF(A220="","",$B$7/$B$6)</f>
        <v>25</v>
      </c>
      <c r="G220" s="3">
        <f>IF(A220="","",($B$8-$B$9)/$B$6)</f>
        <v>0</v>
      </c>
      <c r="H220" s="4">
        <f>IF(A220="","",$B$10)</f>
        <v>0</v>
      </c>
      <c r="I220" s="4">
        <f>IF(A220="","",$B$5)</f>
        <v>0.333</v>
      </c>
      <c r="J220" s="3">
        <f>IF(OR(A220="",B220=""),"",ROUND((B220+E220+F220+G220)/(1-H220-I220),-1))</f>
        <v>17730</v>
      </c>
      <c r="K220" s="3">
        <f>IF(J220="","",J220-B220-E220-F220-G220-(J220*H220))</f>
        <v>5905</v>
      </c>
      <c r="L220" s="2">
        <f>IF(J220="","",K220/J220)</f>
        <v>0.33305132543711224</v>
      </c>
    </row>
    <row r="221">
      <c r="A221" t="str">
        <v>RPP006</v>
      </c>
      <c r="B221" s="3">
        <v>11000</v>
      </c>
      <c r="C221" s="3" t="str">
        <v>NO</v>
      </c>
      <c r="D221" s="3">
        <f>IF(A221="","",$B$7/$B$6)</f>
        <v>25</v>
      </c>
      <c r="E221" s="3">
        <f>IF(A221="","",IF(C221="NO",0,IF(D221&lt;&gt;"",D221,$B$11)))</f>
        <v>0</v>
      </c>
      <c r="F221" s="3">
        <f>IF(A221="","",$B$7/$B$6)</f>
        <v>25</v>
      </c>
      <c r="G221" s="3">
        <f>IF(A221="","",($B$8-$B$9)/$B$6)</f>
        <v>0</v>
      </c>
      <c r="H221" s="4">
        <f>IF(A221="","",$B$10)</f>
        <v>0</v>
      </c>
      <c r="I221" s="4">
        <f>IF(A221="","",$B$5)</f>
        <v>0.333</v>
      </c>
      <c r="J221" s="3">
        <f>IF(OR(A221="",B221=""),"",ROUND((B221+E221+F221+G221)/(1-H221-I221),-1))</f>
        <v>16530</v>
      </c>
      <c r="K221" s="3">
        <f>IF(J221="","",J221-B221-E221-F221-G221-(J221*H221))</f>
        <v>5505</v>
      </c>
      <c r="L221" s="2">
        <f>IF(J221="","",K221/J221)</f>
        <v>0.33303085299455537</v>
      </c>
    </row>
    <row r="222">
      <c r="A222" t="str">
        <v>PPP001</v>
      </c>
      <c r="B222" s="3">
        <v>5000</v>
      </c>
      <c r="C222" s="3" t="str">
        <v>NO</v>
      </c>
      <c r="D222" s="3">
        <f>IF(A222="","",$B$7/$B$6)</f>
        <v>25</v>
      </c>
      <c r="E222" s="3">
        <f>IF(A222="","",IF(C222="NO",0,IF(D222&lt;&gt;"",D222,$B$11)))</f>
        <v>0</v>
      </c>
      <c r="F222" s="3">
        <f>IF(A222="","",$B$7/$B$6)</f>
        <v>25</v>
      </c>
      <c r="G222" s="3">
        <f>IF(A222="","",($B$8-$B$9)/$B$6)</f>
        <v>0</v>
      </c>
      <c r="H222" s="4">
        <f>IF(A222="","",$B$10)</f>
        <v>0</v>
      </c>
      <c r="I222" s="4">
        <f>IF(A222="","",$B$5)</f>
        <v>0.333</v>
      </c>
      <c r="J222" s="3">
        <f>IF(OR(A222="",B222=""),"",ROUND((B222+E222+F222+G222)/(1-H222-I222),-1))</f>
        <v>7530</v>
      </c>
      <c r="K222" s="3">
        <f>IF(J222="","",J222-B222-E222-F222-G222-(J222*H222))</f>
        <v>2505</v>
      </c>
      <c r="L222" s="2">
        <f>IF(J222="","",K222/J222)</f>
        <v>0.33266932270916333</v>
      </c>
    </row>
    <row r="223">
      <c r="A223" t="str">
        <v>PPP002</v>
      </c>
      <c r="B223" s="3">
        <v>4500</v>
      </c>
      <c r="C223" s="3" t="str">
        <v>NO</v>
      </c>
      <c r="D223" s="3">
        <f>IF(A223="","",$B$7/$B$6)</f>
        <v>25</v>
      </c>
      <c r="E223" s="3">
        <f>IF(A223="","",IF(C223="NO",0,IF(D223&lt;&gt;"",D223,$B$11)))</f>
        <v>0</v>
      </c>
      <c r="F223" s="3">
        <f>IF(A223="","",$B$7/$B$6)</f>
        <v>25</v>
      </c>
      <c r="G223" s="3">
        <f>IF(A223="","",($B$8-$B$9)/$B$6)</f>
        <v>0</v>
      </c>
      <c r="H223" s="4">
        <f>IF(A223="","",$B$10)</f>
        <v>0</v>
      </c>
      <c r="I223" s="4">
        <f>IF(A223="","",$B$5)</f>
        <v>0.333</v>
      </c>
      <c r="J223" s="3">
        <f>IF(OR(A223="",B223=""),"",ROUND((B223+E223+F223+G223)/(1-H223-I223),-1))</f>
        <v>6780</v>
      </c>
      <c r="K223" s="3">
        <f>IF(J223="","",J223-B223-E223-F223-G223-(J223*H223))</f>
        <v>2255</v>
      </c>
      <c r="L223" s="2">
        <f>IF(J223="","",K223/J223)</f>
        <v>0.3325958702064897</v>
      </c>
    </row>
    <row r="224">
      <c r="A224" t="str">
        <v>PPP003</v>
      </c>
      <c r="B224" s="3">
        <v>5800</v>
      </c>
      <c r="C224" s="3" t="str">
        <v>NO</v>
      </c>
      <c r="D224" s="3">
        <f>IF(A224="","",$B$7/$B$6)</f>
        <v>25</v>
      </c>
      <c r="E224" s="3">
        <f>IF(A224="","",IF(C224="NO",0,IF(D224&lt;&gt;"",D224,$B$11)))</f>
        <v>0</v>
      </c>
      <c r="F224" s="3">
        <f>IF(A224="","",$B$7/$B$6)</f>
        <v>25</v>
      </c>
      <c r="G224" s="3">
        <f>IF(A224="","",($B$8-$B$9)/$B$6)</f>
        <v>0</v>
      </c>
      <c r="H224" s="4">
        <f>IF(A224="","",$B$10)</f>
        <v>0</v>
      </c>
      <c r="I224" s="4">
        <f>IF(A224="","",$B$5)</f>
        <v>0.333</v>
      </c>
      <c r="J224" s="3">
        <f>IF(OR(A224="",B224=""),"",ROUND((B224+E224+F224+G224)/(1-H224-I224),-1))</f>
        <v>8730</v>
      </c>
      <c r="K224" s="3">
        <f>IF(J224="","",J224-B224-E224-F224-G224-(J224*H224))</f>
        <v>2905</v>
      </c>
      <c r="L224" s="2">
        <f>IF(J224="","",K224/J224)</f>
        <v>0.33276059564719357</v>
      </c>
    </row>
    <row r="225">
      <c r="A225" t="str">
        <v>PPP004</v>
      </c>
      <c r="B225" s="3">
        <v>185000</v>
      </c>
      <c r="C225" s="3" t="str">
        <v>NO</v>
      </c>
      <c r="D225" s="3">
        <f>IF(A225="","",$B$7/$B$6)</f>
        <v>25</v>
      </c>
      <c r="E225" s="3">
        <f>IF(A225="","",IF(C225="NO",0,IF(D225&lt;&gt;"",D225,$B$11)))</f>
        <v>0</v>
      </c>
      <c r="F225" s="3">
        <f>IF(A225="","",$B$7/$B$6)</f>
        <v>25</v>
      </c>
      <c r="G225" s="3">
        <f>IF(A225="","",($B$8-$B$9)/$B$6)</f>
        <v>0</v>
      </c>
      <c r="H225" s="4">
        <f>IF(A225="","",$B$10)</f>
        <v>0</v>
      </c>
      <c r="I225" s="4">
        <f>IF(A225="","",$B$5)</f>
        <v>0.333</v>
      </c>
      <c r="J225" s="3">
        <f>IF(OR(A225="",B225=""),"",ROUND((B225+E225+F225+G225)/(1-H225-I225),-1))</f>
        <v>277400</v>
      </c>
      <c r="K225" s="3">
        <f>IF(J225="","",J225-B225-E225-F225-G225-(J225*H225))</f>
        <v>92375</v>
      </c>
      <c r="L225" s="2">
        <f>IF(J225="","",K225/J225)</f>
        <v>0.3330028839221341</v>
      </c>
    </row>
    <row r="226">
      <c r="A226" t="str">
        <v>PPP005</v>
      </c>
      <c r="B226" s="3">
        <v>4800</v>
      </c>
      <c r="C226" s="3" t="str">
        <v>NO</v>
      </c>
      <c r="D226" s="3">
        <f>IF(A226="","",$B$7/$B$6)</f>
        <v>25</v>
      </c>
      <c r="E226" s="3">
        <f>IF(A226="","",IF(C226="NO",0,IF(D226&lt;&gt;"",D226,$B$11)))</f>
        <v>0</v>
      </c>
      <c r="F226" s="3">
        <f>IF(A226="","",$B$7/$B$6)</f>
        <v>25</v>
      </c>
      <c r="G226" s="3">
        <f>IF(A226="","",($B$8-$B$9)/$B$6)</f>
        <v>0</v>
      </c>
      <c r="H226" s="4">
        <f>IF(A226="","",$B$10)</f>
        <v>0</v>
      </c>
      <c r="I226" s="4">
        <f>IF(A226="","",$B$5)</f>
        <v>0.333</v>
      </c>
      <c r="J226" s="3">
        <f>IF(OR(A226="",B226=""),"",ROUND((B226+E226+F226+G226)/(1-H226-I226),-1))</f>
        <v>7230</v>
      </c>
      <c r="K226" s="3">
        <f>IF(J226="","",J226-B226-E226-F226-G226-(J226*H226))</f>
        <v>2405</v>
      </c>
      <c r="L226" s="2">
        <f>IF(J226="","",K226/J226)</f>
        <v>0.3326417704011065</v>
      </c>
    </row>
    <row r="227">
      <c r="A227" t="str">
        <v>PPP006</v>
      </c>
      <c r="B227" s="3">
        <v>4400</v>
      </c>
      <c r="C227" s="3" t="str">
        <v>NO</v>
      </c>
      <c r="D227" s="3">
        <f>IF(A227="","",$B$7/$B$6)</f>
        <v>25</v>
      </c>
      <c r="E227" s="3">
        <f>IF(A227="","",IF(C227="NO",0,IF(D227&lt;&gt;"",D227,$B$11)))</f>
        <v>0</v>
      </c>
      <c r="F227" s="3">
        <f>IF(A227="","",$B$7/$B$6)</f>
        <v>25</v>
      </c>
      <c r="G227" s="3">
        <f>IF(A227="","",($B$8-$B$9)/$B$6)</f>
        <v>0</v>
      </c>
      <c r="H227" s="4">
        <f>IF(A227="","",$B$10)</f>
        <v>0</v>
      </c>
      <c r="I227" s="4">
        <f>IF(A227="","",$B$5)</f>
        <v>0.333</v>
      </c>
      <c r="J227" s="3">
        <f>IF(OR(A227="",B227=""),"",ROUND((B227+E227+F227+G227)/(1-H227-I227),-1))</f>
        <v>6630</v>
      </c>
      <c r="K227" s="3">
        <f>IF(J227="","",J227-B227-E227-F227-G227-(J227*H227))</f>
        <v>2205</v>
      </c>
      <c r="L227" s="2">
        <f>IF(J227="","",K227/J227)</f>
        <v>0.332579185520362</v>
      </c>
    </row>
    <row r="228">
      <c r="A228" t="str">
        <v>PPP007</v>
      </c>
      <c r="B228" s="3">
        <v>26000</v>
      </c>
      <c r="C228" s="3" t="str">
        <v>NO</v>
      </c>
      <c r="D228" s="3">
        <f>IF(A228="","",$B$7/$B$6)</f>
        <v>25</v>
      </c>
      <c r="E228" s="3">
        <f>IF(A228="","",IF(C228="NO",0,IF(D228&lt;&gt;"",D228,$B$11)))</f>
        <v>0</v>
      </c>
      <c r="F228" s="3">
        <f>IF(A228="","",$B$7/$B$6)</f>
        <v>25</v>
      </c>
      <c r="G228" s="3">
        <f>IF(A228="","",($B$8-$B$9)/$B$6)</f>
        <v>0</v>
      </c>
      <c r="H228" s="4">
        <f>IF(A228="","",$B$10)</f>
        <v>0</v>
      </c>
      <c r="I228" s="4">
        <f>IF(A228="","",$B$5)</f>
        <v>0.333</v>
      </c>
      <c r="J228" s="3">
        <f>IF(OR(A228="",B228=""),"",ROUND((B228+E228+F228+G228)/(1-H228-I228),-1))</f>
        <v>39020</v>
      </c>
      <c r="K228" s="3">
        <f>IF(J228="","",J228-B228-E228-F228-G228-(J228*H228))</f>
        <v>12995</v>
      </c>
      <c r="L228" s="2">
        <f>IF(J228="","",K228/J228)</f>
        <v>0.3330343413634034</v>
      </c>
    </row>
    <row r="229">
      <c r="A229" t="str">
        <v>PPP008</v>
      </c>
      <c r="B229" s="3">
        <v>7000</v>
      </c>
      <c r="C229" s="3" t="str">
        <v>NO</v>
      </c>
      <c r="D229" s="3">
        <f>IF(A229="","",$B$7/$B$6)</f>
        <v>25</v>
      </c>
      <c r="E229" s="3">
        <f>IF(A229="","",IF(C229="NO",0,IF(D229&lt;&gt;"",D229,$B$11)))</f>
        <v>0</v>
      </c>
      <c r="F229" s="3">
        <f>IF(A229="","",$B$7/$B$6)</f>
        <v>25</v>
      </c>
      <c r="G229" s="3">
        <f>IF(A229="","",($B$8-$B$9)/$B$6)</f>
        <v>0</v>
      </c>
      <c r="H229" s="4">
        <f>IF(A229="","",$B$10)</f>
        <v>0</v>
      </c>
      <c r="I229" s="4">
        <f>IF(A229="","",$B$5)</f>
        <v>0.333</v>
      </c>
      <c r="J229" s="3">
        <f>IF(OR(A229="",B229=""),"",ROUND((B229+E229+F229+G229)/(1-H229-I229),-1))</f>
        <v>10530</v>
      </c>
      <c r="K229" s="3">
        <f>IF(J229="","",J229-B229-E229-F229-G229-(J229*H229))</f>
        <v>3505</v>
      </c>
      <c r="L229" s="2">
        <f>IF(J229="","",K229/J229)</f>
        <v>0.3328584995251662</v>
      </c>
    </row>
    <row r="230">
      <c r="A230" t="str">
        <v>PPP009</v>
      </c>
      <c r="B230" s="3">
        <v>12700</v>
      </c>
      <c r="C230" s="3" t="str">
        <v>NO</v>
      </c>
      <c r="D230" s="3">
        <f>IF(A230="","",$B$7/$B$6)</f>
        <v>25</v>
      </c>
      <c r="E230" s="3">
        <f>IF(A230="","",IF(C230="NO",0,IF(D230&lt;&gt;"",D230,$B$11)))</f>
        <v>0</v>
      </c>
      <c r="F230" s="3">
        <f>IF(A230="","",$B$7/$B$6)</f>
        <v>25</v>
      </c>
      <c r="G230" s="3">
        <f>IF(A230="","",($B$8-$B$9)/$B$6)</f>
        <v>0</v>
      </c>
      <c r="H230" s="4">
        <f>IF(A230="","",$B$10)</f>
        <v>0</v>
      </c>
      <c r="I230" s="4">
        <f>IF(A230="","",$B$5)</f>
        <v>0.333</v>
      </c>
      <c r="J230" s="3">
        <f>IF(OR(A230="",B230=""),"",ROUND((B230+E230+F230+G230)/(1-H230-I230),-1))</f>
        <v>19080</v>
      </c>
      <c r="K230" s="3">
        <f>IF(J230="","",J230-B230-E230-F230-G230-(J230*H230))</f>
        <v>6355</v>
      </c>
      <c r="L230" s="2">
        <f>IF(J230="","",K230/J230)</f>
        <v>0.3330712788259958</v>
      </c>
    </row>
    <row r="231">
      <c r="A231" t="str">
        <v>PPP010</v>
      </c>
      <c r="B231" s="3">
        <v>9000</v>
      </c>
      <c r="C231" s="3" t="str">
        <v>NO</v>
      </c>
      <c r="D231" s="3">
        <f>IF(A231="","",$B$7/$B$6)</f>
        <v>25</v>
      </c>
      <c r="E231" s="3">
        <f>IF(A231="","",IF(C231="NO",0,IF(D231&lt;&gt;"",D231,$B$11)))</f>
        <v>0</v>
      </c>
      <c r="F231" s="3">
        <f>IF(A231="","",$B$7/$B$6)</f>
        <v>25</v>
      </c>
      <c r="G231" s="3">
        <f>IF(A231="","",($B$8-$B$9)/$B$6)</f>
        <v>0</v>
      </c>
      <c r="H231" s="4">
        <f>IF(A231="","",$B$10)</f>
        <v>0</v>
      </c>
      <c r="I231" s="4">
        <f>IF(A231="","",$B$5)</f>
        <v>0.333</v>
      </c>
      <c r="J231" s="3">
        <f>IF(OR(A231="",B231=""),"",ROUND((B231+E231+F231+G231)/(1-H231-I231),-1))</f>
        <v>13530</v>
      </c>
      <c r="K231" s="3">
        <f>IF(J231="","",J231-B231-E231-F231-G231-(J231*H231))</f>
        <v>4505</v>
      </c>
      <c r="L231" s="2">
        <f>IF(J231="","",K231/J231)</f>
        <v>0.33296378418329636</v>
      </c>
    </row>
    <row r="232">
      <c r="A232" t="str">
        <v>PPP011</v>
      </c>
      <c r="B232" s="3">
        <v>4500</v>
      </c>
      <c r="C232" s="3" t="str">
        <v>NO</v>
      </c>
      <c r="D232" s="3">
        <f>IF(A232="","",$B$7/$B$6)</f>
        <v>25</v>
      </c>
      <c r="E232" s="3">
        <f>IF(A232="","",IF(C232="NO",0,IF(D232&lt;&gt;"",D232,$B$11)))</f>
        <v>0</v>
      </c>
      <c r="F232" s="3">
        <f>IF(A232="","",$B$7/$B$6)</f>
        <v>25</v>
      </c>
      <c r="G232" s="3">
        <f>IF(A232="","",($B$8-$B$9)/$B$6)</f>
        <v>0</v>
      </c>
      <c r="H232" s="4">
        <f>IF(A232="","",$B$10)</f>
        <v>0</v>
      </c>
      <c r="I232" s="4">
        <f>IF(A232="","",$B$5)</f>
        <v>0.333</v>
      </c>
      <c r="J232" s="3">
        <f>IF(OR(A232="",B232=""),"",ROUND((B232+E232+F232+G232)/(1-H232-I232),-1))</f>
        <v>6780</v>
      </c>
      <c r="K232" s="3">
        <f>IF(J232="","",J232-B232-E232-F232-G232-(J232*H232))</f>
        <v>2255</v>
      </c>
      <c r="L232" s="2">
        <f>IF(J232="","",K232/J232)</f>
        <v>0.3325958702064897</v>
      </c>
    </row>
    <row r="233">
      <c r="A233" t="str">
        <v>PPP012</v>
      </c>
      <c r="B233" s="3">
        <v>19000</v>
      </c>
      <c r="C233" s="3" t="str">
        <v>NO</v>
      </c>
      <c r="D233" s="3">
        <f>IF(A233="","",$B$7/$B$6)</f>
        <v>25</v>
      </c>
      <c r="E233" s="3">
        <f>IF(A233="","",IF(C233="NO",0,IF(D233&lt;&gt;"",D233,$B$11)))</f>
        <v>0</v>
      </c>
      <c r="F233" s="3">
        <f>IF(A233="","",$B$7/$B$6)</f>
        <v>25</v>
      </c>
      <c r="G233" s="3">
        <f>IF(A233="","",($B$8-$B$9)/$B$6)</f>
        <v>0</v>
      </c>
      <c r="H233" s="4">
        <f>IF(A233="","",$B$10)</f>
        <v>0</v>
      </c>
      <c r="I233" s="4">
        <f>IF(A233="","",$B$5)</f>
        <v>0.333</v>
      </c>
      <c r="J233" s="3">
        <f>IF(OR(A233="",B233=""),"",ROUND((B233+E233+F233+G233)/(1-H233-I233),-1))</f>
        <v>28520</v>
      </c>
      <c r="K233" s="3">
        <f>IF(J233="","",J233-B233-E233-F233-G233-(J233*H233))</f>
        <v>9495</v>
      </c>
      <c r="L233" s="2">
        <f>IF(J233="","",K233/J233)</f>
        <v>0.3329242636746143</v>
      </c>
    </row>
    <row r="234">
      <c r="A234" t="str">
        <v>PPP013</v>
      </c>
      <c r="B234" s="3">
        <v>1000</v>
      </c>
      <c r="C234" s="3" t="str">
        <v>NO</v>
      </c>
      <c r="D234" s="3">
        <f>IF(A234="","",$B$7/$B$6)</f>
        <v>25</v>
      </c>
      <c r="E234" s="3">
        <f>IF(A234="","",IF(C234="NO",0,IF(D234&lt;&gt;"",D234,$B$11)))</f>
        <v>0</v>
      </c>
      <c r="F234" s="3">
        <f>IF(A234="","",$B$7/$B$6)</f>
        <v>25</v>
      </c>
      <c r="G234" s="3">
        <f>IF(A234="","",($B$8-$B$9)/$B$6)</f>
        <v>0</v>
      </c>
      <c r="H234" s="4">
        <f>IF(A234="","",$B$10)</f>
        <v>0</v>
      </c>
      <c r="I234" s="4">
        <f>IF(A234="","",$B$5)</f>
        <v>0.333</v>
      </c>
      <c r="J234" s="3">
        <f>IF(OR(A234="",B234=""),"",ROUND((B234+E234+F234+G234)/(1-H234-I234),-1))</f>
        <v>1540</v>
      </c>
      <c r="K234" s="3">
        <f>IF(J234="","",J234-B234-E234-F234-G234-(J234*H234))</f>
        <v>515</v>
      </c>
      <c r="L234" s="2">
        <f>IF(J234="","",K234/J234)</f>
        <v>0.3344155844155844</v>
      </c>
    </row>
    <row r="235">
      <c r="A235" t="str">
        <v>PPP014</v>
      </c>
      <c r="B235" s="3">
        <v>14000</v>
      </c>
      <c r="C235" s="3" t="str">
        <v>NO</v>
      </c>
      <c r="D235" s="3">
        <f>IF(A235="","",$B$7/$B$6)</f>
        <v>25</v>
      </c>
      <c r="E235" s="3">
        <f>IF(A235="","",IF(C235="NO",0,IF(D235&lt;&gt;"",D235,$B$11)))</f>
        <v>0</v>
      </c>
      <c r="F235" s="3">
        <f>IF(A235="","",$B$7/$B$6)</f>
        <v>25</v>
      </c>
      <c r="G235" s="3">
        <f>IF(A235="","",($B$8-$B$9)/$B$6)</f>
        <v>0</v>
      </c>
      <c r="H235" s="4">
        <f>IF(A235="","",$B$10)</f>
        <v>0</v>
      </c>
      <c r="I235" s="4">
        <f>IF(A235="","",$B$5)</f>
        <v>0.333</v>
      </c>
      <c r="J235" s="3">
        <f>IF(OR(A235="",B235=""),"",ROUND((B235+E235+F235+G235)/(1-H235-I235),-1))</f>
        <v>21030</v>
      </c>
      <c r="K235" s="3">
        <f>IF(J235="","",J235-B235-E235-F235-G235-(J235*H235))</f>
        <v>7005</v>
      </c>
      <c r="L235" s="2">
        <f>IF(J235="","",K235/J235)</f>
        <v>0.333095577746077</v>
      </c>
    </row>
    <row r="236">
      <c r="A236" t="str">
        <v>PPP015</v>
      </c>
      <c r="B236" s="3">
        <v>11000</v>
      </c>
      <c r="C236" s="3" t="str">
        <v>NO</v>
      </c>
      <c r="D236" s="3">
        <f>IF(A236="","",$B$7/$B$6)</f>
        <v>25</v>
      </c>
      <c r="E236" s="3">
        <f>IF(A236="","",IF(C236="NO",0,IF(D236&lt;&gt;"",D236,$B$11)))</f>
        <v>0</v>
      </c>
      <c r="F236" s="3">
        <f>IF(A236="","",$B$7/$B$6)</f>
        <v>25</v>
      </c>
      <c r="G236" s="3">
        <f>IF(A236="","",($B$8-$B$9)/$B$6)</f>
        <v>0</v>
      </c>
      <c r="H236" s="4">
        <f>IF(A236="","",$B$10)</f>
        <v>0</v>
      </c>
      <c r="I236" s="4">
        <f>IF(A236="","",$B$5)</f>
        <v>0.333</v>
      </c>
      <c r="J236" s="3">
        <f>IF(OR(A236="",B236=""),"",ROUND((B236+E236+F236+G236)/(1-H236-I236),-1))</f>
        <v>16530</v>
      </c>
      <c r="K236" s="3">
        <f>IF(J236="","",J236-B236-E236-F236-G236-(J236*H236))</f>
        <v>5505</v>
      </c>
      <c r="L236" s="2">
        <f>IF(J236="","",K236/J236)</f>
        <v>0.33303085299455537</v>
      </c>
    </row>
    <row r="237">
      <c r="A237" t="str">
        <v>PPP016</v>
      </c>
      <c r="B237" s="3">
        <v>2000</v>
      </c>
      <c r="C237" s="3" t="str">
        <v>NO</v>
      </c>
      <c r="D237" s="3">
        <f>IF(A237="","",$B$7/$B$6)</f>
        <v>25</v>
      </c>
      <c r="E237" s="3">
        <f>IF(A237="","",IF(C237="NO",0,IF(D237&lt;&gt;"",D237,$B$11)))</f>
        <v>0</v>
      </c>
      <c r="F237" s="3">
        <f>IF(A237="","",$B$7/$B$6)</f>
        <v>25</v>
      </c>
      <c r="G237" s="3">
        <f>IF(A237="","",($B$8-$B$9)/$B$6)</f>
        <v>0</v>
      </c>
      <c r="H237" s="4">
        <f>IF(A237="","",$B$10)</f>
        <v>0</v>
      </c>
      <c r="I237" s="4">
        <f>IF(A237="","",$B$5)</f>
        <v>0.333</v>
      </c>
      <c r="J237" s="3">
        <f>IF(OR(A237="",B237=""),"",ROUND((B237+E237+F237+G237)/(1-H237-I237),-1))</f>
        <v>3040</v>
      </c>
      <c r="K237" s="3">
        <f>IF(J237="","",J237-B237-E237-F237-G237-(J237*H237))</f>
        <v>1015</v>
      </c>
      <c r="L237" s="2">
        <f>IF(J237="","",K237/J237)</f>
        <v>0.3338815789473684</v>
      </c>
    </row>
    <row r="238">
      <c r="A238" t="str">
        <v>PPP017</v>
      </c>
      <c r="B238" s="3">
        <v>2400</v>
      </c>
      <c r="C238" s="3" t="str">
        <v>NO</v>
      </c>
      <c r="D238" s="3">
        <f>IF(A238="","",$B$7/$B$6)</f>
        <v>25</v>
      </c>
      <c r="E238" s="3">
        <f>IF(A238="","",IF(C238="NO",0,IF(D238&lt;&gt;"",D238,$B$11)))</f>
        <v>0</v>
      </c>
      <c r="F238" s="3">
        <f>IF(A238="","",$B$7/$B$6)</f>
        <v>25</v>
      </c>
      <c r="G238" s="3">
        <f>IF(A238="","",($B$8-$B$9)/$B$6)</f>
        <v>0</v>
      </c>
      <c r="H238" s="4">
        <f>IF(A238="","",$B$10)</f>
        <v>0</v>
      </c>
      <c r="I238" s="4">
        <f>IF(A238="","",$B$5)</f>
        <v>0.333</v>
      </c>
      <c r="J238" s="3">
        <f>IF(OR(A238="",B238=""),"",ROUND((B238+E238+F238+G238)/(1-H238-I238),-1))</f>
        <v>3640</v>
      </c>
      <c r="K238" s="3">
        <f>IF(J238="","",J238-B238-E238-F238-G238-(J238*H238))</f>
        <v>1215</v>
      </c>
      <c r="L238" s="2">
        <f>IF(J238="","",K238/J238)</f>
        <v>0.33379120879120877</v>
      </c>
    </row>
    <row r="239">
      <c r="A239" t="str">
        <v>VAR001</v>
      </c>
      <c r="B239" s="3">
        <v>1050</v>
      </c>
      <c r="C239" s="3" t="str">
        <v>NO</v>
      </c>
      <c r="D239" s="3">
        <f>IF(A239="","",$B$7/$B$6)</f>
        <v>25</v>
      </c>
      <c r="E239" s="3">
        <f>IF(A239="","",IF(C239="NO",0,IF(D239&lt;&gt;"",D239,$B$11)))</f>
        <v>0</v>
      </c>
      <c r="F239" s="3">
        <f>IF(A239="","",$B$7/$B$6)</f>
        <v>25</v>
      </c>
      <c r="G239" s="3">
        <f>IF(A239="","",($B$8-$B$9)/$B$6)</f>
        <v>0</v>
      </c>
      <c r="H239" s="4">
        <f>IF(A239="","",$B$10)</f>
        <v>0</v>
      </c>
      <c r="I239" s="4">
        <f>IF(A239="","",$B$5)</f>
        <v>0.333</v>
      </c>
      <c r="J239" s="3">
        <f>IF(OR(A239="",B239=""),"",ROUND((B239+E239+F239+G239)/(1-H239-I239),-1))</f>
        <v>1610</v>
      </c>
      <c r="K239" s="3">
        <f>IF(J239="","",J239-B239-E239-F239-G239-(J239*H239))</f>
        <v>535</v>
      </c>
      <c r="L239" s="2">
        <f>IF(J239="","",K239/J239)</f>
        <v>0.33229813664596275</v>
      </c>
    </row>
    <row r="240">
      <c r="A240" t="str">
        <v>VAR002</v>
      </c>
      <c r="B240" s="3">
        <v>2500</v>
      </c>
      <c r="C240" s="3" t="str">
        <v>NO</v>
      </c>
      <c r="D240" s="3">
        <f>IF(A240="","",$B$7/$B$6)</f>
        <v>25</v>
      </c>
      <c r="E240" s="3">
        <f>IF(A240="","",IF(C240="NO",0,IF(D240&lt;&gt;"",D240,$B$11)))</f>
        <v>0</v>
      </c>
      <c r="F240" s="3">
        <f>IF(A240="","",$B$7/$B$6)</f>
        <v>25</v>
      </c>
      <c r="G240" s="3">
        <f>IF(A240="","",($B$8-$B$9)/$B$6)</f>
        <v>0</v>
      </c>
      <c r="H240" s="4">
        <f>IF(A240="","",$B$10)</f>
        <v>0</v>
      </c>
      <c r="I240" s="4">
        <f>IF(A240="","",$B$5)</f>
        <v>0.333</v>
      </c>
      <c r="J240" s="3">
        <f>IF(OR(A240="",B240=""),"",ROUND((B240+E240+F240+G240)/(1-H240-I240),-1))</f>
        <v>3790</v>
      </c>
      <c r="K240" s="3">
        <f>IF(J240="","",J240-B240-E240-F240-G240-(J240*H240))</f>
        <v>1265</v>
      </c>
      <c r="L240" s="2">
        <f>IF(J240="","",K240/J240)</f>
        <v>0.3337730870712401</v>
      </c>
    </row>
    <row r="241">
      <c r="A241" t="str">
        <v>VAR003</v>
      </c>
      <c r="B241" s="3">
        <v>1250</v>
      </c>
      <c r="C241" s="3" t="str">
        <v>NO</v>
      </c>
      <c r="D241" s="3">
        <f>IF(A241="","",$B$7/$B$6)</f>
        <v>25</v>
      </c>
      <c r="E241" s="3">
        <f>IF(A241="","",IF(C241="NO",0,IF(D241&lt;&gt;"",D241,$B$11)))</f>
        <v>0</v>
      </c>
      <c r="F241" s="3">
        <f>IF(A241="","",$B$7/$B$6)</f>
        <v>25</v>
      </c>
      <c r="G241" s="3">
        <f>IF(A241="","",($B$8-$B$9)/$B$6)</f>
        <v>0</v>
      </c>
      <c r="H241" s="4">
        <f>IF(A241="","",$B$10)</f>
        <v>0</v>
      </c>
      <c r="I241" s="4">
        <f>IF(A241="","",$B$5)</f>
        <v>0.333</v>
      </c>
      <c r="J241" s="3">
        <f>IF(OR(A241="",B241=""),"",ROUND((B241+E241+F241+G241)/(1-H241-I241),-1))</f>
        <v>1910</v>
      </c>
      <c r="K241" s="3">
        <f>IF(J241="","",J241-B241-E241-F241-G241-(J241*H241))</f>
        <v>635</v>
      </c>
      <c r="L241" s="2">
        <f>IF(J241="","",K241/J241)</f>
        <v>0.3324607329842932</v>
      </c>
    </row>
    <row r="242">
      <c r="A242" t="str">
        <v>VAR004</v>
      </c>
      <c r="B242" s="3">
        <v>1200</v>
      </c>
      <c r="C242" s="3" t="str">
        <v>NO</v>
      </c>
      <c r="D242" s="3">
        <f>IF(A242="","",$B$7/$B$6)</f>
        <v>25</v>
      </c>
      <c r="E242" s="3">
        <f>IF(A242="","",IF(C242="NO",0,IF(D242&lt;&gt;"",D242,$B$11)))</f>
        <v>0</v>
      </c>
      <c r="F242" s="3">
        <f>IF(A242="","",$B$7/$B$6)</f>
        <v>25</v>
      </c>
      <c r="G242" s="3">
        <f>IF(A242="","",($B$8-$B$9)/$B$6)</f>
        <v>0</v>
      </c>
      <c r="H242" s="4">
        <f>IF(A242="","",$B$10)</f>
        <v>0</v>
      </c>
      <c r="I242" s="4">
        <f>IF(A242="","",$B$5)</f>
        <v>0.333</v>
      </c>
      <c r="J242" s="3">
        <f>IF(OR(A242="",B242=""),"",ROUND((B242+E242+F242+G242)/(1-H242-I242),-1))</f>
        <v>1840</v>
      </c>
      <c r="K242" s="3">
        <f>IF(J242="","",J242-B242-E242-F242-G242-(J242*H242))</f>
        <v>615</v>
      </c>
      <c r="L242" s="2">
        <f>IF(J242="","",K242/J242)</f>
        <v>0.3342391304347826</v>
      </c>
    </row>
    <row r="243">
      <c r="A243" t="str">
        <v>VAR005</v>
      </c>
      <c r="B243" s="3">
        <v>1500</v>
      </c>
      <c r="C243" s="3" t="str">
        <v>NO</v>
      </c>
      <c r="D243" s="3">
        <f>IF(A243="","",$B$7/$B$6)</f>
        <v>25</v>
      </c>
      <c r="E243" s="3">
        <f>IF(A243="","",IF(C243="NO",0,IF(D243&lt;&gt;"",D243,$B$11)))</f>
        <v>0</v>
      </c>
      <c r="F243" s="3">
        <f>IF(A243="","",$B$7/$B$6)</f>
        <v>25</v>
      </c>
      <c r="G243" s="3">
        <f>IF(A243="","",($B$8-$B$9)/$B$6)</f>
        <v>0</v>
      </c>
      <c r="H243" s="4">
        <f>IF(A243="","",$B$10)</f>
        <v>0</v>
      </c>
      <c r="I243" s="4">
        <f>IF(A243="","",$B$5)</f>
        <v>0.333</v>
      </c>
      <c r="J243" s="3">
        <f>IF(OR(A243="",B243=""),"",ROUND((B243+E243+F243+G243)/(1-H243-I243),-1))</f>
        <v>2290</v>
      </c>
      <c r="K243" s="3">
        <f>IF(J243="","",J243-B243-E243-F243-G243-(J243*H243))</f>
        <v>765</v>
      </c>
      <c r="L243" s="2">
        <f>IF(J243="","",K243/J243)</f>
        <v>0.33406113537117904</v>
      </c>
    </row>
    <row r="244">
      <c r="A244" t="str">
        <v>VAR006</v>
      </c>
      <c r="B244" s="3">
        <v>2800</v>
      </c>
      <c r="C244" s="3" t="str">
        <v>NO</v>
      </c>
      <c r="D244" s="3">
        <f>IF(A244="","",$B$7/$B$6)</f>
        <v>25</v>
      </c>
      <c r="E244" s="3">
        <f>IF(A244="","",IF(C244="NO",0,IF(D244&lt;&gt;"",D244,$B$11)))</f>
        <v>0</v>
      </c>
      <c r="F244" s="3">
        <f>IF(A244="","",$B$7/$B$6)</f>
        <v>25</v>
      </c>
      <c r="G244" s="3">
        <f>IF(A244="","",($B$8-$B$9)/$B$6)</f>
        <v>0</v>
      </c>
      <c r="H244" s="4">
        <f>IF(A244="","",$B$10)</f>
        <v>0</v>
      </c>
      <c r="I244" s="4">
        <f>IF(A244="","",$B$5)</f>
        <v>0.333</v>
      </c>
      <c r="J244" s="3">
        <f>IF(OR(A244="",B244=""),"",ROUND((B244+E244+F244+G244)/(1-H244-I244),-1))</f>
        <v>4240</v>
      </c>
      <c r="K244" s="3">
        <f>IF(J244="","",J244-B244-E244-F244-G244-(J244*H244))</f>
        <v>1415</v>
      </c>
      <c r="L244" s="2">
        <f>IF(J244="","",K244/J244)</f>
        <v>0.33372641509433965</v>
      </c>
    </row>
    <row r="245">
      <c r="A245" t="str">
        <v>VAR007</v>
      </c>
      <c r="B245" s="3">
        <v>2500</v>
      </c>
      <c r="C245" s="3" t="str">
        <v>NO</v>
      </c>
      <c r="D245" s="3">
        <f>IF(A245="","",$B$7/$B$6)</f>
        <v>25</v>
      </c>
      <c r="E245" s="3">
        <f>IF(A245="","",IF(C245="NO",0,IF(D245&lt;&gt;"",D245,$B$11)))</f>
        <v>0</v>
      </c>
      <c r="F245" s="3">
        <f>IF(A245="","",$B$7/$B$6)</f>
        <v>25</v>
      </c>
      <c r="G245" s="3">
        <f>IF(A245="","",($B$8-$B$9)/$B$6)</f>
        <v>0</v>
      </c>
      <c r="H245" s="4">
        <f>IF(A245="","",$B$10)</f>
        <v>0</v>
      </c>
      <c r="I245" s="4">
        <f>IF(A245="","",$B$5)</f>
        <v>0.333</v>
      </c>
      <c r="J245" s="3">
        <f>IF(OR(A245="",B245=""),"",ROUND((B245+E245+F245+G245)/(1-H245-I245),-1))</f>
        <v>3790</v>
      </c>
      <c r="K245" s="3">
        <f>IF(J245="","",J245-B245-E245-F245-G245-(J245*H245))</f>
        <v>1265</v>
      </c>
      <c r="L245" s="2">
        <f>IF(J245="","",K245/J245)</f>
        <v>0.3337730870712401</v>
      </c>
    </row>
    <row r="246">
      <c r="A246" t="str">
        <v>VAR008</v>
      </c>
      <c r="B246" s="3">
        <v>500</v>
      </c>
      <c r="C246" s="3" t="str">
        <v>NO</v>
      </c>
      <c r="D246" s="3">
        <f>IF(A246="","",$B$7/$B$6)</f>
        <v>25</v>
      </c>
      <c r="E246" s="3">
        <f>IF(A246="","",IF(C246="NO",0,IF(D246&lt;&gt;"",D246,$B$11)))</f>
        <v>0</v>
      </c>
      <c r="F246" s="3">
        <f>IF(A246="","",$B$7/$B$6)</f>
        <v>25</v>
      </c>
      <c r="G246" s="3">
        <f>IF(A246="","",($B$8-$B$9)/$B$6)</f>
        <v>0</v>
      </c>
      <c r="H246" s="4">
        <f>IF(A246="","",$B$10)</f>
        <v>0</v>
      </c>
      <c r="I246" s="4">
        <f>IF(A246="","",$B$5)</f>
        <v>0.333</v>
      </c>
      <c r="J246" s="3">
        <f>IF(OR(A246="",B246=""),"",ROUND((B246+E246+F246+G246)/(1-H246-I246),-1))</f>
        <v>790</v>
      </c>
      <c r="K246" s="3">
        <f>IF(J246="","",J246-B246-E246-F246-G246-(J246*H246))</f>
        <v>265</v>
      </c>
      <c r="L246" s="2">
        <f>IF(J246="","",K246/J246)</f>
        <v>0.33544303797468356</v>
      </c>
    </row>
    <row r="247">
      <c r="A247" t="str">
        <v>VAR009</v>
      </c>
      <c r="B247" s="3">
        <v>5000</v>
      </c>
      <c r="C247" s="3" t="str">
        <v>NO</v>
      </c>
      <c r="D247" s="3">
        <f>IF(A247="","",$B$7/$B$6)</f>
        <v>25</v>
      </c>
      <c r="E247" s="3">
        <f>IF(A247="","",IF(C247="NO",0,IF(D247&lt;&gt;"",D247,$B$11)))</f>
        <v>0</v>
      </c>
      <c r="F247" s="3">
        <f>IF(A247="","",$B$7/$B$6)</f>
        <v>25</v>
      </c>
      <c r="G247" s="3">
        <f>IF(A247="","",($B$8-$B$9)/$B$6)</f>
        <v>0</v>
      </c>
      <c r="H247" s="4">
        <f>IF(A247="","",$B$10)</f>
        <v>0</v>
      </c>
      <c r="I247" s="4">
        <f>IF(A247="","",$B$5)</f>
        <v>0.333</v>
      </c>
      <c r="J247" s="3">
        <f>IF(OR(A247="",B247=""),"",ROUND((B247+E247+F247+G247)/(1-H247-I247),-1))</f>
        <v>7530</v>
      </c>
      <c r="K247" s="3">
        <f>IF(J247="","",J247-B247-E247-F247-G247-(J247*H247))</f>
        <v>2505</v>
      </c>
      <c r="L247" s="2">
        <f>IF(J247="","",K247/J247)</f>
        <v>0.33266932270916333</v>
      </c>
    </row>
    <row r="248">
      <c r="A248" t="str">
        <v>CIF001</v>
      </c>
      <c r="B248" s="3">
        <v>8000</v>
      </c>
      <c r="C248" s="3" t="str">
        <v>SÍ</v>
      </c>
      <c r="D248" s="3">
        <v>1000</v>
      </c>
      <c r="E248" s="3">
        <f>IF(A248="","",IF(C248="NO",0,IF(D248&lt;&gt;"",D248,$B$11)))</f>
        <v>1000</v>
      </c>
      <c r="F248" s="3">
        <f>IF(A248="","",$B$7/$B$6)</f>
        <v>25</v>
      </c>
      <c r="G248" s="3">
        <f>IF(A248="","",($B$8-$B$9)/$B$6)</f>
        <v>0</v>
      </c>
      <c r="H248" s="4">
        <f>IF(A248="","",$B$10)</f>
        <v>0</v>
      </c>
      <c r="I248" s="4">
        <f>IF(A248="","",$B$5)</f>
        <v>0.333</v>
      </c>
      <c r="J248" s="3">
        <f>IF(OR(A248="",B248=""),"",ROUND((B248+E248+F248+G248)/(1-H248-I248),-1))</f>
        <v>13530</v>
      </c>
      <c r="K248" s="3">
        <f>IF(J248="","",J248-B248-E248-F248-G248-(J248*H248))</f>
        <v>4505</v>
      </c>
      <c r="L248" s="2">
        <f>IF(J248="","",K248/J248)</f>
        <v>0.33296378418329636</v>
      </c>
    </row>
    <row r="249">
      <c r="A249" t="str">
        <v>CIF002</v>
      </c>
      <c r="B249" s="3">
        <v>1600</v>
      </c>
      <c r="C249" s="3" t="str">
        <v>SÍ</v>
      </c>
      <c r="D249" s="3">
        <v>1000</v>
      </c>
      <c r="E249" s="3">
        <f>IF(A249="","",IF(C249="NO",0,IF(D249&lt;&gt;"",D249,$B$11)))</f>
        <v>1000</v>
      </c>
      <c r="F249" s="3">
        <f>IF(A249="","",$B$7/$B$6)</f>
        <v>25</v>
      </c>
      <c r="G249" s="3">
        <f>IF(A249="","",($B$8-$B$9)/$B$6)</f>
        <v>0</v>
      </c>
      <c r="H249" s="4">
        <f>IF(A249="","",$B$10)</f>
        <v>0</v>
      </c>
      <c r="I249" s="4">
        <f>IF(A249="","",$B$5)</f>
        <v>0.333</v>
      </c>
      <c r="J249" s="3">
        <f>IF(OR(A249="",B249=""),"",ROUND((B249+E249+F249+G249)/(1-H249-I249),-1))</f>
        <v>3940</v>
      </c>
      <c r="K249" s="3">
        <f>IF(J249="","",J249-B249-E249-F249-G249-(J249*H249))</f>
        <v>1315</v>
      </c>
      <c r="L249" s="2">
        <f>IF(J249="","",K249/J249)</f>
        <v>0.33375634517766495</v>
      </c>
    </row>
    <row r="250">
      <c r="A250" t="str">
        <v>ESP008</v>
      </c>
      <c r="B250" s="3">
        <v>800</v>
      </c>
      <c r="C250" s="3" t="str">
        <v>NO</v>
      </c>
      <c r="D250" s="3">
        <f>IF(A250="","",$B$7/$B$6)</f>
        <v>25</v>
      </c>
      <c r="E250" s="3">
        <f>IF(A250="","",IF(C250="NO",0,IF(D250&lt;&gt;"",D250,$B$11)))</f>
        <v>0</v>
      </c>
      <c r="F250" s="3">
        <f>IF(A250="","",$B$7/$B$6)</f>
        <v>25</v>
      </c>
      <c r="G250" s="3">
        <f>IF(A250="","",($B$8-$B$9)/$B$6)</f>
        <v>0</v>
      </c>
      <c r="H250" s="4">
        <f>IF(A250="","",$B$10)</f>
        <v>0</v>
      </c>
      <c r="I250" s="4">
        <f>IF(A250="","",$B$5)</f>
        <v>0.333</v>
      </c>
      <c r="J250" s="3">
        <f>IF(OR(A250="",B250=""),"",ROUND((B250+E250+F250+G250)/(1-H250-I250),-1))</f>
        <v>1240</v>
      </c>
      <c r="K250" s="3">
        <f>IF(J250="","",J250-B250-E250-F250-G250-(J250*H250))</f>
        <v>415</v>
      </c>
      <c r="L250" s="2">
        <f>IF(J250="","",K250/J250)</f>
        <v>0.3346774193548387</v>
      </c>
    </row>
    <row r="251">
      <c r="A251" t="str">
        <v>CLO004</v>
      </c>
      <c r="B251" s="3">
        <v>230</v>
      </c>
      <c r="C251" s="3" t="str">
        <v>SÍ</v>
      </c>
      <c r="D251" s="3" t="str">
        <v/>
      </c>
      <c r="E251" s="3">
        <f>IF(A251="","",IF(C251="NO",0,IF(D251&lt;&gt;"",D251,$B$11)))</f>
        <v>1000</v>
      </c>
      <c r="F251" s="3">
        <f>IF(A251="","",$B$7/$B$6)</f>
        <v>25</v>
      </c>
      <c r="G251" s="3">
        <f>IF(A251="","",($B$8-$B$9)/$B$6)</f>
        <v>0</v>
      </c>
      <c r="H251" s="4">
        <f>IF(A251="","",$B$10)</f>
        <v>0</v>
      </c>
      <c r="I251" s="4">
        <f>IF(A251="","",$B$5)</f>
        <v>0.333</v>
      </c>
      <c r="J251" s="3">
        <f>IF(OR(A251="",B251=""),"",ROUND((B251+E251+F251+G251)/(1-H251-I251),-1))</f>
        <v>1880</v>
      </c>
      <c r="K251" s="3">
        <f>IF(J251="","",J251-B251-E251-F251-G251-(J251*H251))</f>
        <v>625</v>
      </c>
      <c r="L251" s="2">
        <f>IF(J251="","",K251/J251)</f>
        <v>0.3324468085106383</v>
      </c>
    </row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</sheetData>
  <mergeCells count="3">
    <mergeCell ref="A1:J1"/>
    <mergeCell ref="A2:J2"/>
    <mergeCell ref="F4:J4"/>
  </mergeCells>
  <pageMargins left="0.7" right="0.7" top="0.75" bottom="0.75" header="0.3" footer="0.3"/>
  <ignoredErrors>
    <ignoredError numberStoredAsText="1" sqref="A1:L101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O305"/>
  <sheetViews>
    <sheetView workbookViewId="0" rightToLeft="0"/>
  </sheetViews>
  <cols>
    <col min="1" max="1" customWidth="1" width="18"/>
    <col min="2" max="2" customWidth="1" width="29"/>
    <col min="3" max="3" customWidth="1" width="12"/>
    <col min="4" max="4" customWidth="1" width="22"/>
    <col min="5" max="5" customWidth="1" width="3"/>
    <col min="6" max="6" customWidth="1" width="20"/>
    <col min="7" max="7" customWidth="1" width="18"/>
    <col min="8" max="8" customWidth="1" width="30"/>
    <col min="9" max="9" customWidth="1" width="12"/>
    <col min="10" max="10" customWidth="1" width="22"/>
    <col min="11" max="11" customWidth="1" width="3"/>
    <col min="12" max="12" customWidth="1" width="19"/>
    <col min="13" max="13" customWidth="1" width="12"/>
    <col min="14" max="14" customWidth="1" width="46"/>
    <col min="15" max="15" customWidth="1" width="52"/>
  </cols>
  <sheetData>
    <row r="1" ht="30" customHeight="1">
      <c r="A1" t="str">
        <v>CATÁLOGOS · CÓDIGOS REUTILIZABLES</v>
      </c>
    </row>
    <row r="2" ht="32" customHeight="1">
      <c r="A2" t="str">
        <v>Para dar de alta una categoría, subcategoría o texto reutilizable, agregalo en la tabla correspondiente. El código se genera solo y CONTROL avisa si se repite.</v>
      </c>
    </row>
    <row r="4">
      <c r="A4" t="str">
        <v>CATEGORÍAS</v>
      </c>
      <c r="F4" t="str">
        <v>SUBCATEGORÍAS</v>
      </c>
      <c r="L4" t="str">
        <v>PLANTILLAS DE CONTENIDO</v>
      </c>
    </row>
    <row r="5" ht="28" customHeight="1">
      <c r="A5" t="str">
        <v>CÓDIGO CATEGORÍA</v>
      </c>
      <c r="B5" t="str">
        <v>CATEGORÍA</v>
      </c>
      <c r="C5" t="str">
        <v>ESTADO</v>
      </c>
      <c r="D5" t="str">
        <v>CONTROL</v>
      </c>
      <c r="F5" t="str">
        <v>CÓDIGO SUBCATEGORÍA</v>
      </c>
      <c r="G5" t="str">
        <v>CÓDIGO CATEGORÍA</v>
      </c>
      <c r="H5" t="str">
        <v>SUBCATEGORÍA</v>
      </c>
      <c r="I5" t="str">
        <v>ESTADO</v>
      </c>
      <c r="J5" t="str">
        <v>CONTROL</v>
      </c>
      <c r="L5" t="str">
        <v>CÓDIGO CONTENIDO</v>
      </c>
      <c r="M5" t="str">
        <v>ESTADO</v>
      </c>
      <c r="N5" t="str">
        <v>DESCRIPCIÓN BASE</v>
      </c>
      <c r="O5" t="str">
        <v>CARACTERÍSTICAS BASE</v>
      </c>
    </row>
    <row r="6">
      <c r="A6" t="str">
        <f>IF(B6="","","CAT-"&amp;TEXT(ROW()-5,"000"))</f>
        <v>CAT-001</v>
      </c>
      <c r="B6" t="str">
        <v>🚽 Baño</v>
      </c>
      <c r="C6" t="str">
        <v>Activo</v>
      </c>
      <c r="D6" t="str">
        <f>IF(B6="","",IF(COUNTIF($B$6:$B$105,B6)&gt;1,"REVISAR: DUPLICADA","OK"))</f>
        <v>OK</v>
      </c>
      <c r="F6" t="str">
        <f>IF(H6="","","SUB-"&amp;TEXT(ROW()-5,"000"))</f>
        <v>SUB-001</v>
      </c>
      <c r="G6" t="str">
        <v>CAT-001</v>
      </c>
      <c r="H6" t="str">
        <v>Lavandina</v>
      </c>
      <c r="I6" t="str">
        <v>Activo</v>
      </c>
      <c r="J6" t="str">
        <f>IF(H6="","",IF(COUNTIF($H$6:$H$305,H6)&gt;1,"REVISAR: DUPLICADA","OK"))</f>
        <v>OK</v>
      </c>
      <c r="L6" t="str">
        <v>CNT-001</v>
      </c>
      <c r="M6" t="str">
        <v>Activo</v>
      </c>
      <c r="N6" t="str">
        <v>Lavandina al 4%. Presentación: 5 litros.</v>
      </c>
      <c r="O6" t="str">
        <v>Lavandina. Elimina suciedad y gérmenes en inodoros, azulejos y superficies del baño, dejando un aroma agradable.</v>
      </c>
    </row>
    <row r="7">
      <c r="A7" t="str">
        <f>IF(B7="","","CAT-"&amp;TEXT(ROW()-5,"000"))</f>
        <v>CAT-002</v>
      </c>
      <c r="B7" t="str">
        <v>🍽️ Cocina</v>
      </c>
      <c r="C7" t="str">
        <v>Activo</v>
      </c>
      <c r="D7" t="str">
        <f>IF(B7="","",IF(COUNTIF($B$6:$B$105,B7)&gt;1,"REVISAR: DUPLICADA","OK"))</f>
        <v>OK</v>
      </c>
      <c r="F7" t="str">
        <f>IF(H7="","","SUB-"&amp;TEXT(ROW()-5,"000"))</f>
        <v>SUB-002</v>
      </c>
      <c r="G7" t="str">
        <v>CAT-002</v>
      </c>
      <c r="H7" t="str">
        <v>Detergente concentrado</v>
      </c>
      <c r="I7" t="str">
        <v>Activo</v>
      </c>
      <c r="J7" t="str">
        <f>IF(H7="","",IF(COUNTIF($H$6:$H$305,H7)&gt;1,"REVISAR: DUPLICADA","OK"))</f>
        <v>OK</v>
      </c>
      <c r="L7" t="str">
        <v>CNT-002</v>
      </c>
      <c r="M7" t="str">
        <v>Activo</v>
      </c>
      <c r="N7" t="str">
        <v>Detergente industrial rinde 10 Litros. Presentación: 5 litros.</v>
      </c>
      <c r="O7" t="str">
        <v>Detergente concentrado. Ideal para desengrasar y limpiar utensilios, vajilla y superficies de cocina de forma rápida y efectiva.</v>
      </c>
    </row>
    <row r="8">
      <c r="A8" t="str">
        <f>IF(B8="","","CAT-"&amp;TEXT(ROW()-5,"000"))</f>
        <v>CAT-003</v>
      </c>
      <c r="B8" t="str">
        <v>👕 Ropa y lavado</v>
      </c>
      <c r="C8" t="str">
        <v>Activo</v>
      </c>
      <c r="D8" t="str">
        <f>IF(B8="","",IF(COUNTIF($B$6:$B$105,B8)&gt;1,"REVISAR: DUPLICADA","OK"))</f>
        <v>OK</v>
      </c>
      <c r="F8" t="str">
        <f>IF(H8="","","SUB-"&amp;TEXT(ROW()-5,"000"))</f>
        <v>SUB-003</v>
      </c>
      <c r="G8" t="str">
        <v>CAT-002</v>
      </c>
      <c r="H8" t="str">
        <v>Detergente listo para usar</v>
      </c>
      <c r="I8" t="str">
        <v>Activo</v>
      </c>
      <c r="J8" t="str">
        <f>IF(H8="","",IF(COUNTIF($H$6:$H$305,H8)&gt;1,"REVISAR: DUPLICADA","OK"))</f>
        <v>OK</v>
      </c>
      <c r="L8" t="str">
        <v>CNT-003</v>
      </c>
      <c r="M8" t="str">
        <v>Activo</v>
      </c>
      <c r="N8" t="str">
        <v>Detergente Magistral listo para usar. Presentación: 5 litros.</v>
      </c>
      <c r="O8" t="str">
        <v>Detergente listo para usar. Ideal para desengrasar y limpiar utensilios, vajilla y superficies de cocina de forma rápida y efectiva.</v>
      </c>
    </row>
    <row r="9">
      <c r="A9" t="str">
        <f>IF(B9="","","CAT-"&amp;TEXT(ROW()-5,"000"))</f>
        <v>CAT-004</v>
      </c>
      <c r="B9" t="str">
        <v>🌸 Aromas y fragancias</v>
      </c>
      <c r="C9" t="str">
        <v>Activo</v>
      </c>
      <c r="D9" t="str">
        <f>IF(B9="","",IF(COUNTIF($B$6:$B$105,B9)&gt;1,"REVISAR: DUPLICADA","OK"))</f>
        <v>OK</v>
      </c>
      <c r="F9" t="str">
        <f>IF(H9="","","SUB-"&amp;TEXT(ROW()-5,"000"))</f>
        <v>SUB-004</v>
      </c>
      <c r="G9" t="str">
        <v>CAT-002</v>
      </c>
      <c r="H9" t="str">
        <v>Lava-vajillas concentrado</v>
      </c>
      <c r="I9" t="str">
        <v>Activo</v>
      </c>
      <c r="J9" t="str">
        <f>IF(H9="","",IF(COUNTIF($H$6:$H$305,H9)&gt;1,"REVISAR: DUPLICADA","OK"))</f>
        <v>OK</v>
      </c>
      <c r="L9" t="str">
        <v>CNT-004</v>
      </c>
      <c r="M9" t="str">
        <v>Activo</v>
      </c>
      <c r="N9" t="str">
        <v>Lava-Vajillas Concentrado. Presentación: 5 litros.</v>
      </c>
      <c r="O9" t="str">
        <v>Lava-vajillas concentrado. Ideal para desengrasar y limpiar utensilios, vajilla y superficies de cocina de forma rápida y efectiva.</v>
      </c>
    </row>
    <row r="10">
      <c r="A10" t="str">
        <f>IF(B10="","","CAT-"&amp;TEXT(ROW()-5,"000"))</f>
        <v>CAT-005</v>
      </c>
      <c r="B10" t="str">
        <v>🦠 Desinfección y limpieza</v>
      </c>
      <c r="C10" t="str">
        <v>Activo</v>
      </c>
      <c r="D10" t="str">
        <f>IF(B10="","",IF(COUNTIF($B$6:$B$105,B10)&gt;1,"REVISAR: DUPLICADA","OK"))</f>
        <v>OK</v>
      </c>
      <c r="F10" t="str">
        <f>IF(H10="","","SUB-"&amp;TEXT(ROW()-5,"000"))</f>
        <v>SUB-005</v>
      </c>
      <c r="G10" t="str">
        <v>CAT-003</v>
      </c>
      <c r="H10" t="str">
        <v>Suavizante</v>
      </c>
      <c r="I10" t="str">
        <v>Activo</v>
      </c>
      <c r="J10" t="str">
        <f>IF(H10="","",IF(COUNTIF($H$6:$H$305,H10)&gt;1,"REVISAR: DUPLICADA","OK"))</f>
        <v>OK</v>
      </c>
      <c r="L10" t="str">
        <v>CNT-005</v>
      </c>
      <c r="M10" t="str">
        <v>Activo</v>
      </c>
      <c r="N10" t="str">
        <v>Suavizante Blanco por 5 litros. Presentación: 5 litros. Fragancia: color blanco premium.</v>
      </c>
      <c r="O10" t="str">
        <v>Suavizante. Cuida las fibras de la ropa, suaviza y deja un aroma agradable y duradero en cada lavado.</v>
      </c>
    </row>
    <row r="11">
      <c r="A11" t="str">
        <f>IF(B11="","","CAT-"&amp;TEXT(ROW()-5,"000"))</f>
        <v>CAT-006</v>
      </c>
      <c r="B11" t="str">
        <v>🧰 Accesorios y equipamiento</v>
      </c>
      <c r="C11" t="str">
        <v>Activo</v>
      </c>
      <c r="D11" t="str">
        <f>IF(B11="","",IF(COUNTIF($B$6:$B$105,B11)&gt;1,"REVISAR: DUPLICADA","OK"))</f>
        <v>OK</v>
      </c>
      <c r="F11" t="str">
        <f>IF(H11="","","SUB-"&amp;TEXT(ROW()-5,"000"))</f>
        <v>SUB-006</v>
      </c>
      <c r="G11" t="str">
        <v>CAT-003</v>
      </c>
      <c r="H11" t="str">
        <v>Tradicional</v>
      </c>
      <c r="I11" t="str">
        <v>Activo</v>
      </c>
      <c r="J11" t="str">
        <f>IF(H11="","",IF(COUNTIF($H$6:$H$305,H11)&gt;1,"REVISAR: DUPLICADA","OK"))</f>
        <v>OK</v>
      </c>
      <c r="L11" t="str">
        <v>CNT-006</v>
      </c>
      <c r="M11" t="str">
        <v>Activo</v>
      </c>
      <c r="N11" t="str">
        <v>Suavizante listo para usar. Presentación: 5 litros. Fragancia: color celeste economico.</v>
      </c>
      <c r="O11" t="str">
        <v>Tradicional. Cuida las fibras de la ropa, suaviza y deja un aroma agradable y duradero en cada lavado.</v>
      </c>
    </row>
    <row r="12">
      <c r="A12" t="str">
        <f>IF(B12="","","CAT-"&amp;TEXT(ROW()-5,"000"))</f>
        <v>CAT-007</v>
      </c>
      <c r="B12" t="str">
        <v>🚗 Automotor</v>
      </c>
      <c r="C12" t="str">
        <v>Activo</v>
      </c>
      <c r="D12" t="str">
        <f>IF(B12="","",IF(COUNTIF($B$6:$B$105,B12)&gt;1,"REVISAR: DUPLICADA","OK"))</f>
        <v>OK</v>
      </c>
      <c r="F12" t="str">
        <f>IF(H12="","","SUB-"&amp;TEXT(ROW()-5,"000"))</f>
        <v>SUB-007</v>
      </c>
      <c r="G12" t="str">
        <v>CAT-004</v>
      </c>
      <c r="H12" t="str">
        <v>Perfumes para ropa</v>
      </c>
      <c r="I12" t="str">
        <v>Activo</v>
      </c>
      <c r="J12" t="str">
        <f>IF(H12="","",IF(COUNTIF($H$6:$H$305,H12)&gt;1,"REVISAR: DUPLICADA","OK"))</f>
        <v>OK</v>
      </c>
      <c r="L12" t="str">
        <v>CNT-007</v>
      </c>
      <c r="M12" t="str">
        <v>Activo</v>
      </c>
      <c r="N12" t="str">
        <v>Jabon en polvo. Presentación: 20 kg. Marca granby.</v>
      </c>
      <c r="O12" t="str">
        <v>Tradicional. Cuida las fibras de la ropa, suaviza y deja un aroma agradable y duradero en cada lavado.</v>
      </c>
    </row>
    <row r="13">
      <c r="A13" t="str">
        <f>IF(B13="","","CAT-"&amp;TEXT(ROW()-5,"000"))</f>
        <v>CAT-008</v>
      </c>
      <c r="B13" t="str">
        <v>📦 Packs y ofertas</v>
      </c>
      <c r="C13" t="str">
        <v>Activo</v>
      </c>
      <c r="D13" t="str">
        <f>IF(B13="","",IF(COUNTIF($B$6:$B$105,B13)&gt;1,"REVISAR: DUPLICADA","OK"))</f>
        <v>OK</v>
      </c>
      <c r="F13" t="str">
        <f>IF(H13="","","SUB-"&amp;TEXT(ROW()-5,"000"))</f>
        <v>SUB-008</v>
      </c>
      <c r="G13" t="str">
        <v>CAT-005</v>
      </c>
      <c r="H13" t="str">
        <v>Desengrasantes</v>
      </c>
      <c r="I13" t="str">
        <v>Activo</v>
      </c>
      <c r="J13" t="str">
        <f>IF(H13="","",IF(COUNTIF($H$6:$H$305,H13)&gt;1,"REVISAR: DUPLICADA","OK"))</f>
        <v>OK</v>
      </c>
      <c r="L13" t="str">
        <v>CNT-008</v>
      </c>
      <c r="M13" t="str">
        <v>Activo</v>
      </c>
      <c r="N13" t="str">
        <v>Perfume aromatico de base en agua. Presentación: 1 litros.</v>
      </c>
      <c r="O13" t="str">
        <v>Perfumes para ropa. Perfuma ambientes y textiles con una fragancia agradable y duradera, ideal para dejar todo con olor a limpio. Disponible en múltiples fragancias a elección.</v>
      </c>
    </row>
    <row r="14">
      <c r="A14" t="str">
        <f>IF(B14="","","CAT-"&amp;TEXT(ROW()-5,"000"))</f>
        <v>CAT-009</v>
      </c>
      <c r="B14" t="str">
        <v>🧹 Pisos y superficies</v>
      </c>
      <c r="C14" t="str">
        <v>Activo</v>
      </c>
      <c r="D14" t="str">
        <f>IF(B14="","",IF(COUNTIF($B$6:$B$105,B14)&gt;1,"REVISAR: DUPLICADA","OK"))</f>
        <v>OK</v>
      </c>
      <c r="F14" t="str">
        <f>IF(H14="","","SUB-"&amp;TEXT(ROW()-5,"000"))</f>
        <v>SUB-009</v>
      </c>
      <c r="G14" t="str">
        <v>CAT-006</v>
      </c>
      <c r="H14" t="str">
        <v>Rejillas y repasadores</v>
      </c>
      <c r="I14" t="str">
        <v>Activo</v>
      </c>
      <c r="J14" t="str">
        <f>IF(H14="","",IF(COUNTIF($H$6:$H$305,H14)&gt;1,"REVISAR: DUPLICADA","OK"))</f>
        <v>OK</v>
      </c>
      <c r="L14" t="str">
        <v>CNT-009</v>
      </c>
      <c r="M14" t="str">
        <v>Activo</v>
      </c>
      <c r="N14" t="str">
        <v>Perfume aromatico de base en alcohol. Presentación: 5 litros.</v>
      </c>
      <c r="O14" t="str">
        <v>Perfumes para ropa. Perfuma ambientes y textiles con una fragancia agradable y duradera, ideal para dejar todo con olor a limpio. Disponible en múltiples fragancias a elección.</v>
      </c>
    </row>
    <row r="15">
      <c r="A15" t="str">
        <f>IF(B15="","","CAT-"&amp;TEXT(ROW()-5,"000"))</f>
        <v>CAT-010</v>
      </c>
      <c r="B15" t="str">
        <v>🏠 Hogar y varios</v>
      </c>
      <c r="C15" t="str">
        <v>Activo</v>
      </c>
      <c r="D15" t="str">
        <f>IF(B15="","",IF(COUNTIF($B$6:$B$105,B15)&gt;1,"REVISAR: DUPLICADA","OK"))</f>
        <v>OK</v>
      </c>
      <c r="F15" t="str">
        <f>IF(H15="","","SUB-"&amp;TEXT(ROW()-5,"000"))</f>
        <v>SUB-010</v>
      </c>
      <c r="G15" t="str">
        <v>CAT-006</v>
      </c>
      <c r="H15" t="str">
        <v>Trapos de piso</v>
      </c>
      <c r="I15" t="str">
        <v>Activo</v>
      </c>
      <c r="J15" t="str">
        <f>IF(H15="","",IF(COUNTIF($H$6:$H$305,H15)&gt;1,"REVISAR: DUPLICADA","OK"))</f>
        <v>OK</v>
      </c>
      <c r="L15" t="str">
        <v>CNT-010</v>
      </c>
      <c r="M15" t="str">
        <v>Activo</v>
      </c>
      <c r="N15" t="str">
        <v>Desengrasante industrial. Presentación: 5 litros.</v>
      </c>
      <c r="O15" t="str">
        <v>Desengrasantes. Elimina bacterias y gérmenes, desinfectando a fondo superficies del hogar, comercios e industrias.</v>
      </c>
    </row>
    <row r="16">
      <c r="A16" t="str">
        <f>IF(B16="","","CAT-"&amp;TEXT(ROW()-5,"000"))</f>
        <v>CAT-011</v>
      </c>
      <c r="B16" t="str">
        <v>🏊 Piletas</v>
      </c>
      <c r="C16" t="str">
        <v>Activo</v>
      </c>
      <c r="D16" t="str">
        <f>IF(B16="","",IF(COUNTIF($B$6:$B$105,B16)&gt;1,"REVISAR: DUPLICADA","OK"))</f>
        <v>OK</v>
      </c>
      <c r="F16" t="str">
        <f>IF(H16="","","SUB-"&amp;TEXT(ROW()-5,"000"))</f>
        <v>SUB-011</v>
      </c>
      <c r="G16" t="str">
        <v>CAT-006</v>
      </c>
      <c r="H16" t="str">
        <v>Escobas y escobillones</v>
      </c>
      <c r="I16" t="str">
        <v>Activo</v>
      </c>
      <c r="J16" t="str">
        <f>IF(H16="","",IF(COUNTIF($H$6:$H$305,H16)&gt;1,"REVISAR: DUPLICADA","OK"))</f>
        <v>OK</v>
      </c>
      <c r="L16" t="str">
        <v>CNT-011</v>
      </c>
      <c r="M16" t="str">
        <v>Activo</v>
      </c>
      <c r="N16" t="str">
        <v>Desengrasante lavamotor. Presentación: 5 litros.</v>
      </c>
      <c r="O16" t="str">
        <v>Desengrasantes. Elimina bacterias y gérmenes, desinfectando a fondo superficies del hogar, comercios e industrias.</v>
      </c>
    </row>
    <row r="17">
      <c r="A17" t="str">
        <f>IF(B18="","","CAT-"&amp;TEXT(ROW()-5,"000"))</f>
        <v/>
      </c>
      <c r="D17" t="str">
        <f>IF(B18="","",IF(COUNTIF($B$6:$B$105,B18)&gt;1,"REVISAR: DUPLICADA","OK"))</f>
        <v/>
      </c>
      <c r="F17" t="str">
        <f>IF(H17="","","SUB-"&amp;TEXT(ROW()-5,"000"))</f>
        <v>SUB-012</v>
      </c>
      <c r="G17" t="str">
        <v>CAT-007</v>
      </c>
      <c r="H17" t="str">
        <v>Bruja</v>
      </c>
      <c r="I17" t="str">
        <v>Activo</v>
      </c>
      <c r="J17" t="str">
        <f>IF(H17="","",IF(COUNTIF($H$6:$H$305,H17)&gt;1,"REVISAR: DUPLICADA","OK"))</f>
        <v>OK</v>
      </c>
      <c r="L17" t="str">
        <v>CNT-012</v>
      </c>
      <c r="M17" t="str">
        <v>Activo</v>
      </c>
      <c r="N17" t="str">
        <v>Desengrasante multi usos. Presentación: 5 litros.</v>
      </c>
      <c r="O17" t="str">
        <v>Desengrasantes. Elimina bacterias y gérmenes, desinfectando a fondo superficies del hogar, comercios e industrias.</v>
      </c>
    </row>
    <row r="18">
      <c r="A18" t="e">
        <f>IF(#REF!="","","CAT-"&amp;TEXT(ROW()-5,"000"))</f>
        <v>#REF!</v>
      </c>
      <c r="D18" t="e">
        <f>IF(#REF!="","",IF(COUNTIF($B$6:$B$105,#REF!)&gt;1,"REVISAR: DUPLICADA","OK"))</f>
        <v>#REF!</v>
      </c>
      <c r="F18" t="str">
        <f>IF(H18="","","SUB-"&amp;TEXT(ROW()-5,"000"))</f>
        <v>SUB-013</v>
      </c>
      <c r="G18" t="str">
        <v>CAT-007</v>
      </c>
      <c r="H18" t="str">
        <v>Esponja</v>
      </c>
      <c r="I18" t="str">
        <v>Activo</v>
      </c>
      <c r="J18" t="str">
        <f>IF(H18="","",IF(COUNTIF($H$6:$H$305,H18)&gt;1,"REVISAR: DUPLICADA","OK"))</f>
        <v>OK</v>
      </c>
      <c r="L18" t="str">
        <v>CNT-013</v>
      </c>
      <c r="M18" t="str">
        <v>Activo</v>
      </c>
      <c r="N18" t="str">
        <v>Desengrasante quima manchas. Presentación: 5 litros.</v>
      </c>
      <c r="O18" t="str">
        <v>Desengrasantes. Elimina bacterias y gérmenes, desinfectando a fondo superficies del hogar, comercios e industrias.</v>
      </c>
    </row>
    <row r="19">
      <c r="A19" t="str">
        <f>IF(B19="","","CAT-"&amp;TEXT(ROW()-5,"000"))</f>
        <v/>
      </c>
      <c r="D19" t="str">
        <f>IF(B19="","",IF(COUNTIF($B$6:$B$105,B19)&gt;1,"REVISAR: DUPLICADA","OK"))</f>
        <v/>
      </c>
      <c r="F19" t="str">
        <f>IF(H19="","","SUB-"&amp;TEXT(ROW()-5,"000"))</f>
        <v>SUB-014</v>
      </c>
      <c r="G19" t="str">
        <v>CAT-007</v>
      </c>
      <c r="H19" t="str">
        <v>Silicona</v>
      </c>
      <c r="I19" t="str">
        <v>Activo</v>
      </c>
      <c r="J19" t="str">
        <f>IF(H19="","",IF(COUNTIF($H$6:$H$305,H19)&gt;1,"REVISAR: DUPLICADA","OK"))</f>
        <v>OK</v>
      </c>
      <c r="L19" t="str">
        <v>CNT-014</v>
      </c>
      <c r="M19" t="str">
        <v>Activo</v>
      </c>
      <c r="N19" t="str">
        <v>Desengrasante limpiador cremoso. Presentación: 5 litros.</v>
      </c>
      <c r="O19" t="str">
        <v>Desengrasantes. Elimina bacterias y gérmenes, desinfectando a fondo superficies del hogar, comercios e industrias.</v>
      </c>
    </row>
    <row r="20">
      <c r="A20" t="str">
        <f>IF(B20="","","CAT-"&amp;TEXT(ROW()-5,"000"))</f>
        <v/>
      </c>
      <c r="D20" t="str">
        <f>IF(B20="","",IF(COUNTIF($B$6:$B$105,B20)&gt;1,"REVISAR: DUPLICADA","OK"))</f>
        <v/>
      </c>
      <c r="F20" t="str">
        <f>IF(H20="","","SUB-"&amp;TEXT(ROW()-5,"000"))</f>
        <v>SUB-015</v>
      </c>
      <c r="G20" t="str">
        <v>CAT-007</v>
      </c>
      <c r="H20" t="str">
        <v>Silicona en Aerosol</v>
      </c>
      <c r="I20" t="str">
        <v>Activo</v>
      </c>
      <c r="J20" t="str">
        <f>IF(H20="","",IF(COUNTIF($H$6:$H$305,H20)&gt;1,"REVISAR: DUPLICADA","OK"))</f>
        <v>OK</v>
      </c>
      <c r="L20" t="str">
        <v>CNT-015</v>
      </c>
      <c r="M20" t="str">
        <v>Activo</v>
      </c>
      <c r="N20" t="str">
        <v>Franela 40x50. Presentación: 1 unidad.</v>
      </c>
      <c r="O20" t="str">
        <v>Rejillas y repasadores. Accesorio resistente y práctico, pensado para facilitar las tareas de limpieza del hogar.</v>
      </c>
    </row>
    <row r="21">
      <c r="A21" t="str">
        <f>IF(B21="","","CAT-"&amp;TEXT(ROW()-5,"000"))</f>
        <v/>
      </c>
      <c r="D21" t="str">
        <f>IF(B21="","",IF(COUNTIF($B$6:$B$105,B21)&gt;1,"REVISAR: DUPLICADA","OK"))</f>
        <v/>
      </c>
      <c r="F21" t="str">
        <f>IF(H21="","","SUB-"&amp;TEXT(ROW()-5,"000"))</f>
        <v>SUB-016</v>
      </c>
      <c r="G21" t="str">
        <v>CAT-007</v>
      </c>
      <c r="H21" t="str">
        <v>Shampoo Siliconado</v>
      </c>
      <c r="I21" t="str">
        <v>Activo</v>
      </c>
      <c r="J21" t="str">
        <f>IF(H21="","",IF(COUNTIF($H$6:$H$305,H21)&gt;1,"REVISAR: DUPLICADA","OK"))</f>
        <v>OK</v>
      </c>
      <c r="L21" t="str">
        <v>CNT-016</v>
      </c>
      <c r="M21" t="str">
        <v>Activo</v>
      </c>
      <c r="N21" t="str">
        <v>Rejilla de cocina. Presentación: 1 unidad.</v>
      </c>
      <c r="O21" t="str">
        <v>Rejillas y repasadores. Accesorio resistente y práctico, pensado para facilitar las tareas de limpieza del hogar.</v>
      </c>
    </row>
    <row r="22">
      <c r="A22" t="str">
        <f>IF(B22="","","CAT-"&amp;TEXT(ROW()-5,"000"))</f>
        <v/>
      </c>
      <c r="D22" t="str">
        <f>IF(B22="","",IF(COUNTIF($B$6:$B$105,B22)&gt;1,"REVISAR: DUPLICADA","OK"))</f>
        <v/>
      </c>
      <c r="F22" t="str">
        <f>IF(H22="","","SUB-"&amp;TEXT(ROW()-5,"000"))</f>
        <v>SUB-017</v>
      </c>
      <c r="G22" t="str">
        <v>CAT-007</v>
      </c>
      <c r="H22" t="str">
        <v>Mini Lata Walker</v>
      </c>
      <c r="I22" t="str">
        <v>Activo</v>
      </c>
      <c r="J22" t="str">
        <f>IF(H22="","",IF(COUNTIF($H$6:$H$305,H22)&gt;1,"REVISAR: DUPLICADA","OK"))</f>
        <v>OK</v>
      </c>
      <c r="L22" t="str">
        <v>CNT-017</v>
      </c>
      <c r="M22" t="str">
        <v>Activo</v>
      </c>
      <c r="N22" t="str">
        <v>Rejilla tipo americana. Presentación: 1 unidad.</v>
      </c>
      <c r="O22" t="str">
        <v>Rejillas y repasadores. Accesorio resistente y práctico, pensado para facilitar las tareas de limpieza del hogar.</v>
      </c>
    </row>
    <row r="23">
      <c r="A23" t="str">
        <f>IF(B23="","","CAT-"&amp;TEXT(ROW()-5,"000"))</f>
        <v/>
      </c>
      <c r="D23" t="str">
        <f>IF(B23="","",IF(COUNTIF($B$6:$B$105,B23)&gt;1,"REVISAR: DUPLICADA","OK"))</f>
        <v/>
      </c>
      <c r="F23" t="str">
        <f>IF(H23="","","SUB-"&amp;TEXT(ROW()-5,"000"))</f>
        <v>SUB-018</v>
      </c>
      <c r="G23" t="str">
        <v>CAT-007</v>
      </c>
      <c r="H23" t="str">
        <v>Perfume en Lata Walker</v>
      </c>
      <c r="I23" t="str">
        <v>Activo</v>
      </c>
      <c r="J23" t="str">
        <f>IF(H23="","",IF(COUNTIF($H$6:$H$305,H23)&gt;1,"REVISAR: DUPLICADA","OK"))</f>
        <v>OK</v>
      </c>
      <c r="L23" t="str">
        <v>CNT-018</v>
      </c>
      <c r="M23" t="str">
        <v>Activo</v>
      </c>
      <c r="N23" t="str">
        <v>Rejilla de auto. Presentación: 1 unidad.</v>
      </c>
      <c r="O23" t="str">
        <v>Rejillas y repasadores. Accesorio resistente y práctico, pensado para facilitar las tareas de limpieza del hogar.</v>
      </c>
    </row>
    <row r="24">
      <c r="A24" t="str">
        <f>IF(B24="","","CAT-"&amp;TEXT(ROW()-5,"000"))</f>
        <v/>
      </c>
      <c r="D24" t="str">
        <f>IF(B24="","",IF(COUNTIF($B$6:$B$105,B24)&gt;1,"REVISAR: DUPLICADA","OK"))</f>
        <v/>
      </c>
      <c r="F24" t="str">
        <f>IF(H24="","","SUB-"&amp;TEXT(ROW()-5,"000"))</f>
        <v>SUB-019</v>
      </c>
      <c r="G24" t="str">
        <v>CAT-007</v>
      </c>
      <c r="H24" t="str">
        <v>Cera</v>
      </c>
      <c r="I24" t="str">
        <v>Activo</v>
      </c>
      <c r="J24" t="str">
        <f>IF(H24="","",IF(COUNTIF($H$6:$H$305,H24)&gt;1,"REVISAR: DUPLICADA","OK"))</f>
        <v>OK</v>
      </c>
      <c r="L24" t="str">
        <v>CNT-019</v>
      </c>
      <c r="M24" t="str">
        <v>Activo</v>
      </c>
      <c r="N24" t="str">
        <v>Rejilla de pabilo. Presentación: 1 unidad.</v>
      </c>
      <c r="O24" t="str">
        <v>Rejillas y repasadores. Accesorio resistente y práctico, pensado para facilitar las tareas de limpieza del hogar.</v>
      </c>
    </row>
    <row r="25">
      <c r="A25" t="str">
        <f>IF(B25="","","CAT-"&amp;TEXT(ROW()-5,"000"))</f>
        <v/>
      </c>
      <c r="D25" t="str">
        <f>IF(B25="","",IF(COUNTIF($B$6:$B$105,B25)&gt;1,"REVISAR: DUPLICADA","OK"))</f>
        <v/>
      </c>
      <c r="F25" t="str">
        <f>IF(H25="","","SUB-"&amp;TEXT(ROW()-5,"000"))</f>
        <v>SUB-020</v>
      </c>
      <c r="G25" t="str">
        <v>CAT-007</v>
      </c>
      <c r="H25" t="str">
        <v>Limpia Tapizado en Aerosol</v>
      </c>
      <c r="I25" t="str">
        <v>Activo</v>
      </c>
      <c r="J25" t="str">
        <f>IF(H25="","",IF(COUNTIF($H$6:$H$305,H25)&gt;1,"REVISAR: DUPLICADA","OK"))</f>
        <v>OK</v>
      </c>
      <c r="L25" t="str">
        <v>CNT-020</v>
      </c>
      <c r="M25" t="str">
        <v>Activo</v>
      </c>
      <c r="N25" t="str">
        <v>Rejilla cocina. Presentación: 1 unidad.</v>
      </c>
      <c r="O25" t="str">
        <v>Rejillas y repasadores. Accesorio resistente y práctico, pensado para facilitar las tareas de limpieza del hogar.</v>
      </c>
    </row>
    <row r="26">
      <c r="A26" t="str">
        <f>IF(B26="","","CAT-"&amp;TEXT(ROW()-5,"000"))</f>
        <v/>
      </c>
      <c r="D26" t="str">
        <f>IF(B26="","",IF(COUNTIF($B$6:$B$105,B26)&gt;1,"REVISAR: DUPLICADA","OK"))</f>
        <v/>
      </c>
      <c r="F26" t="str">
        <f>IF(H26="","","SUB-"&amp;TEXT(ROW()-5,"000"))</f>
        <v>SUB-021</v>
      </c>
      <c r="G26" t="str">
        <v>CAT-001</v>
      </c>
      <c r="H26" t="str">
        <v>Jabón líquido de manos</v>
      </c>
      <c r="I26" t="str">
        <v>Activo</v>
      </c>
      <c r="J26" t="str">
        <f>IF(H26="","",IF(COUNTIF($H$6:$H$305,H26)&gt;1,"REVISAR: DUPLICADA","OK"))</f>
        <v>OK</v>
      </c>
      <c r="L26" t="str">
        <v>CNT-021</v>
      </c>
      <c r="M26" t="str">
        <v>Activo</v>
      </c>
      <c r="N26" t="str">
        <v>Rejilla cocina. Presentación: 1 unidad. Marca Kide.</v>
      </c>
      <c r="O26" t="str">
        <v>Rejillas y repasadores. Accesorio resistente y práctico, pensado para facilitar las tareas de limpieza del hogar.</v>
      </c>
    </row>
    <row r="27">
      <c r="A27" t="str">
        <f>IF(B27="","","CAT-"&amp;TEXT(ROW()-5,"000"))</f>
        <v/>
      </c>
      <c r="D27" t="str">
        <f>IF(B27="","",IF(COUNTIF($B$6:$B$105,B27)&gt;1,"REVISAR: DUPLICADA","OK"))</f>
        <v/>
      </c>
      <c r="F27" t="str">
        <f>IF(H27="","","SUB-"&amp;TEXT(ROW()-5,"000"))</f>
        <v>SUB-022</v>
      </c>
      <c r="G27" t="str">
        <v>CAT-004</v>
      </c>
      <c r="H27" t="str">
        <v>Difusores aromáticos</v>
      </c>
      <c r="I27" t="str">
        <v>Activo</v>
      </c>
      <c r="J27" t="str">
        <f>IF(H27="","",IF(COUNTIF($H$6:$H$305,H27)&gt;1,"REVISAR: DUPLICADA","OK"))</f>
        <v>OK</v>
      </c>
      <c r="L27" t="str">
        <v>CNT-022</v>
      </c>
      <c r="M27" t="str">
        <v>Activo</v>
      </c>
      <c r="N27" t="str">
        <v>Rejilla pabilo. Presentación: 1 unidad.</v>
      </c>
      <c r="O27" t="str">
        <v>Rejillas y repasadores. Accesorio resistente y práctico, pensado para facilitar las tareas de limpieza del hogar.</v>
      </c>
    </row>
    <row r="28">
      <c r="A28" t="str">
        <f>IF(B28="","","CAT-"&amp;TEXT(ROW()-5,"000"))</f>
        <v/>
      </c>
      <c r="D28" t="str">
        <f>IF(B28="","",IF(COUNTIF($B$6:$B$105,B28)&gt;1,"REVISAR: DUPLICADA","OK"))</f>
        <v/>
      </c>
      <c r="F28" t="str">
        <f>IF(H28="","","SUB-"&amp;TEXT(ROW()-5,"000"))</f>
        <v>SUB-023</v>
      </c>
      <c r="G28" t="str">
        <v>CAT-008</v>
      </c>
      <c r="H28" t="str">
        <v>Promo 15 litros</v>
      </c>
      <c r="I28" t="str">
        <v>Activo</v>
      </c>
      <c r="J28" t="str">
        <f>IF(H28="","",IF(COUNTIF($H$6:$H$305,H28)&gt;1,"REVISAR: DUPLICADA","OK"))</f>
        <v>OK</v>
      </c>
      <c r="L28" t="str">
        <v>CNT-023</v>
      </c>
      <c r="M28" t="str">
        <v>Activo</v>
      </c>
      <c r="N28" t="str">
        <v>Repasador. Presentación: 1 unidad.</v>
      </c>
      <c r="O28" t="str">
        <v>Rejillas y repasadores. Accesorio resistente y práctico, pensado para facilitar las tareas de limpieza del hogar.</v>
      </c>
    </row>
    <row r="29">
      <c r="A29" t="str">
        <f>IF(B29="","","CAT-"&amp;TEXT(ROW()-5,"000"))</f>
        <v/>
      </c>
      <c r="D29" t="str">
        <f>IF(B29="","",IF(COUNTIF($B$6:$B$105,B29)&gt;1,"REVISAR: DUPLICADA","OK"))</f>
        <v/>
      </c>
      <c r="F29" t="str">
        <f>IF(H29="","","SUB-"&amp;TEXT(ROW()-5,"000"))</f>
        <v>SUB-024</v>
      </c>
      <c r="G29" t="str">
        <v>CAT-008</v>
      </c>
      <c r="H29" t="str">
        <v>Promo 12 litros</v>
      </c>
      <c r="I29" t="str">
        <v>Activo</v>
      </c>
      <c r="J29" t="str">
        <f>IF(H29="","",IF(COUNTIF($H$6:$H$305,H29)&gt;1,"REVISAR: DUPLICADA","OK"))</f>
        <v>OK</v>
      </c>
      <c r="L29" t="str">
        <v>CNT-024</v>
      </c>
      <c r="M29" t="str">
        <v>Activo</v>
      </c>
      <c r="N29" t="str">
        <v>Paño amarillo para piso. Presentación: 1 unidad.</v>
      </c>
      <c r="O29" t="str">
        <v>Rejillas y repasadores. Accesorio resistente y práctico, pensado para facilitar las tareas de limpieza del hogar.</v>
      </c>
    </row>
    <row r="30">
      <c r="A30" t="str">
        <f>IF(B30="","","CAT-"&amp;TEXT(ROW()-5,"000"))</f>
        <v/>
      </c>
      <c r="D30" t="str">
        <f>IF(B30="","",IF(COUNTIF($B$6:$B$105,B30)&gt;1,"REVISAR: DUPLICADA","OK"))</f>
        <v/>
      </c>
      <c r="F30" t="str">
        <f>IF(H30="","","SUB-"&amp;TEXT(ROW()-5,"000"))</f>
        <v>SUB-025</v>
      </c>
      <c r="G30" t="str">
        <v>CAT-008</v>
      </c>
      <c r="H30" t="str">
        <v>Promo 10 litros</v>
      </c>
      <c r="I30" t="str">
        <v>Activo</v>
      </c>
      <c r="J30" t="str">
        <f>IF(H30="","",IF(COUNTIF($H$6:$H$305,H30)&gt;1,"REVISAR: DUPLICADA","OK"))</f>
        <v>OK</v>
      </c>
      <c r="L30" t="str">
        <v>CNT-025</v>
      </c>
      <c r="M30" t="str">
        <v>Activo</v>
      </c>
      <c r="N30" t="str">
        <v>Trapo de piso blanco. Presentación: 1 unidad.</v>
      </c>
      <c r="O30" t="str">
        <v>Trapos de piso. Accesorio resistente y práctico, pensado para facilitar las tareas de limpieza del hogar.</v>
      </c>
    </row>
    <row r="31">
      <c r="A31" t="str">
        <f>IF(B31="","","CAT-"&amp;TEXT(ROW()-5,"000"))</f>
        <v/>
      </c>
      <c r="D31" t="str">
        <f>IF(B31="","",IF(COUNTIF($B$6:$B$105,B31)&gt;1,"REVISAR: DUPLICADA","OK"))</f>
        <v/>
      </c>
      <c r="F31" t="str">
        <f>IF(H31="","","SUB-"&amp;TEXT(ROW()-5,"000"))</f>
        <v>SUB-026</v>
      </c>
      <c r="G31" t="str">
        <v>CAT-005</v>
      </c>
      <c r="H31" t="str">
        <v>Cloro</v>
      </c>
      <c r="I31" t="str">
        <v>Activo</v>
      </c>
      <c r="J31" t="str">
        <f>IF(H31="","",IF(COUNTIF($H$6:$H$305,H31)&gt;1,"REVISAR: DUPLICADA","OK"))</f>
        <v>OK</v>
      </c>
      <c r="L31" t="str">
        <v>CNT-026</v>
      </c>
      <c r="M31" t="str">
        <v>Activo</v>
      </c>
      <c r="N31" t="str">
        <v>Trapo de piso gris. Presentación: 1 unidad.</v>
      </c>
      <c r="O31" t="str">
        <v>Trapos de piso. Accesorio resistente y práctico, pensado para facilitar las tareas de limpieza del hogar.</v>
      </c>
    </row>
    <row r="32">
      <c r="A32" t="str">
        <f>IF(B32="","","CAT-"&amp;TEXT(ROW()-5,"000"))</f>
        <v/>
      </c>
      <c r="D32" t="str">
        <f>IF(B32="","",IF(COUNTIF($B$6:$B$105,B32)&gt;1,"REVISAR: DUPLICADA","OK"))</f>
        <v/>
      </c>
      <c r="F32" t="str">
        <f>IF(H32="","","SUB-"&amp;TEXT(ROW()-5,"000"))</f>
        <v>SUB-027</v>
      </c>
      <c r="G32" t="str">
        <v>CAT-002</v>
      </c>
      <c r="H32" t="str">
        <v>Lavavajillas Listo para usar</v>
      </c>
      <c r="I32" t="str">
        <v>Activo</v>
      </c>
      <c r="J32" t="str">
        <f>IF(H32="","",IF(COUNTIF($H$6:$H$305,H32)&gt;1,"REVISAR: DUPLICADA","OK"))</f>
        <v>OK</v>
      </c>
      <c r="L32" t="str">
        <v>CNT-027</v>
      </c>
      <c r="M32" t="str">
        <v>Activo</v>
      </c>
      <c r="N32" t="str">
        <v>Trapo de piso costurado. Presentación: 1 unidad. Marca mr trappo.</v>
      </c>
      <c r="O32" t="str">
        <v>Trapos de piso. Accesorio resistente y práctico, pensado para facilitar las tareas de limpieza del hogar.</v>
      </c>
    </row>
    <row r="33">
      <c r="A33" t="str">
        <f>IF(B33="","","CAT-"&amp;TEXT(ROW()-5,"000"))</f>
        <v/>
      </c>
      <c r="D33" t="str">
        <f>IF(B33="","",IF(COUNTIF($B$6:$B$105,B33)&gt;1,"REVISAR: DUPLICADA","OK"))</f>
        <v/>
      </c>
      <c r="F33" t="str">
        <f>IF(H33="","","SUB-"&amp;TEXT(ROW()-5,"000"))</f>
        <v>SUB-028</v>
      </c>
      <c r="G33" t="str">
        <v>CAT-002</v>
      </c>
      <c r="H33" t="str">
        <v>Lavavajillas Concentrado</v>
      </c>
      <c r="I33" t="str">
        <v>Activo</v>
      </c>
      <c r="J33" t="str">
        <f>IF(H33="","",IF(COUNTIF($H$6:$H$305,H33)&gt;1,"REVISAR: DUPLICADA","OK"))</f>
        <v>OK</v>
      </c>
      <c r="L33" t="str">
        <v>CNT-028</v>
      </c>
      <c r="M33" t="str">
        <v>Activo</v>
      </c>
      <c r="N33" t="str">
        <v>Trapo de piso costurado. Presentación: 1 unidad. Marca Fibran.</v>
      </c>
      <c r="O33" t="str">
        <v>Trapos de piso. Accesorio resistente y práctico, pensado para facilitar las tareas de limpieza del hogar.</v>
      </c>
    </row>
    <row r="34">
      <c r="A34" t="str">
        <f>IF(B34="","","CAT-"&amp;TEXT(ROW()-5,"000"))</f>
        <v/>
      </c>
      <c r="D34" t="str">
        <f>IF(B34="","",IF(COUNTIF($B$6:$B$105,B34)&gt;1,"REVISAR: DUPLICADA","OK"))</f>
        <v/>
      </c>
      <c r="F34" t="str">
        <f>IF(H34="","","SUB-"&amp;TEXT(ROW()-5,"000"))</f>
        <v>SUB-029</v>
      </c>
      <c r="G34" t="str">
        <v>CAT-009</v>
      </c>
      <c r="H34" t="str">
        <v>Desodorante para piso</v>
      </c>
      <c r="I34" t="str">
        <v>Activo</v>
      </c>
      <c r="J34" t="str">
        <f>IF(H34="","",IF(COUNTIF($H$6:$H$305,H34)&gt;1,"REVISAR: DUPLICADA","OK"))</f>
        <v>OK</v>
      </c>
      <c r="L34" t="str">
        <v>CNT-029</v>
      </c>
      <c r="M34" t="str">
        <v>Activo</v>
      </c>
      <c r="N34" t="str">
        <v>Trapo de piso nido de abeja. Presentación: 1 unidad.</v>
      </c>
      <c r="O34" t="str">
        <v>Trapos de piso. Accesorio resistente y práctico, pensado para facilitar las tareas de limpieza del hogar.</v>
      </c>
    </row>
    <row r="35">
      <c r="A35" t="str">
        <f>IF(B35="","","CAT-"&amp;TEXT(ROW()-5,"000"))</f>
        <v/>
      </c>
      <c r="D35" t="str">
        <f>IF(B35="","",IF(COUNTIF($B$6:$B$105,B35)&gt;1,"REVISAR: DUPLICADA","OK"))</f>
        <v/>
      </c>
      <c r="F35" t="str">
        <f>IF(H35="","","SUB-"&amp;TEXT(ROW()-5,"000"))</f>
        <v>SUB-030</v>
      </c>
      <c r="G35" t="str">
        <v>CAT-006</v>
      </c>
      <c r="H35" t="str">
        <v>Cabos y mangos</v>
      </c>
      <c r="I35" t="str">
        <v>Activo</v>
      </c>
      <c r="J35" t="str">
        <f>IF(H35="","",IF(COUNTIF($H$6:$H$305,H35)&gt;1,"REVISAR: DUPLICADA","OK"))</f>
        <v>OK</v>
      </c>
      <c r="L35" t="str">
        <v>CNT-030</v>
      </c>
      <c r="M35" t="str">
        <v>Activo</v>
      </c>
      <c r="N35" t="str">
        <v>Trapo de piso nido de abeja economico. Presentación: 1 unidad.</v>
      </c>
      <c r="O35" t="str">
        <v>Trapos de piso. Accesorio resistente y práctico, pensado para facilitar las tareas de limpieza del hogar.</v>
      </c>
    </row>
    <row r="36">
      <c r="A36" t="str">
        <f>IF(B36="","","CAT-"&amp;TEXT(ROW()-5,"000"))</f>
        <v/>
      </c>
      <c r="D36" t="str">
        <f>IF(B36="","",IF(COUNTIF($B$6:$B$105,B36)&gt;1,"REVISAR: DUPLICADA","OK"))</f>
        <v/>
      </c>
      <c r="F36" t="str">
        <f>IF(H36="","","SUB-"&amp;TEXT(ROW()-5,"000"))</f>
        <v>SUB-031</v>
      </c>
      <c r="G36" t="str">
        <v>CAT-006</v>
      </c>
      <c r="H36" t="str">
        <v>Esponjas</v>
      </c>
      <c r="I36" t="str">
        <v>Activo</v>
      </c>
      <c r="J36" t="str">
        <f>IF(H36="","",IF(COUNTIF($H$6:$H$305,H36)&gt;1,"REVISAR: DUPLICADA","OK"))</f>
        <v>OK</v>
      </c>
      <c r="L36" t="str">
        <v>CNT-031</v>
      </c>
      <c r="M36" t="str">
        <v>Activo</v>
      </c>
      <c r="N36" t="str">
        <v>Trapo de piso rayado. Presentación: 1 unidad. Marca consorcio.</v>
      </c>
      <c r="O36" t="str">
        <v>Trapos de piso. Accesorio resistente y práctico, pensado para facilitar las tareas de limpieza del hogar.</v>
      </c>
    </row>
    <row r="37">
      <c r="A37" t="str">
        <f>IF(B37="","","CAT-"&amp;TEXT(ROW()-5,"000"))</f>
        <v/>
      </c>
      <c r="D37" t="str">
        <f>IF(B37="","",IF(COUNTIF($B$6:$B$105,B37)&gt;1,"REVISAR: DUPLICADA","OK"))</f>
        <v/>
      </c>
      <c r="F37" t="str">
        <f>IF(H37="","","SUB-"&amp;TEXT(ROW()-5,"000"))</f>
        <v>SUB-032</v>
      </c>
      <c r="G37" t="str">
        <v>CAT-006</v>
      </c>
      <c r="H37" t="str">
        <v>Artículos para tender</v>
      </c>
      <c r="I37" t="str">
        <v>Activo</v>
      </c>
      <c r="J37" t="str">
        <f>IF(H37="","",IF(COUNTIF($H$6:$H$305,H37)&gt;1,"REVISAR: DUPLICADA","OK"))</f>
        <v>OK</v>
      </c>
      <c r="L37" t="str">
        <v>CNT-032</v>
      </c>
      <c r="M37" t="str">
        <v>Activo</v>
      </c>
      <c r="N37" t="str">
        <v>Trapo de piso rayado. Presentación: 1 unidad.</v>
      </c>
      <c r="O37" t="str">
        <v>Trapos de piso. Accesorio resistente y práctico, pensado para facilitar las tareas de limpieza del hogar.</v>
      </c>
    </row>
    <row r="38">
      <c r="A38" t="str">
        <f>IF(B38="","","CAT-"&amp;TEXT(ROW()-5,"000"))</f>
        <v/>
      </c>
      <c r="D38" t="str">
        <f>IF(B38="","",IF(COUNTIF($B$6:$B$105,B38)&gt;1,"REVISAR: DUPLICADA","OK"))</f>
        <v/>
      </c>
      <c r="F38" t="str">
        <f>IF(H38="","","SUB-"&amp;TEXT(ROW()-5,"000"))</f>
        <v>SUB-033</v>
      </c>
      <c r="G38" t="str">
        <v>CAT-001</v>
      </c>
      <c r="H38" t="str">
        <v>Accesorios de baño</v>
      </c>
      <c r="I38" t="str">
        <v>Activo</v>
      </c>
      <c r="J38" t="str">
        <f>IF(H38="","",IF(COUNTIF($H$6:$H$305,H38)&gt;1,"REVISAR: DUPLICADA","OK"))</f>
        <v>OK</v>
      </c>
      <c r="L38" t="str">
        <v>CNT-033</v>
      </c>
      <c r="M38" t="str">
        <v>Activo</v>
      </c>
      <c r="N38" t="str">
        <v>Escoba Anden de 40 cm. Presentación: 1 unidad.</v>
      </c>
      <c r="O38" t="str">
        <v>Escobas y escobillones. Accesorio resistente y práctico, pensado para facilitar las tareas de limpieza del hogar.</v>
      </c>
    </row>
    <row r="39">
      <c r="A39" t="str">
        <f>IF(B39="","","CAT-"&amp;TEXT(ROW()-5,"000"))</f>
        <v/>
      </c>
      <c r="D39" t="str">
        <f>IF(B39="","",IF(COUNTIF($B$6:$B$105,B39)&gt;1,"REVISAR: DUPLICADA","OK"))</f>
        <v/>
      </c>
      <c r="F39" t="str">
        <f>IF(H39="","","SUB-"&amp;TEXT(ROW()-5,"000"))</f>
        <v>SUB-034</v>
      </c>
      <c r="G39" t="str">
        <v>CAT-004</v>
      </c>
      <c r="H39" t="str">
        <v>Aerosol ambiental</v>
      </c>
      <c r="I39" t="str">
        <v>Activo</v>
      </c>
      <c r="J39" t="str">
        <f>IF(H39="","",IF(COUNTIF($H$6:$H$305,H39)&gt;1,"REVISAR: DUPLICADA","OK"))</f>
        <v>OK</v>
      </c>
      <c r="L39" t="str">
        <v>CNT-034</v>
      </c>
      <c r="M39" t="str">
        <v>Activo</v>
      </c>
      <c r="N39" t="str">
        <v>Escoba Anden de 60 cm. Presentación: 1 unidad.</v>
      </c>
      <c r="O39" t="str">
        <v>Escobas y escobillones. Accesorio resistente y práctico, pensado para facilitar las tareas de limpieza del hogar.</v>
      </c>
    </row>
    <row r="40">
      <c r="A40" t="str">
        <f>IF(B40="","","CAT-"&amp;TEXT(ROW()-5,"000"))</f>
        <v/>
      </c>
      <c r="D40" t="str">
        <f>IF(B40="","",IF(COUNTIF($B$6:$B$105,B40)&gt;1,"REVISAR: DUPLICADA","OK"))</f>
        <v/>
      </c>
      <c r="F40" t="str">
        <f>IF(H40="","","SUB-"&amp;TEXT(ROW()-5,"000"))</f>
        <v>SUB-035</v>
      </c>
      <c r="G40" t="str">
        <v>CAT-005</v>
      </c>
      <c r="H40" t="str">
        <v>Aerosol desinfectante</v>
      </c>
      <c r="I40" t="str">
        <v>Activo</v>
      </c>
      <c r="J40" t="str">
        <f>IF(H40="","",IF(COUNTIF($H$6:$H$305,H40)&gt;1,"REVISAR: DUPLICADA","OK"))</f>
        <v>OK</v>
      </c>
      <c r="L40" t="str">
        <v>CNT-035</v>
      </c>
      <c r="M40" t="str">
        <v>Activo</v>
      </c>
      <c r="N40" t="str">
        <v>Escoba Anden de 80 cm. Presentación: 1 unidad.</v>
      </c>
      <c r="O40" t="str">
        <v>Escobas y escobillones. Accesorio resistente y práctico, pensado para facilitar las tareas de limpieza del hogar.</v>
      </c>
    </row>
    <row r="41">
      <c r="A41" t="str">
        <f>IF(B41="","","CAT-"&amp;TEXT(ROW()-5,"000"))</f>
        <v/>
      </c>
      <c r="D41" t="str">
        <f>IF(B41="","",IF(COUNTIF($B$6:$B$105,B41)&gt;1,"REVISAR: DUPLICADA","OK"))</f>
        <v/>
      </c>
      <c r="F41" t="str">
        <f>IF(H41="","","SUB-"&amp;TEXT(ROW()-5,"000"))</f>
        <v>SUB-036</v>
      </c>
      <c r="G41" t="str">
        <v>CAT-010</v>
      </c>
      <c r="H41" t="str">
        <v>Lustramuebles</v>
      </c>
      <c r="I41" t="str">
        <v>Activo</v>
      </c>
      <c r="J41" t="str">
        <f>IF(H41="","",IF(COUNTIF($H$6:$H$305,H41)&gt;1,"REVISAR: DUPLICADA","OK"))</f>
        <v>OK</v>
      </c>
      <c r="L41" t="str">
        <v>CNT-036</v>
      </c>
      <c r="M41" t="str">
        <v>Activo</v>
      </c>
      <c r="N41" t="str">
        <v>Escoba Anden de 100 cm. Presentación: 1 unidad.</v>
      </c>
      <c r="O41" t="str">
        <v>Escobas y escobillones. Accesorio resistente y práctico, pensado para facilitar las tareas de limpieza del hogar.</v>
      </c>
    </row>
    <row r="42">
      <c r="A42" t="str">
        <f>IF(B42="","","CAT-"&amp;TEXT(ROW()-5,"000"))</f>
        <v/>
      </c>
      <c r="D42" t="str">
        <f>IF(B42="","",IF(COUNTIF($B$6:$B$105,B42)&gt;1,"REVISAR: DUPLICADA","OK"))</f>
        <v/>
      </c>
      <c r="F42" t="str">
        <f>IF(H42="","","SUB-"&amp;TEXT(ROW()-5,"000"))</f>
        <v>SUB-037</v>
      </c>
      <c r="G42" t="str">
        <v>CAT-002</v>
      </c>
      <c r="H42" t="str">
        <v>Limpiador de horno</v>
      </c>
      <c r="I42" t="str">
        <v>Activo</v>
      </c>
      <c r="J42" t="str">
        <f>IF(H42="","",IF(COUNTIF($H$6:$H$305,H42)&gt;1,"REVISAR: DUPLICADA","OK"))</f>
        <v>OK</v>
      </c>
      <c r="L42" t="str">
        <v>CNT-037</v>
      </c>
      <c r="M42" t="str">
        <v>Activo</v>
      </c>
      <c r="N42" t="str">
        <v>Escoba Anden de 60 cm barregrueso. Presentación: 1 unidad.</v>
      </c>
      <c r="O42" t="str">
        <v>Escobas y escobillones. Accesorio resistente y práctico, pensado para facilitar las tareas de limpieza del hogar.</v>
      </c>
    </row>
    <row r="43">
      <c r="A43" t="str">
        <f>IF(B43="","","CAT-"&amp;TEXT(ROW()-5,"000"))</f>
        <v/>
      </c>
      <c r="D43" t="str">
        <f>IF(B43="","",IF(COUNTIF($B$6:$B$105,B43)&gt;1,"REVISAR: DUPLICADA","OK"))</f>
        <v/>
      </c>
      <c r="F43" t="str">
        <f>IF(H43="","","SUB-"&amp;TEXT(ROW()-5,"000"))</f>
        <v>SUB-038</v>
      </c>
      <c r="G43" t="str">
        <v>CAT-003</v>
      </c>
      <c r="H43" t="str">
        <v>Apresto para ropa</v>
      </c>
      <c r="I43" t="str">
        <v>Activo</v>
      </c>
      <c r="J43" t="str">
        <f>IF(H43="","",IF(COUNTIF($H$6:$H$305,H43)&gt;1,"REVISAR: DUPLICADA","OK"))</f>
        <v>OK</v>
      </c>
      <c r="L43" t="str">
        <v>CNT-038</v>
      </c>
      <c r="M43" t="str">
        <v>Activo</v>
      </c>
      <c r="N43" t="str">
        <v>Escobillon Barrendero Economico. Presentación: 1 unidad.</v>
      </c>
      <c r="O43" t="str">
        <v>Escobas y escobillones. Accesorio resistente y práctico, pensado para facilitar las tareas de limpieza del hogar.</v>
      </c>
    </row>
    <row r="44">
      <c r="A44" t="str">
        <f>IF(B44="","","CAT-"&amp;TEXT(ROW()-5,"000"))</f>
        <v/>
      </c>
      <c r="D44" t="str">
        <f>IF(B44="","",IF(COUNTIF($B$6:$B$105,B44)&gt;1,"REVISAR: DUPLICADA","OK"))</f>
        <v/>
      </c>
      <c r="F44" t="str">
        <f>IF(H44="","","SUB-"&amp;TEXT(ROW()-5,"000"))</f>
        <v>SUB-039</v>
      </c>
      <c r="G44" t="str">
        <v>CAT-010</v>
      </c>
      <c r="H44" t="str">
        <v>Insecticidas</v>
      </c>
      <c r="I44" t="str">
        <v>Activo</v>
      </c>
      <c r="J44" t="str">
        <f>IF(H44="","",IF(COUNTIF($H$6:$H$305,H44)&gt;1,"REVISAR: DUPLICADA","OK"))</f>
        <v>OK</v>
      </c>
      <c r="L44" t="str">
        <v>CNT-039</v>
      </c>
      <c r="M44" t="str">
        <v>Activo</v>
      </c>
      <c r="N44" t="str">
        <v>Escoba tipo barredor de 35 cm. Presentación: 1 unidad.</v>
      </c>
      <c r="O44" t="str">
        <v>Escobas y escobillones. Accesorio resistente y práctico, pensado para facilitar las tareas de limpieza del hogar.</v>
      </c>
    </row>
    <row r="45">
      <c r="A45" t="str">
        <f>IF(B45="","","CAT-"&amp;TEXT(ROW()-5,"000"))</f>
        <v/>
      </c>
      <c r="D45" t="str">
        <f>IF(B45="","",IF(COUNTIF($B$6:$B$105,B45)&gt;1,"REVISAR: DUPLICADA","OK"))</f>
        <v/>
      </c>
      <c r="F45" t="str">
        <f>IF(H45="","","SUB-"&amp;TEXT(ROW()-5,"000"))</f>
        <v>SUB-040</v>
      </c>
      <c r="G45" t="str">
        <v>CAT-006</v>
      </c>
      <c r="H45" t="str">
        <v>Guantes</v>
      </c>
      <c r="I45" t="str">
        <v>Activo</v>
      </c>
      <c r="J45" t="str">
        <f>IF(H45="","",IF(COUNTIF($H$6:$H$305,H45)&gt;1,"REVISAR: DUPLICADA","OK"))</f>
        <v>OK</v>
      </c>
      <c r="L45" t="str">
        <v>CNT-040</v>
      </c>
      <c r="M45" t="str">
        <v>Activo</v>
      </c>
      <c r="N45" t="str">
        <v>Escoba tipo barredor de 60 cm. Presentación: 1 unidad.</v>
      </c>
      <c r="O45" t="str">
        <v>Escobas y escobillones. Accesorio resistente y práctico, pensado para facilitar las tareas de limpieza del hogar.</v>
      </c>
    </row>
    <row r="46">
      <c r="A46" t="str">
        <f>IF(B46="","","CAT-"&amp;TEXT(ROW()-5,"000"))</f>
        <v/>
      </c>
      <c r="D46" t="str">
        <f>IF(B46="","",IF(COUNTIF($B$6:$B$105,B46)&gt;1,"REVISAR: DUPLICADA","OK"))</f>
        <v/>
      </c>
      <c r="F46" t="str">
        <f>IF(H46="","","SUB-"&amp;TEXT(ROW()-5,"000"))</f>
        <v>SUB-041</v>
      </c>
      <c r="G46" t="str">
        <v>CAT-006</v>
      </c>
      <c r="H46" t="str">
        <v>Mopas</v>
      </c>
      <c r="I46" t="str">
        <v>Activo</v>
      </c>
      <c r="J46" t="str">
        <f>IF(H46="","",IF(COUNTIF($H$6:$H$305,H46)&gt;1,"REVISAR: DUPLICADA","OK"))</f>
        <v>OK</v>
      </c>
      <c r="L46" t="str">
        <v>CNT-041</v>
      </c>
      <c r="M46" t="str">
        <v>Activo</v>
      </c>
      <c r="N46" t="str">
        <v>Escoba tipo barredor de 80 cm. Presentación: 1 unidad.</v>
      </c>
      <c r="O46" t="str">
        <v>Escobas y escobillones. Accesorio resistente y práctico, pensado para facilitar las tareas de limpieza del hogar.</v>
      </c>
    </row>
    <row r="47">
      <c r="A47" t="str">
        <f>IF(B47="","","CAT-"&amp;TEXT(ROW()-5,"000"))</f>
        <v/>
      </c>
      <c r="D47" t="str">
        <f>IF(B47="","",IF(COUNTIF($B$6:$B$105,B47)&gt;1,"REVISAR: DUPLICADA","OK"))</f>
        <v/>
      </c>
      <c r="F47" t="str">
        <f>IF(H47="","","SUB-"&amp;TEXT(ROW()-5,"000"))</f>
        <v>SUB-042</v>
      </c>
      <c r="G47" t="str">
        <v>CAT-006</v>
      </c>
      <c r="H47" t="str">
        <v>Repuestos</v>
      </c>
      <c r="I47" t="str">
        <v>Activo</v>
      </c>
      <c r="J47" t="str">
        <f>IF(H47="","",IF(COUNTIF($H$6:$H$305,H47)&gt;1,"REVISAR: DUPLICADA","OK"))</f>
        <v>OK</v>
      </c>
      <c r="L47" t="str">
        <v>CNT-042</v>
      </c>
      <c r="M47" t="str">
        <v>Activo</v>
      </c>
      <c r="N47" t="str">
        <v>Escoba tipo barredor de 100 cm. Presentación: 1 unidad.</v>
      </c>
      <c r="O47" t="str">
        <v>Escobas y escobillones. Accesorio resistente y práctico, pensado para facilitar las tareas de limpieza del hogar.</v>
      </c>
    </row>
    <row r="48">
      <c r="A48" t="str">
        <f>IF(B48="","","CAT-"&amp;TEXT(ROW()-5,"000"))</f>
        <v/>
      </c>
      <c r="D48" t="str">
        <f>IF(B48="","",IF(COUNTIF($B$6:$B$105,B48)&gt;1,"REVISAR: DUPLICADA","OK"))</f>
        <v/>
      </c>
      <c r="F48" t="str">
        <f>IF(H48="","","SUB-"&amp;TEXT(ROW()-5,"000"))</f>
        <v>SUB-043</v>
      </c>
      <c r="G48" t="str">
        <v>CAT-006</v>
      </c>
      <c r="H48" t="str">
        <v>Baldes y recipientes</v>
      </c>
      <c r="I48" t="str">
        <v>Activo</v>
      </c>
      <c r="J48" t="str">
        <f>IF(H48="","",IF(COUNTIF($H$6:$H$305,H48)&gt;1,"REVISAR: DUPLICADA","OK"))</f>
        <v>OK</v>
      </c>
      <c r="L48" t="str">
        <v>CNT-043</v>
      </c>
      <c r="M48" t="str">
        <v>Activo</v>
      </c>
      <c r="N48" t="str">
        <v>Barre Hojas Comun. Presentación: 1 unidad.</v>
      </c>
      <c r="O48" t="str">
        <v>Escobas y escobillones. Accesorio resistente y práctico, pensado para facilitar las tareas de limpieza del hogar.</v>
      </c>
    </row>
    <row r="49">
      <c r="A49" t="str">
        <f>IF(B49="","","CAT-"&amp;TEXT(ROW()-5,"000"))</f>
        <v/>
      </c>
      <c r="D49" t="str">
        <f>IF(B49="","",IF(COUNTIF($B$6:$B$105,B49)&gt;1,"REVISAR: DUPLICADA","OK"))</f>
        <v/>
      </c>
      <c r="F49" t="str">
        <f>IF(H49="","","SUB-"&amp;TEXT(ROW()-5,"000"))</f>
        <v>SUB-044</v>
      </c>
      <c r="G49" t="str">
        <v>CAT-011</v>
      </c>
      <c r="H49" t="str">
        <v>Líquidos</v>
      </c>
      <c r="I49" t="str">
        <v>Activo</v>
      </c>
      <c r="J49" t="str">
        <f>IF(H49="","",IF(COUNTIF($H$6:$H$305,H49)&gt;1,"REVISAR: DUPLICADA","OK"))</f>
        <v>OK</v>
      </c>
      <c r="L49" t="str">
        <v>CNT-044</v>
      </c>
      <c r="M49" t="str">
        <v>Activo</v>
      </c>
      <c r="N49" t="str">
        <v>Barre Hojas Profesional. Presentación: 1 unidad.</v>
      </c>
      <c r="O49" t="str">
        <v>Escobas y escobillones. Accesorio resistente y práctico, pensado para facilitar las tareas de limpieza del hogar.</v>
      </c>
    </row>
    <row r="50">
      <c r="A50" t="str">
        <f>IF(B50="","","CAT-"&amp;TEXT(ROW()-5,"000"))</f>
        <v/>
      </c>
      <c r="D50" t="str">
        <f>IF(B50="","",IF(COUNTIF($B$6:$B$105,B50)&gt;1,"REVISAR: DUPLICADA","OK"))</f>
        <v/>
      </c>
      <c r="F50" t="str">
        <f>IF(H50="","","SUB-"&amp;TEXT(ROW()-5,"000"))</f>
        <v>SUB-045</v>
      </c>
      <c r="G50" t="str">
        <v>CAT-011</v>
      </c>
      <c r="H50" t="str">
        <v>Químicos</v>
      </c>
      <c r="I50" t="str">
        <v>Activo</v>
      </c>
      <c r="J50" t="str">
        <f>IF(H50="","",IF(COUNTIF($H$6:$H$305,H50)&gt;1,"REVISAR: DUPLICADA","OK"))</f>
        <v>OK</v>
      </c>
      <c r="L50" t="str">
        <v>CNT-045</v>
      </c>
      <c r="M50" t="str">
        <v>Activo</v>
      </c>
      <c r="N50" t="str">
        <v>Escoba de tipo 6 hilos. Presentación: 1 unidad.</v>
      </c>
      <c r="O50" t="str">
        <v>Escobas y escobillones. Accesorio resistente y práctico, pensado para facilitar las tareas de limpieza del hogar.</v>
      </c>
    </row>
    <row r="51">
      <c r="A51" t="str">
        <f>IF(B51="","","CAT-"&amp;TEXT(ROW()-5,"000"))</f>
        <v/>
      </c>
      <c r="D51" t="str">
        <f>IF(B51="","",IF(COUNTIF($B$6:$B$105,B51)&gt;1,"REVISAR: DUPLICADA","OK"))</f>
        <v/>
      </c>
      <c r="F51" t="str">
        <f>IF(H51="","","SUB-"&amp;TEXT(ROW()-5,"000"))</f>
        <v>SUB-046</v>
      </c>
      <c r="G51" t="str">
        <v>CAT-011</v>
      </c>
      <c r="H51" t="str">
        <v>Mangueras</v>
      </c>
      <c r="I51" t="str">
        <v>Activo</v>
      </c>
      <c r="J51" t="str">
        <f>IF(H51="","",IF(COUNTIF($H$6:$H$305,H51)&gt;1,"REVISAR: DUPLICADA","OK"))</f>
        <v>OK</v>
      </c>
      <c r="L51" t="str">
        <v>CNT-046</v>
      </c>
      <c r="M51" t="str">
        <v>Activo</v>
      </c>
      <c r="N51" t="str">
        <v>Escoba de tipo Americana. Presentación: 1 unidad.</v>
      </c>
      <c r="O51" t="str">
        <v>Escobas y escobillones. Accesorio resistente y práctico, pensado para facilitar las tareas de limpieza del hogar.</v>
      </c>
    </row>
    <row r="52">
      <c r="A52" t="str">
        <f>IF(B52="","","CAT-"&amp;TEXT(ROW()-5,"000"))</f>
        <v/>
      </c>
      <c r="D52" t="str">
        <f>IF(B52="","",IF(COUNTIF($B$6:$B$105,B52)&gt;1,"REVISAR: DUPLICADA","OK"))</f>
        <v/>
      </c>
      <c r="F52" t="str">
        <f>IF(H52="","","SUB-"&amp;TEXT(ROW()-5,"000"))</f>
        <v>SUB-047</v>
      </c>
      <c r="G52" t="str">
        <v>CAT-011</v>
      </c>
      <c r="H52" t="str">
        <v>Accesorios de pileta</v>
      </c>
      <c r="I52" t="str">
        <v>Activo</v>
      </c>
      <c r="J52" t="str">
        <f>IF(H52="","",IF(COUNTIF($H$6:$H$305,H52)&gt;1,"REVISAR: DUPLICADA","OK"))</f>
        <v>OK</v>
      </c>
      <c r="L52" t="str">
        <v>CNT-047</v>
      </c>
      <c r="M52" t="str">
        <v>Activo</v>
      </c>
      <c r="N52" t="str">
        <v>Escoba de tipo Capuchina. Presentación: 1 unidad.</v>
      </c>
      <c r="O52" t="str">
        <v>Escobas y escobillones. Accesorio resistente y práctico, pensado para facilitar las tareas de limpieza del hogar.</v>
      </c>
    </row>
    <row r="53">
      <c r="A53" t="str">
        <f>IF(B53="","","CAT-"&amp;TEXT(ROW()-5,"000"))</f>
        <v/>
      </c>
      <c r="D53" t="str">
        <f>IF(B53="","",IF(COUNTIF($B$6:$B$105,B53)&gt;1,"REVISAR: DUPLICADA","OK"))</f>
        <v/>
      </c>
      <c r="F53" t="str">
        <f>IF(H53="","","SUB-"&amp;TEXT(ROW()-5,"000"))</f>
        <v>SUB-048</v>
      </c>
      <c r="G53" t="str">
        <v>CAT-010</v>
      </c>
      <c r="H53" t="str">
        <v>Velas</v>
      </c>
      <c r="I53" t="str">
        <v>Activo</v>
      </c>
      <c r="J53" t="str">
        <f>IF(H53="","",IF(COUNTIF($H$6:$H$305,H53)&gt;1,"REVISAR: DUPLICADA","OK"))</f>
        <v>OK</v>
      </c>
      <c r="L53" t="str">
        <v>CNT-048</v>
      </c>
      <c r="M53" t="str">
        <v>Activo</v>
      </c>
      <c r="N53" t="str">
        <v>Escoba de tipo Barregrueso. Presentación: 1 unidad.</v>
      </c>
      <c r="O53" t="str">
        <v>Escobas y escobillones. Accesorio resistente y práctico, pensado para facilitar las tareas de limpieza del hogar.</v>
      </c>
    </row>
    <row r="54">
      <c r="A54" t="str">
        <f>IF(B54="","","CAT-"&amp;TEXT(ROW()-5,"000"))</f>
        <v/>
      </c>
      <c r="D54" t="str">
        <f>IF(B54="","",IF(COUNTIF($B$6:$B$105,B54)&gt;1,"REVISAR: DUPLICADA","OK"))</f>
        <v/>
      </c>
      <c r="F54" t="str">
        <f>IF(H54="","","SUB-"&amp;TEXT(ROW()-5,"000"))</f>
        <v>SUB-049</v>
      </c>
      <c r="G54" t="str">
        <v>CAT-010</v>
      </c>
      <c r="H54" t="str">
        <v>Papel y film</v>
      </c>
      <c r="I54" t="str">
        <v>Activo</v>
      </c>
      <c r="J54" t="str">
        <f>IF(H54="","",IF(COUNTIF($H$6:$H$305,H54)&gt;1,"REVISAR: DUPLICADA","OK"))</f>
        <v>OK</v>
      </c>
      <c r="L54" t="str">
        <v>CNT-049</v>
      </c>
      <c r="M54" t="str">
        <v>Activo</v>
      </c>
      <c r="N54" t="str">
        <v>Escobillon de tipo liso de Cerda. Presentación: 1 unidad.</v>
      </c>
      <c r="O54" t="str">
        <v>Escobas y escobillones. Accesorio resistente y práctico, pensado para facilitar las tareas de limpieza del hogar.</v>
      </c>
    </row>
    <row r="55">
      <c r="A55" t="str">
        <f>IF(B55="","","CAT-"&amp;TEXT(ROW()-5,"000"))</f>
        <v/>
      </c>
      <c r="D55" t="str">
        <f>IF(B55="","",IF(COUNTIF($B$6:$B$105,B55)&gt;1,"REVISAR: DUPLICADA","OK"))</f>
        <v/>
      </c>
      <c r="F55" t="str">
        <f>IF(H55="","","SUB-"&amp;TEXT(ROW()-5,"000"))</f>
        <v>SUB-050</v>
      </c>
      <c r="G55" t="str">
        <v>CAT-010</v>
      </c>
      <c r="H55" t="str">
        <v>Bolsas y freezer</v>
      </c>
      <c r="I55" t="str">
        <v>Activo</v>
      </c>
      <c r="J55" t="str">
        <f>IF(H55="","",IF(COUNTIF($H$6:$H$305,H55)&gt;1,"REVISAR: DUPLICADA","OK"))</f>
        <v>OK</v>
      </c>
      <c r="L55" t="str">
        <v>CNT-050</v>
      </c>
      <c r="M55" t="str">
        <v>Activo</v>
      </c>
      <c r="N55" t="str">
        <v>Escoba de tipo Galponera. Presentación: 1 unidad.</v>
      </c>
      <c r="O55" t="str">
        <v>Escobas y escobillones. Accesorio resistente y práctico, pensado para facilitar las tareas de limpieza del hogar.</v>
      </c>
    </row>
    <row r="56">
      <c r="A56" t="str">
        <f>IF(B56="","","CAT-"&amp;TEXT(ROW()-5,"000"))</f>
        <v/>
      </c>
      <c r="D56" t="str">
        <f>IF(B56="","",IF(COUNTIF($B$6:$B$105,B56)&gt;1,"REVISAR: DUPLICADA","OK"))</f>
        <v/>
      </c>
      <c r="F56" t="str">
        <f>IF(H56="","","SUB-"&amp;TEXT(ROW()-5,"000"))</f>
        <v>SUB-051</v>
      </c>
      <c r="G56" t="str">
        <v>CAT-010</v>
      </c>
      <c r="H56" t="str">
        <v>Varios</v>
      </c>
      <c r="I56" t="str">
        <v>Activo</v>
      </c>
      <c r="J56" t="str">
        <f>IF(H56="","",IF(COUNTIF($H$6:$H$305,H56)&gt;1,"REVISAR: DUPLICADA","OK"))</f>
        <v>OK</v>
      </c>
      <c r="L56" t="str">
        <v>CNT-051</v>
      </c>
      <c r="M56" t="str">
        <v>Activo</v>
      </c>
      <c r="N56" t="str">
        <v>Escobillon Rey Laqueado. Presentación: 1 unidad. Marca Rey Laqueado.</v>
      </c>
      <c r="O56" t="str">
        <v>Escobas y escobillones. Accesorio resistente y práctico, pensado para facilitar las tareas de limpieza del hogar.</v>
      </c>
    </row>
    <row r="57">
      <c r="A57" t="str">
        <f>IF(B57="","","CAT-"&amp;TEXT(ROW()-5,"000"))</f>
        <v/>
      </c>
      <c r="D57" t="str">
        <f>IF(B57="","",IF(COUNTIF($B$6:$B$105,B57)&gt;1,"REVISAR: DUPLICADA","OK"))</f>
        <v/>
      </c>
      <c r="F57" t="str">
        <f>IF(H57="","","SUB-"&amp;TEXT(ROW()-5,"000"))</f>
        <v>SUB-052</v>
      </c>
      <c r="G57" t="str">
        <v>CAT-001</v>
      </c>
      <c r="H57" t="str">
        <v>CIF</v>
      </c>
      <c r="I57" t="str">
        <v>Activo</v>
      </c>
      <c r="J57" t="str">
        <f>IF(H57="","",IF(COUNTIF($H$6:$H$305,H57)&gt;1,"REVISAR: DUPLICADA","OK"))</f>
        <v>OK</v>
      </c>
      <c r="L57" t="str">
        <v>CNT-052</v>
      </c>
      <c r="M57" t="str">
        <v>Activo</v>
      </c>
      <c r="N57" t="str">
        <v>Escobillon tipo princesa laqueado. Presentación: 1 unidad.</v>
      </c>
      <c r="O57" t="str">
        <v>Escobas y escobillones. Accesorio resistente y práctico, pensado para facilitar las tareas de limpieza del hogar.</v>
      </c>
    </row>
    <row r="58">
      <c r="A58" t="str">
        <f>IF(B58="","","CAT-"&amp;TEXT(ROW()-5,"000"))</f>
        <v/>
      </c>
      <c r="D58" t="str">
        <f>IF(B58="","",IF(COUNTIF($B$6:$B$105,B58)&gt;1,"REVISAR: DUPLICADA","OK"))</f>
        <v/>
      </c>
      <c r="F58" t="str">
        <f>IF(H58="","","SUB-"&amp;TEXT(ROW()-5,"000"))</f>
        <v/>
      </c>
      <c r="J58" t="str">
        <f>IF(H58="","",IF(COUNTIF($H$6:$H$305,H58)&gt;1,"REVISAR: DUPLICADA","OK"))</f>
        <v/>
      </c>
      <c r="L58" t="str">
        <v>CNT-053</v>
      </c>
      <c r="M58" t="str">
        <v>Activo</v>
      </c>
      <c r="N58" t="str">
        <v>Escobillon tipo barregrueso economico. Presentación: 1 unidad.</v>
      </c>
      <c r="O58" t="str">
        <v>Escobas y escobillones. Accesorio resistente y práctico, pensado para facilitar las tareas de limpieza del hogar.</v>
      </c>
    </row>
    <row r="59">
      <c r="A59" t="str">
        <f>IF(B59="","","CAT-"&amp;TEXT(ROW()-5,"000"))</f>
        <v/>
      </c>
      <c r="D59" t="str">
        <f>IF(B59="","",IF(COUNTIF($B$6:$B$105,B59)&gt;1,"REVISAR: DUPLICADA","OK"))</f>
        <v/>
      </c>
      <c r="F59" t="str">
        <f>IF(H59="","","SUB-"&amp;TEXT(ROW()-5,"000"))</f>
        <v/>
      </c>
      <c r="J59" t="str">
        <f>IF(H59="","",IF(COUNTIF($H$6:$H$305,H59)&gt;1,"REVISAR: DUPLICADA","OK"))</f>
        <v/>
      </c>
      <c r="L59" t="str">
        <v>CNT-054</v>
      </c>
      <c r="M59" t="str">
        <v>Activo</v>
      </c>
      <c r="N59" t="str">
        <v>Escobillon tipo barregrueso salzano. Presentación: 1 unidad.</v>
      </c>
      <c r="O59" t="str">
        <v>Escobas y escobillones. Accesorio resistente y práctico, pensado para facilitar las tareas de limpieza del hogar.</v>
      </c>
    </row>
    <row r="60">
      <c r="A60" t="str">
        <f>IF(B60="","","CAT-"&amp;TEXT(ROW()-5,"000"))</f>
        <v/>
      </c>
      <c r="D60" t="str">
        <f>IF(B60="","",IF(COUNTIF($B$6:$B$105,B60)&gt;1,"REVISAR: DUPLICADA","OK"))</f>
        <v/>
      </c>
      <c r="F60" t="str">
        <f>IF(H60="","","SUB-"&amp;TEXT(ROW()-5,"000"))</f>
        <v/>
      </c>
      <c r="J60" t="str">
        <f>IF(H60="","",IF(COUNTIF($H$6:$H$305,H60)&gt;1,"REVISAR: DUPLICADA","OK"))</f>
        <v/>
      </c>
      <c r="L60" t="str">
        <v>CNT-055</v>
      </c>
      <c r="M60" t="str">
        <v>Activo</v>
      </c>
      <c r="N60" t="str">
        <v>Escobillon de tipo gondola. Presentación: 1 unidad.</v>
      </c>
      <c r="O60" t="str">
        <v>Escobas y escobillones. Accesorio resistente y práctico, pensado para facilitar las tareas de limpieza del hogar.</v>
      </c>
    </row>
    <row r="61">
      <c r="A61" t="str">
        <f>IF(B61="","","CAT-"&amp;TEXT(ROW()-5,"000"))</f>
        <v/>
      </c>
      <c r="D61" t="str">
        <f>IF(B61="","",IF(COUNTIF($B$6:$B$105,B61)&gt;1,"REVISAR: DUPLICADA","OK"))</f>
        <v/>
      </c>
      <c r="F61" t="str">
        <f>IF(H61="","","SUB-"&amp;TEXT(ROW()-5,"000"))</f>
        <v/>
      </c>
      <c r="J61" t="str">
        <f>IF(H61="","",IF(COUNTIF($H$6:$H$305,H61)&gt;1,"REVISAR: DUPLICADA","OK"))</f>
        <v/>
      </c>
      <c r="L61" t="str">
        <v>CNT-056</v>
      </c>
      <c r="M61" t="str">
        <v>Activo</v>
      </c>
      <c r="N61" t="str">
        <v>Escobillon de tipo Barrendero Salzano. Presentación: 1 unidad.</v>
      </c>
      <c r="O61" t="str">
        <v>Escobas y escobillones. Accesorio resistente y práctico, pensado para facilitar las tareas de limpieza del hogar.</v>
      </c>
    </row>
    <row r="62">
      <c r="A62" t="str">
        <f>IF(B62="","","CAT-"&amp;TEXT(ROW()-5,"000"))</f>
        <v/>
      </c>
      <c r="D62" t="str">
        <f>IF(B62="","",IF(COUNTIF($B$6:$B$105,B62)&gt;1,"REVISAR: DUPLICADA","OK"))</f>
        <v/>
      </c>
      <c r="F62" t="str">
        <f>IF(H62="","","SUB-"&amp;TEXT(ROW()-5,"000"))</f>
        <v/>
      </c>
      <c r="J62" t="str">
        <f>IF(H62="","",IF(COUNTIF($H$6:$H$305,H62)&gt;1,"REVISAR: DUPLICADA","OK"))</f>
        <v/>
      </c>
      <c r="L62" t="str">
        <v>CNT-057</v>
      </c>
      <c r="M62" t="str">
        <v>Activo</v>
      </c>
      <c r="N62" t="str">
        <v>Escobillon bigote (cerda) Salzano. Presentación: 1 unidad.</v>
      </c>
      <c r="O62" t="str">
        <v>Escobas y escobillones. Accesorio resistente y práctico, pensado para facilitar las tareas de limpieza del hogar.</v>
      </c>
    </row>
    <row r="63">
      <c r="A63" t="str">
        <f>IF(B63="","","CAT-"&amp;TEXT(ROW()-5,"000"))</f>
        <v/>
      </c>
      <c r="D63" t="str">
        <f>IF(B63="","",IF(COUNTIF($B$6:$B$105,B63)&gt;1,"REVISAR: DUPLICADA","OK"))</f>
        <v/>
      </c>
      <c r="F63" t="str">
        <f>IF(H63="","","SUB-"&amp;TEXT(ROW()-5,"000"))</f>
        <v/>
      </c>
      <c r="J63" t="str">
        <f>IF(H63="","",IF(COUNTIF($H$6:$H$305,H63)&gt;1,"REVISAR: DUPLICADA","OK"))</f>
        <v/>
      </c>
      <c r="L63" t="str">
        <v>CNT-058</v>
      </c>
      <c r="M63" t="str">
        <v>Activo</v>
      </c>
      <c r="N63" t="str">
        <v>Escobillon de tipo golf. Presentación: 1 unidad.</v>
      </c>
      <c r="O63" t="str">
        <v>Escobas y escobillones. Accesorio resistente y práctico, pensado para facilitar las tareas de limpieza del hogar.</v>
      </c>
    </row>
    <row r="64">
      <c r="A64" t="str">
        <f>IF(B64="","","CAT-"&amp;TEXT(ROW()-5,"000"))</f>
        <v/>
      </c>
      <c r="D64" t="str">
        <f>IF(B64="","",IF(COUNTIF($B$6:$B$105,B64)&gt;1,"REVISAR: DUPLICADA","OK"))</f>
        <v/>
      </c>
      <c r="F64" t="str">
        <f>IF(H64="","","SUB-"&amp;TEXT(ROW()-5,"000"))</f>
        <v/>
      </c>
      <c r="J64" t="str">
        <f>IF(H64="","",IF(COUNTIF($H$6:$H$305,H64)&gt;1,"REVISAR: DUPLICADA","OK"))</f>
        <v/>
      </c>
      <c r="L64" t="str">
        <v>CNT-059</v>
      </c>
      <c r="M64" t="str">
        <v>Activo</v>
      </c>
      <c r="N64" t="str">
        <v>Escobillon Italia Salzano. Presentación: 1 unidad.</v>
      </c>
      <c r="O64" t="str">
        <v>Escobas y escobillones. Accesorio resistente y práctico, pensado para facilitar las tareas de limpieza del hogar.</v>
      </c>
    </row>
    <row r="65">
      <c r="A65" t="str">
        <f>IF(B65="","","CAT-"&amp;TEXT(ROW()-5,"000"))</f>
        <v/>
      </c>
      <c r="D65" t="str">
        <f>IF(B65="","",IF(COUNTIF($B$6:$B$105,B65)&gt;1,"REVISAR: DUPLICADA","OK"))</f>
        <v/>
      </c>
      <c r="F65" t="str">
        <f>IF(H65="","","SUB-"&amp;TEXT(ROW()-5,"000"))</f>
        <v/>
      </c>
      <c r="J65" t="str">
        <f>IF(H65="","",IF(COUNTIF($H$6:$H$305,H65)&gt;1,"REVISAR: DUPLICADA","OK"))</f>
        <v/>
      </c>
      <c r="L65" t="str">
        <v>CNT-060</v>
      </c>
      <c r="M65" t="str">
        <v>Activo</v>
      </c>
      <c r="N65" t="str">
        <v>Escobillon Martina Salzano. Presentación: 1 unidad.</v>
      </c>
      <c r="O65" t="str">
        <v>Escobas y escobillones. Accesorio resistente y práctico, pensado para facilitar las tareas de limpieza del hogar.</v>
      </c>
    </row>
    <row r="66">
      <c r="A66" t="str">
        <f>IF(B66="","","CAT-"&amp;TEXT(ROW()-5,"000"))</f>
        <v/>
      </c>
      <c r="D66" t="str">
        <f>IF(B66="","",IF(COUNTIF($B$6:$B$105,B66)&gt;1,"REVISAR: DUPLICADA","OK"))</f>
        <v/>
      </c>
      <c r="F66" t="str">
        <f>IF(H66="","","SUB-"&amp;TEXT(ROW()-5,"000"))</f>
        <v/>
      </c>
      <c r="J66" t="str">
        <f>IF(H66="","",IF(COUNTIF($H$6:$H$305,H66)&gt;1,"REVISAR: DUPLICADA","OK"))</f>
        <v/>
      </c>
      <c r="L66" t="str">
        <v>CNT-061</v>
      </c>
      <c r="M66" t="str">
        <v>Activo</v>
      </c>
      <c r="N66" t="str">
        <v>Escobillon Super Gondola. Presentación: 1 unidad.</v>
      </c>
      <c r="O66" t="str">
        <v>Escobas y escobillones. Accesorio resistente y práctico, pensado para facilitar las tareas de limpieza del hogar.</v>
      </c>
    </row>
    <row r="67">
      <c r="A67" t="str">
        <f>IF(B67="","","CAT-"&amp;TEXT(ROW()-5,"000"))</f>
        <v/>
      </c>
      <c r="D67" t="str">
        <f>IF(B67="","",IF(COUNTIF($B$6:$B$105,B67)&gt;1,"REVISAR: DUPLICADA","OK"))</f>
        <v/>
      </c>
      <c r="F67" t="str">
        <f>IF(H67="","","SUB-"&amp;TEXT(ROW()-5,"000"))</f>
        <v/>
      </c>
      <c r="J67" t="str">
        <f>IF(H67="","",IF(COUNTIF($H$6:$H$305,H67)&gt;1,"REVISAR: DUPLICADA","OK"))</f>
        <v/>
      </c>
      <c r="L67" t="str">
        <v>CNT-062</v>
      </c>
      <c r="M67" t="str">
        <v>Activo</v>
      </c>
      <c r="N67" t="str">
        <v>Escobillon Super Panda. Presentación: 1 unidad.</v>
      </c>
      <c r="O67" t="str">
        <v>Escobas y escobillones. Accesorio resistente y práctico, pensado para facilitar las tareas de limpieza del hogar.</v>
      </c>
    </row>
    <row r="68">
      <c r="A68" t="str">
        <f>IF(B68="","","CAT-"&amp;TEXT(ROW()-5,"000"))</f>
        <v/>
      </c>
      <c r="D68" t="str">
        <f>IF(B68="","",IF(COUNTIF($B$6:$B$105,B68)&gt;1,"REVISAR: DUPLICADA","OK"))</f>
        <v/>
      </c>
      <c r="F68" t="str">
        <f>IF(H68="","","SUB-"&amp;TEXT(ROW()-5,"000"))</f>
        <v/>
      </c>
      <c r="J68" t="str">
        <f>IF(H68="","",IF(COUNTIF($H$6:$H$305,H68)&gt;1,"REVISAR: DUPLICADA","OK"))</f>
        <v/>
      </c>
      <c r="L68" t="str">
        <v>CNT-063</v>
      </c>
      <c r="M68" t="str">
        <v>Activo</v>
      </c>
      <c r="N68" t="str">
        <v>Escobillon Venecia Salzano. Presentación: 1 unidad.</v>
      </c>
      <c r="O68" t="str">
        <v>Escobas y escobillones. Accesorio resistente y práctico, pensado para facilitar las tareas de limpieza del hogar.</v>
      </c>
    </row>
    <row r="69">
      <c r="A69" t="str">
        <f>IF(B69="","","CAT-"&amp;TEXT(ROW()-5,"000"))</f>
        <v/>
      </c>
      <c r="D69" t="str">
        <f>IF(B69="","",IF(COUNTIF($B$6:$B$105,B69)&gt;1,"REVISAR: DUPLICADA","OK"))</f>
        <v/>
      </c>
      <c r="F69" t="str">
        <f>IF(H69="","","SUB-"&amp;TEXT(ROW()-5,"000"))</f>
        <v/>
      </c>
      <c r="J69" t="str">
        <f>IF(H69="","",IF(COUNTIF($H$6:$H$305,H69)&gt;1,"REVISAR: DUPLICADA","OK"))</f>
        <v/>
      </c>
      <c r="L69" t="str">
        <v>CNT-064</v>
      </c>
      <c r="M69" t="str">
        <v>Activo</v>
      </c>
      <c r="N69" t="str">
        <v>Globo de Techo Make. Presentación: 1 unidad.</v>
      </c>
      <c r="O69" t="str">
        <v>Escobas y escobillones. Accesorio resistente y práctico, pensado para facilitar las tareas de limpieza del hogar.</v>
      </c>
    </row>
    <row r="70">
      <c r="A70" t="str">
        <f>IF(B70="","","CAT-"&amp;TEXT(ROW()-5,"000"))</f>
        <v/>
      </c>
      <c r="D70" t="str">
        <f>IF(B70="","",IF(COUNTIF($B$6:$B$105,B70)&gt;1,"REVISAR: DUPLICADA","OK"))</f>
        <v/>
      </c>
      <c r="F70" t="str">
        <f>IF(H70="","","SUB-"&amp;TEXT(ROW()-5,"000"))</f>
        <v/>
      </c>
      <c r="J70" t="str">
        <f>IF(H70="","",IF(COUNTIF($H$6:$H$305,H70)&gt;1,"REVISAR: DUPLICADA","OK"))</f>
        <v/>
      </c>
      <c r="L70" t="str">
        <v>CNT-065</v>
      </c>
      <c r="M70" t="str">
        <v>Activo</v>
      </c>
      <c r="N70" t="str">
        <v>Globo de Techo Punky. Presentación: 1 unidad.</v>
      </c>
      <c r="O70" t="str">
        <v>Escobas y escobillones. Accesorio resistente y práctico, pensado para facilitar las tareas de limpieza del hogar.</v>
      </c>
    </row>
    <row r="71">
      <c r="A71" t="str">
        <f>IF(B71="","","CAT-"&amp;TEXT(ROW()-5,"000"))</f>
        <v/>
      </c>
      <c r="D71" t="str">
        <f>IF(B71="","",IF(COUNTIF($B$6:$B$105,B71)&gt;1,"REVISAR: DUPLICADA","OK"))</f>
        <v/>
      </c>
      <c r="F71" t="str">
        <f>IF(H71="","","SUB-"&amp;TEXT(ROW()-5,"000"))</f>
        <v/>
      </c>
      <c r="J71" t="str">
        <f>IF(H71="","",IF(COUNTIF($H$6:$H$305,H71)&gt;1,"REVISAR: DUPLICADA","OK"))</f>
        <v/>
      </c>
      <c r="L71" t="str">
        <v>CNT-066</v>
      </c>
      <c r="M71" t="str">
        <v>Activo</v>
      </c>
      <c r="N71" t="str">
        <v>Repuesto barredor. Presentación: 1 unidad.</v>
      </c>
      <c r="O71" t="str">
        <v>Escobas y escobillones. Accesorio resistente y práctico, pensado para facilitar las tareas de limpieza del hogar.</v>
      </c>
    </row>
    <row r="72">
      <c r="A72" t="str">
        <f>IF(B72="","","CAT-"&amp;TEXT(ROW()-5,"000"))</f>
        <v/>
      </c>
      <c r="D72" t="str">
        <f>IF(B72="","",IF(COUNTIF($B$6:$B$105,B72)&gt;1,"REVISAR: DUPLICADA","OK"))</f>
        <v/>
      </c>
      <c r="F72" t="str">
        <f>IF(H72="","","SUB-"&amp;TEXT(ROW()-5,"000"))</f>
        <v/>
      </c>
      <c r="J72" t="str">
        <f>IF(H72="","",IF(COUNTIF($H$6:$H$305,H72)&gt;1,"REVISAR: DUPLICADA","OK"))</f>
        <v/>
      </c>
      <c r="L72" t="str">
        <v>CNT-067</v>
      </c>
      <c r="M72" t="str">
        <v>Activo</v>
      </c>
      <c r="N72" t="str">
        <v>Quita Pelusa Make. Presentación: 1 unidad.</v>
      </c>
      <c r="O72" t="str">
        <v>Escobas y escobillones. Accesorio resistente y práctico, pensado para facilitar las tareas de limpieza del hogar.</v>
      </c>
    </row>
    <row r="73">
      <c r="A73" t="str">
        <f>IF(B73="","","CAT-"&amp;TEXT(ROW()-5,"000"))</f>
        <v/>
      </c>
      <c r="D73" t="str">
        <f>IF(B73="","",IF(COUNTIF($B$6:$B$105,B73)&gt;1,"REVISAR: DUPLICADA","OK"))</f>
        <v/>
      </c>
      <c r="F73" t="str">
        <f>IF(H73="","","SUB-"&amp;TEXT(ROW()-5,"000"))</f>
        <v/>
      </c>
      <c r="J73" t="str">
        <f>IF(H73="","",IF(COUNTIF($H$6:$H$305,H73)&gt;1,"REVISAR: DUPLICADA","OK"))</f>
        <v/>
      </c>
      <c r="L73" t="str">
        <v>CNT-068</v>
      </c>
      <c r="M73" t="str">
        <v>Activo</v>
      </c>
      <c r="N73" t="str">
        <v>Limpiador Tipo "Bruja". Presentación: 1 unidad.</v>
      </c>
      <c r="O73" t="str">
        <v>Bruja. Cuida y da brillo a las superficies del vehículo, prolongando su buen aspecto.</v>
      </c>
    </row>
    <row r="74">
      <c r="A74" t="str">
        <f>IF(B74="","","CAT-"&amp;TEXT(ROW()-5,"000"))</f>
        <v/>
      </c>
      <c r="D74" t="str">
        <f>IF(B74="","",IF(COUNTIF($B$6:$B$105,B74)&gt;1,"REVISAR: DUPLICADA","OK"))</f>
        <v/>
      </c>
      <c r="F74" t="str">
        <f>IF(H74="","","SUB-"&amp;TEXT(ROW()-5,"000"))</f>
        <v/>
      </c>
      <c r="J74" t="str">
        <f>IF(H74="","",IF(COUNTIF($H$6:$H$305,H74)&gt;1,"REVISAR: DUPLICADA","OK"))</f>
        <v/>
      </c>
      <c r="L74" t="str">
        <v>CNT-069</v>
      </c>
      <c r="M74" t="str">
        <v>Activo</v>
      </c>
      <c r="N74" t="str">
        <v>Esponja para auto. Presentación: 1 unidad.</v>
      </c>
      <c r="O74" t="str">
        <v>Esponja. Cuida y da brillo a las superficies del vehículo, prolongando su buen aspecto.</v>
      </c>
    </row>
    <row r="75">
      <c r="A75" t="str">
        <f>IF(B75="","","CAT-"&amp;TEXT(ROW()-5,"000"))</f>
        <v/>
      </c>
      <c r="D75" t="str">
        <f>IF(B75="","",IF(COUNTIF($B$6:$B$105,B75)&gt;1,"REVISAR: DUPLICADA","OK"))</f>
        <v/>
      </c>
      <c r="F75" t="str">
        <f>IF(H75="","","SUB-"&amp;TEXT(ROW()-5,"000"))</f>
        <v/>
      </c>
      <c r="J75" t="str">
        <f>IF(H75="","",IF(COUNTIF($H$6:$H$305,H75)&gt;1,"REVISAR: DUPLICADA","OK"))</f>
        <v/>
      </c>
      <c r="L75" t="str">
        <v>CNT-070</v>
      </c>
      <c r="M75" t="str">
        <v>Activo</v>
      </c>
      <c r="N75" t="str">
        <v>Silicona para auto por litro. Presentación: 1 unidad.</v>
      </c>
      <c r="O75" t="str">
        <v>Silicona. Cuida y da brillo a las superficies del vehículo, prolongando su buen aspecto.</v>
      </c>
    </row>
    <row r="76">
      <c r="A76" t="str">
        <f>IF(B76="","","CAT-"&amp;TEXT(ROW()-5,"000"))</f>
        <v/>
      </c>
      <c r="D76" t="str">
        <f>IF(B76="","",IF(COUNTIF($B$6:$B$105,B76)&gt;1,"REVISAR: DUPLICADA","OK"))</f>
        <v/>
      </c>
      <c r="F76" t="str">
        <f>IF(H76="","","SUB-"&amp;TEXT(ROW()-5,"000"))</f>
        <v/>
      </c>
      <c r="J76" t="str">
        <f>IF(H76="","",IF(COUNTIF($H$6:$H$305,H76)&gt;1,"REVISAR: DUPLICADA","OK"))</f>
        <v/>
      </c>
      <c r="L76" t="str">
        <v>CNT-071</v>
      </c>
      <c r="M76" t="str">
        <v>Activo</v>
      </c>
      <c r="N76" t="str">
        <v>Silicona en Aerosol. Presentación: 1 unidad. Marca Walker. Fragancia: Black.</v>
      </c>
      <c r="O76" t="str">
        <v>Silicona en Aerosol. Cuida y da brillo a las superficies del vehículo, prolongando su buen aspecto.</v>
      </c>
    </row>
    <row r="77">
      <c r="A77" t="str">
        <f>IF(B77="","","CAT-"&amp;TEXT(ROW()-5,"000"))</f>
        <v/>
      </c>
      <c r="D77" t="str">
        <f>IF(B77="","",IF(COUNTIF($B$6:$B$105,B77)&gt;1,"REVISAR: DUPLICADA","OK"))</f>
        <v/>
      </c>
      <c r="F77" t="str">
        <f>IF(H77="","","SUB-"&amp;TEXT(ROW()-5,"000"))</f>
        <v/>
      </c>
      <c r="J77" t="str">
        <f>IF(H77="","",IF(COUNTIF($H$6:$H$305,H77)&gt;1,"REVISAR: DUPLICADA","OK"))</f>
        <v/>
      </c>
      <c r="L77" t="str">
        <v>CNT-072</v>
      </c>
      <c r="M77" t="str">
        <v>Activo</v>
      </c>
      <c r="N77" t="str">
        <v>Silicona en Aerosol. Presentación: 1 unidad. Marca Walker. Fragancia: Carolina Herrera.</v>
      </c>
      <c r="O77" t="str">
        <v>Silicona en Aerosol. Cuida y da brillo a las superficies del vehículo, prolongando su buen aspecto.</v>
      </c>
    </row>
    <row r="78">
      <c r="A78" t="str">
        <f>IF(B78="","","CAT-"&amp;TEXT(ROW()-5,"000"))</f>
        <v/>
      </c>
      <c r="D78" t="str">
        <f>IF(B78="","",IF(COUNTIF($B$6:$B$105,B78)&gt;1,"REVISAR: DUPLICADA","OK"))</f>
        <v/>
      </c>
      <c r="F78" t="str">
        <f>IF(H78="","","SUB-"&amp;TEXT(ROW()-5,"000"))</f>
        <v/>
      </c>
      <c r="J78" t="str">
        <f>IF(H78="","",IF(COUNTIF($H$6:$H$305,H78)&gt;1,"REVISAR: DUPLICADA","OK"))</f>
        <v/>
      </c>
      <c r="L78" t="str">
        <v>CNT-073</v>
      </c>
      <c r="M78" t="str">
        <v>Activo</v>
      </c>
      <c r="N78" t="str">
        <v>Silicona en Aerosol. Presentación: 1 unidad. Marca Walker. Fragancia: Frutilla.</v>
      </c>
      <c r="O78" t="str">
        <v>Silicona en Aerosol. Cuida y da brillo a las superficies del vehículo, prolongando su buen aspecto.</v>
      </c>
    </row>
    <row r="79">
      <c r="A79" t="str">
        <f>IF(B79="","","CAT-"&amp;TEXT(ROW()-5,"000"))</f>
        <v/>
      </c>
      <c r="D79" t="str">
        <f>IF(B79="","",IF(COUNTIF($B$6:$B$105,B79)&gt;1,"REVISAR: DUPLICADA","OK"))</f>
        <v/>
      </c>
      <c r="F79" t="str">
        <f>IF(H79="","","SUB-"&amp;TEXT(ROW()-5,"000"))</f>
        <v/>
      </c>
      <c r="J79" t="str">
        <f>IF(H79="","",IF(COUNTIF($H$6:$H$305,H79)&gt;1,"REVISAR: DUPLICADA","OK"))</f>
        <v/>
      </c>
      <c r="L79" t="str">
        <v>CNT-074</v>
      </c>
      <c r="M79" t="str">
        <v>Activo</v>
      </c>
      <c r="N79" t="str">
        <v>Silicona en Aerosol. Presentación: 1 unidad. Marca Walker. Fragancia: Kenzo.</v>
      </c>
      <c r="O79" t="str">
        <v>Silicona en Aerosol. Cuida y da brillo a las superficies del vehículo, prolongando su buen aspecto.</v>
      </c>
    </row>
    <row r="80">
      <c r="A80" t="str">
        <f>IF(B80="","","CAT-"&amp;TEXT(ROW()-5,"000"))</f>
        <v/>
      </c>
      <c r="D80" t="str">
        <f>IF(B80="","",IF(COUNTIF($B$6:$B$105,B80)&gt;1,"REVISAR: DUPLICADA","OK"))</f>
        <v/>
      </c>
      <c r="F80" t="str">
        <f>IF(H80="","","SUB-"&amp;TEXT(ROW()-5,"000"))</f>
        <v/>
      </c>
      <c r="J80" t="str">
        <f>IF(H80="","",IF(COUNTIF($H$6:$H$305,H80)&gt;1,"REVISAR: DUPLICADA","OK"))</f>
        <v/>
      </c>
      <c r="L80" t="str">
        <v>CNT-075</v>
      </c>
      <c r="M80" t="str">
        <v>Activo</v>
      </c>
      <c r="N80" t="str">
        <v>Silicona en Aerosol. Presentación: 1 unidad. Marca Walker. Fragancia: Lavanda.</v>
      </c>
      <c r="O80" t="str">
        <v>Silicona en Aerosol. Cuida y da brillo a las superficies del vehículo, prolongando su buen aspecto.</v>
      </c>
    </row>
    <row r="81">
      <c r="A81" t="str">
        <f>IF(B81="","","CAT-"&amp;TEXT(ROW()-5,"000"))</f>
        <v/>
      </c>
      <c r="D81" t="str">
        <f>IF(B81="","",IF(COUNTIF($B$6:$B$105,B81)&gt;1,"REVISAR: DUPLICADA","OK"))</f>
        <v/>
      </c>
      <c r="F81" t="str">
        <f>IF(H81="","","SUB-"&amp;TEXT(ROW()-5,"000"))</f>
        <v/>
      </c>
      <c r="J81" t="str">
        <f>IF(H81="","",IF(COUNTIF($H$6:$H$305,H81)&gt;1,"REVISAR: DUPLICADA","OK"))</f>
        <v/>
      </c>
      <c r="L81" t="str">
        <v>CNT-076</v>
      </c>
      <c r="M81" t="str">
        <v>Activo</v>
      </c>
      <c r="N81" t="str">
        <v>Silicona en Aerosol. Presentación: 1 unidad. Marca Walker. Fragancia: One Million.</v>
      </c>
      <c r="O81" t="str">
        <v>Silicona en Aerosol. Cuida y da brillo a las superficies del vehículo, prolongando su buen aspecto.</v>
      </c>
    </row>
    <row r="82">
      <c r="A82" t="str">
        <f>IF(B82="","","CAT-"&amp;TEXT(ROW()-5,"000"))</f>
        <v/>
      </c>
      <c r="D82" t="str">
        <f>IF(B82="","",IF(COUNTIF($B$6:$B$105,B82)&gt;1,"REVISAR: DUPLICADA","OK"))</f>
        <v/>
      </c>
      <c r="F82" t="str">
        <f>IF(H82="","","SUB-"&amp;TEXT(ROW()-5,"000"))</f>
        <v/>
      </c>
      <c r="J82" t="str">
        <f>IF(H82="","",IF(COUNTIF($H$6:$H$305,H82)&gt;1,"REVISAR: DUPLICADA","OK"))</f>
        <v/>
      </c>
      <c r="L82" t="str">
        <v>CNT-077</v>
      </c>
      <c r="M82" t="str">
        <v>Activo</v>
      </c>
      <c r="N82" t="str">
        <v>Silicona en Aerosol. Presentación: 1 unidad. Marca Walker. Fragancia: Paco rabanne.</v>
      </c>
      <c r="O82" t="str">
        <v>Silicona en Aerosol. Cuida y da brillo a las superficies del vehículo, prolongando su buen aspecto.</v>
      </c>
    </row>
    <row r="83">
      <c r="A83" t="str">
        <f>IF(B83="","","CAT-"&amp;TEXT(ROW()-5,"000"))</f>
        <v/>
      </c>
      <c r="D83" t="str">
        <f>IF(B83="","",IF(COUNTIF($B$6:$B$105,B83)&gt;1,"REVISAR: DUPLICADA","OK"))</f>
        <v/>
      </c>
      <c r="F83" t="str">
        <f>IF(H83="","","SUB-"&amp;TEXT(ROW()-5,"000"))</f>
        <v/>
      </c>
      <c r="J83" t="str">
        <f>IF(H83="","",IF(COUNTIF($H$6:$H$305,H83)&gt;1,"REVISAR: DUPLICADA","OK"))</f>
        <v/>
      </c>
      <c r="L83" t="str">
        <v>CNT-078</v>
      </c>
      <c r="M83" t="str">
        <v>Activo</v>
      </c>
      <c r="N83" t="str">
        <v>Silicona en Aerosol. Presentación: 1 unidad. Marca Walker. Fragancia: Sensual.</v>
      </c>
      <c r="O83" t="str">
        <v>Silicona en Aerosol. Cuida y da brillo a las superficies del vehículo, prolongando su buen aspecto.</v>
      </c>
    </row>
    <row r="84">
      <c r="A84" t="str">
        <f>IF(B84="","","CAT-"&amp;TEXT(ROW()-5,"000"))</f>
        <v/>
      </c>
      <c r="D84" t="str">
        <f>IF(B84="","",IF(COUNTIF($B$6:$B$105,B84)&gt;1,"REVISAR: DUPLICADA","OK"))</f>
        <v/>
      </c>
      <c r="F84" t="str">
        <f>IF(H84="","","SUB-"&amp;TEXT(ROW()-5,"000"))</f>
        <v/>
      </c>
      <c r="J84" t="str">
        <f>IF(H84="","",IF(COUNTIF($H$6:$H$305,H84)&gt;1,"REVISAR: DUPLICADA","OK"))</f>
        <v/>
      </c>
      <c r="L84" t="str">
        <v>CNT-079</v>
      </c>
      <c r="M84" t="str">
        <v>Activo</v>
      </c>
      <c r="N84" t="str">
        <v>Silicona en Aerosol. Presentación: 1 unidad. Marca Walker. Fragancia: Vainilla.</v>
      </c>
      <c r="O84" t="str">
        <v>Silicona en Aerosol. Cuida y da brillo a las superficies del vehículo, prolongando su buen aspecto.</v>
      </c>
    </row>
    <row r="85">
      <c r="A85" t="str">
        <f>IF(B85="","","CAT-"&amp;TEXT(ROW()-5,"000"))</f>
        <v/>
      </c>
      <c r="D85" t="str">
        <f>IF(B85="","",IF(COUNTIF($B$6:$B$105,B85)&gt;1,"REVISAR: DUPLICADA","OK"))</f>
        <v/>
      </c>
      <c r="F85" t="str">
        <f>IF(H85="","","SUB-"&amp;TEXT(ROW()-5,"000"))</f>
        <v/>
      </c>
      <c r="J85" t="str">
        <f>IF(H85="","",IF(COUNTIF($H$6:$H$305,H85)&gt;1,"REVISAR: DUPLICADA","OK"))</f>
        <v/>
      </c>
      <c r="L85" t="str">
        <v>CNT-080</v>
      </c>
      <c r="M85" t="str">
        <v>Activo</v>
      </c>
      <c r="N85" t="str">
        <v>Shampoo Siliconado por litro. Presentación: 1 unidad.</v>
      </c>
      <c r="O85" t="str">
        <v>Shampoo Siliconado. Cuida y da brillo a las superficies del vehículo, prolongando su buen aspecto.</v>
      </c>
    </row>
    <row r="86">
      <c r="A86" t="str">
        <f>IF(B86="","","CAT-"&amp;TEXT(ROW()-5,"000"))</f>
        <v/>
      </c>
      <c r="D86" t="str">
        <f>IF(B86="","",IF(COUNTIF($B$6:$B$105,B86)&gt;1,"REVISAR: DUPLICADA","OK"))</f>
        <v/>
      </c>
      <c r="F86" t="str">
        <f>IF(H86="","","SUB-"&amp;TEXT(ROW()-5,"000"))</f>
        <v/>
      </c>
      <c r="J86" t="str">
        <f>IF(H86="","",IF(COUNTIF($H$6:$H$305,H86)&gt;1,"REVISAR: DUPLICADA","OK"))</f>
        <v/>
      </c>
      <c r="L86" t="str">
        <v>CNT-081</v>
      </c>
      <c r="M86" t="str">
        <v>Activo</v>
      </c>
      <c r="N86" t="str">
        <v>Mini Lata Walker para auto. Presentación: 1 unidad. Marca Walker. Fragancia: universal.</v>
      </c>
      <c r="O86" t="str">
        <v>Mini Lata Walker. Cuida y da brillo a las superficies del vehículo, prolongando su buen aspecto.</v>
      </c>
    </row>
    <row r="87">
      <c r="A87" t="str">
        <f>IF(B87="","","CAT-"&amp;TEXT(ROW()-5,"000"))</f>
        <v/>
      </c>
      <c r="D87" t="str">
        <f>IF(B87="","",IF(COUNTIF($B$6:$B$105,B87)&gt;1,"REVISAR: DUPLICADA","OK"))</f>
        <v/>
      </c>
      <c r="F87" t="str">
        <f>IF(H87="","","SUB-"&amp;TEXT(ROW()-5,"000"))</f>
        <v/>
      </c>
      <c r="J87" t="str">
        <f>IF(H87="","",IF(COUNTIF($H$6:$H$305,H87)&gt;1,"REVISAR: DUPLICADA","OK"))</f>
        <v/>
      </c>
      <c r="L87" t="str">
        <v>CNT-082</v>
      </c>
      <c r="M87" t="str">
        <v>Activo</v>
      </c>
      <c r="N87" t="str">
        <v>Perfume en Lata Walker. Presentación: 1 unidad. Marca Walker. Fragancia: Black.</v>
      </c>
      <c r="O87" t="str">
        <v>Perfume en Lata Walker. Cuida y da brillo a las superficies del vehículo, prolongando su buen aspecto.</v>
      </c>
    </row>
    <row r="88">
      <c r="A88" t="str">
        <f>IF(B88="","","CAT-"&amp;TEXT(ROW()-5,"000"))</f>
        <v/>
      </c>
      <c r="D88" t="str">
        <f>IF(B88="","",IF(COUNTIF($B$6:$B$105,B88)&gt;1,"REVISAR: DUPLICADA","OK"))</f>
        <v/>
      </c>
      <c r="F88" t="str">
        <f>IF(H88="","","SUB-"&amp;TEXT(ROW()-5,"000"))</f>
        <v/>
      </c>
      <c r="J88" t="str">
        <f>IF(H88="","",IF(COUNTIF($H$6:$H$305,H88)&gt;1,"REVISAR: DUPLICADA","OK"))</f>
        <v/>
      </c>
      <c r="L88" t="str">
        <v>CNT-083</v>
      </c>
      <c r="M88" t="str">
        <v>Activo</v>
      </c>
      <c r="N88" t="str">
        <v>Perfume en Lata Walker. Presentación: 1 unidad. Marca Walker. Fragancia: Frutilla.</v>
      </c>
      <c r="O88" t="str">
        <v>Perfume en Lata Walker. Cuida y da brillo a las superficies del vehículo, prolongando su buen aspecto.</v>
      </c>
    </row>
    <row r="89">
      <c r="A89" t="str">
        <f>IF(B89="","","CAT-"&amp;TEXT(ROW()-5,"000"))</f>
        <v/>
      </c>
      <c r="D89" t="str">
        <f>IF(B89="","",IF(COUNTIF($B$6:$B$105,B89)&gt;1,"REVISAR: DUPLICADA","OK"))</f>
        <v/>
      </c>
      <c r="F89" t="str">
        <f>IF(H89="","","SUB-"&amp;TEXT(ROW()-5,"000"))</f>
        <v/>
      </c>
      <c r="J89" t="str">
        <f>IF(H89="","",IF(COUNTIF($H$6:$H$305,H89)&gt;1,"REVISAR: DUPLICADA","OK"))</f>
        <v/>
      </c>
      <c r="L89" t="str">
        <v>CNT-084</v>
      </c>
      <c r="M89" t="str">
        <v>Activo</v>
      </c>
      <c r="N89" t="str">
        <v>Perfume en Lata Walker. Presentación: 1 unidad. Marca Walker. Fragancia: Limon.</v>
      </c>
      <c r="O89" t="str">
        <v>Perfume en Lata Walker. Cuida y da brillo a las superficies del vehículo, prolongando su buen aspecto.</v>
      </c>
    </row>
    <row r="90">
      <c r="A90" t="str">
        <f>IF(B90="","","CAT-"&amp;TEXT(ROW()-5,"000"))</f>
        <v/>
      </c>
      <c r="D90" t="str">
        <f>IF(B90="","",IF(COUNTIF($B$6:$B$105,B90)&gt;1,"REVISAR: DUPLICADA","OK"))</f>
        <v/>
      </c>
      <c r="F90" t="str">
        <f>IF(H90="","","SUB-"&amp;TEXT(ROW()-5,"000"))</f>
        <v/>
      </c>
      <c r="J90" t="str">
        <f>IF(H90="","",IF(COUNTIF($H$6:$H$305,H90)&gt;1,"REVISAR: DUPLICADA","OK"))</f>
        <v/>
      </c>
      <c r="L90" t="str">
        <v>CNT-085</v>
      </c>
      <c r="M90" t="str">
        <v>Activo</v>
      </c>
      <c r="N90" t="str">
        <v>Perfume en Lata Walker. Presentación: 1 unidad. Marca Walker. Fragancia: Vainilla.</v>
      </c>
      <c r="O90" t="str">
        <v>Perfume en Lata Walker. Cuida y da brillo a las superficies del vehículo, prolongando su buen aspecto.</v>
      </c>
    </row>
    <row r="91">
      <c r="A91" t="str">
        <f>IF(B91="","","CAT-"&amp;TEXT(ROW()-5,"000"))</f>
        <v/>
      </c>
      <c r="D91" t="str">
        <f>IF(B91="","",IF(COUNTIF($B$6:$B$105,B91)&gt;1,"REVISAR: DUPLICADA","OK"))</f>
        <v/>
      </c>
      <c r="F91" t="str">
        <f>IF(H91="","","SUB-"&amp;TEXT(ROW()-5,"000"))</f>
        <v/>
      </c>
      <c r="J91" t="str">
        <f>IF(H91="","",IF(COUNTIF($H$6:$H$305,H91)&gt;1,"REVISAR: DUPLICADA","OK"))</f>
        <v/>
      </c>
      <c r="L91" t="str">
        <v>CNT-086</v>
      </c>
      <c r="M91" t="str">
        <v>Activo</v>
      </c>
      <c r="N91" t="str">
        <v>Perfume en Lata Walker. Presentación: 1 unidad. Marca Walker. Fragancia: Aqua.</v>
      </c>
      <c r="O91" t="str">
        <v>Perfume en Lata Walker. Cuida y da brillo a las superficies del vehículo, prolongando su buen aspecto.</v>
      </c>
    </row>
    <row r="92">
      <c r="A92" t="str">
        <f>IF(B92="","","CAT-"&amp;TEXT(ROW()-5,"000"))</f>
        <v/>
      </c>
      <c r="D92" t="str">
        <f>IF(B92="","",IF(COUNTIF($B$6:$B$105,B92)&gt;1,"REVISAR: DUPLICADA","OK"))</f>
        <v/>
      </c>
      <c r="F92" t="str">
        <f>IF(H92="","","SUB-"&amp;TEXT(ROW()-5,"000"))</f>
        <v/>
      </c>
      <c r="J92" t="str">
        <f>IF(H92="","",IF(COUNTIF($H$6:$H$305,H92)&gt;1,"REVISAR: DUPLICADA","OK"))</f>
        <v/>
      </c>
      <c r="L92" t="str">
        <v>CNT-087</v>
      </c>
      <c r="M92" t="str">
        <v>Activo</v>
      </c>
      <c r="N92" t="str">
        <v>Cera para auto por litro. Presentación: 1 unidad.</v>
      </c>
      <c r="O92" t="str">
        <v>Cera. Cuida y da brillo a las superficies del vehículo, prolongando su buen aspecto.</v>
      </c>
    </row>
    <row r="93">
      <c r="A93" t="str">
        <f>IF(B93="","","CAT-"&amp;TEXT(ROW()-5,"000"))</f>
        <v/>
      </c>
      <c r="D93" t="str">
        <f>IF(B93="","",IF(COUNTIF($B$6:$B$105,B93)&gt;1,"REVISAR: DUPLICADA","OK"))</f>
        <v/>
      </c>
      <c r="F93" t="str">
        <f>IF(H93="","","SUB-"&amp;TEXT(ROW()-5,"000"))</f>
        <v/>
      </c>
      <c r="J93" t="str">
        <f>IF(H93="","",IF(COUNTIF($H$6:$H$305,H93)&gt;1,"REVISAR: DUPLICADA","OK"))</f>
        <v/>
      </c>
      <c r="L93" t="str">
        <v>CNT-088</v>
      </c>
      <c r="M93" t="str">
        <v>Activo</v>
      </c>
      <c r="N93" t="str">
        <v>Limpia Tapizado en Aerosol. Presentación: 1 unidad. Marca Walker.</v>
      </c>
      <c r="O93" t="str">
        <v>Limpia Tapizado en Aerosol. Cuida y da brillo a las superficies del vehículo, prolongando su buen aspecto.</v>
      </c>
    </row>
    <row r="94">
      <c r="A94" t="str">
        <f>IF(B94="","","CAT-"&amp;TEXT(ROW()-5,"000"))</f>
        <v/>
      </c>
      <c r="D94" t="str">
        <f>IF(B94="","",IF(COUNTIF($B$6:$B$105,B94)&gt;1,"REVISAR: DUPLICADA","OK"))</f>
        <v/>
      </c>
      <c r="F94" t="str">
        <f>IF(H94="","","SUB-"&amp;TEXT(ROW()-5,"000"))</f>
        <v/>
      </c>
      <c r="J94" t="str">
        <f>IF(H94="","",IF(COUNTIF($H$6:$H$305,H94)&gt;1,"REVISAR: DUPLICADA","OK"))</f>
        <v/>
      </c>
      <c r="L94" t="str">
        <v>CNT-089</v>
      </c>
      <c r="M94" t="str">
        <v>Activo</v>
      </c>
      <c r="N94" t="str">
        <v>Shampoo para manos. Presentación: 1 unidad. Fragancia: Frutilla.</v>
      </c>
      <c r="O94" t="str">
        <v>Jabón líquido de manos. Elimina suciedad y gérmenes en inodoros, azulejos y superficies del baño, dejando un aroma agradable.</v>
      </c>
    </row>
    <row r="95">
      <c r="A95" t="str">
        <f>IF(B95="","","CAT-"&amp;TEXT(ROW()-5,"000"))</f>
        <v/>
      </c>
      <c r="D95" t="str">
        <f>IF(B95="","",IF(COUNTIF($B$6:$B$105,B95)&gt;1,"REVISAR: DUPLICADA","OK"))</f>
        <v/>
      </c>
      <c r="F95" t="str">
        <f>IF(H95="","","SUB-"&amp;TEXT(ROW()-5,"000"))</f>
        <v/>
      </c>
      <c r="J95" t="str">
        <f>IF(H95="","",IF(COUNTIF($H$6:$H$305,H95)&gt;1,"REVISAR: DUPLICADA","OK"))</f>
        <v/>
      </c>
      <c r="L95" t="str">
        <v>CNT-090</v>
      </c>
      <c r="M95" t="str">
        <v>Activo</v>
      </c>
      <c r="N95" t="str">
        <v>Shampoo para manos por 5 litros. Presentación: 1 unidad. Fragancia: blanco.</v>
      </c>
      <c r="O95" t="str">
        <v>Jabón líquido de manos. Elimina suciedad y gérmenes en inodoros, azulejos y superficies del baño, dejando un aroma agradable.</v>
      </c>
    </row>
    <row r="96">
      <c r="A96" t="str">
        <f>IF(B96="","","CAT-"&amp;TEXT(ROW()-5,"000"))</f>
        <v/>
      </c>
      <c r="D96" t="str">
        <f>IF(B96="","",IF(COUNTIF($B$6:$B$105,B96)&gt;1,"REVISAR: DUPLICADA","OK"))</f>
        <v/>
      </c>
      <c r="F96" t="str">
        <f>IF(H96="","","SUB-"&amp;TEXT(ROW()-5,"000"))</f>
        <v/>
      </c>
      <c r="J96" t="str">
        <f>IF(H96="","",IF(COUNTIF($H$6:$H$305,H96)&gt;1,"REVISAR: DUPLICADA","OK"))</f>
        <v/>
      </c>
      <c r="L96" t="str">
        <v>CNT-091</v>
      </c>
      <c r="M96" t="str">
        <v>Activo</v>
      </c>
      <c r="N96" t="str">
        <v>Shampoo para manos por 5 litros. Presentación: 1 unidad. Fragancia: vaini coco.</v>
      </c>
      <c r="O96" t="str">
        <v>Jabón líquido de manos. Elimina suciedad y gérmenes en inodoros, azulejos y superficies del baño, dejando un aroma agradable.</v>
      </c>
    </row>
    <row r="97">
      <c r="A97" t="str">
        <f>IF(B97="","","CAT-"&amp;TEXT(ROW()-5,"000"))</f>
        <v/>
      </c>
      <c r="D97" t="str">
        <f>IF(B97="","",IF(COUNTIF($B$6:$B$105,B97)&gt;1,"REVISAR: DUPLICADA","OK"))</f>
        <v/>
      </c>
      <c r="F97" t="str">
        <f>IF(H97="","","SUB-"&amp;TEXT(ROW()-5,"000"))</f>
        <v/>
      </c>
      <c r="J97" t="str">
        <f>IF(H97="","",IF(COUNTIF($H$6:$H$305,H97)&gt;1,"REVISAR: DUPLICADA","OK"))</f>
        <v/>
      </c>
      <c r="L97" t="str">
        <v>CNT-092</v>
      </c>
      <c r="M97" t="str">
        <v>Activo</v>
      </c>
      <c r="N97" t="str">
        <v>Shampoo para manos por 5 litros. Presentación: 1 unidad. Fragancia: manzana.</v>
      </c>
      <c r="O97" t="str">
        <v>Jabón líquido de manos. Elimina suciedad y gérmenes en inodoros, azulejos y superficies del baño, dejando un aroma agradable.</v>
      </c>
    </row>
    <row r="98">
      <c r="A98" t="str">
        <f>IF(B98="","","CAT-"&amp;TEXT(ROW()-5,"000"))</f>
        <v/>
      </c>
      <c r="D98" t="str">
        <f>IF(B98="","",IF(COUNTIF($B$6:$B$105,B98)&gt;1,"REVISAR: DUPLICADA","OK"))</f>
        <v/>
      </c>
      <c r="F98" t="str">
        <f>IF(H98="","","SUB-"&amp;TEXT(ROW()-5,"000"))</f>
        <v/>
      </c>
      <c r="J98" t="str">
        <f>IF(H98="","",IF(COUNTIF($H$6:$H$305,H98)&gt;1,"REVISAR: DUPLICADA","OK"))</f>
        <v/>
      </c>
      <c r="L98" t="str">
        <v>CNT-093</v>
      </c>
      <c r="M98" t="str">
        <v>Activo</v>
      </c>
      <c r="N98" t="str">
        <v>Shampoo para manos por 5 litros. Presentación: 1 unidad. Fragancia: uva.</v>
      </c>
      <c r="O98" t="str">
        <v>Jabón líquido de manos. Elimina suciedad y gérmenes en inodoros, azulejos y superficies del baño, dejando un aroma agradable.</v>
      </c>
    </row>
    <row r="99">
      <c r="A99" t="str">
        <f>IF(B99="","","CAT-"&amp;TEXT(ROW()-5,"000"))</f>
        <v/>
      </c>
      <c r="D99" t="str">
        <f>IF(B99="","",IF(COUNTIF($B$6:$B$105,B99)&gt;1,"REVISAR: DUPLICADA","OK"))</f>
        <v/>
      </c>
      <c r="F99" t="str">
        <f>IF(H99="","","SUB-"&amp;TEXT(ROW()-5,"000"))</f>
        <v/>
      </c>
      <c r="J99" t="str">
        <f>IF(H99="","",IF(COUNTIF($H$6:$H$305,H99)&gt;1,"REVISAR: DUPLICADA","OK"))</f>
        <v/>
      </c>
      <c r="L99" t="str">
        <v>CNT-094</v>
      </c>
      <c r="M99" t="str">
        <v>Activo</v>
      </c>
      <c r="N99" t="str">
        <v>Shampoo para manos por 5 litros. Presentación: 1 unidad. Fragancia: antibacterial.</v>
      </c>
      <c r="O99" t="str">
        <v>Jabón líquido de manos. Elimina suciedad y gérmenes en inodoros, azulejos y superficies del baño, dejando un aroma agradable.</v>
      </c>
    </row>
    <row r="100">
      <c r="A100" t="str">
        <f>IF(B100="","","CAT-"&amp;TEXT(ROW()-5,"000"))</f>
        <v/>
      </c>
      <c r="D100" t="str">
        <f>IF(B100="","",IF(COUNTIF($B$6:$B$105,B100)&gt;1,"REVISAR: DUPLICADA","OK"))</f>
        <v/>
      </c>
      <c r="F100" t="str">
        <f>IF(H100="","","SUB-"&amp;TEXT(ROW()-5,"000"))</f>
        <v/>
      </c>
      <c r="J100" t="str">
        <f>IF(H100="","",IF(COUNTIF($H$6:$H$305,H100)&gt;1,"REVISAR: DUPLICADA","OK"))</f>
        <v/>
      </c>
      <c r="L100" t="str">
        <v>CNT-095</v>
      </c>
      <c r="M100" t="str">
        <v>Activo</v>
      </c>
      <c r="N100" t="str">
        <v>Difusor Aromatico Saphirus por 50 CC. Presentación: 1 unidad. Marca Saphirus. Fragancia: vainilla.</v>
      </c>
      <c r="O100" t="str">
        <v>Difusores aromáticos. Perfuma ambientes y textiles con una fragancia agradable y duradera, ideal para dejar todo con olor a limpio.</v>
      </c>
    </row>
    <row r="101">
      <c r="A101" t="str">
        <f>IF(B101="","","CAT-"&amp;TEXT(ROW()-5,"000"))</f>
        <v/>
      </c>
      <c r="D101" t="str">
        <f>IF(B101="","",IF(COUNTIF($B$6:$B$105,B101)&gt;1,"REVISAR: DUPLICADA","OK"))</f>
        <v/>
      </c>
      <c r="F101" t="str">
        <f>IF(H101="","","SUB-"&amp;TEXT(ROW()-5,"000"))</f>
        <v/>
      </c>
      <c r="J101" t="str">
        <f>IF(H101="","",IF(COUNTIF($H$6:$H$305,H101)&gt;1,"REVISAR: DUPLICADA","OK"))</f>
        <v/>
      </c>
      <c r="L101" t="str">
        <v>CNT-096</v>
      </c>
      <c r="M101" t="str">
        <v>Activo</v>
      </c>
      <c r="N101" t="str">
        <v>Difusor Aromatico Saphirus por 50 CC. Presentación: 1 unidad. Marca Saphirus. Fragancia: lavanda.</v>
      </c>
      <c r="O101" t="str">
        <v>Difusores aromáticos. Perfuma ambientes y textiles con una fragancia agradable y duradera, ideal para dejar todo con olor a limpio.</v>
      </c>
    </row>
    <row r="102">
      <c r="A102" t="str">
        <f>IF(B102="","","CAT-"&amp;TEXT(ROW()-5,"000"))</f>
        <v/>
      </c>
      <c r="D102" t="str">
        <f>IF(B102="","",IF(COUNTIF($B$6:$B$105,B102)&gt;1,"REVISAR: DUPLICADA","OK"))</f>
        <v/>
      </c>
      <c r="F102" t="str">
        <f>IF(H102="","","SUB-"&amp;TEXT(ROW()-5,"000"))</f>
        <v/>
      </c>
      <c r="J102" t="str">
        <f>IF(H102="","",IF(COUNTIF($H$6:$H$305,H102)&gt;1,"REVISAR: DUPLICADA","OK"))</f>
        <v/>
      </c>
      <c r="L102" t="str">
        <v>CNT-097</v>
      </c>
      <c r="M102" t="str">
        <v>Activo</v>
      </c>
      <c r="N102" t="str">
        <v>Difusor Aromatico Saphirus por 50 CC. Presentación: 1 unidad. Marca Saphirus. Fragancia: uva.</v>
      </c>
      <c r="O102" t="str">
        <v>Difusores aromáticos. Perfuma ambientes y textiles con una fragancia agradable y duradera, ideal para dejar todo con olor a limpio.</v>
      </c>
    </row>
    <row r="103">
      <c r="A103" t="str">
        <f>IF(B103="","","CAT-"&amp;TEXT(ROW()-5,"000"))</f>
        <v/>
      </c>
      <c r="D103" t="str">
        <f>IF(B103="","",IF(COUNTIF($B$6:$B$105,B103)&gt;1,"REVISAR: DUPLICADA","OK"))</f>
        <v/>
      </c>
      <c r="F103" t="str">
        <f>IF(H103="","","SUB-"&amp;TEXT(ROW()-5,"000"))</f>
        <v/>
      </c>
      <c r="J103" t="str">
        <f>IF(H103="","",IF(COUNTIF($H$6:$H$305,H103)&gt;1,"REVISAR: DUPLICADA","OK"))</f>
        <v/>
      </c>
      <c r="L103" t="str">
        <v>CNT-098</v>
      </c>
      <c r="M103" t="str">
        <v>Activo</v>
      </c>
      <c r="N103" t="str">
        <v>Difusor Aromatico Saphirus por 50 CC. Presentación: 1 unidad. Marca Saphirus. Fragancia: palito de la selva.</v>
      </c>
      <c r="O103" t="str">
        <v>Difusores aromáticos. Perfuma ambientes y textiles con una fragancia agradable y duradera, ideal para dejar todo con olor a limpio.</v>
      </c>
    </row>
    <row r="104">
      <c r="A104" t="str">
        <f>IF(B104="","","CAT-"&amp;TEXT(ROW()-5,"000"))</f>
        <v/>
      </c>
      <c r="D104" t="str">
        <f>IF(B104="","",IF(COUNTIF($B$6:$B$105,B104)&gt;1,"REVISAR: DUPLICADA","OK"))</f>
        <v/>
      </c>
      <c r="F104" t="str">
        <f>IF(H104="","","SUB-"&amp;TEXT(ROW()-5,"000"))</f>
        <v/>
      </c>
      <c r="J104" t="str">
        <f>IF(H104="","",IF(COUNTIF($H$6:$H$305,H104)&gt;1,"REVISAR: DUPLICADA","OK"))</f>
        <v/>
      </c>
      <c r="L104" t="str">
        <v>CNT-099</v>
      </c>
      <c r="M104" t="str">
        <v>Activo</v>
      </c>
      <c r="N104" t="str">
        <v>Difusor Aromatico Saphirus por 50 CC. Presentación: 1 unidad. Marca Saphirus. Fragancia: vaini coco.</v>
      </c>
      <c r="O104" t="str">
        <v>Difusores aromáticos. Perfuma ambientes y textiles con una fragancia agradable y duradera, ideal para dejar todo con olor a limpio.</v>
      </c>
    </row>
    <row r="105">
      <c r="A105" t="str">
        <f>IF(B105="","","CAT-"&amp;TEXT(ROW()-5,"000"))</f>
        <v/>
      </c>
      <c r="D105" t="str">
        <f>IF(B105="","",IF(COUNTIF($B$6:$B$105,B105)&gt;1,"REVISAR: DUPLICADA","OK"))</f>
        <v/>
      </c>
      <c r="F105" t="str">
        <f>IF(H105="","","SUB-"&amp;TEXT(ROW()-5,"000"))</f>
        <v/>
      </c>
      <c r="J105" t="str">
        <f>IF(H105="","",IF(COUNTIF($H$6:$H$305,H105)&gt;1,"REVISAR: DUPLICADA","OK"))</f>
        <v/>
      </c>
      <c r="L105" t="str">
        <v>CNT-100</v>
      </c>
      <c r="M105" t="str">
        <v>Activo</v>
      </c>
      <c r="N105" t="str">
        <v>Difusor Aromatico Saphirus por 50 CC. Presentación: 1 unidad. Marca Saphirus. Fragancia: coniglio.</v>
      </c>
      <c r="O105" t="str">
        <v>Difusores aromáticos. Perfuma ambientes y textiles con una fragancia agradable y duradera, ideal para dejar todo con olor a limpio.</v>
      </c>
    </row>
    <row r="106">
      <c r="F106" t="str">
        <f>IF(H106="","","SUB-"&amp;TEXT(ROW()-5,"000"))</f>
        <v/>
      </c>
      <c r="J106" t="str">
        <f>IF(H106="","",IF(COUNTIF($H$6:$H$305,H106)&gt;1,"REVISAR: DUPLICADA","OK"))</f>
        <v/>
      </c>
      <c r="L106" t="str">
        <v>CNT-101</v>
      </c>
      <c r="M106" t="str">
        <v>Activo</v>
      </c>
      <c r="N106" t="str">
        <v>Difusor Aromatico Saphirus por 50 CC. Presentación: 1 unidad. Marca Saphirus. Fragancia: limon.</v>
      </c>
      <c r="O106" t="str">
        <v>Difusores aromáticos. Perfuma ambientes y textiles con una fragancia agradable y duradera, ideal para dejar todo con olor a limpio.</v>
      </c>
    </row>
    <row r="107">
      <c r="F107" t="str">
        <f>IF(H107="","","SUB-"&amp;TEXT(ROW()-5,"000"))</f>
        <v/>
      </c>
      <c r="J107" t="str">
        <f>IF(H107="","",IF(COUNTIF($H$6:$H$305,H107)&gt;1,"REVISAR: DUPLICADA","OK"))</f>
        <v/>
      </c>
      <c r="L107" t="str">
        <v>CNT-102</v>
      </c>
      <c r="M107" t="str">
        <v>Activo</v>
      </c>
      <c r="N107" t="str">
        <v>Difusor Aromatico Saphirus por 50 CC. Presentación: 1 unidad. Marca Saphirus. Fragancia: coco.</v>
      </c>
      <c r="O107" t="str">
        <v>Difusores aromáticos. Perfuma ambientes y textiles con una fragancia agradable y duradera, ideal para dejar todo con olor a limpio.</v>
      </c>
    </row>
    <row r="108">
      <c r="F108" t="str">
        <f>IF(H108="","","SUB-"&amp;TEXT(ROW()-5,"000"))</f>
        <v/>
      </c>
      <c r="J108" t="str">
        <f>IF(H108="","",IF(COUNTIF($H$6:$H$305,H108)&gt;1,"REVISAR: DUPLICADA","OK"))</f>
        <v/>
      </c>
      <c r="L108" t="str">
        <v>CNT-103</v>
      </c>
      <c r="M108" t="str">
        <v>Activo</v>
      </c>
      <c r="N108" t="str">
        <v>Difusor Aromatico Saphirus por 50 CC. Presentación: 1 unidad. Marca Saphirus. Fragancia: frutilla.</v>
      </c>
      <c r="O108" t="str">
        <v>Difusores aromáticos. Perfuma ambientes y textiles con una fragancia agradable y duradera, ideal para dejar todo con olor a limpio.</v>
      </c>
    </row>
    <row r="109">
      <c r="F109" t="str">
        <f>IF(H109="","","SUB-"&amp;TEXT(ROW()-5,"000"))</f>
        <v/>
      </c>
      <c r="J109" t="str">
        <f>IF(H109="","",IF(COUNTIF($H$6:$H$305,H109)&gt;1,"REVISAR: DUPLICADA","OK"))</f>
        <v/>
      </c>
      <c r="L109" t="str">
        <v>CNT-104</v>
      </c>
      <c r="M109" t="str">
        <v>Activo</v>
      </c>
      <c r="N109" t="str">
        <v>Difusor Aromatico Saphirus por 50 CC. Presentación: 1 unidad. Marca Saphirus. Fragancia: j.baby.</v>
      </c>
      <c r="O109" t="str">
        <v>Difusores aromáticos. Perfuma ambientes y textiles con una fragancia agradable y duradera, ideal para dejar todo con olor a limpio.</v>
      </c>
    </row>
    <row r="110">
      <c r="F110" t="str">
        <f>IF(H110="","","SUB-"&amp;TEXT(ROW()-5,"000"))</f>
        <v/>
      </c>
      <c r="J110" t="str">
        <f>IF(H110="","",IF(COUNTIF($H$6:$H$305,H110)&gt;1,"REVISAR: DUPLICADA","OK"))</f>
        <v/>
      </c>
      <c r="L110" t="str">
        <v>CNT-105</v>
      </c>
      <c r="M110" t="str">
        <v>Activo</v>
      </c>
      <c r="N110" t="str">
        <v>Difusor Aromatico Saphirus por 50 CC. Presentación: 1 unidad. Marca Saphirus. Fragancia: papaya.</v>
      </c>
      <c r="O110" t="str">
        <v>Difusores aromáticos. Perfuma ambientes y textiles con una fragancia agradable y duradera, ideal para dejar todo con olor a limpio.</v>
      </c>
    </row>
    <row r="111">
      <c r="F111" t="str">
        <f>IF(H111="","","SUB-"&amp;TEXT(ROW()-5,"000"))</f>
        <v/>
      </c>
      <c r="J111" t="str">
        <f>IF(H111="","",IF(COUNTIF($H$6:$H$305,H111)&gt;1,"REVISAR: DUPLICADA","OK"))</f>
        <v/>
      </c>
      <c r="L111" t="str">
        <v>CNT-106</v>
      </c>
      <c r="M111" t="str">
        <v>Activo</v>
      </c>
      <c r="N111" t="str">
        <v>Difusor Aromatico Saphirus por 50 CC. Presentación: 1 unidad. Marca Saphirus. Fragancia: flores blancas.</v>
      </c>
      <c r="O111" t="str">
        <v>Difusores aromáticos. Perfuma ambientes y textiles con una fragancia agradable y duradera, ideal para dejar todo con olor a limpio.</v>
      </c>
    </row>
    <row r="112">
      <c r="F112" t="str">
        <f>IF(H112="","","SUB-"&amp;TEXT(ROW()-5,"000"))</f>
        <v/>
      </c>
      <c r="J112" t="str">
        <f>IF(H112="","",IF(COUNTIF($H$6:$H$305,H112)&gt;1,"REVISAR: DUPLICADA","OK"))</f>
        <v/>
      </c>
      <c r="L112" t="str">
        <v>CNT-107</v>
      </c>
      <c r="M112" t="str">
        <v>Activo</v>
      </c>
      <c r="N112" t="str">
        <v>Difusor Aromatico Saphirus por 50 CC. Presentación: 1 unidad. Marca Saphirus. Fragancia: citrus.</v>
      </c>
      <c r="O112" t="str">
        <v>Difusores aromáticos. Perfuma ambientes y textiles con una fragancia agradable y duradera, ideal para dejar todo con olor a limpio.</v>
      </c>
    </row>
    <row r="113">
      <c r="F113" t="str">
        <f>IF(H113="","","SUB-"&amp;TEXT(ROW()-5,"000"))</f>
        <v/>
      </c>
      <c r="J113" t="str">
        <f>IF(H113="","",IF(COUNTIF($H$6:$H$305,H113)&gt;1,"REVISAR: DUPLICADA","OK"))</f>
        <v/>
      </c>
      <c r="L113" t="str">
        <v>CNT-108</v>
      </c>
      <c r="M113" t="str">
        <v>Activo</v>
      </c>
      <c r="N113" t="str">
        <v>Difusor Aromatico Saphirus por 50 CC. Presentación: 1 unidad. Marca Saphirus. Fragancia: jazmin.</v>
      </c>
      <c r="O113" t="str">
        <v>Difusores aromáticos. Perfuma ambientes y textiles con una fragancia agradable y duradera, ideal para dejar todo con olor a limpio.</v>
      </c>
    </row>
    <row r="114">
      <c r="F114" t="str">
        <f>IF(H114="","","SUB-"&amp;TEXT(ROW()-5,"000"))</f>
        <v/>
      </c>
      <c r="J114" t="str">
        <f>IF(H114="","",IF(COUNTIF($H$6:$H$305,H114)&gt;1,"REVISAR: DUPLICADA","OK"))</f>
        <v/>
      </c>
      <c r="L114" t="str">
        <v>CNT-109</v>
      </c>
      <c r="M114" t="str">
        <v>Activo</v>
      </c>
      <c r="N114" t="str">
        <v>Difusor Aromatico Saphirus por 120 CC. Presentación: 1 unidad. Marca Saphirus. Fragancia: vainilla.</v>
      </c>
      <c r="O114" t="str">
        <v>Difusores aromáticos. Perfuma ambientes y textiles con una fragancia agradable y duradera, ideal para dejar todo con olor a limpio.</v>
      </c>
    </row>
    <row r="115">
      <c r="F115" t="str">
        <f>IF(H115="","","SUB-"&amp;TEXT(ROW()-5,"000"))</f>
        <v/>
      </c>
      <c r="J115" t="str">
        <f>IF(H115="","",IF(COUNTIF($H$6:$H$305,H115)&gt;1,"REVISAR: DUPLICADA","OK"))</f>
        <v/>
      </c>
      <c r="L115" t="str">
        <v>CNT-110</v>
      </c>
      <c r="M115" t="str">
        <v>Activo</v>
      </c>
      <c r="N115" t="str">
        <v>Difusor Aromatico Saphirus por 120 CC. Presentación: 1 unidad. Marca Saphirus. Fragancia: lavanda.</v>
      </c>
      <c r="O115" t="str">
        <v>Difusores aromáticos. Perfuma ambientes y textiles con una fragancia agradable y duradera, ideal para dejar todo con olor a limpio.</v>
      </c>
    </row>
    <row r="116">
      <c r="F116" t="str">
        <f>IF(H116="","","SUB-"&amp;TEXT(ROW()-5,"000"))</f>
        <v/>
      </c>
      <c r="J116" t="str">
        <f>IF(H116="","",IF(COUNTIF($H$6:$H$305,H116)&gt;1,"REVISAR: DUPLICADA","OK"))</f>
        <v/>
      </c>
      <c r="L116" t="str">
        <v>CNT-111</v>
      </c>
      <c r="M116" t="str">
        <v>Activo</v>
      </c>
      <c r="N116" t="str">
        <v>Difusor Aromatico Saphirus por 120 CC. Presentación: 1 unidad. Marca Saphirus. Fragancia: limon.</v>
      </c>
      <c r="O116" t="str">
        <v>Difusores aromáticos. Perfuma ambientes y textiles con una fragancia agradable y duradera, ideal para dejar todo con olor a limpio.</v>
      </c>
    </row>
    <row r="117">
      <c r="F117" t="str">
        <f>IF(H117="","","SUB-"&amp;TEXT(ROW()-5,"000"))</f>
        <v/>
      </c>
      <c r="J117" t="str">
        <f>IF(H117="","",IF(COUNTIF($H$6:$H$305,H117)&gt;1,"REVISAR: DUPLICADA","OK"))</f>
        <v/>
      </c>
      <c r="L117" t="str">
        <v>CNT-112</v>
      </c>
      <c r="M117" t="str">
        <v>Activo</v>
      </c>
      <c r="N117" t="str">
        <v>Difusor Aromatico Saphirus por 120 CC. Presentación: 1 unidad. Marca Saphirus. Fragancia: vainilla madagascar.</v>
      </c>
      <c r="O117" t="str">
        <v>Difusores aromáticos. Perfuma ambientes y textiles con una fragancia agradable y duradera, ideal para dejar todo con olor a limpio.</v>
      </c>
    </row>
    <row r="118">
      <c r="F118" t="str">
        <f>IF(H118="","","SUB-"&amp;TEXT(ROW()-5,"000"))</f>
        <v/>
      </c>
      <c r="J118" t="str">
        <f>IF(H118="","",IF(COUNTIF($H$6:$H$305,H118)&gt;1,"REVISAR: DUPLICADA","OK"))</f>
        <v/>
      </c>
      <c r="L118" t="str">
        <v>CNT-113</v>
      </c>
      <c r="M118" t="str">
        <v>Activo</v>
      </c>
      <c r="N118" t="str">
        <v>Difusor Aromatico Saphirus por 120 CC. Presentación: 1 unidad. Marca Saphirus. Fragancia: floral.</v>
      </c>
      <c r="O118" t="str">
        <v>Difusores aromáticos. Perfuma ambientes y textiles con una fragancia agradable y duradera, ideal para dejar todo con olor a limpio.</v>
      </c>
    </row>
    <row r="119">
      <c r="F119" t="str">
        <f>IF(H119="","","SUB-"&amp;TEXT(ROW()-5,"000"))</f>
        <v/>
      </c>
      <c r="J119" t="str">
        <f>IF(H119="","",IF(COUNTIF($H$6:$H$305,H119)&gt;1,"REVISAR: DUPLICADA","OK"))</f>
        <v/>
      </c>
      <c r="L119" t="str">
        <v>CNT-114</v>
      </c>
      <c r="M119" t="str">
        <v>Activo</v>
      </c>
      <c r="N119" t="str">
        <v>Difusor Aromatico Saphirus por 120 CC. Presentación: 1 unidad. Marca Saphirus. Fragancia: chicle.</v>
      </c>
      <c r="O119" t="str">
        <v>Difusores aromáticos. Perfuma ambientes y textiles con una fragancia agradable y duradera, ideal para dejar todo con olor a limpio.</v>
      </c>
    </row>
    <row r="120">
      <c r="F120" t="str">
        <f>IF(H120="","","SUB-"&amp;TEXT(ROW()-5,"000"))</f>
        <v/>
      </c>
      <c r="J120" t="str">
        <f>IF(H120="","",IF(COUNTIF($H$6:$H$305,H120)&gt;1,"REVISAR: DUPLICADA","OK"))</f>
        <v/>
      </c>
      <c r="L120" t="str">
        <v>CNT-115</v>
      </c>
      <c r="M120" t="str">
        <v>Activo</v>
      </c>
      <c r="N120" t="str">
        <v>Difusor Aromatico Saphirus por 120 CC. Presentación: 1 unidad. Marca Saphirus. Fragancia: palito de la selva.</v>
      </c>
      <c r="O120" t="str">
        <v>Difusores aromáticos. Perfuma ambientes y textiles con una fragancia agradable y duradera, ideal para dejar todo con olor a limpio.</v>
      </c>
    </row>
    <row r="121">
      <c r="F121" t="str">
        <f>IF(H121="","","SUB-"&amp;TEXT(ROW()-5,"000"))</f>
        <v/>
      </c>
      <c r="J121" t="str">
        <f>IF(H121="","",IF(COUNTIF($H$6:$H$305,H121)&gt;1,"REVISAR: DUPLICADA","OK"))</f>
        <v/>
      </c>
      <c r="L121" t="str">
        <v>CNT-116</v>
      </c>
      <c r="M121" t="str">
        <v>Activo</v>
      </c>
      <c r="N121" t="str">
        <v>Difusor Aromatico Saphirus por 120 CC. Presentación: 1 unidad. Marca Saphirus. Fragancia: nag champa.</v>
      </c>
      <c r="O121" t="str">
        <v>Difusores aromáticos. Perfuma ambientes y textiles con una fragancia agradable y duradera, ideal para dejar todo con olor a limpio.</v>
      </c>
    </row>
    <row r="122">
      <c r="F122" t="str">
        <f>IF(H122="","","SUB-"&amp;TEXT(ROW()-5,"000"))</f>
        <v/>
      </c>
      <c r="J122" t="str">
        <f>IF(H122="","",IF(COUNTIF($H$6:$H$305,H122)&gt;1,"REVISAR: DUPLICADA","OK"))</f>
        <v/>
      </c>
      <c r="L122" t="str">
        <v>CNT-117</v>
      </c>
      <c r="M122" t="str">
        <v>Activo</v>
      </c>
      <c r="N122" t="str">
        <v>Difusor Aromatico Saphirus combinados por 120 CC. Presentación: 1 unidad. Marca Saphirus. Fragancia: sandia / melon.</v>
      </c>
      <c r="O122" t="str">
        <v>Difusores aromáticos. Perfuma ambientes y textiles con una fragancia agradable y duradera, ideal para dejar todo con olor a limpio.</v>
      </c>
    </row>
    <row r="123">
      <c r="F123" t="str">
        <f>IF(H123="","","SUB-"&amp;TEXT(ROW()-5,"000"))</f>
        <v/>
      </c>
      <c r="J123" t="str">
        <f>IF(H123="","",IF(COUNTIF($H$6:$H$305,H123)&gt;1,"REVISAR: DUPLICADA","OK"))</f>
        <v/>
      </c>
      <c r="L123" t="str">
        <v>CNT-118</v>
      </c>
      <c r="M123" t="str">
        <v>Activo</v>
      </c>
      <c r="N123" t="str">
        <v>Difusor Aromatico Saphirus combinados por 120 CC. Presentación: 1 unidad. Marca Saphirus. Fragancia: vainilla / frambruesa.</v>
      </c>
      <c r="O123" t="str">
        <v>Difusores aromáticos. Perfuma ambientes y textiles con una fragancia agradable y duradera, ideal para dejar todo con olor a limpio.</v>
      </c>
    </row>
    <row r="124">
      <c r="F124" t="str">
        <f>IF(H124="","","SUB-"&amp;TEXT(ROW()-5,"000"))</f>
        <v/>
      </c>
      <c r="J124" t="str">
        <f>IF(H124="","",IF(COUNTIF($H$6:$H$305,H124)&gt;1,"REVISAR: DUPLICADA","OK"))</f>
        <v/>
      </c>
      <c r="L124" t="str">
        <v>CNT-119</v>
      </c>
      <c r="M124" t="str">
        <v>Activo</v>
      </c>
      <c r="N124" t="str">
        <v>Difusor Aromatico Saphirus combinados por 120 CC. Presentación: 1 unidad. Marca Saphirus. Fragancia: vainilla / chocolate.</v>
      </c>
      <c r="O124" t="str">
        <v>Difusores aromáticos. Perfuma ambientes y textiles con una fragancia agradable y duradera, ideal para dejar todo con olor a limpio.</v>
      </c>
    </row>
    <row r="125">
      <c r="F125" t="str">
        <f>IF(H125="","","SUB-"&amp;TEXT(ROW()-5,"000"))</f>
        <v/>
      </c>
      <c r="J125" t="str">
        <f>IF(H125="","",IF(COUNTIF($H$6:$H$305,H125)&gt;1,"REVISAR: DUPLICADA","OK"))</f>
        <v/>
      </c>
      <c r="L125" t="str">
        <v>CNT-120</v>
      </c>
      <c r="M125" t="str">
        <v>Activo</v>
      </c>
      <c r="N125" t="str">
        <v>Difusor Aromatico Saphirus combinados por 120 CC. Presentación: 1 unidad. Marca Saphirus. Fragancia: vaini / coco.</v>
      </c>
      <c r="O125" t="str">
        <v>Difusores aromáticos. Perfuma ambientes y textiles con una fragancia agradable y duradera, ideal para dejar todo con olor a limpio.</v>
      </c>
    </row>
    <row r="126">
      <c r="F126" t="str">
        <f>IF(H126="","","SUB-"&amp;TEXT(ROW()-5,"000"))</f>
        <v/>
      </c>
      <c r="J126" t="str">
        <f>IF(H126="","",IF(COUNTIF($H$6:$H$305,H126)&gt;1,"REVISAR: DUPLICADA","OK"))</f>
        <v/>
      </c>
      <c r="L126" t="str">
        <v>CNT-121</v>
      </c>
      <c r="M126" t="str">
        <v>Activo</v>
      </c>
      <c r="N126" t="str">
        <v>Difusor Aromatico Saphirus combinados por 120 CC. Presentación: 1 unidad. Marca Saphirus. Fragancia: flores blancas / uvas.</v>
      </c>
      <c r="O126" t="str">
        <v>Difusores aromáticos. Perfuma ambientes y textiles con una fragancia agradable y duradera, ideal para dejar todo con olor a limpio.</v>
      </c>
    </row>
    <row r="127">
      <c r="F127" t="str">
        <f>IF(H127="","","SUB-"&amp;TEXT(ROW()-5,"000"))</f>
        <v/>
      </c>
      <c r="J127" t="str">
        <f>IF(H127="","",IF(COUNTIF($H$6:$H$305,H127)&gt;1,"REVISAR: DUPLICADA","OK"))</f>
        <v/>
      </c>
      <c r="L127" t="str">
        <v>CNT-122</v>
      </c>
      <c r="M127" t="str">
        <v>Activo</v>
      </c>
      <c r="N127" t="str">
        <v>Promo 15 litros. Presentación: 1 unidad.</v>
      </c>
      <c r="O127" t="str">
        <v>Promo 15 litros. Combo pensado para ahorrar, con mayor cantidad de producto al mejor precio por litro.</v>
      </c>
    </row>
    <row r="128">
      <c r="F128" t="str">
        <f>IF(H128="","","SUB-"&amp;TEXT(ROW()-5,"000"))</f>
        <v/>
      </c>
      <c r="J128" t="str">
        <f>IF(H128="","",IF(COUNTIF($H$6:$H$305,H128)&gt;1,"REVISAR: DUPLICADA","OK"))</f>
        <v/>
      </c>
      <c r="L128" t="str">
        <v>CNT-123</v>
      </c>
      <c r="M128" t="str">
        <v>Activo</v>
      </c>
      <c r="N128" t="str">
        <v>Promo 12 litros + 5 de regalo. Presentación: 1 unidad.</v>
      </c>
      <c r="O128" t="str">
        <v>Promo 12 litros. Combo pensado para ahorrar, con mayor cantidad de producto al mejor precio por litro.</v>
      </c>
    </row>
    <row r="129">
      <c r="F129" t="str">
        <f>IF(H129="","","SUB-"&amp;TEXT(ROW()-5,"000"))</f>
        <v/>
      </c>
      <c r="J129" t="str">
        <f>IF(H129="","",IF(COUNTIF($H$6:$H$305,H129)&gt;1,"REVISAR: DUPLICADA","OK"))</f>
        <v/>
      </c>
      <c r="L129" t="str">
        <v>CNT-124</v>
      </c>
      <c r="M129" t="str">
        <v>Activo</v>
      </c>
      <c r="N129" t="str">
        <v>Promo 10 litros. Presentación: 1 unidad.</v>
      </c>
      <c r="O129" t="str">
        <v>Promo 10 litros. Combo pensado para ahorrar, con mayor cantidad de producto al mejor precio por litro.</v>
      </c>
    </row>
    <row r="130">
      <c r="F130" t="str">
        <f>IF(H130="","","SUB-"&amp;TEXT(ROW()-5,"000"))</f>
        <v/>
      </c>
      <c r="J130" t="str">
        <f>IF(H130="","",IF(COUNTIF($H$6:$H$305,H130)&gt;1,"REVISAR: DUPLICADA","OK"))</f>
        <v/>
      </c>
      <c r="L130" t="str">
        <v>CNT-125</v>
      </c>
      <c r="M130" t="str">
        <v>Activo</v>
      </c>
      <c r="N130" t="str">
        <v>Cloro liquido x 1 litro. Presentación: 1 litro.</v>
      </c>
      <c r="O130" t="str">
        <v>Cloro. Elimina bacterias y gérmenes, desinfectando a fondo superficies del hogar, comercios e industrias.</v>
      </c>
    </row>
    <row r="131">
      <c r="F131" t="str">
        <f>IF(H131="","","SUB-"&amp;TEXT(ROW()-5,"000"))</f>
        <v/>
      </c>
      <c r="J131" t="str">
        <f>IF(H131="","",IF(COUNTIF($H$6:$H$305,H131)&gt;1,"REVISAR: DUPLICADA","OK"))</f>
        <v/>
      </c>
      <c r="L131" t="str">
        <v>CNT-126</v>
      </c>
      <c r="M131" t="str">
        <v>Activo</v>
      </c>
      <c r="N131" t="str">
        <v>Cloro liquido pack x 6. Presentación: 6 litros.</v>
      </c>
      <c r="O131" t="str">
        <v>Cloro. Elimina bacterias y gérmenes, desinfectando a fondo superficies del hogar, comercios e industrias.</v>
      </c>
    </row>
    <row r="132">
      <c r="F132" t="str">
        <f>IF(H132="","","SUB-"&amp;TEXT(ROW()-5,"000"))</f>
        <v/>
      </c>
      <c r="J132" t="str">
        <f>IF(H132="","",IF(COUNTIF($H$6:$H$305,H132)&gt;1,"REVISAR: DUPLICADA","OK"))</f>
        <v/>
      </c>
      <c r="L132" t="str">
        <v>CNT-127</v>
      </c>
      <c r="M132" t="str">
        <v>Activo</v>
      </c>
      <c r="N132" t="str">
        <v>Detergente concentrado rinde x2. Presentación: 1 litros.</v>
      </c>
      <c r="O132" t="str">
        <v>Detergente concentrado. Ideal para desengrasar y limpiar utensilios, vajilla y superficies de cocina de forma rápida y efectiva.</v>
      </c>
    </row>
    <row r="133">
      <c r="F133" t="str">
        <f>IF(H133="","","SUB-"&amp;TEXT(ROW()-5,"000"))</f>
        <v/>
      </c>
      <c r="J133" t="str">
        <f>IF(H133="","",IF(COUNTIF($H$6:$H$305,H133)&gt;1,"REVISAR: DUPLICADA","OK"))</f>
        <v/>
      </c>
      <c r="L133" t="str">
        <v>CNT-128</v>
      </c>
      <c r="M133" t="str">
        <v>Activo</v>
      </c>
      <c r="N133" t="str">
        <v>Detergente liquido concentrado pack 6 unidades. Presentación: 6 litros.</v>
      </c>
      <c r="O133" t="str">
        <v>Detergente concentrado. Ideal para desengrasar y limpiar utensilios, vajilla y superficies de cocina de forma rápida y efectiva.</v>
      </c>
    </row>
    <row r="134">
      <c r="F134" t="str">
        <f>IF(H134="","","SUB-"&amp;TEXT(ROW()-5,"000"))</f>
        <v/>
      </c>
      <c r="J134" t="str">
        <f>IF(H134="","",IF(COUNTIF($H$6:$H$305,H134)&gt;1,"REVISAR: DUPLICADA","OK"))</f>
        <v/>
      </c>
      <c r="L134" t="str">
        <v>CNT-129</v>
      </c>
      <c r="M134" t="str">
        <v>Activo</v>
      </c>
      <c r="N134" t="str">
        <v>Lavavajillas listo para usar 1 litro. Presentación: 1 litro.</v>
      </c>
      <c r="O134" t="str">
        <v>Lavavajillas Listo para usar. Ideal para desengrasar y limpiar utensilios, vajilla y superficies de cocina de forma rápida y efectiva.</v>
      </c>
    </row>
    <row r="135">
      <c r="F135" t="str">
        <f>IF(H135="","","SUB-"&amp;TEXT(ROW()-5,"000"))</f>
        <v/>
      </c>
      <c r="J135" t="str">
        <f>IF(H135="","",IF(COUNTIF($H$6:$H$305,H135)&gt;1,"REVISAR: DUPLICADA","OK"))</f>
        <v/>
      </c>
      <c r="L135" t="str">
        <v>CNT-130</v>
      </c>
      <c r="M135" t="str">
        <v>Activo</v>
      </c>
      <c r="N135" t="str">
        <v>Lavavajillas listo para usar pack 6 litros. Presentación: 6 litros.</v>
      </c>
      <c r="O135" t="str">
        <v>Lavavajillas Listo para usar. Ideal para desengrasar y limpiar utensilios, vajilla y superficies de cocina de forma rápida y efectiva.</v>
      </c>
    </row>
    <row r="136">
      <c r="F136" t="str">
        <f>IF(H136="","","SUB-"&amp;TEXT(ROW()-5,"000"))</f>
        <v/>
      </c>
      <c r="J136" t="str">
        <f>IF(H136="","",IF(COUNTIF($H$6:$H$305,H136)&gt;1,"REVISAR: DUPLICADA","OK"))</f>
        <v/>
      </c>
      <c r="L136" t="str">
        <v>CNT-131</v>
      </c>
      <c r="M136" t="str">
        <v>Activo</v>
      </c>
      <c r="N136" t="str">
        <v>Lavavajillas concentrado 1 litro. Presentación: 1 litro.</v>
      </c>
      <c r="O136" t="str">
        <v>Lavavajillas Concentrado. Ideal para desengrasar y limpiar utensilios, vajilla y superficies de cocina de forma rápida y efectiva.</v>
      </c>
    </row>
    <row r="137">
      <c r="F137" t="str">
        <f>IF(H137="","","SUB-"&amp;TEXT(ROW()-5,"000"))</f>
        <v/>
      </c>
      <c r="J137" t="str">
        <f>IF(H137="","",IF(COUNTIF($H$6:$H$305,H137)&gt;1,"REVISAR: DUPLICADA","OK"))</f>
        <v/>
      </c>
      <c r="L137" t="str">
        <v>CNT-132</v>
      </c>
      <c r="M137" t="str">
        <v>Activo</v>
      </c>
      <c r="N137" t="str">
        <v>Lavavajillas concentrado pack 6 litros. Presentación: 6 litros.</v>
      </c>
      <c r="O137" t="str">
        <v>Lavavajillas Concentrado. Ideal para desengrasar y limpiar utensilios, vajilla y superficies de cocina de forma rápida y efectiva.</v>
      </c>
    </row>
    <row r="138">
      <c r="F138" t="str">
        <f>IF(H138="","","SUB-"&amp;TEXT(ROW()-5,"000"))</f>
        <v/>
      </c>
      <c r="J138" t="str">
        <f>IF(H138="","",IF(COUNTIF($H$6:$H$305,H138)&gt;1,"REVISAR: DUPLICADA","OK"))</f>
        <v/>
      </c>
      <c r="L138" t="str">
        <v>CNT-133</v>
      </c>
      <c r="M138" t="str">
        <v>Activo</v>
      </c>
      <c r="N138" t="str">
        <v>Suavizante listo para usar 1 litro. Presentación: 1 litro. Fragancia: color blanco premium.</v>
      </c>
      <c r="O138" t="str">
        <v>Suavizante. Cuida las fibras de la ropa, suaviza y deja un aroma agradable y duradero en cada lavado.</v>
      </c>
    </row>
    <row r="139">
      <c r="F139" t="str">
        <f>IF(H139="","","SUB-"&amp;TEXT(ROW()-5,"000"))</f>
        <v/>
      </c>
      <c r="J139" t="str">
        <f>IF(H139="","",IF(COUNTIF($H$6:$H$305,H139)&gt;1,"REVISAR: DUPLICADA","OK"))</f>
        <v/>
      </c>
      <c r="L139" t="str">
        <v>CNT-134</v>
      </c>
      <c r="M139" t="str">
        <v>Activo</v>
      </c>
      <c r="N139" t="str">
        <v>Suavizante listo para usar pack 6 x 6 litros. Presentación: 6 litros.</v>
      </c>
      <c r="O139" t="str">
        <v>Suavizante. Cuida las fibras de la ropa, suaviza y deja un aroma agradable y duradero en cada lavado.</v>
      </c>
    </row>
    <row r="140">
      <c r="F140" t="str">
        <f>IF(H140="","","SUB-"&amp;TEXT(ROW()-5,"000"))</f>
        <v/>
      </c>
      <c r="J140" t="str">
        <f>IF(H140="","",IF(COUNTIF($H$6:$H$305,H140)&gt;1,"REVISAR: DUPLICADA","OK"))</f>
        <v/>
      </c>
      <c r="L140" t="str">
        <v>CNT-135</v>
      </c>
      <c r="M140" t="str">
        <v>Activo</v>
      </c>
      <c r="N140" t="str">
        <v>Suavizante listo para usar x 1 litro. Presentación: 1 litro. Fragancia: color celeste economico.</v>
      </c>
      <c r="O140" t="str">
        <v>Suavizante. Cuida las fibras de la ropa, suaviza y deja un aroma agradable y duradero en cada lavado.</v>
      </c>
    </row>
    <row r="141">
      <c r="F141" t="str">
        <f>IF(H141="","","SUB-"&amp;TEXT(ROW()-5,"000"))</f>
        <v/>
      </c>
      <c r="J141" t="str">
        <f>IF(H141="","",IF(COUNTIF($H$6:$H$305,H141)&gt;1,"REVISAR: DUPLICADA","OK"))</f>
        <v/>
      </c>
      <c r="L141" t="str">
        <v>CNT-136</v>
      </c>
      <c r="M141" t="str">
        <v>Activo</v>
      </c>
      <c r="N141" t="str">
        <v>Suavizante listo para usar pack x 6 litros. Presentación: 6 litros. Fragancia: color celeste economico.</v>
      </c>
      <c r="O141" t="str">
        <v>Suavizante. Cuida las fibras de la ropa, suaviza y deja un aroma agradable y duradero en cada lavado.</v>
      </c>
    </row>
    <row r="142">
      <c r="F142" t="str">
        <f>IF(H142="","","SUB-"&amp;TEXT(ROW()-5,"000"))</f>
        <v/>
      </c>
      <c r="J142" t="str">
        <f>IF(H142="","",IF(COUNTIF($H$6:$H$305,H142)&gt;1,"REVISAR: DUPLICADA","OK"))</f>
        <v/>
      </c>
      <c r="L142" t="str">
        <v>CNT-137</v>
      </c>
      <c r="M142" t="str">
        <v>Activo</v>
      </c>
      <c r="N142" t="str">
        <v>Desodorante para piso x 5 litros. Presentación: 5 litros. Fragancia: 1056.</v>
      </c>
      <c r="O142" t="str">
        <v>Desodorante para piso. Limpia y perfuma pisos y superficies, dejando un aroma duradero y sensación de frescura en el hogar.</v>
      </c>
    </row>
    <row r="143">
      <c r="F143" t="str">
        <f>IF(H143="","","SUB-"&amp;TEXT(ROW()-5,"000"))</f>
        <v/>
      </c>
      <c r="J143" t="str">
        <f>IF(H143="","",IF(COUNTIF($H$6:$H$305,H143)&gt;1,"REVISAR: DUPLICADA","OK"))</f>
        <v/>
      </c>
      <c r="L143" t="str">
        <v>CNT-138</v>
      </c>
      <c r="M143" t="str">
        <v>Activo</v>
      </c>
      <c r="N143" t="str">
        <v>Desodorante para piso x 1 litro. Presentación: 1 litro. Fragancia: 1056.</v>
      </c>
      <c r="O143" t="str">
        <v>Desodorante para piso. Limpia y perfuma pisos y superficies, dejando un aroma duradero y sensación de frescura en el hogar.</v>
      </c>
    </row>
    <row r="144">
      <c r="F144" t="str">
        <f>IF(H144="","","SUB-"&amp;TEXT(ROW()-5,"000"))</f>
        <v/>
      </c>
      <c r="J144" t="str">
        <f>IF(H144="","",IF(COUNTIF($H$6:$H$305,H144)&gt;1,"REVISAR: DUPLICADA","OK"))</f>
        <v/>
      </c>
      <c r="L144" t="str">
        <v>CNT-139</v>
      </c>
      <c r="M144" t="str">
        <v>Activo</v>
      </c>
      <c r="N144" t="str">
        <v>Desodorante para piso pack x 6 unidades. Presentación: 1 pack. Fragancia: 1056.</v>
      </c>
      <c r="O144" t="str">
        <v>Desodorante para piso. Limpia y perfuma pisos y superficies, dejando un aroma duradero y sensación de frescura en el hogar.</v>
      </c>
    </row>
    <row r="145">
      <c r="F145" t="str">
        <f>IF(H145="","","SUB-"&amp;TEXT(ROW()-5,"000"))</f>
        <v/>
      </c>
      <c r="J145" t="str">
        <f>IF(H145="","",IF(COUNTIF($H$6:$H$305,H145)&gt;1,"REVISAR: DUPLICADA","OK"))</f>
        <v/>
      </c>
      <c r="L145" t="str">
        <v>CNT-140</v>
      </c>
      <c r="M145" t="str">
        <v>Activo</v>
      </c>
      <c r="N145" t="str">
        <v>Desodorante para piso x 5 litros. Presentación: 5 litros. Fragancia: Cherry.</v>
      </c>
      <c r="O145" t="str">
        <v>Desodorante para piso. Limpia y perfuma pisos y superficies, dejando un aroma duradero y sensación de frescura en el hogar.</v>
      </c>
    </row>
    <row r="146">
      <c r="F146" t="str">
        <f>IF(H146="","","SUB-"&amp;TEXT(ROW()-5,"000"))</f>
        <v/>
      </c>
      <c r="J146" t="str">
        <f>IF(H146="","",IF(COUNTIF($H$6:$H$305,H146)&gt;1,"REVISAR: DUPLICADA","OK"))</f>
        <v/>
      </c>
      <c r="L146" t="str">
        <v>CNT-141</v>
      </c>
      <c r="M146" t="str">
        <v>Activo</v>
      </c>
      <c r="N146" t="str">
        <v>Desodorante para piso x 1 litro. Presentación: 1 litro. Fragancia: Cherry.</v>
      </c>
      <c r="O146" t="str">
        <v>Desodorante para piso. Limpia y perfuma pisos y superficies, dejando un aroma duradero y sensación de frescura en el hogar.</v>
      </c>
    </row>
    <row r="147">
      <c r="F147" t="str">
        <f>IF(H147="","","SUB-"&amp;TEXT(ROW()-5,"000"))</f>
        <v/>
      </c>
      <c r="J147" t="str">
        <f>IF(H147="","",IF(COUNTIF($H$6:$H$305,H147)&gt;1,"REVISAR: DUPLICADA","OK"))</f>
        <v/>
      </c>
      <c r="L147" t="str">
        <v>CNT-142</v>
      </c>
      <c r="M147" t="str">
        <v>Activo</v>
      </c>
      <c r="N147" t="str">
        <v>Desodorante para piso pack x 6 unidades. Presentación: 1 pack. Fragancia: Cherry.</v>
      </c>
      <c r="O147" t="str">
        <v>Desodorante para piso. Limpia y perfuma pisos y superficies, dejando un aroma duradero y sensación de frescura en el hogar.</v>
      </c>
    </row>
    <row r="148">
      <c r="F148" t="str">
        <f>IF(H148="","","SUB-"&amp;TEXT(ROW()-5,"000"))</f>
        <v/>
      </c>
      <c r="J148" t="str">
        <f>IF(H148="","",IF(COUNTIF($H$6:$H$305,H148)&gt;1,"REVISAR: DUPLICADA","OK"))</f>
        <v/>
      </c>
      <c r="L148" t="str">
        <v>CNT-143</v>
      </c>
      <c r="M148" t="str">
        <v>Activo</v>
      </c>
      <c r="N148" t="str">
        <v>Desodorante para piso x 5 litros. Presentación: 5 litros. Fragancia: pino.</v>
      </c>
      <c r="O148" t="str">
        <v>Desodorante para piso. Limpia y perfuma pisos y superficies, dejando un aroma duradero y sensación de frescura en el hogar.</v>
      </c>
    </row>
    <row r="149">
      <c r="F149" t="str">
        <f>IF(H149="","","SUB-"&amp;TEXT(ROW()-5,"000"))</f>
        <v/>
      </c>
      <c r="J149" t="str">
        <f>IF(H149="","",IF(COUNTIF($H$6:$H$305,H149)&gt;1,"REVISAR: DUPLICADA","OK"))</f>
        <v/>
      </c>
      <c r="L149" t="str">
        <v>CNT-144</v>
      </c>
      <c r="M149" t="str">
        <v>Activo</v>
      </c>
      <c r="N149" t="str">
        <v>Desodorante para piso x 1 litro. Presentación: 1 litro. Fragancia: pino.</v>
      </c>
      <c r="O149" t="str">
        <v>Desodorante para piso. Limpia y perfuma pisos y superficies, dejando un aroma duradero y sensación de frescura en el hogar.</v>
      </c>
    </row>
    <row r="150">
      <c r="F150" t="str">
        <f>IF(H150="","","SUB-"&amp;TEXT(ROW()-5,"000"))</f>
        <v/>
      </c>
      <c r="J150" t="str">
        <f>IF(H150="","",IF(COUNTIF($H$6:$H$305,H150)&gt;1,"REVISAR: DUPLICADA","OK"))</f>
        <v/>
      </c>
      <c r="L150" t="str">
        <v>CNT-145</v>
      </c>
      <c r="M150" t="str">
        <v>Activo</v>
      </c>
      <c r="N150" t="str">
        <v>Desodorante para piso pack x 6 unidades. Presentación: 1 pack. Fragancia: pino.</v>
      </c>
      <c r="O150" t="str">
        <v>Desodorante para piso. Limpia y perfuma pisos y superficies, dejando un aroma duradero y sensación de frescura en el hogar.</v>
      </c>
    </row>
    <row r="151">
      <c r="F151" t="str">
        <f>IF(H151="","","SUB-"&amp;TEXT(ROW()-5,"000"))</f>
        <v/>
      </c>
      <c r="J151" t="str">
        <f>IF(H151="","",IF(COUNTIF($H$6:$H$305,H151)&gt;1,"REVISAR: DUPLICADA","OK"))</f>
        <v/>
      </c>
      <c r="L151" t="str">
        <v>CNT-146</v>
      </c>
      <c r="M151" t="str">
        <v>Activo</v>
      </c>
      <c r="N151" t="str">
        <v>Desodorante para piso x 5 litros. Presentación: 5 litros. Fragancia: lavanda.</v>
      </c>
      <c r="O151" t="str">
        <v>Desodorante para piso. Limpia y perfuma pisos y superficies, dejando un aroma duradero y sensación de frescura en el hogar.</v>
      </c>
    </row>
    <row r="152">
      <c r="F152" t="str">
        <f>IF(H152="","","SUB-"&amp;TEXT(ROW()-5,"000"))</f>
        <v/>
      </c>
      <c r="J152" t="str">
        <f>IF(H152="","",IF(COUNTIF($H$6:$H$305,H152)&gt;1,"REVISAR: DUPLICADA","OK"))</f>
        <v/>
      </c>
      <c r="L152" t="str">
        <v>CNT-147</v>
      </c>
      <c r="M152" t="str">
        <v>Activo</v>
      </c>
      <c r="N152" t="str">
        <v>Desodorante para piso x 1 litro. Presentación: 1 litro. Fragancia: lavanda.</v>
      </c>
      <c r="O152" t="str">
        <v>Desodorante para piso. Limpia y perfuma pisos y superficies, dejando un aroma duradero y sensación de frescura en el hogar.</v>
      </c>
    </row>
    <row r="153">
      <c r="F153" t="str">
        <f>IF(H153="","","SUB-"&amp;TEXT(ROW()-5,"000"))</f>
        <v/>
      </c>
      <c r="J153" t="str">
        <f>IF(H153="","",IF(COUNTIF($H$6:$H$305,H153)&gt;1,"REVISAR: DUPLICADA","OK"))</f>
        <v/>
      </c>
      <c r="L153" t="str">
        <v>CNT-148</v>
      </c>
      <c r="M153" t="str">
        <v>Activo</v>
      </c>
      <c r="N153" t="str">
        <v>Desodorante para piso pack x 6 unidades. Presentación: 1 pack. Fragancia: lavanda.</v>
      </c>
      <c r="O153" t="str">
        <v>Desodorante para piso. Limpia y perfuma pisos y superficies, dejando un aroma duradero y sensación de frescura en el hogar.</v>
      </c>
    </row>
    <row r="154">
      <c r="F154" t="str">
        <f>IF(H154="","","SUB-"&amp;TEXT(ROW()-5,"000"))</f>
        <v/>
      </c>
      <c r="J154" t="str">
        <f>IF(H154="","",IF(COUNTIF($H$6:$H$305,H154)&gt;1,"REVISAR: DUPLICADA","OK"))</f>
        <v/>
      </c>
      <c r="L154" t="str">
        <v>CNT-149</v>
      </c>
      <c r="M154" t="str">
        <v>Activo</v>
      </c>
      <c r="N154" t="str">
        <v>Cabo de madera de 1,2 Metros. Presentación: 1 unidad.</v>
      </c>
      <c r="O154" t="str">
        <v>Cabos y mangos. Accesorio resistente y práctico, pensado para facilitar las tareas de limpieza del hogar. Disponible en múltiples fragancias a elección.</v>
      </c>
    </row>
    <row r="155">
      <c r="F155" t="str">
        <f>IF(H155="","","SUB-"&amp;TEXT(ROW()-5,"000"))</f>
        <v/>
      </c>
      <c r="J155" t="str">
        <f>IF(H155="","",IF(COUNTIF($H$6:$H$305,H155)&gt;1,"REVISAR: DUPLICADA","OK"))</f>
        <v/>
      </c>
      <c r="L155" t="str">
        <v>CNT-150</v>
      </c>
      <c r="M155" t="str">
        <v>Activo</v>
      </c>
      <c r="N155" t="str">
        <v>Cabo de madera de 1,5 Metros. Presentación: 1 unidad.</v>
      </c>
      <c r="O155" t="str">
        <v>Cabos y mangos. Accesorio resistente y práctico, pensado para facilitar las tareas de limpieza del hogar. Disponible en múltiples fragancias a elección.</v>
      </c>
    </row>
    <row r="156">
      <c r="F156" t="str">
        <f>IF(H156="","","SUB-"&amp;TEXT(ROW()-5,"000"))</f>
        <v/>
      </c>
      <c r="J156" t="str">
        <f>IF(H156="","",IF(COUNTIF($H$6:$H$305,H156)&gt;1,"REVISAR: DUPLICADA","OK"))</f>
        <v/>
      </c>
      <c r="L156" t="str">
        <v>CNT-151</v>
      </c>
      <c r="M156" t="str">
        <v>Activo</v>
      </c>
      <c r="N156" t="str">
        <v>Cabo de madera de 2 Metros. Presentación: 1 unidad. Fragancia: 2 Metros.</v>
      </c>
      <c r="O156" t="str">
        <v>Cabos y mangos. Accesorio resistente y práctico, pensado para facilitar las tareas de limpieza del hogar.</v>
      </c>
    </row>
    <row r="157">
      <c r="F157" t="str">
        <f>IF(H157="","","SUB-"&amp;TEXT(ROW()-5,"000"))</f>
        <v/>
      </c>
      <c r="J157" t="str">
        <f>IF(H157="","",IF(COUNTIF($H$6:$H$305,H157)&gt;1,"REVISAR: DUPLICADA","OK"))</f>
        <v/>
      </c>
      <c r="L157" t="str">
        <v>CNT-152</v>
      </c>
      <c r="M157" t="str">
        <v>Activo</v>
      </c>
      <c r="N157" t="str">
        <v>Cabo de metal make. Presentación: 1 unidad.</v>
      </c>
      <c r="O157" t="str">
        <v>Cabos y mangos. Accesorio resistente y práctico, pensado para facilitar las tareas de limpieza del hogar.</v>
      </c>
    </row>
    <row r="158">
      <c r="F158" t="str">
        <f>IF(H158="","","SUB-"&amp;TEXT(ROW()-5,"000"))</f>
        <v/>
      </c>
      <c r="J158" t="str">
        <f>IF(H158="","",IF(COUNTIF($H$6:$H$305,H158)&gt;1,"REVISAR: DUPLICADA","OK"))</f>
        <v/>
      </c>
      <c r="L158" t="str">
        <v>CNT-153</v>
      </c>
      <c r="M158" t="str">
        <v>Activo</v>
      </c>
      <c r="N158" t="str">
        <v>Cabo Saca Hojas. Presentación: 1 unidad.</v>
      </c>
      <c r="O158" t="str">
        <v>Cabos y mangos. Accesorio resistente y práctico, pensado para facilitar las tareas de limpieza del hogar.</v>
      </c>
    </row>
    <row r="159">
      <c r="F159" t="str">
        <f>IF(H159="","","SUB-"&amp;TEXT(ROW()-5,"000"))</f>
        <v/>
      </c>
      <c r="J159" t="str">
        <f>IF(H159="","",IF(COUNTIF($H$6:$H$305,H159)&gt;1,"REVISAR: DUPLICADA","OK"))</f>
        <v/>
      </c>
      <c r="L159" t="str">
        <v>CNT-154</v>
      </c>
      <c r="M159" t="str">
        <v>Activo</v>
      </c>
      <c r="N159" t="str">
        <v>Cabo extensible 2 metros. Presentación: 1 unidad.</v>
      </c>
      <c r="O159" t="str">
        <v>Cabos y mangos. Accesorio resistente y práctico, pensado para facilitar las tareas de limpieza del hogar.</v>
      </c>
    </row>
    <row r="160">
      <c r="F160" t="str">
        <f>IF(H160="","","SUB-"&amp;TEXT(ROW()-5,"000"))</f>
        <v/>
      </c>
      <c r="J160" t="str">
        <f>IF(H160="","",IF(COUNTIF($H$6:$H$305,H160)&gt;1,"REVISAR: DUPLICADA","OK"))</f>
        <v/>
      </c>
      <c r="L160" t="str">
        <v>CNT-155</v>
      </c>
      <c r="M160" t="str">
        <v>Activo</v>
      </c>
      <c r="N160" t="str">
        <v>Cabo extensible 3 metros. Presentación: 1 unidad.</v>
      </c>
      <c r="O160" t="str">
        <v>Cabos y mangos. Accesorio resistente y práctico, pensado para facilitar las tareas de limpieza del hogar.</v>
      </c>
    </row>
    <row r="161">
      <c r="F161" t="str">
        <f>IF(H161="","","SUB-"&amp;TEXT(ROW()-5,"000"))</f>
        <v/>
      </c>
      <c r="J161" t="str">
        <f>IF(H161="","",IF(COUNTIF($H$6:$H$305,H161)&gt;1,"REVISAR: DUPLICADA","OK"))</f>
        <v/>
      </c>
      <c r="L161" t="str">
        <v>CNT-156</v>
      </c>
      <c r="M161" t="str">
        <v>Activo</v>
      </c>
      <c r="N161" t="str">
        <v>Esponja de acero 10 Gr. Presentación: 1 unidad.</v>
      </c>
      <c r="O161" t="str">
        <v>Esponjas. Accesorio resistente y práctico, pensado para facilitar las tareas de limpieza del hogar.</v>
      </c>
    </row>
    <row r="162">
      <c r="F162" t="str">
        <f>IF(H162="","","SUB-"&amp;TEXT(ROW()-5,"000"))</f>
        <v/>
      </c>
      <c r="J162" t="str">
        <f>IF(H162="","",IF(COUNTIF($H$6:$H$305,H162)&gt;1,"REVISAR: DUPLICADA","OK"))</f>
        <v/>
      </c>
      <c r="L162" t="str">
        <v>CNT-157</v>
      </c>
      <c r="M162" t="str">
        <v>Activo</v>
      </c>
      <c r="N162" t="str">
        <v>Esponja dorada de 30 Gr. Presentación: 1 unidad.</v>
      </c>
      <c r="O162" t="str">
        <v>Esponjas. Accesorio resistente y práctico, pensado para facilitar las tareas de limpieza del hogar.</v>
      </c>
    </row>
    <row r="163">
      <c r="F163" t="str">
        <f>IF(H163="","","SUB-"&amp;TEXT(ROW()-5,"000"))</f>
        <v/>
      </c>
      <c r="J163" t="str">
        <f>IF(H163="","",IF(COUNTIF($H$6:$H$305,H163)&gt;1,"REVISAR: DUPLICADA","OK"))</f>
        <v/>
      </c>
      <c r="L163" t="str">
        <v>CNT-158</v>
      </c>
      <c r="M163" t="str">
        <v>Activo</v>
      </c>
      <c r="N163" t="str">
        <v>Esponja azul para teflon. Presentación: 1 unidad.</v>
      </c>
      <c r="O163" t="str">
        <v>Esponjas. Accesorio resistente y práctico, pensado para facilitar las tareas de limpieza del hogar.</v>
      </c>
    </row>
    <row r="164">
      <c r="F164" t="str">
        <f>IF(H164="","","SUB-"&amp;TEXT(ROW()-5,"000"))</f>
        <v/>
      </c>
      <c r="J164" t="str">
        <f>IF(H164="","",IF(COUNTIF($H$6:$H$305,H164)&gt;1,"REVISAR: DUPLICADA","OK"))</f>
        <v/>
      </c>
      <c r="L164" t="str">
        <v>CNT-159</v>
      </c>
      <c r="M164" t="str">
        <v>Activo</v>
      </c>
      <c r="N164" t="str">
        <v>Esponja de acero 10 Gr pack de 12 unidades. Presentación: 1 pack.</v>
      </c>
      <c r="O164" t="str">
        <v>Esponjas. Accesorio resistente y práctico, pensado para facilitar las tareas de limpieza del hogar.</v>
      </c>
    </row>
    <row r="165">
      <c r="F165" t="str">
        <f>IF(H165="","","SUB-"&amp;TEXT(ROW()-5,"000"))</f>
        <v/>
      </c>
      <c r="J165" t="str">
        <f>IF(H165="","",IF(COUNTIF($H$6:$H$305,H165)&gt;1,"REVISAR: DUPLICADA","OK"))</f>
        <v/>
      </c>
      <c r="L165" t="str">
        <v>CNT-160</v>
      </c>
      <c r="M165" t="str">
        <v>Activo</v>
      </c>
      <c r="N165" t="str">
        <v>Esponja dorada 30 Gr pack de 12 unidades. Presentación: 1 pack.</v>
      </c>
      <c r="O165" t="str">
        <v>Esponjas. Accesorio resistente y práctico, pensado para facilitar las tareas de limpieza del hogar.</v>
      </c>
    </row>
    <row r="166">
      <c r="F166" t="str">
        <f>IF(H166="","","SUB-"&amp;TEXT(ROW()-5,"000"))</f>
        <v/>
      </c>
      <c r="J166" t="str">
        <f>IF(H166="","",IF(COUNTIF($H$6:$H$305,H166)&gt;1,"REVISAR: DUPLICADA","OK"))</f>
        <v/>
      </c>
      <c r="L166" t="str">
        <v>CNT-161</v>
      </c>
      <c r="M166" t="str">
        <v>Activo</v>
      </c>
      <c r="N166" t="str">
        <v>Lana de acero Make. Presentación: 1 unidad.</v>
      </c>
      <c r="O166" t="str">
        <v>Esponjas. Accesorio resistente y práctico, pensado para facilitar las tareas de limpieza del hogar.</v>
      </c>
    </row>
    <row r="167">
      <c r="F167" t="str">
        <f>IF(H167="","","SUB-"&amp;TEXT(ROW()-5,"000"))</f>
        <v/>
      </c>
      <c r="J167" t="str">
        <f>IF(H167="","",IF(COUNTIF($H$6:$H$305,H167)&gt;1,"REVISAR: DUPLICADA","OK"))</f>
        <v/>
      </c>
      <c r="L167" t="str">
        <v>CNT-162</v>
      </c>
      <c r="M167" t="str">
        <v>Activo</v>
      </c>
      <c r="N167" t="str">
        <v>Lana de acero virulana. Presentación: 1 unidad.</v>
      </c>
      <c r="O167" t="str">
        <v>Esponjas. Accesorio resistente y práctico, pensado para facilitar las tareas de limpieza del hogar.</v>
      </c>
    </row>
    <row r="168">
      <c r="F168" t="str">
        <f>IF(H168="","","SUB-"&amp;TEXT(ROW()-5,"000"))</f>
        <v/>
      </c>
      <c r="J168" t="str">
        <f>IF(H168="","",IF(COUNTIF($H$6:$H$305,H168)&gt;1,"REVISAR: DUPLICADA","OK"))</f>
        <v/>
      </c>
      <c r="L168" t="str">
        <v>CNT-163</v>
      </c>
      <c r="M168" t="str">
        <v>Activo</v>
      </c>
      <c r="N168" t="str">
        <v>Tender Vertical para Ropa 3 niveles. Presentación: 1 unidad.</v>
      </c>
      <c r="O168" t="str">
        <v>Artículos para tender. Accesorio resistente y práctico, pensado para facilitar las tareas de limpieza del hogar.</v>
      </c>
    </row>
    <row r="169">
      <c r="F169" t="str">
        <f>IF(H169="","","SUB-"&amp;TEXT(ROW()-5,"000"))</f>
        <v/>
      </c>
      <c r="J169" t="str">
        <f>IF(H169="","",IF(COUNTIF($H$6:$H$305,H169)&gt;1,"REVISAR: DUPLICADA","OK"))</f>
        <v/>
      </c>
      <c r="L169" t="str">
        <v>CNT-164</v>
      </c>
      <c r="M169" t="str">
        <v>Activo</v>
      </c>
      <c r="N169" t="str">
        <v>Tender Para Medias de 18 Broches. Presentación: 1 unidad.</v>
      </c>
      <c r="O169" t="str">
        <v>Artículos para tender. Accesorio resistente y práctico, pensado para facilitar las tareas de limpieza del hogar.</v>
      </c>
    </row>
    <row r="170">
      <c r="F170" t="str">
        <f>IF(H170="","","SUB-"&amp;TEXT(ROW()-5,"000"))</f>
        <v/>
      </c>
      <c r="J170" t="str">
        <f>IF(H170="","",IF(COUNTIF($H$6:$H$305,H170)&gt;1,"REVISAR: DUPLICADA","OK"))</f>
        <v/>
      </c>
      <c r="L170" t="str">
        <v>CNT-165</v>
      </c>
      <c r="M170" t="str">
        <v>Activo</v>
      </c>
      <c r="N170" t="str">
        <v>Tender 10 varillas con Alas. Presentación: 1 unidad.</v>
      </c>
      <c r="O170" t="str">
        <v>Artículos para tender. Accesorio resistente y práctico, pensado para facilitar las tareas de limpieza del hogar.</v>
      </c>
    </row>
    <row r="171">
      <c r="F171" t="str">
        <f>IF(H171="","","SUB-"&amp;TEXT(ROW()-5,"000"))</f>
        <v/>
      </c>
      <c r="J171" t="str">
        <f>IF(H171="","",IF(COUNTIF($H$6:$H$305,H171)&gt;1,"REVISAR: DUPLICADA","OK"))</f>
        <v/>
      </c>
      <c r="L171" t="str">
        <v>CNT-166</v>
      </c>
      <c r="M171" t="str">
        <v>Activo</v>
      </c>
      <c r="N171" t="str">
        <v>Broches Plasticos x 12 unidades. Presentación: 1 pack.</v>
      </c>
      <c r="O171" t="str">
        <v>Artículos para tender. Accesorio resistente y práctico, pensado para facilitar las tareas de limpieza del hogar.</v>
      </c>
    </row>
    <row r="172">
      <c r="F172" t="str">
        <f>IF(H172="","","SUB-"&amp;TEXT(ROW()-5,"000"))</f>
        <v/>
      </c>
      <c r="J172" t="str">
        <f>IF(H172="","",IF(COUNTIF($H$6:$H$305,H172)&gt;1,"REVISAR: DUPLICADA","OK"))</f>
        <v/>
      </c>
      <c r="L172" t="str">
        <v>CNT-167</v>
      </c>
      <c r="M172" t="str">
        <v>Activo</v>
      </c>
      <c r="N172" t="str">
        <v>Broches Madera x 12 unidades. Presentación: 1 pack.</v>
      </c>
      <c r="O172" t="str">
        <v>Artículos para tender. Accesorio resistente y práctico, pensado para facilitar las tareas de limpieza del hogar.</v>
      </c>
    </row>
    <row r="173">
      <c r="F173" t="str">
        <f>IF(H173="","","SUB-"&amp;TEXT(ROW()-5,"000"))</f>
        <v/>
      </c>
      <c r="J173" t="str">
        <f>IF(H173="","",IF(COUNTIF($H$6:$H$305,H173)&gt;1,"REVISAR: DUPLICADA","OK"))</f>
        <v/>
      </c>
      <c r="L173" t="str">
        <v>CNT-168</v>
      </c>
      <c r="M173" t="str">
        <v>Activo</v>
      </c>
      <c r="N173" t="str">
        <v>Cepillo Lava Espalda Plastico. Presentación: 1 unidad.</v>
      </c>
      <c r="O173" t="str">
        <v>Accesorios de baño. Elimina suciedad y gérmenes en inodoros, azulejos y superficies del baño, dejando un aroma agradable.</v>
      </c>
    </row>
    <row r="174">
      <c r="F174" t="str">
        <f>IF(H174="","","SUB-"&amp;TEXT(ROW()-5,"000"))</f>
        <v/>
      </c>
      <c r="J174" t="str">
        <f>IF(H174="","",IF(COUNTIF($H$6:$H$305,H174)&gt;1,"REVISAR: DUPLICADA","OK"))</f>
        <v/>
      </c>
      <c r="L174" t="str">
        <v>CNT-169</v>
      </c>
      <c r="M174" t="str">
        <v>Activo</v>
      </c>
      <c r="N174" t="str">
        <v>Jabonera Deseplast. Presentación: 1 unidad.</v>
      </c>
      <c r="O174" t="str">
        <v>Accesorios de baño. Elimina suciedad y gérmenes en inodoros, azulejos y superficies del baño, dejando un aroma agradable.</v>
      </c>
    </row>
    <row r="175">
      <c r="F175" t="str">
        <f>IF(H175="","","SUB-"&amp;TEXT(ROW()-5,"000"))</f>
        <v/>
      </c>
      <c r="J175" t="str">
        <f>IF(H175="","",IF(COUNTIF($H$6:$H$305,H175)&gt;1,"REVISAR: DUPLICADA","OK"))</f>
        <v/>
      </c>
      <c r="L175" t="str">
        <v>CNT-170</v>
      </c>
      <c r="M175" t="str">
        <v>Activo</v>
      </c>
      <c r="N175" t="str">
        <v>Limpiador Adhesivo inodoro. Presentación: 1 unidad. Marca Pato.</v>
      </c>
      <c r="O175" t="str">
        <v>Accesorios de baño. Elimina suciedad y gérmenes en inodoros, azulejos y superficies del baño, dejando un aroma agradable.</v>
      </c>
    </row>
    <row r="176">
      <c r="F176" t="str">
        <f>IF(H176="","","SUB-"&amp;TEXT(ROW()-5,"000"))</f>
        <v/>
      </c>
      <c r="J176" t="str">
        <f>IF(H176="","",IF(COUNTIF($H$6:$H$305,H176)&gt;1,"REVISAR: DUPLICADA","OK"))</f>
        <v/>
      </c>
      <c r="L176" t="str">
        <v>CNT-171</v>
      </c>
      <c r="M176" t="str">
        <v>Activo</v>
      </c>
      <c r="N176" t="str">
        <v>Pastilla para inodoro. Presentación: 1 unidad. Marca Glade.</v>
      </c>
      <c r="O176" t="str">
        <v>Accesorios de baño. Elimina suciedad y gérmenes en inodoros, azulejos y superficies del baño, dejando un aroma agradable.</v>
      </c>
    </row>
    <row r="177">
      <c r="F177" t="str">
        <f>IF(H177="","","SUB-"&amp;TEXT(ROW()-5,"000"))</f>
        <v/>
      </c>
      <c r="J177" t="str">
        <f>IF(H177="","",IF(COUNTIF($H$6:$H$305,H177)&gt;1,"REVISAR: DUPLICADA","OK"))</f>
        <v/>
      </c>
      <c r="L177" t="str">
        <v>CNT-172</v>
      </c>
      <c r="M177" t="str">
        <v>Activo</v>
      </c>
      <c r="N177" t="str">
        <v>Protector cortina de baño. Presentación: 1 unidad.</v>
      </c>
      <c r="O177" t="str">
        <v>Accesorios de baño. Elimina suciedad y gérmenes en inodoros, azulejos y superficies del baño, dejando un aroma agradable.</v>
      </c>
    </row>
    <row r="178">
      <c r="F178" t="str">
        <f>IF(H178="","","SUB-"&amp;TEXT(ROW()-5,"000"))</f>
        <v/>
      </c>
      <c r="J178" t="str">
        <f>IF(H178="","",IF(COUNTIF($H$6:$H$305,H178)&gt;1,"REVISAR: DUPLICADA","OK"))</f>
        <v/>
      </c>
      <c r="L178" t="str">
        <v>CNT-173</v>
      </c>
      <c r="M178" t="str">
        <v>Activo</v>
      </c>
      <c r="N178" t="str">
        <v>Poett Desodorante de Ambiente. Presentación: 1 unidad. Marca Poe.</v>
      </c>
      <c r="O178" t="str">
        <v>Aerosol ambiental. Perfuma ambientes y textiles con una fragancia agradable y duradera, ideal para dejar todo con olor a limpio.</v>
      </c>
    </row>
    <row r="179">
      <c r="F179" t="str">
        <f>IF(H179="","","SUB-"&amp;TEXT(ROW()-5,"000"))</f>
        <v/>
      </c>
      <c r="J179" t="str">
        <f>IF(H179="","",IF(COUNTIF($H$6:$H$305,H179)&gt;1,"REVISAR: DUPLICADA","OK"))</f>
        <v/>
      </c>
      <c r="L179" t="str">
        <v>CNT-174</v>
      </c>
      <c r="M179" t="str">
        <v>Activo</v>
      </c>
      <c r="N179" t="str">
        <v>Lysoform Desisfectante. Presentación: 1 unidad.</v>
      </c>
      <c r="O179" t="str">
        <v>Aerosol desinfectante. Elimina bacterias y gérmenes, desinfectando a fondo superficies del hogar, comercios e industrias.</v>
      </c>
    </row>
    <row r="180">
      <c r="F180" t="str">
        <f>IF(H180="","","SUB-"&amp;TEXT(ROW()-5,"000"))</f>
        <v/>
      </c>
      <c r="J180" t="str">
        <f>IF(H180="","",IF(COUNTIF($H$6:$H$305,H180)&gt;1,"REVISAR: DUPLICADA","OK"))</f>
        <v/>
      </c>
      <c r="L180" t="str">
        <v>CNT-175</v>
      </c>
      <c r="M180" t="str">
        <v>Activo</v>
      </c>
      <c r="N180" t="str">
        <v>Lustra Muebles. Presentación: 1 unidad. Marca Blem.</v>
      </c>
      <c r="O180" t="str">
        <v>Lustramuebles. Producto práctico pensado para facilitar las tareas diarias del hogar.</v>
      </c>
    </row>
    <row r="181">
      <c r="F181" t="str">
        <f>IF(H181="","","SUB-"&amp;TEXT(ROW()-5,"000"))</f>
        <v/>
      </c>
      <c r="J181" t="str">
        <f>IF(H181="","",IF(COUNTIF($H$6:$H$305,H181)&gt;1,"REVISAR: DUPLICADA","OK"))</f>
        <v/>
      </c>
      <c r="L181" t="str">
        <v>CNT-176</v>
      </c>
      <c r="M181" t="str">
        <v>Activo</v>
      </c>
      <c r="N181" t="str">
        <v>Limpiador para hornos. Presentación: 1 unidad. Marca Mr. Musculo.</v>
      </c>
      <c r="O181" t="str">
        <v>Limpiador de horno. Ideal para desengrasar y limpiar utensilios, vajilla y superficies de cocina de forma rápida y efectiva.</v>
      </c>
    </row>
    <row r="182">
      <c r="F182" t="str">
        <f>IF(H182="","","SUB-"&amp;TEXT(ROW()-5,"000"))</f>
        <v/>
      </c>
      <c r="J182" t="str">
        <f>IF(H182="","",IF(COUNTIF($H$6:$H$305,H182)&gt;1,"REVISAR: DUPLICADA","OK"))</f>
        <v/>
      </c>
      <c r="L182" t="str">
        <v>CNT-177</v>
      </c>
      <c r="M182" t="str">
        <v>Activo</v>
      </c>
      <c r="N182" t="str">
        <v>Apresto Danubio. Presentación: 1 unidad. Marca Apresto Danubio.</v>
      </c>
      <c r="O182" t="str">
        <v>Apresto para ropa. Cuida las fibras de la ropa, suaviza y deja un aroma agradable y duradero en cada lavado.</v>
      </c>
    </row>
    <row r="183">
      <c r="F183" t="str">
        <f>IF(H183="","","SUB-"&amp;TEXT(ROW()-5,"000"))</f>
        <v/>
      </c>
      <c r="J183" t="str">
        <f>IF(H183="","",IF(COUNTIF($H$6:$H$305,H183)&gt;1,"REVISAR: DUPLICADA","OK"))</f>
        <v/>
      </c>
      <c r="L183" t="str">
        <v>CNT-178</v>
      </c>
      <c r="M183" t="str">
        <v>Activo</v>
      </c>
      <c r="N183" t="str">
        <v>Fuyi Mata Moscas y Mosquitos. Presentación: 1 unidad.</v>
      </c>
      <c r="O183" t="str">
        <v>Insecticidas. Producto práctico pensado para facilitar las tareas diarias del hogar.</v>
      </c>
    </row>
    <row r="184">
      <c r="F184" t="str">
        <f>IF(H184="","","SUB-"&amp;TEXT(ROW()-5,"000"))</f>
        <v/>
      </c>
      <c r="J184" t="str">
        <f>IF(H184="","",IF(COUNTIF($H$6:$H$305,H184)&gt;1,"REVISAR: DUPLICADA","OK"))</f>
        <v/>
      </c>
      <c r="L184" t="str">
        <v>CNT-179</v>
      </c>
      <c r="M184" t="str">
        <v>Activo</v>
      </c>
      <c r="N184" t="str">
        <v>Raid Azul. Presentación: 1 unidad.</v>
      </c>
      <c r="O184" t="str">
        <v>Insecticidas. Producto práctico pensado para facilitar las tareas diarias del hogar.</v>
      </c>
    </row>
    <row r="185">
      <c r="F185" t="str">
        <f>IF(H185="","","SUB-"&amp;TEXT(ROW()-5,"000"))</f>
        <v/>
      </c>
      <c r="J185" t="str">
        <f>IF(H185="","",IF(COUNTIF($H$6:$H$305,H185)&gt;1,"REVISAR: DUPLICADA","OK"))</f>
        <v/>
      </c>
      <c r="L185" t="str">
        <v>CNT-180</v>
      </c>
      <c r="M185" t="str">
        <v>Activo</v>
      </c>
      <c r="N185" t="str">
        <v>Raid Negro. Presentación: 1 unidad.</v>
      </c>
      <c r="O185" t="str">
        <v>Insecticidas. Producto práctico pensado para facilitar las tareas diarias del hogar.</v>
      </c>
    </row>
    <row r="186">
      <c r="F186" t="str">
        <f>IF(H186="","","SUB-"&amp;TEXT(ROW()-5,"000"))</f>
        <v/>
      </c>
      <c r="J186" t="str">
        <f>IF(H186="","",IF(COUNTIF($H$6:$H$305,H186)&gt;1,"REVISAR: DUPLICADA","OK"))</f>
        <v/>
      </c>
      <c r="L186" t="str">
        <v>CNT-181</v>
      </c>
      <c r="M186" t="str">
        <v>Activo</v>
      </c>
      <c r="N186" t="str">
        <v>Guantes de Goma Make. Presentación: 1 unidad. Fragancia: Talle S.</v>
      </c>
      <c r="O186" t="str">
        <v>Guantes. Accesorio resistente y práctico, pensado para facilitar las tareas de limpieza del hogar.</v>
      </c>
    </row>
    <row r="187">
      <c r="F187" t="str">
        <f>IF(H187="","","SUB-"&amp;TEXT(ROW()-5,"000"))</f>
        <v/>
      </c>
      <c r="J187" t="str">
        <f>IF(H187="","",IF(COUNTIF($H$6:$H$305,H187)&gt;1,"REVISAR: DUPLICADA","OK"))</f>
        <v/>
      </c>
      <c r="L187" t="str">
        <v>CNT-182</v>
      </c>
      <c r="M187" t="str">
        <v>Activo</v>
      </c>
      <c r="N187" t="str">
        <v>Guantes de Goma Make. Presentación: 1 unidad. Fragancia: Talle M.</v>
      </c>
      <c r="O187" t="str">
        <v>Guantes. Accesorio resistente y práctico, pensado para facilitar las tareas de limpieza del hogar.</v>
      </c>
    </row>
    <row r="188">
      <c r="F188" t="str">
        <f>IF(H188="","","SUB-"&amp;TEXT(ROW()-5,"000"))</f>
        <v/>
      </c>
      <c r="J188" t="str">
        <f>IF(H188="","",IF(COUNTIF($H$6:$H$305,H188)&gt;1,"REVISAR: DUPLICADA","OK"))</f>
        <v/>
      </c>
      <c r="L188" t="str">
        <v>CNT-183</v>
      </c>
      <c r="M188" t="str">
        <v>Activo</v>
      </c>
      <c r="N188" t="str">
        <v>Guantes de Goma Make. Presentación: 1 unidad. Fragancia: Talle L.</v>
      </c>
      <c r="O188" t="str">
        <v>Guantes. Accesorio resistente y práctico, pensado para facilitar las tareas de limpieza del hogar.</v>
      </c>
    </row>
    <row r="189">
      <c r="F189" t="str">
        <f>IF(H189="","","SUB-"&amp;TEXT(ROW()-5,"000"))</f>
        <v/>
      </c>
      <c r="J189" t="str">
        <f>IF(H189="","",IF(COUNTIF($H$6:$H$305,H189)&gt;1,"REVISAR: DUPLICADA","OK"))</f>
        <v/>
      </c>
      <c r="L189" t="str">
        <v>CNT-184</v>
      </c>
      <c r="M189" t="str">
        <v>Activo</v>
      </c>
      <c r="N189" t="str">
        <v>Guantes de Goma Make. Presentación: 1 unidad. Fragancia: Talle XL.</v>
      </c>
      <c r="O189" t="str">
        <v>Guantes. Accesorio resistente y práctico, pensado para facilitar las tareas de limpieza del hogar.</v>
      </c>
    </row>
    <row r="190">
      <c r="F190" t="str">
        <f>IF(H190="","","SUB-"&amp;TEXT(ROW()-5,"000"))</f>
        <v/>
      </c>
      <c r="J190" t="str">
        <f>IF(H190="","",IF(COUNTIF($H$6:$H$305,H190)&gt;1,"REVISAR: DUPLICADA","OK"))</f>
        <v/>
      </c>
      <c r="L190" t="str">
        <v>CNT-185</v>
      </c>
      <c r="M190" t="str">
        <v>Activo</v>
      </c>
      <c r="N190" t="str">
        <v>Guantes de Latex descartable Caja x 100 unidades. Presentación: 1 pack.</v>
      </c>
      <c r="O190" t="str">
        <v>Guantes. Accesorio resistente y práctico, pensado para facilitar las tareas de limpieza del hogar.</v>
      </c>
    </row>
    <row r="191">
      <c r="F191" t="str">
        <f>IF(H191="","","SUB-"&amp;TEXT(ROW()-5,"000"))</f>
        <v/>
      </c>
      <c r="J191" t="str">
        <f>IF(H191="","",IF(COUNTIF($H$6:$H$305,H191)&gt;1,"REVISAR: DUPLICADA","OK"))</f>
        <v/>
      </c>
      <c r="L191" t="str">
        <v>CNT-186</v>
      </c>
      <c r="M191" t="str">
        <v>Activo</v>
      </c>
      <c r="N191" t="str">
        <v>Guantes de Nitrilo Caja x 100 unidades. Presentación: 1 pack.</v>
      </c>
      <c r="O191" t="str">
        <v>Guantes. Accesorio resistente y práctico, pensado para facilitar las tareas de limpieza del hogar.</v>
      </c>
    </row>
    <row r="192">
      <c r="F192" t="str">
        <f>IF(H192="","","SUB-"&amp;TEXT(ROW()-5,"000"))</f>
        <v/>
      </c>
      <c r="J192" t="str">
        <f>IF(H192="","",IF(COUNTIF($H$6:$H$305,H192)&gt;1,"REVISAR: DUPLICADA","OK"))</f>
        <v/>
      </c>
      <c r="L192" t="str">
        <v>CNT-187</v>
      </c>
      <c r="M192" t="str">
        <v>Activo</v>
      </c>
      <c r="N192" t="str">
        <v>Escurre Facil Iberia. Presentación: 1 unidad. Marca Iberia.</v>
      </c>
      <c r="O192" t="str">
        <v>Mopas. Accesorio resistente y práctico, pensado para facilitar las tareas de limpieza del hogar.</v>
      </c>
    </row>
    <row r="193">
      <c r="F193" t="str">
        <f>IF(H193="","","SUB-"&amp;TEXT(ROW()-5,"000"))</f>
        <v/>
      </c>
      <c r="J193" t="str">
        <f>IF(H193="","",IF(COUNTIF($H$6:$H$305,H193)&gt;1,"REVISAR: DUPLICADA","OK"))</f>
        <v/>
      </c>
      <c r="L193" t="str">
        <v>CNT-188</v>
      </c>
      <c r="M193" t="str">
        <v>Activo</v>
      </c>
      <c r="N193" t="str">
        <v>Mopa Algodon Amarillo MrTrapo. Presentación: 1 unidad. Marca MrTrapo.</v>
      </c>
      <c r="O193" t="str">
        <v>Mopas. Accesorio resistente y práctico, pensado para facilitar las tareas de limpieza del hogar.</v>
      </c>
    </row>
    <row r="194">
      <c r="F194" t="str">
        <f>IF(H194="","","SUB-"&amp;TEXT(ROW()-5,"000"))</f>
        <v/>
      </c>
      <c r="J194" t="str">
        <f>IF(H194="","",IF(COUNTIF($H$6:$H$305,H194)&gt;1,"REVISAR: DUPLICADA","OK"))</f>
        <v/>
      </c>
      <c r="L194" t="str">
        <v>CNT-189</v>
      </c>
      <c r="M194" t="str">
        <v>Activo</v>
      </c>
      <c r="N194" t="str">
        <v>Mopa Amarilla Romyl. Presentación: 1 unidad. Marca Romyl.</v>
      </c>
      <c r="O194" t="str">
        <v>Mopas. Accesorio resistente y práctico, pensado para facilitar las tareas de limpieza del hogar.</v>
      </c>
    </row>
    <row r="195">
      <c r="F195" t="str">
        <f>IF(H195="","","SUB-"&amp;TEXT(ROW()-5,"000"))</f>
        <v/>
      </c>
      <c r="J195" t="str">
        <f>IF(H195="","",IF(COUNTIF($H$6:$H$305,H195)&gt;1,"REVISAR: DUPLICADA","OK"))</f>
        <v/>
      </c>
      <c r="L195" t="str">
        <v>CNT-190</v>
      </c>
      <c r="M195" t="str">
        <v>Activo</v>
      </c>
      <c r="N195" t="str">
        <v>Mopa Blanca Algodon FibranSur. Presentación: 1 unidad. Marca Fibran Sur.</v>
      </c>
      <c r="O195" t="str">
        <v>Mopas. Accesorio resistente y práctico, pensado para facilitar las tareas de limpieza del hogar.</v>
      </c>
    </row>
    <row r="196">
      <c r="F196" t="str">
        <f>IF(H196="","","SUB-"&amp;TEXT(ROW()-5,"000"))</f>
        <v/>
      </c>
      <c r="J196" t="str">
        <f>IF(H196="","",IF(COUNTIF($H$6:$H$305,H196)&gt;1,"REVISAR: DUPLICADA","OK"))</f>
        <v/>
      </c>
      <c r="L196" t="str">
        <v>CNT-191</v>
      </c>
      <c r="M196" t="str">
        <v>Activo</v>
      </c>
      <c r="N196" t="str">
        <v>Mopa Blanca Algodon Make. Presentación: 1 unidad.</v>
      </c>
      <c r="O196" t="str">
        <v>Mopas. Accesorio resistente y práctico, pensado para facilitar las tareas de limpieza del hogar.</v>
      </c>
    </row>
    <row r="197">
      <c r="F197" t="str">
        <f>IF(H197="","","SUB-"&amp;TEXT(ROW()-5,"000"))</f>
        <v/>
      </c>
      <c r="J197" t="str">
        <f>IF(H197="","",IF(COUNTIF($H$6:$H$305,H197)&gt;1,"REVISAR: DUPLICADA","OK"))</f>
        <v/>
      </c>
      <c r="L197" t="str">
        <v>CNT-192</v>
      </c>
      <c r="M197" t="str">
        <v>Activo</v>
      </c>
      <c r="N197" t="str">
        <v>Repuesto Mopa Pelo Corto Turbo Facil. Presentación: 1 unidad. Marca Turbo Facil.</v>
      </c>
      <c r="O197" t="str">
        <v>Repuestos. Accesorio resistente y práctico, pensado para facilitar las tareas de limpieza del hogar.</v>
      </c>
    </row>
    <row r="198">
      <c r="F198" t="str">
        <f>IF(H198="","","SUB-"&amp;TEXT(ROW()-5,"000"))</f>
        <v/>
      </c>
      <c r="J198" t="str">
        <f>IF(H198="","",IF(COUNTIF($H$6:$H$305,H198)&gt;1,"REVISAR: DUPLICADA","OK"))</f>
        <v/>
      </c>
      <c r="L198" t="str">
        <v>CNT-193</v>
      </c>
      <c r="M198" t="str">
        <v>Activo</v>
      </c>
      <c r="N198" t="str">
        <v>Repuesto Mopa Pelo Largo Turbo Matic. Presentación: 1 unidad. Marca Turbo Matic.</v>
      </c>
      <c r="O198" t="str">
        <v>Repuestos. Accesorio resistente y práctico, pensado para facilitar las tareas de limpieza del hogar.</v>
      </c>
    </row>
    <row r="199">
      <c r="F199" t="str">
        <f>IF(H199="","","SUB-"&amp;TEXT(ROW()-5,"000"))</f>
        <v/>
      </c>
      <c r="J199" t="str">
        <f>IF(H199="","",IF(COUNTIF($H$6:$H$305,H199)&gt;1,"REVISAR: DUPLICADA","OK"))</f>
        <v/>
      </c>
      <c r="L199" t="str">
        <v>CNT-194</v>
      </c>
      <c r="M199" t="str">
        <v>Activo</v>
      </c>
      <c r="N199" t="str">
        <v>Balde Mopa 9 lts Matriplaster. Presentación: 1 unidad. Marca Matriplaster.</v>
      </c>
      <c r="O199" t="str">
        <v>Baldes y recipientes. Accesorio resistente y práctico, pensado para facilitar las tareas de limpieza del hogar.</v>
      </c>
    </row>
    <row r="200">
      <c r="F200" t="str">
        <f>IF(H200="","","SUB-"&amp;TEXT(ROW()-5,"000"))</f>
        <v/>
      </c>
      <c r="J200" t="str">
        <f>IF(H200="","",IF(COUNTIF($H$6:$H$305,H200)&gt;1,"REVISAR: DUPLICADA","OK"))</f>
        <v/>
      </c>
      <c r="L200" t="str">
        <v>CNT-195</v>
      </c>
      <c r="M200" t="str">
        <v>Activo</v>
      </c>
      <c r="N200" t="str">
        <v>Balde Mopa 14 lts Matriplaster. Presentación: 1 unidad. Marca Matriplaster.</v>
      </c>
      <c r="O200" t="str">
        <v>Baldes y recipientes. Accesorio resistente y práctico, pensado para facilitar las tareas de limpieza del hogar.</v>
      </c>
    </row>
    <row r="201">
      <c r="F201" t="str">
        <f>IF(H201="","","SUB-"&amp;TEXT(ROW()-5,"000"))</f>
        <v/>
      </c>
      <c r="J201" t="str">
        <f>IF(H201="","",IF(COUNTIF($H$6:$H$305,H201)&gt;1,"REVISAR: DUPLICADA","OK"))</f>
        <v/>
      </c>
      <c r="L201" t="str">
        <v>CNT-196</v>
      </c>
      <c r="M201" t="str">
        <v>Activo</v>
      </c>
      <c r="N201" t="str">
        <v>Balde x 10 lts. Presentación: 1 unidad.</v>
      </c>
      <c r="O201" t="str">
        <v>Baldes y recipientes. Accesorio resistente y práctico, pensado para facilitar las tareas de limpieza del hogar.</v>
      </c>
    </row>
    <row r="202">
      <c r="F202" t="str">
        <f>IF(H202="","","SUB-"&amp;TEXT(ROW()-5,"000"))</f>
        <v/>
      </c>
      <c r="J202" t="str">
        <f>IF(H202="","",IF(COUNTIF($H$6:$H$305,H202)&gt;1,"REVISAR: DUPLICADA","OK"))</f>
        <v/>
      </c>
      <c r="L202" t="str">
        <v>CNT-197</v>
      </c>
      <c r="M202" t="str">
        <v>Activo</v>
      </c>
      <c r="N202" t="str">
        <v>Balde x 12 lts. Presentación: 1 unidad.</v>
      </c>
      <c r="O202" t="str">
        <v>Baldes y recipientes. Accesorio resistente y práctico, pensado para facilitar las tareas de limpieza del hogar.</v>
      </c>
    </row>
    <row r="203">
      <c r="F203" t="str">
        <f>IF(H203="","","SUB-"&amp;TEXT(ROW()-5,"000"))</f>
        <v/>
      </c>
      <c r="J203" t="str">
        <f>IF(H203="","",IF(COUNTIF($H$6:$H$305,H203)&gt;1,"REVISAR: DUPLICADA","OK"))</f>
        <v/>
      </c>
      <c r="L203" t="str">
        <v>CNT-198</v>
      </c>
      <c r="M203" t="str">
        <v>Activo</v>
      </c>
      <c r="N203" t="str">
        <v>Balde Mopa Duo Matriplaster. Presentación: 1 unidad. Marca Matriplaster.</v>
      </c>
      <c r="O203" t="str">
        <v>Baldes y recipientes. Accesorio resistente y práctico, pensado para facilitar las tareas de limpieza del hogar.</v>
      </c>
    </row>
    <row r="204">
      <c r="F204" t="str">
        <f>IF(H204="","","SUB-"&amp;TEXT(ROW()-5,"000"))</f>
        <v/>
      </c>
      <c r="J204" t="str">
        <f>IF(H204="","",IF(COUNTIF($H$6:$H$305,H204)&gt;1,"REVISAR: DUPLICADA","OK"))</f>
        <v/>
      </c>
      <c r="L204" t="str">
        <v>CNT-199</v>
      </c>
      <c r="M204" t="str">
        <v>Activo</v>
      </c>
      <c r="N204" t="str">
        <v>Balde Mopa Plana. Presentación: 1 unidad.</v>
      </c>
      <c r="O204" t="str">
        <v>Baldes y recipientes. Accesorio resistente y práctico, pensado para facilitar las tareas de limpieza del hogar.</v>
      </c>
    </row>
    <row r="205">
      <c r="F205" t="str">
        <f>IF(H205="","","SUB-"&amp;TEXT(ROW()-5,"000"))</f>
        <v/>
      </c>
      <c r="J205" t="str">
        <f>IF(H205="","",IF(COUNTIF($H$6:$H$305,H205)&gt;1,"REVISAR: DUPLICADA","OK"))</f>
        <v/>
      </c>
      <c r="L205" t="str">
        <v>CNT-200</v>
      </c>
      <c r="M205" t="str">
        <v>Activo</v>
      </c>
      <c r="N205" t="str">
        <v>Alguicida Clorotec 1 litro. Presentación: 1 litro. Marca Clorotec.</v>
      </c>
      <c r="O205" t="str">
        <v>Líquidos. Mantiene el agua de la pileta limpia, clara y segura para el baño durante toda la temporada.</v>
      </c>
    </row>
    <row r="206">
      <c r="F206" t="str">
        <f>IF(H206="","","SUB-"&amp;TEXT(ROW()-5,"000"))</f>
        <v/>
      </c>
      <c r="J206" t="str">
        <f>IF(H206="","",IF(COUNTIF($H$6:$H$305,H206)&gt;1,"REVISAR: DUPLICADA","OK"))</f>
        <v/>
      </c>
      <c r="L206" t="str">
        <v>CNT-201</v>
      </c>
      <c r="M206" t="str">
        <v>Activo</v>
      </c>
      <c r="N206" t="str">
        <v>Clarificante Clorotec 1 litro. Presentación: 1 litro. Marca Clorotec.</v>
      </c>
      <c r="O206" t="str">
        <v>Líquidos. Mantiene el agua de la pileta limpia, clara y segura para el baño durante toda la temporada.</v>
      </c>
    </row>
    <row r="207">
      <c r="F207" t="str">
        <f>IF(H207="","","SUB-"&amp;TEXT(ROW()-5,"000"))</f>
        <v/>
      </c>
      <c r="J207" t="str">
        <f>IF(H207="","",IF(COUNTIF($H$6:$H$305,H207)&gt;1,"REVISAR: DUPLICADA","OK"))</f>
        <v/>
      </c>
      <c r="L207" t="str">
        <v>CNT-202</v>
      </c>
      <c r="M207" t="str">
        <v>Activo</v>
      </c>
      <c r="N207" t="str">
        <v>Regulador PH 5 litros. Presentación: 5 litros.</v>
      </c>
      <c r="O207" t="str">
        <v>Líquidos. Mantiene el agua de la pileta limpia, clara y segura para el baño durante toda la temporada.</v>
      </c>
    </row>
    <row r="208">
      <c r="F208" t="str">
        <f>IF(H208="","","SUB-"&amp;TEXT(ROW()-5,"000"))</f>
        <v/>
      </c>
      <c r="J208" t="str">
        <f>IF(H208="","",IF(COUNTIF($H$6:$H$305,H208)&gt;1,"REVISAR: DUPLICADA","OK"))</f>
        <v/>
      </c>
      <c r="L208" t="str">
        <v>CNT-203</v>
      </c>
      <c r="M208" t="str">
        <v>Activo</v>
      </c>
      <c r="N208" t="str">
        <v>Cloro Granulado Lento x 50 kg. Presentación: 50 kilos.</v>
      </c>
      <c r="O208" t="str">
        <v>Químicos. Mantiene el agua de la pileta limpia, clara y segura para el baño durante toda la temporada.</v>
      </c>
    </row>
    <row r="209">
      <c r="F209" t="str">
        <f>IF(H209="","","SUB-"&amp;TEXT(ROW()-5,"000"))</f>
        <v/>
      </c>
      <c r="J209" t="str">
        <f>IF(H209="","",IF(COUNTIF($H$6:$H$305,H209)&gt;1,"REVISAR: DUPLICADA","OK"))</f>
        <v/>
      </c>
      <c r="L209" t="str">
        <v>CNT-204</v>
      </c>
      <c r="M209" t="str">
        <v>Activo</v>
      </c>
      <c r="N209" t="str">
        <v>Cloro Granulado Lento 1 kg. Presentación: 1 kilo.</v>
      </c>
      <c r="O209" t="str">
        <v>Químicos. Mantiene el agua de la pileta limpia, clara y segura para el baño durante toda la temporada.</v>
      </c>
    </row>
    <row r="210">
      <c r="F210" t="str">
        <f>IF(H210="","","SUB-"&amp;TEXT(ROW()-5,"000"))</f>
        <v/>
      </c>
      <c r="J210" t="str">
        <f>IF(H210="","",IF(COUNTIF($H$6:$H$305,H210)&gt;1,"REVISAR: DUPLICADA","OK"))</f>
        <v/>
      </c>
      <c r="L210" t="str">
        <v>CNT-205</v>
      </c>
      <c r="M210" t="str">
        <v>Activo</v>
      </c>
      <c r="N210" t="str">
        <v>Reactivos x 2. Presentación: 1 unidad.</v>
      </c>
      <c r="O210" t="str">
        <v>Químicos. Mantiene el agua de la pileta limpia, clara y segura para el baño durante toda la temporada.</v>
      </c>
    </row>
    <row r="211">
      <c r="F211" t="str">
        <f>IF(H211="","","SUB-"&amp;TEXT(ROW()-5,"000"))</f>
        <v/>
      </c>
      <c r="J211" t="str">
        <f>IF(H211="","",IF(COUNTIF($H$6:$H$305,H211)&gt;1,"REVISAR: DUPLICADA","OK"))</f>
        <v/>
      </c>
      <c r="L211" t="str">
        <v>CNT-206</v>
      </c>
      <c r="M211" t="str">
        <v>Activo</v>
      </c>
      <c r="N211" t="str">
        <v>Pastillas de Cloro triple Accion de 200 gr pack x 5 pastillas. Presentación: 1 pack.</v>
      </c>
      <c r="O211" t="str">
        <v>Químicos. Mantiene el agua de la pileta limpia, clara y segura para el baño durante toda la temporada.</v>
      </c>
    </row>
    <row r="212">
      <c r="F212" t="str">
        <f>IF(H212="","","SUB-"&amp;TEXT(ROW()-5,"000"))</f>
        <v/>
      </c>
      <c r="J212" t="str">
        <f>IF(H212="","",IF(COUNTIF($H$6:$H$305,H212)&gt;1,"REVISAR: DUPLICADA","OK"))</f>
        <v/>
      </c>
      <c r="L212" t="str">
        <v>CNT-207</v>
      </c>
      <c r="M212" t="str">
        <v>Activo</v>
      </c>
      <c r="N212" t="str">
        <v>Test kit. Presentación: 1 unidad.</v>
      </c>
      <c r="O212" t="str">
        <v>Químicos. Mantiene el agua de la pileta limpia, clara y segura para el baño durante toda la temporada.</v>
      </c>
    </row>
    <row r="213">
      <c r="F213" t="str">
        <f>IF(H213="","","SUB-"&amp;TEXT(ROW()-5,"000"))</f>
        <v/>
      </c>
      <c r="J213" t="str">
        <f>IF(H213="","",IF(COUNTIF($H$6:$H$305,H213)&gt;1,"REVISAR: DUPLICADA","OK"))</f>
        <v/>
      </c>
      <c r="L213" t="str">
        <v>CNT-208</v>
      </c>
      <c r="M213" t="str">
        <v>Activo</v>
      </c>
      <c r="N213" t="str">
        <v>Manguera 1'' x 15 mts. Presentación: 1 unidad.</v>
      </c>
      <c r="O213" t="str">
        <v>Mangueras. Mantiene el agua de la pileta limpia, clara y segura para el baño durante toda la temporada.</v>
      </c>
    </row>
    <row r="214">
      <c r="F214" t="str">
        <f>IF(H214="","","SUB-"&amp;TEXT(ROW()-5,"000"))</f>
        <v/>
      </c>
      <c r="J214" t="str">
        <f>IF(H214="","",IF(COUNTIF($H$6:$H$305,H214)&gt;1,"REVISAR: DUPLICADA","OK"))</f>
        <v/>
      </c>
      <c r="L214" t="str">
        <v>CNT-209</v>
      </c>
      <c r="M214" t="str">
        <v>Activo</v>
      </c>
      <c r="N214" t="str">
        <v>Manguera 3/4" x 15 mts. Presentación: 1 unidad.</v>
      </c>
      <c r="O214" t="str">
        <v>Mangueras. Mantiene el agua de la pileta limpia, clara y segura para el baño durante toda la temporada.</v>
      </c>
    </row>
    <row r="215">
      <c r="F215" t="str">
        <f>IF(H215="","","SUB-"&amp;TEXT(ROW()-5,"000"))</f>
        <v/>
      </c>
      <c r="J215" t="str">
        <f>IF(H215="","",IF(COUNTIF($H$6:$H$305,H215)&gt;1,"REVISAR: DUPLICADA","OK"))</f>
        <v/>
      </c>
      <c r="L215" t="str">
        <v>CNT-210</v>
      </c>
      <c r="M215" t="str">
        <v>Activo</v>
      </c>
      <c r="N215" t="str">
        <v>Manguera 1/2" x 15 mts. Presentación: 1 unidad.</v>
      </c>
      <c r="O215" t="str">
        <v>Mangueras. Mantiene el agua de la pileta limpia, clara y segura para el baño durante toda la temporada.</v>
      </c>
    </row>
    <row r="216">
      <c r="F216" t="str">
        <f>IF(H216="","","SUB-"&amp;TEXT(ROW()-5,"000"))</f>
        <v/>
      </c>
      <c r="J216" t="str">
        <f>IF(H216="","",IF(COUNTIF($H$6:$H$305,H216)&gt;1,"REVISAR: DUPLICADA","OK"))</f>
        <v/>
      </c>
      <c r="L216" t="str">
        <v>CNT-211</v>
      </c>
      <c r="M216" t="str">
        <v>Activo</v>
      </c>
      <c r="N216" t="str">
        <v>Manguera Corrugada 1 1/2" x 10 mts. Presentación: 1 unidad.</v>
      </c>
      <c r="O216" t="str">
        <v>Mangueras. Mantiene el agua de la pileta limpia, clara y segura para el baño durante toda la temporada.</v>
      </c>
    </row>
    <row r="217">
      <c r="F217" t="str">
        <f>IF(H217="","","SUB-"&amp;TEXT(ROW()-5,"000"))</f>
        <v/>
      </c>
      <c r="J217" t="str">
        <f>IF(H217="","",IF(COUNTIF($H$6:$H$305,H217)&gt;1,"REVISAR: DUPLICADA","OK"))</f>
        <v/>
      </c>
      <c r="L217" t="str">
        <v>CNT-212</v>
      </c>
      <c r="M217" t="str">
        <v>Activo</v>
      </c>
      <c r="N217" t="str">
        <v>Flota Flota. Presentación: 1 unidad.</v>
      </c>
      <c r="O217" t="str">
        <v>Accesorios de pileta. Mantiene el agua de la pileta limpia, clara y segura para el baño durante toda la temporada.</v>
      </c>
    </row>
    <row r="218">
      <c r="F218" t="str">
        <f>IF(H218="","","SUB-"&amp;TEXT(ROW()-5,"000"))</f>
        <v/>
      </c>
      <c r="J218" t="str">
        <f>IF(H218="","",IF(COUNTIF($H$6:$H$305,H218)&gt;1,"REVISAR: DUPLICADA","OK"))</f>
        <v/>
      </c>
      <c r="L218" t="str">
        <v>CNT-213</v>
      </c>
      <c r="M218" t="str">
        <v>Activo</v>
      </c>
      <c r="N218" t="str">
        <v>Barrefondo 8 Ruedas. Presentación: 1 unidad.</v>
      </c>
      <c r="O218" t="str">
        <v>Accesorios de pileta. Mantiene el agua de la pileta limpia, clara y segura para el baño durante toda la temporada.</v>
      </c>
    </row>
    <row r="219">
      <c r="F219" t="str">
        <f>IF(H219="","","SUB-"&amp;TEXT(ROW()-5,"000"))</f>
        <v/>
      </c>
      <c r="J219" t="str">
        <f>IF(H219="","",IF(COUNTIF($H$6:$H$305,H219)&gt;1,"REVISAR: DUPLICADA","OK"))</f>
        <v/>
      </c>
      <c r="L219" t="str">
        <v>CNT-214</v>
      </c>
      <c r="M219" t="str">
        <v>Activo</v>
      </c>
      <c r="N219" t="str">
        <v>Barrefondo Medialuna. Presentación: 1 unidad.</v>
      </c>
      <c r="O219" t="str">
        <v>Accesorios de pileta. Mantiene el agua de la pileta limpia, clara y segura para el baño durante toda la temporada.</v>
      </c>
    </row>
    <row r="220">
      <c r="F220" t="str">
        <f>IF(H220="","","SUB-"&amp;TEXT(ROW()-5,"000"))</f>
        <v/>
      </c>
      <c r="J220" t="str">
        <f>IF(H220="","",IF(COUNTIF($H$6:$H$305,H220)&gt;1,"REVISAR: DUPLICADA","OK"))</f>
        <v/>
      </c>
      <c r="L220" t="str">
        <v>CNT-215</v>
      </c>
      <c r="M220" t="str">
        <v>Activo</v>
      </c>
      <c r="N220" t="str">
        <v>Boya Hongo. Presentación: 1 unidad.</v>
      </c>
      <c r="O220" t="str">
        <v>Accesorios de pileta. Mantiene el agua de la pileta limpia, clara y segura para el baño durante toda la temporada.</v>
      </c>
    </row>
    <row r="221">
      <c r="F221" t="str">
        <f>IF(H221="","","SUB-"&amp;TEXT(ROW()-5,"000"))</f>
        <v/>
      </c>
      <c r="J221" t="str">
        <f>IF(H221="","",IF(COUNTIF($H$6:$H$305,H221)&gt;1,"REVISAR: DUPLICADA","OK"))</f>
        <v/>
      </c>
      <c r="L221" t="str">
        <v>CNT-216</v>
      </c>
      <c r="M221" t="str">
        <v>Activo</v>
      </c>
      <c r="N221" t="str">
        <v>Boya Satelite. Presentación: 1 unidad.</v>
      </c>
      <c r="O221" t="str">
        <v>Accesorios de pileta. Mantiene el agua de la pileta limpia, clara y segura para el baño durante toda la temporada.</v>
      </c>
    </row>
    <row r="222">
      <c r="F222" t="str">
        <f>IF(H222="","","SUB-"&amp;TEXT(ROW()-5,"000"))</f>
        <v/>
      </c>
      <c r="J222" t="str">
        <f>IF(H222="","",IF(COUNTIF($H$6:$H$305,H222)&gt;1,"REVISAR: DUPLICADA","OK"))</f>
        <v/>
      </c>
      <c r="L222" t="str">
        <v>CNT-217</v>
      </c>
      <c r="M222" t="str">
        <v>Activo</v>
      </c>
      <c r="N222" t="str">
        <v>Velas x 4 de 205 mm make. Presentación: 1 unidad.</v>
      </c>
      <c r="O222" t="str">
        <v>Velas. Producto práctico pensado para facilitar las tareas diarias del hogar.</v>
      </c>
    </row>
    <row r="223">
      <c r="F223" t="str">
        <f>IF(H223="","","SUB-"&amp;TEXT(ROW()-5,"000"))</f>
        <v/>
      </c>
      <c r="J223" t="str">
        <f>IF(H223="","",IF(COUNTIF($H$6:$H$305,H223)&gt;1,"REVISAR: DUPLICADA","OK"))</f>
        <v/>
      </c>
      <c r="L223" t="str">
        <v>CNT-218</v>
      </c>
      <c r="M223" t="str">
        <v>Activo</v>
      </c>
      <c r="N223" t="str">
        <v>Velas x 12 de 205 mm make. Presentación: 1 unidad.</v>
      </c>
      <c r="O223" t="str">
        <v>Velas. Producto práctico pensado para facilitar las tareas diarias del hogar.</v>
      </c>
    </row>
    <row r="224">
      <c r="F224" t="str">
        <f>IF(H224="","","SUB-"&amp;TEXT(ROW()-5,"000"))</f>
        <v/>
      </c>
      <c r="J224" t="str">
        <f>IF(H224="","",IF(COUNTIF($H$6:$H$305,H224)&gt;1,"REVISAR: DUPLICADA","OK"))</f>
        <v/>
      </c>
      <c r="L224" t="str">
        <v>CNT-219</v>
      </c>
      <c r="M224" t="str">
        <v>Activo</v>
      </c>
      <c r="N224" t="str">
        <v>Papel Manteca Make. Presentación: 1 unidad.</v>
      </c>
      <c r="O224" t="str">
        <v>Papel y film. Producto práctico pensado para facilitar las tareas diarias del hogar.</v>
      </c>
    </row>
    <row r="225">
      <c r="F225" t="str">
        <f>IF(H225="","","SUB-"&amp;TEXT(ROW()-5,"000"))</f>
        <v/>
      </c>
      <c r="J225" t="str">
        <f>IF(H225="","",IF(COUNTIF($H$6:$H$305,H225)&gt;1,"REVISAR: DUPLICADA","OK"))</f>
        <v/>
      </c>
      <c r="L225" t="str">
        <v>CNT-220</v>
      </c>
      <c r="M225" t="str">
        <v>Activo</v>
      </c>
      <c r="N225" t="str">
        <v>Papel Aluminio Make. Presentación: 1 unidad.</v>
      </c>
      <c r="O225" t="str">
        <v>Papel y film. Producto práctico pensado para facilitar las tareas diarias del hogar.</v>
      </c>
    </row>
    <row r="226">
      <c r="F226" t="str">
        <f>IF(H226="","","SUB-"&amp;TEXT(ROW()-5,"000"))</f>
        <v/>
      </c>
      <c r="J226" t="str">
        <f>IF(H226="","",IF(COUNTIF($H$6:$H$305,H226)&gt;1,"REVISAR: DUPLICADA","OK"))</f>
        <v/>
      </c>
      <c r="L226" t="str">
        <v>CNT-221</v>
      </c>
      <c r="M226" t="str">
        <v>Activo</v>
      </c>
      <c r="N226" t="str">
        <v>Film Adherente Make 30 metros. Presentación: 1 unidad.</v>
      </c>
      <c r="O226" t="str">
        <v>Papel y film. Producto práctico pensado para facilitar las tareas diarias del hogar.</v>
      </c>
    </row>
    <row r="227">
      <c r="F227" t="str">
        <f>IF(H227="","","SUB-"&amp;TEXT(ROW()-5,"000"))</f>
        <v/>
      </c>
      <c r="J227" t="str">
        <f>IF(H227="","",IF(COUNTIF($H$6:$H$305,H227)&gt;1,"REVISAR: DUPLICADA","OK"))</f>
        <v/>
      </c>
      <c r="L227" t="str">
        <v>CNT-222</v>
      </c>
      <c r="M227" t="str">
        <v>Activo</v>
      </c>
      <c r="N227" t="str">
        <v>Separador de Freezer Make x 200 unidades. Presentación: 1 unidad.</v>
      </c>
      <c r="O227" t="str">
        <v>Bolsas y freezer. Producto práctico pensado para facilitar las tareas diarias del hogar.</v>
      </c>
    </row>
    <row r="228">
      <c r="F228" t="str">
        <f>IF(H228="","","SUB-"&amp;TEXT(ROW()-5,"000"))</f>
        <v/>
      </c>
      <c r="J228" t="str">
        <f>IF(H228="","",IF(COUNTIF($H$6:$H$305,H228)&gt;1,"REVISAR: DUPLICADA","OK"))</f>
        <v/>
      </c>
      <c r="L228" t="str">
        <v>CNT-223</v>
      </c>
      <c r="M228" t="str">
        <v>Activo</v>
      </c>
      <c r="N228" t="str">
        <v>Bolsa para cubitos Bolzip. Presentación: 1 unidad. Marca Bolzip.</v>
      </c>
      <c r="O228" t="str">
        <v>Bolsas y freezer. Producto práctico pensado para facilitar las tareas diarias del hogar.</v>
      </c>
    </row>
    <row r="229">
      <c r="F229" t="str">
        <f>IF(H229="","","SUB-"&amp;TEXT(ROW()-5,"000"))</f>
        <v/>
      </c>
      <c r="J229" t="str">
        <f>IF(H229="","",IF(COUNTIF($H$6:$H$305,H229)&gt;1,"REVISAR: DUPLICADA","OK"))</f>
        <v/>
      </c>
      <c r="L229" t="str">
        <v>CNT-224</v>
      </c>
      <c r="M229" t="str">
        <v>Activo</v>
      </c>
      <c r="N229" t="str">
        <v>Palmeta Mata Moscas Plastica. Presentación: 1 unidad.</v>
      </c>
      <c r="O229" t="str">
        <v>Varios. Producto práctico pensado para facilitar las tareas diarias del hogar.</v>
      </c>
    </row>
    <row r="230">
      <c r="F230" t="str">
        <f>IF(H230="","","SUB-"&amp;TEXT(ROW()-5,"000"))</f>
        <v/>
      </c>
      <c r="J230" t="str">
        <f>IF(H230="","",IF(COUNTIF($H$6:$H$305,H230)&gt;1,"REVISAR: DUPLICADA","OK"))</f>
        <v/>
      </c>
      <c r="L230" t="str">
        <v>CNT-225</v>
      </c>
      <c r="M230" t="str">
        <v>Activo</v>
      </c>
      <c r="N230" t="str">
        <v>Insecticida liquido Gorrion x 500 cc. Presentación: 1 unidad. Marca Gorrion.</v>
      </c>
      <c r="O230" t="str">
        <v>Insecticidas. Producto práctico pensado para facilitar las tareas diarias del hogar.</v>
      </c>
    </row>
    <row r="231">
      <c r="F231" t="str">
        <f>IF(H231="","","SUB-"&amp;TEXT(ROW()-5,"000"))</f>
        <v/>
      </c>
      <c r="J231" t="str">
        <f>IF(H231="","",IF(COUNTIF($H$6:$H$305,H231)&gt;1,"REVISAR: DUPLICADA","OK"))</f>
        <v/>
      </c>
      <c r="L231" t="str">
        <v>CNT-226</v>
      </c>
      <c r="M231" t="str">
        <v>Activo</v>
      </c>
      <c r="N231" t="str">
        <v>CIF limpiador cremoso</v>
      </c>
      <c r="O231" t="str">
        <v>CIF limpiador cremoso</v>
      </c>
    </row>
    <row r="232">
      <c r="F232" t="str">
        <f>IF(H232="","","SUB-"&amp;TEXT(ROW()-5,"000"))</f>
        <v/>
      </c>
      <c r="J232" t="str">
        <f>IF(H232="","",IF(COUNTIF($H$6:$H$305,H232)&gt;1,"REVISAR: DUPLICADA","OK"))</f>
        <v/>
      </c>
      <c r="L232" t="str">
        <v>CNT-227</v>
      </c>
      <c r="M232" t="str">
        <v>Activo</v>
      </c>
      <c r="N232" t="str">
        <v>Esponja dorada. Presentación: 1 unidad.</v>
      </c>
      <c r="O232" t="str">
        <v>Esponjas. Accesorio resistente y práctico, pensado para facilitar las tareas de limpieza del hogar.</v>
      </c>
    </row>
    <row r="233">
      <c r="F233" t="str">
        <f>IF(H233="","","SUB-"&amp;TEXT(ROW()-5,"000"))</f>
        <v/>
      </c>
      <c r="J233" t="str">
        <f>IF(H233="","",IF(COUNTIF($H$6:$H$305,H233)&gt;1,"REVISAR: DUPLICADA","OK"))</f>
        <v/>
      </c>
      <c r="M233" t="str">
        <v>Activo</v>
      </c>
      <c r="N233" t="str">
        <v>Lavandina al 4%. Presentación: 1 litros.</v>
      </c>
      <c r="O233" t="str">
        <v>Lavandina. Elimina suciedad y gérmenes en inodoros, azulejos y superficies del baño, dejando un aroma agradable.</v>
      </c>
    </row>
    <row r="234">
      <c r="F234" t="str">
        <f>IF(H234="","","SUB-"&amp;TEXT(ROW()-5,"000"))</f>
        <v/>
      </c>
      <c r="J234" t="str">
        <f>IF(H234="","",IF(COUNTIF($H$6:$H$305,H234)&gt;1,"REVISAR: DUPLICADA","OK"))</f>
        <v/>
      </c>
    </row>
    <row r="235">
      <c r="F235" t="str">
        <f>IF(H235="","","SUB-"&amp;TEXT(ROW()-5,"000"))</f>
        <v/>
      </c>
      <c r="J235" t="str">
        <f>IF(H235="","",IF(COUNTIF($H$6:$H$305,H235)&gt;1,"REVISAR: DUPLICADA","OK"))</f>
        <v/>
      </c>
    </row>
    <row r="236">
      <c r="F236" t="str">
        <f>IF(H236="","","SUB-"&amp;TEXT(ROW()-5,"000"))</f>
        <v/>
      </c>
      <c r="J236" t="str">
        <f>IF(H236="","",IF(COUNTIF($H$6:$H$305,H236)&gt;1,"REVISAR: DUPLICADA","OK"))</f>
        <v/>
      </c>
    </row>
    <row r="237">
      <c r="F237" t="str">
        <f>IF(H237="","","SUB-"&amp;TEXT(ROW()-5,"000"))</f>
        <v/>
      </c>
      <c r="J237" t="str">
        <f>IF(H237="","",IF(COUNTIF($H$6:$H$305,H237)&gt;1,"REVISAR: DUPLICADA","OK"))</f>
        <v/>
      </c>
    </row>
    <row r="238">
      <c r="F238" t="str">
        <f>IF(H238="","","SUB-"&amp;TEXT(ROW()-5,"000"))</f>
        <v/>
      </c>
      <c r="J238" t="str">
        <f>IF(H238="","",IF(COUNTIF($H$6:$H$305,H238)&gt;1,"REVISAR: DUPLICADA","OK"))</f>
        <v/>
      </c>
    </row>
    <row r="239">
      <c r="F239" t="str">
        <f>IF(H239="","","SUB-"&amp;TEXT(ROW()-5,"000"))</f>
        <v/>
      </c>
      <c r="J239" t="str">
        <f>IF(H239="","",IF(COUNTIF($H$6:$H$305,H239)&gt;1,"REVISAR: DUPLICADA","OK"))</f>
        <v/>
      </c>
    </row>
    <row r="240">
      <c r="F240" t="str">
        <f>IF(H240="","","SUB-"&amp;TEXT(ROW()-5,"000"))</f>
        <v/>
      </c>
      <c r="J240" t="str">
        <f>IF(H240="","",IF(COUNTIF($H$6:$H$305,H240)&gt;1,"REVISAR: DUPLICADA","OK"))</f>
        <v/>
      </c>
    </row>
    <row r="241">
      <c r="F241" t="str">
        <f>IF(H241="","","SUB-"&amp;TEXT(ROW()-5,"000"))</f>
        <v/>
      </c>
      <c r="J241" t="str">
        <f>IF(H241="","",IF(COUNTIF($H$6:$H$305,H241)&gt;1,"REVISAR: DUPLICADA","OK"))</f>
        <v/>
      </c>
    </row>
    <row r="242">
      <c r="F242" t="str">
        <f>IF(H242="","","SUB-"&amp;TEXT(ROW()-5,"000"))</f>
        <v/>
      </c>
      <c r="J242" t="str">
        <f>IF(H242="","",IF(COUNTIF($H$6:$H$305,H242)&gt;1,"REVISAR: DUPLICADA","OK"))</f>
        <v/>
      </c>
    </row>
    <row r="243">
      <c r="F243" t="str">
        <f>IF(H243="","","SUB-"&amp;TEXT(ROW()-5,"000"))</f>
        <v/>
      </c>
      <c r="J243" t="str">
        <f>IF(H243="","",IF(COUNTIF($H$6:$H$305,H243)&gt;1,"REVISAR: DUPLICADA","OK"))</f>
        <v/>
      </c>
    </row>
    <row r="244">
      <c r="F244" t="str">
        <f>IF(H244="","","SUB-"&amp;TEXT(ROW()-5,"000"))</f>
        <v/>
      </c>
      <c r="J244" t="str">
        <f>IF(H244="","",IF(COUNTIF($H$6:$H$305,H244)&gt;1,"REVISAR: DUPLICADA","OK"))</f>
        <v/>
      </c>
    </row>
    <row r="245">
      <c r="F245" t="str">
        <f>IF(H245="","","SUB-"&amp;TEXT(ROW()-5,"000"))</f>
        <v/>
      </c>
      <c r="J245" t="str">
        <f>IF(H245="","",IF(COUNTIF($H$6:$H$305,H245)&gt;1,"REVISAR: DUPLICADA","OK"))</f>
        <v/>
      </c>
    </row>
    <row r="246">
      <c r="F246" t="str">
        <f>IF(H246="","","SUB-"&amp;TEXT(ROW()-5,"000"))</f>
        <v/>
      </c>
      <c r="J246" t="str">
        <f>IF(H246="","",IF(COUNTIF($H$6:$H$305,H246)&gt;1,"REVISAR: DUPLICADA","OK"))</f>
        <v/>
      </c>
    </row>
    <row r="247">
      <c r="F247" t="str">
        <f>IF(H247="","","SUB-"&amp;TEXT(ROW()-5,"000"))</f>
        <v/>
      </c>
      <c r="J247" t="str">
        <f>IF(H247="","",IF(COUNTIF($H$6:$H$305,H247)&gt;1,"REVISAR: DUPLICADA","OK"))</f>
        <v/>
      </c>
    </row>
    <row r="248">
      <c r="F248" t="str">
        <f>IF(H248="","","SUB-"&amp;TEXT(ROW()-5,"000"))</f>
        <v/>
      </c>
      <c r="J248" t="str">
        <f>IF(H248="","",IF(COUNTIF($H$6:$H$305,H248)&gt;1,"REVISAR: DUPLICADA","OK"))</f>
        <v/>
      </c>
    </row>
    <row r="249">
      <c r="F249" t="str">
        <f>IF(H249="","","SUB-"&amp;TEXT(ROW()-5,"000"))</f>
        <v/>
      </c>
      <c r="J249" t="str">
        <f>IF(H249="","",IF(COUNTIF($H$6:$H$305,H249)&gt;1,"REVISAR: DUPLICADA","OK"))</f>
        <v/>
      </c>
    </row>
    <row r="250">
      <c r="F250" t="str">
        <f>IF(H250="","","SUB-"&amp;TEXT(ROW()-5,"000"))</f>
        <v/>
      </c>
      <c r="J250" t="str">
        <f>IF(H250="","",IF(COUNTIF($H$6:$H$305,H250)&gt;1,"REVISAR: DUPLICADA","OK"))</f>
        <v/>
      </c>
    </row>
    <row r="251">
      <c r="F251" t="str">
        <f>IF(H251="","","SUB-"&amp;TEXT(ROW()-5,"000"))</f>
        <v/>
      </c>
      <c r="J251" t="str">
        <f>IF(H251="","",IF(COUNTIF($H$6:$H$305,H251)&gt;1,"REVISAR: DUPLICADA","OK"))</f>
        <v/>
      </c>
    </row>
    <row r="252">
      <c r="F252" t="str">
        <f>IF(H252="","","SUB-"&amp;TEXT(ROW()-5,"000"))</f>
        <v/>
      </c>
      <c r="J252" t="str">
        <f>IF(H252="","",IF(COUNTIF($H$6:$H$305,H252)&gt;1,"REVISAR: DUPLICADA","OK"))</f>
        <v/>
      </c>
    </row>
    <row r="253">
      <c r="F253" t="str">
        <f>IF(H253="","","SUB-"&amp;TEXT(ROW()-5,"000"))</f>
        <v/>
      </c>
      <c r="J253" t="str">
        <f>IF(H253="","",IF(COUNTIF($H$6:$H$305,H253)&gt;1,"REVISAR: DUPLICADA","OK"))</f>
        <v/>
      </c>
    </row>
    <row r="254">
      <c r="F254" t="str">
        <f>IF(H254="","","SUB-"&amp;TEXT(ROW()-5,"000"))</f>
        <v/>
      </c>
      <c r="J254" t="str">
        <f>IF(H254="","",IF(COUNTIF($H$6:$H$305,H254)&gt;1,"REVISAR: DUPLICADA","OK"))</f>
        <v/>
      </c>
    </row>
    <row r="255">
      <c r="F255" t="str">
        <f>IF(H255="","","SUB-"&amp;TEXT(ROW()-5,"000"))</f>
        <v/>
      </c>
      <c r="J255" t="str">
        <f>IF(H255="","",IF(COUNTIF($H$6:$H$305,H255)&gt;1,"REVISAR: DUPLICADA","OK"))</f>
        <v/>
      </c>
    </row>
    <row r="256">
      <c r="F256" t="str">
        <f>IF(H256="","","SUB-"&amp;TEXT(ROW()-5,"000"))</f>
        <v/>
      </c>
      <c r="J256" t="str">
        <f>IF(H256="","",IF(COUNTIF($H$6:$H$305,H256)&gt;1,"REVISAR: DUPLICADA","OK"))</f>
        <v/>
      </c>
    </row>
    <row r="257">
      <c r="F257" t="str">
        <f>IF(H257="","","SUB-"&amp;TEXT(ROW()-5,"000"))</f>
        <v/>
      </c>
      <c r="J257" t="str">
        <f>IF(H257="","",IF(COUNTIF($H$6:$H$305,H257)&gt;1,"REVISAR: DUPLICADA","OK"))</f>
        <v/>
      </c>
    </row>
    <row r="258">
      <c r="F258" t="str">
        <f>IF(H258="","","SUB-"&amp;TEXT(ROW()-5,"000"))</f>
        <v/>
      </c>
      <c r="J258" t="str">
        <f>IF(H258="","",IF(COUNTIF($H$6:$H$305,H258)&gt;1,"REVISAR: DUPLICADA","OK"))</f>
        <v/>
      </c>
    </row>
    <row r="259">
      <c r="F259" t="str">
        <f>IF(H259="","","SUB-"&amp;TEXT(ROW()-5,"000"))</f>
        <v/>
      </c>
      <c r="J259" t="str">
        <f>IF(H259="","",IF(COUNTIF($H$6:$H$305,H259)&gt;1,"REVISAR: DUPLICADA","OK"))</f>
        <v/>
      </c>
    </row>
    <row r="260">
      <c r="F260" t="str">
        <f>IF(H260="","","SUB-"&amp;TEXT(ROW()-5,"000"))</f>
        <v/>
      </c>
      <c r="J260" t="str">
        <f>IF(H260="","",IF(COUNTIF($H$6:$H$305,H260)&gt;1,"REVISAR: DUPLICADA","OK"))</f>
        <v/>
      </c>
    </row>
    <row r="261">
      <c r="F261" t="str">
        <f>IF(H261="","","SUB-"&amp;TEXT(ROW()-5,"000"))</f>
        <v/>
      </c>
      <c r="J261" t="str">
        <f>IF(H261="","",IF(COUNTIF($H$6:$H$305,H261)&gt;1,"REVISAR: DUPLICADA","OK"))</f>
        <v/>
      </c>
    </row>
    <row r="262">
      <c r="F262" t="str">
        <f>IF(H262="","","SUB-"&amp;TEXT(ROW()-5,"000"))</f>
        <v/>
      </c>
      <c r="J262" t="str">
        <f>IF(H262="","",IF(COUNTIF($H$6:$H$305,H262)&gt;1,"REVISAR: DUPLICADA","OK"))</f>
        <v/>
      </c>
    </row>
    <row r="263">
      <c r="F263" t="str">
        <f>IF(H263="","","SUB-"&amp;TEXT(ROW()-5,"000"))</f>
        <v/>
      </c>
      <c r="J263" t="str">
        <f>IF(H263="","",IF(COUNTIF($H$6:$H$305,H263)&gt;1,"REVISAR: DUPLICADA","OK"))</f>
        <v/>
      </c>
    </row>
    <row r="264">
      <c r="F264" t="str">
        <f>IF(H264="","","SUB-"&amp;TEXT(ROW()-5,"000"))</f>
        <v/>
      </c>
      <c r="J264" t="str">
        <f>IF(H264="","",IF(COUNTIF($H$6:$H$305,H264)&gt;1,"REVISAR: DUPLICADA","OK"))</f>
        <v/>
      </c>
    </row>
    <row r="265">
      <c r="F265" t="str">
        <f>IF(H265="","","SUB-"&amp;TEXT(ROW()-5,"000"))</f>
        <v/>
      </c>
      <c r="J265" t="str">
        <f>IF(H265="","",IF(COUNTIF($H$6:$H$305,H265)&gt;1,"REVISAR: DUPLICADA","OK"))</f>
        <v/>
      </c>
    </row>
    <row r="266">
      <c r="F266" t="str">
        <f>IF(H266="","","SUB-"&amp;TEXT(ROW()-5,"000"))</f>
        <v/>
      </c>
      <c r="J266" t="str">
        <f>IF(H266="","",IF(COUNTIF($H$6:$H$305,H266)&gt;1,"REVISAR: DUPLICADA","OK"))</f>
        <v/>
      </c>
    </row>
    <row r="267">
      <c r="F267" t="str">
        <f>IF(H267="","","SUB-"&amp;TEXT(ROW()-5,"000"))</f>
        <v/>
      </c>
      <c r="J267" t="str">
        <f>IF(H267="","",IF(COUNTIF($H$6:$H$305,H267)&gt;1,"REVISAR: DUPLICADA","OK"))</f>
        <v/>
      </c>
    </row>
    <row r="268">
      <c r="F268" t="str">
        <f>IF(H268="","","SUB-"&amp;TEXT(ROW()-5,"000"))</f>
        <v/>
      </c>
      <c r="J268" t="str">
        <f>IF(H268="","",IF(COUNTIF($H$6:$H$305,H268)&gt;1,"REVISAR: DUPLICADA","OK"))</f>
        <v/>
      </c>
    </row>
    <row r="269">
      <c r="F269" t="str">
        <f>IF(H269="","","SUB-"&amp;TEXT(ROW()-5,"000"))</f>
        <v/>
      </c>
      <c r="J269" t="str">
        <f>IF(H269="","",IF(COUNTIF($H$6:$H$305,H269)&gt;1,"REVISAR: DUPLICADA","OK"))</f>
        <v/>
      </c>
    </row>
    <row r="270">
      <c r="F270" t="str">
        <f>IF(H270="","","SUB-"&amp;TEXT(ROW()-5,"000"))</f>
        <v/>
      </c>
      <c r="J270" t="str">
        <f>IF(H270="","",IF(COUNTIF($H$6:$H$305,H270)&gt;1,"REVISAR: DUPLICADA","OK"))</f>
        <v/>
      </c>
    </row>
    <row r="271">
      <c r="F271" t="str">
        <f>IF(H271="","","SUB-"&amp;TEXT(ROW()-5,"000"))</f>
        <v/>
      </c>
      <c r="J271" t="str">
        <f>IF(H271="","",IF(COUNTIF($H$6:$H$305,H271)&gt;1,"REVISAR: DUPLICADA","OK"))</f>
        <v/>
      </c>
    </row>
    <row r="272">
      <c r="F272" t="str">
        <f>IF(H272="","","SUB-"&amp;TEXT(ROW()-5,"000"))</f>
        <v/>
      </c>
      <c r="J272" t="str">
        <f>IF(H272="","",IF(COUNTIF($H$6:$H$305,H272)&gt;1,"REVISAR: DUPLICADA","OK"))</f>
        <v/>
      </c>
    </row>
    <row r="273">
      <c r="F273" t="str">
        <f>IF(H273="","","SUB-"&amp;TEXT(ROW()-5,"000"))</f>
        <v/>
      </c>
      <c r="J273" t="str">
        <f>IF(H273="","",IF(COUNTIF($H$6:$H$305,H273)&gt;1,"REVISAR: DUPLICADA","OK"))</f>
        <v/>
      </c>
    </row>
    <row r="274">
      <c r="F274" t="str">
        <f>IF(H274="","","SUB-"&amp;TEXT(ROW()-5,"000"))</f>
        <v/>
      </c>
      <c r="J274" t="str">
        <f>IF(H274="","",IF(COUNTIF($H$6:$H$305,H274)&gt;1,"REVISAR: DUPLICADA","OK"))</f>
        <v/>
      </c>
    </row>
    <row r="275">
      <c r="F275" t="str">
        <f>IF(H275="","","SUB-"&amp;TEXT(ROW()-5,"000"))</f>
        <v/>
      </c>
      <c r="J275" t="str">
        <f>IF(H275="","",IF(COUNTIF($H$6:$H$305,H275)&gt;1,"REVISAR: DUPLICADA","OK"))</f>
        <v/>
      </c>
    </row>
    <row r="276">
      <c r="F276" t="str">
        <f>IF(H276="","","SUB-"&amp;TEXT(ROW()-5,"000"))</f>
        <v/>
      </c>
      <c r="J276" t="str">
        <f>IF(H276="","",IF(COUNTIF($H$6:$H$305,H276)&gt;1,"REVISAR: DUPLICADA","OK"))</f>
        <v/>
      </c>
    </row>
    <row r="277">
      <c r="F277" t="str">
        <f>IF(H277="","","SUB-"&amp;TEXT(ROW()-5,"000"))</f>
        <v/>
      </c>
      <c r="J277" t="str">
        <f>IF(H277="","",IF(COUNTIF($H$6:$H$305,H277)&gt;1,"REVISAR: DUPLICADA","OK"))</f>
        <v/>
      </c>
    </row>
    <row r="278">
      <c r="F278" t="str">
        <f>IF(H278="","","SUB-"&amp;TEXT(ROW()-5,"000"))</f>
        <v/>
      </c>
      <c r="J278" t="str">
        <f>IF(H278="","",IF(COUNTIF($H$6:$H$305,H278)&gt;1,"REVISAR: DUPLICADA","OK"))</f>
        <v/>
      </c>
    </row>
    <row r="279">
      <c r="F279" t="str">
        <f>IF(H279="","","SUB-"&amp;TEXT(ROW()-5,"000"))</f>
        <v/>
      </c>
      <c r="J279" t="str">
        <f>IF(H279="","",IF(COUNTIF($H$6:$H$305,H279)&gt;1,"REVISAR: DUPLICADA","OK"))</f>
        <v/>
      </c>
    </row>
    <row r="280">
      <c r="F280" t="str">
        <f>IF(H280="","","SUB-"&amp;TEXT(ROW()-5,"000"))</f>
        <v/>
      </c>
      <c r="J280" t="str">
        <f>IF(H280="","",IF(COUNTIF($H$6:$H$305,H280)&gt;1,"REVISAR: DUPLICADA","OK"))</f>
        <v/>
      </c>
    </row>
    <row r="281">
      <c r="F281" t="str">
        <f>IF(H281="","","SUB-"&amp;TEXT(ROW()-5,"000"))</f>
        <v/>
      </c>
      <c r="J281" t="str">
        <f>IF(H281="","",IF(COUNTIF($H$6:$H$305,H281)&gt;1,"REVISAR: DUPLICADA","OK"))</f>
        <v/>
      </c>
    </row>
    <row r="282">
      <c r="F282" t="str">
        <f>IF(H282="","","SUB-"&amp;TEXT(ROW()-5,"000"))</f>
        <v/>
      </c>
      <c r="J282" t="str">
        <f>IF(H282="","",IF(COUNTIF($H$6:$H$305,H282)&gt;1,"REVISAR: DUPLICADA","OK"))</f>
        <v/>
      </c>
    </row>
    <row r="283">
      <c r="F283" t="str">
        <f>IF(H283="","","SUB-"&amp;TEXT(ROW()-5,"000"))</f>
        <v/>
      </c>
      <c r="J283" t="str">
        <f>IF(H283="","",IF(COUNTIF($H$6:$H$305,H283)&gt;1,"REVISAR: DUPLICADA","OK"))</f>
        <v/>
      </c>
    </row>
    <row r="284">
      <c r="F284" t="str">
        <f>IF(H284="","","SUB-"&amp;TEXT(ROW()-5,"000"))</f>
        <v/>
      </c>
      <c r="J284" t="str">
        <f>IF(H284="","",IF(COUNTIF($H$6:$H$305,H284)&gt;1,"REVISAR: DUPLICADA","OK"))</f>
        <v/>
      </c>
    </row>
    <row r="285">
      <c r="F285" t="str">
        <f>IF(H285="","","SUB-"&amp;TEXT(ROW()-5,"000"))</f>
        <v/>
      </c>
      <c r="J285" t="str">
        <f>IF(H285="","",IF(COUNTIF($H$6:$H$305,H285)&gt;1,"REVISAR: DUPLICADA","OK"))</f>
        <v/>
      </c>
    </row>
    <row r="286">
      <c r="F286" t="str">
        <f>IF(H286="","","SUB-"&amp;TEXT(ROW()-5,"000"))</f>
        <v/>
      </c>
      <c r="J286" t="str">
        <f>IF(H286="","",IF(COUNTIF($H$6:$H$305,H286)&gt;1,"REVISAR: DUPLICADA","OK"))</f>
        <v/>
      </c>
    </row>
    <row r="287">
      <c r="F287" t="str">
        <f>IF(H287="","","SUB-"&amp;TEXT(ROW()-5,"000"))</f>
        <v/>
      </c>
      <c r="J287" t="str">
        <f>IF(H287="","",IF(COUNTIF($H$6:$H$305,H287)&gt;1,"REVISAR: DUPLICADA","OK"))</f>
        <v/>
      </c>
    </row>
    <row r="288">
      <c r="F288" t="str">
        <f>IF(H288="","","SUB-"&amp;TEXT(ROW()-5,"000"))</f>
        <v/>
      </c>
      <c r="J288" t="str">
        <f>IF(H288="","",IF(COUNTIF($H$6:$H$305,H288)&gt;1,"REVISAR: DUPLICADA","OK"))</f>
        <v/>
      </c>
    </row>
    <row r="289">
      <c r="F289" t="str">
        <f>IF(H289="","","SUB-"&amp;TEXT(ROW()-5,"000"))</f>
        <v/>
      </c>
      <c r="J289" t="str">
        <f>IF(H289="","",IF(COUNTIF($H$6:$H$305,H289)&gt;1,"REVISAR: DUPLICADA","OK"))</f>
        <v/>
      </c>
    </row>
    <row r="290">
      <c r="F290" t="str">
        <f>IF(H290="","","SUB-"&amp;TEXT(ROW()-5,"000"))</f>
        <v/>
      </c>
      <c r="J290" t="str">
        <f>IF(H290="","",IF(COUNTIF($H$6:$H$305,H290)&gt;1,"REVISAR: DUPLICADA","OK"))</f>
        <v/>
      </c>
    </row>
    <row r="291">
      <c r="F291" t="str">
        <f>IF(H291="","","SUB-"&amp;TEXT(ROW()-5,"000"))</f>
        <v/>
      </c>
      <c r="J291" t="str">
        <f>IF(H291="","",IF(COUNTIF($H$6:$H$305,H291)&gt;1,"REVISAR: DUPLICADA","OK"))</f>
        <v/>
      </c>
    </row>
    <row r="292">
      <c r="F292" t="str">
        <f>IF(H292="","","SUB-"&amp;TEXT(ROW()-5,"000"))</f>
        <v/>
      </c>
      <c r="J292" t="str">
        <f>IF(H292="","",IF(COUNTIF($H$6:$H$305,H292)&gt;1,"REVISAR: DUPLICADA","OK"))</f>
        <v/>
      </c>
    </row>
    <row r="293">
      <c r="F293" t="str">
        <f>IF(H293="","","SUB-"&amp;TEXT(ROW()-5,"000"))</f>
        <v/>
      </c>
      <c r="J293" t="str">
        <f>IF(H293="","",IF(COUNTIF($H$6:$H$305,H293)&gt;1,"REVISAR: DUPLICADA","OK"))</f>
        <v/>
      </c>
    </row>
    <row r="294">
      <c r="F294" t="str">
        <f>IF(H294="","","SUB-"&amp;TEXT(ROW()-5,"000"))</f>
        <v/>
      </c>
      <c r="J294" t="str">
        <f>IF(H294="","",IF(COUNTIF($H$6:$H$305,H294)&gt;1,"REVISAR: DUPLICADA","OK"))</f>
        <v/>
      </c>
    </row>
    <row r="295">
      <c r="F295" t="str">
        <f>IF(H295="","","SUB-"&amp;TEXT(ROW()-5,"000"))</f>
        <v/>
      </c>
      <c r="J295" t="str">
        <f>IF(H295="","",IF(COUNTIF($H$6:$H$305,H295)&gt;1,"REVISAR: DUPLICADA","OK"))</f>
        <v/>
      </c>
    </row>
    <row r="296">
      <c r="F296" t="str">
        <f>IF(H296="","","SUB-"&amp;TEXT(ROW()-5,"000"))</f>
        <v/>
      </c>
      <c r="J296" t="str">
        <f>IF(H296="","",IF(COUNTIF($H$6:$H$305,H296)&gt;1,"REVISAR: DUPLICADA","OK"))</f>
        <v/>
      </c>
    </row>
    <row r="297">
      <c r="F297" t="str">
        <f>IF(H297="","","SUB-"&amp;TEXT(ROW()-5,"000"))</f>
        <v/>
      </c>
      <c r="J297" t="str">
        <f>IF(H297="","",IF(COUNTIF($H$6:$H$305,H297)&gt;1,"REVISAR: DUPLICADA","OK"))</f>
        <v/>
      </c>
    </row>
    <row r="298">
      <c r="F298" t="str">
        <f>IF(H298="","","SUB-"&amp;TEXT(ROW()-5,"000"))</f>
        <v/>
      </c>
      <c r="J298" t="str">
        <f>IF(H298="","",IF(COUNTIF($H$6:$H$305,H298)&gt;1,"REVISAR: DUPLICADA","OK"))</f>
        <v/>
      </c>
    </row>
    <row r="299">
      <c r="F299" t="str">
        <f>IF(H299="","","SUB-"&amp;TEXT(ROW()-5,"000"))</f>
        <v/>
      </c>
      <c r="J299" t="str">
        <f>IF(H299="","",IF(COUNTIF($H$6:$H$305,H299)&gt;1,"REVISAR: DUPLICADA","OK"))</f>
        <v/>
      </c>
    </row>
    <row r="300">
      <c r="F300" t="str">
        <f>IF(H300="","","SUB-"&amp;TEXT(ROW()-5,"000"))</f>
        <v/>
      </c>
      <c r="J300" t="str">
        <f>IF(H300="","",IF(COUNTIF($H$6:$H$305,H300)&gt;1,"REVISAR: DUPLICADA","OK"))</f>
        <v/>
      </c>
    </row>
    <row r="301">
      <c r="F301" t="str">
        <f>IF(H301="","","SUB-"&amp;TEXT(ROW()-5,"000"))</f>
        <v/>
      </c>
      <c r="J301" t="str">
        <f>IF(H301="","",IF(COUNTIF($H$6:$H$305,H301)&gt;1,"REVISAR: DUPLICADA","OK"))</f>
        <v/>
      </c>
    </row>
    <row r="302">
      <c r="F302" t="str">
        <f>IF(H302="","","SUB-"&amp;TEXT(ROW()-5,"000"))</f>
        <v/>
      </c>
      <c r="J302" t="str">
        <f>IF(H302="","",IF(COUNTIF($H$6:$H$305,H302)&gt;1,"REVISAR: DUPLICADA","OK"))</f>
        <v/>
      </c>
    </row>
    <row r="303">
      <c r="F303" t="str">
        <f>IF(H303="","","SUB-"&amp;TEXT(ROW()-5,"000"))</f>
        <v/>
      </c>
      <c r="J303" t="str">
        <f>IF(H303="","",IF(COUNTIF($H$6:$H$305,H303)&gt;1,"REVISAR: DUPLICADA","OK"))</f>
        <v/>
      </c>
    </row>
    <row r="304">
      <c r="F304" t="str">
        <f>IF(H304="","","SUB-"&amp;TEXT(ROW()-5,"000"))</f>
        <v/>
      </c>
      <c r="J304" t="str">
        <f>IF(H304="","",IF(COUNTIF($H$6:$H$305,H304)&gt;1,"REVISAR: DUPLICADA","OK"))</f>
        <v/>
      </c>
    </row>
    <row r="305">
      <c r="F305" t="str">
        <f>IF(H305="","","SUB-"&amp;TEXT(ROW()-5,"000"))</f>
        <v/>
      </c>
      <c r="J305" t="str">
        <f>IF(H305="","",IF(COUNTIF($H$6:$H$305,H305)&gt;1,"REVISAR: DUPLICADA","OK"))</f>
        <v/>
      </c>
    </row>
  </sheetData>
  <mergeCells count="5">
    <mergeCell ref="A1:O1"/>
    <mergeCell ref="A2:O2"/>
    <mergeCell ref="A4:D4"/>
    <mergeCell ref="F4:J4"/>
    <mergeCell ref="L4:O4"/>
  </mergeCells>
  <pageMargins left="0.7" right="0.7" top="0.75" bottom="0.75" header="0.3" footer="0.3"/>
  <ignoredErrors>
    <ignoredError numberStoredAsText="1" sqref="A1:O30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237"/>
  <sheetViews>
    <sheetView workbookViewId="0" rightToLeft="0"/>
  </sheetViews>
  <sheetData>
    <row r="1" ht="20" customHeight="1">
      <c r="A1" t="str">
        <v>Control de fotos del catálogo</v>
      </c>
    </row>
    <row r="2">
      <c r="A2" t="str">
        <v>Cómo usarla: revisá cada imagen y completá DECISIÓN con MANTENER o REEMPLAZAR. Para las urgentes, reemplazá la imagen antes de publicar la campaña.</v>
      </c>
    </row>
    <row r="4" ht="42" customHeight="1">
      <c r="A4" t="str">
        <v>CÓDIGO</v>
      </c>
      <c r="B4" t="str">
        <v>PRODUCTO</v>
      </c>
      <c r="C4" t="str">
        <v>ARCHIVO ACTUAL</v>
      </c>
      <c r="D4" t="str">
        <v>PRIORIDAD</v>
      </c>
      <c r="E4" t="str">
        <v>HALLAZGO</v>
      </c>
      <c r="F4" t="str">
        <v>FOTO RECOMENDADA</v>
      </c>
      <c r="G4" t="str">
        <v>DECISIÓN</v>
      </c>
      <c r="H4" t="str">
        <v>NOTAS</v>
      </c>
    </row>
    <row r="5">
      <c r="A5" t="str">
        <v>CLO001</v>
      </c>
      <c r="B5" t="str">
        <v>Lavandina al 4%</v>
      </c>
      <c r="C5" t="str">
        <v>CLO001.jpg</v>
      </c>
      <c r="D5" t="str">
        <v>PENDIENTE</v>
      </c>
      <c r="E5" t="str">
        <v>Revisar manualmente: producto correcto, imagen nítida, fondo limpio y sin marcas ajenas.</v>
      </c>
      <c r="F5" t="str">
        <v>Si se reemplaza: foto real del producto, fondo blanco o neutro, buena luz y encuadre cuadrado.</v>
      </c>
      <c r="G5" t="str">
        <v>PENDIENTE</v>
      </c>
    </row>
    <row r="6">
      <c r="A6" t="str">
        <v>DET001</v>
      </c>
      <c r="B6" t="str">
        <v>Detergente 30%</v>
      </c>
      <c r="C6" t="str">
        <v>DET001.jpg</v>
      </c>
      <c r="D6" t="str">
        <v>PENDIENTE</v>
      </c>
      <c r="E6" t="str">
        <v>Revisar manualmente: producto correcto, imagen nítida, fondo limpio y sin marcas ajenas.</v>
      </c>
      <c r="F6" t="str">
        <v>Si se reemplaza: foto real del producto, fondo blanco o neutro, buena luz y encuadre cuadrado.</v>
      </c>
      <c r="G6" t="str">
        <v>PENDIENTE</v>
      </c>
    </row>
    <row r="7">
      <c r="A7" t="str">
        <v>LVA001</v>
      </c>
      <c r="B7" t="str">
        <v>Detergente Magistral listo para usar</v>
      </c>
      <c r="C7" t="str">
        <v>LVA001.jpg</v>
      </c>
      <c r="D7" t="str">
        <v>PENDIENTE</v>
      </c>
      <c r="E7" t="str">
        <v>Revisar manualmente: producto correcto, imagen nítida, fondo limpio y sin marcas ajenas.</v>
      </c>
      <c r="F7" t="str">
        <v>Si se reemplaza: foto real del producto, fondo blanco o neutro, buena luz y encuadre cuadrado.</v>
      </c>
      <c r="G7" t="str">
        <v>PENDIENTE</v>
      </c>
    </row>
    <row r="8">
      <c r="A8" t="str">
        <v>LVA002</v>
      </c>
      <c r="B8" t="str">
        <v>Lava-Vajillas Concentrado</v>
      </c>
      <c r="C8" t="str">
        <v>LVA002.jpg</v>
      </c>
      <c r="D8" t="str">
        <v>PENDIENTE</v>
      </c>
      <c r="E8" t="str">
        <v>Revisar manualmente: producto correcto, imagen nítida, fondo limpio y sin marcas ajenas.</v>
      </c>
      <c r="F8" t="str">
        <v>Si se reemplaza: foto real del producto, fondo blanco o neutro, buena luz y encuadre cuadrado.</v>
      </c>
      <c r="G8" t="str">
        <v>PENDIENTE</v>
      </c>
    </row>
    <row r="9">
      <c r="A9" t="str">
        <v>SUA001</v>
      </c>
      <c r="B9" t="str">
        <v>Suavizante Blanco por 5 litros</v>
      </c>
      <c r="C9" t="str">
        <v>SUA001.jpg</v>
      </c>
      <c r="D9" t="str">
        <v>PENDIENTE</v>
      </c>
      <c r="E9" t="str">
        <v>Revisar manualmente: producto correcto, imagen nítida, fondo limpio y sin marcas ajenas.</v>
      </c>
      <c r="F9" t="str">
        <v>Si se reemplaza: foto real del producto, fondo blanco o neutro, buena luz y encuadre cuadrado.</v>
      </c>
      <c r="G9" t="str">
        <v>PENDIENTE</v>
      </c>
    </row>
    <row r="10">
      <c r="A10" t="str">
        <v>SUA002</v>
      </c>
      <c r="B10" t="str">
        <v>Suavizante listo para usar</v>
      </c>
      <c r="C10" t="str">
        <v>SUA002.jpg</v>
      </c>
      <c r="D10" t="str">
        <v>PENDIENTE</v>
      </c>
      <c r="E10" t="str">
        <v>Revisar manualmente: producto correcto, imagen nítida, fondo limpio y sin marcas ajenas.</v>
      </c>
      <c r="F10" t="str">
        <v>Si se reemplaza: foto real del producto, fondo blanco o neutro, buena luz y encuadre cuadrado.</v>
      </c>
      <c r="G10" t="str">
        <v>PENDIENTE</v>
      </c>
    </row>
    <row r="11">
      <c r="A11" t="str">
        <v>JBP001</v>
      </c>
      <c r="B11" t="str">
        <v>Jabon en polvo</v>
      </c>
      <c r="C11" t="str">
        <v>JBP001.jpg</v>
      </c>
      <c r="D11" t="str">
        <v>PENDIENTE</v>
      </c>
      <c r="E11" t="str">
        <v>Revisar manualmente: producto correcto, imagen nítida, fondo limpio y sin marcas ajenas.</v>
      </c>
      <c r="F11" t="str">
        <v>Si se reemplaza: foto real del producto, fondo blanco o neutro, buena luz y encuadre cuadrado.</v>
      </c>
      <c r="G11" t="str">
        <v>PENDIENTE</v>
      </c>
    </row>
    <row r="12">
      <c r="A12" t="str">
        <v>PFA001</v>
      </c>
      <c r="B12" t="str">
        <v>Perfume aromatico de base en agua</v>
      </c>
      <c r="C12" t="str">
        <v>PFA001.jpg</v>
      </c>
      <c r="D12" t="str">
        <v>PENDIENTE</v>
      </c>
      <c r="E12" t="str">
        <v>Revisar manualmente: producto correcto, imagen nítida, fondo limpio y sin marcas ajenas.</v>
      </c>
      <c r="F12" t="str">
        <v>Si se reemplaza: foto real del producto, fondo blanco o neutro, buena luz y encuadre cuadrado.</v>
      </c>
      <c r="G12" t="str">
        <v>PENDIENTE</v>
      </c>
    </row>
    <row r="13">
      <c r="A13" t="str">
        <v>PFA002</v>
      </c>
      <c r="B13" t="str">
        <v>Perfume aromatico de base en alcohol</v>
      </c>
      <c r="C13" t="str">
        <v>PFA002.jpg</v>
      </c>
      <c r="D13" t="str">
        <v>PENDIENTE</v>
      </c>
      <c r="E13" t="str">
        <v>Revisar manualmente: producto correcto, imagen nítida, fondo limpio y sin marcas ajenas.</v>
      </c>
      <c r="F13" t="str">
        <v>Si se reemplaza: foto real del producto, fondo blanco o neutro, buena luz y encuadre cuadrado.</v>
      </c>
      <c r="G13" t="str">
        <v>PENDIENTE</v>
      </c>
    </row>
    <row r="14">
      <c r="A14" t="str">
        <v>DES001</v>
      </c>
      <c r="B14" t="str">
        <v>Desengrasante industrial</v>
      </c>
      <c r="C14" t="str">
        <v>DES001.jpg</v>
      </c>
      <c r="D14" t="str">
        <v>PENDIENTE</v>
      </c>
      <c r="E14" t="str">
        <v>Revisar manualmente: producto correcto, imagen nítida, fondo limpio y sin marcas ajenas.</v>
      </c>
      <c r="F14" t="str">
        <v>Si se reemplaza: foto real del producto, fondo blanco o neutro, buena luz y encuadre cuadrado.</v>
      </c>
      <c r="G14" t="str">
        <v>PENDIENTE</v>
      </c>
    </row>
    <row r="15">
      <c r="A15" t="str">
        <v>DES002</v>
      </c>
      <c r="B15" t="str">
        <v>Desengrasante lavamotor</v>
      </c>
      <c r="C15" t="str">
        <v>DES002.jpg</v>
      </c>
      <c r="D15" t="str">
        <v>PENDIENTE</v>
      </c>
      <c r="E15" t="str">
        <v>Revisar manualmente: producto correcto, imagen nítida, fondo limpio y sin marcas ajenas.</v>
      </c>
      <c r="F15" t="str">
        <v>Si se reemplaza: foto real del producto, fondo blanco o neutro, buena luz y encuadre cuadrado.</v>
      </c>
      <c r="G15" t="str">
        <v>PENDIENTE</v>
      </c>
    </row>
    <row r="16">
      <c r="A16" t="str">
        <v>DES003</v>
      </c>
      <c r="B16" t="str">
        <v>Desengrasante multi usos</v>
      </c>
      <c r="C16" t="str">
        <v>DES003.jpg</v>
      </c>
      <c r="D16" t="str">
        <v>PENDIENTE</v>
      </c>
      <c r="E16" t="str">
        <v>Revisar manualmente: producto correcto, imagen nítida, fondo limpio y sin marcas ajenas.</v>
      </c>
      <c r="F16" t="str">
        <v>Si se reemplaza: foto real del producto, fondo blanco o neutro, buena luz y encuadre cuadrado.</v>
      </c>
      <c r="G16" t="str">
        <v>PENDIENTE</v>
      </c>
    </row>
    <row r="17">
      <c r="A17" t="str">
        <v>DES004</v>
      </c>
      <c r="B17" t="str">
        <v>Desengrasante quima manchas</v>
      </c>
      <c r="C17" t="str">
        <v>DES004.jpg</v>
      </c>
      <c r="D17" t="str">
        <v>PENDIENTE</v>
      </c>
      <c r="E17" t="str">
        <v>Revisar manualmente: producto correcto, imagen nítida, fondo limpio y sin marcas ajenas.</v>
      </c>
      <c r="F17" t="str">
        <v>Si se reemplaza: foto real del producto, fondo blanco o neutro, buena luz y encuadre cuadrado.</v>
      </c>
      <c r="G17" t="str">
        <v>PENDIENTE</v>
      </c>
    </row>
    <row r="18">
      <c r="A18" t="str">
        <v>DES005</v>
      </c>
      <c r="B18" t="str">
        <v>Desengrasante limpiador cremoso</v>
      </c>
      <c r="C18" t="str">
        <v>DES005.jpg</v>
      </c>
      <c r="D18" t="str">
        <v>PENDIENTE</v>
      </c>
      <c r="E18" t="str">
        <v>Revisar manualmente: producto correcto, imagen nítida, fondo limpio y sin marcas ajenas.</v>
      </c>
      <c r="F18" t="str">
        <v>Si se reemplaza: foto real del producto, fondo blanco o neutro, buena luz y encuadre cuadrado.</v>
      </c>
      <c r="G18" t="str">
        <v>PENDIENTE</v>
      </c>
    </row>
    <row r="19">
      <c r="A19" t="str">
        <v>RJR001</v>
      </c>
      <c r="B19" t="str">
        <v>Franela 40x50</v>
      </c>
      <c r="C19" t="str">
        <v>RJR001.jpg</v>
      </c>
      <c r="D19" t="str">
        <v>PENDIENTE</v>
      </c>
      <c r="E19" t="str">
        <v>Revisar manualmente: producto correcto, imagen nítida, fondo limpio y sin marcas ajenas.</v>
      </c>
      <c r="F19" t="str">
        <v>Si se reemplaza: foto real del producto, fondo blanco o neutro, buena luz y encuadre cuadrado.</v>
      </c>
      <c r="G19" t="str">
        <v>PENDIENTE</v>
      </c>
    </row>
    <row r="20">
      <c r="A20" t="str">
        <v>RJR002</v>
      </c>
      <c r="B20" t="str">
        <v>Rejilla de cocina</v>
      </c>
      <c r="C20" t="str">
        <v>RJR002.jpg</v>
      </c>
      <c r="D20" t="str">
        <v>PENDIENTE</v>
      </c>
      <c r="E20" t="str">
        <v>Revisar manualmente: producto correcto, imagen nítida, fondo limpio y sin marcas ajenas.</v>
      </c>
      <c r="F20" t="str">
        <v>Si se reemplaza: foto real del producto, fondo blanco o neutro, buena luz y encuadre cuadrado.</v>
      </c>
      <c r="G20" t="str">
        <v>PENDIENTE</v>
      </c>
    </row>
    <row r="21">
      <c r="A21" t="str">
        <v>RJR003</v>
      </c>
      <c r="B21" t="str">
        <v>Rejilla tipo americana</v>
      </c>
      <c r="C21" t="str">
        <v>RJR003.jpg</v>
      </c>
      <c r="D21" t="str">
        <v>PENDIENTE</v>
      </c>
      <c r="E21" t="str">
        <v>Revisar manualmente: producto correcto, imagen nítida, fondo limpio y sin marcas ajenas.</v>
      </c>
      <c r="F21" t="str">
        <v>Si se reemplaza: foto real del producto, fondo blanco o neutro, buena luz y encuadre cuadrado.</v>
      </c>
      <c r="G21" t="str">
        <v>PENDIENTE</v>
      </c>
    </row>
    <row r="22">
      <c r="A22" t="str">
        <v>RJR004</v>
      </c>
      <c r="B22" t="str">
        <v>Rejilla de auto</v>
      </c>
      <c r="C22" t="str">
        <v>RJR004.jpg</v>
      </c>
      <c r="D22" t="str">
        <v>PENDIENTE</v>
      </c>
      <c r="E22" t="str">
        <v>Revisar manualmente: producto correcto, imagen nítida, fondo limpio y sin marcas ajenas.</v>
      </c>
      <c r="F22" t="str">
        <v>Si se reemplaza: foto real del producto, fondo blanco o neutro, buena luz y encuadre cuadrado.</v>
      </c>
      <c r="G22" t="str">
        <v>PENDIENTE</v>
      </c>
    </row>
    <row r="23">
      <c r="A23" t="str">
        <v>RJR005</v>
      </c>
      <c r="B23" t="str">
        <v>Rejilla de pabilo</v>
      </c>
      <c r="C23" t="str">
        <v>RJR005.jpg</v>
      </c>
      <c r="D23" t="str">
        <v>PENDIENTE</v>
      </c>
      <c r="E23" t="str">
        <v>Revisar manualmente: producto correcto, imagen nítida, fondo limpio y sin marcas ajenas.</v>
      </c>
      <c r="F23" t="str">
        <v>Si se reemplaza: foto real del producto, fondo blanco o neutro, buena luz y encuadre cuadrado.</v>
      </c>
      <c r="G23" t="str">
        <v>PENDIENTE</v>
      </c>
    </row>
    <row r="24">
      <c r="A24" t="str">
        <v>RJR006</v>
      </c>
      <c r="B24" t="str">
        <v>Rejilla de auto</v>
      </c>
      <c r="C24" t="str">
        <v>RJR006.jpg</v>
      </c>
      <c r="D24" t="str">
        <v>PENDIENTE</v>
      </c>
      <c r="E24" t="str">
        <v>Revisar manualmente: producto correcto, imagen nítida, fondo limpio y sin marcas ajenas.</v>
      </c>
      <c r="F24" t="str">
        <v>Si se reemplaza: foto real del producto, fondo blanco o neutro, buena luz y encuadre cuadrado.</v>
      </c>
      <c r="G24" t="str">
        <v>PENDIENTE</v>
      </c>
    </row>
    <row r="25">
      <c r="A25" t="str">
        <v>RJR007</v>
      </c>
      <c r="B25" t="str">
        <v>Rejilla de auto</v>
      </c>
      <c r="C25" t="str">
        <v>RJR007.jpg</v>
      </c>
      <c r="D25" t="str">
        <v>PENDIENTE</v>
      </c>
      <c r="E25" t="str">
        <v>Revisar manualmente: producto correcto, imagen nítida, fondo limpio y sin marcas ajenas.</v>
      </c>
      <c r="F25" t="str">
        <v>Si se reemplaza: foto real del producto, fondo blanco o neutro, buena luz y encuadre cuadrado.</v>
      </c>
      <c r="G25" t="str">
        <v>PENDIENTE</v>
      </c>
    </row>
    <row r="26">
      <c r="A26" t="str">
        <v>RJR008</v>
      </c>
      <c r="B26" t="str">
        <v>Rejilla cocina</v>
      </c>
      <c r="C26" t="str">
        <v>RJR008.jpg</v>
      </c>
      <c r="D26" t="str">
        <v>PENDIENTE</v>
      </c>
      <c r="E26" t="str">
        <v>Revisar manualmente: producto correcto, imagen nítida, fondo limpio y sin marcas ajenas.</v>
      </c>
      <c r="F26" t="str">
        <v>Si se reemplaza: foto real del producto, fondo blanco o neutro, buena luz y encuadre cuadrado.</v>
      </c>
      <c r="G26" t="str">
        <v>PENDIENTE</v>
      </c>
    </row>
    <row r="27">
      <c r="A27" t="str">
        <v>RJR009</v>
      </c>
      <c r="B27" t="str">
        <v>Rejilla cocina</v>
      </c>
      <c r="C27" t="str">
        <v>RJR009.jpg</v>
      </c>
      <c r="D27" t="str">
        <v>PENDIENTE</v>
      </c>
      <c r="E27" t="str">
        <v>Revisar manualmente: producto correcto, imagen nítida, fondo limpio y sin marcas ajenas.</v>
      </c>
      <c r="F27" t="str">
        <v>Si se reemplaza: foto real del producto, fondo blanco o neutro, buena luz y encuadre cuadrado.</v>
      </c>
      <c r="G27" t="str">
        <v>PENDIENTE</v>
      </c>
    </row>
    <row r="28">
      <c r="A28" t="str">
        <v>RJR011</v>
      </c>
      <c r="B28" t="str">
        <v>Rejilla pabilo</v>
      </c>
      <c r="C28" t="str">
        <v>RJR010.jpg</v>
      </c>
      <c r="D28" t="str">
        <v>PENDIENTE</v>
      </c>
      <c r="E28" t="str">
        <v>Revisar manualmente: producto correcto, imagen nítida, fondo limpio y sin marcas ajenas.</v>
      </c>
      <c r="F28" t="str">
        <v>Si se reemplaza: foto real del producto, fondo blanco o neutro, buena luz y encuadre cuadrado.</v>
      </c>
      <c r="G28" t="str">
        <v>PENDIENTE</v>
      </c>
    </row>
    <row r="29">
      <c r="A29" t="str">
        <v>RJR012</v>
      </c>
      <c r="B29" t="str">
        <v>Rejilla pabilo</v>
      </c>
      <c r="C29" t="str">
        <v>RJR011.jpg</v>
      </c>
      <c r="D29" t="str">
        <v>PENDIENTE</v>
      </c>
      <c r="E29" t="str">
        <v>Revisar manualmente: producto correcto, imagen nítida, fondo limpio y sin marcas ajenas.</v>
      </c>
      <c r="F29" t="str">
        <v>Si se reemplaza: foto real del producto, fondo blanco o neutro, buena luz y encuadre cuadrado.</v>
      </c>
      <c r="G29" t="str">
        <v>PENDIENTE</v>
      </c>
    </row>
    <row r="30">
      <c r="A30" t="str">
        <v>RJR013</v>
      </c>
      <c r="B30" t="str">
        <v>Rejilla cocina</v>
      </c>
      <c r="C30" t="str">
        <v>RJR012.jpg</v>
      </c>
      <c r="D30" t="str">
        <v>PENDIENTE</v>
      </c>
      <c r="E30" t="str">
        <v>Revisar manualmente: producto correcto, imagen nítida, fondo limpio y sin marcas ajenas.</v>
      </c>
      <c r="F30" t="str">
        <v>Si se reemplaza: foto real del producto, fondo blanco o neutro, buena luz y encuadre cuadrado.</v>
      </c>
      <c r="G30" t="str">
        <v>PENDIENTE</v>
      </c>
    </row>
    <row r="31">
      <c r="A31" t="str">
        <v>RJR014</v>
      </c>
      <c r="B31" t="str">
        <v>Repasador</v>
      </c>
      <c r="C31" t="str">
        <v>RJR013.jpg</v>
      </c>
      <c r="D31" t="str">
        <v>PENDIENTE</v>
      </c>
      <c r="E31" t="str">
        <v>Revisar manualmente: producto correcto, imagen nítida, fondo limpio y sin marcas ajenas.</v>
      </c>
      <c r="F31" t="str">
        <v>Si se reemplaza: foto real del producto, fondo blanco o neutro, buena luz y encuadre cuadrado.</v>
      </c>
      <c r="G31" t="str">
        <v>PENDIENTE</v>
      </c>
    </row>
    <row r="32">
      <c r="A32" t="str">
        <v>RJR015</v>
      </c>
      <c r="B32" t="str">
        <v>Repasador</v>
      </c>
      <c r="C32" t="str">
        <v>RJR014.jpg</v>
      </c>
      <c r="D32" t="str">
        <v>PENDIENTE</v>
      </c>
      <c r="E32" t="str">
        <v>Revisar manualmente: producto correcto, imagen nítida, fondo limpio y sin marcas ajenas.</v>
      </c>
      <c r="F32" t="str">
        <v>Si se reemplaza: foto real del producto, fondo blanco o neutro, buena luz y encuadre cuadrado.</v>
      </c>
      <c r="G32" t="str">
        <v>PENDIENTE</v>
      </c>
    </row>
    <row r="33">
      <c r="A33" t="str">
        <v>RJR015</v>
      </c>
      <c r="B33" t="str">
        <v>Paño amarillo para piso</v>
      </c>
      <c r="C33" t="str">
        <v>RJR015.jpg</v>
      </c>
      <c r="D33" t="str">
        <v>PENDIENTE</v>
      </c>
      <c r="E33" t="str">
        <v>Revisar manualmente: producto correcto, imagen nítida, fondo limpio y sin marcas ajenas.</v>
      </c>
      <c r="F33" t="str">
        <v>Si se reemplaza: foto real del producto, fondo blanco o neutro, buena luz y encuadre cuadrado.</v>
      </c>
      <c r="G33" t="str">
        <v>PENDIENTE</v>
      </c>
    </row>
    <row r="34">
      <c r="A34" t="str">
        <v>TDP001</v>
      </c>
      <c r="B34" t="str">
        <v>Trapo de piso blanco</v>
      </c>
      <c r="C34" t="str">
        <v>TDP001.jpg</v>
      </c>
      <c r="D34" t="str">
        <v>PENDIENTE</v>
      </c>
      <c r="E34" t="str">
        <v>Revisar manualmente: producto correcto, imagen nítida, fondo limpio y sin marcas ajenas.</v>
      </c>
      <c r="F34" t="str">
        <v>Si se reemplaza: foto real del producto, fondo blanco o neutro, buena luz y encuadre cuadrado.</v>
      </c>
      <c r="G34" t="str">
        <v>PENDIENTE</v>
      </c>
    </row>
    <row r="35">
      <c r="A35" t="str">
        <v>TDP002</v>
      </c>
      <c r="B35" t="str">
        <v>Trapo de piso gris</v>
      </c>
      <c r="C35" t="str">
        <v>TDP002.jpg</v>
      </c>
      <c r="D35" t="str">
        <v>PENDIENTE</v>
      </c>
      <c r="E35" t="str">
        <v>Revisar manualmente: producto correcto, imagen nítida, fondo limpio y sin marcas ajenas.</v>
      </c>
      <c r="F35" t="str">
        <v>Si se reemplaza: foto real del producto, fondo blanco o neutro, buena luz y encuadre cuadrado.</v>
      </c>
      <c r="G35" t="str">
        <v>PENDIENTE</v>
      </c>
    </row>
    <row r="36">
      <c r="A36" t="str">
        <v>TDP003</v>
      </c>
      <c r="B36" t="str">
        <v>Trapo de piso costurado</v>
      </c>
      <c r="C36" t="str">
        <v>TDP003.jpg</v>
      </c>
      <c r="D36" t="str">
        <v>PENDIENTE</v>
      </c>
      <c r="E36" t="str">
        <v>Revisar manualmente: producto correcto, imagen nítida, fondo limpio y sin marcas ajenas.</v>
      </c>
      <c r="F36" t="str">
        <v>Si se reemplaza: foto real del producto, fondo blanco o neutro, buena luz y encuadre cuadrado.</v>
      </c>
      <c r="G36" t="str">
        <v>PENDIENTE</v>
      </c>
    </row>
    <row r="37">
      <c r="A37" t="str">
        <v>TDP004</v>
      </c>
      <c r="B37" t="str">
        <v>Trapo de piso costurado</v>
      </c>
      <c r="C37" t="str">
        <v>TDP004.jpg</v>
      </c>
      <c r="D37" t="str">
        <v>PENDIENTE</v>
      </c>
      <c r="E37" t="str">
        <v>Revisar manualmente: producto correcto, imagen nítida, fondo limpio y sin marcas ajenas.</v>
      </c>
      <c r="F37" t="str">
        <v>Si se reemplaza: foto real del producto, fondo blanco o neutro, buena luz y encuadre cuadrado.</v>
      </c>
      <c r="G37" t="str">
        <v>PENDIENTE</v>
      </c>
    </row>
    <row r="38">
      <c r="A38" t="str">
        <v>TDP005</v>
      </c>
      <c r="B38" t="str">
        <v>Trapo de piso nido de abeja</v>
      </c>
      <c r="C38" t="str">
        <v>TDP005.jpg</v>
      </c>
      <c r="D38" t="str">
        <v>PENDIENTE</v>
      </c>
      <c r="E38" t="str">
        <v>Revisar manualmente: producto correcto, imagen nítida, fondo limpio y sin marcas ajenas.</v>
      </c>
      <c r="F38" t="str">
        <v>Si se reemplaza: foto real del producto, fondo blanco o neutro, buena luz y encuadre cuadrado.</v>
      </c>
      <c r="G38" t="str">
        <v>PENDIENTE</v>
      </c>
    </row>
    <row r="39">
      <c r="A39" t="str">
        <v>TDP006</v>
      </c>
      <c r="B39" t="str">
        <v>Trapo de piso nido de abeja economico</v>
      </c>
      <c r="C39" t="str">
        <v>TDP006.jpg</v>
      </c>
      <c r="D39" t="str">
        <v>PENDIENTE</v>
      </c>
      <c r="E39" t="str">
        <v>Revisar manualmente: producto correcto, imagen nítida, fondo limpio y sin marcas ajenas.</v>
      </c>
      <c r="F39" t="str">
        <v>Si se reemplaza: foto real del producto, fondo blanco o neutro, buena luz y encuadre cuadrado.</v>
      </c>
      <c r="G39" t="str">
        <v>PENDIENTE</v>
      </c>
    </row>
    <row r="40">
      <c r="A40" t="str">
        <v>TDP007</v>
      </c>
      <c r="B40" t="str">
        <v>Trapo de piso rayado</v>
      </c>
      <c r="C40" t="str">
        <v>TDP007.jpg</v>
      </c>
      <c r="D40" t="str">
        <v>PENDIENTE</v>
      </c>
      <c r="E40" t="str">
        <v>Revisar manualmente: producto correcto, imagen nítida, fondo limpio y sin marcas ajenas.</v>
      </c>
      <c r="F40" t="str">
        <v>Si se reemplaza: foto real del producto, fondo blanco o neutro, buena luz y encuadre cuadrado.</v>
      </c>
      <c r="G40" t="str">
        <v>PENDIENTE</v>
      </c>
    </row>
    <row r="41">
      <c r="A41" t="str">
        <v>TDP008</v>
      </c>
      <c r="B41" t="str">
        <v>Trapo de piso rayado</v>
      </c>
      <c r="C41" t="str">
        <v>TDP008.jpg</v>
      </c>
      <c r="D41" t="str">
        <v>PENDIENTE</v>
      </c>
      <c r="E41" t="str">
        <v>Revisar manualmente: producto correcto, imagen nítida, fondo limpio y sin marcas ajenas.</v>
      </c>
      <c r="F41" t="str">
        <v>Si se reemplaza: foto real del producto, fondo blanco o neutro, buena luz y encuadre cuadrado.</v>
      </c>
      <c r="G41" t="str">
        <v>PENDIENTE</v>
      </c>
    </row>
    <row r="42">
      <c r="A42" t="str">
        <v>EYE001</v>
      </c>
      <c r="B42" t="str">
        <v>Escoba Anden de 40 cm</v>
      </c>
      <c r="C42" t="str">
        <v>EYE001.jpg</v>
      </c>
      <c r="D42" t="str">
        <v>PENDIENTE</v>
      </c>
      <c r="E42" t="str">
        <v>Revisar manualmente: producto correcto, imagen nítida, fondo limpio y sin marcas ajenas.</v>
      </c>
      <c r="F42" t="str">
        <v>Si se reemplaza: foto real del producto, fondo blanco o neutro, buena luz y encuadre cuadrado.</v>
      </c>
      <c r="G42" t="str">
        <v>PENDIENTE</v>
      </c>
    </row>
    <row r="43">
      <c r="A43" t="str">
        <v>EYE002</v>
      </c>
      <c r="B43" t="str">
        <v>Escoba Anden de 60 cm</v>
      </c>
      <c r="C43" t="str">
        <v>EYE002.jpg</v>
      </c>
      <c r="D43" t="str">
        <v>PENDIENTE</v>
      </c>
      <c r="E43" t="str">
        <v>Revisar manualmente: producto correcto, imagen nítida, fondo limpio y sin marcas ajenas.</v>
      </c>
      <c r="F43" t="str">
        <v>Si se reemplaza: foto real del producto, fondo blanco o neutro, buena luz y encuadre cuadrado.</v>
      </c>
      <c r="G43" t="str">
        <v>PENDIENTE</v>
      </c>
    </row>
    <row r="44">
      <c r="A44" t="str">
        <v>EYE003</v>
      </c>
      <c r="B44" t="str">
        <v>Escoba Anden de 80 cm</v>
      </c>
      <c r="C44" t="str">
        <v>EYE003.jpg</v>
      </c>
      <c r="D44" t="str">
        <v>PENDIENTE</v>
      </c>
      <c r="E44" t="str">
        <v>Revisar manualmente: producto correcto, imagen nítida, fondo limpio y sin marcas ajenas.</v>
      </c>
      <c r="F44" t="str">
        <v>Si se reemplaza: foto real del producto, fondo blanco o neutro, buena luz y encuadre cuadrado.</v>
      </c>
      <c r="G44" t="str">
        <v>PENDIENTE</v>
      </c>
    </row>
    <row r="45">
      <c r="A45" t="str">
        <v>EYE004</v>
      </c>
      <c r="B45" t="str">
        <v>Escoba Anden de 100 cm</v>
      </c>
      <c r="C45" t="str">
        <v>EYE004.jpg</v>
      </c>
      <c r="D45" t="str">
        <v>PENDIENTE</v>
      </c>
      <c r="E45" t="str">
        <v>Revisar manualmente: producto correcto, imagen nítida, fondo limpio y sin marcas ajenas.</v>
      </c>
      <c r="F45" t="str">
        <v>Si se reemplaza: foto real del producto, fondo blanco o neutro, buena luz y encuadre cuadrado.</v>
      </c>
      <c r="G45" t="str">
        <v>PENDIENTE</v>
      </c>
    </row>
    <row r="46">
      <c r="A46" t="str">
        <v>EYE005</v>
      </c>
      <c r="B46" t="str">
        <v>Escoba Anden de 60 cm barregrueso</v>
      </c>
      <c r="C46" t="str">
        <v>EYE005.jpg</v>
      </c>
      <c r="D46" t="str">
        <v>PENDIENTE</v>
      </c>
      <c r="E46" t="str">
        <v>Revisar manualmente: producto correcto, imagen nítida, fondo limpio y sin marcas ajenas.</v>
      </c>
      <c r="F46" t="str">
        <v>Si se reemplaza: foto real del producto, fondo blanco o neutro, buena luz y encuadre cuadrado.</v>
      </c>
      <c r="G46" t="str">
        <v>PENDIENTE</v>
      </c>
    </row>
    <row r="47">
      <c r="A47" t="str">
        <v>EYE006</v>
      </c>
      <c r="B47" t="str">
        <v>Escobillon Barrendero Economico</v>
      </c>
      <c r="C47" t="str">
        <v>EYE006.jpg</v>
      </c>
      <c r="D47" t="str">
        <v>PENDIENTE</v>
      </c>
      <c r="E47" t="str">
        <v>Revisar manualmente: producto correcto, imagen nítida, fondo limpio y sin marcas ajenas.</v>
      </c>
      <c r="F47" t="str">
        <v>Si se reemplaza: foto real del producto, fondo blanco o neutro, buena luz y encuadre cuadrado.</v>
      </c>
      <c r="G47" t="str">
        <v>PENDIENTE</v>
      </c>
    </row>
    <row r="48">
      <c r="A48" t="str">
        <v>EYE007</v>
      </c>
      <c r="B48" t="str">
        <v>Escoba tipo barredor de 35 cm</v>
      </c>
      <c r="C48" t="str">
        <v>EYE007.jpg</v>
      </c>
      <c r="D48" t="str">
        <v>PENDIENTE</v>
      </c>
      <c r="E48" t="str">
        <v>Revisar manualmente: producto correcto, imagen nítida, fondo limpio y sin marcas ajenas.</v>
      </c>
      <c r="F48" t="str">
        <v>Si se reemplaza: foto real del producto, fondo blanco o neutro, buena luz y encuadre cuadrado.</v>
      </c>
      <c r="G48" t="str">
        <v>PENDIENTE</v>
      </c>
    </row>
    <row r="49">
      <c r="A49" t="str">
        <v>EYE008</v>
      </c>
      <c r="B49" t="str">
        <v>Escoba tipo barredor de 60 cm</v>
      </c>
      <c r="C49" t="str">
        <v>EYE008.jpg</v>
      </c>
      <c r="D49" t="str">
        <v>PENDIENTE</v>
      </c>
      <c r="E49" t="str">
        <v>Revisar manualmente: producto correcto, imagen nítida, fondo limpio y sin marcas ajenas.</v>
      </c>
      <c r="F49" t="str">
        <v>Si se reemplaza: foto real del producto, fondo blanco o neutro, buena luz y encuadre cuadrado.</v>
      </c>
      <c r="G49" t="str">
        <v>PENDIENTE</v>
      </c>
    </row>
    <row r="50">
      <c r="A50" t="str">
        <v>EYE009</v>
      </c>
      <c r="B50" t="str">
        <v>Escoba tipo barredor de 80 cm</v>
      </c>
      <c r="C50" t="str">
        <v>EYE009.jpg</v>
      </c>
      <c r="D50" t="str">
        <v>PENDIENTE</v>
      </c>
      <c r="E50" t="str">
        <v>Revisar manualmente: producto correcto, imagen nítida, fondo limpio y sin marcas ajenas.</v>
      </c>
      <c r="F50" t="str">
        <v>Si se reemplaza: foto real del producto, fondo blanco o neutro, buena luz y encuadre cuadrado.</v>
      </c>
      <c r="G50" t="str">
        <v>PENDIENTE</v>
      </c>
    </row>
    <row r="51">
      <c r="A51" t="str">
        <v>EYE010</v>
      </c>
      <c r="B51" t="str">
        <v>Escoba tipo barredor de 100 cm</v>
      </c>
      <c r="C51" t="str">
        <v>EYE010.jpg</v>
      </c>
      <c r="D51" t="str">
        <v>PENDIENTE</v>
      </c>
      <c r="E51" t="str">
        <v>Revisar manualmente: producto correcto, imagen nítida, fondo limpio y sin marcas ajenas.</v>
      </c>
      <c r="F51" t="str">
        <v>Si se reemplaza: foto real del producto, fondo blanco o neutro, buena luz y encuadre cuadrado.</v>
      </c>
      <c r="G51" t="str">
        <v>PENDIENTE</v>
      </c>
    </row>
    <row r="52">
      <c r="A52" t="str">
        <v>EYE011</v>
      </c>
      <c r="B52" t="str">
        <v>Barre Hojas Comun</v>
      </c>
      <c r="C52" t="str">
        <v>EYE011.jpg</v>
      </c>
      <c r="D52" t="str">
        <v>PENDIENTE</v>
      </c>
      <c r="E52" t="str">
        <v>Revisar manualmente: producto correcto, imagen nítida, fondo limpio y sin marcas ajenas.</v>
      </c>
      <c r="F52" t="str">
        <v>Si se reemplaza: foto real del producto, fondo blanco o neutro, buena luz y encuadre cuadrado.</v>
      </c>
      <c r="G52" t="str">
        <v>PENDIENTE</v>
      </c>
    </row>
    <row r="53">
      <c r="A53" t="str">
        <v>EYE012</v>
      </c>
      <c r="B53" t="str">
        <v>Barre Hojas Profesional</v>
      </c>
      <c r="C53" t="str">
        <v>EYE012.jpg</v>
      </c>
      <c r="D53" t="str">
        <v>PENDIENTE</v>
      </c>
      <c r="E53" t="str">
        <v>Revisar manualmente: producto correcto, imagen nítida, fondo limpio y sin marcas ajenas.</v>
      </c>
      <c r="F53" t="str">
        <v>Si se reemplaza: foto real del producto, fondo blanco o neutro, buena luz y encuadre cuadrado.</v>
      </c>
      <c r="G53" t="str">
        <v>PENDIENTE</v>
      </c>
    </row>
    <row r="54">
      <c r="A54" t="str">
        <v>EYE013</v>
      </c>
      <c r="B54" t="str">
        <v>Escoba de tipo 6 hilos</v>
      </c>
      <c r="C54" t="str">
        <v>EYE013.jpg</v>
      </c>
      <c r="D54" t="str">
        <v>PENDIENTE</v>
      </c>
      <c r="E54" t="str">
        <v>Revisar manualmente: producto correcto, imagen nítida, fondo limpio y sin marcas ajenas.</v>
      </c>
      <c r="F54" t="str">
        <v>Si se reemplaza: foto real del producto, fondo blanco o neutro, buena luz y encuadre cuadrado.</v>
      </c>
      <c r="G54" t="str">
        <v>PENDIENTE</v>
      </c>
    </row>
    <row r="55">
      <c r="A55" t="str">
        <v>EYE014</v>
      </c>
      <c r="B55" t="str">
        <v>Escoba de tipo Americana</v>
      </c>
      <c r="C55" t="str">
        <v>EYE014.jpg</v>
      </c>
      <c r="D55" t="str">
        <v>PENDIENTE</v>
      </c>
      <c r="E55" t="str">
        <v>Revisar manualmente: producto correcto, imagen nítida, fondo limpio y sin marcas ajenas.</v>
      </c>
      <c r="F55" t="str">
        <v>Si se reemplaza: foto real del producto, fondo blanco o neutro, buena luz y encuadre cuadrado.</v>
      </c>
      <c r="G55" t="str">
        <v>PENDIENTE</v>
      </c>
    </row>
    <row r="56">
      <c r="A56" t="str">
        <v>EYE015</v>
      </c>
      <c r="B56" t="str">
        <v>Escoba de tipo Capuchina</v>
      </c>
      <c r="C56" t="str">
        <v>EYE015.jpg</v>
      </c>
      <c r="D56" t="str">
        <v>PENDIENTE</v>
      </c>
      <c r="E56" t="str">
        <v>Revisar manualmente: producto correcto, imagen nítida, fondo limpio y sin marcas ajenas.</v>
      </c>
      <c r="F56" t="str">
        <v>Si se reemplaza: foto real del producto, fondo blanco o neutro, buena luz y encuadre cuadrado.</v>
      </c>
      <c r="G56" t="str">
        <v>PENDIENTE</v>
      </c>
    </row>
    <row r="57">
      <c r="A57" t="str">
        <v>EYE016</v>
      </c>
      <c r="B57" t="str">
        <v>Escoba de tipo Barregrueso</v>
      </c>
      <c r="C57" t="str">
        <v>EYE016.jpg</v>
      </c>
      <c r="D57" t="str">
        <v>PENDIENTE</v>
      </c>
      <c r="E57" t="str">
        <v>Revisar manualmente: producto correcto, imagen nítida, fondo limpio y sin marcas ajenas.</v>
      </c>
      <c r="F57" t="str">
        <v>Si se reemplaza: foto real del producto, fondo blanco o neutro, buena luz y encuadre cuadrado.</v>
      </c>
      <c r="G57" t="str">
        <v>PENDIENTE</v>
      </c>
    </row>
    <row r="58">
      <c r="A58" t="str">
        <v>EYE017</v>
      </c>
      <c r="B58" t="str">
        <v>Escobillon de tipo liso de Cerda</v>
      </c>
      <c r="C58" t="str">
        <v>EYE017.jpg</v>
      </c>
      <c r="D58" t="str">
        <v>PENDIENTE</v>
      </c>
      <c r="E58" t="str">
        <v>Revisar manualmente: producto correcto, imagen nítida, fondo limpio y sin marcas ajenas.</v>
      </c>
      <c r="F58" t="str">
        <v>Si se reemplaza: foto real del producto, fondo blanco o neutro, buena luz y encuadre cuadrado.</v>
      </c>
      <c r="G58" t="str">
        <v>PENDIENTE</v>
      </c>
    </row>
    <row r="59">
      <c r="A59" t="str">
        <v>EYE018</v>
      </c>
      <c r="B59" t="str">
        <v>Escoba de tipo Galponera</v>
      </c>
      <c r="C59" t="str">
        <v>EYE018.jpg</v>
      </c>
      <c r="D59" t="str">
        <v>PENDIENTE</v>
      </c>
      <c r="E59" t="str">
        <v>Revisar manualmente: producto correcto, imagen nítida, fondo limpio y sin marcas ajenas.</v>
      </c>
      <c r="F59" t="str">
        <v>Si se reemplaza: foto real del producto, fondo blanco o neutro, buena luz y encuadre cuadrado.</v>
      </c>
      <c r="G59" t="str">
        <v>PENDIENTE</v>
      </c>
    </row>
    <row r="60">
      <c r="A60" t="str">
        <v>EYE019</v>
      </c>
      <c r="B60" t="str">
        <v>Escobillon Rey Laqueado</v>
      </c>
      <c r="C60" t="str">
        <v>EYE019.jpg</v>
      </c>
      <c r="D60" t="str">
        <v>PENDIENTE</v>
      </c>
      <c r="E60" t="str">
        <v>Revisar manualmente: producto correcto, imagen nítida, fondo limpio y sin marcas ajenas.</v>
      </c>
      <c r="F60" t="str">
        <v>Si se reemplaza: foto real del producto, fondo blanco o neutro, buena luz y encuadre cuadrado.</v>
      </c>
      <c r="G60" t="str">
        <v>PENDIENTE</v>
      </c>
    </row>
    <row r="61">
      <c r="A61" t="str">
        <v>EYE020</v>
      </c>
      <c r="B61" t="str">
        <v>Escobillon tipo princesa laqueado</v>
      </c>
      <c r="C61" t="str">
        <v>EYE020.jpg</v>
      </c>
      <c r="D61" t="str">
        <v>PENDIENTE</v>
      </c>
      <c r="E61" t="str">
        <v>Revisar manualmente: producto correcto, imagen nítida, fondo limpio y sin marcas ajenas.</v>
      </c>
      <c r="F61" t="str">
        <v>Si se reemplaza: foto real del producto, fondo blanco o neutro, buena luz y encuadre cuadrado.</v>
      </c>
      <c r="G61" t="str">
        <v>PENDIENTE</v>
      </c>
    </row>
    <row r="62">
      <c r="A62" t="str">
        <v>EYE021</v>
      </c>
      <c r="B62" t="str">
        <v>Escobillon tipo barregrueso economico</v>
      </c>
      <c r="C62" t="str">
        <v>EYE021.jpg</v>
      </c>
      <c r="D62" t="str">
        <v>PENDIENTE</v>
      </c>
      <c r="E62" t="str">
        <v>Revisar manualmente: producto correcto, imagen nítida, fondo limpio y sin marcas ajenas.</v>
      </c>
      <c r="F62" t="str">
        <v>Si se reemplaza: foto real del producto, fondo blanco o neutro, buena luz y encuadre cuadrado.</v>
      </c>
      <c r="G62" t="str">
        <v>PENDIENTE</v>
      </c>
    </row>
    <row r="63">
      <c r="A63" t="str">
        <v>EYE022</v>
      </c>
      <c r="B63" t="str">
        <v>Escobillon tipo barregrueso salzano</v>
      </c>
      <c r="C63" t="str">
        <v>EYE022.jpg</v>
      </c>
      <c r="D63" t="str">
        <v>PENDIENTE</v>
      </c>
      <c r="E63" t="str">
        <v>Revisar manualmente: producto correcto, imagen nítida, fondo limpio y sin marcas ajenas.</v>
      </c>
      <c r="F63" t="str">
        <v>Si se reemplaza: foto real del producto, fondo blanco o neutro, buena luz y encuadre cuadrado.</v>
      </c>
      <c r="G63" t="str">
        <v>PENDIENTE</v>
      </c>
    </row>
    <row r="64">
      <c r="A64" t="str">
        <v>EYE023</v>
      </c>
      <c r="B64" t="str">
        <v>Escobillon de tipo gondola</v>
      </c>
      <c r="C64" t="str">
        <v>EYE023.jpg</v>
      </c>
      <c r="D64" t="str">
        <v>PENDIENTE</v>
      </c>
      <c r="E64" t="str">
        <v>Revisar manualmente: producto correcto, imagen nítida, fondo limpio y sin marcas ajenas.</v>
      </c>
      <c r="F64" t="str">
        <v>Si se reemplaza: foto real del producto, fondo blanco o neutro, buena luz y encuadre cuadrado.</v>
      </c>
      <c r="G64" t="str">
        <v>PENDIENTE</v>
      </c>
    </row>
    <row r="65">
      <c r="A65" t="str">
        <v>EYE024</v>
      </c>
      <c r="B65" t="str">
        <v>Escobillon de tipo Barrendero Salzano</v>
      </c>
      <c r="C65" t="str">
        <v>EYE024.jpg</v>
      </c>
      <c r="D65" t="str">
        <v>PENDIENTE</v>
      </c>
      <c r="E65" t="str">
        <v>Revisar manualmente: producto correcto, imagen nítida, fondo limpio y sin marcas ajenas.</v>
      </c>
      <c r="F65" t="str">
        <v>Si se reemplaza: foto real del producto, fondo blanco o neutro, buena luz y encuadre cuadrado.</v>
      </c>
      <c r="G65" t="str">
        <v>PENDIENTE</v>
      </c>
    </row>
    <row r="66">
      <c r="A66" t="str">
        <v>EYE025</v>
      </c>
      <c r="B66" t="str">
        <v>Escobillon bigote (cerda) Salzano</v>
      </c>
      <c r="C66" t="str">
        <v>EYE025.jpg</v>
      </c>
      <c r="D66" t="str">
        <v>PENDIENTE</v>
      </c>
      <c r="E66" t="str">
        <v>Revisar manualmente: producto correcto, imagen nítida, fondo limpio y sin marcas ajenas.</v>
      </c>
      <c r="F66" t="str">
        <v>Si se reemplaza: foto real del producto, fondo blanco o neutro, buena luz y encuadre cuadrado.</v>
      </c>
      <c r="G66" t="str">
        <v>PENDIENTE</v>
      </c>
    </row>
    <row r="67">
      <c r="A67" t="str">
        <v>EYE026</v>
      </c>
      <c r="B67" t="str">
        <v>Escobillon de tipo golf</v>
      </c>
      <c r="C67" t="str">
        <v>EYE026.jpg</v>
      </c>
      <c r="D67" t="str">
        <v>PENDIENTE</v>
      </c>
      <c r="E67" t="str">
        <v>Revisar manualmente: producto correcto, imagen nítida, fondo limpio y sin marcas ajenas.</v>
      </c>
      <c r="F67" t="str">
        <v>Si se reemplaza: foto real del producto, fondo blanco o neutro, buena luz y encuadre cuadrado.</v>
      </c>
      <c r="G67" t="str">
        <v>PENDIENTE</v>
      </c>
    </row>
    <row r="68">
      <c r="A68" t="str">
        <v>EYE027</v>
      </c>
      <c r="B68" t="str">
        <v>Escobillon Italia Salzano</v>
      </c>
      <c r="C68" t="str">
        <v>EYE027.jpg</v>
      </c>
      <c r="D68" t="str">
        <v>PENDIENTE</v>
      </c>
      <c r="E68" t="str">
        <v>Revisar manualmente: producto correcto, imagen nítida, fondo limpio y sin marcas ajenas.</v>
      </c>
      <c r="F68" t="str">
        <v>Si se reemplaza: foto real del producto, fondo blanco o neutro, buena luz y encuadre cuadrado.</v>
      </c>
      <c r="G68" t="str">
        <v>PENDIENTE</v>
      </c>
    </row>
    <row r="69">
      <c r="A69" t="str">
        <v>EYE028</v>
      </c>
      <c r="B69" t="str">
        <v>Escobillon Martina Salzano</v>
      </c>
      <c r="C69" t="str">
        <v>EYE028.jpg</v>
      </c>
      <c r="D69" t="str">
        <v>PENDIENTE</v>
      </c>
      <c r="E69" t="str">
        <v>Revisar manualmente: producto correcto, imagen nítida, fondo limpio y sin marcas ajenas.</v>
      </c>
      <c r="F69" t="str">
        <v>Si se reemplaza: foto real del producto, fondo blanco o neutro, buena luz y encuadre cuadrado.</v>
      </c>
      <c r="G69" t="str">
        <v>PENDIENTE</v>
      </c>
    </row>
    <row r="70">
      <c r="A70" t="str">
        <v>EYE029</v>
      </c>
      <c r="B70" t="str">
        <v>Escobillon Super Gondola</v>
      </c>
      <c r="C70" t="str">
        <v>EYE029.jpg</v>
      </c>
      <c r="D70" t="str">
        <v>PENDIENTE</v>
      </c>
      <c r="E70" t="str">
        <v>Revisar manualmente: producto correcto, imagen nítida, fondo limpio y sin marcas ajenas.</v>
      </c>
      <c r="F70" t="str">
        <v>Si se reemplaza: foto real del producto, fondo blanco o neutro, buena luz y encuadre cuadrado.</v>
      </c>
      <c r="G70" t="str">
        <v>PENDIENTE</v>
      </c>
    </row>
    <row r="71">
      <c r="A71" t="str">
        <v>EYE030</v>
      </c>
      <c r="B71" t="str">
        <v>Escobillon Super Panda</v>
      </c>
      <c r="C71" t="str">
        <v>EYE030.jpg</v>
      </c>
      <c r="D71" t="str">
        <v>PENDIENTE</v>
      </c>
      <c r="E71" t="str">
        <v>Revisar manualmente: producto correcto, imagen nítida, fondo limpio y sin marcas ajenas.</v>
      </c>
      <c r="F71" t="str">
        <v>Si se reemplaza: foto real del producto, fondo blanco o neutro, buena luz y encuadre cuadrado.</v>
      </c>
      <c r="G71" t="str">
        <v>PENDIENTE</v>
      </c>
    </row>
    <row r="72">
      <c r="A72" t="str">
        <v>EYE031</v>
      </c>
      <c r="B72" t="str">
        <v>Escobillon Venecia Salzano</v>
      </c>
      <c r="C72" t="str">
        <v>EYE031.jpg</v>
      </c>
      <c r="D72" t="str">
        <v>PENDIENTE</v>
      </c>
      <c r="E72" t="str">
        <v>Revisar manualmente: producto correcto, imagen nítida, fondo limpio y sin marcas ajenas.</v>
      </c>
      <c r="F72" t="str">
        <v>Si se reemplaza: foto real del producto, fondo blanco o neutro, buena luz y encuadre cuadrado.</v>
      </c>
      <c r="G72" t="str">
        <v>PENDIENTE</v>
      </c>
    </row>
    <row r="73">
      <c r="A73" t="str">
        <v>EYE032</v>
      </c>
      <c r="B73" t="str">
        <v>Globo de Techo Make</v>
      </c>
      <c r="C73" t="str">
        <v>EYE032.jpg</v>
      </c>
      <c r="D73" t="str">
        <v>PENDIENTE</v>
      </c>
      <c r="E73" t="str">
        <v>Revisar manualmente: producto correcto, imagen nítida, fondo limpio y sin marcas ajenas.</v>
      </c>
      <c r="F73" t="str">
        <v>Si se reemplaza: foto real del producto, fondo blanco o neutro, buena luz y encuadre cuadrado.</v>
      </c>
      <c r="G73" t="str">
        <v>PENDIENTE</v>
      </c>
    </row>
    <row r="74">
      <c r="A74" t="str">
        <v>EYE033</v>
      </c>
      <c r="B74" t="str">
        <v>Globo de Techo Punky</v>
      </c>
      <c r="C74" t="str">
        <v>EYE033.jpg</v>
      </c>
      <c r="D74" t="str">
        <v>PENDIENTE</v>
      </c>
      <c r="E74" t="str">
        <v>Revisar manualmente: producto correcto, imagen nítida, fondo limpio y sin marcas ajenas.</v>
      </c>
      <c r="F74" t="str">
        <v>Si se reemplaza: foto real del producto, fondo blanco o neutro, buena luz y encuadre cuadrado.</v>
      </c>
      <c r="G74" t="str">
        <v>PENDIENTE</v>
      </c>
    </row>
    <row r="75">
      <c r="A75" t="str">
        <v>EYE034</v>
      </c>
      <c r="B75" t="str">
        <v>Repuesto barredor</v>
      </c>
      <c r="C75" t="str">
        <v>EYE034.jpg</v>
      </c>
      <c r="D75" t="str">
        <v>PENDIENTE</v>
      </c>
      <c r="E75" t="str">
        <v>Revisar manualmente: producto correcto, imagen nítida, fondo limpio y sin marcas ajenas.</v>
      </c>
      <c r="F75" t="str">
        <v>Si se reemplaza: foto real del producto, fondo blanco o neutro, buena luz y encuadre cuadrado.</v>
      </c>
      <c r="G75" t="str">
        <v>PENDIENTE</v>
      </c>
    </row>
    <row r="76">
      <c r="A76" t="str">
        <v>EYE035</v>
      </c>
      <c r="B76" t="str">
        <v>Repuesto barredor</v>
      </c>
      <c r="C76" t="str">
        <v>EYE035.jpg</v>
      </c>
      <c r="D76" t="str">
        <v>PENDIENTE</v>
      </c>
      <c r="E76" t="str">
        <v>Revisar manualmente: producto correcto, imagen nítida, fondo limpio y sin marcas ajenas.</v>
      </c>
      <c r="F76" t="str">
        <v>Si se reemplaza: foto real del producto, fondo blanco o neutro, buena luz y encuadre cuadrado.</v>
      </c>
      <c r="G76" t="str">
        <v>PENDIENTE</v>
      </c>
    </row>
    <row r="77">
      <c r="A77" t="str">
        <v>EYE036</v>
      </c>
      <c r="B77" t="str">
        <v>Repuesto barredor</v>
      </c>
      <c r="C77" t="str">
        <v>EYE036.jpg</v>
      </c>
      <c r="D77" t="str">
        <v>PENDIENTE</v>
      </c>
      <c r="E77" t="str">
        <v>Revisar manualmente: producto correcto, imagen nítida, fondo limpio y sin marcas ajenas.</v>
      </c>
      <c r="F77" t="str">
        <v>Si se reemplaza: foto real del producto, fondo blanco o neutro, buena luz y encuadre cuadrado.</v>
      </c>
      <c r="G77" t="str">
        <v>PENDIENTE</v>
      </c>
    </row>
    <row r="78">
      <c r="A78" t="str">
        <v>EYE037</v>
      </c>
      <c r="B78" t="str">
        <v>Repuesto barredor</v>
      </c>
      <c r="C78" t="str">
        <v>EYE037.jpg</v>
      </c>
      <c r="D78" t="str">
        <v>PENDIENTE</v>
      </c>
      <c r="E78" t="str">
        <v>Revisar manualmente: producto correcto, imagen nítida, fondo limpio y sin marcas ajenas.</v>
      </c>
      <c r="F78" t="str">
        <v>Si se reemplaza: foto real del producto, fondo blanco o neutro, buena luz y encuadre cuadrado.</v>
      </c>
      <c r="G78" t="str">
        <v>PENDIENTE</v>
      </c>
    </row>
    <row r="79">
      <c r="A79" t="str">
        <v>EYE038</v>
      </c>
      <c r="B79" t="str">
        <v>Quita Pelusa Make</v>
      </c>
      <c r="C79" t="str">
        <v>EYE038.jpg</v>
      </c>
      <c r="D79" t="str">
        <v>PENDIENTE</v>
      </c>
      <c r="E79" t="str">
        <v>Revisar manualmente: producto correcto, imagen nítida, fondo limpio y sin marcas ajenas.</v>
      </c>
      <c r="F79" t="str">
        <v>Si se reemplaza: foto real del producto, fondo blanco o neutro, buena luz y encuadre cuadrado.</v>
      </c>
      <c r="G79" t="str">
        <v>PENDIENTE</v>
      </c>
    </row>
    <row r="80">
      <c r="A80" t="str">
        <v>AUT001</v>
      </c>
      <c r="B80" t="str">
        <v>Limpiador Tipo "Bruja"</v>
      </c>
      <c r="C80" t="str">
        <v>AUT001.jpg</v>
      </c>
      <c r="D80" t="str">
        <v>PENDIENTE</v>
      </c>
      <c r="E80" t="str">
        <v>Revisar manualmente: producto correcto, imagen nítida, fondo limpio y sin marcas ajenas.</v>
      </c>
      <c r="F80" t="str">
        <v>Si se reemplaza: foto real del producto, fondo blanco o neutro, buena luz y encuadre cuadrado.</v>
      </c>
      <c r="G80" t="str">
        <v>PENDIENTE</v>
      </c>
    </row>
    <row r="81">
      <c r="A81" t="str">
        <v>AUT002</v>
      </c>
      <c r="B81" t="str">
        <v>Esponja para auto</v>
      </c>
      <c r="C81" t="str">
        <v>AUT002.jpg</v>
      </c>
      <c r="D81" t="str">
        <v>PENDIENTE</v>
      </c>
      <c r="E81" t="str">
        <v>Revisar manualmente: producto correcto, imagen nítida, fondo limpio y sin marcas ajenas.</v>
      </c>
      <c r="F81" t="str">
        <v>Si se reemplaza: foto real del producto, fondo blanco o neutro, buena luz y encuadre cuadrado.</v>
      </c>
      <c r="G81" t="str">
        <v>PENDIENTE</v>
      </c>
    </row>
    <row r="82">
      <c r="A82" t="str">
        <v>AUT003</v>
      </c>
      <c r="B82" t="str">
        <v>Silicona para auto por litro</v>
      </c>
      <c r="C82" t="str">
        <v>AUT003.jpg</v>
      </c>
      <c r="D82" t="str">
        <v>PENDIENTE</v>
      </c>
      <c r="E82" t="str">
        <v>Revisar manualmente: producto correcto, imagen nítida, fondo limpio y sin marcas ajenas.</v>
      </c>
      <c r="F82" t="str">
        <v>Si se reemplaza: foto real del producto, fondo blanco o neutro, buena luz y encuadre cuadrado.</v>
      </c>
      <c r="G82" t="str">
        <v>PENDIENTE</v>
      </c>
    </row>
    <row r="83">
      <c r="A83" t="str">
        <v>AUT004</v>
      </c>
      <c r="B83" t="str">
        <v>Silicona en Aerosol</v>
      </c>
      <c r="C83" t="str">
        <v>AUT004.jpg</v>
      </c>
      <c r="D83" t="str">
        <v>PENDIENTE</v>
      </c>
      <c r="E83" t="str">
        <v>Revisar manualmente: producto correcto, imagen nítida, fondo limpio y sin marcas ajenas.</v>
      </c>
      <c r="F83" t="str">
        <v>Si se reemplaza: foto real del producto, fondo blanco o neutro, buena luz y encuadre cuadrado.</v>
      </c>
      <c r="G83" t="str">
        <v>PENDIENTE</v>
      </c>
    </row>
    <row r="84">
      <c r="A84" t="str">
        <v>AUT005</v>
      </c>
      <c r="B84" t="str">
        <v>Silicona en Aerosol</v>
      </c>
      <c r="C84" t="str">
        <v>AUT005.jpg</v>
      </c>
      <c r="D84" t="str">
        <v>PENDIENTE</v>
      </c>
      <c r="E84" t="str">
        <v>Revisar manualmente: producto correcto, imagen nítida, fondo limpio y sin marcas ajenas.</v>
      </c>
      <c r="F84" t="str">
        <v>Si se reemplaza: foto real del producto, fondo blanco o neutro, buena luz y encuadre cuadrado.</v>
      </c>
      <c r="G84" t="str">
        <v>PENDIENTE</v>
      </c>
    </row>
    <row r="85">
      <c r="A85" t="str">
        <v>AUT006</v>
      </c>
      <c r="B85" t="str">
        <v>Silicona en Aerosol</v>
      </c>
      <c r="C85" t="str">
        <v>AUT006.jpg</v>
      </c>
      <c r="D85" t="str">
        <v>PENDIENTE</v>
      </c>
      <c r="E85" t="str">
        <v>Revisar manualmente: producto correcto, imagen nítida, fondo limpio y sin marcas ajenas.</v>
      </c>
      <c r="F85" t="str">
        <v>Si se reemplaza: foto real del producto, fondo blanco o neutro, buena luz y encuadre cuadrado.</v>
      </c>
      <c r="G85" t="str">
        <v>PENDIENTE</v>
      </c>
    </row>
    <row r="86">
      <c r="A86" t="str">
        <v>AUT007</v>
      </c>
      <c r="B86" t="str">
        <v>Silicona en Aerosol</v>
      </c>
      <c r="C86" t="str">
        <v>AUT007.jpg</v>
      </c>
      <c r="D86" t="str">
        <v>PENDIENTE</v>
      </c>
      <c r="E86" t="str">
        <v>Revisar manualmente: producto correcto, imagen nítida, fondo limpio y sin marcas ajenas.</v>
      </c>
      <c r="F86" t="str">
        <v>Si se reemplaza: foto real del producto, fondo blanco o neutro, buena luz y encuadre cuadrado.</v>
      </c>
      <c r="G86" t="str">
        <v>PENDIENTE</v>
      </c>
    </row>
    <row r="87">
      <c r="A87" t="str">
        <v>AUT008</v>
      </c>
      <c r="B87" t="str">
        <v>Silicona en Aerosol</v>
      </c>
      <c r="C87" t="str">
        <v>AUT008.jpg</v>
      </c>
      <c r="D87" t="str">
        <v>PENDIENTE</v>
      </c>
      <c r="E87" t="str">
        <v>Revisar manualmente: producto correcto, imagen nítida, fondo limpio y sin marcas ajenas.</v>
      </c>
      <c r="F87" t="str">
        <v>Si se reemplaza: foto real del producto, fondo blanco o neutro, buena luz y encuadre cuadrado.</v>
      </c>
      <c r="G87" t="str">
        <v>PENDIENTE</v>
      </c>
    </row>
    <row r="88">
      <c r="A88" t="str">
        <v>AUT009</v>
      </c>
      <c r="B88" t="str">
        <v>Silicona en Aerosol</v>
      </c>
      <c r="C88" t="str">
        <v>AUT009.jpg</v>
      </c>
      <c r="D88" t="str">
        <v>PENDIENTE</v>
      </c>
      <c r="E88" t="str">
        <v>Revisar manualmente: producto correcto, imagen nítida, fondo limpio y sin marcas ajenas.</v>
      </c>
      <c r="F88" t="str">
        <v>Si se reemplaza: foto real del producto, fondo blanco o neutro, buena luz y encuadre cuadrado.</v>
      </c>
      <c r="G88" t="str">
        <v>PENDIENTE</v>
      </c>
    </row>
    <row r="89">
      <c r="A89" t="str">
        <v>AUT010</v>
      </c>
      <c r="B89" t="str">
        <v>Silicona en Aerosol</v>
      </c>
      <c r="C89" t="str">
        <v>AUT010.jpg</v>
      </c>
      <c r="D89" t="str">
        <v>PENDIENTE</v>
      </c>
      <c r="E89" t="str">
        <v>Revisar manualmente: producto correcto, imagen nítida, fondo limpio y sin marcas ajenas.</v>
      </c>
      <c r="F89" t="str">
        <v>Si se reemplaza: foto real del producto, fondo blanco o neutro, buena luz y encuadre cuadrado.</v>
      </c>
      <c r="G89" t="str">
        <v>PENDIENTE</v>
      </c>
    </row>
    <row r="90">
      <c r="A90" t="str">
        <v>AUT011</v>
      </c>
      <c r="B90" t="str">
        <v>Silicona en Aerosol</v>
      </c>
      <c r="C90" t="str">
        <v>AUT011.jpg</v>
      </c>
      <c r="D90" t="str">
        <v>PENDIENTE</v>
      </c>
      <c r="E90" t="str">
        <v>Revisar manualmente: producto correcto, imagen nítida, fondo limpio y sin marcas ajenas.</v>
      </c>
      <c r="F90" t="str">
        <v>Si se reemplaza: foto real del producto, fondo blanco o neutro, buena luz y encuadre cuadrado.</v>
      </c>
      <c r="G90" t="str">
        <v>PENDIENTE</v>
      </c>
    </row>
    <row r="91">
      <c r="A91" t="str">
        <v>AUT012</v>
      </c>
      <c r="B91" t="str">
        <v>Silicona en Aerosol</v>
      </c>
      <c r="C91" t="str">
        <v>AUT012.jpg</v>
      </c>
      <c r="D91" t="str">
        <v>PENDIENTE</v>
      </c>
      <c r="E91" t="str">
        <v>Revisar manualmente: producto correcto, imagen nítida, fondo limpio y sin marcas ajenas.</v>
      </c>
      <c r="F91" t="str">
        <v>Si se reemplaza: foto real del producto, fondo blanco o neutro, buena luz y encuadre cuadrado.</v>
      </c>
      <c r="G91" t="str">
        <v>PENDIENTE</v>
      </c>
    </row>
    <row r="92">
      <c r="A92" t="str">
        <v>AUT013</v>
      </c>
      <c r="B92" t="str">
        <v>Shampoo Siliconado por litro</v>
      </c>
      <c r="C92" t="str">
        <v>AUT013.jpg</v>
      </c>
      <c r="D92" t="str">
        <v>PENDIENTE</v>
      </c>
      <c r="E92" t="str">
        <v>Revisar manualmente: producto correcto, imagen nítida, fondo limpio y sin marcas ajenas.</v>
      </c>
      <c r="F92" t="str">
        <v>Si se reemplaza: foto real del producto, fondo blanco o neutro, buena luz y encuadre cuadrado.</v>
      </c>
      <c r="G92" t="str">
        <v>PENDIENTE</v>
      </c>
    </row>
    <row r="93">
      <c r="A93" t="str">
        <v>AUT014</v>
      </c>
      <c r="B93" t="str">
        <v>Mini Lata Walker para auto</v>
      </c>
      <c r="C93" t="str">
        <v>AUT014.jpg</v>
      </c>
      <c r="D93" t="str">
        <v>PENDIENTE</v>
      </c>
      <c r="E93" t="str">
        <v>Revisar manualmente: producto correcto, imagen nítida, fondo limpio y sin marcas ajenas.</v>
      </c>
      <c r="F93" t="str">
        <v>Si se reemplaza: foto real del producto, fondo blanco o neutro, buena luz y encuadre cuadrado.</v>
      </c>
      <c r="G93" t="str">
        <v>PENDIENTE</v>
      </c>
    </row>
    <row r="94">
      <c r="A94" t="str">
        <v>AUT015</v>
      </c>
      <c r="B94" t="str">
        <v>Perfume en Lata Walker</v>
      </c>
      <c r="C94" t="str">
        <v>AUT015.jpg</v>
      </c>
      <c r="D94" t="str">
        <v>PENDIENTE</v>
      </c>
      <c r="E94" t="str">
        <v>Revisar manualmente: producto correcto, imagen nítida, fondo limpio y sin marcas ajenas.</v>
      </c>
      <c r="F94" t="str">
        <v>Si se reemplaza: foto real del producto, fondo blanco o neutro, buena luz y encuadre cuadrado.</v>
      </c>
      <c r="G94" t="str">
        <v>PENDIENTE</v>
      </c>
    </row>
    <row r="95">
      <c r="A95" t="str">
        <v>AUT016</v>
      </c>
      <c r="B95" t="str">
        <v>Perfume en Lata Walker</v>
      </c>
      <c r="C95" t="str">
        <v>AUT016.jpg</v>
      </c>
      <c r="D95" t="str">
        <v>PENDIENTE</v>
      </c>
      <c r="E95" t="str">
        <v>Revisar manualmente: producto correcto, imagen nítida, fondo limpio y sin marcas ajenas.</v>
      </c>
      <c r="F95" t="str">
        <v>Si se reemplaza: foto real del producto, fondo blanco o neutro, buena luz y encuadre cuadrado.</v>
      </c>
      <c r="G95" t="str">
        <v>PENDIENTE</v>
      </c>
    </row>
    <row r="96">
      <c r="A96" t="str">
        <v>AUT017</v>
      </c>
      <c r="B96" t="str">
        <v>Perfume en Lata Walker</v>
      </c>
      <c r="C96" t="str">
        <v>AUT017.jpg</v>
      </c>
      <c r="D96" t="str">
        <v>PENDIENTE</v>
      </c>
      <c r="E96" t="str">
        <v>Revisar manualmente: producto correcto, imagen nítida, fondo limpio y sin marcas ajenas.</v>
      </c>
      <c r="F96" t="str">
        <v>Si se reemplaza: foto real del producto, fondo blanco o neutro, buena luz y encuadre cuadrado.</v>
      </c>
      <c r="G96" t="str">
        <v>PENDIENTE</v>
      </c>
    </row>
    <row r="97">
      <c r="A97" t="str">
        <v>AUT018</v>
      </c>
      <c r="B97" t="str">
        <v>Perfume en Lata Walker</v>
      </c>
      <c r="C97" t="str">
        <v>AUT018.jpg</v>
      </c>
      <c r="D97" t="str">
        <v>PENDIENTE</v>
      </c>
      <c r="E97" t="str">
        <v>Revisar manualmente: producto correcto, imagen nítida, fondo limpio y sin marcas ajenas.</v>
      </c>
      <c r="F97" t="str">
        <v>Si se reemplaza: foto real del producto, fondo blanco o neutro, buena luz y encuadre cuadrado.</v>
      </c>
      <c r="G97" t="str">
        <v>PENDIENTE</v>
      </c>
    </row>
    <row r="98">
      <c r="A98" t="str">
        <v>AUT019</v>
      </c>
      <c r="B98" t="str">
        <v>Perfume en Lata Walker</v>
      </c>
      <c r="C98" t="str">
        <v>AUT019.jpg</v>
      </c>
      <c r="D98" t="str">
        <v>PENDIENTE</v>
      </c>
      <c r="E98" t="str">
        <v>Revisar manualmente: producto correcto, imagen nítida, fondo limpio y sin marcas ajenas.</v>
      </c>
      <c r="F98" t="str">
        <v>Si se reemplaza: foto real del producto, fondo blanco o neutro, buena luz y encuadre cuadrado.</v>
      </c>
      <c r="G98" t="str">
        <v>PENDIENTE</v>
      </c>
    </row>
    <row r="99">
      <c r="A99" t="str">
        <v>AUT020</v>
      </c>
      <c r="B99" t="str">
        <v>Cera para auto por litro</v>
      </c>
      <c r="C99" t="str">
        <v>AUT020.jpg</v>
      </c>
      <c r="D99" t="str">
        <v>PENDIENTE</v>
      </c>
      <c r="E99" t="str">
        <v>Revisar manualmente: producto correcto, imagen nítida, fondo limpio y sin marcas ajenas.</v>
      </c>
      <c r="F99" t="str">
        <v>Si se reemplaza: foto real del producto, fondo blanco o neutro, buena luz y encuadre cuadrado.</v>
      </c>
      <c r="G99" t="str">
        <v>PENDIENTE</v>
      </c>
    </row>
    <row r="100">
      <c r="A100" t="str">
        <v>AUT021</v>
      </c>
      <c r="B100" t="str">
        <v>Limpia Tapizado en Aerosol</v>
      </c>
      <c r="C100" t="str">
        <v>AUT021.jpg</v>
      </c>
      <c r="D100" t="str">
        <v>PENDIENTE</v>
      </c>
      <c r="E100" t="str">
        <v>Revisar manualmente: producto correcto, imagen nítida, fondo limpio y sin marcas ajenas.</v>
      </c>
      <c r="F100" t="str">
        <v>Si se reemplaza: foto real del producto, fondo blanco o neutro, buena luz y encuadre cuadrado.</v>
      </c>
      <c r="G100" t="str">
        <v>PENDIENTE</v>
      </c>
    </row>
    <row r="101">
      <c r="A101" t="str">
        <v>SHA001</v>
      </c>
      <c r="B101" t="str">
        <v>Shampoo para manos</v>
      </c>
      <c r="C101" t="str">
        <v>SHA001.png</v>
      </c>
      <c r="D101" t="str">
        <v>PENDIENTE</v>
      </c>
      <c r="E101" t="str">
        <v>Revisar manualmente: producto correcto, imagen nítida, fondo limpio y sin marcas ajenas.</v>
      </c>
      <c r="F101" t="str">
        <v>Si se reemplaza: foto real del producto, fondo blanco o neutro, buena luz y encuadre cuadrado.</v>
      </c>
      <c r="G101" t="str">
        <v>PENDIENTE</v>
      </c>
    </row>
    <row r="102">
      <c r="A102" t="str">
        <v>SHA002</v>
      </c>
      <c r="B102" t="str">
        <v>Shampoo para manos por 5 litros</v>
      </c>
      <c r="C102" t="str">
        <v>SHA002.png</v>
      </c>
      <c r="D102" t="str">
        <v>PENDIENTE</v>
      </c>
      <c r="E102" t="str">
        <v>Revisar manualmente: producto correcto, imagen nítida, fondo limpio y sin marcas ajenas.</v>
      </c>
      <c r="F102" t="str">
        <v>Si se reemplaza: foto real del producto, fondo blanco o neutro, buena luz y encuadre cuadrado.</v>
      </c>
      <c r="G102" t="str">
        <v>PENDIENTE</v>
      </c>
    </row>
    <row r="103">
      <c r="A103" t="str">
        <v>SHA003</v>
      </c>
      <c r="B103" t="str">
        <v>Shampoo para manos por 5 litros</v>
      </c>
      <c r="C103" t="str">
        <v>SHA003.png</v>
      </c>
      <c r="D103" t="str">
        <v>PENDIENTE</v>
      </c>
      <c r="E103" t="str">
        <v>Revisar manualmente: producto correcto, imagen nítida, fondo limpio y sin marcas ajenas.</v>
      </c>
      <c r="F103" t="str">
        <v>Si se reemplaza: foto real del producto, fondo blanco o neutro, buena luz y encuadre cuadrado.</v>
      </c>
      <c r="G103" t="str">
        <v>PENDIENTE</v>
      </c>
    </row>
    <row r="104">
      <c r="A104" t="str">
        <v>SHA004</v>
      </c>
      <c r="B104" t="str">
        <v>Shampoo para manos por 5 litros</v>
      </c>
      <c r="C104" t="str">
        <v>SHA004.png</v>
      </c>
      <c r="D104" t="str">
        <v>PENDIENTE</v>
      </c>
      <c r="E104" t="str">
        <v>Revisar manualmente: producto correcto, imagen nítida, fondo limpio y sin marcas ajenas.</v>
      </c>
      <c r="F104" t="str">
        <v>Si se reemplaza: foto real del producto, fondo blanco o neutro, buena luz y encuadre cuadrado.</v>
      </c>
      <c r="G104" t="str">
        <v>PENDIENTE</v>
      </c>
    </row>
    <row r="105">
      <c r="A105" t="str">
        <v>SHA005</v>
      </c>
      <c r="B105" t="str">
        <v>Shampoo para manos por 5 litros</v>
      </c>
      <c r="C105" t="str">
        <v>SHA005.png</v>
      </c>
      <c r="D105" t="str">
        <v>PENDIENTE</v>
      </c>
      <c r="E105" t="str">
        <v>Revisar manualmente: producto correcto, imagen nítida, fondo limpio y sin marcas ajenas.</v>
      </c>
      <c r="F105" t="str">
        <v>Si se reemplaza: foto real del producto, fondo blanco o neutro, buena luz y encuadre cuadrado.</v>
      </c>
      <c r="G105" t="str">
        <v>PENDIENTE</v>
      </c>
    </row>
    <row r="106">
      <c r="A106" t="str">
        <v>SHA006</v>
      </c>
      <c r="B106" t="str">
        <v>Shampoo para manos por 5 litros</v>
      </c>
      <c r="C106" t="str">
        <v>SHA006.png</v>
      </c>
      <c r="D106" t="str">
        <v>PENDIENTE</v>
      </c>
      <c r="E106" t="str">
        <v>Revisar manualmente: producto correcto, imagen nítida, fondo limpio y sin marcas ajenas.</v>
      </c>
      <c r="F106" t="str">
        <v>Si se reemplaza: foto real del producto, fondo blanco o neutro, buena luz y encuadre cuadrado.</v>
      </c>
      <c r="G106" t="str">
        <v>PENDIENTE</v>
      </c>
    </row>
    <row r="107">
      <c r="A107" t="str">
        <v>DAV001</v>
      </c>
      <c r="B107" t="str">
        <v>Difusor Aromatico Saphirus por 50 CC</v>
      </c>
      <c r="C107" t="str">
        <v>DAV001.jpg</v>
      </c>
      <c r="D107" t="str">
        <v>PENDIENTE</v>
      </c>
      <c r="E107" t="str">
        <v>Revisar manualmente: producto correcto, imagen nítida, fondo limpio y sin marcas ajenas.</v>
      </c>
      <c r="F107" t="str">
        <v>Si se reemplaza: foto real del producto, fondo blanco o neutro, buena luz y encuadre cuadrado.</v>
      </c>
      <c r="G107" t="str">
        <v>PENDIENTE</v>
      </c>
    </row>
    <row r="108">
      <c r="A108" t="str">
        <v>DAV002</v>
      </c>
      <c r="B108" t="str">
        <v>Difusor Aromatico Saphirus por 50 CC</v>
      </c>
      <c r="C108" t="str">
        <v>DAV002.jpg</v>
      </c>
      <c r="D108" t="str">
        <v>PENDIENTE</v>
      </c>
      <c r="E108" t="str">
        <v>Revisar manualmente: producto correcto, imagen nítida, fondo limpio y sin marcas ajenas.</v>
      </c>
      <c r="F108" t="str">
        <v>Si se reemplaza: foto real del producto, fondo blanco o neutro, buena luz y encuadre cuadrado.</v>
      </c>
      <c r="G108" t="str">
        <v>PENDIENTE</v>
      </c>
    </row>
    <row r="109">
      <c r="A109" t="str">
        <v>DAV003</v>
      </c>
      <c r="B109" t="str">
        <v>Difusor Aromatico Saphirus por 50 CC</v>
      </c>
      <c r="C109" t="str">
        <v>DAV003.jpg</v>
      </c>
      <c r="D109" t="str">
        <v>PENDIENTE</v>
      </c>
      <c r="E109" t="str">
        <v>Revisar manualmente: producto correcto, imagen nítida, fondo limpio y sin marcas ajenas.</v>
      </c>
      <c r="F109" t="str">
        <v>Si se reemplaza: foto real del producto, fondo blanco o neutro, buena luz y encuadre cuadrado.</v>
      </c>
      <c r="G109" t="str">
        <v>PENDIENTE</v>
      </c>
    </row>
    <row r="110">
      <c r="A110" t="str">
        <v>DAV004</v>
      </c>
      <c r="B110" t="str">
        <v>Difusor Aromatico Saphirus por 50 CC</v>
      </c>
      <c r="C110" t="str">
        <v>DAV004.jpg</v>
      </c>
      <c r="D110" t="str">
        <v>PENDIENTE</v>
      </c>
      <c r="E110" t="str">
        <v>Revisar manualmente: producto correcto, imagen nítida, fondo limpio y sin marcas ajenas.</v>
      </c>
      <c r="F110" t="str">
        <v>Si se reemplaza: foto real del producto, fondo blanco o neutro, buena luz y encuadre cuadrado.</v>
      </c>
      <c r="G110" t="str">
        <v>PENDIENTE</v>
      </c>
    </row>
    <row r="111">
      <c r="A111" t="str">
        <v>DAV005</v>
      </c>
      <c r="B111" t="str">
        <v>Difusor Aromatico Saphirus por 50 CC</v>
      </c>
      <c r="C111" t="str">
        <v>DAV005.jpg</v>
      </c>
      <c r="D111" t="str">
        <v>PENDIENTE</v>
      </c>
      <c r="E111" t="str">
        <v>Revisar manualmente: producto correcto, imagen nítida, fondo limpio y sin marcas ajenas.</v>
      </c>
      <c r="F111" t="str">
        <v>Si se reemplaza: foto real del producto, fondo blanco o neutro, buena luz y encuadre cuadrado.</v>
      </c>
      <c r="G111" t="str">
        <v>PENDIENTE</v>
      </c>
    </row>
    <row r="112">
      <c r="A112" t="str">
        <v>DAV006</v>
      </c>
      <c r="B112" t="str">
        <v>Difusor Aromatico Saphirus por 50 CC</v>
      </c>
      <c r="C112" t="str">
        <v>DAV006.jpg</v>
      </c>
      <c r="D112" t="str">
        <v>PENDIENTE</v>
      </c>
      <c r="E112" t="str">
        <v>Revisar manualmente: producto correcto, imagen nítida, fondo limpio y sin marcas ajenas.</v>
      </c>
      <c r="F112" t="str">
        <v>Si se reemplaza: foto real del producto, fondo blanco o neutro, buena luz y encuadre cuadrado.</v>
      </c>
      <c r="G112" t="str">
        <v>PENDIENTE</v>
      </c>
    </row>
    <row r="113">
      <c r="A113" t="str">
        <v>DAV007</v>
      </c>
      <c r="B113" t="str">
        <v>Difusor Aromatico Saphirus por 50 CC</v>
      </c>
      <c r="C113" t="str">
        <v>DAV007.jpg</v>
      </c>
      <c r="D113" t="str">
        <v>PENDIENTE</v>
      </c>
      <c r="E113" t="str">
        <v>Revisar manualmente: producto correcto, imagen nítida, fondo limpio y sin marcas ajenas.</v>
      </c>
      <c r="F113" t="str">
        <v>Si se reemplaza: foto real del producto, fondo blanco o neutro, buena luz y encuadre cuadrado.</v>
      </c>
      <c r="G113" t="str">
        <v>PENDIENTE</v>
      </c>
    </row>
    <row r="114">
      <c r="A114" t="str">
        <v>DAV008</v>
      </c>
      <c r="B114" t="str">
        <v>Difusor Aromatico Saphirus por 50 CC</v>
      </c>
      <c r="C114" t="str">
        <v>DAV008.jpg</v>
      </c>
      <c r="D114" t="str">
        <v>PENDIENTE</v>
      </c>
      <c r="E114" t="str">
        <v>Revisar manualmente: producto correcto, imagen nítida, fondo limpio y sin marcas ajenas.</v>
      </c>
      <c r="F114" t="str">
        <v>Si se reemplaza: foto real del producto, fondo blanco o neutro, buena luz y encuadre cuadrado.</v>
      </c>
      <c r="G114" t="str">
        <v>PENDIENTE</v>
      </c>
    </row>
    <row r="115">
      <c r="A115" t="str">
        <v>DAV009</v>
      </c>
      <c r="B115" t="str">
        <v>Difusor Aromatico Saphirus por 50 CC</v>
      </c>
      <c r="C115" t="str">
        <v>DAV009.jpg</v>
      </c>
      <c r="D115" t="str">
        <v>PENDIENTE</v>
      </c>
      <c r="E115" t="str">
        <v>Revisar manualmente: producto correcto, imagen nítida, fondo limpio y sin marcas ajenas.</v>
      </c>
      <c r="F115" t="str">
        <v>Si se reemplaza: foto real del producto, fondo blanco o neutro, buena luz y encuadre cuadrado.</v>
      </c>
      <c r="G115" t="str">
        <v>PENDIENTE</v>
      </c>
    </row>
    <row r="116">
      <c r="A116" t="str">
        <v>DAV010</v>
      </c>
      <c r="B116" t="str">
        <v>Difusor Aromatico Saphirus por 50 CC</v>
      </c>
      <c r="C116" t="str">
        <v>DAV010.jpg</v>
      </c>
      <c r="D116" t="str">
        <v>PENDIENTE</v>
      </c>
      <c r="E116" t="str">
        <v>Revisar manualmente: producto correcto, imagen nítida, fondo limpio y sin marcas ajenas.</v>
      </c>
      <c r="F116" t="str">
        <v>Si se reemplaza: foto real del producto, fondo blanco o neutro, buena luz y encuadre cuadrado.</v>
      </c>
      <c r="G116" t="str">
        <v>PENDIENTE</v>
      </c>
    </row>
    <row r="117">
      <c r="A117" t="str">
        <v>DAV011</v>
      </c>
      <c r="B117" t="str">
        <v>Difusor Aromatico Saphirus por 50 CC</v>
      </c>
      <c r="C117" t="str">
        <v>DAV011.jpg</v>
      </c>
      <c r="D117" t="str">
        <v>PENDIENTE</v>
      </c>
      <c r="E117" t="str">
        <v>Revisar manualmente: producto correcto, imagen nítida, fondo limpio y sin marcas ajenas.</v>
      </c>
      <c r="F117" t="str">
        <v>Si se reemplaza: foto real del producto, fondo blanco o neutro, buena luz y encuadre cuadrado.</v>
      </c>
      <c r="G117" t="str">
        <v>PENDIENTE</v>
      </c>
    </row>
    <row r="118">
      <c r="A118" t="str">
        <v>DAV012</v>
      </c>
      <c r="B118" t="str">
        <v>Difusor Aromatico Saphirus por 50 CC</v>
      </c>
      <c r="C118" t="str">
        <v>DAV012.jpg</v>
      </c>
      <c r="D118" t="str">
        <v>PENDIENTE</v>
      </c>
      <c r="E118" t="str">
        <v>Revisar manualmente: producto correcto, imagen nítida, fondo limpio y sin marcas ajenas.</v>
      </c>
      <c r="F118" t="str">
        <v>Si se reemplaza: foto real del producto, fondo blanco o neutro, buena luz y encuadre cuadrado.</v>
      </c>
      <c r="G118" t="str">
        <v>PENDIENTE</v>
      </c>
    </row>
    <row r="119">
      <c r="A119" t="str">
        <v>DAV013</v>
      </c>
      <c r="B119" t="str">
        <v>Difusor Aromatico Saphirus por 50 CC</v>
      </c>
      <c r="C119" t="str">
        <v>DAV013.jpg</v>
      </c>
      <c r="D119" t="str">
        <v>PENDIENTE</v>
      </c>
      <c r="E119" t="str">
        <v>Revisar manualmente: producto correcto, imagen nítida, fondo limpio y sin marcas ajenas.</v>
      </c>
      <c r="F119" t="str">
        <v>Si se reemplaza: foto real del producto, fondo blanco o neutro, buena luz y encuadre cuadrado.</v>
      </c>
      <c r="G119" t="str">
        <v>PENDIENTE</v>
      </c>
    </row>
    <row r="120">
      <c r="A120" t="str">
        <v>DAV014</v>
      </c>
      <c r="B120" t="str">
        <v>Difusor Aromatico Saphirus por 50 CC</v>
      </c>
      <c r="C120" t="str">
        <v>DAV014.jpg</v>
      </c>
      <c r="D120" t="str">
        <v>PENDIENTE</v>
      </c>
      <c r="E120" t="str">
        <v>Revisar manualmente: producto correcto, imagen nítida, fondo limpio y sin marcas ajenas.</v>
      </c>
      <c r="F120" t="str">
        <v>Si se reemplaza: foto real del producto, fondo blanco o neutro, buena luz y encuadre cuadrado.</v>
      </c>
      <c r="G120" t="str">
        <v>PENDIENTE</v>
      </c>
    </row>
    <row r="121">
      <c r="A121" t="str">
        <v>DAV015</v>
      </c>
      <c r="B121" t="str">
        <v>Difusor Aromatico Saphirus por 120 CC</v>
      </c>
      <c r="C121" t="str">
        <v>DAV015.jpg</v>
      </c>
      <c r="D121" t="str">
        <v>PENDIENTE</v>
      </c>
      <c r="E121" t="str">
        <v>Revisar manualmente: producto correcto, imagen nítida, fondo limpio y sin marcas ajenas.</v>
      </c>
      <c r="F121" t="str">
        <v>Si se reemplaza: foto real del producto, fondo blanco o neutro, buena luz y encuadre cuadrado.</v>
      </c>
      <c r="G121" t="str">
        <v>PENDIENTE</v>
      </c>
    </row>
    <row r="122">
      <c r="A122" t="str">
        <v>DAV016</v>
      </c>
      <c r="B122" t="str">
        <v>Difusor Aromatico Saphirus por 120 CC</v>
      </c>
      <c r="C122" t="str">
        <v>DAV016.jpg</v>
      </c>
      <c r="D122" t="str">
        <v>PENDIENTE</v>
      </c>
      <c r="E122" t="str">
        <v>Revisar manualmente: producto correcto, imagen nítida, fondo limpio y sin marcas ajenas.</v>
      </c>
      <c r="F122" t="str">
        <v>Si se reemplaza: foto real del producto, fondo blanco o neutro, buena luz y encuadre cuadrado.</v>
      </c>
      <c r="G122" t="str">
        <v>PENDIENTE</v>
      </c>
    </row>
    <row r="123">
      <c r="A123" t="str">
        <v>DAV017</v>
      </c>
      <c r="B123" t="str">
        <v>Difusor Aromatico Saphirus por 120 CC</v>
      </c>
      <c r="C123" t="str">
        <v>DAV017.jpg</v>
      </c>
      <c r="D123" t="str">
        <v>PENDIENTE</v>
      </c>
      <c r="E123" t="str">
        <v>Revisar manualmente: producto correcto, imagen nítida, fondo limpio y sin marcas ajenas.</v>
      </c>
      <c r="F123" t="str">
        <v>Si se reemplaza: foto real del producto, fondo blanco o neutro, buena luz y encuadre cuadrado.</v>
      </c>
      <c r="G123" t="str">
        <v>PENDIENTE</v>
      </c>
    </row>
    <row r="124">
      <c r="A124" t="str">
        <v>DAV018</v>
      </c>
      <c r="B124" t="str">
        <v>Difusor Aromatico Saphirus por 120 CC</v>
      </c>
      <c r="C124" t="str">
        <v>DAV018.jpg</v>
      </c>
      <c r="D124" t="str">
        <v>PENDIENTE</v>
      </c>
      <c r="E124" t="str">
        <v>Revisar manualmente: producto correcto, imagen nítida, fondo limpio y sin marcas ajenas.</v>
      </c>
      <c r="F124" t="str">
        <v>Si se reemplaza: foto real del producto, fondo blanco o neutro, buena luz y encuadre cuadrado.</v>
      </c>
      <c r="G124" t="str">
        <v>PENDIENTE</v>
      </c>
    </row>
    <row r="125">
      <c r="A125" t="str">
        <v>DAV019</v>
      </c>
      <c r="B125" t="str">
        <v>Difusor Aromatico Saphirus por 120 CC</v>
      </c>
      <c r="C125" t="str">
        <v>DAV019.jpg</v>
      </c>
      <c r="D125" t="str">
        <v>PENDIENTE</v>
      </c>
      <c r="E125" t="str">
        <v>Revisar manualmente: producto correcto, imagen nítida, fondo limpio y sin marcas ajenas.</v>
      </c>
      <c r="F125" t="str">
        <v>Si se reemplaza: foto real del producto, fondo blanco o neutro, buena luz y encuadre cuadrado.</v>
      </c>
      <c r="G125" t="str">
        <v>PENDIENTE</v>
      </c>
    </row>
    <row r="126">
      <c r="A126" t="str">
        <v>DAV020</v>
      </c>
      <c r="B126" t="str">
        <v>Difusor Aromatico Saphirus por 120 CC</v>
      </c>
      <c r="C126" t="str">
        <v>DAV020.jpg</v>
      </c>
      <c r="D126" t="str">
        <v>PENDIENTE</v>
      </c>
      <c r="E126" t="str">
        <v>Revisar manualmente: producto correcto, imagen nítida, fondo limpio y sin marcas ajenas.</v>
      </c>
      <c r="F126" t="str">
        <v>Si se reemplaza: foto real del producto, fondo blanco o neutro, buena luz y encuadre cuadrado.</v>
      </c>
      <c r="G126" t="str">
        <v>PENDIENTE</v>
      </c>
    </row>
    <row r="127">
      <c r="A127" t="str">
        <v>DAV021</v>
      </c>
      <c r="B127" t="str">
        <v>Difusor Aromatico Saphirus por 120 CC</v>
      </c>
      <c r="C127" t="str">
        <v>DAV021.jpg</v>
      </c>
      <c r="D127" t="str">
        <v>PENDIENTE</v>
      </c>
      <c r="E127" t="str">
        <v>Revisar manualmente: producto correcto, imagen nítida, fondo limpio y sin marcas ajenas.</v>
      </c>
      <c r="F127" t="str">
        <v>Si se reemplaza: foto real del producto, fondo blanco o neutro, buena luz y encuadre cuadrado.</v>
      </c>
      <c r="G127" t="str">
        <v>PENDIENTE</v>
      </c>
    </row>
    <row r="128">
      <c r="A128" t="str">
        <v>DAV022</v>
      </c>
      <c r="B128" t="str">
        <v>Difusor Aromatico Saphirus por 120 CC</v>
      </c>
      <c r="C128" t="str">
        <v>DAV022.jpg</v>
      </c>
      <c r="D128" t="str">
        <v>PENDIENTE</v>
      </c>
      <c r="E128" t="str">
        <v>Revisar manualmente: producto correcto, imagen nítida, fondo limpio y sin marcas ajenas.</v>
      </c>
      <c r="F128" t="str">
        <v>Si se reemplaza: foto real del producto, fondo blanco o neutro, buena luz y encuadre cuadrado.</v>
      </c>
      <c r="G128" t="str">
        <v>PENDIENTE</v>
      </c>
    </row>
    <row r="129">
      <c r="A129" t="str">
        <v>DAV023</v>
      </c>
      <c r="B129" t="str">
        <v>Difusor Aromatico Saphirus combinados por 120 CC</v>
      </c>
      <c r="C129" t="str">
        <v>DAV023.jpg</v>
      </c>
      <c r="D129" t="str">
        <v>PENDIENTE</v>
      </c>
      <c r="E129" t="str">
        <v>Revisar manualmente: producto correcto, imagen nítida, fondo limpio y sin marcas ajenas.</v>
      </c>
      <c r="F129" t="str">
        <v>Si se reemplaza: foto real del producto, fondo blanco o neutro, buena luz y encuadre cuadrado.</v>
      </c>
      <c r="G129" t="str">
        <v>PENDIENTE</v>
      </c>
    </row>
    <row r="130">
      <c r="A130" t="str">
        <v>DAV024</v>
      </c>
      <c r="B130" t="str">
        <v>Difusor Aromatico Saphirus combinados por 120 CC</v>
      </c>
      <c r="C130" t="str">
        <v>DAV024.jpg</v>
      </c>
      <c r="D130" t="str">
        <v>PENDIENTE</v>
      </c>
      <c r="E130" t="str">
        <v>Revisar manualmente: producto correcto, imagen nítida, fondo limpio y sin marcas ajenas.</v>
      </c>
      <c r="F130" t="str">
        <v>Si se reemplaza: foto real del producto, fondo blanco o neutro, buena luz y encuadre cuadrado.</v>
      </c>
      <c r="G130" t="str">
        <v>PENDIENTE</v>
      </c>
    </row>
    <row r="131">
      <c r="A131" t="str">
        <v>DAV025</v>
      </c>
      <c r="B131" t="str">
        <v>Difusor Aromatico Saphirus combinados por 120 CC</v>
      </c>
      <c r="C131" t="str">
        <v>DAV025.jpg</v>
      </c>
      <c r="D131" t="str">
        <v>PENDIENTE</v>
      </c>
      <c r="E131" t="str">
        <v>Revisar manualmente: producto correcto, imagen nítida, fondo limpio y sin marcas ajenas.</v>
      </c>
      <c r="F131" t="str">
        <v>Si se reemplaza: foto real del producto, fondo blanco o neutro, buena luz y encuadre cuadrado.</v>
      </c>
      <c r="G131" t="str">
        <v>PENDIENTE</v>
      </c>
    </row>
    <row r="132">
      <c r="A132" t="str">
        <v>DAV026</v>
      </c>
      <c r="B132" t="str">
        <v>Difusor Aromatico Saphirus combinados por 120 CC</v>
      </c>
      <c r="C132" t="str">
        <v>DAV026.jpg</v>
      </c>
      <c r="D132" t="str">
        <v>PENDIENTE</v>
      </c>
      <c r="E132" t="str">
        <v>Revisar manualmente: producto correcto, imagen nítida, fondo limpio y sin marcas ajenas.</v>
      </c>
      <c r="F132" t="str">
        <v>Si se reemplaza: foto real del producto, fondo blanco o neutro, buena luz y encuadre cuadrado.</v>
      </c>
      <c r="G132" t="str">
        <v>PENDIENTE</v>
      </c>
    </row>
    <row r="133">
      <c r="A133" t="str">
        <v>DAV027</v>
      </c>
      <c r="B133" t="str">
        <v>Difusor Aromatico Saphirus combinados por 120 CC</v>
      </c>
      <c r="C133" t="str">
        <v>DAV027.jpg</v>
      </c>
      <c r="D133" t="str">
        <v>PENDIENTE</v>
      </c>
      <c r="E133" t="str">
        <v>Revisar manualmente: producto correcto, imagen nítida, fondo limpio y sin marcas ajenas.</v>
      </c>
      <c r="F133" t="str">
        <v>Si se reemplaza: foto real del producto, fondo blanco o neutro, buena luz y encuadre cuadrado.</v>
      </c>
      <c r="G133" t="str">
        <v>PENDIENTE</v>
      </c>
    </row>
    <row r="134">
      <c r="A134" t="str">
        <v>PROM001</v>
      </c>
      <c r="B134" t="str">
        <v>Promo 15 litros</v>
      </c>
      <c r="C134" t="str">
        <v>PROM001.png</v>
      </c>
      <c r="D134" t="str">
        <v>URGENTE</v>
      </c>
      <c r="E134" t="str">
        <v>Arte de promoción con identidad y datos que deben actualizarse.</v>
      </c>
      <c r="F134" t="str">
        <v>Nuevo arte de promo con identidad actual, fotos reales y precio vigente.</v>
      </c>
      <c r="G134" t="str">
        <v>PENDIENTE</v>
      </c>
    </row>
    <row r="135">
      <c r="A135" t="str">
        <v>PROM002</v>
      </c>
      <c r="B135" t="str">
        <v>Promo 12 litros + 5 de regalo</v>
      </c>
      <c r="C135" t="str">
        <v>PROM002.png</v>
      </c>
      <c r="D135" t="str">
        <v>URGENTE</v>
      </c>
      <c r="E135" t="str">
        <v>Arte de promoción con identidad y datos que deben actualizarse.</v>
      </c>
      <c r="F135" t="str">
        <v>Nuevo arte de promo con identidad actual, fotos reales y precio vigente.</v>
      </c>
      <c r="G135" t="str">
        <v>PENDIENTE</v>
      </c>
    </row>
    <row r="136">
      <c r="A136" t="str">
        <v>PROM003</v>
      </c>
      <c r="B136" t="str">
        <v>Promo 10 litros</v>
      </c>
      <c r="C136" t="str">
        <v>PROM003.png</v>
      </c>
      <c r="D136" t="str">
        <v>URGENTE</v>
      </c>
      <c r="E136" t="str">
        <v>Arte de promoción con identidad y datos que deben actualizarse.</v>
      </c>
      <c r="F136" t="str">
        <v>Nuevo arte de promo con identidad actual, fotos reales y precio vigente.</v>
      </c>
      <c r="G136" t="str">
        <v>PENDIENTE</v>
      </c>
    </row>
    <row r="137">
      <c r="A137" t="str">
        <v>CLO002</v>
      </c>
      <c r="B137" t="str">
        <v>Cloro liquido x 1 litro</v>
      </c>
      <c r="C137" t="str">
        <v>CLO002.png</v>
      </c>
      <c r="D137" t="str">
        <v>PENDIENTE</v>
      </c>
      <c r="E137" t="str">
        <v>Revisar manualmente: producto correcto, imagen nítida, fondo limpio y sin marcas ajenas.</v>
      </c>
      <c r="F137" t="str">
        <v>Si se reemplaza: foto real del producto, fondo blanco o neutro, buena luz y encuadre cuadrado.</v>
      </c>
      <c r="G137" t="str">
        <v>PENDIENTE</v>
      </c>
    </row>
    <row r="138">
      <c r="A138" t="str">
        <v>CLO003</v>
      </c>
      <c r="B138" t="str">
        <v>Cloro liquido pack x 6</v>
      </c>
      <c r="C138" t="str">
        <v>CLO003.png</v>
      </c>
      <c r="D138" t="str">
        <v>URGENTE</v>
      </c>
      <c r="E138" t="str">
        <v>La imagen muestra la marca anterior Química Bethel.</v>
      </c>
      <c r="F138" t="str">
        <v>Foto real del pack sin marca anterior, sobre fondo limpio.</v>
      </c>
      <c r="G138" t="str">
        <v>PENDIENTE</v>
      </c>
    </row>
    <row r="139">
      <c r="A139" t="str">
        <v>DET002</v>
      </c>
      <c r="B139" t="str">
        <v>Detergente liquido concentrado</v>
      </c>
      <c r="C139" t="str">
        <v>DET002.png</v>
      </c>
      <c r="D139" t="str">
        <v>PENDIENTE</v>
      </c>
      <c r="E139" t="str">
        <v>Revisar manualmente: producto correcto, imagen nítida, fondo limpio y sin marcas ajenas.</v>
      </c>
      <c r="F139" t="str">
        <v>Si se reemplaza: foto real del producto, fondo blanco o neutro, buena luz y encuadre cuadrado.</v>
      </c>
      <c r="G139" t="str">
        <v>PENDIENTE</v>
      </c>
    </row>
    <row r="140">
      <c r="A140" t="str">
        <v>DET003</v>
      </c>
      <c r="B140" t="str">
        <v>Detergente liquido concentrado pack 6 unidades</v>
      </c>
      <c r="C140" t="str">
        <v>DET003.png</v>
      </c>
      <c r="D140" t="str">
        <v>PENDIENTE</v>
      </c>
      <c r="E140" t="str">
        <v>Revisar manualmente: producto correcto, imagen nítida, fondo limpio y sin marcas ajenas.</v>
      </c>
      <c r="F140" t="str">
        <v>Si se reemplaza: foto real del producto, fondo blanco o neutro, buena luz y encuadre cuadrado.</v>
      </c>
      <c r="G140" t="str">
        <v>PENDIENTE</v>
      </c>
    </row>
    <row r="141">
      <c r="A141" t="str">
        <v>LVA003</v>
      </c>
      <c r="B141" t="str">
        <v>Lavavajillas listo para usar 1 litro</v>
      </c>
      <c r="C141" t="str">
        <v>LVA003.png</v>
      </c>
      <c r="D141" t="str">
        <v>PENDIENTE</v>
      </c>
      <c r="E141" t="str">
        <v>Revisar manualmente: producto correcto, imagen nítida, fondo limpio y sin marcas ajenas.</v>
      </c>
      <c r="F141" t="str">
        <v>Si se reemplaza: foto real del producto, fondo blanco o neutro, buena luz y encuadre cuadrado.</v>
      </c>
      <c r="G141" t="str">
        <v>PENDIENTE</v>
      </c>
    </row>
    <row r="142">
      <c r="A142" t="str">
        <v>LVA004</v>
      </c>
      <c r="B142" t="str">
        <v>Lavavajillas listo para usar pack 6 litros</v>
      </c>
      <c r="C142" t="str">
        <v>LVA004.png</v>
      </c>
      <c r="D142" t="str">
        <v>URGENTE</v>
      </c>
      <c r="E142" t="str">
        <v>La imagen muestra la marca anterior Química Bethel.</v>
      </c>
      <c r="F142" t="str">
        <v>Foto real del pack sin marca anterior, sobre fondo limpio.</v>
      </c>
      <c r="G142" t="str">
        <v>PENDIENTE</v>
      </c>
    </row>
    <row r="143">
      <c r="A143" t="str">
        <v>LVA005</v>
      </c>
      <c r="B143" t="str">
        <v>Lavavajillas concentrado 1 litro</v>
      </c>
      <c r="C143" t="str">
        <v>LVA005.png</v>
      </c>
      <c r="D143" t="str">
        <v>PENDIENTE</v>
      </c>
      <c r="E143" t="str">
        <v>Revisar manualmente: producto correcto, imagen nítida, fondo limpio y sin marcas ajenas.</v>
      </c>
      <c r="F143" t="str">
        <v>Si se reemplaza: foto real del producto, fondo blanco o neutro, buena luz y encuadre cuadrado.</v>
      </c>
      <c r="G143" t="str">
        <v>PENDIENTE</v>
      </c>
    </row>
    <row r="144">
      <c r="A144" t="str">
        <v>LVA006</v>
      </c>
      <c r="B144" t="str">
        <v>Lavavajillas concentrado pack 6 litros</v>
      </c>
      <c r="C144" t="str">
        <v>LVA006.png</v>
      </c>
      <c r="D144" t="str">
        <v>URGENTE</v>
      </c>
      <c r="E144" t="str">
        <v>La imagen muestra la marca anterior Química Bethel.</v>
      </c>
      <c r="F144" t="str">
        <v>Foto real del pack sin marca anterior, sobre fondo limpio.</v>
      </c>
      <c r="G144" t="str">
        <v>PENDIENTE</v>
      </c>
    </row>
    <row r="145">
      <c r="A145" t="str">
        <v>SUA003</v>
      </c>
      <c r="B145" t="str">
        <v>Suavizante listo para usar 1 litro</v>
      </c>
      <c r="C145" t="str">
        <v>SUA003.png</v>
      </c>
      <c r="D145" t="str">
        <v>PENDIENTE</v>
      </c>
      <c r="E145" t="str">
        <v>Revisar manualmente: producto correcto, imagen nítida, fondo limpio y sin marcas ajenas.</v>
      </c>
      <c r="F145" t="str">
        <v>Si se reemplaza: foto real del producto, fondo blanco o neutro, buena luz y encuadre cuadrado.</v>
      </c>
      <c r="G145" t="str">
        <v>PENDIENTE</v>
      </c>
    </row>
    <row r="146">
      <c r="A146" t="str">
        <v>SUA004</v>
      </c>
      <c r="B146" t="str">
        <v>Suavizante listo para usar pack 6 x 6 litros</v>
      </c>
      <c r="C146" t="str">
        <v>SUA004.png</v>
      </c>
      <c r="D146" t="str">
        <v>URGENTE</v>
      </c>
      <c r="E146" t="str">
        <v>La imagen muestra la marca anterior Química Bethel.</v>
      </c>
      <c r="F146" t="str">
        <v>Foto real del pack sin marca anterior, sobre fondo limpio.</v>
      </c>
      <c r="G146" t="str">
        <v>PENDIENTE</v>
      </c>
    </row>
    <row r="147">
      <c r="A147" t="str">
        <v>SUA005</v>
      </c>
      <c r="B147" t="str">
        <v>Suavizante listo para usar x 1 litro</v>
      </c>
      <c r="C147" t="str">
        <v>SUA005.png</v>
      </c>
      <c r="D147" t="str">
        <v>PENDIENTE</v>
      </c>
      <c r="E147" t="str">
        <v>Revisar manualmente: producto correcto, imagen nítida, fondo limpio y sin marcas ajenas.</v>
      </c>
      <c r="F147" t="str">
        <v>Si se reemplaza: foto real del producto, fondo blanco o neutro, buena luz y encuadre cuadrado.</v>
      </c>
      <c r="G147" t="str">
        <v>PENDIENTE</v>
      </c>
    </row>
    <row r="148">
      <c r="A148" t="str">
        <v>SUA006</v>
      </c>
      <c r="B148" t="str">
        <v>Suavizante listo para usar pack x 6 litros</v>
      </c>
      <c r="C148" t="str">
        <v>SUA006.png</v>
      </c>
      <c r="D148" t="str">
        <v>URGENTE</v>
      </c>
      <c r="E148" t="str">
        <v>La imagen muestra la marca anterior Química Bethel.</v>
      </c>
      <c r="F148" t="str">
        <v>Foto real del pack sin marca anterior, sobre fondo limpio.</v>
      </c>
      <c r="G148" t="str">
        <v>PENDIENTE</v>
      </c>
    </row>
    <row r="149">
      <c r="A149" t="str">
        <v>DPP001</v>
      </c>
      <c r="B149" t="str">
        <v>Desodorante para piso x 5 litros</v>
      </c>
      <c r="C149" t="str">
        <v>DPP001.png</v>
      </c>
      <c r="D149" t="str">
        <v>PENDIENTE</v>
      </c>
      <c r="E149" t="str">
        <v>Revisar manualmente: producto correcto, imagen nítida, fondo limpio y sin marcas ajenas.</v>
      </c>
      <c r="F149" t="str">
        <v>Si se reemplaza: foto real del producto, fondo blanco o neutro, buena luz y encuadre cuadrado.</v>
      </c>
      <c r="G149" t="str">
        <v>PENDIENTE</v>
      </c>
    </row>
    <row r="150">
      <c r="A150" t="str">
        <v>DPP002</v>
      </c>
      <c r="B150" t="str">
        <v>Desodorante para piso x 1 litro</v>
      </c>
      <c r="C150" t="str">
        <v>DPP002.png</v>
      </c>
      <c r="D150" t="str">
        <v>PENDIENTE</v>
      </c>
      <c r="E150" t="str">
        <v>Revisar manualmente: producto correcto, imagen nítida, fondo limpio y sin marcas ajenas.</v>
      </c>
      <c r="F150" t="str">
        <v>Si se reemplaza: foto real del producto, fondo blanco o neutro, buena luz y encuadre cuadrado.</v>
      </c>
      <c r="G150" t="str">
        <v>PENDIENTE</v>
      </c>
    </row>
    <row r="151">
      <c r="A151" t="str">
        <v>DPP003</v>
      </c>
      <c r="B151" t="str">
        <v>Desodorante para piso pack x 6 unidades</v>
      </c>
      <c r="C151" t="str">
        <v>DPP003.png</v>
      </c>
      <c r="D151" t="str">
        <v>URGENTE</v>
      </c>
      <c r="E151" t="str">
        <v>La imagen muestra la marca anterior Química Bethel.</v>
      </c>
      <c r="F151" t="str">
        <v>Foto real del pack sin marca anterior, sobre fondo limpio.</v>
      </c>
      <c r="G151" t="str">
        <v>PENDIENTE</v>
      </c>
    </row>
    <row r="152">
      <c r="A152" t="str">
        <v>DPP004</v>
      </c>
      <c r="B152" t="str">
        <v>Desodorante para piso x 5 litros</v>
      </c>
      <c r="C152" t="str">
        <v>DPP004.png</v>
      </c>
      <c r="D152" t="str">
        <v>PENDIENTE</v>
      </c>
      <c r="E152" t="str">
        <v>Revisar manualmente: producto correcto, imagen nítida, fondo limpio y sin marcas ajenas.</v>
      </c>
      <c r="F152" t="str">
        <v>Si se reemplaza: foto real del producto, fondo blanco o neutro, buena luz y encuadre cuadrado.</v>
      </c>
      <c r="G152" t="str">
        <v>PENDIENTE</v>
      </c>
    </row>
    <row r="153">
      <c r="A153" t="str">
        <v>DPP005</v>
      </c>
      <c r="B153" t="str">
        <v>Desodorante para piso x 1 litro</v>
      </c>
      <c r="C153" t="str">
        <v>DPP005.png</v>
      </c>
      <c r="D153" t="str">
        <v>PENDIENTE</v>
      </c>
      <c r="E153" t="str">
        <v>Revisar manualmente: producto correcto, imagen nítida, fondo limpio y sin marcas ajenas.</v>
      </c>
      <c r="F153" t="str">
        <v>Si se reemplaza: foto real del producto, fondo blanco o neutro, buena luz y encuadre cuadrado.</v>
      </c>
      <c r="G153" t="str">
        <v>PENDIENTE</v>
      </c>
    </row>
    <row r="154">
      <c r="A154" t="str">
        <v>DPP006</v>
      </c>
      <c r="B154" t="str">
        <v>Desodorante para piso pack x 6 unidades</v>
      </c>
      <c r="C154" t="str">
        <v>DPP006.png</v>
      </c>
      <c r="D154" t="str">
        <v>URGENTE</v>
      </c>
      <c r="E154" t="str">
        <v>La imagen muestra la marca anterior Química Bethel.</v>
      </c>
      <c r="F154" t="str">
        <v>Foto real del pack sin marca anterior, sobre fondo limpio.</v>
      </c>
      <c r="G154" t="str">
        <v>PENDIENTE</v>
      </c>
    </row>
    <row r="155">
      <c r="A155" t="str">
        <v>DPP007</v>
      </c>
      <c r="B155" t="str">
        <v>Desodorante para piso x 5 litros</v>
      </c>
      <c r="C155" t="str">
        <v>DPP007.png</v>
      </c>
      <c r="D155" t="str">
        <v>PENDIENTE</v>
      </c>
      <c r="E155" t="str">
        <v>Revisar manualmente: producto correcto, imagen nítida, fondo limpio y sin marcas ajenas.</v>
      </c>
      <c r="F155" t="str">
        <v>Si se reemplaza: foto real del producto, fondo blanco o neutro, buena luz y encuadre cuadrado.</v>
      </c>
      <c r="G155" t="str">
        <v>PENDIENTE</v>
      </c>
    </row>
    <row r="156">
      <c r="A156" t="str">
        <v>DPP008</v>
      </c>
      <c r="B156" t="str">
        <v>Desodorante para piso x 1 litro</v>
      </c>
      <c r="C156" t="str">
        <v>DPP008.png</v>
      </c>
      <c r="D156" t="str">
        <v>PENDIENTE</v>
      </c>
      <c r="E156" t="str">
        <v>Revisar manualmente: producto correcto, imagen nítida, fondo limpio y sin marcas ajenas.</v>
      </c>
      <c r="F156" t="str">
        <v>Si se reemplaza: foto real del producto, fondo blanco o neutro, buena luz y encuadre cuadrado.</v>
      </c>
      <c r="G156" t="str">
        <v>PENDIENTE</v>
      </c>
    </row>
    <row r="157">
      <c r="A157" t="str">
        <v>DPP009</v>
      </c>
      <c r="B157" t="str">
        <v>Desodorante para piso pack x 6 unidades</v>
      </c>
      <c r="C157" t="str">
        <v>DPP009.png</v>
      </c>
      <c r="D157" t="str">
        <v>URGENTE</v>
      </c>
      <c r="E157" t="str">
        <v>La imagen muestra la marca anterior Química Bethel.</v>
      </c>
      <c r="F157" t="str">
        <v>Foto real del pack sin marca anterior, sobre fondo limpio.</v>
      </c>
      <c r="G157" t="str">
        <v>PENDIENTE</v>
      </c>
    </row>
    <row r="158">
      <c r="A158" t="str">
        <v>DPP010</v>
      </c>
      <c r="B158" t="str">
        <v>Desodorante para piso x 5 litros</v>
      </c>
      <c r="C158" t="str">
        <v>DPP010.png</v>
      </c>
      <c r="D158" t="str">
        <v>PENDIENTE</v>
      </c>
      <c r="E158" t="str">
        <v>Revisar manualmente: producto correcto, imagen nítida, fondo limpio y sin marcas ajenas.</v>
      </c>
      <c r="F158" t="str">
        <v>Si se reemplaza: foto real del producto, fondo blanco o neutro, buena luz y encuadre cuadrado.</v>
      </c>
      <c r="G158" t="str">
        <v>PENDIENTE</v>
      </c>
    </row>
    <row r="159">
      <c r="A159" t="str">
        <v>DPP011</v>
      </c>
      <c r="B159" t="str">
        <v>Desodorante para piso x 1 litro</v>
      </c>
      <c r="C159" t="str">
        <v>DPP011.png</v>
      </c>
      <c r="D159" t="str">
        <v>PENDIENTE</v>
      </c>
      <c r="E159" t="str">
        <v>Revisar manualmente: producto correcto, imagen nítida, fondo limpio y sin marcas ajenas.</v>
      </c>
      <c r="F159" t="str">
        <v>Si se reemplaza: foto real del producto, fondo blanco o neutro, buena luz y encuadre cuadrado.</v>
      </c>
      <c r="G159" t="str">
        <v>PENDIENTE</v>
      </c>
    </row>
    <row r="160">
      <c r="A160" t="str">
        <v>DPP012</v>
      </c>
      <c r="B160" t="str">
        <v>Desodorante para piso pack x 6 unidades</v>
      </c>
      <c r="C160" t="str">
        <v>DPP012.png</v>
      </c>
      <c r="D160" t="str">
        <v>URGENTE</v>
      </c>
      <c r="E160" t="str">
        <v>La imagen muestra la marca anterior Química Bethel.</v>
      </c>
      <c r="F160" t="str">
        <v>Foto real del pack sin marca anterior, sobre fondo limpio.</v>
      </c>
      <c r="G160" t="str">
        <v>PENDIENTE</v>
      </c>
    </row>
    <row r="161">
      <c r="A161" t="str">
        <v>CBS001</v>
      </c>
      <c r="B161" t="str">
        <v>Cabo de madera de 1,2 Metros</v>
      </c>
      <c r="C161" t="str">
        <v>CBS001.jpg</v>
      </c>
      <c r="D161" t="str">
        <v>PENDIENTE</v>
      </c>
      <c r="E161" t="str">
        <v>Revisar manualmente: producto correcto, imagen nítida, fondo limpio y sin marcas ajenas.</v>
      </c>
      <c r="F161" t="str">
        <v>Si se reemplaza: foto real del producto, fondo blanco o neutro, buena luz y encuadre cuadrado.</v>
      </c>
      <c r="G161" t="str">
        <v>PENDIENTE</v>
      </c>
    </row>
    <row r="162">
      <c r="A162" t="str">
        <v>CBS002</v>
      </c>
      <c r="B162" t="str">
        <v>Cabo de madera de 1,5 Metros</v>
      </c>
      <c r="C162" t="str">
        <v>CBS002.jpg</v>
      </c>
      <c r="D162" t="str">
        <v>PENDIENTE</v>
      </c>
      <c r="E162" t="str">
        <v>Revisar manualmente: producto correcto, imagen nítida, fondo limpio y sin marcas ajenas.</v>
      </c>
      <c r="F162" t="str">
        <v>Si se reemplaza: foto real del producto, fondo blanco o neutro, buena luz y encuadre cuadrado.</v>
      </c>
      <c r="G162" t="str">
        <v>PENDIENTE</v>
      </c>
    </row>
    <row r="163">
      <c r="A163" t="str">
        <v>CBS003</v>
      </c>
      <c r="B163" t="str">
        <v>Cabo de madera de 2 Metros</v>
      </c>
      <c r="C163" t="str">
        <v>CBS003.jpg</v>
      </c>
      <c r="D163" t="str">
        <v>PENDIENTE</v>
      </c>
      <c r="E163" t="str">
        <v>Revisar manualmente: producto correcto, imagen nítida, fondo limpio y sin marcas ajenas.</v>
      </c>
      <c r="F163" t="str">
        <v>Si se reemplaza: foto real del producto, fondo blanco o neutro, buena luz y encuadre cuadrado.</v>
      </c>
      <c r="G163" t="str">
        <v>PENDIENTE</v>
      </c>
    </row>
    <row r="164">
      <c r="A164" t="str">
        <v>CBS004</v>
      </c>
      <c r="B164" t="str">
        <v>Cabo de metal make</v>
      </c>
      <c r="C164" t="str">
        <v>CBS004.jpg</v>
      </c>
      <c r="D164" t="str">
        <v>PENDIENTE</v>
      </c>
      <c r="E164" t="str">
        <v>Revisar manualmente: producto correcto, imagen nítida, fondo limpio y sin marcas ajenas.</v>
      </c>
      <c r="F164" t="str">
        <v>Si se reemplaza: foto real del producto, fondo blanco o neutro, buena luz y encuadre cuadrado.</v>
      </c>
      <c r="G164" t="str">
        <v>PENDIENTE</v>
      </c>
    </row>
    <row r="165">
      <c r="A165" t="str">
        <v>CBS005</v>
      </c>
      <c r="B165" t="str">
        <v>Cabo Saca Hojas</v>
      </c>
      <c r="C165" t="str">
        <v>CBS005.jpg</v>
      </c>
      <c r="D165" t="str">
        <v>PENDIENTE</v>
      </c>
      <c r="E165" t="str">
        <v>Revisar manualmente: producto correcto, imagen nítida, fondo limpio y sin marcas ajenas.</v>
      </c>
      <c r="F165" t="str">
        <v>Si se reemplaza: foto real del producto, fondo blanco o neutro, buena luz y encuadre cuadrado.</v>
      </c>
      <c r="G165" t="str">
        <v>PENDIENTE</v>
      </c>
    </row>
    <row r="166">
      <c r="A166" t="str">
        <v>CBS006</v>
      </c>
      <c r="B166" t="str">
        <v>Cabo extensible 2 metros</v>
      </c>
      <c r="C166" t="str">
        <v>CBS006.jpg</v>
      </c>
      <c r="D166" t="str">
        <v>PENDIENTE</v>
      </c>
      <c r="E166" t="str">
        <v>Revisar manualmente: producto correcto, imagen nítida, fondo limpio y sin marcas ajenas.</v>
      </c>
      <c r="F166" t="str">
        <v>Si se reemplaza: foto real del producto, fondo blanco o neutro, buena luz y encuadre cuadrado.</v>
      </c>
      <c r="G166" t="str">
        <v>PENDIENTE</v>
      </c>
    </row>
    <row r="167">
      <c r="A167" t="str">
        <v>CBS007</v>
      </c>
      <c r="B167" t="str">
        <v>Cabo extensible 3 metros</v>
      </c>
      <c r="C167" t="str">
        <v>CBS007.jpg</v>
      </c>
      <c r="D167" t="str">
        <v>PENDIENTE</v>
      </c>
      <c r="E167" t="str">
        <v>Revisar manualmente: producto correcto, imagen nítida, fondo limpio y sin marcas ajenas.</v>
      </c>
      <c r="F167" t="str">
        <v>Si se reemplaza: foto real del producto, fondo blanco o neutro, buena luz y encuadre cuadrado.</v>
      </c>
      <c r="G167" t="str">
        <v>PENDIENTE</v>
      </c>
    </row>
    <row r="168">
      <c r="A168" t="str">
        <v>ESP001</v>
      </c>
      <c r="B168" t="str">
        <v>Esponja de acero 10 Gr</v>
      </c>
      <c r="C168" t="str">
        <v>ESP001.jpg</v>
      </c>
      <c r="D168" t="str">
        <v>PENDIENTE</v>
      </c>
      <c r="E168" t="str">
        <v>Revisar manualmente: producto correcto, imagen nítida, fondo limpio y sin marcas ajenas.</v>
      </c>
      <c r="F168" t="str">
        <v>Si se reemplaza: foto real del producto, fondo blanco o neutro, buena luz y encuadre cuadrado.</v>
      </c>
      <c r="G168" t="str">
        <v>PENDIENTE</v>
      </c>
    </row>
    <row r="169">
      <c r="A169" t="str">
        <v>ESP002</v>
      </c>
      <c r="B169" t="str">
        <v>Esponja dorada de 30 Gr</v>
      </c>
      <c r="C169" t="str">
        <v>ESP002.jpg</v>
      </c>
      <c r="D169" t="str">
        <v>PENDIENTE</v>
      </c>
      <c r="E169" t="str">
        <v>Revisar manualmente: producto correcto, imagen nítida, fondo limpio y sin marcas ajenas.</v>
      </c>
      <c r="F169" t="str">
        <v>Si se reemplaza: foto real del producto, fondo blanco o neutro, buena luz y encuadre cuadrado.</v>
      </c>
      <c r="G169" t="str">
        <v>PENDIENTE</v>
      </c>
    </row>
    <row r="170">
      <c r="A170" t="str">
        <v>ESP003</v>
      </c>
      <c r="B170" t="str">
        <v>Esponja azul para teflon</v>
      </c>
      <c r="C170" t="str">
        <v>ESP003.jpg</v>
      </c>
      <c r="D170" t="str">
        <v>PENDIENTE</v>
      </c>
      <c r="E170" t="str">
        <v>Revisar manualmente: producto correcto, imagen nítida, fondo limpio y sin marcas ajenas.</v>
      </c>
      <c r="F170" t="str">
        <v>Si se reemplaza: foto real del producto, fondo blanco o neutro, buena luz y encuadre cuadrado.</v>
      </c>
      <c r="G170" t="str">
        <v>PENDIENTE</v>
      </c>
    </row>
    <row r="171">
      <c r="A171" t="str">
        <v>ESP004</v>
      </c>
      <c r="B171" t="str">
        <v>Esponja de acero 10 Gr pack de 12 unidades</v>
      </c>
      <c r="C171" t="str">
        <v>ESP004.jpg</v>
      </c>
      <c r="D171" t="str">
        <v>PENDIENTE</v>
      </c>
      <c r="E171" t="str">
        <v>Revisar manualmente: producto correcto, imagen nítida, fondo limpio y sin marcas ajenas.</v>
      </c>
      <c r="F171" t="str">
        <v>Si se reemplaza: foto real del producto, fondo blanco o neutro, buena luz y encuadre cuadrado.</v>
      </c>
      <c r="G171" t="str">
        <v>PENDIENTE</v>
      </c>
    </row>
    <row r="172">
      <c r="A172" t="str">
        <v>ESP005</v>
      </c>
      <c r="B172" t="str">
        <v>Esponja dorada 30 Gr pack de 12 unidades</v>
      </c>
      <c r="C172" t="str">
        <v>ESP005.jpg</v>
      </c>
      <c r="D172" t="str">
        <v>PENDIENTE</v>
      </c>
      <c r="E172" t="str">
        <v>Revisar manualmente: producto correcto, imagen nítida, fondo limpio y sin marcas ajenas.</v>
      </c>
      <c r="F172" t="str">
        <v>Si se reemplaza: foto real del producto, fondo blanco o neutro, buena luz y encuadre cuadrado.</v>
      </c>
      <c r="G172" t="str">
        <v>PENDIENTE</v>
      </c>
    </row>
    <row r="173">
      <c r="A173" t="str">
        <v>ESP006</v>
      </c>
      <c r="B173" t="str">
        <v>Lana de acero Make</v>
      </c>
      <c r="C173" t="str">
        <v>ESP006.jpg</v>
      </c>
      <c r="D173" t="str">
        <v>PENDIENTE</v>
      </c>
      <c r="E173" t="str">
        <v>Revisar manualmente: producto correcto, imagen nítida, fondo limpio y sin marcas ajenas.</v>
      </c>
      <c r="F173" t="str">
        <v>Si se reemplaza: foto real del producto, fondo blanco o neutro, buena luz y encuadre cuadrado.</v>
      </c>
      <c r="G173" t="str">
        <v>PENDIENTE</v>
      </c>
    </row>
    <row r="174">
      <c r="A174" t="str">
        <v>ESP007</v>
      </c>
      <c r="B174" t="str">
        <v>Lana de acero virulana</v>
      </c>
      <c r="C174" t="str">
        <v>ESP007.jpg</v>
      </c>
      <c r="D174" t="str">
        <v>PENDIENTE</v>
      </c>
      <c r="E174" t="str">
        <v>Revisar manualmente: producto correcto, imagen nítida, fondo limpio y sin marcas ajenas.</v>
      </c>
      <c r="F174" t="str">
        <v>Si se reemplaza: foto real del producto, fondo blanco o neutro, buena luz y encuadre cuadrado.</v>
      </c>
      <c r="G174" t="str">
        <v>PENDIENTE</v>
      </c>
    </row>
    <row r="175">
      <c r="A175" t="str">
        <v>APR001</v>
      </c>
      <c r="B175" t="str">
        <v>Tender Vertical para Ropa 3 niveles</v>
      </c>
      <c r="C175" t="str">
        <v>APR001.jpg</v>
      </c>
      <c r="D175" t="str">
        <v>PENDIENTE</v>
      </c>
      <c r="E175" t="str">
        <v>Revisar manualmente: producto correcto, imagen nítida, fondo limpio y sin marcas ajenas.</v>
      </c>
      <c r="F175" t="str">
        <v>Si se reemplaza: foto real del producto, fondo blanco o neutro, buena luz y encuadre cuadrado.</v>
      </c>
      <c r="G175" t="str">
        <v>PENDIENTE</v>
      </c>
    </row>
    <row r="176">
      <c r="A176" t="str">
        <v>APR002</v>
      </c>
      <c r="B176" t="str">
        <v>Tender Para Medias de 18 Broches</v>
      </c>
      <c r="C176" t="str">
        <v>APR002.jpg</v>
      </c>
      <c r="D176" t="str">
        <v>PENDIENTE</v>
      </c>
      <c r="E176" t="str">
        <v>Revisar manualmente: producto correcto, imagen nítida, fondo limpio y sin marcas ajenas.</v>
      </c>
      <c r="F176" t="str">
        <v>Si se reemplaza: foto real del producto, fondo blanco o neutro, buena luz y encuadre cuadrado.</v>
      </c>
      <c r="G176" t="str">
        <v>PENDIENTE</v>
      </c>
    </row>
    <row r="177">
      <c r="A177" t="str">
        <v>APR003</v>
      </c>
      <c r="B177" t="str">
        <v>Tender 10 varillas con Alas</v>
      </c>
      <c r="C177" t="str">
        <v>APR003.jpg</v>
      </c>
      <c r="D177" t="str">
        <v>PENDIENTE</v>
      </c>
      <c r="E177" t="str">
        <v>Revisar manualmente: producto correcto, imagen nítida, fondo limpio y sin marcas ajenas.</v>
      </c>
      <c r="F177" t="str">
        <v>Si se reemplaza: foto real del producto, fondo blanco o neutro, buena luz y encuadre cuadrado.</v>
      </c>
      <c r="G177" t="str">
        <v>PENDIENTE</v>
      </c>
    </row>
    <row r="178">
      <c r="A178" t="str">
        <v>APR004</v>
      </c>
      <c r="B178" t="str">
        <v>Broches Plasticos x 12 unidades</v>
      </c>
      <c r="C178" t="str">
        <v>APR004.jpg</v>
      </c>
      <c r="D178" t="str">
        <v>PENDIENTE</v>
      </c>
      <c r="E178" t="str">
        <v>Revisar manualmente: producto correcto, imagen nítida, fondo limpio y sin marcas ajenas.</v>
      </c>
      <c r="F178" t="str">
        <v>Si se reemplaza: foto real del producto, fondo blanco o neutro, buena luz y encuadre cuadrado.</v>
      </c>
      <c r="G178" t="str">
        <v>PENDIENTE</v>
      </c>
    </row>
    <row r="179">
      <c r="A179" t="str">
        <v>APR005</v>
      </c>
      <c r="B179" t="str">
        <v>Broches Madera x 12 unidades</v>
      </c>
      <c r="C179" t="str">
        <v>APR005.jpg</v>
      </c>
      <c r="D179" t="str">
        <v>PENDIENTE</v>
      </c>
      <c r="E179" t="str">
        <v>Revisar manualmente: producto correcto, imagen nítida, fondo limpio y sin marcas ajenas.</v>
      </c>
      <c r="F179" t="str">
        <v>Si se reemplaza: foto real del producto, fondo blanco o neutro, buena luz y encuadre cuadrado.</v>
      </c>
      <c r="G179" t="str">
        <v>PENDIENTE</v>
      </c>
    </row>
    <row r="180">
      <c r="A180" t="str">
        <v>APB001</v>
      </c>
      <c r="B180" t="str">
        <v>Cepillo Lava Espalda Plastico</v>
      </c>
      <c r="C180" t="str">
        <v>APB001.jpg</v>
      </c>
      <c r="D180" t="str">
        <v>PENDIENTE</v>
      </c>
      <c r="E180" t="str">
        <v>Revisar manualmente: producto correcto, imagen nítida, fondo limpio y sin marcas ajenas.</v>
      </c>
      <c r="F180" t="str">
        <v>Si se reemplaza: foto real del producto, fondo blanco o neutro, buena luz y encuadre cuadrado.</v>
      </c>
      <c r="G180" t="str">
        <v>PENDIENTE</v>
      </c>
    </row>
    <row r="181">
      <c r="A181" t="str">
        <v>APB002</v>
      </c>
      <c r="B181" t="str">
        <v>Jabonera Deseplast</v>
      </c>
      <c r="C181" t="str">
        <v>APB002.jpg</v>
      </c>
      <c r="D181" t="str">
        <v>PENDIENTE</v>
      </c>
      <c r="E181" t="str">
        <v>Revisar manualmente: producto correcto, imagen nítida, fondo limpio y sin marcas ajenas.</v>
      </c>
      <c r="F181" t="str">
        <v>Si se reemplaza: foto real del producto, fondo blanco o neutro, buena luz y encuadre cuadrado.</v>
      </c>
      <c r="G181" t="str">
        <v>PENDIENTE</v>
      </c>
    </row>
    <row r="182">
      <c r="A182" t="str">
        <v>APB003</v>
      </c>
      <c r="B182" t="str">
        <v>Limpiador Adhesivo inodoro</v>
      </c>
      <c r="C182" t="str">
        <v>APB003.jpg</v>
      </c>
      <c r="D182" t="str">
        <v>PENDIENTE</v>
      </c>
      <c r="E182" t="str">
        <v>Revisar manualmente: producto correcto, imagen nítida, fondo limpio y sin marcas ajenas.</v>
      </c>
      <c r="F182" t="str">
        <v>Si se reemplaza: foto real del producto, fondo blanco o neutro, buena luz y encuadre cuadrado.</v>
      </c>
      <c r="G182" t="str">
        <v>PENDIENTE</v>
      </c>
    </row>
    <row r="183">
      <c r="A183" t="str">
        <v>APB004</v>
      </c>
      <c r="B183" t="str">
        <v>Pastilla para inodoro</v>
      </c>
      <c r="C183" t="str">
        <v>APB004.jpg</v>
      </c>
      <c r="D183" t="str">
        <v>PENDIENTE</v>
      </c>
      <c r="E183" t="str">
        <v>Revisar manualmente: producto correcto, imagen nítida, fondo limpio y sin marcas ajenas.</v>
      </c>
      <c r="F183" t="str">
        <v>Si se reemplaza: foto real del producto, fondo blanco o neutro, buena luz y encuadre cuadrado.</v>
      </c>
      <c r="G183" t="str">
        <v>PENDIENTE</v>
      </c>
    </row>
    <row r="184">
      <c r="A184" t="str">
        <v>APB005</v>
      </c>
      <c r="B184" t="str">
        <v>Protector cortina de baño</v>
      </c>
      <c r="C184" t="str">
        <v>APB005.jpg</v>
      </c>
      <c r="D184" t="str">
        <v>PENDIENTE</v>
      </c>
      <c r="E184" t="str">
        <v>Revisar manualmente: producto correcto, imagen nítida, fondo limpio y sin marcas ajenas.</v>
      </c>
      <c r="F184" t="str">
        <v>Si se reemplaza: foto real del producto, fondo blanco o neutro, buena luz y encuadre cuadrado.</v>
      </c>
      <c r="G184" t="str">
        <v>PENDIENTE</v>
      </c>
    </row>
    <row r="185">
      <c r="A185" t="str">
        <v>AER001</v>
      </c>
      <c r="B185" t="str">
        <v>Poett Desodorante de Ambiente</v>
      </c>
      <c r="C185" t="str">
        <v>AER001.jpg</v>
      </c>
      <c r="D185" t="str">
        <v>PENDIENTE</v>
      </c>
      <c r="E185" t="str">
        <v>Revisar manualmente: producto correcto, imagen nítida, fondo limpio y sin marcas ajenas.</v>
      </c>
      <c r="F185" t="str">
        <v>Si se reemplaza: foto real del producto, fondo blanco o neutro, buena luz y encuadre cuadrado.</v>
      </c>
      <c r="G185" t="str">
        <v>PENDIENTE</v>
      </c>
    </row>
    <row r="186">
      <c r="A186" t="str">
        <v>AER002</v>
      </c>
      <c r="B186" t="str">
        <v>Lysoform Desisfectante</v>
      </c>
      <c r="C186" t="str">
        <v>AER002.jpg</v>
      </c>
      <c r="D186" t="str">
        <v>PENDIENTE</v>
      </c>
      <c r="E186" t="str">
        <v>Revisar manualmente: producto correcto, imagen nítida, fondo limpio y sin marcas ajenas.</v>
      </c>
      <c r="F186" t="str">
        <v>Si se reemplaza: foto real del producto, fondo blanco o neutro, buena luz y encuadre cuadrado.</v>
      </c>
      <c r="G186" t="str">
        <v>PENDIENTE</v>
      </c>
    </row>
    <row r="187">
      <c r="A187" t="str">
        <v>AER003</v>
      </c>
      <c r="B187" t="str">
        <v>Lustra Muebles</v>
      </c>
      <c r="C187" t="str">
        <v>AER003.jpg</v>
      </c>
      <c r="D187" t="str">
        <v>PENDIENTE</v>
      </c>
      <c r="E187" t="str">
        <v>Revisar manualmente: producto correcto, imagen nítida, fondo limpio y sin marcas ajenas.</v>
      </c>
      <c r="F187" t="str">
        <v>Si se reemplaza: foto real del producto, fondo blanco o neutro, buena luz y encuadre cuadrado.</v>
      </c>
      <c r="G187" t="str">
        <v>PENDIENTE</v>
      </c>
    </row>
    <row r="188">
      <c r="A188" t="str">
        <v>AER004</v>
      </c>
      <c r="B188" t="str">
        <v>Limpiador para hornos</v>
      </c>
      <c r="C188" t="str">
        <v>AER004.jpg</v>
      </c>
      <c r="D188" t="str">
        <v>PENDIENTE</v>
      </c>
      <c r="E188" t="str">
        <v>Revisar manualmente: producto correcto, imagen nítida, fondo limpio y sin marcas ajenas.</v>
      </c>
      <c r="F188" t="str">
        <v>Si se reemplaza: foto real del producto, fondo blanco o neutro, buena luz y encuadre cuadrado.</v>
      </c>
      <c r="G188" t="str">
        <v>PENDIENTE</v>
      </c>
    </row>
    <row r="189">
      <c r="A189" t="str">
        <v>AER005</v>
      </c>
      <c r="B189" t="str">
        <v>Apresto Danubio</v>
      </c>
      <c r="C189" t="str">
        <v>AER005.jpg</v>
      </c>
      <c r="D189" t="str">
        <v>PENDIENTE</v>
      </c>
      <c r="E189" t="str">
        <v>Revisar manualmente: producto correcto, imagen nítida, fondo limpio y sin marcas ajenas.</v>
      </c>
      <c r="F189" t="str">
        <v>Si se reemplaza: foto real del producto, fondo blanco o neutro, buena luz y encuadre cuadrado.</v>
      </c>
      <c r="G189" t="str">
        <v>PENDIENTE</v>
      </c>
    </row>
    <row r="190">
      <c r="A190" t="str">
        <v>AER006</v>
      </c>
      <c r="B190" t="str">
        <v>Fuyi Mata Moscas y Mosquitos</v>
      </c>
      <c r="C190" t="str">
        <v>AER006.jpg</v>
      </c>
      <c r="D190" t="str">
        <v>PENDIENTE</v>
      </c>
      <c r="E190" t="str">
        <v>Revisar manualmente: producto correcto, imagen nítida, fondo limpio y sin marcas ajenas.</v>
      </c>
      <c r="F190" t="str">
        <v>Si se reemplaza: foto real del producto, fondo blanco o neutro, buena luz y encuadre cuadrado.</v>
      </c>
      <c r="G190" t="str">
        <v>PENDIENTE</v>
      </c>
    </row>
    <row r="191">
      <c r="A191" t="str">
        <v>AER007</v>
      </c>
      <c r="B191" t="str">
        <v>Raid Azul</v>
      </c>
      <c r="C191" t="str">
        <v>AER007.jpg</v>
      </c>
      <c r="D191" t="str">
        <v>PENDIENTE</v>
      </c>
      <c r="E191" t="str">
        <v>Revisar manualmente: producto correcto, imagen nítida, fondo limpio y sin marcas ajenas.</v>
      </c>
      <c r="F191" t="str">
        <v>Si se reemplaza: foto real del producto, fondo blanco o neutro, buena luz y encuadre cuadrado.</v>
      </c>
      <c r="G191" t="str">
        <v>PENDIENTE</v>
      </c>
    </row>
    <row r="192">
      <c r="A192" t="str">
        <v>AER008</v>
      </c>
      <c r="B192" t="str">
        <v>Raid Negro</v>
      </c>
      <c r="C192" t="str">
        <v>AER008.jpg</v>
      </c>
      <c r="D192" t="str">
        <v>PENDIENTE</v>
      </c>
      <c r="E192" t="str">
        <v>Revisar manualmente: producto correcto, imagen nítida, fondo limpio y sin marcas ajenas.</v>
      </c>
      <c r="F192" t="str">
        <v>Si se reemplaza: foto real del producto, fondo blanco o neutro, buena luz y encuadre cuadrado.</v>
      </c>
      <c r="G192" t="str">
        <v>PENDIENTE</v>
      </c>
    </row>
    <row r="193">
      <c r="A193" t="str">
        <v>MYG001</v>
      </c>
      <c r="B193" t="str">
        <v>Guantes de Goma Make</v>
      </c>
      <c r="C193" t="str">
        <v>MYG001.jpg</v>
      </c>
      <c r="D193" t="str">
        <v>PENDIENTE</v>
      </c>
      <c r="E193" t="str">
        <v>Revisar manualmente: producto correcto, imagen nítida, fondo limpio y sin marcas ajenas.</v>
      </c>
      <c r="F193" t="str">
        <v>Si se reemplaza: foto real del producto, fondo blanco o neutro, buena luz y encuadre cuadrado.</v>
      </c>
      <c r="G193" t="str">
        <v>PENDIENTE</v>
      </c>
    </row>
    <row r="194">
      <c r="A194" t="str">
        <v>MYG002</v>
      </c>
      <c r="B194" t="str">
        <v>Guantes de Goma Make</v>
      </c>
      <c r="C194" t="str">
        <v>MYG002.jpg</v>
      </c>
      <c r="D194" t="str">
        <v>PENDIENTE</v>
      </c>
      <c r="E194" t="str">
        <v>Revisar manualmente: producto correcto, imagen nítida, fondo limpio y sin marcas ajenas.</v>
      </c>
      <c r="F194" t="str">
        <v>Si se reemplaza: foto real del producto, fondo blanco o neutro, buena luz y encuadre cuadrado.</v>
      </c>
      <c r="G194" t="str">
        <v>PENDIENTE</v>
      </c>
    </row>
    <row r="195">
      <c r="A195" t="str">
        <v>MYG003</v>
      </c>
      <c r="B195" t="str">
        <v>Guantes de Goma Make</v>
      </c>
      <c r="C195" t="str">
        <v>MYG003.jpg</v>
      </c>
      <c r="D195" t="str">
        <v>PENDIENTE</v>
      </c>
      <c r="E195" t="str">
        <v>Revisar manualmente: producto correcto, imagen nítida, fondo limpio y sin marcas ajenas.</v>
      </c>
      <c r="F195" t="str">
        <v>Si se reemplaza: foto real del producto, fondo blanco o neutro, buena luz y encuadre cuadrado.</v>
      </c>
      <c r="G195" t="str">
        <v>PENDIENTE</v>
      </c>
    </row>
    <row r="196">
      <c r="A196" t="str">
        <v>MYG004</v>
      </c>
      <c r="B196" t="str">
        <v>Guantes de Goma Make</v>
      </c>
      <c r="C196" t="str">
        <v>MYG004.jpg</v>
      </c>
      <c r="D196" t="str">
        <v>PENDIENTE</v>
      </c>
      <c r="E196" t="str">
        <v>Revisar manualmente: producto correcto, imagen nítida, fondo limpio y sin marcas ajenas.</v>
      </c>
      <c r="F196" t="str">
        <v>Si se reemplaza: foto real del producto, fondo blanco o neutro, buena luz y encuadre cuadrado.</v>
      </c>
      <c r="G196" t="str">
        <v>PENDIENTE</v>
      </c>
    </row>
    <row r="197">
      <c r="A197" t="str">
        <v>MYG005</v>
      </c>
      <c r="B197" t="str">
        <v>Guantes de Latex descartable Caja x 100 unidades</v>
      </c>
      <c r="C197" t="str">
        <v>MYG005.jpg</v>
      </c>
      <c r="D197" t="str">
        <v>PENDIENTE</v>
      </c>
      <c r="E197" t="str">
        <v>Revisar manualmente: producto correcto, imagen nítida, fondo limpio y sin marcas ajenas.</v>
      </c>
      <c r="F197" t="str">
        <v>Si se reemplaza: foto real del producto, fondo blanco o neutro, buena luz y encuadre cuadrado.</v>
      </c>
      <c r="G197" t="str">
        <v>PENDIENTE</v>
      </c>
    </row>
    <row r="198">
      <c r="A198" t="str">
        <v>MYG006</v>
      </c>
      <c r="B198" t="str">
        <v>Guantes de Nitrilo Caja x 100 unidades</v>
      </c>
      <c r="C198" t="str">
        <v>MYG006.jpg</v>
      </c>
      <c r="D198" t="str">
        <v>PENDIENTE</v>
      </c>
      <c r="E198" t="str">
        <v>Revisar manualmente: producto correcto, imagen nítida, fondo limpio y sin marcas ajenas.</v>
      </c>
      <c r="F198" t="str">
        <v>Si se reemplaza: foto real del producto, fondo blanco o neutro, buena luz y encuadre cuadrado.</v>
      </c>
      <c r="G198" t="str">
        <v>PENDIENTE</v>
      </c>
    </row>
    <row r="199">
      <c r="A199" t="str">
        <v>MYG007</v>
      </c>
      <c r="B199" t="str">
        <v>Escurre Facil Iberia</v>
      </c>
      <c r="C199" t="str">
        <v>MYG007.jpg</v>
      </c>
      <c r="D199" t="str">
        <v>PENDIENTE</v>
      </c>
      <c r="E199" t="str">
        <v>Revisar manualmente: producto correcto, imagen nítida, fondo limpio y sin marcas ajenas.</v>
      </c>
      <c r="F199" t="str">
        <v>Si se reemplaza: foto real del producto, fondo blanco o neutro, buena luz y encuadre cuadrado.</v>
      </c>
      <c r="G199" t="str">
        <v>PENDIENTE</v>
      </c>
    </row>
    <row r="200">
      <c r="A200" t="str">
        <v>MYG008</v>
      </c>
      <c r="B200" t="str">
        <v>Mopa Algodon Amarillo MrTrapo</v>
      </c>
      <c r="C200" t="str">
        <v>MYG008.jpg</v>
      </c>
      <c r="D200" t="str">
        <v>PENDIENTE</v>
      </c>
      <c r="E200" t="str">
        <v>Revisar manualmente: producto correcto, imagen nítida, fondo limpio y sin marcas ajenas.</v>
      </c>
      <c r="F200" t="str">
        <v>Si se reemplaza: foto real del producto, fondo blanco o neutro, buena luz y encuadre cuadrado.</v>
      </c>
      <c r="G200" t="str">
        <v>PENDIENTE</v>
      </c>
    </row>
    <row r="201">
      <c r="A201" t="str">
        <v>MYG009</v>
      </c>
      <c r="B201" t="str">
        <v>Mopa Amarilla Romyl</v>
      </c>
      <c r="C201" t="str">
        <v>MYG009.jpg</v>
      </c>
      <c r="D201" t="str">
        <v>PENDIENTE</v>
      </c>
      <c r="E201" t="str">
        <v>Revisar manualmente: producto correcto, imagen nítida, fondo limpio y sin marcas ajenas.</v>
      </c>
      <c r="F201" t="str">
        <v>Si se reemplaza: foto real del producto, fondo blanco o neutro, buena luz y encuadre cuadrado.</v>
      </c>
      <c r="G201" t="str">
        <v>PENDIENTE</v>
      </c>
    </row>
    <row r="202">
      <c r="A202" t="str">
        <v>MYG010</v>
      </c>
      <c r="B202" t="str">
        <v>Mopa Blanca Algodon FibranSur</v>
      </c>
      <c r="C202" t="str">
        <v>MYG010.jpg</v>
      </c>
      <c r="D202" t="str">
        <v>PENDIENTE</v>
      </c>
      <c r="E202" t="str">
        <v>Revisar manualmente: producto correcto, imagen nítida, fondo limpio y sin marcas ajenas.</v>
      </c>
      <c r="F202" t="str">
        <v>Si se reemplaza: foto real del producto, fondo blanco o neutro, buena luz y encuadre cuadrado.</v>
      </c>
      <c r="G202" t="str">
        <v>PENDIENTE</v>
      </c>
    </row>
    <row r="203">
      <c r="A203" t="str">
        <v>MYG011</v>
      </c>
      <c r="B203" t="str">
        <v>Mopa Blanca Algodon Make</v>
      </c>
      <c r="C203" t="str">
        <v>MYG011.jpg</v>
      </c>
      <c r="D203" t="str">
        <v>PENDIENTE</v>
      </c>
      <c r="E203" t="str">
        <v>Revisar manualmente: producto correcto, imagen nítida, fondo limpio y sin marcas ajenas.</v>
      </c>
      <c r="F203" t="str">
        <v>Si se reemplaza: foto real del producto, fondo blanco o neutro, buena luz y encuadre cuadrado.</v>
      </c>
      <c r="G203" t="str">
        <v>PENDIENTE</v>
      </c>
    </row>
    <row r="204">
      <c r="A204" t="str">
        <v>MYG012</v>
      </c>
      <c r="B204" t="str">
        <v>Repuesto Mopa Pelo Corto Turbo Facil</v>
      </c>
      <c r="C204" t="str">
        <v>MYG012.jpg</v>
      </c>
      <c r="D204" t="str">
        <v>PENDIENTE</v>
      </c>
      <c r="E204" t="str">
        <v>Revisar manualmente: producto correcto, imagen nítida, fondo limpio y sin marcas ajenas.</v>
      </c>
      <c r="F204" t="str">
        <v>Si se reemplaza: foto real del producto, fondo blanco o neutro, buena luz y encuadre cuadrado.</v>
      </c>
      <c r="G204" t="str">
        <v>PENDIENTE</v>
      </c>
    </row>
    <row r="205">
      <c r="A205" t="str">
        <v>MYG013</v>
      </c>
      <c r="B205" t="str">
        <v>Repuesto Mopa Pelo Largo Turbo Matic</v>
      </c>
      <c r="C205" t="str">
        <v>MYG013.jpg</v>
      </c>
      <c r="D205" t="str">
        <v>PENDIENTE</v>
      </c>
      <c r="E205" t="str">
        <v>Revisar manualmente: producto correcto, imagen nítida, fondo limpio y sin marcas ajenas.</v>
      </c>
      <c r="F205" t="str">
        <v>Si se reemplaza: foto real del producto, fondo blanco o neutro, buena luz y encuadre cuadrado.</v>
      </c>
      <c r="G205" t="str">
        <v>PENDIENTE</v>
      </c>
    </row>
    <row r="206">
      <c r="A206" t="str">
        <v>RPP001</v>
      </c>
      <c r="B206" t="str">
        <v>Balde Mopa 9 lts Matriplaster</v>
      </c>
      <c r="C206" t="str">
        <v>RPP001.jpg</v>
      </c>
      <c r="D206" t="str">
        <v>PENDIENTE</v>
      </c>
      <c r="E206" t="str">
        <v>Revisar manualmente: producto correcto, imagen nítida, fondo limpio y sin marcas ajenas.</v>
      </c>
      <c r="F206" t="str">
        <v>Si se reemplaza: foto real del producto, fondo blanco o neutro, buena luz y encuadre cuadrado.</v>
      </c>
      <c r="G206" t="str">
        <v>PENDIENTE</v>
      </c>
    </row>
    <row r="207">
      <c r="A207" t="str">
        <v>RPP002</v>
      </c>
      <c r="B207" t="str">
        <v>Balde Mopa 14 lts Matriplaster</v>
      </c>
      <c r="C207" t="str">
        <v>RPP002.jpg</v>
      </c>
      <c r="D207" t="str">
        <v>PENDIENTE</v>
      </c>
      <c r="E207" t="str">
        <v>Revisar manualmente: producto correcto, imagen nítida, fondo limpio y sin marcas ajenas.</v>
      </c>
      <c r="F207" t="str">
        <v>Si se reemplaza: foto real del producto, fondo blanco o neutro, buena luz y encuadre cuadrado.</v>
      </c>
      <c r="G207" t="str">
        <v>PENDIENTE</v>
      </c>
    </row>
    <row r="208">
      <c r="A208" t="str">
        <v>RPP003</v>
      </c>
      <c r="B208" t="str">
        <v>Balde x 10 lts</v>
      </c>
      <c r="C208" t="str">
        <v>RPP003.jpg</v>
      </c>
      <c r="D208" t="str">
        <v>PENDIENTE</v>
      </c>
      <c r="E208" t="str">
        <v>Revisar manualmente: producto correcto, imagen nítida, fondo limpio y sin marcas ajenas.</v>
      </c>
      <c r="F208" t="str">
        <v>Si se reemplaza: foto real del producto, fondo blanco o neutro, buena luz y encuadre cuadrado.</v>
      </c>
      <c r="G208" t="str">
        <v>PENDIENTE</v>
      </c>
    </row>
    <row r="209">
      <c r="A209" t="str">
        <v>RPP004</v>
      </c>
      <c r="B209" t="str">
        <v>Balde x 12 lts</v>
      </c>
      <c r="C209" t="str">
        <v>RPP004.jpg</v>
      </c>
      <c r="D209" t="str">
        <v>PENDIENTE</v>
      </c>
      <c r="E209" t="str">
        <v>Revisar manualmente: producto correcto, imagen nítida, fondo limpio y sin marcas ajenas.</v>
      </c>
      <c r="F209" t="str">
        <v>Si se reemplaza: foto real del producto, fondo blanco o neutro, buena luz y encuadre cuadrado.</v>
      </c>
      <c r="G209" t="str">
        <v>PENDIENTE</v>
      </c>
    </row>
    <row r="210">
      <c r="A210" t="str">
        <v>RPP005</v>
      </c>
      <c r="B210" t="str">
        <v>Balde Mopa Duo Matriplaster</v>
      </c>
      <c r="C210" t="str">
        <v>RPP005.jpg</v>
      </c>
      <c r="D210" t="str">
        <v>PENDIENTE</v>
      </c>
      <c r="E210" t="str">
        <v>Revisar manualmente: producto correcto, imagen nítida, fondo limpio y sin marcas ajenas.</v>
      </c>
      <c r="F210" t="str">
        <v>Si se reemplaza: foto real del producto, fondo blanco o neutro, buena luz y encuadre cuadrado.</v>
      </c>
      <c r="G210" t="str">
        <v>PENDIENTE</v>
      </c>
    </row>
    <row r="211">
      <c r="A211" t="str">
        <v>RPP006</v>
      </c>
      <c r="B211" t="str">
        <v>Balde Mopa Plana</v>
      </c>
      <c r="C211" t="str">
        <v>RPP006.jpg</v>
      </c>
      <c r="D211" t="str">
        <v>PENDIENTE</v>
      </c>
      <c r="E211" t="str">
        <v>Revisar manualmente: producto correcto, imagen nítida, fondo limpio y sin marcas ajenas.</v>
      </c>
      <c r="F211" t="str">
        <v>Si se reemplaza: foto real del producto, fondo blanco o neutro, buena luz y encuadre cuadrado.</v>
      </c>
      <c r="G211" t="str">
        <v>PENDIENTE</v>
      </c>
    </row>
    <row r="212">
      <c r="A212" t="str">
        <v>PPP001</v>
      </c>
      <c r="B212" t="str">
        <v>Alguicida Clorotec 1 litro</v>
      </c>
      <c r="C212" t="str">
        <v>PPP001.jpg</v>
      </c>
      <c r="D212" t="str">
        <v>PENDIENTE</v>
      </c>
      <c r="E212" t="str">
        <v>Revisar manualmente: producto correcto, imagen nítida, fondo limpio y sin marcas ajenas.</v>
      </c>
      <c r="F212" t="str">
        <v>Si se reemplaza: foto real del producto, fondo blanco o neutro, buena luz y encuadre cuadrado.</v>
      </c>
      <c r="G212" t="str">
        <v>PENDIENTE</v>
      </c>
    </row>
    <row r="213">
      <c r="A213" t="str">
        <v>PPP002</v>
      </c>
      <c r="B213" t="str">
        <v>Clarificante Clorotec 1 litro</v>
      </c>
      <c r="C213" t="str">
        <v>PPP002.jpg</v>
      </c>
      <c r="D213" t="str">
        <v>PENDIENTE</v>
      </c>
      <c r="E213" t="str">
        <v>Revisar manualmente: producto correcto, imagen nítida, fondo limpio y sin marcas ajenas.</v>
      </c>
      <c r="F213" t="str">
        <v>Si se reemplaza: foto real del producto, fondo blanco o neutro, buena luz y encuadre cuadrado.</v>
      </c>
      <c r="G213" t="str">
        <v>PENDIENTE</v>
      </c>
    </row>
    <row r="214">
      <c r="A214" t="str">
        <v>PPP003</v>
      </c>
      <c r="B214" t="str">
        <v>Regulador PH 5 litros</v>
      </c>
      <c r="C214" t="str">
        <v>PPP003.jpg</v>
      </c>
      <c r="D214" t="str">
        <v>PENDIENTE</v>
      </c>
      <c r="E214" t="str">
        <v>Revisar manualmente: producto correcto, imagen nítida, fondo limpio y sin marcas ajenas.</v>
      </c>
      <c r="F214" t="str">
        <v>Si se reemplaza: foto real del producto, fondo blanco o neutro, buena luz y encuadre cuadrado.</v>
      </c>
      <c r="G214" t="str">
        <v>PENDIENTE</v>
      </c>
    </row>
    <row r="215">
      <c r="A215" t="str">
        <v>PPP004</v>
      </c>
      <c r="B215" t="str">
        <v>Cloro Granulado Lento x 50 kg</v>
      </c>
      <c r="C215" t="str">
        <v>PPP004.jpg</v>
      </c>
      <c r="D215" t="str">
        <v>PENDIENTE</v>
      </c>
      <c r="E215" t="str">
        <v>Revisar manualmente: producto correcto, imagen nítida, fondo limpio y sin marcas ajenas.</v>
      </c>
      <c r="F215" t="str">
        <v>Si se reemplaza: foto real del producto, fondo blanco o neutro, buena luz y encuadre cuadrado.</v>
      </c>
      <c r="G215" t="str">
        <v>PENDIENTE</v>
      </c>
    </row>
    <row r="216">
      <c r="A216" t="str">
        <v>PPP005</v>
      </c>
      <c r="B216" t="str">
        <v>Cloro Granulado Lento 1 kg</v>
      </c>
      <c r="C216" t="str">
        <v>PPP005.jpg</v>
      </c>
      <c r="D216" t="str">
        <v>PENDIENTE</v>
      </c>
      <c r="E216" t="str">
        <v>Revisar manualmente: producto correcto, imagen nítida, fondo limpio y sin marcas ajenas.</v>
      </c>
      <c r="F216" t="str">
        <v>Si se reemplaza: foto real del producto, fondo blanco o neutro, buena luz y encuadre cuadrado.</v>
      </c>
      <c r="G216" t="str">
        <v>PENDIENTE</v>
      </c>
    </row>
    <row r="217">
      <c r="A217" t="str">
        <v>PPP006</v>
      </c>
      <c r="B217" t="str">
        <v>Reactivos x 2</v>
      </c>
      <c r="C217" t="str">
        <v>PPP006.jpg</v>
      </c>
      <c r="D217" t="str">
        <v>PENDIENTE</v>
      </c>
      <c r="E217" t="str">
        <v>Revisar manualmente: producto correcto, imagen nítida, fondo limpio y sin marcas ajenas.</v>
      </c>
      <c r="F217" t="str">
        <v>Si se reemplaza: foto real del producto, fondo blanco o neutro, buena luz y encuadre cuadrado.</v>
      </c>
      <c r="G217" t="str">
        <v>PENDIENTE</v>
      </c>
    </row>
    <row r="218">
      <c r="A218" t="str">
        <v>PPP007</v>
      </c>
      <c r="B218" t="str">
        <v>Pastillas de Cloro triple Accion de 200 gr pack x 5 pastillas</v>
      </c>
      <c r="C218" t="str">
        <v>PPP007.jpg</v>
      </c>
      <c r="D218" t="str">
        <v>PENDIENTE</v>
      </c>
      <c r="E218" t="str">
        <v>Revisar manualmente: producto correcto, imagen nítida, fondo limpio y sin marcas ajenas.</v>
      </c>
      <c r="F218" t="str">
        <v>Si se reemplaza: foto real del producto, fondo blanco o neutro, buena luz y encuadre cuadrado.</v>
      </c>
      <c r="G218" t="str">
        <v>PENDIENTE</v>
      </c>
    </row>
    <row r="219">
      <c r="A219" t="str">
        <v>PPP008</v>
      </c>
      <c r="B219" t="str">
        <v>Test kit</v>
      </c>
      <c r="C219" t="str">
        <v>PPP008.jpg</v>
      </c>
      <c r="D219" t="str">
        <v>PENDIENTE</v>
      </c>
      <c r="E219" t="str">
        <v>Revisar manualmente: producto correcto, imagen nítida, fondo limpio y sin marcas ajenas.</v>
      </c>
      <c r="F219" t="str">
        <v>Si se reemplaza: foto real del producto, fondo blanco o neutro, buena luz y encuadre cuadrado.</v>
      </c>
      <c r="G219" t="str">
        <v>PENDIENTE</v>
      </c>
    </row>
    <row r="220">
      <c r="A220" t="str">
        <v>PPP009</v>
      </c>
      <c r="B220" t="str">
        <v>Manguera 1'' x 15 mts</v>
      </c>
      <c r="C220" t="str">
        <v>PPP009.jpg</v>
      </c>
      <c r="D220" t="str">
        <v>PENDIENTE</v>
      </c>
      <c r="E220" t="str">
        <v>Revisar manualmente: producto correcto, imagen nítida, fondo limpio y sin marcas ajenas.</v>
      </c>
      <c r="F220" t="str">
        <v>Si se reemplaza: foto real del producto, fondo blanco o neutro, buena luz y encuadre cuadrado.</v>
      </c>
      <c r="G220" t="str">
        <v>PENDIENTE</v>
      </c>
    </row>
    <row r="221">
      <c r="A221" t="str">
        <v>PPP010</v>
      </c>
      <c r="B221" t="str">
        <v>Manguera 3/4" x 15 mts</v>
      </c>
      <c r="C221" t="str">
        <v>PPP010.jpg</v>
      </c>
      <c r="D221" t="str">
        <v>PENDIENTE</v>
      </c>
      <c r="E221" t="str">
        <v>Revisar manualmente: producto correcto, imagen nítida, fondo limpio y sin marcas ajenas.</v>
      </c>
      <c r="F221" t="str">
        <v>Si se reemplaza: foto real del producto, fondo blanco o neutro, buena luz y encuadre cuadrado.</v>
      </c>
      <c r="G221" t="str">
        <v>PENDIENTE</v>
      </c>
    </row>
    <row r="222">
      <c r="A222" t="str">
        <v>PPP011</v>
      </c>
      <c r="B222" t="str">
        <v>Manguera 1/2" x 15 mts</v>
      </c>
      <c r="C222" t="str">
        <v>PPP011.jpg</v>
      </c>
      <c r="D222" t="str">
        <v>PENDIENTE</v>
      </c>
      <c r="E222" t="str">
        <v>Revisar manualmente: producto correcto, imagen nítida, fondo limpio y sin marcas ajenas.</v>
      </c>
      <c r="F222" t="str">
        <v>Si se reemplaza: foto real del producto, fondo blanco o neutro, buena luz y encuadre cuadrado.</v>
      </c>
      <c r="G222" t="str">
        <v>PENDIENTE</v>
      </c>
    </row>
    <row r="223">
      <c r="A223" t="str">
        <v>PPP012</v>
      </c>
      <c r="B223" t="str">
        <v>Manguera Corrugada 1 1/2" x 10 mts</v>
      </c>
      <c r="C223" t="str">
        <v>PPP012.jpg</v>
      </c>
      <c r="D223" t="str">
        <v>PENDIENTE</v>
      </c>
      <c r="E223" t="str">
        <v>Revisar manualmente: producto correcto, imagen nítida, fondo limpio y sin marcas ajenas.</v>
      </c>
      <c r="F223" t="str">
        <v>Si se reemplaza: foto real del producto, fondo blanco o neutro, buena luz y encuadre cuadrado.</v>
      </c>
      <c r="G223" t="str">
        <v>PENDIENTE</v>
      </c>
    </row>
    <row r="224">
      <c r="A224" t="str">
        <v>PPP013</v>
      </c>
      <c r="B224" t="str">
        <v>Flota Flota</v>
      </c>
      <c r="C224" t="str">
        <v>PPP013.jpg</v>
      </c>
      <c r="D224" t="str">
        <v>PENDIENTE</v>
      </c>
      <c r="E224" t="str">
        <v>Revisar manualmente: producto correcto, imagen nítida, fondo limpio y sin marcas ajenas.</v>
      </c>
      <c r="F224" t="str">
        <v>Si se reemplaza: foto real del producto, fondo blanco o neutro, buena luz y encuadre cuadrado.</v>
      </c>
      <c r="G224" t="str">
        <v>PENDIENTE</v>
      </c>
    </row>
    <row r="225">
      <c r="A225" t="str">
        <v>PPP014</v>
      </c>
      <c r="B225" t="str">
        <v>Barrefondo 8 Ruedas</v>
      </c>
      <c r="C225" t="str">
        <v>PPP014.jpg</v>
      </c>
      <c r="D225" t="str">
        <v>PENDIENTE</v>
      </c>
      <c r="E225" t="str">
        <v>Revisar manualmente: producto correcto, imagen nítida, fondo limpio y sin marcas ajenas.</v>
      </c>
      <c r="F225" t="str">
        <v>Si se reemplaza: foto real del producto, fondo blanco o neutro, buena luz y encuadre cuadrado.</v>
      </c>
      <c r="G225" t="str">
        <v>PENDIENTE</v>
      </c>
    </row>
    <row r="226">
      <c r="A226" t="str">
        <v>PPP015</v>
      </c>
      <c r="B226" t="str">
        <v>Barrefondo Medialuna</v>
      </c>
      <c r="C226" t="str">
        <v>PPP015.jpg</v>
      </c>
      <c r="D226" t="str">
        <v>PENDIENTE</v>
      </c>
      <c r="E226" t="str">
        <v>Revisar manualmente: producto correcto, imagen nítida, fondo limpio y sin marcas ajenas.</v>
      </c>
      <c r="F226" t="str">
        <v>Si se reemplaza: foto real del producto, fondo blanco o neutro, buena luz y encuadre cuadrado.</v>
      </c>
      <c r="G226" t="str">
        <v>PENDIENTE</v>
      </c>
    </row>
    <row r="227">
      <c r="A227" t="str">
        <v>PPP016</v>
      </c>
      <c r="B227" t="str">
        <v>Boya Hongo</v>
      </c>
      <c r="C227" t="str">
        <v>PPP016.jpg</v>
      </c>
      <c r="D227" t="str">
        <v>PENDIENTE</v>
      </c>
      <c r="E227" t="str">
        <v>Revisar manualmente: producto correcto, imagen nítida, fondo limpio y sin marcas ajenas.</v>
      </c>
      <c r="F227" t="str">
        <v>Si se reemplaza: foto real del producto, fondo blanco o neutro, buena luz y encuadre cuadrado.</v>
      </c>
      <c r="G227" t="str">
        <v>PENDIENTE</v>
      </c>
    </row>
    <row r="228">
      <c r="A228" t="str">
        <v>PPP017</v>
      </c>
      <c r="B228" t="str">
        <v>Boya Satelite</v>
      </c>
      <c r="C228" t="str">
        <v>PPP017.jpg</v>
      </c>
      <c r="D228" t="str">
        <v>PENDIENTE</v>
      </c>
      <c r="E228" t="str">
        <v>Revisar manualmente: producto correcto, imagen nítida, fondo limpio y sin marcas ajenas.</v>
      </c>
      <c r="F228" t="str">
        <v>Si se reemplaza: foto real del producto, fondo blanco o neutro, buena luz y encuadre cuadrado.</v>
      </c>
      <c r="G228" t="str">
        <v>PENDIENTE</v>
      </c>
    </row>
    <row r="229">
      <c r="A229" t="str">
        <v>VAR001</v>
      </c>
      <c r="B229" t="str">
        <v>Velas x 4 de 205 mm make</v>
      </c>
      <c r="C229" t="str">
        <v>VAR001.jpg</v>
      </c>
      <c r="D229" t="str">
        <v>PENDIENTE</v>
      </c>
      <c r="E229" t="str">
        <v>Revisar manualmente: producto correcto, imagen nítida, fondo limpio y sin marcas ajenas.</v>
      </c>
      <c r="F229" t="str">
        <v>Si se reemplaza: foto real del producto, fondo blanco o neutro, buena luz y encuadre cuadrado.</v>
      </c>
      <c r="G229" t="str">
        <v>PENDIENTE</v>
      </c>
    </row>
    <row r="230">
      <c r="A230" t="str">
        <v>VAR002</v>
      </c>
      <c r="B230" t="str">
        <v>Velas x 12 de 205 mm make</v>
      </c>
      <c r="C230" t="str">
        <v>VAR002.jpg</v>
      </c>
      <c r="D230" t="str">
        <v>PENDIENTE</v>
      </c>
      <c r="E230" t="str">
        <v>Revisar manualmente: producto correcto, imagen nítida, fondo limpio y sin marcas ajenas.</v>
      </c>
      <c r="F230" t="str">
        <v>Si se reemplaza: foto real del producto, fondo blanco o neutro, buena luz y encuadre cuadrado.</v>
      </c>
      <c r="G230" t="str">
        <v>PENDIENTE</v>
      </c>
    </row>
    <row r="231">
      <c r="A231" t="str">
        <v>VAR003</v>
      </c>
      <c r="B231" t="str">
        <v>Papel Manteca Make</v>
      </c>
      <c r="C231" t="str">
        <v>VAR003.jpg</v>
      </c>
      <c r="D231" t="str">
        <v>PENDIENTE</v>
      </c>
      <c r="E231" t="str">
        <v>Revisar manualmente: producto correcto, imagen nítida, fondo limpio y sin marcas ajenas.</v>
      </c>
      <c r="F231" t="str">
        <v>Si se reemplaza: foto real del producto, fondo blanco o neutro, buena luz y encuadre cuadrado.</v>
      </c>
      <c r="G231" t="str">
        <v>PENDIENTE</v>
      </c>
    </row>
    <row r="232">
      <c r="A232" t="str">
        <v>VAR004</v>
      </c>
      <c r="B232" t="str">
        <v>Papel Aluminio Make</v>
      </c>
      <c r="C232" t="str">
        <v>VAR004.jpg</v>
      </c>
      <c r="D232" t="str">
        <v>PENDIENTE</v>
      </c>
      <c r="E232" t="str">
        <v>Revisar manualmente: producto correcto, imagen nítida, fondo limpio y sin marcas ajenas.</v>
      </c>
      <c r="F232" t="str">
        <v>Si se reemplaza: foto real del producto, fondo blanco o neutro, buena luz y encuadre cuadrado.</v>
      </c>
      <c r="G232" t="str">
        <v>PENDIENTE</v>
      </c>
    </row>
    <row r="233">
      <c r="A233" t="str">
        <v>VAR005</v>
      </c>
      <c r="B233" t="str">
        <v>Film Adherente Make 30 metros</v>
      </c>
      <c r="C233" t="str">
        <v>VAR005.jpg</v>
      </c>
      <c r="D233" t="str">
        <v>PENDIENTE</v>
      </c>
      <c r="E233" t="str">
        <v>Revisar manualmente: producto correcto, imagen nítida, fondo limpio y sin marcas ajenas.</v>
      </c>
      <c r="F233" t="str">
        <v>Si se reemplaza: foto real del producto, fondo blanco o neutro, buena luz y encuadre cuadrado.</v>
      </c>
      <c r="G233" t="str">
        <v>PENDIENTE</v>
      </c>
    </row>
    <row r="234">
      <c r="A234" t="str">
        <v>VAR006</v>
      </c>
      <c r="B234" t="str">
        <v>Separador de Freezer Make x 200 unidades</v>
      </c>
      <c r="C234" t="str">
        <v>VAR006.jpg</v>
      </c>
      <c r="D234" t="str">
        <v>PENDIENTE</v>
      </c>
      <c r="E234" t="str">
        <v>Revisar manualmente: producto correcto, imagen nítida, fondo limpio y sin marcas ajenas.</v>
      </c>
      <c r="F234" t="str">
        <v>Si se reemplaza: foto real del producto, fondo blanco o neutro, buena luz y encuadre cuadrado.</v>
      </c>
      <c r="G234" t="str">
        <v>PENDIENTE</v>
      </c>
    </row>
    <row r="235">
      <c r="A235" t="str">
        <v>VAR007</v>
      </c>
      <c r="B235" t="str">
        <v>Bolsa para cubitos Bolzip</v>
      </c>
      <c r="C235" t="str">
        <v>VAR007.jpg</v>
      </c>
      <c r="D235" t="str">
        <v>PENDIENTE</v>
      </c>
      <c r="E235" t="str">
        <v>Revisar manualmente: producto correcto, imagen nítida, fondo limpio y sin marcas ajenas.</v>
      </c>
      <c r="F235" t="str">
        <v>Si se reemplaza: foto real del producto, fondo blanco o neutro, buena luz y encuadre cuadrado.</v>
      </c>
      <c r="G235" t="str">
        <v>PENDIENTE</v>
      </c>
    </row>
    <row r="236">
      <c r="A236" t="str">
        <v>VAR008</v>
      </c>
      <c r="B236" t="str">
        <v>Palmeta Mata Moscas Plastica</v>
      </c>
      <c r="C236" t="str">
        <v>VAR008.jpg</v>
      </c>
      <c r="D236" t="str">
        <v>PENDIENTE</v>
      </c>
      <c r="E236" t="str">
        <v>Revisar manualmente: producto correcto, imagen nítida, fondo limpio y sin marcas ajenas.</v>
      </c>
      <c r="F236" t="str">
        <v>Si se reemplaza: foto real del producto, fondo blanco o neutro, buena luz y encuadre cuadrado.</v>
      </c>
      <c r="G236" t="str">
        <v>PENDIENTE</v>
      </c>
    </row>
    <row r="237">
      <c r="A237" t="str">
        <v>VAR009</v>
      </c>
      <c r="B237" t="str">
        <v>Insecticida liquido Gorrion x 500 cc</v>
      </c>
      <c r="C237" t="str">
        <v>VAR009.jpg</v>
      </c>
      <c r="D237" t="str">
        <v>PENDIENTE</v>
      </c>
      <c r="E237" t="str">
        <v>Revisar manualmente: producto correcto, imagen nítida, fondo limpio y sin marcas ajenas.</v>
      </c>
      <c r="F237" t="str">
        <v>Si se reemplaza: foto real del producto, fondo blanco o neutro, buena luz y encuadre cuadrado.</v>
      </c>
      <c r="G237" t="str">
        <v>PENDIENTE</v>
      </c>
    </row>
  </sheetData>
  <pageMargins left="0.7" right="0.7" top="0.75" bottom="0.75" header="0.3" footer="0.3"/>
  <ignoredErrors>
    <ignoredError numberStoredAsText="1" sqref="A1:H23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1"/>
  <sheetViews>
    <sheetView workbookViewId="0" rightToLeft="0"/>
  </sheetViews>
  <cols>
    <col min="1" max="1" customWidth="1" width="15"/>
    <col min="2" max="2" customWidth="1" width="14"/>
    <col min="3" max="3" customWidth="1" width="12"/>
    <col min="4" max="4" customWidth="1" width="12"/>
    <col min="5" max="5" customWidth="1" width="40"/>
  </cols>
  <sheetData>
    <row r="1">
      <c r="A1" t="str">
        <v>FECHA</v>
      </c>
      <c r="B1" t="str">
        <v>CODIGO</v>
      </c>
      <c r="C1" t="str">
        <v>ENTRADA</v>
      </c>
      <c r="D1" t="str">
        <v>SALIDA</v>
      </c>
      <c r="E1" t="str">
        <v>OBSERVACION</v>
      </c>
    </row>
  </sheetData>
  <pageMargins left="0.7" right="0.7" top="0.75" bottom="0.75" header="0.3" footer="0.3"/>
  <ignoredErrors>
    <ignoredError numberStoredAsText="1" sqref="A1:E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E8"/>
  <sheetViews>
    <sheetView workbookViewId="0" rightToLeft="0"/>
  </sheetViews>
  <sheetData>
    <row r="1" ht="20" customHeight="1">
      <c r="A1" t="str">
        <v>Tarifas de envío a domicilio — referencia operativa</v>
      </c>
    </row>
    <row r="3" ht="56" customHeight="1">
      <c r="A3" t="str">
        <v>Compra de productos</v>
      </c>
      <c r="B3" t="str">
        <v>Envío a cobrar</v>
      </c>
      <c r="C3" t="str">
        <v>Costo real de entrega</v>
      </c>
      <c r="D3" t="str">
        <v>Subsidio absorbido</v>
      </c>
      <c r="E3" t="str">
        <v>Mensaje comercial</v>
      </c>
    </row>
    <row r="4">
      <c r="A4" t="str">
        <v>$10.000 a $14.999</v>
      </c>
      <c r="B4" s="3">
        <v>3000</v>
      </c>
      <c r="C4" s="3">
        <v>0</v>
      </c>
      <c r="D4" s="3">
        <v>0</v>
      </c>
      <c r="E4" t="str">
        <v>Envío a domicilio $3.000</v>
      </c>
    </row>
    <row r="5">
      <c r="A5" t="str">
        <v>$15.000 a $19.999</v>
      </c>
      <c r="B5" s="3">
        <v>3000</v>
      </c>
      <c r="C5" s="3">
        <v>0</v>
      </c>
      <c r="D5" s="3">
        <v>0</v>
      </c>
      <c r="E5" t="str">
        <v>Envío a domicilio $3.000</v>
      </c>
    </row>
    <row r="6">
      <c r="A6" t="str">
        <v>Desde $50.000</v>
      </c>
      <c r="B6" s="3">
        <v>0</v>
      </c>
      <c r="C6" s="3">
        <v>0</v>
      </c>
      <c r="D6" s="3">
        <v>0</v>
      </c>
      <c r="E6" t="str">
        <v>Envío desde $</v>
      </c>
    </row>
    <row r="8">
      <c r="A8" t="str">
        <v>Política: se cobra un envío proporcional para atraer pedidos; el negocio absorbe la diferencia entre la tarifa y el costo real. La fórmula de precios usa el subsidio del tramo medio ($2.490 de envío).</v>
      </c>
    </row>
  </sheetData>
  <pageMargins left="0.7" right="0.7" top="0.75" bottom="0.75" header="0.3" footer="0.3"/>
  <ignoredErrors>
    <ignoredError numberStoredAsText="1" sqref="A1:E8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P304"/>
  <sheetViews>
    <sheetView workbookViewId="0" rightToLeft="0"/>
  </sheetViews>
  <cols>
    <col min="1" max="1" customWidth="1" width="27"/>
    <col min="2" max="2" customWidth="1" width="28"/>
    <col min="3" max="3" customWidth="1" width="17"/>
    <col min="4" max="4" customWidth="1" width="20"/>
    <col min="5" max="5" customWidth="1" width="17"/>
    <col min="6" max="6" customWidth="1" width="2"/>
    <col min="7" max="7" customWidth="1" width="3"/>
    <col min="8" max="8" customWidth="1" width="29"/>
    <col min="9" max="9" customWidth="1" width="28"/>
    <col min="10" max="10" customWidth="1" width="2"/>
    <col min="11" max="11" customWidth="1" width="2"/>
    <col min="12" max="12" customWidth="1" width="2"/>
    <col min="14" max="14" customWidth="1" width="28"/>
    <col min="15" max="15" customWidth="1" width="28"/>
    <col min="16" max="16" customWidth="1" width="12"/>
  </cols>
  <sheetData>
    <row r="1" ht="28" customHeight="1">
      <c r="A1" t="str">
        <v>ALTA DE PRODUCTOS</v>
      </c>
      <c r="N1" t="str">
        <v>LISTAS AUXILIARES — NO EDITAR</v>
      </c>
    </row>
    <row r="2" ht="30" customHeight="1">
      <c r="A2" t="str">
        <v>Completá solo las celdas amarillas. Luego ejecutá: npm run alta-producto. El comando valida, muestra el resumen y pide confirmación antes de escribir.</v>
      </c>
      <c r="N2" t="str">
        <v>Categorías</v>
      </c>
      <c r="O2" t="str">
        <v>Subcategorías</v>
      </c>
      <c r="P2" t="str">
        <v>Prefijos</v>
      </c>
    </row>
    <row r="3">
      <c r="N3" t="str">
        <f>CATÁLOGOS!B6</f>
        <v>🚽 Baño</v>
      </c>
      <c r="O3" t="str">
        <f>CATÁLOGOS!H6</f>
        <v>Lavandina</v>
      </c>
      <c r="P3" t="str">
        <v>AER</v>
      </c>
    </row>
    <row r="4">
      <c r="A4" t="str">
        <v>GENERADOR 1 — Categoría existente</v>
      </c>
      <c r="H4" t="str">
        <v>GENERADOR 2 — Categoría nueva</v>
      </c>
      <c r="N4" t="str">
        <f>CATÁLOGOS!B7</f>
        <v>🍽️ Cocina</v>
      </c>
      <c r="O4" t="str">
        <f>CATÁLOGOS!H7</f>
        <v>Detergente concentrado</v>
      </c>
      <c r="P4" t="str">
        <v>APB</v>
      </c>
    </row>
    <row r="5">
      <c r="A5" t="str">
        <v>Producto *</v>
      </c>
      <c r="B5" t="str">
        <v>Lavandina 1 L</v>
      </c>
      <c r="H5" t="str">
        <v>Producto *</v>
      </c>
      <c r="N5" t="str">
        <f>CATÁLOGOS!B8</f>
        <v>👕 Ropa y lavado</v>
      </c>
      <c r="O5" t="str">
        <f>CATÁLOGOS!H8</f>
        <v>Detergente listo para usar</v>
      </c>
      <c r="P5" t="str">
        <v>APR</v>
      </c>
    </row>
    <row r="6">
      <c r="A6" t="str">
        <v>Categoría *</v>
      </c>
      <c r="B6" t="str">
        <v>🚽 Baño</v>
      </c>
      <c r="H6" t="str">
        <v>Categoría nueva *</v>
      </c>
      <c r="N6" t="str">
        <f>CATÁLOGOS!B9</f>
        <v>🌸 Aromas y fragancias</v>
      </c>
      <c r="O6" t="str">
        <f>CATÁLOGOS!H9</f>
        <v>Lava-vajillas concentrado</v>
      </c>
      <c r="P6" t="str">
        <v>AUT</v>
      </c>
    </row>
    <row r="7">
      <c r="A7" t="str">
        <v>Subcategoría *</v>
      </c>
      <c r="B7" t="str">
        <v>Lavandina</v>
      </c>
      <c r="H7" t="str">
        <v>Subcategoría nueva *</v>
      </c>
      <c r="N7" t="str">
        <f>CATÁLOGOS!B10</f>
        <v>🦠 Desinfección y limpieza</v>
      </c>
      <c r="O7" t="str">
        <f>CATÁLOGOS!H10</f>
        <v>Suavizante</v>
      </c>
      <c r="P7" t="str">
        <v>CBS</v>
      </c>
    </row>
    <row r="8">
      <c r="A8" t="str">
        <v>Presentación</v>
      </c>
      <c r="B8" t="str">
        <v>1L</v>
      </c>
      <c r="H8" t="str">
        <v>Presentación</v>
      </c>
      <c r="N8" t="str">
        <f>CATÁLOGOS!B11</f>
        <v>🧰 Accesorios y equipamiento</v>
      </c>
      <c r="O8" t="str">
        <f>CATÁLOGOS!H11</f>
        <v>Tradicional</v>
      </c>
      <c r="P8" t="str">
        <v>CIF</v>
      </c>
    </row>
    <row r="9">
      <c r="A9" t="str">
        <v>Marca</v>
      </c>
      <c r="B9" t="str">
        <v>King</v>
      </c>
      <c r="H9" t="str">
        <v>Marca</v>
      </c>
      <c r="N9" t="str">
        <f>CATÁLOGOS!B12</f>
        <v>🚗 Automotor</v>
      </c>
      <c r="O9" t="str">
        <f>CATÁLOGOS!H12</f>
        <v>Perfumes para ropa</v>
      </c>
      <c r="P9" t="str">
        <v>CLO</v>
      </c>
    </row>
    <row r="10" ht="42" customHeight="1">
      <c r="A10" t="str">
        <v>Fragancia</v>
      </c>
      <c r="H10" t="str">
        <v>Fragancia</v>
      </c>
      <c r="N10" t="str">
        <f>CATÁLOGOS!B13</f>
        <v>📦 Packs y ofertas</v>
      </c>
      <c r="O10" t="str">
        <f>CATÁLOGOS!H13</f>
        <v>Desengrasantes</v>
      </c>
      <c r="P10" t="str">
        <v>DAV</v>
      </c>
    </row>
    <row r="11" ht="42" customHeight="1">
      <c r="A11" t="str">
        <v>Prefijo existente *</v>
      </c>
      <c r="B11" t="str">
        <v>CLO</v>
      </c>
      <c r="H11" t="str">
        <v>Prefijo existente *</v>
      </c>
      <c r="N11" t="str">
        <f>CATÁLOGOS!B14</f>
        <v>🧹 Pisos y superficies</v>
      </c>
      <c r="O11" t="str">
        <f>CATÁLOGOS!H14</f>
        <v>Rejillas y repasadores</v>
      </c>
      <c r="P11" t="str">
        <v>DES</v>
      </c>
    </row>
    <row r="12">
      <c r="A12" t="str">
        <v>Grupo existente</v>
      </c>
      <c r="H12" t="str">
        <v>¿Crear grupo?</v>
      </c>
      <c r="N12" t="str">
        <f>CATÁLOGOS!B15</f>
        <v>🏠 Hogar y varios</v>
      </c>
      <c r="O12" t="str">
        <f>CATÁLOGOS!H15</f>
        <v>Trapos de piso</v>
      </c>
      <c r="P12" t="str">
        <v>DET</v>
      </c>
    </row>
    <row r="13">
      <c r="A13" t="str">
        <v>Variante</v>
      </c>
      <c r="H13" t="str">
        <v>Variante</v>
      </c>
      <c r="N13" t="str">
        <f>CATÁLOGOS!B16</f>
        <v>🏊 Piletas</v>
      </c>
      <c r="O13" t="str">
        <f>CATÁLOGOS!H16</f>
        <v>Escobas y escobillones</v>
      </c>
      <c r="P13" t="str">
        <v>DPP</v>
      </c>
    </row>
    <row r="14" ht="42" customHeight="1">
      <c r="A14" t="str">
        <v>Código contenido a reutilizar</v>
      </c>
      <c r="B14" t="str">
        <v>CNT-001</v>
      </c>
      <c r="H14" t="str">
        <v>Descripción base *</v>
      </c>
      <c r="N14">
        <f>CATÁLOGOS!B17</f>
        <v>0</v>
      </c>
      <c r="O14" t="str">
        <f>CATÁLOGOS!H17</f>
        <v>Bruja</v>
      </c>
      <c r="P14" t="str">
        <v>ESP</v>
      </c>
    </row>
    <row r="15" ht="42" customHeight="1">
      <c r="A15" t="str">
        <v>Descripción base nueva</v>
      </c>
      <c r="H15" t="str">
        <v>Características base *</v>
      </c>
      <c r="N15">
        <f>CATÁLOGOS!B18</f>
        <v>0</v>
      </c>
      <c r="O15" t="str">
        <f>CATÁLOGOS!H18</f>
        <v>Esponja</v>
      </c>
      <c r="P15" t="str">
        <v>EYE</v>
      </c>
    </row>
    <row r="16">
      <c r="A16" t="str">
        <v>Características base nuevas</v>
      </c>
      <c r="H16" t="str">
        <v>Costo *</v>
      </c>
      <c r="N16">
        <f>CATÁLOGOS!B19</f>
        <v>0</v>
      </c>
      <c r="O16" t="str">
        <f>CATÁLOGOS!H19</f>
        <v>Silicona</v>
      </c>
      <c r="P16" t="str">
        <v>JBP</v>
      </c>
    </row>
    <row r="17">
      <c r="A17" t="str">
        <v>Costo *</v>
      </c>
      <c r="B17">
        <v>230</v>
      </c>
      <c r="H17" t="str">
        <v>¿Usa empaque? *</v>
      </c>
      <c r="N17">
        <f>CATÁLOGOS!B20</f>
        <v>0</v>
      </c>
      <c r="O17" t="str">
        <f>CATÁLOGOS!H20</f>
        <v>Silicona en Aerosol</v>
      </c>
      <c r="P17" t="str">
        <v>LVA</v>
      </c>
    </row>
    <row r="18">
      <c r="A18" t="str">
        <v>¿Usa empaque? *</v>
      </c>
      <c r="B18" t="str">
        <v>SÍ</v>
      </c>
      <c r="H18" t="str">
        <v>Empaque específico</v>
      </c>
      <c r="N18">
        <f>CATÁLOGOS!B21</f>
        <v>0</v>
      </c>
      <c r="O18" t="str">
        <f>CATÁLOGOS!H21</f>
        <v>Shampoo Siliconado</v>
      </c>
      <c r="P18" t="str">
        <v>MYG</v>
      </c>
    </row>
    <row r="19">
      <c r="A19" t="str">
        <v>Empaque específico</v>
      </c>
      <c r="H19" t="str">
        <v>Estado</v>
      </c>
      <c r="I19" t="str">
        <v>Activo</v>
      </c>
      <c r="N19">
        <f>CATÁLOGOS!B22</f>
        <v>0</v>
      </c>
      <c r="O19" t="str">
        <f>CATÁLOGOS!H22</f>
        <v>Mini Lata Walker</v>
      </c>
      <c r="P19" t="str">
        <v>PFA</v>
      </c>
    </row>
    <row r="20">
      <c r="A20" t="str">
        <v>Estado</v>
      </c>
      <c r="B20" t="str">
        <v>Activo</v>
      </c>
      <c r="H20" t="str">
        <v>Destacado</v>
      </c>
      <c r="I20" t="str">
        <v>NO</v>
      </c>
      <c r="N20">
        <f>CATÁLOGOS!B23</f>
        <v>0</v>
      </c>
      <c r="O20" t="str">
        <f>CATÁLOGOS!H23</f>
        <v>Perfume en Lata Walker</v>
      </c>
      <c r="P20" t="str">
        <v>PPP</v>
      </c>
    </row>
    <row r="21">
      <c r="A21" t="str">
        <v>Destacado</v>
      </c>
      <c r="B21" t="str">
        <v>NO</v>
      </c>
      <c r="N21">
        <f>CATÁLOGOS!B24</f>
        <v>0</v>
      </c>
      <c r="O21" t="str">
        <f>CATÁLOGOS!H24</f>
        <v>Cera</v>
      </c>
      <c r="P21" t="str">
        <v>RJR</v>
      </c>
    </row>
    <row r="22">
      <c r="N22">
        <f>CATÁLOGOS!B25</f>
        <v>0</v>
      </c>
      <c r="O22" t="str">
        <f>CATÁLOGOS!H25</f>
        <v>Limpia Tapizado en Aerosol</v>
      </c>
      <c r="P22" t="str">
        <v>RPP</v>
      </c>
    </row>
    <row r="23">
      <c r="A23" t="str">
        <v>RESULTADO DEL ÚLTIMO ALTA CONFIRMADO</v>
      </c>
      <c r="N23">
        <f>CATÁLOGOS!B26</f>
        <v>0</v>
      </c>
      <c r="O23" t="str">
        <f>CATÁLOGOS!H26</f>
        <v>Jabón líquido de manos</v>
      </c>
      <c r="P23" t="str">
        <v>SHA</v>
      </c>
    </row>
    <row r="24">
      <c r="A24" t="str">
        <v>ID</v>
      </c>
      <c r="B24" t="str">
        <v>237</v>
      </c>
      <c r="C24" t="str">
        <v>Estado</v>
      </c>
      <c r="D24" t="str">
        <v>Activo</v>
      </c>
      <c r="N24">
        <f>CATÁLOGOS!B27</f>
        <v>0</v>
      </c>
      <c r="O24" t="str">
        <f>CATÁLOGOS!H27</f>
        <v>Difusores aromáticos</v>
      </c>
      <c r="P24" t="str">
        <v>SUA</v>
      </c>
    </row>
    <row r="25">
      <c r="A25" t="str">
        <v>Código</v>
      </c>
      <c r="B25" t="str">
        <v>CLO004</v>
      </c>
      <c r="C25" t="str">
        <v>Generador</v>
      </c>
      <c r="D25" t="str">
        <v>Generador 1</v>
      </c>
      <c r="N25">
        <f>CATÁLOGOS!B28</f>
        <v>0</v>
      </c>
      <c r="O25" t="str">
        <f>CATÁLOGOS!H28</f>
        <v>Promo 15 litros</v>
      </c>
      <c r="P25" t="str">
        <v>TDP</v>
      </c>
    </row>
    <row r="26">
      <c r="A26" t="str">
        <v>Categoría</v>
      </c>
      <c r="B26" t="str">
        <v>CAT-001</v>
      </c>
      <c r="C26" t="str">
        <v>Grupo</v>
      </c>
      <c r="D26" t="str">
        <v/>
      </c>
      <c r="N26">
        <f>CATÁLOGOS!B29</f>
        <v>0</v>
      </c>
      <c r="O26" t="str">
        <f>CATÁLOGOS!H29</f>
        <v>Promo 12 litros</v>
      </c>
      <c r="P26" t="str">
        <v>VAR</v>
      </c>
    </row>
    <row r="27">
      <c r="A27" t="str">
        <v>Subcategoría</v>
      </c>
      <c r="B27" t="str">
        <v>SUB-001</v>
      </c>
      <c r="C27" t="str">
        <v>Variante</v>
      </c>
      <c r="D27" t="str">
        <v/>
      </c>
      <c r="N27">
        <f>CATÁLOGOS!B30</f>
        <v>0</v>
      </c>
      <c r="O27" t="str">
        <f>CATÁLOGOS!H30</f>
        <v>Promo 10 litros</v>
      </c>
    </row>
    <row r="28">
      <c r="A28" t="str">
        <v>Contenido</v>
      </c>
      <c r="B28" t="str">
        <v>CNT-001</v>
      </c>
      <c r="C28" t="str">
        <v>Precio estimado</v>
      </c>
      <c r="D28">
        <v>1880</v>
      </c>
      <c r="N28">
        <f>CATÁLOGOS!B31</f>
        <v>0</v>
      </c>
      <c r="O28" t="str">
        <f>CATÁLOGOS!H31</f>
        <v>Cloro</v>
      </c>
    </row>
    <row r="29">
      <c r="A29" t="str">
        <v>Nombre de foto</v>
      </c>
      <c r="B29" t="str">
        <v>CLO004.jpg</v>
      </c>
      <c r="C29" t="str">
        <v>Fecha de alta</v>
      </c>
      <c r="D29" t="str">
        <v>4/9/2026</v>
      </c>
      <c r="N29">
        <f>CATÁLOGOS!B32</f>
        <v>0</v>
      </c>
      <c r="O29" t="str">
        <f>CATÁLOGOS!H32</f>
        <v>Lavavajillas Listo para usar</v>
      </c>
    </row>
    <row r="30">
      <c r="N30">
        <f>CATÁLOGOS!B33</f>
        <v>0</v>
      </c>
      <c r="O30" t="str">
        <f>CATÁLOGOS!H33</f>
        <v>Lavavajillas Concentrado</v>
      </c>
    </row>
    <row r="31">
      <c r="A31" t="str">
        <v>Notas de uso</v>
      </c>
      <c r="N31">
        <f>CATÁLOGOS!B34</f>
        <v>0</v>
      </c>
      <c r="O31" t="str">
        <f>CATÁLOGOS!H34</f>
        <v>Desodorante para piso</v>
      </c>
    </row>
    <row r="32" ht="24" customHeight="1">
      <c r="A32" t="str">
        <v>Generador 1: elegí una categoría y subcategoría existentes. Si reutilizás un grupo o un código de contenido, dejá vacíos los textos nuevos. Generador 2: indicá categoría, subcategoría y textos nuevos. Para una categoría nueva elegí un prefijo que ya exista. Las presentaciones sugeridas son 1L, 5L, 10L, S, M, L y XL; también podés escribir otra. El comando impide duplicados dentro de la misma categoría y subcategoría.</v>
      </c>
      <c r="N32">
        <f>CATÁLOGOS!B35</f>
        <v>0</v>
      </c>
      <c r="O32" t="str">
        <f>CATÁLOGOS!H35</f>
        <v>Cabos y mangos</v>
      </c>
    </row>
    <row r="33" ht="24" customHeight="1">
      <c r="N33">
        <f>CATÁLOGOS!B36</f>
        <v>0</v>
      </c>
      <c r="O33" t="str">
        <f>CATÁLOGOS!H36</f>
        <v>Esponjas</v>
      </c>
    </row>
    <row r="34" ht="24" customHeight="1">
      <c r="N34">
        <f>CATÁLOGOS!B37</f>
        <v>0</v>
      </c>
      <c r="O34" t="str">
        <f>CATÁLOGOS!H37</f>
        <v>Artículos para tender</v>
      </c>
    </row>
    <row r="35" ht="24" customHeight="1">
      <c r="N35">
        <f>CATÁLOGOS!B38</f>
        <v>0</v>
      </c>
      <c r="O35" t="str">
        <f>CATÁLOGOS!H38</f>
        <v>Accesorios de baño</v>
      </c>
    </row>
    <row r="36">
      <c r="N36">
        <f>CATÁLOGOS!B39</f>
        <v>0</v>
      </c>
      <c r="O36" t="str">
        <f>CATÁLOGOS!H39</f>
        <v>Aerosol ambiental</v>
      </c>
    </row>
    <row r="37">
      <c r="N37">
        <f>CATÁLOGOS!B40</f>
        <v>0</v>
      </c>
      <c r="O37" t="str">
        <f>CATÁLOGOS!H40</f>
        <v>Aerosol desinfectante</v>
      </c>
    </row>
    <row r="38">
      <c r="N38">
        <f>CATÁLOGOS!B41</f>
        <v>0</v>
      </c>
      <c r="O38" t="str">
        <f>CATÁLOGOS!H41</f>
        <v>Lustramuebles</v>
      </c>
    </row>
    <row r="39">
      <c r="N39">
        <f>CATÁLOGOS!B42</f>
        <v>0</v>
      </c>
      <c r="O39" t="str">
        <f>CATÁLOGOS!H42</f>
        <v>Limpiador de horno</v>
      </c>
    </row>
    <row r="40">
      <c r="N40">
        <f>CATÁLOGOS!B43</f>
        <v>0</v>
      </c>
      <c r="O40" t="str">
        <f>CATÁLOGOS!H43</f>
        <v>Apresto para ropa</v>
      </c>
    </row>
    <row r="41">
      <c r="N41">
        <f>CATÁLOGOS!B44</f>
        <v>0</v>
      </c>
      <c r="O41" t="str">
        <f>CATÁLOGOS!H44</f>
        <v>Insecticidas</v>
      </c>
    </row>
    <row r="42">
      <c r="N42">
        <f>CATÁLOGOS!B45</f>
        <v>0</v>
      </c>
      <c r="O42" t="str">
        <f>CATÁLOGOS!H45</f>
        <v>Guantes</v>
      </c>
    </row>
    <row r="43">
      <c r="N43">
        <f>CATÁLOGOS!B46</f>
        <v>0</v>
      </c>
      <c r="O43" t="str">
        <f>CATÁLOGOS!H46</f>
        <v>Mopas</v>
      </c>
    </row>
    <row r="44">
      <c r="N44">
        <f>CATÁLOGOS!B47</f>
        <v>0</v>
      </c>
      <c r="O44" t="str">
        <f>CATÁLOGOS!H47</f>
        <v>Repuestos</v>
      </c>
    </row>
    <row r="45">
      <c r="N45">
        <f>CATÁLOGOS!B48</f>
        <v>0</v>
      </c>
      <c r="O45" t="str">
        <f>CATÁLOGOS!H48</f>
        <v>Baldes y recipientes</v>
      </c>
    </row>
    <row r="46">
      <c r="N46">
        <f>CATÁLOGOS!B49</f>
        <v>0</v>
      </c>
      <c r="O46" t="str">
        <f>CATÁLOGOS!H49</f>
        <v>Líquidos</v>
      </c>
    </row>
    <row r="47">
      <c r="N47">
        <f>CATÁLOGOS!B50</f>
        <v>0</v>
      </c>
      <c r="O47" t="str">
        <f>CATÁLOGOS!H50</f>
        <v>Químicos</v>
      </c>
    </row>
    <row r="48">
      <c r="N48">
        <f>CATÁLOGOS!B51</f>
        <v>0</v>
      </c>
      <c r="O48" t="str">
        <f>CATÁLOGOS!H51</f>
        <v>Mangueras</v>
      </c>
    </row>
    <row r="49">
      <c r="N49">
        <f>CATÁLOGOS!B52</f>
        <v>0</v>
      </c>
      <c r="O49" t="str">
        <f>CATÁLOGOS!H52</f>
        <v>Accesorios de pileta</v>
      </c>
    </row>
    <row r="50">
      <c r="N50">
        <f>CATÁLOGOS!B53</f>
        <v>0</v>
      </c>
      <c r="O50" t="str">
        <f>CATÁLOGOS!H53</f>
        <v>Velas</v>
      </c>
    </row>
    <row r="51">
      <c r="N51">
        <f>CATÁLOGOS!B54</f>
        <v>0</v>
      </c>
      <c r="O51" t="str">
        <f>CATÁLOGOS!H54</f>
        <v>Papel y film</v>
      </c>
    </row>
    <row r="52">
      <c r="N52">
        <f>CATÁLOGOS!B55</f>
        <v>0</v>
      </c>
      <c r="O52" t="str">
        <f>CATÁLOGOS!H55</f>
        <v>Bolsas y freezer</v>
      </c>
    </row>
    <row r="53">
      <c r="N53">
        <f>CATÁLOGOS!B56</f>
        <v>0</v>
      </c>
      <c r="O53" t="str">
        <f>CATÁLOGOS!H56</f>
        <v>Varios</v>
      </c>
    </row>
    <row r="54">
      <c r="N54">
        <f>CATÁLOGOS!B57</f>
        <v>0</v>
      </c>
      <c r="O54" t="str">
        <f>CATÁLOGOS!H57</f>
        <v>CIF</v>
      </c>
    </row>
    <row r="55">
      <c r="N55">
        <f>CATÁLOGOS!B58</f>
        <v>0</v>
      </c>
      <c r="O55">
        <f>CATÁLOGOS!H58</f>
        <v>0</v>
      </c>
    </row>
    <row r="56">
      <c r="N56">
        <f>CATÁLOGOS!B59</f>
        <v>0</v>
      </c>
      <c r="O56">
        <f>CATÁLOGOS!H59</f>
        <v>0</v>
      </c>
    </row>
    <row r="57">
      <c r="N57">
        <f>CATÁLOGOS!B60</f>
        <v>0</v>
      </c>
      <c r="O57">
        <f>CATÁLOGOS!H60</f>
        <v>0</v>
      </c>
    </row>
    <row r="58">
      <c r="N58">
        <f>CATÁLOGOS!B61</f>
        <v>0</v>
      </c>
      <c r="O58">
        <f>CATÁLOGOS!H61</f>
        <v>0</v>
      </c>
    </row>
    <row r="59">
      <c r="N59">
        <f>CATÁLOGOS!B62</f>
        <v>0</v>
      </c>
      <c r="O59">
        <f>CATÁLOGOS!H62</f>
        <v>0</v>
      </c>
    </row>
    <row r="60">
      <c r="N60">
        <f>CATÁLOGOS!B63</f>
        <v>0</v>
      </c>
      <c r="O60">
        <f>CATÁLOGOS!H63</f>
        <v>0</v>
      </c>
    </row>
    <row r="61">
      <c r="N61">
        <f>CATÁLOGOS!B64</f>
        <v>0</v>
      </c>
      <c r="O61">
        <f>CATÁLOGOS!H64</f>
        <v>0</v>
      </c>
    </row>
    <row r="62">
      <c r="N62">
        <f>CATÁLOGOS!B65</f>
        <v>0</v>
      </c>
      <c r="O62">
        <f>CATÁLOGOS!H65</f>
        <v>0</v>
      </c>
    </row>
    <row r="63">
      <c r="N63">
        <f>CATÁLOGOS!B66</f>
        <v>0</v>
      </c>
      <c r="O63">
        <f>CATÁLOGOS!H66</f>
        <v>0</v>
      </c>
    </row>
    <row r="64">
      <c r="N64">
        <f>CATÁLOGOS!B67</f>
        <v>0</v>
      </c>
      <c r="O64">
        <f>CATÁLOGOS!H67</f>
        <v>0</v>
      </c>
    </row>
    <row r="65">
      <c r="N65">
        <f>CATÁLOGOS!B68</f>
        <v>0</v>
      </c>
      <c r="O65">
        <f>CATÁLOGOS!H68</f>
        <v>0</v>
      </c>
    </row>
    <row r="66">
      <c r="N66">
        <f>CATÁLOGOS!B69</f>
        <v>0</v>
      </c>
      <c r="O66">
        <f>CATÁLOGOS!H69</f>
        <v>0</v>
      </c>
    </row>
    <row r="67">
      <c r="N67">
        <f>CATÁLOGOS!B70</f>
        <v>0</v>
      </c>
      <c r="O67">
        <f>CATÁLOGOS!H70</f>
        <v>0</v>
      </c>
    </row>
    <row r="68">
      <c r="N68">
        <f>CATÁLOGOS!B71</f>
        <v>0</v>
      </c>
      <c r="O68">
        <f>CATÁLOGOS!H71</f>
        <v>0</v>
      </c>
    </row>
    <row r="69">
      <c r="N69">
        <f>CATÁLOGOS!B72</f>
        <v>0</v>
      </c>
      <c r="O69">
        <f>CATÁLOGOS!H72</f>
        <v>0</v>
      </c>
    </row>
    <row r="70">
      <c r="N70">
        <f>CATÁLOGOS!B73</f>
        <v>0</v>
      </c>
      <c r="O70">
        <f>CATÁLOGOS!H73</f>
        <v>0</v>
      </c>
    </row>
    <row r="71">
      <c r="N71">
        <f>CATÁLOGOS!B74</f>
        <v>0</v>
      </c>
      <c r="O71">
        <f>CATÁLOGOS!H74</f>
        <v>0</v>
      </c>
    </row>
    <row r="72">
      <c r="N72">
        <f>CATÁLOGOS!B75</f>
        <v>0</v>
      </c>
      <c r="O72">
        <f>CATÁLOGOS!H75</f>
        <v>0</v>
      </c>
    </row>
    <row r="73">
      <c r="N73">
        <f>CATÁLOGOS!B76</f>
        <v>0</v>
      </c>
      <c r="O73">
        <f>CATÁLOGOS!H76</f>
        <v>0</v>
      </c>
    </row>
    <row r="74">
      <c r="N74">
        <f>CATÁLOGOS!B77</f>
        <v>0</v>
      </c>
      <c r="O74">
        <f>CATÁLOGOS!H77</f>
        <v>0</v>
      </c>
    </row>
    <row r="75">
      <c r="N75">
        <f>CATÁLOGOS!B78</f>
        <v>0</v>
      </c>
      <c r="O75">
        <f>CATÁLOGOS!H78</f>
        <v>0</v>
      </c>
    </row>
    <row r="76">
      <c r="N76">
        <f>CATÁLOGOS!B79</f>
        <v>0</v>
      </c>
      <c r="O76">
        <f>CATÁLOGOS!H79</f>
        <v>0</v>
      </c>
    </row>
    <row r="77">
      <c r="N77">
        <f>CATÁLOGOS!B80</f>
        <v>0</v>
      </c>
      <c r="O77">
        <f>CATÁLOGOS!H80</f>
        <v>0</v>
      </c>
    </row>
    <row r="78">
      <c r="N78">
        <f>CATÁLOGOS!B81</f>
        <v>0</v>
      </c>
      <c r="O78">
        <f>CATÁLOGOS!H81</f>
        <v>0</v>
      </c>
    </row>
    <row r="79">
      <c r="N79">
        <f>CATÁLOGOS!B82</f>
        <v>0</v>
      </c>
      <c r="O79">
        <f>CATÁLOGOS!H82</f>
        <v>0</v>
      </c>
    </row>
    <row r="80">
      <c r="N80">
        <f>CATÁLOGOS!B83</f>
        <v>0</v>
      </c>
      <c r="O80">
        <f>CATÁLOGOS!H83</f>
        <v>0</v>
      </c>
    </row>
    <row r="81">
      <c r="N81">
        <f>CATÁLOGOS!B84</f>
        <v>0</v>
      </c>
      <c r="O81">
        <f>CATÁLOGOS!H84</f>
        <v>0</v>
      </c>
    </row>
    <row r="82">
      <c r="N82">
        <f>CATÁLOGOS!B85</f>
        <v>0</v>
      </c>
      <c r="O82">
        <f>CATÁLOGOS!H85</f>
        <v>0</v>
      </c>
    </row>
    <row r="83">
      <c r="N83">
        <f>CATÁLOGOS!B86</f>
        <v>0</v>
      </c>
      <c r="O83">
        <f>CATÁLOGOS!H86</f>
        <v>0</v>
      </c>
    </row>
    <row r="84">
      <c r="N84">
        <f>CATÁLOGOS!B87</f>
        <v>0</v>
      </c>
      <c r="O84">
        <f>CATÁLOGOS!H87</f>
        <v>0</v>
      </c>
    </row>
    <row r="85">
      <c r="N85">
        <f>CATÁLOGOS!B88</f>
        <v>0</v>
      </c>
      <c r="O85">
        <f>CATÁLOGOS!H88</f>
        <v>0</v>
      </c>
    </row>
    <row r="86">
      <c r="N86">
        <f>CATÁLOGOS!B89</f>
        <v>0</v>
      </c>
      <c r="O86">
        <f>CATÁLOGOS!H89</f>
        <v>0</v>
      </c>
    </row>
    <row r="87">
      <c r="N87">
        <f>CATÁLOGOS!B90</f>
        <v>0</v>
      </c>
      <c r="O87">
        <f>CATÁLOGOS!H90</f>
        <v>0</v>
      </c>
    </row>
    <row r="88">
      <c r="N88">
        <f>CATÁLOGOS!B91</f>
        <v>0</v>
      </c>
      <c r="O88">
        <f>CATÁLOGOS!H91</f>
        <v>0</v>
      </c>
    </row>
    <row r="89">
      <c r="N89">
        <f>CATÁLOGOS!B92</f>
        <v>0</v>
      </c>
      <c r="O89">
        <f>CATÁLOGOS!H92</f>
        <v>0</v>
      </c>
    </row>
    <row r="90">
      <c r="N90">
        <f>CATÁLOGOS!B93</f>
        <v>0</v>
      </c>
      <c r="O90">
        <f>CATÁLOGOS!H93</f>
        <v>0</v>
      </c>
    </row>
    <row r="91">
      <c r="N91">
        <f>CATÁLOGOS!B94</f>
        <v>0</v>
      </c>
      <c r="O91">
        <f>CATÁLOGOS!H94</f>
        <v>0</v>
      </c>
    </row>
    <row r="92">
      <c r="N92">
        <f>CATÁLOGOS!B95</f>
        <v>0</v>
      </c>
      <c r="O92">
        <f>CATÁLOGOS!H95</f>
        <v>0</v>
      </c>
    </row>
    <row r="93">
      <c r="N93">
        <f>CATÁLOGOS!B96</f>
        <v>0</v>
      </c>
      <c r="O93">
        <f>CATÁLOGOS!H96</f>
        <v>0</v>
      </c>
    </row>
    <row r="94">
      <c r="N94">
        <f>CATÁLOGOS!B97</f>
        <v>0</v>
      </c>
      <c r="O94">
        <f>CATÁLOGOS!H97</f>
        <v>0</v>
      </c>
    </row>
    <row r="95">
      <c r="N95">
        <f>CATÁLOGOS!B98</f>
        <v>0</v>
      </c>
      <c r="O95">
        <f>CATÁLOGOS!H98</f>
        <v>0</v>
      </c>
    </row>
    <row r="96">
      <c r="N96">
        <f>CATÁLOGOS!B99</f>
        <v>0</v>
      </c>
      <c r="O96">
        <f>CATÁLOGOS!H99</f>
        <v>0</v>
      </c>
    </row>
    <row r="97">
      <c r="N97">
        <f>CATÁLOGOS!B100</f>
        <v>0</v>
      </c>
      <c r="O97">
        <f>CATÁLOGOS!H100</f>
        <v>0</v>
      </c>
    </row>
    <row r="98">
      <c r="N98">
        <f>CATÁLOGOS!B101</f>
        <v>0</v>
      </c>
      <c r="O98">
        <f>CATÁLOGOS!H101</f>
        <v>0</v>
      </c>
    </row>
    <row r="99">
      <c r="N99">
        <f>CATÁLOGOS!B102</f>
        <v>0</v>
      </c>
      <c r="O99">
        <f>CATÁLOGOS!H102</f>
        <v>0</v>
      </c>
    </row>
    <row r="100">
      <c r="N100">
        <f>CATÁLOGOS!B103</f>
        <v>0</v>
      </c>
      <c r="O100">
        <f>CATÁLOGOS!H103</f>
        <v>0</v>
      </c>
    </row>
    <row r="101">
      <c r="N101">
        <f>CATÁLOGOS!B104</f>
        <v>0</v>
      </c>
      <c r="O101">
        <f>CATÁLOGOS!H104</f>
        <v>0</v>
      </c>
    </row>
    <row r="102">
      <c r="N102">
        <f>CATÁLOGOS!B105</f>
        <v>0</v>
      </c>
      <c r="O102">
        <f>CATÁLOGOS!H105</f>
        <v>0</v>
      </c>
    </row>
    <row r="103">
      <c r="N103">
        <f>CATÁLOGOS!B106</f>
        <v>0</v>
      </c>
      <c r="O103">
        <f>CATÁLOGOS!H106</f>
        <v>0</v>
      </c>
    </row>
    <row r="104">
      <c r="N104">
        <f>CATÁLOGOS!B107</f>
        <v>0</v>
      </c>
      <c r="O104">
        <f>CATÁLOGOS!H107</f>
        <v>0</v>
      </c>
    </row>
    <row r="105">
      <c r="O105">
        <f>CATÁLOGOS!H108</f>
        <v>0</v>
      </c>
    </row>
    <row r="106">
      <c r="O106">
        <f>CATÁLOGOS!H109</f>
        <v>0</v>
      </c>
    </row>
    <row r="107">
      <c r="O107">
        <f>CATÁLOGOS!H110</f>
        <v>0</v>
      </c>
    </row>
    <row r="108">
      <c r="O108">
        <f>CATÁLOGOS!H111</f>
        <v>0</v>
      </c>
    </row>
    <row r="109">
      <c r="O109">
        <f>CATÁLOGOS!H112</f>
        <v>0</v>
      </c>
    </row>
    <row r="110">
      <c r="O110">
        <f>CATÁLOGOS!H113</f>
        <v>0</v>
      </c>
    </row>
    <row r="111">
      <c r="O111">
        <f>CATÁLOGOS!H114</f>
        <v>0</v>
      </c>
    </row>
    <row r="112">
      <c r="O112">
        <f>CATÁLOGOS!H115</f>
        <v>0</v>
      </c>
    </row>
    <row r="113">
      <c r="O113">
        <f>CATÁLOGOS!H116</f>
        <v>0</v>
      </c>
    </row>
    <row r="114">
      <c r="O114">
        <f>CATÁLOGOS!H117</f>
        <v>0</v>
      </c>
    </row>
    <row r="115">
      <c r="O115">
        <f>CATÁLOGOS!H118</f>
        <v>0</v>
      </c>
    </row>
    <row r="116">
      <c r="O116">
        <f>CATÁLOGOS!H119</f>
        <v>0</v>
      </c>
    </row>
    <row r="117">
      <c r="O117">
        <f>CATÁLOGOS!H120</f>
        <v>0</v>
      </c>
    </row>
    <row r="118">
      <c r="O118">
        <f>CATÁLOGOS!H121</f>
        <v>0</v>
      </c>
    </row>
    <row r="119">
      <c r="O119">
        <f>CATÁLOGOS!H122</f>
        <v>0</v>
      </c>
    </row>
    <row r="120">
      <c r="O120">
        <f>CATÁLOGOS!H123</f>
        <v>0</v>
      </c>
    </row>
    <row r="121">
      <c r="O121">
        <f>CATÁLOGOS!H124</f>
        <v>0</v>
      </c>
    </row>
    <row r="122">
      <c r="O122">
        <f>CATÁLOGOS!H125</f>
        <v>0</v>
      </c>
    </row>
    <row r="123">
      <c r="O123">
        <f>CATÁLOGOS!H126</f>
        <v>0</v>
      </c>
    </row>
    <row r="124">
      <c r="O124">
        <f>CATÁLOGOS!H127</f>
        <v>0</v>
      </c>
    </row>
    <row r="125">
      <c r="O125">
        <f>CATÁLOGOS!H128</f>
        <v>0</v>
      </c>
    </row>
    <row r="126">
      <c r="O126">
        <f>CATÁLOGOS!H129</f>
        <v>0</v>
      </c>
    </row>
    <row r="127">
      <c r="O127">
        <f>CATÁLOGOS!H130</f>
        <v>0</v>
      </c>
    </row>
    <row r="128">
      <c r="O128">
        <f>CATÁLOGOS!H131</f>
        <v>0</v>
      </c>
    </row>
    <row r="129">
      <c r="O129">
        <f>CATÁLOGOS!H132</f>
        <v>0</v>
      </c>
    </row>
    <row r="130">
      <c r="O130">
        <f>CATÁLOGOS!H133</f>
        <v>0</v>
      </c>
    </row>
    <row r="131">
      <c r="O131">
        <f>CATÁLOGOS!H134</f>
        <v>0</v>
      </c>
    </row>
    <row r="132">
      <c r="O132">
        <f>CATÁLOGOS!H135</f>
        <v>0</v>
      </c>
    </row>
    <row r="133">
      <c r="O133">
        <f>CATÁLOGOS!H136</f>
        <v>0</v>
      </c>
    </row>
    <row r="134">
      <c r="O134">
        <f>CATÁLOGOS!H137</f>
        <v>0</v>
      </c>
    </row>
    <row r="135">
      <c r="O135">
        <f>CATÁLOGOS!H138</f>
        <v>0</v>
      </c>
    </row>
    <row r="136">
      <c r="O136">
        <f>CATÁLOGOS!H139</f>
        <v>0</v>
      </c>
    </row>
    <row r="137">
      <c r="O137">
        <f>CATÁLOGOS!H140</f>
        <v>0</v>
      </c>
    </row>
    <row r="138">
      <c r="O138">
        <f>CATÁLOGOS!H141</f>
        <v>0</v>
      </c>
    </row>
    <row r="139">
      <c r="O139">
        <f>CATÁLOGOS!H142</f>
        <v>0</v>
      </c>
    </row>
    <row r="140">
      <c r="O140">
        <f>CATÁLOGOS!H143</f>
        <v>0</v>
      </c>
    </row>
    <row r="141">
      <c r="O141">
        <f>CATÁLOGOS!H144</f>
        <v>0</v>
      </c>
    </row>
    <row r="142">
      <c r="O142">
        <f>CATÁLOGOS!H145</f>
        <v>0</v>
      </c>
    </row>
    <row r="143">
      <c r="O143">
        <f>CATÁLOGOS!H146</f>
        <v>0</v>
      </c>
    </row>
    <row r="144">
      <c r="O144">
        <f>CATÁLOGOS!H147</f>
        <v>0</v>
      </c>
    </row>
    <row r="145">
      <c r="O145">
        <f>CATÁLOGOS!H148</f>
        <v>0</v>
      </c>
    </row>
    <row r="146">
      <c r="O146">
        <f>CATÁLOGOS!H149</f>
        <v>0</v>
      </c>
    </row>
    <row r="147">
      <c r="O147">
        <f>CATÁLOGOS!H150</f>
        <v>0</v>
      </c>
    </row>
    <row r="148">
      <c r="O148">
        <f>CATÁLOGOS!H151</f>
        <v>0</v>
      </c>
    </row>
    <row r="149">
      <c r="O149">
        <f>CATÁLOGOS!H152</f>
        <v>0</v>
      </c>
    </row>
    <row r="150">
      <c r="O150">
        <f>CATÁLOGOS!H153</f>
        <v>0</v>
      </c>
    </row>
    <row r="151">
      <c r="O151">
        <f>CATÁLOGOS!H154</f>
        <v>0</v>
      </c>
    </row>
    <row r="152">
      <c r="O152">
        <f>CATÁLOGOS!H155</f>
        <v>0</v>
      </c>
    </row>
    <row r="153">
      <c r="O153">
        <f>CATÁLOGOS!H156</f>
        <v>0</v>
      </c>
    </row>
    <row r="154">
      <c r="O154">
        <f>CATÁLOGOS!H157</f>
        <v>0</v>
      </c>
    </row>
    <row r="155">
      <c r="O155">
        <f>CATÁLOGOS!H158</f>
        <v>0</v>
      </c>
    </row>
    <row r="156">
      <c r="O156">
        <f>CATÁLOGOS!H159</f>
        <v>0</v>
      </c>
    </row>
    <row r="157">
      <c r="O157">
        <f>CATÁLOGOS!H160</f>
        <v>0</v>
      </c>
    </row>
    <row r="158">
      <c r="O158">
        <f>CATÁLOGOS!H161</f>
        <v>0</v>
      </c>
    </row>
    <row r="159">
      <c r="O159">
        <f>CATÁLOGOS!H162</f>
        <v>0</v>
      </c>
    </row>
    <row r="160">
      <c r="O160">
        <f>CATÁLOGOS!H163</f>
        <v>0</v>
      </c>
    </row>
    <row r="161">
      <c r="O161">
        <f>CATÁLOGOS!H164</f>
        <v>0</v>
      </c>
    </row>
    <row r="162">
      <c r="O162">
        <f>CATÁLOGOS!H165</f>
        <v>0</v>
      </c>
    </row>
    <row r="163">
      <c r="O163">
        <f>CATÁLOGOS!H166</f>
        <v>0</v>
      </c>
    </row>
    <row r="164">
      <c r="O164">
        <f>CATÁLOGOS!H167</f>
        <v>0</v>
      </c>
    </row>
    <row r="165">
      <c r="O165">
        <f>CATÁLOGOS!H168</f>
        <v>0</v>
      </c>
    </row>
    <row r="166">
      <c r="O166">
        <f>CATÁLOGOS!H169</f>
        <v>0</v>
      </c>
    </row>
    <row r="167">
      <c r="O167">
        <f>CATÁLOGOS!H170</f>
        <v>0</v>
      </c>
    </row>
    <row r="168">
      <c r="O168">
        <f>CATÁLOGOS!H171</f>
        <v>0</v>
      </c>
    </row>
    <row r="169">
      <c r="O169">
        <f>CATÁLOGOS!H172</f>
        <v>0</v>
      </c>
    </row>
    <row r="170">
      <c r="O170">
        <f>CATÁLOGOS!H173</f>
        <v>0</v>
      </c>
    </row>
    <row r="171">
      <c r="O171">
        <f>CATÁLOGOS!H174</f>
        <v>0</v>
      </c>
    </row>
    <row r="172">
      <c r="O172">
        <f>CATÁLOGOS!H175</f>
        <v>0</v>
      </c>
    </row>
    <row r="173">
      <c r="O173">
        <f>CATÁLOGOS!H176</f>
        <v>0</v>
      </c>
    </row>
    <row r="174">
      <c r="O174">
        <f>CATÁLOGOS!H177</f>
        <v>0</v>
      </c>
    </row>
    <row r="175">
      <c r="O175">
        <f>CATÁLOGOS!H178</f>
        <v>0</v>
      </c>
    </row>
    <row r="176">
      <c r="O176">
        <f>CATÁLOGOS!H179</f>
        <v>0</v>
      </c>
    </row>
    <row r="177">
      <c r="O177">
        <f>CATÁLOGOS!H180</f>
        <v>0</v>
      </c>
    </row>
    <row r="178">
      <c r="O178">
        <f>CATÁLOGOS!H181</f>
        <v>0</v>
      </c>
    </row>
    <row r="179">
      <c r="O179">
        <f>CATÁLOGOS!H182</f>
        <v>0</v>
      </c>
    </row>
    <row r="180">
      <c r="O180">
        <f>CATÁLOGOS!H183</f>
        <v>0</v>
      </c>
    </row>
    <row r="181">
      <c r="O181">
        <f>CATÁLOGOS!H184</f>
        <v>0</v>
      </c>
    </row>
    <row r="182">
      <c r="O182">
        <f>CATÁLOGOS!H185</f>
        <v>0</v>
      </c>
    </row>
    <row r="183">
      <c r="O183">
        <f>CATÁLOGOS!H186</f>
        <v>0</v>
      </c>
    </row>
    <row r="184">
      <c r="O184">
        <f>CATÁLOGOS!H187</f>
        <v>0</v>
      </c>
    </row>
    <row r="185">
      <c r="O185">
        <f>CATÁLOGOS!H188</f>
        <v>0</v>
      </c>
    </row>
    <row r="186">
      <c r="O186">
        <f>CATÁLOGOS!H189</f>
        <v>0</v>
      </c>
    </row>
    <row r="187">
      <c r="O187">
        <f>CATÁLOGOS!H190</f>
        <v>0</v>
      </c>
    </row>
    <row r="188">
      <c r="O188">
        <f>CATÁLOGOS!H191</f>
        <v>0</v>
      </c>
    </row>
    <row r="189">
      <c r="O189">
        <f>CATÁLOGOS!H192</f>
        <v>0</v>
      </c>
    </row>
    <row r="190">
      <c r="O190">
        <f>CATÁLOGOS!H193</f>
        <v>0</v>
      </c>
    </row>
    <row r="191">
      <c r="O191">
        <f>CATÁLOGOS!H194</f>
        <v>0</v>
      </c>
    </row>
    <row r="192">
      <c r="O192">
        <f>CATÁLOGOS!H195</f>
        <v>0</v>
      </c>
    </row>
    <row r="193">
      <c r="O193">
        <f>CATÁLOGOS!H196</f>
        <v>0</v>
      </c>
    </row>
    <row r="194">
      <c r="O194">
        <f>CATÁLOGOS!H197</f>
        <v>0</v>
      </c>
    </row>
    <row r="195">
      <c r="O195">
        <f>CATÁLOGOS!H198</f>
        <v>0</v>
      </c>
    </row>
    <row r="196">
      <c r="O196">
        <f>CATÁLOGOS!H199</f>
        <v>0</v>
      </c>
    </row>
    <row r="197">
      <c r="O197">
        <f>CATÁLOGOS!H200</f>
        <v>0</v>
      </c>
    </row>
    <row r="198">
      <c r="O198">
        <f>CATÁLOGOS!H201</f>
        <v>0</v>
      </c>
    </row>
    <row r="199">
      <c r="O199">
        <f>CATÁLOGOS!H202</f>
        <v>0</v>
      </c>
    </row>
    <row r="200">
      <c r="O200">
        <f>CATÁLOGOS!H203</f>
        <v>0</v>
      </c>
    </row>
    <row r="201">
      <c r="O201">
        <f>CATÁLOGOS!H204</f>
        <v>0</v>
      </c>
    </row>
    <row r="202">
      <c r="O202">
        <f>CATÁLOGOS!H205</f>
        <v>0</v>
      </c>
    </row>
    <row r="203">
      <c r="O203">
        <f>CATÁLOGOS!H206</f>
        <v>0</v>
      </c>
    </row>
    <row r="204">
      <c r="O204">
        <f>CATÁLOGOS!H207</f>
        <v>0</v>
      </c>
    </row>
    <row r="205">
      <c r="O205">
        <f>CATÁLOGOS!H208</f>
        <v>0</v>
      </c>
    </row>
    <row r="206">
      <c r="O206">
        <f>CATÁLOGOS!H209</f>
        <v>0</v>
      </c>
    </row>
    <row r="207">
      <c r="O207">
        <f>CATÁLOGOS!H210</f>
        <v>0</v>
      </c>
    </row>
    <row r="208">
      <c r="O208">
        <f>CATÁLOGOS!H211</f>
        <v>0</v>
      </c>
    </row>
    <row r="209">
      <c r="O209">
        <f>CATÁLOGOS!H212</f>
        <v>0</v>
      </c>
    </row>
    <row r="210">
      <c r="O210">
        <f>CATÁLOGOS!H213</f>
        <v>0</v>
      </c>
    </row>
    <row r="211">
      <c r="O211">
        <f>CATÁLOGOS!H214</f>
        <v>0</v>
      </c>
    </row>
    <row r="212">
      <c r="O212">
        <f>CATÁLOGOS!H215</f>
        <v>0</v>
      </c>
    </row>
    <row r="213">
      <c r="O213">
        <f>CATÁLOGOS!H216</f>
        <v>0</v>
      </c>
    </row>
    <row r="214">
      <c r="O214">
        <f>CATÁLOGOS!H217</f>
        <v>0</v>
      </c>
    </row>
    <row r="215">
      <c r="O215">
        <f>CATÁLOGOS!H218</f>
        <v>0</v>
      </c>
    </row>
    <row r="216">
      <c r="O216">
        <f>CATÁLOGOS!H219</f>
        <v>0</v>
      </c>
    </row>
    <row r="217">
      <c r="O217">
        <f>CATÁLOGOS!H220</f>
        <v>0</v>
      </c>
    </row>
    <row r="218">
      <c r="O218">
        <f>CATÁLOGOS!H221</f>
        <v>0</v>
      </c>
    </row>
    <row r="219">
      <c r="O219">
        <f>CATÁLOGOS!H222</f>
        <v>0</v>
      </c>
    </row>
    <row r="220">
      <c r="O220">
        <f>CATÁLOGOS!H223</f>
        <v>0</v>
      </c>
    </row>
    <row r="221">
      <c r="O221">
        <f>CATÁLOGOS!H224</f>
        <v>0</v>
      </c>
    </row>
    <row r="222">
      <c r="O222">
        <f>CATÁLOGOS!H225</f>
        <v>0</v>
      </c>
    </row>
    <row r="223">
      <c r="O223">
        <f>CATÁLOGOS!H226</f>
        <v>0</v>
      </c>
    </row>
    <row r="224">
      <c r="O224">
        <f>CATÁLOGOS!H227</f>
        <v>0</v>
      </c>
    </row>
    <row r="225">
      <c r="O225">
        <f>CATÁLOGOS!H228</f>
        <v>0</v>
      </c>
    </row>
    <row r="226">
      <c r="O226">
        <f>CATÁLOGOS!H229</f>
        <v>0</v>
      </c>
    </row>
    <row r="227">
      <c r="O227">
        <f>CATÁLOGOS!H230</f>
        <v>0</v>
      </c>
    </row>
    <row r="228">
      <c r="O228">
        <f>CATÁLOGOS!H231</f>
        <v>0</v>
      </c>
    </row>
    <row r="229">
      <c r="O229">
        <f>CATÁLOGOS!H232</f>
        <v>0</v>
      </c>
    </row>
    <row r="230">
      <c r="O230">
        <f>CATÁLOGOS!H233</f>
        <v>0</v>
      </c>
    </row>
    <row r="231">
      <c r="O231">
        <f>CATÁLOGOS!H234</f>
        <v>0</v>
      </c>
    </row>
    <row r="232">
      <c r="O232">
        <f>CATÁLOGOS!H235</f>
        <v>0</v>
      </c>
    </row>
    <row r="233">
      <c r="O233">
        <f>CATÁLOGOS!H236</f>
        <v>0</v>
      </c>
    </row>
    <row r="234">
      <c r="O234">
        <f>CATÁLOGOS!H237</f>
        <v>0</v>
      </c>
    </row>
    <row r="235">
      <c r="O235">
        <f>CATÁLOGOS!H238</f>
        <v>0</v>
      </c>
    </row>
    <row r="236">
      <c r="O236">
        <f>CATÁLOGOS!H239</f>
        <v>0</v>
      </c>
    </row>
    <row r="237">
      <c r="O237">
        <f>CATÁLOGOS!H240</f>
        <v>0</v>
      </c>
    </row>
    <row r="238">
      <c r="O238">
        <f>CATÁLOGOS!H241</f>
        <v>0</v>
      </c>
    </row>
    <row r="239">
      <c r="O239">
        <f>CATÁLOGOS!H242</f>
        <v>0</v>
      </c>
    </row>
    <row r="240">
      <c r="O240">
        <f>CATÁLOGOS!H243</f>
        <v>0</v>
      </c>
    </row>
    <row r="241">
      <c r="O241">
        <f>CATÁLOGOS!H244</f>
        <v>0</v>
      </c>
    </row>
    <row r="242">
      <c r="O242">
        <f>CATÁLOGOS!H245</f>
        <v>0</v>
      </c>
    </row>
    <row r="243">
      <c r="O243">
        <f>CATÁLOGOS!H246</f>
        <v>0</v>
      </c>
    </row>
    <row r="244">
      <c r="O244">
        <f>CATÁLOGOS!H247</f>
        <v>0</v>
      </c>
    </row>
    <row r="245">
      <c r="O245">
        <f>CATÁLOGOS!H248</f>
        <v>0</v>
      </c>
    </row>
    <row r="246">
      <c r="O246">
        <f>CATÁLOGOS!H249</f>
        <v>0</v>
      </c>
    </row>
    <row r="247">
      <c r="O247">
        <f>CATÁLOGOS!H250</f>
        <v>0</v>
      </c>
    </row>
    <row r="248">
      <c r="O248">
        <f>CATÁLOGOS!H251</f>
        <v>0</v>
      </c>
    </row>
    <row r="249">
      <c r="O249">
        <f>CATÁLOGOS!H252</f>
        <v>0</v>
      </c>
    </row>
    <row r="250">
      <c r="O250">
        <f>CATÁLOGOS!H253</f>
        <v>0</v>
      </c>
    </row>
    <row r="251">
      <c r="O251">
        <f>CATÁLOGOS!H254</f>
        <v>0</v>
      </c>
    </row>
    <row r="252">
      <c r="O252">
        <f>CATÁLOGOS!H255</f>
        <v>0</v>
      </c>
    </row>
    <row r="253">
      <c r="O253">
        <f>CATÁLOGOS!H256</f>
        <v>0</v>
      </c>
    </row>
    <row r="254">
      <c r="O254">
        <f>CATÁLOGOS!H257</f>
        <v>0</v>
      </c>
    </row>
    <row r="255">
      <c r="O255">
        <f>CATÁLOGOS!H258</f>
        <v>0</v>
      </c>
    </row>
    <row r="256">
      <c r="O256">
        <f>CATÁLOGOS!H259</f>
        <v>0</v>
      </c>
    </row>
    <row r="257">
      <c r="O257">
        <f>CATÁLOGOS!H260</f>
        <v>0</v>
      </c>
    </row>
    <row r="258">
      <c r="O258">
        <f>CATÁLOGOS!H261</f>
        <v>0</v>
      </c>
    </row>
    <row r="259">
      <c r="O259">
        <f>CATÁLOGOS!H262</f>
        <v>0</v>
      </c>
    </row>
    <row r="260">
      <c r="O260">
        <f>CATÁLOGOS!H263</f>
        <v>0</v>
      </c>
    </row>
    <row r="261">
      <c r="O261">
        <f>CATÁLOGOS!H264</f>
        <v>0</v>
      </c>
    </row>
    <row r="262">
      <c r="O262">
        <f>CATÁLOGOS!H265</f>
        <v>0</v>
      </c>
    </row>
    <row r="263">
      <c r="O263">
        <f>CATÁLOGOS!H266</f>
        <v>0</v>
      </c>
    </row>
    <row r="264">
      <c r="O264">
        <f>CATÁLOGOS!H267</f>
        <v>0</v>
      </c>
    </row>
    <row r="265">
      <c r="O265">
        <f>CATÁLOGOS!H268</f>
        <v>0</v>
      </c>
    </row>
    <row r="266">
      <c r="O266">
        <f>CATÁLOGOS!H269</f>
        <v>0</v>
      </c>
    </row>
    <row r="267">
      <c r="O267">
        <f>CATÁLOGOS!H270</f>
        <v>0</v>
      </c>
    </row>
    <row r="268">
      <c r="O268">
        <f>CATÁLOGOS!H271</f>
        <v>0</v>
      </c>
    </row>
    <row r="269">
      <c r="O269">
        <f>CATÁLOGOS!H272</f>
        <v>0</v>
      </c>
    </row>
    <row r="270">
      <c r="O270">
        <f>CATÁLOGOS!H273</f>
        <v>0</v>
      </c>
    </row>
    <row r="271">
      <c r="O271">
        <f>CATÁLOGOS!H274</f>
        <v>0</v>
      </c>
    </row>
    <row r="272">
      <c r="O272">
        <f>CATÁLOGOS!H275</f>
        <v>0</v>
      </c>
    </row>
    <row r="273">
      <c r="O273">
        <f>CATÁLOGOS!H276</f>
        <v>0</v>
      </c>
    </row>
    <row r="274">
      <c r="O274">
        <f>CATÁLOGOS!H277</f>
        <v>0</v>
      </c>
    </row>
    <row r="275">
      <c r="O275">
        <f>CATÁLOGOS!H278</f>
        <v>0</v>
      </c>
    </row>
    <row r="276">
      <c r="O276">
        <f>CATÁLOGOS!H279</f>
        <v>0</v>
      </c>
    </row>
    <row r="277">
      <c r="O277">
        <f>CATÁLOGOS!H280</f>
        <v>0</v>
      </c>
    </row>
    <row r="278">
      <c r="O278">
        <f>CATÁLOGOS!H281</f>
        <v>0</v>
      </c>
    </row>
    <row r="279">
      <c r="O279">
        <f>CATÁLOGOS!H282</f>
        <v>0</v>
      </c>
    </row>
    <row r="280">
      <c r="O280">
        <f>CATÁLOGOS!H283</f>
        <v>0</v>
      </c>
    </row>
    <row r="281">
      <c r="O281">
        <f>CATÁLOGOS!H284</f>
        <v>0</v>
      </c>
    </row>
    <row r="282">
      <c r="O282">
        <f>CATÁLOGOS!H285</f>
        <v>0</v>
      </c>
    </row>
    <row r="283">
      <c r="O283">
        <f>CATÁLOGOS!H286</f>
        <v>0</v>
      </c>
    </row>
    <row r="284">
      <c r="O284">
        <f>CATÁLOGOS!H287</f>
        <v>0</v>
      </c>
    </row>
    <row r="285">
      <c r="O285">
        <f>CATÁLOGOS!H288</f>
        <v>0</v>
      </c>
    </row>
    <row r="286">
      <c r="O286">
        <f>CATÁLOGOS!H289</f>
        <v>0</v>
      </c>
    </row>
    <row r="287">
      <c r="O287">
        <f>CATÁLOGOS!H290</f>
        <v>0</v>
      </c>
    </row>
    <row r="288">
      <c r="O288">
        <f>CATÁLOGOS!H291</f>
        <v>0</v>
      </c>
    </row>
    <row r="289">
      <c r="O289">
        <f>CATÁLOGOS!H292</f>
        <v>0</v>
      </c>
    </row>
    <row r="290">
      <c r="O290">
        <f>CATÁLOGOS!H293</f>
        <v>0</v>
      </c>
    </row>
    <row r="291">
      <c r="O291">
        <f>CATÁLOGOS!H294</f>
        <v>0</v>
      </c>
    </row>
    <row r="292">
      <c r="O292">
        <f>CATÁLOGOS!H295</f>
        <v>0</v>
      </c>
    </row>
    <row r="293">
      <c r="O293">
        <f>CATÁLOGOS!H296</f>
        <v>0</v>
      </c>
    </row>
    <row r="294">
      <c r="O294">
        <f>CATÁLOGOS!H297</f>
        <v>0</v>
      </c>
    </row>
    <row r="295">
      <c r="O295">
        <f>CATÁLOGOS!H298</f>
        <v>0</v>
      </c>
    </row>
    <row r="296">
      <c r="O296">
        <f>CATÁLOGOS!H299</f>
        <v>0</v>
      </c>
    </row>
    <row r="297">
      <c r="O297">
        <f>CATÁLOGOS!H300</f>
        <v>0</v>
      </c>
    </row>
    <row r="298">
      <c r="O298">
        <f>CATÁLOGOS!H301</f>
        <v>0</v>
      </c>
    </row>
    <row r="299">
      <c r="O299">
        <f>CATÁLOGOS!H302</f>
        <v>0</v>
      </c>
    </row>
    <row r="300">
      <c r="O300">
        <f>CATÁLOGOS!H303</f>
        <v>0</v>
      </c>
    </row>
    <row r="301">
      <c r="O301">
        <f>CATÁLOGOS!H304</f>
        <v>0</v>
      </c>
    </row>
    <row r="302">
      <c r="O302">
        <f>CATÁLOGOS!H305</f>
        <v>0</v>
      </c>
    </row>
    <row r="303">
      <c r="O303">
        <f>CATÁLOGOS!H306</f>
        <v>0</v>
      </c>
    </row>
    <row r="304">
      <c r="O304">
        <f>CATÁLOGOS!H307</f>
        <v>0</v>
      </c>
    </row>
  </sheetData>
  <mergeCells count="7">
    <mergeCell ref="A31:L31"/>
    <mergeCell ref="A32:L35"/>
    <mergeCell ref="A1:L1"/>
    <mergeCell ref="A2:L2"/>
    <mergeCell ref="A4:F4"/>
    <mergeCell ref="H4:L4"/>
    <mergeCell ref="A23:L23"/>
  </mergeCells>
  <pageMargins left="0.7" right="0.7" top="0.75" bottom="0.75" header="0.3" footer="0.3"/>
  <ignoredErrors>
    <ignoredError numberStoredAsText="1" sqref="A1:P30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PRODUCTOS</vt:lpstr>
      <vt:lpstr>PRECIOS</vt:lpstr>
      <vt:lpstr>CATÁLOGOS</vt:lpstr>
      <vt:lpstr>CONTROL_FOTOS</vt:lpstr>
      <vt:lpstr>MOVIMIENTOS_STOCK</vt:lpstr>
      <vt:lpstr>TARIFAS ENVÍO</vt:lpstr>
      <vt:lpstr>ALTA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2026-09-04T19:06:53Z</dcterms:modified>
  <cp:lastModifiedBy>Facundo Leonel Guevara</cp:lastModifiedBy>
</cp:coreProperties>
</file>