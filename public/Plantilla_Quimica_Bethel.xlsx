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631A36DD-DD5C-4C63-AE48-F88032994FBD}" xr6:coauthVersionLast="47" xr6:coauthVersionMax="47" xr10:uidLastSave="{00000000-0000-0000-0000-000000000000}"/>
  <bookViews>
    <workbookView xWindow="-110" yWindow="-110" windowWidth="16220" windowHeight="11500" firstSheet="4" activeTab="6" xr2:uid="{00000000-000D-0000-FFFF-FFFF00000000}"/>
  </bookViews>
  <sheets>
    <sheet name="PRODUCTOS" sheetId="1" r:id="rId1"/>
    <sheet name="PRECIOS" sheetId="2" r:id="rId2"/>
    <sheet name="CATÁLOGOS" sheetId="3" r:id="rId3"/>
    <sheet name="CONTROL_FOTOS" sheetId="5" r:id="rId4"/>
    <sheet name="MOVIMIENTOS_STOCK" sheetId="4" r:id="rId5"/>
    <sheet name="TARIFAS ENVÍO" sheetId="6" r:id="rId6"/>
    <sheet name="ALTA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3" i="2" l="1"/>
  <c r="H253" i="2"/>
  <c r="G253" i="2"/>
  <c r="F253" i="2"/>
  <c r="E253" i="2"/>
  <c r="J253" i="2" s="1"/>
  <c r="I252" i="2"/>
  <c r="H252" i="2"/>
  <c r="G252" i="2"/>
  <c r="F252" i="2"/>
  <c r="E252" i="2"/>
  <c r="J252" i="2" s="1"/>
  <c r="D252" i="2"/>
  <c r="I251" i="2"/>
  <c r="H251" i="2"/>
  <c r="G251" i="2"/>
  <c r="F251" i="2"/>
  <c r="E251" i="2"/>
  <c r="D251" i="2"/>
  <c r="Q5" i="1"/>
  <c r="O304" i="7"/>
  <c r="O303" i="7"/>
  <c r="O302" i="7"/>
  <c r="O301" i="7"/>
  <c r="O300" i="7"/>
  <c r="O299" i="7"/>
  <c r="O298" i="7"/>
  <c r="O297" i="7"/>
  <c r="O296" i="7"/>
  <c r="O295" i="7"/>
  <c r="O294" i="7"/>
  <c r="O293" i="7"/>
  <c r="O292" i="7"/>
  <c r="O291" i="7"/>
  <c r="O290" i="7"/>
  <c r="O289" i="7"/>
  <c r="O288" i="7"/>
  <c r="O287" i="7"/>
  <c r="O286" i="7"/>
  <c r="O285" i="7"/>
  <c r="O284" i="7"/>
  <c r="O283" i="7"/>
  <c r="O282" i="7"/>
  <c r="O281" i="7"/>
  <c r="O280" i="7"/>
  <c r="O279" i="7"/>
  <c r="O278" i="7"/>
  <c r="O277" i="7"/>
  <c r="O276" i="7"/>
  <c r="O275" i="7"/>
  <c r="O274" i="7"/>
  <c r="O273" i="7"/>
  <c r="O272" i="7"/>
  <c r="O271" i="7"/>
  <c r="O270" i="7"/>
  <c r="O269" i="7"/>
  <c r="O268" i="7"/>
  <c r="O267" i="7"/>
  <c r="O266" i="7"/>
  <c r="O265" i="7"/>
  <c r="O264" i="7"/>
  <c r="O263" i="7"/>
  <c r="O262" i="7"/>
  <c r="O261" i="7"/>
  <c r="O260" i="7"/>
  <c r="O259" i="7"/>
  <c r="O258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N104" i="7"/>
  <c r="O103" i="7"/>
  <c r="N103" i="7"/>
  <c r="O102" i="7"/>
  <c r="N102" i="7"/>
  <c r="O101" i="7"/>
  <c r="N101" i="7"/>
  <c r="O100" i="7"/>
  <c r="N100" i="7"/>
  <c r="O99" i="7"/>
  <c r="N99" i="7"/>
  <c r="O98" i="7"/>
  <c r="N98" i="7"/>
  <c r="O97" i="7"/>
  <c r="N97" i="7"/>
  <c r="O96" i="7"/>
  <c r="N96" i="7"/>
  <c r="O95" i="7"/>
  <c r="N95" i="7"/>
  <c r="O94" i="7"/>
  <c r="N94" i="7"/>
  <c r="O93" i="7"/>
  <c r="N93" i="7"/>
  <c r="O92" i="7"/>
  <c r="N92" i="7"/>
  <c r="O91" i="7"/>
  <c r="N91" i="7"/>
  <c r="O90" i="7"/>
  <c r="N90" i="7"/>
  <c r="O89" i="7"/>
  <c r="N89" i="7"/>
  <c r="O88" i="7"/>
  <c r="N88" i="7"/>
  <c r="O87" i="7"/>
  <c r="N87" i="7"/>
  <c r="O86" i="7"/>
  <c r="N86" i="7"/>
  <c r="O85" i="7"/>
  <c r="N85" i="7"/>
  <c r="O84" i="7"/>
  <c r="N84" i="7"/>
  <c r="O83" i="7"/>
  <c r="N83" i="7"/>
  <c r="O82" i="7"/>
  <c r="N82" i="7"/>
  <c r="O81" i="7"/>
  <c r="N81" i="7"/>
  <c r="O80" i="7"/>
  <c r="N80" i="7"/>
  <c r="O79" i="7"/>
  <c r="N79" i="7"/>
  <c r="O78" i="7"/>
  <c r="N78" i="7"/>
  <c r="O77" i="7"/>
  <c r="N77" i="7"/>
  <c r="O76" i="7"/>
  <c r="N76" i="7"/>
  <c r="O75" i="7"/>
  <c r="N75" i="7"/>
  <c r="O74" i="7"/>
  <c r="N74" i="7"/>
  <c r="O73" i="7"/>
  <c r="N73" i="7"/>
  <c r="O72" i="7"/>
  <c r="N72" i="7"/>
  <c r="O71" i="7"/>
  <c r="N71" i="7"/>
  <c r="O70" i="7"/>
  <c r="N70" i="7"/>
  <c r="O69" i="7"/>
  <c r="N69" i="7"/>
  <c r="O68" i="7"/>
  <c r="N68" i="7"/>
  <c r="O67" i="7"/>
  <c r="N67" i="7"/>
  <c r="O66" i="7"/>
  <c r="N66" i="7"/>
  <c r="O65" i="7"/>
  <c r="N65" i="7"/>
  <c r="O64" i="7"/>
  <c r="N64" i="7"/>
  <c r="O63" i="7"/>
  <c r="N63" i="7"/>
  <c r="O62" i="7"/>
  <c r="N62" i="7"/>
  <c r="O61" i="7"/>
  <c r="N61" i="7"/>
  <c r="O60" i="7"/>
  <c r="N60" i="7"/>
  <c r="O59" i="7"/>
  <c r="N59" i="7"/>
  <c r="O58" i="7"/>
  <c r="N58" i="7"/>
  <c r="O57" i="7"/>
  <c r="N57" i="7"/>
  <c r="O56" i="7"/>
  <c r="N56" i="7"/>
  <c r="O55" i="7"/>
  <c r="N55" i="7"/>
  <c r="O54" i="7"/>
  <c r="N54" i="7"/>
  <c r="O53" i="7"/>
  <c r="N53" i="7"/>
  <c r="O52" i="7"/>
  <c r="N52" i="7"/>
  <c r="O51" i="7"/>
  <c r="N51" i="7"/>
  <c r="O50" i="7"/>
  <c r="N50" i="7"/>
  <c r="O49" i="7"/>
  <c r="N49" i="7"/>
  <c r="O48" i="7"/>
  <c r="N48" i="7"/>
  <c r="O47" i="7"/>
  <c r="N47" i="7"/>
  <c r="O46" i="7"/>
  <c r="N46" i="7"/>
  <c r="O45" i="7"/>
  <c r="N45" i="7"/>
  <c r="O44" i="7"/>
  <c r="N44" i="7"/>
  <c r="O43" i="7"/>
  <c r="N43" i="7"/>
  <c r="O42" i="7"/>
  <c r="N42" i="7"/>
  <c r="O41" i="7"/>
  <c r="N41" i="7"/>
  <c r="O40" i="7"/>
  <c r="N40" i="7"/>
  <c r="O39" i="7"/>
  <c r="N39" i="7"/>
  <c r="O38" i="7"/>
  <c r="N38" i="7"/>
  <c r="O37" i="7"/>
  <c r="N37" i="7"/>
  <c r="O36" i="7"/>
  <c r="N36" i="7"/>
  <c r="O35" i="7"/>
  <c r="N35" i="7"/>
  <c r="O34" i="7"/>
  <c r="N34" i="7"/>
  <c r="O33" i="7"/>
  <c r="N33" i="7"/>
  <c r="O32" i="7"/>
  <c r="N32" i="7"/>
  <c r="O31" i="7"/>
  <c r="N31" i="7"/>
  <c r="O30" i="7"/>
  <c r="N30" i="7"/>
  <c r="O29" i="7"/>
  <c r="N29" i="7"/>
  <c r="O28" i="7"/>
  <c r="N28" i="7"/>
  <c r="O27" i="7"/>
  <c r="N27" i="7"/>
  <c r="O26" i="7"/>
  <c r="N26" i="7"/>
  <c r="O25" i="7"/>
  <c r="N25" i="7"/>
  <c r="O24" i="7"/>
  <c r="N24" i="7"/>
  <c r="O23" i="7"/>
  <c r="N23" i="7"/>
  <c r="O22" i="7"/>
  <c r="N22" i="7"/>
  <c r="O21" i="7"/>
  <c r="N21" i="7"/>
  <c r="O20" i="7"/>
  <c r="N20" i="7"/>
  <c r="O19" i="7"/>
  <c r="N19" i="7"/>
  <c r="O18" i="7"/>
  <c r="N18" i="7"/>
  <c r="O17" i="7"/>
  <c r="N17" i="7"/>
  <c r="O16" i="7"/>
  <c r="N16" i="7"/>
  <c r="O15" i="7"/>
  <c r="N15" i="7"/>
  <c r="O14" i="7"/>
  <c r="N14" i="7"/>
  <c r="O13" i="7"/>
  <c r="N13" i="7"/>
  <c r="O12" i="7"/>
  <c r="N12" i="7"/>
  <c r="O11" i="7"/>
  <c r="N11" i="7"/>
  <c r="O10" i="7"/>
  <c r="N10" i="7"/>
  <c r="O9" i="7"/>
  <c r="N9" i="7"/>
  <c r="O8" i="7"/>
  <c r="N8" i="7"/>
  <c r="O7" i="7"/>
  <c r="N7" i="7"/>
  <c r="O6" i="7"/>
  <c r="N6" i="7"/>
  <c r="O5" i="7"/>
  <c r="N5" i="7"/>
  <c r="O4" i="7"/>
  <c r="N4" i="7"/>
  <c r="O3" i="7"/>
  <c r="N3" i="7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J250" i="2" s="1"/>
  <c r="D250" i="2"/>
  <c r="I249" i="2"/>
  <c r="H249" i="2"/>
  <c r="G249" i="2"/>
  <c r="F249" i="2"/>
  <c r="E249" i="2"/>
  <c r="J249" i="2" s="1"/>
  <c r="I248" i="2"/>
  <c r="H248" i="2"/>
  <c r="G248" i="2"/>
  <c r="F248" i="2"/>
  <c r="E248" i="2"/>
  <c r="J248" i="2" s="1"/>
  <c r="I247" i="2"/>
  <c r="H247" i="2"/>
  <c r="G247" i="2"/>
  <c r="F247" i="2"/>
  <c r="E247" i="2"/>
  <c r="J247" i="2" s="1"/>
  <c r="D247" i="2"/>
  <c r="I246" i="2"/>
  <c r="H246" i="2"/>
  <c r="G246" i="2"/>
  <c r="F246" i="2"/>
  <c r="E246" i="2"/>
  <c r="J246" i="2" s="1"/>
  <c r="D246" i="2"/>
  <c r="I245" i="2"/>
  <c r="H245" i="2"/>
  <c r="G245" i="2"/>
  <c r="F245" i="2"/>
  <c r="E245" i="2"/>
  <c r="J245" i="2" s="1"/>
  <c r="D245" i="2"/>
  <c r="I244" i="2"/>
  <c r="H244" i="2"/>
  <c r="G244" i="2"/>
  <c r="F244" i="2"/>
  <c r="E244" i="2"/>
  <c r="J244" i="2" s="1"/>
  <c r="D244" i="2"/>
  <c r="I243" i="2"/>
  <c r="H243" i="2"/>
  <c r="G243" i="2"/>
  <c r="F243" i="2"/>
  <c r="E243" i="2"/>
  <c r="J243" i="2" s="1"/>
  <c r="D243" i="2"/>
  <c r="I242" i="2"/>
  <c r="H242" i="2"/>
  <c r="G242" i="2"/>
  <c r="F242" i="2"/>
  <c r="E242" i="2"/>
  <c r="J242" i="2" s="1"/>
  <c r="D242" i="2"/>
  <c r="I241" i="2"/>
  <c r="H241" i="2"/>
  <c r="G241" i="2"/>
  <c r="F241" i="2"/>
  <c r="E241" i="2"/>
  <c r="J241" i="2" s="1"/>
  <c r="D241" i="2"/>
  <c r="I240" i="2"/>
  <c r="H240" i="2"/>
  <c r="G240" i="2"/>
  <c r="F240" i="2"/>
  <c r="E240" i="2"/>
  <c r="J240" i="2" s="1"/>
  <c r="D240" i="2"/>
  <c r="I239" i="2"/>
  <c r="H239" i="2"/>
  <c r="G239" i="2"/>
  <c r="F239" i="2"/>
  <c r="E239" i="2"/>
  <c r="J239" i="2" s="1"/>
  <c r="D239" i="2"/>
  <c r="I238" i="2"/>
  <c r="H238" i="2"/>
  <c r="G238" i="2"/>
  <c r="F238" i="2"/>
  <c r="E238" i="2"/>
  <c r="J238" i="2" s="1"/>
  <c r="D238" i="2"/>
  <c r="I237" i="2"/>
  <c r="H237" i="2"/>
  <c r="G237" i="2"/>
  <c r="F237" i="2"/>
  <c r="E237" i="2"/>
  <c r="J237" i="2" s="1"/>
  <c r="D237" i="2"/>
  <c r="I236" i="2"/>
  <c r="H236" i="2"/>
  <c r="G236" i="2"/>
  <c r="F236" i="2"/>
  <c r="E236" i="2"/>
  <c r="J236" i="2" s="1"/>
  <c r="D236" i="2"/>
  <c r="I235" i="2"/>
  <c r="H235" i="2"/>
  <c r="G235" i="2"/>
  <c r="F235" i="2"/>
  <c r="E235" i="2"/>
  <c r="J235" i="2" s="1"/>
  <c r="D235" i="2"/>
  <c r="I234" i="2"/>
  <c r="H234" i="2"/>
  <c r="G234" i="2"/>
  <c r="F234" i="2"/>
  <c r="E234" i="2"/>
  <c r="J234" i="2" s="1"/>
  <c r="D234" i="2"/>
  <c r="I233" i="2"/>
  <c r="H233" i="2"/>
  <c r="G233" i="2"/>
  <c r="F233" i="2"/>
  <c r="E233" i="2"/>
  <c r="J233" i="2" s="1"/>
  <c r="D233" i="2"/>
  <c r="I232" i="2"/>
  <c r="H232" i="2"/>
  <c r="G232" i="2"/>
  <c r="F232" i="2"/>
  <c r="E232" i="2"/>
  <c r="J232" i="2" s="1"/>
  <c r="D232" i="2"/>
  <c r="I231" i="2"/>
  <c r="H231" i="2"/>
  <c r="G231" i="2"/>
  <c r="F231" i="2"/>
  <c r="E231" i="2"/>
  <c r="J231" i="2" s="1"/>
  <c r="D231" i="2"/>
  <c r="I230" i="2"/>
  <c r="H230" i="2"/>
  <c r="G230" i="2"/>
  <c r="F230" i="2"/>
  <c r="E230" i="2"/>
  <c r="J230" i="2" s="1"/>
  <c r="D230" i="2"/>
  <c r="I229" i="2"/>
  <c r="H229" i="2"/>
  <c r="G229" i="2"/>
  <c r="F229" i="2"/>
  <c r="E229" i="2"/>
  <c r="J229" i="2" s="1"/>
  <c r="D229" i="2"/>
  <c r="I228" i="2"/>
  <c r="H228" i="2"/>
  <c r="G228" i="2"/>
  <c r="F228" i="2"/>
  <c r="E228" i="2"/>
  <c r="J228" i="2" s="1"/>
  <c r="D228" i="2"/>
  <c r="I227" i="2"/>
  <c r="H227" i="2"/>
  <c r="G227" i="2"/>
  <c r="F227" i="2"/>
  <c r="E227" i="2"/>
  <c r="J227" i="2" s="1"/>
  <c r="D227" i="2"/>
  <c r="I226" i="2"/>
  <c r="H226" i="2"/>
  <c r="G226" i="2"/>
  <c r="F226" i="2"/>
  <c r="E226" i="2"/>
  <c r="J226" i="2" s="1"/>
  <c r="D226" i="2"/>
  <c r="I225" i="2"/>
  <c r="H225" i="2"/>
  <c r="G225" i="2"/>
  <c r="F225" i="2"/>
  <c r="E225" i="2"/>
  <c r="J225" i="2" s="1"/>
  <c r="D225" i="2"/>
  <c r="I224" i="2"/>
  <c r="H224" i="2"/>
  <c r="G224" i="2"/>
  <c r="F224" i="2"/>
  <c r="E224" i="2"/>
  <c r="J224" i="2" s="1"/>
  <c r="D224" i="2"/>
  <c r="I223" i="2"/>
  <c r="H223" i="2"/>
  <c r="G223" i="2"/>
  <c r="F223" i="2"/>
  <c r="E223" i="2"/>
  <c r="J223" i="2" s="1"/>
  <c r="D223" i="2"/>
  <c r="I222" i="2"/>
  <c r="H222" i="2"/>
  <c r="G222" i="2"/>
  <c r="F222" i="2"/>
  <c r="E222" i="2"/>
  <c r="J222" i="2" s="1"/>
  <c r="D222" i="2"/>
  <c r="I221" i="2"/>
  <c r="H221" i="2"/>
  <c r="G221" i="2"/>
  <c r="F221" i="2"/>
  <c r="E221" i="2"/>
  <c r="J221" i="2" s="1"/>
  <c r="D221" i="2"/>
  <c r="I220" i="2"/>
  <c r="H220" i="2"/>
  <c r="G220" i="2"/>
  <c r="F220" i="2"/>
  <c r="E220" i="2"/>
  <c r="J220" i="2" s="1"/>
  <c r="D220" i="2"/>
  <c r="I219" i="2"/>
  <c r="H219" i="2"/>
  <c r="G219" i="2"/>
  <c r="F219" i="2"/>
  <c r="E219" i="2"/>
  <c r="J219" i="2" s="1"/>
  <c r="D219" i="2"/>
  <c r="I218" i="2"/>
  <c r="H218" i="2"/>
  <c r="G218" i="2"/>
  <c r="F218" i="2"/>
  <c r="E218" i="2"/>
  <c r="J218" i="2" s="1"/>
  <c r="D218" i="2"/>
  <c r="I217" i="2"/>
  <c r="H217" i="2"/>
  <c r="G217" i="2"/>
  <c r="F217" i="2"/>
  <c r="E217" i="2"/>
  <c r="J217" i="2" s="1"/>
  <c r="D217" i="2"/>
  <c r="I216" i="2"/>
  <c r="H216" i="2"/>
  <c r="G216" i="2"/>
  <c r="F216" i="2"/>
  <c r="E216" i="2"/>
  <c r="J216" i="2" s="1"/>
  <c r="D216" i="2"/>
  <c r="I215" i="2"/>
  <c r="H215" i="2"/>
  <c r="G215" i="2"/>
  <c r="F215" i="2"/>
  <c r="E215" i="2"/>
  <c r="J215" i="2" s="1"/>
  <c r="D215" i="2"/>
  <c r="I214" i="2"/>
  <c r="H214" i="2"/>
  <c r="G214" i="2"/>
  <c r="F214" i="2"/>
  <c r="E214" i="2"/>
  <c r="J214" i="2" s="1"/>
  <c r="D214" i="2"/>
  <c r="I213" i="2"/>
  <c r="H213" i="2"/>
  <c r="G213" i="2"/>
  <c r="F213" i="2"/>
  <c r="E213" i="2"/>
  <c r="J213" i="2" s="1"/>
  <c r="D213" i="2"/>
  <c r="I212" i="2"/>
  <c r="H212" i="2"/>
  <c r="G212" i="2"/>
  <c r="F212" i="2"/>
  <c r="E212" i="2"/>
  <c r="J212" i="2" s="1"/>
  <c r="D212" i="2"/>
  <c r="I211" i="2"/>
  <c r="H211" i="2"/>
  <c r="G211" i="2"/>
  <c r="F211" i="2"/>
  <c r="E211" i="2"/>
  <c r="J211" i="2" s="1"/>
  <c r="D211" i="2"/>
  <c r="I210" i="2"/>
  <c r="H210" i="2"/>
  <c r="G210" i="2"/>
  <c r="F210" i="2"/>
  <c r="E210" i="2"/>
  <c r="J210" i="2" s="1"/>
  <c r="D210" i="2"/>
  <c r="I209" i="2"/>
  <c r="H209" i="2"/>
  <c r="G209" i="2"/>
  <c r="F209" i="2"/>
  <c r="E209" i="2"/>
  <c r="J209" i="2" s="1"/>
  <c r="D209" i="2"/>
  <c r="I208" i="2"/>
  <c r="H208" i="2"/>
  <c r="G208" i="2"/>
  <c r="F208" i="2"/>
  <c r="E208" i="2"/>
  <c r="J208" i="2" s="1"/>
  <c r="D208" i="2"/>
  <c r="I207" i="2"/>
  <c r="H207" i="2"/>
  <c r="G207" i="2"/>
  <c r="F207" i="2"/>
  <c r="E207" i="2"/>
  <c r="J207" i="2" s="1"/>
  <c r="D207" i="2"/>
  <c r="I206" i="2"/>
  <c r="H206" i="2"/>
  <c r="G206" i="2"/>
  <c r="F206" i="2"/>
  <c r="E206" i="2"/>
  <c r="J206" i="2" s="1"/>
  <c r="D206" i="2"/>
  <c r="I205" i="2"/>
  <c r="H205" i="2"/>
  <c r="G205" i="2"/>
  <c r="F205" i="2"/>
  <c r="E205" i="2"/>
  <c r="J205" i="2" s="1"/>
  <c r="D205" i="2"/>
  <c r="I204" i="2"/>
  <c r="H204" i="2"/>
  <c r="G204" i="2"/>
  <c r="F204" i="2"/>
  <c r="E204" i="2"/>
  <c r="J204" i="2" s="1"/>
  <c r="D204" i="2"/>
  <c r="I203" i="2"/>
  <c r="H203" i="2"/>
  <c r="G203" i="2"/>
  <c r="F203" i="2"/>
  <c r="E203" i="2"/>
  <c r="J203" i="2" s="1"/>
  <c r="D203" i="2"/>
  <c r="I202" i="2"/>
  <c r="H202" i="2"/>
  <c r="G202" i="2"/>
  <c r="F202" i="2"/>
  <c r="E202" i="2"/>
  <c r="J202" i="2" s="1"/>
  <c r="D202" i="2"/>
  <c r="I201" i="2"/>
  <c r="H201" i="2"/>
  <c r="G201" i="2"/>
  <c r="F201" i="2"/>
  <c r="E201" i="2"/>
  <c r="J201" i="2" s="1"/>
  <c r="D201" i="2"/>
  <c r="I200" i="2"/>
  <c r="H200" i="2"/>
  <c r="G200" i="2"/>
  <c r="F200" i="2"/>
  <c r="E200" i="2"/>
  <c r="J200" i="2" s="1"/>
  <c r="D200" i="2"/>
  <c r="I199" i="2"/>
  <c r="H199" i="2"/>
  <c r="G199" i="2"/>
  <c r="F199" i="2"/>
  <c r="E199" i="2"/>
  <c r="J199" i="2" s="1"/>
  <c r="D199" i="2"/>
  <c r="I198" i="2"/>
  <c r="H198" i="2"/>
  <c r="G198" i="2"/>
  <c r="F198" i="2"/>
  <c r="E198" i="2"/>
  <c r="J198" i="2" s="1"/>
  <c r="D198" i="2"/>
  <c r="I197" i="2"/>
  <c r="H197" i="2"/>
  <c r="G197" i="2"/>
  <c r="F197" i="2"/>
  <c r="E197" i="2"/>
  <c r="J197" i="2" s="1"/>
  <c r="D197" i="2"/>
  <c r="I196" i="2"/>
  <c r="H196" i="2"/>
  <c r="G196" i="2"/>
  <c r="F196" i="2"/>
  <c r="E196" i="2"/>
  <c r="J196" i="2" s="1"/>
  <c r="D196" i="2"/>
  <c r="I195" i="2"/>
  <c r="H195" i="2"/>
  <c r="G195" i="2"/>
  <c r="F195" i="2"/>
  <c r="E195" i="2"/>
  <c r="J195" i="2" s="1"/>
  <c r="D195" i="2"/>
  <c r="I194" i="2"/>
  <c r="H194" i="2"/>
  <c r="G194" i="2"/>
  <c r="F194" i="2"/>
  <c r="E194" i="2"/>
  <c r="J194" i="2" s="1"/>
  <c r="D194" i="2"/>
  <c r="I193" i="2"/>
  <c r="H193" i="2"/>
  <c r="G193" i="2"/>
  <c r="F193" i="2"/>
  <c r="E193" i="2"/>
  <c r="J193" i="2" s="1"/>
  <c r="D193" i="2"/>
  <c r="I192" i="2"/>
  <c r="H192" i="2"/>
  <c r="G192" i="2"/>
  <c r="F192" i="2"/>
  <c r="E192" i="2"/>
  <c r="J192" i="2" s="1"/>
  <c r="D192" i="2"/>
  <c r="I191" i="2"/>
  <c r="H191" i="2"/>
  <c r="G191" i="2"/>
  <c r="F191" i="2"/>
  <c r="E191" i="2"/>
  <c r="J191" i="2" s="1"/>
  <c r="D191" i="2"/>
  <c r="I190" i="2"/>
  <c r="H190" i="2"/>
  <c r="G190" i="2"/>
  <c r="F190" i="2"/>
  <c r="E190" i="2"/>
  <c r="J190" i="2" s="1"/>
  <c r="D190" i="2"/>
  <c r="I189" i="2"/>
  <c r="H189" i="2"/>
  <c r="G189" i="2"/>
  <c r="F189" i="2"/>
  <c r="E189" i="2"/>
  <c r="J189" i="2" s="1"/>
  <c r="D189" i="2"/>
  <c r="I188" i="2"/>
  <c r="H188" i="2"/>
  <c r="G188" i="2"/>
  <c r="F188" i="2"/>
  <c r="E188" i="2"/>
  <c r="J188" i="2" s="1"/>
  <c r="D188" i="2"/>
  <c r="I187" i="2"/>
  <c r="H187" i="2"/>
  <c r="G187" i="2"/>
  <c r="F187" i="2"/>
  <c r="E187" i="2"/>
  <c r="J187" i="2" s="1"/>
  <c r="D187" i="2"/>
  <c r="I186" i="2"/>
  <c r="H186" i="2"/>
  <c r="G186" i="2"/>
  <c r="F186" i="2"/>
  <c r="E186" i="2"/>
  <c r="J186" i="2" s="1"/>
  <c r="D186" i="2"/>
  <c r="I185" i="2"/>
  <c r="H185" i="2"/>
  <c r="G185" i="2"/>
  <c r="F185" i="2"/>
  <c r="E185" i="2"/>
  <c r="J185" i="2" s="1"/>
  <c r="D185" i="2"/>
  <c r="I184" i="2"/>
  <c r="H184" i="2"/>
  <c r="G184" i="2"/>
  <c r="F184" i="2"/>
  <c r="E184" i="2"/>
  <c r="J184" i="2" s="1"/>
  <c r="D184" i="2"/>
  <c r="I183" i="2"/>
  <c r="H183" i="2"/>
  <c r="G183" i="2"/>
  <c r="F183" i="2"/>
  <c r="E183" i="2"/>
  <c r="J183" i="2" s="1"/>
  <c r="D183" i="2"/>
  <c r="I182" i="2"/>
  <c r="H182" i="2"/>
  <c r="G182" i="2"/>
  <c r="F182" i="2"/>
  <c r="E182" i="2"/>
  <c r="J182" i="2" s="1"/>
  <c r="D182" i="2"/>
  <c r="I181" i="2"/>
  <c r="H181" i="2"/>
  <c r="G181" i="2"/>
  <c r="F181" i="2"/>
  <c r="E181" i="2"/>
  <c r="J181" i="2" s="1"/>
  <c r="D181" i="2"/>
  <c r="I180" i="2"/>
  <c r="H180" i="2"/>
  <c r="G180" i="2"/>
  <c r="F180" i="2"/>
  <c r="E180" i="2"/>
  <c r="J180" i="2" s="1"/>
  <c r="D180" i="2"/>
  <c r="I179" i="2"/>
  <c r="H179" i="2"/>
  <c r="G179" i="2"/>
  <c r="F179" i="2"/>
  <c r="E179" i="2"/>
  <c r="J179" i="2" s="1"/>
  <c r="D179" i="2"/>
  <c r="I178" i="2"/>
  <c r="H178" i="2"/>
  <c r="G178" i="2"/>
  <c r="F178" i="2"/>
  <c r="E178" i="2"/>
  <c r="J178" i="2" s="1"/>
  <c r="D178" i="2"/>
  <c r="I177" i="2"/>
  <c r="H177" i="2"/>
  <c r="G177" i="2"/>
  <c r="F177" i="2"/>
  <c r="E177" i="2"/>
  <c r="J177" i="2" s="1"/>
  <c r="D177" i="2"/>
  <c r="I176" i="2"/>
  <c r="H176" i="2"/>
  <c r="G176" i="2"/>
  <c r="F176" i="2"/>
  <c r="E176" i="2"/>
  <c r="J176" i="2" s="1"/>
  <c r="D176" i="2"/>
  <c r="I175" i="2"/>
  <c r="H175" i="2"/>
  <c r="G175" i="2"/>
  <c r="F175" i="2"/>
  <c r="E175" i="2"/>
  <c r="J175" i="2" s="1"/>
  <c r="D175" i="2"/>
  <c r="I174" i="2"/>
  <c r="H174" i="2"/>
  <c r="G174" i="2"/>
  <c r="F174" i="2"/>
  <c r="E174" i="2"/>
  <c r="J174" i="2" s="1"/>
  <c r="D174" i="2"/>
  <c r="I173" i="2"/>
  <c r="H173" i="2"/>
  <c r="G173" i="2"/>
  <c r="F173" i="2"/>
  <c r="E173" i="2"/>
  <c r="J173" i="2" s="1"/>
  <c r="D173" i="2"/>
  <c r="I172" i="2"/>
  <c r="H172" i="2"/>
  <c r="G172" i="2"/>
  <c r="F172" i="2"/>
  <c r="E172" i="2"/>
  <c r="J172" i="2" s="1"/>
  <c r="D172" i="2"/>
  <c r="I171" i="2"/>
  <c r="H171" i="2"/>
  <c r="G171" i="2"/>
  <c r="F171" i="2"/>
  <c r="E171" i="2"/>
  <c r="J171" i="2" s="1"/>
  <c r="D171" i="2"/>
  <c r="I170" i="2"/>
  <c r="H170" i="2"/>
  <c r="G170" i="2"/>
  <c r="F170" i="2"/>
  <c r="E170" i="2"/>
  <c r="J170" i="2" s="1"/>
  <c r="I169" i="2"/>
  <c r="H169" i="2"/>
  <c r="G169" i="2"/>
  <c r="F169" i="2"/>
  <c r="E169" i="2"/>
  <c r="J169" i="2" s="1"/>
  <c r="I168" i="2"/>
  <c r="H168" i="2"/>
  <c r="G168" i="2"/>
  <c r="F168" i="2"/>
  <c r="E168" i="2"/>
  <c r="J168" i="2" s="1"/>
  <c r="I167" i="2"/>
  <c r="H167" i="2"/>
  <c r="G167" i="2"/>
  <c r="F167" i="2"/>
  <c r="E167" i="2"/>
  <c r="J167" i="2" s="1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E161" i="2"/>
  <c r="J161" i="2" s="1"/>
  <c r="I160" i="2"/>
  <c r="H160" i="2"/>
  <c r="G160" i="2"/>
  <c r="F160" i="2"/>
  <c r="E160" i="2"/>
  <c r="J160" i="2" s="1"/>
  <c r="I159" i="2"/>
  <c r="H159" i="2"/>
  <c r="G159" i="2"/>
  <c r="F159" i="2"/>
  <c r="E159" i="2"/>
  <c r="J159" i="2" s="1"/>
  <c r="I158" i="2"/>
  <c r="H158" i="2"/>
  <c r="G158" i="2"/>
  <c r="F158" i="2"/>
  <c r="E158" i="2"/>
  <c r="J158" i="2" s="1"/>
  <c r="I157" i="2"/>
  <c r="H157" i="2"/>
  <c r="G157" i="2"/>
  <c r="F157" i="2"/>
  <c r="E157" i="2"/>
  <c r="J157" i="2" s="1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J154" i="2" s="1"/>
  <c r="I153" i="2"/>
  <c r="H153" i="2"/>
  <c r="G153" i="2"/>
  <c r="F153" i="2"/>
  <c r="E153" i="2"/>
  <c r="J153" i="2" s="1"/>
  <c r="I152" i="2"/>
  <c r="H152" i="2"/>
  <c r="G152" i="2"/>
  <c r="F152" i="2"/>
  <c r="E152" i="2"/>
  <c r="J152" i="2" s="1"/>
  <c r="I151" i="2"/>
  <c r="H151" i="2"/>
  <c r="G151" i="2"/>
  <c r="F151" i="2"/>
  <c r="E151" i="2"/>
  <c r="J151" i="2" s="1"/>
  <c r="I150" i="2"/>
  <c r="H150" i="2"/>
  <c r="G150" i="2"/>
  <c r="F150" i="2"/>
  <c r="E150" i="2"/>
  <c r="J150" i="2" s="1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J142" i="2" s="1"/>
  <c r="I141" i="2"/>
  <c r="H141" i="2"/>
  <c r="G141" i="2"/>
  <c r="F141" i="2"/>
  <c r="E141" i="2"/>
  <c r="J141" i="2" s="1"/>
  <c r="I140" i="2"/>
  <c r="H140" i="2"/>
  <c r="G140" i="2"/>
  <c r="F140" i="2"/>
  <c r="E140" i="2"/>
  <c r="J140" i="2" s="1"/>
  <c r="D140" i="2"/>
  <c r="I139" i="2"/>
  <c r="H139" i="2"/>
  <c r="G139" i="2"/>
  <c r="F139" i="2"/>
  <c r="E139" i="2"/>
  <c r="J139" i="2" s="1"/>
  <c r="D139" i="2"/>
  <c r="I138" i="2"/>
  <c r="H138" i="2"/>
  <c r="G138" i="2"/>
  <c r="F138" i="2"/>
  <c r="E138" i="2"/>
  <c r="J138" i="2" s="1"/>
  <c r="D138" i="2"/>
  <c r="I137" i="2"/>
  <c r="H137" i="2"/>
  <c r="G137" i="2"/>
  <c r="F137" i="2"/>
  <c r="E137" i="2"/>
  <c r="J137" i="2" s="1"/>
  <c r="D137" i="2"/>
  <c r="I136" i="2"/>
  <c r="H136" i="2"/>
  <c r="G136" i="2"/>
  <c r="F136" i="2"/>
  <c r="E136" i="2"/>
  <c r="J136" i="2" s="1"/>
  <c r="D136" i="2"/>
  <c r="I135" i="2"/>
  <c r="H135" i="2"/>
  <c r="G135" i="2"/>
  <c r="F135" i="2"/>
  <c r="E135" i="2"/>
  <c r="J135" i="2" s="1"/>
  <c r="D135" i="2"/>
  <c r="I134" i="2"/>
  <c r="H134" i="2"/>
  <c r="G134" i="2"/>
  <c r="F134" i="2"/>
  <c r="E134" i="2"/>
  <c r="J134" i="2" s="1"/>
  <c r="D134" i="2"/>
  <c r="I133" i="2"/>
  <c r="H133" i="2"/>
  <c r="G133" i="2"/>
  <c r="F133" i="2"/>
  <c r="E133" i="2"/>
  <c r="J133" i="2" s="1"/>
  <c r="D133" i="2"/>
  <c r="I132" i="2"/>
  <c r="H132" i="2"/>
  <c r="G132" i="2"/>
  <c r="F132" i="2"/>
  <c r="E132" i="2"/>
  <c r="J132" i="2" s="1"/>
  <c r="D132" i="2"/>
  <c r="I131" i="2"/>
  <c r="H131" i="2"/>
  <c r="G131" i="2"/>
  <c r="F131" i="2"/>
  <c r="E131" i="2"/>
  <c r="J131" i="2" s="1"/>
  <c r="D131" i="2"/>
  <c r="I130" i="2"/>
  <c r="H130" i="2"/>
  <c r="G130" i="2"/>
  <c r="F130" i="2"/>
  <c r="E130" i="2"/>
  <c r="J130" i="2" s="1"/>
  <c r="D130" i="2"/>
  <c r="I129" i="2"/>
  <c r="H129" i="2"/>
  <c r="G129" i="2"/>
  <c r="F129" i="2"/>
  <c r="E129" i="2"/>
  <c r="J129" i="2" s="1"/>
  <c r="D129" i="2"/>
  <c r="I128" i="2"/>
  <c r="H128" i="2"/>
  <c r="G128" i="2"/>
  <c r="F128" i="2"/>
  <c r="E128" i="2"/>
  <c r="J128" i="2" s="1"/>
  <c r="D128" i="2"/>
  <c r="I127" i="2"/>
  <c r="H127" i="2"/>
  <c r="G127" i="2"/>
  <c r="F127" i="2"/>
  <c r="E127" i="2"/>
  <c r="J127" i="2" s="1"/>
  <c r="D127" i="2"/>
  <c r="I126" i="2"/>
  <c r="H126" i="2"/>
  <c r="G126" i="2"/>
  <c r="F126" i="2"/>
  <c r="E126" i="2"/>
  <c r="J126" i="2" s="1"/>
  <c r="D126" i="2"/>
  <c r="I125" i="2"/>
  <c r="H125" i="2"/>
  <c r="G125" i="2"/>
  <c r="F125" i="2"/>
  <c r="E125" i="2"/>
  <c r="J125" i="2" s="1"/>
  <c r="D125" i="2"/>
  <c r="I124" i="2"/>
  <c r="H124" i="2"/>
  <c r="G124" i="2"/>
  <c r="F124" i="2"/>
  <c r="E124" i="2"/>
  <c r="J124" i="2" s="1"/>
  <c r="D124" i="2"/>
  <c r="I123" i="2"/>
  <c r="H123" i="2"/>
  <c r="G123" i="2"/>
  <c r="F123" i="2"/>
  <c r="E123" i="2"/>
  <c r="J123" i="2" s="1"/>
  <c r="D123" i="2"/>
  <c r="I122" i="2"/>
  <c r="H122" i="2"/>
  <c r="G122" i="2"/>
  <c r="F122" i="2"/>
  <c r="E122" i="2"/>
  <c r="J122" i="2" s="1"/>
  <c r="D122" i="2"/>
  <c r="I121" i="2"/>
  <c r="H121" i="2"/>
  <c r="G121" i="2"/>
  <c r="F121" i="2"/>
  <c r="E121" i="2"/>
  <c r="J121" i="2" s="1"/>
  <c r="D121" i="2"/>
  <c r="I120" i="2"/>
  <c r="H120" i="2"/>
  <c r="G120" i="2"/>
  <c r="F120" i="2"/>
  <c r="E120" i="2"/>
  <c r="J120" i="2" s="1"/>
  <c r="D120" i="2"/>
  <c r="I119" i="2"/>
  <c r="H119" i="2"/>
  <c r="G119" i="2"/>
  <c r="F119" i="2"/>
  <c r="E119" i="2"/>
  <c r="J119" i="2" s="1"/>
  <c r="D119" i="2"/>
  <c r="I118" i="2"/>
  <c r="H118" i="2"/>
  <c r="G118" i="2"/>
  <c r="F118" i="2"/>
  <c r="E118" i="2"/>
  <c r="J118" i="2" s="1"/>
  <c r="D118" i="2"/>
  <c r="I117" i="2"/>
  <c r="H117" i="2"/>
  <c r="G117" i="2"/>
  <c r="F117" i="2"/>
  <c r="E117" i="2"/>
  <c r="J117" i="2" s="1"/>
  <c r="D117" i="2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J112" i="2" s="1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E108" i="2"/>
  <c r="J108" i="2" s="1"/>
  <c r="D108" i="2"/>
  <c r="I107" i="2"/>
  <c r="H107" i="2"/>
  <c r="G107" i="2"/>
  <c r="F107" i="2"/>
  <c r="E107" i="2"/>
  <c r="J107" i="2" s="1"/>
  <c r="D107" i="2"/>
  <c r="I106" i="2"/>
  <c r="H106" i="2"/>
  <c r="G106" i="2"/>
  <c r="F106" i="2"/>
  <c r="E106" i="2"/>
  <c r="J106" i="2" s="1"/>
  <c r="D106" i="2"/>
  <c r="I105" i="2"/>
  <c r="H105" i="2"/>
  <c r="G105" i="2"/>
  <c r="F105" i="2"/>
  <c r="E105" i="2"/>
  <c r="J105" i="2" s="1"/>
  <c r="D105" i="2"/>
  <c r="I104" i="2"/>
  <c r="H104" i="2"/>
  <c r="G104" i="2"/>
  <c r="F104" i="2"/>
  <c r="E104" i="2"/>
  <c r="J104" i="2" s="1"/>
  <c r="D104" i="2"/>
  <c r="I103" i="2"/>
  <c r="H103" i="2"/>
  <c r="G103" i="2"/>
  <c r="F103" i="2"/>
  <c r="E103" i="2"/>
  <c r="J103" i="2" s="1"/>
  <c r="D103" i="2"/>
  <c r="I102" i="2"/>
  <c r="H102" i="2"/>
  <c r="G102" i="2"/>
  <c r="F102" i="2"/>
  <c r="E102" i="2"/>
  <c r="J102" i="2" s="1"/>
  <c r="I101" i="2"/>
  <c r="H101" i="2"/>
  <c r="G101" i="2"/>
  <c r="F101" i="2"/>
  <c r="E101" i="2"/>
  <c r="J101" i="2" s="1"/>
  <c r="D101" i="2"/>
  <c r="I100" i="2"/>
  <c r="H100" i="2"/>
  <c r="G100" i="2"/>
  <c r="F100" i="2"/>
  <c r="E100" i="2"/>
  <c r="J100" i="2" s="1"/>
  <c r="D100" i="2"/>
  <c r="I99" i="2"/>
  <c r="H99" i="2"/>
  <c r="G99" i="2"/>
  <c r="F99" i="2"/>
  <c r="E99" i="2"/>
  <c r="J99" i="2" s="1"/>
  <c r="D99" i="2"/>
  <c r="I98" i="2"/>
  <c r="H98" i="2"/>
  <c r="G98" i="2"/>
  <c r="F98" i="2"/>
  <c r="E98" i="2"/>
  <c r="J98" i="2" s="1"/>
  <c r="D98" i="2"/>
  <c r="I97" i="2"/>
  <c r="H97" i="2"/>
  <c r="G97" i="2"/>
  <c r="F97" i="2"/>
  <c r="E97" i="2"/>
  <c r="J97" i="2" s="1"/>
  <c r="D97" i="2"/>
  <c r="I96" i="2"/>
  <c r="H96" i="2"/>
  <c r="G96" i="2"/>
  <c r="F96" i="2"/>
  <c r="E96" i="2"/>
  <c r="J96" i="2" s="1"/>
  <c r="D96" i="2"/>
  <c r="I95" i="2"/>
  <c r="H95" i="2"/>
  <c r="G95" i="2"/>
  <c r="F95" i="2"/>
  <c r="E95" i="2"/>
  <c r="J95" i="2" s="1"/>
  <c r="D95" i="2"/>
  <c r="I94" i="2"/>
  <c r="H94" i="2"/>
  <c r="G94" i="2"/>
  <c r="F94" i="2"/>
  <c r="E94" i="2"/>
  <c r="J94" i="2" s="1"/>
  <c r="D94" i="2"/>
  <c r="I93" i="2"/>
  <c r="H93" i="2"/>
  <c r="G93" i="2"/>
  <c r="F93" i="2"/>
  <c r="E93" i="2"/>
  <c r="J93" i="2" s="1"/>
  <c r="D93" i="2"/>
  <c r="I92" i="2"/>
  <c r="H92" i="2"/>
  <c r="G92" i="2"/>
  <c r="F92" i="2"/>
  <c r="E92" i="2"/>
  <c r="J92" i="2" s="1"/>
  <c r="I91" i="2"/>
  <c r="H91" i="2"/>
  <c r="G91" i="2"/>
  <c r="F91" i="2"/>
  <c r="E91" i="2"/>
  <c r="J91" i="2" s="1"/>
  <c r="D91" i="2"/>
  <c r="I90" i="2"/>
  <c r="H90" i="2"/>
  <c r="G90" i="2"/>
  <c r="F90" i="2"/>
  <c r="E90" i="2"/>
  <c r="J90" i="2" s="1"/>
  <c r="D90" i="2"/>
  <c r="I89" i="2"/>
  <c r="H89" i="2"/>
  <c r="G89" i="2"/>
  <c r="F89" i="2"/>
  <c r="E89" i="2"/>
  <c r="J89" i="2" s="1"/>
  <c r="D89" i="2"/>
  <c r="I88" i="2"/>
  <c r="H88" i="2"/>
  <c r="G88" i="2"/>
  <c r="F88" i="2"/>
  <c r="E88" i="2"/>
  <c r="J88" i="2" s="1"/>
  <c r="D88" i="2"/>
  <c r="I87" i="2"/>
  <c r="H87" i="2"/>
  <c r="G87" i="2"/>
  <c r="F87" i="2"/>
  <c r="E87" i="2"/>
  <c r="J87" i="2" s="1"/>
  <c r="D87" i="2"/>
  <c r="I86" i="2"/>
  <c r="H86" i="2"/>
  <c r="G86" i="2"/>
  <c r="F86" i="2"/>
  <c r="E86" i="2"/>
  <c r="J86" i="2" s="1"/>
  <c r="D86" i="2"/>
  <c r="I85" i="2"/>
  <c r="H85" i="2"/>
  <c r="G85" i="2"/>
  <c r="F85" i="2"/>
  <c r="E85" i="2"/>
  <c r="J85" i="2" s="1"/>
  <c r="D85" i="2"/>
  <c r="I84" i="2"/>
  <c r="H84" i="2"/>
  <c r="G84" i="2"/>
  <c r="F84" i="2"/>
  <c r="E84" i="2"/>
  <c r="J84" i="2" s="1"/>
  <c r="D84" i="2"/>
  <c r="I83" i="2"/>
  <c r="H83" i="2"/>
  <c r="G83" i="2"/>
  <c r="F83" i="2"/>
  <c r="E83" i="2"/>
  <c r="J83" i="2" s="1"/>
  <c r="D83" i="2"/>
  <c r="I82" i="2"/>
  <c r="H82" i="2"/>
  <c r="G82" i="2"/>
  <c r="F82" i="2"/>
  <c r="E82" i="2"/>
  <c r="J82" i="2" s="1"/>
  <c r="D82" i="2"/>
  <c r="I81" i="2"/>
  <c r="H81" i="2"/>
  <c r="G81" i="2"/>
  <c r="F81" i="2"/>
  <c r="E81" i="2"/>
  <c r="J81" i="2" s="1"/>
  <c r="D81" i="2"/>
  <c r="I80" i="2"/>
  <c r="H80" i="2"/>
  <c r="G80" i="2"/>
  <c r="F80" i="2"/>
  <c r="E80" i="2"/>
  <c r="J80" i="2" s="1"/>
  <c r="D80" i="2"/>
  <c r="I79" i="2"/>
  <c r="H79" i="2"/>
  <c r="G79" i="2"/>
  <c r="F79" i="2"/>
  <c r="E79" i="2"/>
  <c r="J79" i="2" s="1"/>
  <c r="D79" i="2"/>
  <c r="I78" i="2"/>
  <c r="H78" i="2"/>
  <c r="G78" i="2"/>
  <c r="F78" i="2"/>
  <c r="E78" i="2"/>
  <c r="J78" i="2" s="1"/>
  <c r="D78" i="2"/>
  <c r="I77" i="2"/>
  <c r="H77" i="2"/>
  <c r="G77" i="2"/>
  <c r="F77" i="2"/>
  <c r="E77" i="2"/>
  <c r="J77" i="2" s="1"/>
  <c r="D77" i="2"/>
  <c r="I76" i="2"/>
  <c r="H76" i="2"/>
  <c r="G76" i="2"/>
  <c r="F76" i="2"/>
  <c r="E76" i="2"/>
  <c r="J76" i="2" s="1"/>
  <c r="D76" i="2"/>
  <c r="I75" i="2"/>
  <c r="H75" i="2"/>
  <c r="G75" i="2"/>
  <c r="F75" i="2"/>
  <c r="E75" i="2"/>
  <c r="J75" i="2" s="1"/>
  <c r="D75" i="2"/>
  <c r="I74" i="2"/>
  <c r="H74" i="2"/>
  <c r="G74" i="2"/>
  <c r="F74" i="2"/>
  <c r="E74" i="2"/>
  <c r="J74" i="2" s="1"/>
  <c r="D74" i="2"/>
  <c r="I73" i="2"/>
  <c r="H73" i="2"/>
  <c r="G73" i="2"/>
  <c r="F73" i="2"/>
  <c r="E73" i="2"/>
  <c r="J73" i="2" s="1"/>
  <c r="D73" i="2"/>
  <c r="I72" i="2"/>
  <c r="H72" i="2"/>
  <c r="G72" i="2"/>
  <c r="F72" i="2"/>
  <c r="E72" i="2"/>
  <c r="J72" i="2" s="1"/>
  <c r="D72" i="2"/>
  <c r="I71" i="2"/>
  <c r="H71" i="2"/>
  <c r="G71" i="2"/>
  <c r="F71" i="2"/>
  <c r="E71" i="2"/>
  <c r="J71" i="2" s="1"/>
  <c r="D71" i="2"/>
  <c r="I70" i="2"/>
  <c r="H70" i="2"/>
  <c r="G70" i="2"/>
  <c r="F70" i="2"/>
  <c r="E70" i="2"/>
  <c r="J70" i="2" s="1"/>
  <c r="D70" i="2"/>
  <c r="I69" i="2"/>
  <c r="H69" i="2"/>
  <c r="G69" i="2"/>
  <c r="F69" i="2"/>
  <c r="E69" i="2"/>
  <c r="J69" i="2" s="1"/>
  <c r="D69" i="2"/>
  <c r="I68" i="2"/>
  <c r="H68" i="2"/>
  <c r="G68" i="2"/>
  <c r="F68" i="2"/>
  <c r="E68" i="2"/>
  <c r="J68" i="2" s="1"/>
  <c r="D68" i="2"/>
  <c r="I67" i="2"/>
  <c r="H67" i="2"/>
  <c r="G67" i="2"/>
  <c r="F67" i="2"/>
  <c r="E67" i="2"/>
  <c r="J67" i="2" s="1"/>
  <c r="D67" i="2"/>
  <c r="I66" i="2"/>
  <c r="H66" i="2"/>
  <c r="G66" i="2"/>
  <c r="F66" i="2"/>
  <c r="E66" i="2"/>
  <c r="J66" i="2" s="1"/>
  <c r="D66" i="2"/>
  <c r="I65" i="2"/>
  <c r="H65" i="2"/>
  <c r="G65" i="2"/>
  <c r="F65" i="2"/>
  <c r="E65" i="2"/>
  <c r="J65" i="2" s="1"/>
  <c r="D65" i="2"/>
  <c r="I64" i="2"/>
  <c r="H64" i="2"/>
  <c r="G64" i="2"/>
  <c r="F64" i="2"/>
  <c r="E64" i="2"/>
  <c r="J64" i="2" s="1"/>
  <c r="D64" i="2"/>
  <c r="I63" i="2"/>
  <c r="H63" i="2"/>
  <c r="G63" i="2"/>
  <c r="F63" i="2"/>
  <c r="E63" i="2"/>
  <c r="J63" i="2" s="1"/>
  <c r="D63" i="2"/>
  <c r="I62" i="2"/>
  <c r="H62" i="2"/>
  <c r="G62" i="2"/>
  <c r="F62" i="2"/>
  <c r="E62" i="2"/>
  <c r="J62" i="2" s="1"/>
  <c r="D62" i="2"/>
  <c r="I61" i="2"/>
  <c r="H61" i="2"/>
  <c r="G61" i="2"/>
  <c r="F61" i="2"/>
  <c r="E61" i="2"/>
  <c r="J61" i="2" s="1"/>
  <c r="D61" i="2"/>
  <c r="I60" i="2"/>
  <c r="H60" i="2"/>
  <c r="G60" i="2"/>
  <c r="F60" i="2"/>
  <c r="E60" i="2"/>
  <c r="J60" i="2" s="1"/>
  <c r="D60" i="2"/>
  <c r="I59" i="2"/>
  <c r="H59" i="2"/>
  <c r="G59" i="2"/>
  <c r="F59" i="2"/>
  <c r="E59" i="2"/>
  <c r="J59" i="2" s="1"/>
  <c r="D59" i="2"/>
  <c r="I58" i="2"/>
  <c r="H58" i="2"/>
  <c r="G58" i="2"/>
  <c r="F58" i="2"/>
  <c r="E58" i="2"/>
  <c r="J58" i="2" s="1"/>
  <c r="D58" i="2"/>
  <c r="I57" i="2"/>
  <c r="H57" i="2"/>
  <c r="G57" i="2"/>
  <c r="F57" i="2"/>
  <c r="E57" i="2"/>
  <c r="J57" i="2" s="1"/>
  <c r="D57" i="2"/>
  <c r="I56" i="2"/>
  <c r="H56" i="2"/>
  <c r="G56" i="2"/>
  <c r="F56" i="2"/>
  <c r="E56" i="2"/>
  <c r="J56" i="2" s="1"/>
  <c r="D56" i="2"/>
  <c r="I55" i="2"/>
  <c r="H55" i="2"/>
  <c r="G55" i="2"/>
  <c r="F55" i="2"/>
  <c r="E55" i="2"/>
  <c r="J55" i="2" s="1"/>
  <c r="D55" i="2"/>
  <c r="I54" i="2"/>
  <c r="H54" i="2"/>
  <c r="G54" i="2"/>
  <c r="F54" i="2"/>
  <c r="E54" i="2"/>
  <c r="J54" i="2" s="1"/>
  <c r="D54" i="2"/>
  <c r="I53" i="2"/>
  <c r="H53" i="2"/>
  <c r="G53" i="2"/>
  <c r="F53" i="2"/>
  <c r="E53" i="2"/>
  <c r="J53" i="2" s="1"/>
  <c r="D53" i="2"/>
  <c r="I52" i="2"/>
  <c r="H52" i="2"/>
  <c r="G52" i="2"/>
  <c r="F52" i="2"/>
  <c r="E52" i="2"/>
  <c r="J52" i="2" s="1"/>
  <c r="D52" i="2"/>
  <c r="I51" i="2"/>
  <c r="H51" i="2"/>
  <c r="G51" i="2"/>
  <c r="F51" i="2"/>
  <c r="E51" i="2"/>
  <c r="J51" i="2" s="1"/>
  <c r="D51" i="2"/>
  <c r="I50" i="2"/>
  <c r="H50" i="2"/>
  <c r="G50" i="2"/>
  <c r="F50" i="2"/>
  <c r="E50" i="2"/>
  <c r="J50" i="2" s="1"/>
  <c r="D50" i="2"/>
  <c r="J49" i="2"/>
  <c r="I49" i="2"/>
  <c r="H49" i="2"/>
  <c r="G49" i="2"/>
  <c r="F49" i="2"/>
  <c r="E49" i="2"/>
  <c r="D49" i="2"/>
  <c r="I48" i="2"/>
  <c r="H48" i="2"/>
  <c r="G48" i="2"/>
  <c r="F48" i="2"/>
  <c r="E48" i="2"/>
  <c r="D48" i="2"/>
  <c r="I47" i="2"/>
  <c r="H47" i="2"/>
  <c r="G47" i="2"/>
  <c r="F47" i="2"/>
  <c r="E47" i="2"/>
  <c r="J47" i="2" s="1"/>
  <c r="D47" i="2"/>
  <c r="I46" i="2"/>
  <c r="H46" i="2"/>
  <c r="G46" i="2"/>
  <c r="F46" i="2"/>
  <c r="E46" i="2"/>
  <c r="J46" i="2" s="1"/>
  <c r="D46" i="2"/>
  <c r="I45" i="2"/>
  <c r="H45" i="2"/>
  <c r="G45" i="2"/>
  <c r="F45" i="2"/>
  <c r="E45" i="2"/>
  <c r="J45" i="2" s="1"/>
  <c r="D45" i="2"/>
  <c r="I44" i="2"/>
  <c r="H44" i="2"/>
  <c r="G44" i="2"/>
  <c r="F44" i="2"/>
  <c r="E44" i="2"/>
  <c r="J44" i="2" s="1"/>
  <c r="D44" i="2"/>
  <c r="I43" i="2"/>
  <c r="H43" i="2"/>
  <c r="G43" i="2"/>
  <c r="F43" i="2"/>
  <c r="E43" i="2"/>
  <c r="J43" i="2" s="1"/>
  <c r="D43" i="2"/>
  <c r="I42" i="2"/>
  <c r="H42" i="2"/>
  <c r="G42" i="2"/>
  <c r="F42" i="2"/>
  <c r="E42" i="2"/>
  <c r="J42" i="2" s="1"/>
  <c r="D42" i="2"/>
  <c r="I41" i="2"/>
  <c r="H41" i="2"/>
  <c r="G41" i="2"/>
  <c r="F41" i="2"/>
  <c r="E41" i="2"/>
  <c r="J41" i="2" s="1"/>
  <c r="D41" i="2"/>
  <c r="I40" i="2"/>
  <c r="H40" i="2"/>
  <c r="G40" i="2"/>
  <c r="F40" i="2"/>
  <c r="E40" i="2"/>
  <c r="J40" i="2" s="1"/>
  <c r="D40" i="2"/>
  <c r="I39" i="2"/>
  <c r="H39" i="2"/>
  <c r="G39" i="2"/>
  <c r="F39" i="2"/>
  <c r="E39" i="2"/>
  <c r="J39" i="2" s="1"/>
  <c r="D39" i="2"/>
  <c r="I38" i="2"/>
  <c r="H38" i="2"/>
  <c r="G38" i="2"/>
  <c r="F38" i="2"/>
  <c r="E38" i="2"/>
  <c r="J38" i="2" s="1"/>
  <c r="D38" i="2"/>
  <c r="I37" i="2"/>
  <c r="H37" i="2"/>
  <c r="G37" i="2"/>
  <c r="F37" i="2"/>
  <c r="E37" i="2"/>
  <c r="J37" i="2" s="1"/>
  <c r="D37" i="2"/>
  <c r="I36" i="2"/>
  <c r="H36" i="2"/>
  <c r="G36" i="2"/>
  <c r="F36" i="2"/>
  <c r="E36" i="2"/>
  <c r="J36" i="2" s="1"/>
  <c r="D36" i="2"/>
  <c r="I35" i="2"/>
  <c r="H35" i="2"/>
  <c r="G35" i="2"/>
  <c r="F35" i="2"/>
  <c r="E35" i="2"/>
  <c r="J35" i="2" s="1"/>
  <c r="D35" i="2"/>
  <c r="I34" i="2"/>
  <c r="H34" i="2"/>
  <c r="G34" i="2"/>
  <c r="F34" i="2"/>
  <c r="E34" i="2"/>
  <c r="J34" i="2" s="1"/>
  <c r="D34" i="2"/>
  <c r="I33" i="2"/>
  <c r="H33" i="2"/>
  <c r="G33" i="2"/>
  <c r="F33" i="2"/>
  <c r="E33" i="2"/>
  <c r="J33" i="2" s="1"/>
  <c r="D33" i="2"/>
  <c r="I32" i="2"/>
  <c r="H32" i="2"/>
  <c r="G32" i="2"/>
  <c r="F32" i="2"/>
  <c r="E32" i="2"/>
  <c r="J32" i="2" s="1"/>
  <c r="D32" i="2"/>
  <c r="I31" i="2"/>
  <c r="H31" i="2"/>
  <c r="G31" i="2"/>
  <c r="F31" i="2"/>
  <c r="E31" i="2"/>
  <c r="J31" i="2" s="1"/>
  <c r="D31" i="2"/>
  <c r="I30" i="2"/>
  <c r="H30" i="2"/>
  <c r="G30" i="2"/>
  <c r="F30" i="2"/>
  <c r="E30" i="2"/>
  <c r="J30" i="2" s="1"/>
  <c r="D30" i="2"/>
  <c r="I29" i="2"/>
  <c r="H29" i="2"/>
  <c r="G29" i="2"/>
  <c r="F29" i="2"/>
  <c r="E29" i="2"/>
  <c r="J29" i="2" s="1"/>
  <c r="D29" i="2"/>
  <c r="I28" i="2"/>
  <c r="H28" i="2"/>
  <c r="G28" i="2"/>
  <c r="F28" i="2"/>
  <c r="E28" i="2"/>
  <c r="J28" i="2" s="1"/>
  <c r="I27" i="2"/>
  <c r="H27" i="2"/>
  <c r="G27" i="2"/>
  <c r="F27" i="2"/>
  <c r="E27" i="2"/>
  <c r="J27" i="2" s="1"/>
  <c r="I26" i="2"/>
  <c r="H26" i="2"/>
  <c r="G26" i="2"/>
  <c r="F26" i="2"/>
  <c r="E26" i="2"/>
  <c r="J26" i="2" s="1"/>
  <c r="I25" i="2"/>
  <c r="H25" i="2"/>
  <c r="G25" i="2"/>
  <c r="F25" i="2"/>
  <c r="E25" i="2"/>
  <c r="J25" i="2" s="1"/>
  <c r="I24" i="2"/>
  <c r="H24" i="2"/>
  <c r="G24" i="2"/>
  <c r="F24" i="2"/>
  <c r="E24" i="2"/>
  <c r="J24" i="2" s="1"/>
  <c r="I23" i="2"/>
  <c r="H23" i="2"/>
  <c r="G23" i="2"/>
  <c r="F23" i="2"/>
  <c r="E23" i="2"/>
  <c r="J23" i="2" s="1"/>
  <c r="I22" i="2"/>
  <c r="H22" i="2"/>
  <c r="G22" i="2"/>
  <c r="F22" i="2"/>
  <c r="E22" i="2"/>
  <c r="J22" i="2" s="1"/>
  <c r="I21" i="2"/>
  <c r="H21" i="2"/>
  <c r="G21" i="2"/>
  <c r="F21" i="2"/>
  <c r="E21" i="2"/>
  <c r="J21" i="2" s="1"/>
  <c r="I20" i="2"/>
  <c r="H20" i="2"/>
  <c r="G20" i="2"/>
  <c r="F20" i="2"/>
  <c r="E20" i="2"/>
  <c r="J20" i="2" s="1"/>
  <c r="I19" i="2"/>
  <c r="H19" i="2"/>
  <c r="G19" i="2"/>
  <c r="F19" i="2"/>
  <c r="E19" i="2"/>
  <c r="J19" i="2" s="1"/>
  <c r="I18" i="2"/>
  <c r="H18" i="2"/>
  <c r="G18" i="2"/>
  <c r="F18" i="2"/>
  <c r="E18" i="2"/>
  <c r="J18" i="2" s="1"/>
  <c r="I17" i="2"/>
  <c r="H17" i="2"/>
  <c r="G17" i="2"/>
  <c r="F17" i="2"/>
  <c r="E17" i="2"/>
  <c r="J17" i="2" s="1"/>
  <c r="I16" i="2"/>
  <c r="H16" i="2"/>
  <c r="G16" i="2"/>
  <c r="F16" i="2"/>
  <c r="E16" i="2"/>
  <c r="J16" i="2" s="1"/>
  <c r="I15" i="2"/>
  <c r="H15" i="2"/>
  <c r="G15" i="2"/>
  <c r="F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I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P5" i="1"/>
  <c r="I5" i="1"/>
  <c r="G5" i="1"/>
  <c r="J251" i="2" l="1"/>
  <c r="J48" i="2"/>
  <c r="K253" i="2"/>
  <c r="L253" i="2"/>
  <c r="K252" i="2"/>
  <c r="L252" i="2" s="1"/>
  <c r="K251" i="2"/>
  <c r="L251" i="2" s="1"/>
  <c r="I167" i="1"/>
  <c r="I166" i="1"/>
  <c r="I161" i="1"/>
  <c r="I160" i="1"/>
  <c r="I159" i="1"/>
  <c r="I158" i="1"/>
  <c r="I157" i="1"/>
  <c r="I156" i="1"/>
  <c r="I147" i="1"/>
  <c r="I146" i="1"/>
  <c r="I145" i="1"/>
  <c r="I144" i="1"/>
  <c r="I143" i="1"/>
  <c r="I141" i="1"/>
  <c r="I140" i="1"/>
  <c r="I139" i="1"/>
  <c r="I138" i="1"/>
  <c r="I137" i="1"/>
  <c r="I134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05" i="1"/>
  <c r="I104" i="1"/>
  <c r="I101" i="1"/>
  <c r="I99" i="1"/>
  <c r="I98" i="1"/>
  <c r="I97" i="1"/>
  <c r="I96" i="1"/>
  <c r="I95" i="1"/>
  <c r="I94" i="1"/>
  <c r="I93" i="1"/>
  <c r="I92" i="1"/>
  <c r="I239" i="1"/>
  <c r="I238" i="1"/>
  <c r="I237" i="1"/>
  <c r="I213" i="1"/>
  <c r="I229" i="1"/>
  <c r="I227" i="1"/>
  <c r="I204" i="1"/>
  <c r="I203" i="1"/>
  <c r="I193" i="1"/>
  <c r="I191" i="1"/>
  <c r="I189" i="1"/>
  <c r="I188" i="1"/>
  <c r="I187" i="1"/>
  <c r="I185" i="1"/>
  <c r="I183" i="1"/>
  <c r="I179" i="1"/>
  <c r="I173" i="1"/>
  <c r="I172" i="1"/>
  <c r="I165" i="1"/>
  <c r="I171" i="1"/>
  <c r="I170" i="1"/>
  <c r="I169" i="1"/>
  <c r="I168" i="1"/>
  <c r="I164" i="1"/>
  <c r="I163" i="1"/>
  <c r="I162" i="1"/>
  <c r="I155" i="1"/>
  <c r="I240" i="1"/>
  <c r="I154" i="1"/>
  <c r="I236" i="1"/>
  <c r="I153" i="1"/>
  <c r="I235" i="1"/>
  <c r="I152" i="1"/>
  <c r="I234" i="1"/>
  <c r="I151" i="1"/>
  <c r="I233" i="1"/>
  <c r="I150" i="1"/>
  <c r="I232" i="1"/>
  <c r="I149" i="1"/>
  <c r="I231" i="1"/>
  <c r="I148" i="1"/>
  <c r="I230" i="1"/>
  <c r="I142" i="1"/>
  <c r="I228" i="1"/>
  <c r="I136" i="1"/>
  <c r="I226" i="1"/>
  <c r="I135" i="1"/>
  <c r="I225" i="1"/>
  <c r="I133" i="1"/>
  <c r="I224" i="1"/>
  <c r="I113" i="1"/>
  <c r="I223" i="1"/>
  <c r="I112" i="1"/>
  <c r="I222" i="1"/>
  <c r="I111" i="1"/>
  <c r="I221" i="1"/>
  <c r="I110" i="1"/>
  <c r="I220" i="1"/>
  <c r="I109" i="1"/>
  <c r="I219" i="1"/>
  <c r="I108" i="1"/>
  <c r="I218" i="1"/>
  <c r="I107" i="1"/>
  <c r="I217" i="1"/>
  <c r="I106" i="1"/>
  <c r="I216" i="1"/>
  <c r="I103" i="1"/>
  <c r="I215" i="1"/>
  <c r="I102" i="1"/>
  <c r="I214" i="1"/>
  <c r="I100" i="1"/>
  <c r="I184" i="1"/>
  <c r="I212" i="1"/>
  <c r="I211" i="1"/>
  <c r="I210" i="1"/>
  <c r="I209" i="1"/>
  <c r="I208" i="1"/>
  <c r="I207" i="1"/>
  <c r="I206" i="1"/>
  <c r="I205" i="1"/>
  <c r="I202" i="1"/>
  <c r="I201" i="1"/>
  <c r="I200" i="1"/>
  <c r="I199" i="1"/>
  <c r="I198" i="1"/>
  <c r="I197" i="1"/>
  <c r="I196" i="1"/>
  <c r="I195" i="1"/>
  <c r="I194" i="1"/>
  <c r="I192" i="1"/>
  <c r="I190" i="1"/>
  <c r="I186" i="1"/>
  <c r="I182" i="1"/>
  <c r="I181" i="1"/>
  <c r="I180" i="1"/>
  <c r="I178" i="1"/>
  <c r="I177" i="1"/>
  <c r="I176" i="1"/>
  <c r="I175" i="1"/>
  <c r="I174" i="1"/>
  <c r="G93" i="1"/>
  <c r="G108" i="1"/>
  <c r="G109" i="1"/>
  <c r="G110" i="1"/>
  <c r="G111" i="1"/>
  <c r="G112" i="1"/>
  <c r="G113" i="1"/>
  <c r="G114" i="1"/>
  <c r="G166" i="1"/>
  <c r="G115" i="1"/>
  <c r="G210" i="1"/>
  <c r="G116" i="1"/>
  <c r="G167" i="1"/>
  <c r="G117" i="1"/>
  <c r="G198" i="1"/>
  <c r="G118" i="1"/>
  <c r="G174" i="1"/>
  <c r="G119" i="1"/>
  <c r="G207" i="1"/>
  <c r="G120" i="1"/>
  <c r="G175" i="1"/>
  <c r="G121" i="1"/>
  <c r="G199" i="1"/>
  <c r="G122" i="1"/>
  <c r="G170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30" i="1"/>
  <c r="G231" i="1"/>
  <c r="G232" i="1"/>
  <c r="G233" i="1"/>
  <c r="G234" i="1"/>
  <c r="G235" i="1"/>
  <c r="G236" i="1"/>
  <c r="G240" i="1"/>
  <c r="G97" i="1"/>
  <c r="G96" i="1"/>
  <c r="G95" i="1"/>
  <c r="G94" i="1"/>
  <c r="G98" i="1"/>
  <c r="G99" i="1"/>
  <c r="G176" i="1"/>
  <c r="G101" i="1"/>
  <c r="G102" i="1"/>
  <c r="G123" i="1"/>
  <c r="G103" i="1"/>
  <c r="G212" i="1"/>
  <c r="G104" i="1"/>
  <c r="G105" i="1"/>
  <c r="G124" i="1"/>
  <c r="G177" i="1"/>
  <c r="G125" i="1"/>
  <c r="G200" i="1"/>
  <c r="G126" i="1"/>
  <c r="G178" i="1"/>
  <c r="G127" i="1"/>
  <c r="G208" i="1"/>
  <c r="G128" i="1"/>
  <c r="G134" i="1"/>
  <c r="G180" i="1"/>
  <c r="G129" i="1"/>
  <c r="G138" i="1"/>
  <c r="G139" i="1"/>
  <c r="G201" i="1"/>
  <c r="G148" i="1"/>
  <c r="G130" i="1"/>
  <c r="G149" i="1"/>
  <c r="G181" i="1"/>
  <c r="G150" i="1"/>
  <c r="G131" i="1"/>
  <c r="G151" i="1"/>
  <c r="G211" i="1"/>
  <c r="G152" i="1"/>
  <c r="G132" i="1"/>
  <c r="G153" i="1"/>
  <c r="G182" i="1"/>
  <c r="G154" i="1"/>
  <c r="G133" i="1"/>
  <c r="G155" i="1"/>
  <c r="G202" i="1"/>
  <c r="G162" i="1"/>
  <c r="G135" i="1"/>
  <c r="G136" i="1"/>
  <c r="G164" i="1"/>
  <c r="G137" i="1"/>
  <c r="G168" i="1"/>
  <c r="G183" i="1"/>
  <c r="G169" i="1"/>
  <c r="G184" i="1"/>
  <c r="G214" i="1"/>
  <c r="G185" i="1"/>
  <c r="G171" i="1"/>
  <c r="G140" i="1"/>
  <c r="G172" i="1"/>
  <c r="G209" i="1"/>
  <c r="G173" i="1"/>
  <c r="G141" i="1"/>
  <c r="G179" i="1"/>
  <c r="G187" i="1"/>
  <c r="G142" i="1"/>
  <c r="G143" i="1"/>
  <c r="G186" i="1"/>
  <c r="G188" i="1"/>
  <c r="G144" i="1"/>
  <c r="G189" i="1"/>
  <c r="G190" i="1"/>
  <c r="G145" i="1"/>
  <c r="G192" i="1"/>
  <c r="G203" i="1"/>
  <c r="G194" i="1"/>
  <c r="G195" i="1"/>
  <c r="G146" i="1"/>
  <c r="G191" i="1"/>
  <c r="G227" i="1"/>
  <c r="G147" i="1"/>
  <c r="G229" i="1"/>
  <c r="G204" i="1"/>
  <c r="G237" i="1"/>
  <c r="G156" i="1"/>
  <c r="G238" i="1"/>
  <c r="G193" i="1"/>
  <c r="G239" i="1"/>
  <c r="G157" i="1"/>
  <c r="G163" i="1"/>
  <c r="G91" i="1"/>
  <c r="G92" i="1"/>
  <c r="G205" i="1"/>
  <c r="G158" i="1"/>
  <c r="G213" i="1"/>
  <c r="G159" i="1"/>
  <c r="G196" i="1"/>
  <c r="G160" i="1"/>
  <c r="G206" i="1"/>
  <c r="G161" i="1"/>
  <c r="G100" i="1"/>
  <c r="G197" i="1"/>
  <c r="G215" i="1"/>
  <c r="G165" i="1"/>
  <c r="G106" i="1"/>
  <c r="G107" i="1"/>
  <c r="K250" i="2"/>
  <c r="L250" i="2"/>
  <c r="K249" i="2"/>
  <c r="L249" i="2"/>
  <c r="K248" i="2"/>
  <c r="L248" i="2"/>
  <c r="K247" i="2"/>
  <c r="L247" i="2"/>
  <c r="K246" i="2"/>
  <c r="L246" i="2"/>
  <c r="K245" i="2"/>
  <c r="L245" i="2"/>
  <c r="K244" i="2"/>
  <c r="L244" i="2"/>
  <c r="K243" i="2"/>
  <c r="L243" i="2"/>
  <c r="K242" i="2"/>
  <c r="L242" i="2"/>
  <c r="K241" i="2"/>
  <c r="L241" i="2"/>
  <c r="K240" i="2"/>
  <c r="L240" i="2"/>
  <c r="K239" i="2"/>
  <c r="L239" i="2"/>
  <c r="K238" i="2"/>
  <c r="L238" i="2"/>
  <c r="K237" i="2"/>
  <c r="L237" i="2"/>
  <c r="K236" i="2"/>
  <c r="L236" i="2"/>
  <c r="K235" i="2"/>
  <c r="L235" i="2"/>
  <c r="K234" i="2"/>
  <c r="L234" i="2"/>
  <c r="K233" i="2"/>
  <c r="L233" i="2"/>
  <c r="K232" i="2"/>
  <c r="L232" i="2"/>
  <c r="K231" i="2"/>
  <c r="L231" i="2"/>
  <c r="K230" i="2"/>
  <c r="L230" i="2"/>
  <c r="K229" i="2"/>
  <c r="L229" i="2"/>
  <c r="K228" i="2"/>
  <c r="L228" i="2"/>
  <c r="K227" i="2"/>
  <c r="L227" i="2"/>
  <c r="K226" i="2"/>
  <c r="L226" i="2"/>
  <c r="K225" i="2"/>
  <c r="L225" i="2"/>
  <c r="K224" i="2"/>
  <c r="L224" i="2"/>
  <c r="K223" i="2"/>
  <c r="L223" i="2"/>
  <c r="K222" i="2"/>
  <c r="L222" i="2"/>
  <c r="K221" i="2"/>
  <c r="L221" i="2"/>
  <c r="K220" i="2"/>
  <c r="L220" i="2"/>
  <c r="K219" i="2"/>
  <c r="L219" i="2"/>
  <c r="K218" i="2"/>
  <c r="L218" i="2"/>
  <c r="K217" i="2"/>
  <c r="L217" i="2"/>
  <c r="K216" i="2"/>
  <c r="L216" i="2"/>
  <c r="K215" i="2"/>
  <c r="L215" i="2"/>
  <c r="K214" i="2"/>
  <c r="L214" i="2"/>
  <c r="K213" i="2"/>
  <c r="L213" i="2"/>
  <c r="K212" i="2"/>
  <c r="L212" i="2"/>
  <c r="K211" i="2"/>
  <c r="L211" i="2"/>
  <c r="K210" i="2"/>
  <c r="L210" i="2"/>
  <c r="K209" i="2"/>
  <c r="L209" i="2"/>
  <c r="K208" i="2"/>
  <c r="L208" i="2"/>
  <c r="K207" i="2"/>
  <c r="L207" i="2"/>
  <c r="K206" i="2"/>
  <c r="L206" i="2" s="1"/>
  <c r="K205" i="2"/>
  <c r="L205" i="2"/>
  <c r="K204" i="2"/>
  <c r="L204" i="2"/>
  <c r="K203" i="2"/>
  <c r="L203" i="2"/>
  <c r="K202" i="2"/>
  <c r="L202" i="2"/>
  <c r="K201" i="2"/>
  <c r="L201" i="2"/>
  <c r="K200" i="2"/>
  <c r="L200" i="2"/>
  <c r="K199" i="2"/>
  <c r="L199" i="2"/>
  <c r="K198" i="2"/>
  <c r="L198" i="2"/>
  <c r="K197" i="2"/>
  <c r="L197" i="2"/>
  <c r="K196" i="2"/>
  <c r="L196" i="2"/>
  <c r="K195" i="2"/>
  <c r="L195" i="2"/>
  <c r="K194" i="2"/>
  <c r="L194" i="2"/>
  <c r="K193" i="2"/>
  <c r="L193" i="2"/>
  <c r="K192" i="2"/>
  <c r="L192" i="2"/>
  <c r="K191" i="2"/>
  <c r="L191" i="2"/>
  <c r="K190" i="2"/>
  <c r="L190" i="2"/>
  <c r="K189" i="2"/>
  <c r="L189" i="2"/>
  <c r="K188" i="2"/>
  <c r="L188" i="2"/>
  <c r="K187" i="2"/>
  <c r="L187" i="2"/>
  <c r="K186" i="2"/>
  <c r="L186" i="2"/>
  <c r="K185" i="2"/>
  <c r="L185" i="2"/>
  <c r="K184" i="2"/>
  <c r="L184" i="2"/>
  <c r="K183" i="2"/>
  <c r="L183" i="2"/>
  <c r="K182" i="2"/>
  <c r="L182" i="2"/>
  <c r="K181" i="2"/>
  <c r="L181" i="2"/>
  <c r="K180" i="2"/>
  <c r="L180" i="2"/>
  <c r="K179" i="2"/>
  <c r="L179" i="2"/>
  <c r="K178" i="2"/>
  <c r="L178" i="2"/>
  <c r="K177" i="2"/>
  <c r="L177" i="2"/>
  <c r="K176" i="2"/>
  <c r="L176" i="2"/>
  <c r="K175" i="2"/>
  <c r="L175" i="2"/>
  <c r="K174" i="2"/>
  <c r="L174" i="2"/>
  <c r="K173" i="2"/>
  <c r="L173" i="2"/>
  <c r="K172" i="2"/>
  <c r="L172" i="2"/>
  <c r="K171" i="2"/>
  <c r="L171" i="2"/>
  <c r="K170" i="2"/>
  <c r="L170" i="2"/>
  <c r="K169" i="2"/>
  <c r="L169" i="2"/>
  <c r="K168" i="2"/>
  <c r="L168" i="2"/>
  <c r="K167" i="2"/>
  <c r="L167" i="2"/>
  <c r="K166" i="2"/>
  <c r="L166" i="2"/>
  <c r="K165" i="2"/>
  <c r="L165" i="2"/>
  <c r="K164" i="2"/>
  <c r="L164" i="2"/>
  <c r="K163" i="2"/>
  <c r="L163" i="2"/>
  <c r="K162" i="2"/>
  <c r="L162" i="2"/>
  <c r="K161" i="2"/>
  <c r="L161" i="2"/>
  <c r="K160" i="2"/>
  <c r="L160" i="2"/>
  <c r="K159" i="2"/>
  <c r="L159" i="2"/>
  <c r="K158" i="2"/>
  <c r="L158" i="2"/>
  <c r="K157" i="2"/>
  <c r="L157" i="2"/>
  <c r="K156" i="2"/>
  <c r="L156" i="2"/>
  <c r="K155" i="2"/>
  <c r="L155" i="2"/>
  <c r="K154" i="2"/>
  <c r="L154" i="2"/>
  <c r="K153" i="2"/>
  <c r="L153" i="2"/>
  <c r="K152" i="2"/>
  <c r="L152" i="2"/>
  <c r="K151" i="2"/>
  <c r="L151" i="2"/>
  <c r="K150" i="2"/>
  <c r="L150" i="2"/>
  <c r="K149" i="2"/>
  <c r="L149" i="2"/>
  <c r="K148" i="2"/>
  <c r="L148" i="2"/>
  <c r="K147" i="2"/>
  <c r="L147" i="2"/>
  <c r="K146" i="2"/>
  <c r="L146" i="2"/>
  <c r="K145" i="2"/>
  <c r="L145" i="2"/>
  <c r="K144" i="2"/>
  <c r="L144" i="2"/>
  <c r="K143" i="2"/>
  <c r="L143" i="2"/>
  <c r="K142" i="2"/>
  <c r="L142" i="2"/>
  <c r="K141" i="2"/>
  <c r="L141" i="2"/>
  <c r="K140" i="2"/>
  <c r="L140" i="2"/>
  <c r="K139" i="2"/>
  <c r="L139" i="2"/>
  <c r="K138" i="2"/>
  <c r="L138" i="2"/>
  <c r="K137" i="2"/>
  <c r="L137" i="2"/>
  <c r="K136" i="2"/>
  <c r="L136" i="2"/>
  <c r="K135" i="2"/>
  <c r="L135" i="2"/>
  <c r="K134" i="2"/>
  <c r="L134" i="2"/>
  <c r="K133" i="2"/>
  <c r="L133" i="2"/>
  <c r="K132" i="2"/>
  <c r="L132" i="2"/>
  <c r="K131" i="2"/>
  <c r="L131" i="2"/>
  <c r="K130" i="2"/>
  <c r="L130" i="2"/>
  <c r="K129" i="2"/>
  <c r="L129" i="2"/>
  <c r="K128" i="2"/>
  <c r="L128" i="2"/>
  <c r="K127" i="2"/>
  <c r="L127" i="2"/>
  <c r="K126" i="2"/>
  <c r="L126" i="2"/>
  <c r="K125" i="2"/>
  <c r="L125" i="2"/>
  <c r="K124" i="2"/>
  <c r="L124" i="2"/>
  <c r="K123" i="2"/>
  <c r="L123" i="2"/>
  <c r="K122" i="2"/>
  <c r="L122" i="2"/>
  <c r="K121" i="2"/>
  <c r="L121" i="2"/>
  <c r="K120" i="2"/>
  <c r="L120" i="2"/>
  <c r="K119" i="2"/>
  <c r="L119" i="2"/>
  <c r="K118" i="2"/>
  <c r="L118" i="2"/>
  <c r="K117" i="2"/>
  <c r="L117" i="2"/>
  <c r="K116" i="2"/>
  <c r="L116" i="2"/>
  <c r="K115" i="2"/>
  <c r="L115" i="2"/>
  <c r="K114" i="2"/>
  <c r="L114" i="2"/>
  <c r="K113" i="2"/>
  <c r="L113" i="2"/>
  <c r="K112" i="2"/>
  <c r="L112" i="2" s="1"/>
  <c r="K111" i="2"/>
  <c r="L111" i="2"/>
  <c r="K110" i="2"/>
  <c r="L110" i="2"/>
  <c r="K109" i="2"/>
  <c r="L109" i="2"/>
  <c r="K108" i="2"/>
  <c r="L108" i="2"/>
  <c r="K107" i="2"/>
  <c r="L107" i="2"/>
  <c r="K106" i="2"/>
  <c r="L106" i="2"/>
  <c r="K105" i="2"/>
  <c r="L105" i="2"/>
  <c r="K104" i="2"/>
  <c r="L104" i="2"/>
  <c r="K103" i="2"/>
  <c r="L103" i="2"/>
  <c r="K102" i="2"/>
  <c r="L102" i="2"/>
  <c r="K101" i="2"/>
  <c r="L101" i="2"/>
  <c r="K100" i="2"/>
  <c r="L100" i="2"/>
  <c r="K99" i="2"/>
  <c r="L99" i="2"/>
  <c r="K98" i="2"/>
  <c r="L98" i="2"/>
  <c r="K97" i="2"/>
  <c r="L97" i="2"/>
  <c r="K96" i="2"/>
  <c r="L96" i="2"/>
  <c r="K95" i="2"/>
  <c r="L95" i="2"/>
  <c r="K94" i="2"/>
  <c r="L94" i="2"/>
  <c r="K93" i="2"/>
  <c r="L93" i="2"/>
  <c r="K92" i="2"/>
  <c r="L92" i="2"/>
  <c r="K91" i="2"/>
  <c r="L91" i="2"/>
  <c r="K90" i="2"/>
  <c r="L90" i="2"/>
  <c r="K89" i="2"/>
  <c r="L89" i="2"/>
  <c r="K88" i="2"/>
  <c r="L88" i="2"/>
  <c r="K87" i="2"/>
  <c r="L87" i="2"/>
  <c r="K86" i="2"/>
  <c r="L86" i="2"/>
  <c r="K85" i="2"/>
  <c r="L85" i="2"/>
  <c r="K84" i="2"/>
  <c r="L84" i="2"/>
  <c r="K83" i="2"/>
  <c r="L83" i="2"/>
  <c r="K82" i="2"/>
  <c r="L82" i="2"/>
  <c r="K81" i="2"/>
  <c r="L81" i="2"/>
  <c r="K80" i="2"/>
  <c r="L80" i="2"/>
  <c r="K79" i="2"/>
  <c r="L79" i="2"/>
  <c r="K78" i="2"/>
  <c r="L78" i="2"/>
  <c r="K77" i="2"/>
  <c r="L77" i="2"/>
  <c r="K76" i="2"/>
  <c r="L76" i="2"/>
  <c r="K75" i="2"/>
  <c r="L75" i="2"/>
  <c r="K74" i="2"/>
  <c r="L74" i="2"/>
  <c r="K73" i="2"/>
  <c r="L73" i="2"/>
  <c r="K72" i="2"/>
  <c r="L72" i="2"/>
  <c r="K71" i="2"/>
  <c r="L71" i="2"/>
  <c r="K70" i="2"/>
  <c r="L70" i="2"/>
  <c r="K69" i="2"/>
  <c r="L69" i="2"/>
  <c r="K68" i="2"/>
  <c r="L68" i="2"/>
  <c r="K67" i="2"/>
  <c r="L67" i="2"/>
  <c r="K66" i="2"/>
  <c r="L66" i="2"/>
  <c r="K65" i="2"/>
  <c r="L65" i="2"/>
  <c r="K64" i="2"/>
  <c r="L64" i="2"/>
  <c r="K63" i="2"/>
  <c r="L63" i="2"/>
  <c r="K62" i="2"/>
  <c r="L62" i="2"/>
  <c r="K61" i="2"/>
  <c r="L61" i="2"/>
  <c r="K60" i="2"/>
  <c r="L60" i="2"/>
  <c r="K59" i="2"/>
  <c r="L59" i="2"/>
  <c r="K58" i="2"/>
  <c r="L58" i="2"/>
  <c r="K57" i="2"/>
  <c r="L57" i="2"/>
  <c r="K56" i="2"/>
  <c r="L56" i="2"/>
  <c r="K55" i="2"/>
  <c r="L55" i="2"/>
  <c r="K54" i="2"/>
  <c r="L54" i="2"/>
  <c r="K53" i="2"/>
  <c r="L53" i="2"/>
  <c r="K52" i="2"/>
  <c r="L52" i="2"/>
  <c r="K51" i="2"/>
  <c r="L51" i="2"/>
  <c r="K50" i="2"/>
  <c r="L50" i="2"/>
  <c r="K49" i="2"/>
  <c r="L49" i="2"/>
  <c r="K47" i="2"/>
  <c r="L47" i="2"/>
  <c r="K46" i="2"/>
  <c r="L46" i="2"/>
  <c r="K45" i="2"/>
  <c r="L45" i="2"/>
  <c r="K44" i="2"/>
  <c r="L44" i="2"/>
  <c r="K43" i="2"/>
  <c r="L43" i="2"/>
  <c r="K42" i="2"/>
  <c r="L42" i="2"/>
  <c r="K41" i="2"/>
  <c r="L41" i="2"/>
  <c r="K40" i="2"/>
  <c r="L40" i="2"/>
  <c r="K39" i="2"/>
  <c r="L39" i="2"/>
  <c r="K38" i="2"/>
  <c r="L38" i="2"/>
  <c r="K37" i="2"/>
  <c r="L37" i="2"/>
  <c r="K36" i="2"/>
  <c r="L36" i="2"/>
  <c r="K35" i="2"/>
  <c r="L35" i="2"/>
  <c r="K34" i="2"/>
  <c r="L34" i="2"/>
  <c r="K33" i="2"/>
  <c r="L33" i="2"/>
  <c r="K32" i="2"/>
  <c r="L32" i="2"/>
  <c r="K31" i="2"/>
  <c r="L31" i="2"/>
  <c r="K30" i="2"/>
  <c r="L30" i="2"/>
  <c r="K29" i="2"/>
  <c r="L29" i="2"/>
  <c r="K28" i="2"/>
  <c r="L28" i="2"/>
  <c r="K27" i="2"/>
  <c r="L27" i="2"/>
  <c r="K26" i="2"/>
  <c r="L26" i="2"/>
  <c r="K25" i="2"/>
  <c r="L25" i="2"/>
  <c r="K24" i="2"/>
  <c r="L24" i="2"/>
  <c r="K23" i="2"/>
  <c r="L23" i="2"/>
  <c r="K22" i="2"/>
  <c r="L22" i="2"/>
  <c r="K21" i="2"/>
  <c r="L21" i="2"/>
  <c r="K20" i="2"/>
  <c r="L20" i="2"/>
  <c r="K19" i="2"/>
  <c r="L19" i="2"/>
  <c r="K18" i="2"/>
  <c r="L18" i="2"/>
  <c r="K17" i="2"/>
  <c r="L17" i="2"/>
  <c r="K16" i="2"/>
  <c r="L16" i="2"/>
  <c r="K15" i="2"/>
  <c r="L15" i="2"/>
  <c r="K48" i="2" l="1"/>
  <c r="L48" i="2"/>
</calcChain>
</file>

<file path=xl/sharedStrings.xml><?xml version="1.0" encoding="utf-8"?>
<sst xmlns="http://schemas.openxmlformats.org/spreadsheetml/2006/main" count="6514" uniqueCount="1811">
  <si>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</si>
  <si>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</si>
  <si>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</si>
  <si>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</si>
  <si>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</si>
  <si>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</si>
  <si>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</si>
  <si>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</si>
  <si>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</si>
  <si>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</si>
  <si>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</si>
  <si>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</si>
  <si>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</si>
  <si>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</si>
  <si>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</si>
  <si>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</si>
  <si>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</si>
  <si>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</si>
  <si>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</si>
  <si>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</si>
  <si>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</si>
  <si>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</si>
  <si>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</si>
  <si>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</si>
  <si>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</si>
  <si>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</si>
  <si>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</si>
  <si>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</si>
  <si>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</si>
  <si>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</si>
  <si>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</si>
  <si>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</si>
  <si>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</si>
  <si>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</si>
  <si>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</si>
  <si>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</si>
  <si>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</si>
  <si>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</si>
  <si>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</si>
  <si>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concentrado rinde 10 Litros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</si>
  <si>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</si>
  <si>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</si>
  <si>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</si>
  <si>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</si>
  <si>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</si>
  <si>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</si>
  <si>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</si>
  <si>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</si>
  <si>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</si>
  <si>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</si>
  <si>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</si>
  <si>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</si>
  <si>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</si>
  <si>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</si>
  <si>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</si>
  <si>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</si>
  <si>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</si>
  <si>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</si>
  <si>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</si>
  <si>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</si>
  <si>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</si>
  <si>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</si>
  <si>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</si>
  <si>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</si>
  <si>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</si>
  <si>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</si>
  <si>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</si>
  <si>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</si>
  <si>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</si>
  <si>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</si>
  <si>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</si>
  <si>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</si>
  <si>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</si>
  <si>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</si>
  <si>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</si>
  <si>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</si>
  <si>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</si>
  <si>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</si>
  <si>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</si>
  <si>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</si>
  <si>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</si>
  <si>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</si>
  <si>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</si>
  <si>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</si>
  <si>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</si>
  <si>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</si>
  <si>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</si>
  <si>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</si>
  <si>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</si>
  <si>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</si>
  <si>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</si>
  <si>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</si>
  <si>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</si>
  <si>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</si>
  <si>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</si>
  <si>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</si>
  <si>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</si>
  <si>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</si>
  <si>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</si>
  <si>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</si>
  <si>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</si>
  <si>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</si>
  <si>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</si>
  <si>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</si>
  <si>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</si>
  <si>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</si>
  <si>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</si>
  <si>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</si>
  <si>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</si>
  <si>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</si>
  <si>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</si>
  <si>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</si>
  <si>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</si>
  <si>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</si>
  <si>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</si>
  <si>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</si>
  <si>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</si>
  <si>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</si>
  <si>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</si>
  <si>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</si>
  <si>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</si>
  <si>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</si>
  <si>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</si>
  <si>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</si>
  <si>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</si>
  <si>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</si>
  <si>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</si>
  <si>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</si>
  <si>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</si>
  <si>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</si>
  <si>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</si>
  <si>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</si>
  <si>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</si>
  <si>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</si>
  <si>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</si>
  <si>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</si>
  <si>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</si>
  <si>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</si>
  <si>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</si>
  <si>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</si>
  <si>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</si>
  <si>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</si>
  <si>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</si>
  <si>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</si>
  <si>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</si>
  <si>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</si>
  <si>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</si>
  <si>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</si>
  <si>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</si>
  <si>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</si>
  <si>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</si>
  <si>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</si>
  <si>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</si>
  <si>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</si>
  <si>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</si>
  <si>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</si>
  <si>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</si>
  <si>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</si>
  <si>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</si>
  <si>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</si>
  <si>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</si>
  <si>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</si>
  <si>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</si>
  <si>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</si>
  <si>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</si>
  <si>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</si>
  <si>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</si>
  <si>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</si>
  <si>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</si>
  <si>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</si>
  <si>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</si>
  <si>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</si>
  <si>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</si>
  <si>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</si>
  <si>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</si>
  <si>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</si>
  <si>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</si>
  <si>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</si>
  <si>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</si>
  <si>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</si>
  <si>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</si>
  <si>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</si>
  <si>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</si>
  <si>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</si>
  <si>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</si>
  <si>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</si>
  <si>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</si>
  <si>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</si>
  <si>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</si>
  <si>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</si>
  <si>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</si>
  <si>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</si>
  <si>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</si>
  <si>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</si>
  <si>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</si>
  <si>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</si>
  <si>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</si>
  <si>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</si>
  <si>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</si>
  <si>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</si>
  <si>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</si>
  <si>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</si>
  <si>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</si>
  <si>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</si>
  <si>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</si>
  <si>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</si>
  <si>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</si>
  <si>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</si>
  <si>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</si>
  <si>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</si>
  <si>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</si>
  <si>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</si>
  <si>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</si>
  <si>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</si>
  <si>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</si>
  <si>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</si>
  <si>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</si>
  <si>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</si>
  <si>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</si>
  <si>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</si>
  <si>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</si>
  <si>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</si>
  <si>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</si>
  <si>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</si>
  <si>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</si>
  <si>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</si>
  <si>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</si>
  <si>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</si>
  <si>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</si>
  <si>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</si>
  <si>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</si>
  <si>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</si>
  <si>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</si>
  <si>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</si>
  <si>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</si>
  <si>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</si>
  <si>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</si>
  <si>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</si>
  <si>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</si>
  <si>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</si>
  <si>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</si>
  <si>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</si>
  <si>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</si>
  <si>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</si>
  <si>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</si>
  <si>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</si>
  <si>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</si>
  <si>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</si>
  <si>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</si>
  <si>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</si>
  <si>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</si>
  <si>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</si>
  <si>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</si>
  <si>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</si>
  <si>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</si>
  <si>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</si>
  <si>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</si>
  <si>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</si>
  <si>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</si>
  <si>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</si>
  <si>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</si>
  <si>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</si>
  <si>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</si>
  <si>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</si>
  <si>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</si>
  <si>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</si>
  <si>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</si>
  <si>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</si>
  <si>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</si>
  <si>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</si>
  <si>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</si>
  <si>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</si>
  <si>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</si>
  <si>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</si>
  <si>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</si>
  <si>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</si>
  <si>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</si>
  <si>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</si>
  <si>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</si>
  <si>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</si>
  <si>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</si>
  <si>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</si>
  <si>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</si>
  <si>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</si>
  <si>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</si>
  <si>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</si>
  <si>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</si>
  <si>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</si>
  <si>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</si>
  <si>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</si>
  <si>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</si>
  <si>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</si>
  <si>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</si>
  <si>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</si>
  <si>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</si>
  <si>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</si>
  <si>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</si>
  <si>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</si>
  <si>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</si>
  <si>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</si>
  <si>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</si>
  <si>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</si>
  <si>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</si>
  <si>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</si>
  <si>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</si>
  <si>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</si>
  <si>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</si>
  <si>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</si>
  <si>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</si>
  <si>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</si>
  <si>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</si>
  <si>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</si>
  <si>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</si>
  <si>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</si>
  <si>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</si>
  <si>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</si>
  <si>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</si>
  <si>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</si>
  <si>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</si>
  <si>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</si>
  <si>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</si>
  <si>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</si>
  <si>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</si>
  <si>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</si>
  <si>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</si>
  <si>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</si>
  <si>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</si>
  <si>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</si>
  <si>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</si>
  <si>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</si>
  <si>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</si>
  <si>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</si>
  <si>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</si>
  <si>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</si>
  <si>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</si>
  <si>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</si>
  <si>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</si>
  <si>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</si>
  <si>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</si>
  <si>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</si>
  <si>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</si>
  <si>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</si>
  <si>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</si>
  <si>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</si>
  <si>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</si>
  <si>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</si>
  <si>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</si>
  <si>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</si>
  <si>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</si>
  <si>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</si>
  <si>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</si>
  <si>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</si>
  <si>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</si>
  <si>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</si>
  <si>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</si>
  <si>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</si>
  <si>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</si>
  <si>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</si>
  <si>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</si>
  <si>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</si>
  <si>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</si>
  <si>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</si>
  <si>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</si>
  <si>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</si>
  <si>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</si>
  <si>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</si>
  <si>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</si>
  <si>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</si>
  <si>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</si>
  <si>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</si>
  <si>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</si>
  <si>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</si>
  <si>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</si>
  <si>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</si>
  <si>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</si>
  <si>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</si>
  <si>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</si>
  <si>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</si>
  <si>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</si>
  <si>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</si>
  <si>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</si>
  <si>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</si>
  <si>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</si>
  <si>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</si>
  <si>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</si>
  <si>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</si>
  <si>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</si>
  <si>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</si>
  <si>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</si>
  <si>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</si>
  <si>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</si>
  <si>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</si>
  <si>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</si>
  <si>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</si>
  <si>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</si>
  <si>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</si>
  <si>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</si>
  <si>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</si>
  <si>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</si>
  <si>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</si>
  <si>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</si>
  <si>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</si>
  <si>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</si>
  <si>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</si>
  <si>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</si>
  <si>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</si>
  <si>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</si>
  <si>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</si>
  <si>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</si>
  <si>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</si>
  <si>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</si>
  <si>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</si>
  <si>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</si>
  <si>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</si>
  <si>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</si>
  <si>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</si>
  <si>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</si>
  <si>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</si>
  <si>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</si>
  <si>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</si>
  <si>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</si>
  <si>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</si>
  <si>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</si>
  <si>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</si>
  <si>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</si>
  <si>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</si>
  <si>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</si>
  <si>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</si>
  <si>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</si>
  <si>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</si>
  <si>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</si>
  <si>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</si>
  <si>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</si>
  <si>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</si>
  <si>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</si>
  <si>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</si>
  <si>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</si>
  <si>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</si>
  <si>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</si>
  <si>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</si>
  <si>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</si>
  <si>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</si>
  <si>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</si>
  <si>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</si>
  <si>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</si>
  <si>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</si>
  <si>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</si>
  <si>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</si>
  <si>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</si>
  <si>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</si>
  <si>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</si>
  <si>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</si>
  <si>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</si>
  <si>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</si>
  <si>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</si>
  <si>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</si>
  <si>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</si>
  <si>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</si>
  <si>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</si>
  <si>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</si>
  <si>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</si>
  <si>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</si>
  <si>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</si>
  <si>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</si>
  <si>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</si>
  <si>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</si>
  <si>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</si>
  <si>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</si>
  <si>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</si>
  <si>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</si>
  <si>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</si>
  <si>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</si>
  <si>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</si>
  <si>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</si>
  <si>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</si>
  <si>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</si>
  <si>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</si>
  <si>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</si>
  <si>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</si>
  <si>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</si>
  <si>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</si>
  <si>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</si>
  <si>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</si>
  <si>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</si>
  <si>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</si>
  <si>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</si>
  <si>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</si>
  <si>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</si>
  <si>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</si>
  <si>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</si>
  <si>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</si>
  <si>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</si>
  <si>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</si>
  <si>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</si>
  <si>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</si>
  <si>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</si>
  <si>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</si>
  <si>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</si>
  <si>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</si>
  <si>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</si>
  <si>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</si>
  <si>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</si>
  <si>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</si>
  <si>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</si>
  <si>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</si>
  <si>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</si>
  <si>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</si>
  <si>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</si>
  <si>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</si>
  <si>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</si>
  <si>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</si>
  <si>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</si>
  <si>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</si>
  <si>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</si>
  <si>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</si>
  <si>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</si>
  <si>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</si>
  <si>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</si>
  <si>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</si>
  <si>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</si>
  <si>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</si>
  <si>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</si>
  <si>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</si>
  <si>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</si>
  <si>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</si>
  <si>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</si>
  <si>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</si>
  <si>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</si>
  <si>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</si>
  <si>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</si>
  <si>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</si>
  <si>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</si>
  <si>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</si>
  <si>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</si>
  <si>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</si>
  <si>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</si>
  <si>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</si>
  <si>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</si>
  <si>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</si>
  <si>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</si>
  <si>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</si>
  <si>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</si>
  <si>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</si>
  <si>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</si>
  <si>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</si>
  <si>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</si>
  <si>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</si>
  <si>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</si>
  <si>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</si>
  <si>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</si>
  <si>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</si>
  <si>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</si>
  <si>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</si>
  <si>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</si>
  <si>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</si>
  <si>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</si>
  <si>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</si>
  <si>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</si>
  <si>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</si>
  <si>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</si>
  <si>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</si>
  <si>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</si>
  <si>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</si>
  <si>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</si>
  <si>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</si>
  <si>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</si>
  <si>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</si>
  <si>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</si>
  <si>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</si>
  <si>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</si>
  <si>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</si>
  <si>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</si>
  <si>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</si>
  <si>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</si>
  <si>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</si>
  <si>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</si>
  <si>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</si>
  <si>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</si>
  <si>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</si>
  <si>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</si>
  <si>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</si>
  <si>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</si>
  <si>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</si>
  <si>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</si>
  <si>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</si>
  <si>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</si>
  <si>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</si>
  <si>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</si>
  <si>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</si>
  <si>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</si>
  <si>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</si>
  <si>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</si>
  <si>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</si>
  <si>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</si>
  <si>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</si>
  <si>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</si>
  <si>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</si>
  <si>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</si>
  <si>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</si>
  <si>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</si>
  <si>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</si>
  <si>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</si>
  <si>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</si>
  <si>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</si>
  <si>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</si>
  <si>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</si>
  <si>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</si>
  <si>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</si>
  <si>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</si>
  <si>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</si>
  <si>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</si>
  <si>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</si>
  <si>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</si>
  <si>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</si>
  <si>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</si>
  <si>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</si>
  <si>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</si>
  <si>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</si>
  <si>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</si>
  <si>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</si>
  <si>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</si>
  <si>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</si>
  <si>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</si>
  <si>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</si>
  <si>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</si>
  <si>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</si>
  <si>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</si>
  <si>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</si>
  <si>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</si>
  <si>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</si>
  <si>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</si>
  <si>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</si>
  <si>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</si>
  <si>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</si>
  <si>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</si>
  <si>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</si>
  <si>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</si>
  <si>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</si>
  <si>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</si>
  <si>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</si>
  <si>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</si>
  <si>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</si>
  <si>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</si>
  <si>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</si>
  <si>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</si>
  <si>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</si>
  <si>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</si>
  <si>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</si>
  <si>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</si>
  <si>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</si>
  <si>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</si>
  <si>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</si>
  <si>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</si>
  <si>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</si>
  <si>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</si>
  <si>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</si>
  <si>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</si>
  <si>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</si>
  <si>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</si>
  <si>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</si>
  <si>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</si>
  <si>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</si>
  <si>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</si>
  <si>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</si>
  <si>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</si>
  <si>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</si>
  <si>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</si>
  <si>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</si>
  <si>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</si>
  <si>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</si>
  <si>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</si>
  <si>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</si>
  <si>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</si>
  <si>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</si>
  <si>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</si>
  <si>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</si>
  <si>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</si>
  <si>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</si>
  <si>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</si>
  <si>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</si>
  <si>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</si>
  <si>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</si>
  <si>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</si>
  <si>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</si>
  <si>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</si>
  <si>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</si>
  <si>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</si>
  <si>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</si>
  <si>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</si>
  <si>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</si>
  <si>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</si>
  <si>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</si>
  <si>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</si>
  <si>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</si>
  <si>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</si>
  <si>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</si>
  <si>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</si>
  <si>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</si>
  <si>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</si>
  <si>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</si>
  <si>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</si>
  <si>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</si>
  <si>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</si>
  <si>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</si>
  <si>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</si>
  <si>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</si>
  <si>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</si>
  <si>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</si>
  <si>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</si>
  <si>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</si>
  <si>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</si>
  <si>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</si>
  <si>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</si>
  <si>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</si>
  <si>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</si>
  <si>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</si>
  <si>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</si>
  <si>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</si>
  <si>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</si>
  <si>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</si>
  <si>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</si>
  <si>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</si>
  <si>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</si>
  <si>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</si>
  <si>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</si>
  <si>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</si>
  <si>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</si>
  <si>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</si>
  <si>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</si>
  <si>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</si>
  <si>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</si>
  <si>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</si>
  <si>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</si>
  <si>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</si>
  <si>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</si>
  <si>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</si>
  <si>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</si>
  <si>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</si>
  <si>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</si>
  <si>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</si>
  <si>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</si>
  <si>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</si>
  <si>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</si>
  <si>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</si>
  <si>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</si>
  <si>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</si>
  <si>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</si>
  <si>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</si>
  <si>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</si>
  <si>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concentrado Industrial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</si>
  <si>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</si>
  <si>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</si>
  <si>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</si>
  <si>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</si>
  <si>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</si>
  <si>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</si>
  <si>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</si>
  <si>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</si>
  <si>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</si>
  <si>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</si>
  <si>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</si>
  <si>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</si>
  <si>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</si>
  <si>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</si>
  <si>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</si>
  <si>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</si>
  <si>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</si>
  <si>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</si>
  <si>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</si>
  <si>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</si>
  <si>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</si>
  <si>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</si>
  <si>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</si>
  <si>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</si>
  <si>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</si>
  <si>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</si>
  <si>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</si>
  <si>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</si>
  <si>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</si>
  <si>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</si>
  <si>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</si>
  <si>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</si>
  <si>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</si>
  <si>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</si>
  <si>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</si>
  <si>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</si>
  <si>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</si>
  <si>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</si>
  <si>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</si>
  <si>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</si>
  <si>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</si>
  <si>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</si>
  <si>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</si>
  <si>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</si>
  <si>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</si>
  <si>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</si>
  <si>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</si>
  <si>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</si>
  <si>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</si>
  <si>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</si>
  <si>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</si>
  <si>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</si>
  <si>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</si>
  <si>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</si>
  <si>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</si>
  <si>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</si>
  <si>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</si>
  <si>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</si>
  <si>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</si>
  <si>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</si>
  <si>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</si>
  <si>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</si>
  <si>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</si>
  <si>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</si>
  <si>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</si>
  <si>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</si>
  <si>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</si>
  <si>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</si>
  <si>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</si>
  <si>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</si>
  <si>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</si>
  <si>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</si>
  <si>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</si>
  <si>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</si>
  <si>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</si>
  <si>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</si>
  <si>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</si>
  <si>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</si>
  <si>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</si>
  <si>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</si>
  <si>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</si>
  <si>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</si>
  <si>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</si>
  <si>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</si>
  <si>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</si>
  <si>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</si>
  <si>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</si>
  <si>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</si>
  <si>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</si>
  <si>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</si>
  <si>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</si>
  <si>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</si>
  <si>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</si>
  <si>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</si>
  <si>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</si>
  <si>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</si>
  <si>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</si>
  <si>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</si>
  <si>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</si>
  <si>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</si>
  <si>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</si>
  <si>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</si>
  <si>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</si>
  <si>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</si>
  <si>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</si>
  <si>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</si>
  <si>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</si>
  <si>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</si>
  <si>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</si>
  <si>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</si>
  <si>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</si>
  <si>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</si>
  <si>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</si>
  <si>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</si>
  <si>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</si>
  <si>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</si>
  <si>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</si>
  <si>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</si>
  <si>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</si>
  <si>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</si>
  <si>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</si>
  <si>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</si>
  <si>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</si>
  <si>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</si>
  <si>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</si>
  <si>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</si>
  <si>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</si>
  <si>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</si>
  <si>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</si>
  <si>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</si>
  <si>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</si>
  <si>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</si>
  <si>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</si>
  <si>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</si>
  <si>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</si>
  <si>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</si>
  <si>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</si>
  <si>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</si>
  <si>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</si>
  <si>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</si>
  <si>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</si>
  <si>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</si>
  <si>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</si>
  <si>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</si>
  <si>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</si>
  <si>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</si>
  <si>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</si>
  <si>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</si>
  <si>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</si>
  <si>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</si>
  <si>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</si>
  <si>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</si>
  <si>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</si>
  <si>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</si>
  <si>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</si>
  <si>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</si>
  <si>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</si>
  <si>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</si>
  <si>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</si>
  <si>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</si>
  <si>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</si>
  <si>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</si>
  <si>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</si>
  <si>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</si>
  <si>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</si>
  <si>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</si>
  <si>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</si>
  <si>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</si>
  <si>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</si>
  <si>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</si>
  <si>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</si>
  <si>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</si>
  <si>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</si>
  <si>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</si>
  <si>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</si>
  <si>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</si>
  <si>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</si>
  <si>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</si>
  <si>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</si>
  <si>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</si>
  <si>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</si>
  <si>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</si>
  <si>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</si>
  <si>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</si>
  <si>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</si>
  <si>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</si>
  <si>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</si>
  <si>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</si>
  <si>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</si>
  <si>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</si>
  <si>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</si>
  <si>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</si>
  <si>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</si>
  <si>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</si>
  <si>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</si>
  <si>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</si>
  <si>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</si>
  <si>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</si>
  <si>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</si>
  <si>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</si>
  <si>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</si>
  <si>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</si>
  <si>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</si>
  <si>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</si>
  <si>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</si>
  <si>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</si>
  <si>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</si>
  <si>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</si>
  <si>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</si>
  <si>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</si>
  <si>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</si>
  <si>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</si>
  <si>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</si>
  <si>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</si>
  <si>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</si>
  <si>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</si>
  <si>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</si>
  <si>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</si>
  <si>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</si>
  <si>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</si>
  <si>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</si>
  <si>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</si>
  <si>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</si>
  <si>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</si>
  <si>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</si>
  <si>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</si>
  <si>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</si>
  <si>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</si>
  <si>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</si>
  <si>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</si>
  <si>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</si>
  <si>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</si>
  <si>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</si>
  <si>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</si>
  <si>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</si>
  <si>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</si>
  <si>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</si>
  <si>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</si>
  <si>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</si>
  <si>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</si>
  <si>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</si>
  <si>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</si>
  <si>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</si>
  <si>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</si>
  <si>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</si>
  <si>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</si>
  <si>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</si>
  <si>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</si>
  <si>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</si>
  <si>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</si>
  <si>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</si>
  <si>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</si>
  <si>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</si>
  <si>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</si>
  <si>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</si>
  <si>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</si>
  <si>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</si>
  <si>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</si>
  <si>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</si>
  <si>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</si>
  <si>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</si>
  <si>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</si>
  <si>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</si>
  <si>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</si>
  <si>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</si>
  <si>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</si>
  <si>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</si>
  <si>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</si>
  <si>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</si>
  <si>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</si>
  <si>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</si>
  <si>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</si>
  <si>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</si>
  <si>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</si>
  <si>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</si>
  <si>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</si>
  <si>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</si>
  <si>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</si>
  <si>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</si>
  <si>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</si>
  <si>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</si>
  <si>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</si>
  <si>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</si>
  <si>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</si>
  <si>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</si>
  <si>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</si>
  <si>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</si>
  <si>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</si>
  <si>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</si>
  <si>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</si>
  <si>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</si>
  <si>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</si>
  <si>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</si>
  <si>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</si>
  <si>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</si>
  <si>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</si>
  <si>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</si>
  <si>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</si>
  <si>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</si>
  <si>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</si>
  <si>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</si>
  <si>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</si>
  <si>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</si>
  <si>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</si>
  <si>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</si>
  <si>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</si>
  <si>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</si>
  <si>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</si>
  <si>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</si>
  <si>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</si>
  <si>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</si>
  <si>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</si>
  <si>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</si>
  <si>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</si>
  <si>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</si>
  <si>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</si>
  <si>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</si>
  <si>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</si>
  <si>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</si>
  <si>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</si>
  <si>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</si>
  <si>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</si>
  <si>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</si>
  <si>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</si>
  <si>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</si>
  <si>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</si>
  <si>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</si>
  <si>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</si>
  <si>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</si>
  <si>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</si>
  <si>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</si>
  <si>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</si>
  <si>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</si>
  <si>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</si>
  <si>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</si>
  <si>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</si>
  <si>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</si>
  <si>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</si>
  <si>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</si>
  <si>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</si>
  <si>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</si>
  <si>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</si>
  <si>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</si>
  <si>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</si>
  <si>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</si>
  <si>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</si>
  <si>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</si>
  <si>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</si>
  <si>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</si>
  <si>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</si>
  <si>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</si>
  <si>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</si>
  <si>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</si>
  <si>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</si>
  <si>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</si>
  <si>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</si>
  <si>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</si>
  <si>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</si>
  <si>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</si>
  <si>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</si>
  <si>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</si>
  <si>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</si>
  <si>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</si>
  <si>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</si>
  <si>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</si>
  <si>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</si>
  <si>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</si>
  <si>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</si>
  <si>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</si>
  <si>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</si>
  <si>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</si>
  <si>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</si>
  <si>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</si>
  <si>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</si>
  <si>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</si>
  <si>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</si>
  <si>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</si>
  <si>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</si>
  <si>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</si>
  <si>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</si>
  <si>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</si>
  <si>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</si>
  <si>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</si>
  <si>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</si>
  <si>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</si>
  <si>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</si>
  <si>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</si>
  <si>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</si>
  <si>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</si>
  <si>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</si>
  <si>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</si>
  <si>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</si>
  <si>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</si>
  <si>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</si>
  <si>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</si>
  <si>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</si>
  <si>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</si>
  <si>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</si>
  <si>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</si>
  <si>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</si>
  <si>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</si>
  <si>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</si>
  <si>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</si>
  <si>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</si>
  <si>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</si>
  <si>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</si>
  <si>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</si>
  <si>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</si>
  <si>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</si>
  <si>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</si>
  <si>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</si>
  <si>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</si>
  <si>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</si>
  <si>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</si>
  <si>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</si>
  <si>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</si>
  <si>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</si>
  <si>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</si>
  <si>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</si>
  <si>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</si>
  <si>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</si>
  <si>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</si>
  <si>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</si>
  <si>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</si>
  <si>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</si>
  <si>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</si>
  <si>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</si>
  <si>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</si>
  <si>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</si>
  <si>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</si>
  <si>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</si>
  <si>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</si>
  <si>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</si>
  <si>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</si>
  <si>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</si>
  <si>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</si>
  <si>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</si>
  <si>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</si>
  <si>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</si>
  <si>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</si>
  <si>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</si>
  <si>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</si>
  <si>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</si>
  <si>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</si>
  <si>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</si>
  <si>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</si>
  <si>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</si>
  <si>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</si>
  <si>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</si>
  <si>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</si>
  <si>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</si>
  <si>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</si>
  <si>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</si>
  <si>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</si>
  <si>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</si>
  <si>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</si>
  <si>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</si>
  <si>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</si>
  <si>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</si>
  <si>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</si>
  <si>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</si>
  <si>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</si>
  <si>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</si>
  <si>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</si>
  <si>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</si>
  <si>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</si>
  <si>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</si>
  <si>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</si>
  <si>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</si>
  <si>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</si>
  <si>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</si>
  <si>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</si>
  <si>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</si>
  <si>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</si>
  <si>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</si>
  <si>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</si>
  <si>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</si>
  <si>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</si>
  <si>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</si>
  <si>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</si>
  <si>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</si>
  <si>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</si>
  <si>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</si>
  <si>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</si>
  <si>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</si>
  <si>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</si>
  <si>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</si>
  <si>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</si>
  <si>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</si>
  <si>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</si>
  <si>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</si>
  <si>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</si>
  <si>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</si>
  <si>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</si>
  <si>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</si>
  <si>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</si>
  <si>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</si>
  <si>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</si>
  <si>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</si>
  <si>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</si>
  <si>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</si>
  <si>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</si>
  <si>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</si>
  <si>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</si>
  <si>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</si>
  <si>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</si>
  <si>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</si>
  <si>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</si>
  <si>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</si>
  <si>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</si>
  <si>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</si>
  <si>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</si>
  <si>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</si>
  <si>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</si>
  <si>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</si>
  <si>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</si>
  <si>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</si>
  <si>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</si>
  <si>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</si>
  <si>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</si>
  <si>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</si>
  <si>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</si>
  <si>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</si>
  <si>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</si>
  <si>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</si>
  <si>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</si>
  <si>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</si>
  <si>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</si>
  <si>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</si>
  <si>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</si>
  <si>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</si>
  <si>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</si>
  <si>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</si>
  <si>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</si>
  <si>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</si>
  <si>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</si>
  <si>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</si>
  <si>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</si>
  <si>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</si>
  <si>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</si>
  <si>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</si>
  <si>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</si>
  <si>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</si>
  <si>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</si>
  <si>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</si>
  <si>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</si>
  <si>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</si>
  <si>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</si>
  <si>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</si>
  <si>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</si>
  <si>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</si>
  <si>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</si>
  <si>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</si>
  <si>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</si>
  <si>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</si>
  <si>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</si>
  <si>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</si>
  <si>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</si>
  <si>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</si>
  <si>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</si>
  <si>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</si>
  <si>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</si>
  <si>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</si>
  <si>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</si>
  <si>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</si>
  <si>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</si>
  <si>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</si>
  <si>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</si>
  <si>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</si>
  <si>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</si>
  <si>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</si>
  <si>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</si>
  <si>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</si>
  <si>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</si>
  <si>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</si>
  <si>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</si>
  <si>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</si>
  <si>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</si>
  <si>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</si>
  <si>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</si>
  <si>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</si>
  <si>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</si>
  <si>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</si>
  <si>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</si>
  <si>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</si>
  <si>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</si>
  <si>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</si>
  <si>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</si>
  <si>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</si>
  <si>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</si>
  <si>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</si>
  <si>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</si>
  <si>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</si>
  <si>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</si>
  <si>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</si>
  <si>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</si>
  <si>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</si>
  <si>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</si>
  <si>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</si>
  <si>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</si>
  <si>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</si>
  <si>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</si>
  <si>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</si>
  <si>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</si>
  <si>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</si>
  <si>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</si>
  <si>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</si>
  <si>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</si>
  <si>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</si>
  <si>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</si>
  <si>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</si>
  <si>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</si>
  <si>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</si>
  <si>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</si>
  <si>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</si>
  <si>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</si>
  <si>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</si>
  <si>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</si>
  <si>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</si>
  <si>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</si>
  <si>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</si>
  <si>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</si>
  <si>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</si>
  <si>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industrial rinde 10 Litros.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</si>
  <si>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</si>
  <si>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</si>
  <si>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</si>
  <si>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</si>
  <si>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</si>
  <si>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</si>
  <si>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</si>
  <si>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</si>
  <si>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</si>
  <si>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</si>
  <si>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</si>
  <si>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</si>
  <si>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</si>
  <si>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</si>
  <si>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</si>
  <si>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</si>
  <si>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</si>
  <si>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</si>
  <si>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</si>
  <si>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</si>
  <si>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</si>
  <si>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</si>
  <si>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</si>
  <si>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</si>
  <si>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</si>
  <si>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</si>
  <si>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</si>
  <si>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</si>
  <si>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</si>
  <si>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</si>
  <si>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</si>
  <si>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</si>
  <si>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</si>
  <si>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</si>
  <si>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</si>
  <si>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</si>
  <si>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</si>
  <si>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</si>
  <si>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</si>
  <si>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</si>
  <si>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</si>
  <si>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</si>
  <si>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</si>
  <si>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</si>
  <si>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</si>
  <si>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</si>
  <si>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</si>
  <si>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</si>
  <si>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</si>
  <si>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</si>
  <si>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</si>
  <si>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</si>
  <si>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</si>
  <si>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</si>
  <si>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</si>
  <si>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</si>
  <si>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</si>
  <si>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</si>
  <si>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</si>
  <si>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</si>
  <si>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</si>
  <si>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</si>
  <si>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</si>
  <si>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</si>
  <si>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</si>
  <si>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</si>
  <si>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</si>
  <si>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</si>
  <si>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</si>
  <si>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</si>
  <si>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</si>
  <si>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</si>
  <si>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</si>
  <si>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</si>
  <si>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</si>
  <si>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</si>
  <si>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</si>
  <si>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</si>
  <si>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</si>
  <si>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</si>
  <si>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</si>
  <si>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</si>
  <si>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</si>
  <si>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</si>
  <si>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</si>
  <si>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</si>
  <si>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</si>
  <si>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</si>
  <si>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</si>
  <si>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</si>
  <si>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</si>
  <si>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</si>
  <si>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</si>
  <si>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</si>
  <si>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</si>
  <si>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</si>
  <si>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</si>
  <si>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</si>
  <si>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</si>
  <si>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</si>
  <si>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</si>
  <si>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</si>
  <si>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</si>
  <si>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</si>
  <si>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</si>
  <si>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</si>
  <si>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</si>
  <si>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</si>
  <si>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</si>
  <si>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</si>
  <si>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</si>
  <si>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</si>
  <si>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</si>
  <si>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</si>
  <si>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</si>
  <si>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</si>
  <si>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</si>
  <si>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</si>
  <si>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</si>
  <si>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</si>
  <si>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</si>
  <si>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</si>
  <si>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</si>
  <si>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</si>
  <si>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</si>
  <si>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</si>
  <si>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</si>
  <si>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</si>
  <si>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</si>
  <si>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</si>
  <si>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</si>
  <si>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</si>
  <si>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</si>
  <si>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</si>
  <si>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</si>
  <si>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</si>
  <si>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</si>
  <si>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</si>
  <si>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</si>
  <si>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</si>
  <si>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</si>
  <si>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</si>
  <si>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</si>
  <si>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</si>
  <si>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</si>
  <si>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</si>
  <si>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</si>
  <si>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</si>
  <si>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</si>
  <si>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</si>
  <si>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</si>
  <si>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</si>
  <si>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</si>
  <si>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</si>
  <si>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</si>
  <si>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</si>
  <si>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</si>
  <si>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</si>
  <si>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</si>
  <si>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</si>
  <si>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</si>
  <si>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</si>
  <si>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</si>
  <si>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</si>
  <si>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</si>
  <si>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</si>
  <si>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</si>
  <si>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</si>
  <si>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</si>
  <si>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</si>
  <si>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</si>
  <si>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</si>
  <si>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</si>
  <si>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</si>
  <si>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</si>
  <si>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</si>
  <si>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</si>
  <si>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</si>
  <si>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</si>
  <si>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</si>
  <si>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</si>
  <si>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</si>
  <si>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</si>
  <si>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</si>
  <si>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</si>
  <si>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</si>
  <si>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</si>
  <si>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</si>
  <si>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</si>
  <si>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</si>
  <si>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</si>
  <si>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</si>
  <si>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</si>
  <si>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</si>
  <si>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</si>
  <si>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</si>
  <si>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</si>
  <si>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</si>
  <si>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</si>
  <si>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</si>
  <si>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</si>
  <si>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</si>
  <si>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</si>
  <si>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concentrado rinde x2.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</si>
  <si>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</si>
  <si>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</si>
  <si>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</si>
  <si>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</si>
  <si>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</si>
  <si>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</si>
  <si>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</si>
  <si>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</si>
  <si>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</si>
  <si>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</si>
  <si>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</si>
  <si>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</si>
  <si>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</si>
  <si>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</si>
  <si>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</si>
  <si>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</si>
  <si>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</si>
  <si>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</si>
  <si>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</si>
  <si>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</si>
  <si>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</si>
  <si>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</si>
  <si>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</si>
  <si>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</si>
  <si>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</si>
  <si>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</si>
  <si>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</si>
  <si>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</si>
  <si>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</si>
  <si>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</si>
  <si>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</si>
  <si>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</si>
  <si>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</si>
  <si>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</si>
  <si>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</si>
  <si>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</si>
  <si>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</si>
  <si>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</si>
  <si>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</si>
  <si>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</si>
  <si>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</si>
  <si>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</si>
  <si>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</si>
  <si>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</si>
  <si>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</si>
  <si>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</si>
  <si>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</si>
  <si>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</si>
  <si>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</si>
  <si>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</si>
  <si>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</si>
  <si>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</si>
  <si>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</si>
  <si>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</si>
  <si>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</si>
  <si>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</si>
  <si>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</si>
  <si>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</si>
  <si>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</si>
  <si>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</si>
  <si>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</si>
  <si>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</si>
  <si>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</si>
  <si>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</si>
  <si>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</si>
  <si>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</si>
  <si>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</si>
  <si>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</si>
  <si>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</si>
  <si>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</si>
  <si>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</si>
  <si>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</si>
  <si>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</si>
  <si>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</si>
  <si>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</si>
  <si>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</si>
  <si>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</si>
  <si>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</si>
  <si>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</si>
  <si>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</si>
  <si>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</si>
  <si>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</si>
  <si>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</si>
  <si>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</si>
  <si>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</si>
  <si>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</si>
  <si>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</si>
  <si>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</si>
  <si>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</si>
  <si>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</si>
  <si>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</si>
  <si>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</si>
  <si>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</si>
  <si>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</si>
  <si>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</si>
  <si>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</si>
  <si>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</si>
  <si>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</si>
  <si>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</si>
  <si>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</si>
  <si>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</si>
  <si>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</si>
  <si>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</si>
  <si>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</si>
  <si>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</si>
  <si>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</si>
  <si>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</si>
  <si>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</si>
  <si>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</si>
  <si>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</si>
  <si>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</si>
  <si>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</si>
  <si>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</si>
  <si>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</si>
  <si>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</si>
  <si>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</si>
  <si>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</si>
  <si>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</si>
  <si>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</si>
  <si>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</si>
  <si>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</si>
  <si>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</si>
  <si>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</si>
  <si>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</si>
  <si>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</si>
  <si>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</si>
  <si>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Lavandina al 4%. Presentación: 1 litros.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</si>
  <si>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</si>
  <si>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</si>
  <si>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</si>
  <si>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</si>
  <si>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</si>
  <si>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</si>
  <si>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</si>
  <si>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</si>
  <si>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</si>
  <si>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</si>
  <si>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</si>
  <si>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</si>
  <si>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Detergente 30%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</si>
  <si>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</si>
  <si>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</si>
  <si>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</si>
  <si>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</si>
  <si>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</si>
  <si>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Detergente liquido concentrado</t>
  </si>
  <si>
    <t>FECHA</t>
  </si>
  <si>
    <t>ENTRADA</t>
  </si>
  <si>
    <t>SALIDA</t>
  </si>
  <si>
    <t>OBSERVACION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</si>
  <si>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</si>
  <si>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</si>
  <si>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</si>
  <si>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</si>
  <si>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</si>
  <si>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</si>
  <si>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</si>
  <si>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$3.000</t>
  </si>
  <si>
    <t>$15.000 a $19.999</t>
  </si>
  <si>
    <t>Desde $50.000</t>
  </si>
  <si>
    <t>Envío desde $</t>
  </si>
  <si>
    <t>Política: se cobra un envío proporcional para atraer pedidos; el negocio absorbe la diferencia entre la tarifa y el costo real. La fórmula de precios usa el subsidio del tramo medio ($2.490 de envío).</t>
  </si>
  <si>
    <t>ALTA DE PRODUCTOS</t>
  </si>
  <si>
    <t>LISTAS AUXILIARES — NO EDITAR</t>
  </si>
  <si>
    <t>Completá solo las celdas amarillas. Luego ejecutá: npm run alta-producto. El comando valida, muestra el resumen y pide confirmación antes de escribir.</t>
  </si>
  <si>
    <t>Categorías</t>
  </si>
  <si>
    <t>Subcategorías</t>
  </si>
  <si>
    <t>Prefijos</t>
  </si>
  <si>
    <t>AER</t>
  </si>
  <si>
    <t>GENERADOR 1 — Categoría existente</t>
  </si>
  <si>
    <t>GENERADOR 2 — Categoría nueva</t>
  </si>
  <si>
    <t>APB</t>
  </si>
  <si>
    <t>Producto *</t>
  </si>
  <si>
    <t>APR</t>
  </si>
  <si>
    <t>Categoría *</t>
  </si>
  <si>
    <t>Categoría nueva *</t>
  </si>
  <si>
    <t>AUT</t>
  </si>
  <si>
    <t>Subcategoría *</t>
  </si>
  <si>
    <t>Subcategoría nueva *</t>
  </si>
  <si>
    <t>CBS</t>
  </si>
  <si>
    <t>Presentación</t>
  </si>
  <si>
    <t>Marca</t>
  </si>
  <si>
    <t>CLO</t>
  </si>
  <si>
    <t>Fragancia</t>
  </si>
  <si>
    <t>DAV</t>
  </si>
  <si>
    <t>Prefijo existente *</t>
  </si>
  <si>
    <t>DES</t>
  </si>
  <si>
    <t>Grupo existente</t>
  </si>
  <si>
    <t>¿Crear grupo?</t>
  </si>
  <si>
    <t>DET</t>
  </si>
  <si>
    <t>Variante</t>
  </si>
  <si>
    <t>DPP</t>
  </si>
  <si>
    <t>Código contenido a reutilizar</t>
  </si>
  <si>
    <t>Descripción base *</t>
  </si>
  <si>
    <t>ESP</t>
  </si>
  <si>
    <t>Descripción base nueva</t>
  </si>
  <si>
    <t>Características base *</t>
  </si>
  <si>
    <t>EYE</t>
  </si>
  <si>
    <t>Características base nuevas</t>
  </si>
  <si>
    <t>Costo *</t>
  </si>
  <si>
    <t>JBP</t>
  </si>
  <si>
    <t>¿Usa empaque? *</t>
  </si>
  <si>
    <t>LVA</t>
  </si>
  <si>
    <t>Empaque específico</t>
  </si>
  <si>
    <t>MYG</t>
  </si>
  <si>
    <t>Estado</t>
  </si>
  <si>
    <t>PFA</t>
  </si>
  <si>
    <t>Destacado</t>
  </si>
  <si>
    <t>PPP</t>
  </si>
  <si>
    <t>RJR</t>
  </si>
  <si>
    <t>RPP</t>
  </si>
  <si>
    <t>RESULTADO DEL ÚLTIMO ALTA CONFIRMADO</t>
  </si>
  <si>
    <t>SHA</t>
  </si>
  <si>
    <t>SUA</t>
  </si>
  <si>
    <t>Código</t>
  </si>
  <si>
    <t>Generador</t>
  </si>
  <si>
    <t>TDP</t>
  </si>
  <si>
    <t>Categoría</t>
  </si>
  <si>
    <t>Grupo</t>
  </si>
  <si>
    <t>VAR</t>
  </si>
  <si>
    <t>Subcategoría</t>
  </si>
  <si>
    <t>Contenido</t>
  </si>
  <si>
    <t>Precio estimado</t>
  </si>
  <si>
    <t>Nombre de foto</t>
  </si>
  <si>
    <t>Fecha de alta</t>
  </si>
  <si>
    <t>Notas de uso</t>
  </si>
  <si>
    <t>Generador 1: elegí una categoría y subcategoría existentes. Si reutilizás un grupo o un código de contenido, dejá vacíos los textos nuevos. Generador 2: indicá categoría, subcategoría y textos nuevos. Para una categoría nueva elegí un prefijo que ya exista. Las presentaciones sugeridas son 1L, 5L, 10L, S, M, L y XL; también podés escribir otra. El comando impide duplicados dentro de la misma categoría y subcategoría.</t>
  </si>
  <si>
    <t>King</t>
  </si>
  <si>
    <t>1L</t>
  </si>
  <si>
    <t>Lavandina 1 L</t>
  </si>
  <si>
    <t>CLO004.jpg</t>
  </si>
  <si>
    <t>CLO004</t>
  </si>
  <si>
    <t>Generador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</si>
</sst>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1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  <font>
      <b/>
      <sz val="14"/>
      <color rgb="FFFFFFFF"/>
      <name val="Arial"/>
    </font>
    <font>
      <i/>
      <sz val="10"/>
      <color rgb="FF404040"/>
      <name val="Arial"/>
    </font>
    <font>
      <b/>
      <sz val="11"/>
      <color rgb="FFFFFFFF"/>
      <name val="Arial"/>
    </font>
    <font>
      <b/>
      <sz val="10"/>
      <color rgb="FF40404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1"/>
      <color rgb="FF1F1F1F"/>
      <name val="Arial"/>
    </font>
    <font>
      <sz val="10"/>
      <color rgb="FF404040"/>
      <name val="Arial"/>
    </font>
    <font>
      <b/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7E3EA"/>
      </left>
      <right style="thin">
        <color rgb="FFD7E3EA"/>
      </right>
      <top style="thin">
        <color rgb="FFD7E3EA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9" fillId="0" borderId="0" xfId="0" applyFont="1"/>
    <xf numFmtId="0" fontId="10" fillId="15" borderId="12" xfId="0" applyFont="1" applyFill="1" applyBorder="1" applyAlignment="1">
      <alignment vertical="top" wrapText="1"/>
    </xf>
    <xf numFmtId="0" fontId="11" fillId="0" borderId="0" xfId="0" applyFont="1"/>
    <xf numFmtId="0" fontId="10" fillId="16" borderId="12" xfId="0" applyFont="1" applyFill="1" applyBorder="1"/>
    <xf numFmtId="0" fontId="12" fillId="16" borderId="12" xfId="0" applyFont="1" applyFill="1" applyBorder="1"/>
    <xf numFmtId="0" fontId="15" fillId="18" borderId="12" xfId="0" applyFont="1" applyFill="1" applyBorder="1"/>
    <xf numFmtId="0" fontId="0" fillId="12" borderId="13" xfId="0" applyFill="1" applyBorder="1" applyAlignment="1">
      <alignment vertical="center"/>
    </xf>
    <xf numFmtId="165" fontId="0" fillId="12" borderId="13" xfId="0" applyNumberFormat="1" applyFill="1" applyBorder="1" applyAlignment="1">
      <alignment vertical="center"/>
    </xf>
    <xf numFmtId="165" fontId="0" fillId="12" borderId="13" xfId="0" applyNumberFormat="1" applyFill="1" applyBorder="1" applyAlignment="1">
      <alignment horizontal="center" vertical="center"/>
    </xf>
    <xf numFmtId="165" fontId="0" fillId="13" borderId="13" xfId="0" applyNumberFormat="1" applyFill="1" applyBorder="1" applyAlignment="1">
      <alignment vertical="center"/>
    </xf>
    <xf numFmtId="10" fontId="0" fillId="13" borderId="13" xfId="0" applyNumberFormat="1" applyFill="1" applyBorder="1" applyAlignment="1">
      <alignment vertical="center"/>
    </xf>
    <xf numFmtId="164" fontId="0" fillId="13" borderId="13" xfId="0" applyNumberFormat="1" applyFill="1" applyBorder="1" applyAlignment="1">
      <alignment vertical="center"/>
    </xf>
    <xf numFmtId="0" fontId="13" fillId="17" borderId="0" xfId="0" applyFont="1" applyFill="1"/>
    <xf numFmtId="0" fontId="0" fillId="0" borderId="0" xfId="0"/>
    <xf numFmtId="0" fontId="14" fillId="0" borderId="0" xfId="0" applyFont="1" applyAlignment="1">
      <alignment vertical="top" wrapText="1"/>
    </xf>
    <xf numFmtId="0" fontId="6" fillId="14" borderId="0" xfId="0" applyFont="1" applyFill="1" applyAlignment="1">
      <alignment horizontal="left" vertical="center"/>
    </xf>
    <xf numFmtId="0" fontId="7" fillId="0" borderId="0" xfId="0" applyFont="1" applyAlignment="1">
      <alignment vertical="center" wrapText="1"/>
    </xf>
    <xf numFmtId="0" fontId="8" fillId="14" borderId="0" xfId="0" applyFont="1" applyFill="1" applyAlignment="1">
      <alignment vertical="center"/>
    </xf>
    <xf numFmtId="0" fontId="8" fillId="14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  <xf numFmtId="14" fontId="10" fillId="16" borderId="12" xfId="0" applyNumberFormat="1" applyFont="1" applyFill="1" applyBorder="1"/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7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3" totalsRowShown="0">
  <autoFilter ref="A14:L253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7"/>
  <sheetViews>
    <sheetView showGridLines="0" topLeftCell="K60" zoomScale="55" zoomScaleNormal="55" workbookViewId="0">
      <selection activeCell="Q7" sqref="Q7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</row>
    <row r="2" spans="1:21" ht="32" customHeight="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  <row r="1005" spans="1:21">
      <c r="A1005" s="7">
        <v>237</v>
      </c>
      <c r="B1005" s="8" t="s">
        <v>1809</v>
      </c>
      <c r="C1005" s="8" t="s">
        <v>1809</v>
      </c>
      <c r="D1005" s="8"/>
      <c r="E1005" s="8"/>
      <c r="F1005" s="8" t="s">
        <v>25</v>
      </c>
      <c r="G1005" s="14"/>
      <c r="H1005" s="8" t="s">
        <v>26</v>
      </c>
      <c r="I1005" s="14"/>
      <c r="J1005" s="8" t="s">
        <v>1805</v>
      </c>
      <c r="K1005" s="8" t="s">
        <v>1807</v>
      </c>
      <c r="L1005" s="8"/>
      <c r="M1005" s="8" t="s">
        <v>1806</v>
      </c>
      <c r="N1005" s="8" t="s">
        <v>1808</v>
      </c>
      <c r="O1005" s="8" t="s">
        <v>32</v>
      </c>
      <c r="P1005" s="14"/>
      <c r="Q1005" s="14"/>
      <c r="R1005" s="17"/>
      <c r="S1005" s="17"/>
      <c r="T1005" s="8" t="s">
        <v>33</v>
      </c>
      <c r="U1005" s="11" t="s">
        <v>34</v>
      </c>
    </row>
    <row r="1006" spans="1:21">
      <c r="A1006" s="7">
        <v>237</v>
      </c>
      <c r="B1006" s="8" t="s">
        <v>1809</v>
      </c>
      <c r="C1006" s="8" t="s">
        <v>1809</v>
      </c>
      <c r="D1006" s="8"/>
      <c r="E1006" s="8"/>
      <c r="F1006" s="8" t="s">
        <v>25</v>
      </c>
      <c r="G1006" s="14"/>
      <c r="H1006" s="8" t="s">
        <v>26</v>
      </c>
      <c r="I1006" s="14"/>
      <c r="J1006" s="8" t="s">
        <v>1805</v>
      </c>
      <c r="K1006" s="8" t="s">
        <v>1807</v>
      </c>
      <c r="L1006" s="8"/>
      <c r="M1006" s="8" t="s">
        <v>1806</v>
      </c>
      <c r="N1006" s="8" t="s">
        <v>1808</v>
      </c>
      <c r="O1006" s="8" t="s">
        <v>32</v>
      </c>
      <c r="P1006" s="14"/>
      <c r="Q1006" s="14"/>
      <c r="R1006" s="17"/>
      <c r="S1006" s="17"/>
      <c r="T1006" s="8" t="s">
        <v>33</v>
      </c>
      <c r="U1006" s="11" t="s">
        <v>34</v>
      </c>
    </row>
    <row r="1007" spans="1:21">
      <c r="A1007" s="7">
        <v>237</v>
      </c>
      <c r="B1007" s="8" t="s">
        <v>1809</v>
      </c>
      <c r="C1007" s="8" t="s">
        <v>1809</v>
      </c>
      <c r="D1007" s="8"/>
      <c r="E1007" s="8"/>
      <c r="F1007" s="8" t="s">
        <v>25</v>
      </c>
      <c r="G1007" s="14"/>
      <c r="H1007" s="8" t="s">
        <v>26</v>
      </c>
      <c r="I1007" s="14"/>
      <c r="J1007" s="8" t="s">
        <v>1805</v>
      </c>
      <c r="K1007" s="8" t="s">
        <v>1807</v>
      </c>
      <c r="L1007" s="8"/>
      <c r="M1007" s="8" t="s">
        <v>1806</v>
      </c>
      <c r="N1007" s="8" t="s">
        <v>1808</v>
      </c>
      <c r="O1007" s="8" t="s">
        <v>32</v>
      </c>
      <c r="P1007" s="14"/>
      <c r="Q1007" s="14"/>
      <c r="R1007" s="17"/>
      <c r="S1007" s="17"/>
      <c r="T1007" s="8" t="s">
        <v>33</v>
      </c>
      <c r="U1007" s="11" t="s">
        <v>34</v>
      </c>
    </row>
  </sheetData>
  <mergeCells count="2">
    <mergeCell ref="A1:U1"/>
    <mergeCell ref="A2:U2"/>
  </mergeCells>
  <dataValidations count="2">
    <dataValidation type="list" sqref="T5:T1007" xr:uid="{00000000-0002-0000-0000-000000000000}">
      <formula1>"Activo,Inactivo"</formula1>
    </dataValidation>
    <dataValidation type="list" sqref="U5:U1007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opLeftCell="F4" workbookViewId="0">
      <selection activeCell="J15" sqref="J15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70" t="s">
        <v>1322</v>
      </c>
      <c r="B1" s="70"/>
      <c r="C1" s="70"/>
      <c r="D1" s="70"/>
      <c r="E1" s="70"/>
      <c r="F1" s="70"/>
      <c r="G1" s="70"/>
      <c r="H1" s="70"/>
      <c r="I1" s="70"/>
      <c r="J1" s="70"/>
      <c r="K1" s="33"/>
      <c r="L1" s="33"/>
    </row>
    <row r="2" spans="1:12" ht="24" customHeight="1">
      <c r="A2" s="71" t="s">
        <v>1323</v>
      </c>
      <c r="B2" s="71"/>
      <c r="C2" s="71"/>
      <c r="D2" s="71"/>
      <c r="E2" s="71"/>
      <c r="F2" s="71"/>
      <c r="G2" s="71"/>
      <c r="H2" s="71"/>
      <c r="I2" s="71"/>
      <c r="J2" s="71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1324</v>
      </c>
      <c r="B4" s="35" t="s">
        <v>1325</v>
      </c>
      <c r="C4" s="35" t="s">
        <v>1326</v>
      </c>
      <c r="D4" s="35" t="s">
        <v>1327</v>
      </c>
      <c r="E4" s="37"/>
      <c r="F4" s="72" t="s">
        <v>1328</v>
      </c>
      <c r="G4" s="72"/>
      <c r="H4" s="72"/>
      <c r="I4" s="72"/>
      <c r="J4" s="72"/>
      <c r="K4" s="37"/>
      <c r="L4" s="37"/>
    </row>
    <row r="5" spans="1:12">
      <c r="A5" s="38" t="s">
        <v>1329</v>
      </c>
      <c r="B5" s="39">
        <v>0.33300000000000002</v>
      </c>
      <c r="C5" s="38" t="s">
        <v>1330</v>
      </c>
      <c r="D5" s="38" t="s">
        <v>1331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1332</v>
      </c>
      <c r="B6" s="40">
        <v>4</v>
      </c>
      <c r="C6" s="38" t="s">
        <v>1333</v>
      </c>
      <c r="D6" s="38" t="s">
        <v>1334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1335</v>
      </c>
      <c r="B7" s="41">
        <v>100</v>
      </c>
      <c r="C7" s="38" t="s">
        <v>1336</v>
      </c>
      <c r="D7" s="38" t="s">
        <v>1337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1338</v>
      </c>
      <c r="B8" s="41">
        <v>100</v>
      </c>
      <c r="C8" s="38" t="s">
        <v>1336</v>
      </c>
      <c r="D8" s="38" t="s">
        <v>1339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1340</v>
      </c>
      <c r="B9" s="41">
        <v>100</v>
      </c>
      <c r="C9" s="38" t="s">
        <v>1336</v>
      </c>
      <c r="D9" s="38" t="s">
        <v>1341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1342</v>
      </c>
      <c r="B10" s="42">
        <v>0</v>
      </c>
      <c r="C10" s="38" t="s">
        <v>1330</v>
      </c>
      <c r="D10" s="38" t="s">
        <v>1343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1344</v>
      </c>
      <c r="B11" s="41">
        <v>1000</v>
      </c>
      <c r="C11" s="38" t="s">
        <v>1345</v>
      </c>
      <c r="D11" s="38" t="s">
        <v>1346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1347</v>
      </c>
      <c r="C14" s="36" t="s">
        <v>1348</v>
      </c>
      <c r="D14" s="36" t="s">
        <v>1349</v>
      </c>
      <c r="E14" s="36" t="s">
        <v>1350</v>
      </c>
      <c r="F14" s="36" t="s">
        <v>1351</v>
      </c>
      <c r="G14" s="36" t="s">
        <v>1352</v>
      </c>
      <c r="H14" s="36" t="s">
        <v>1353</v>
      </c>
      <c r="I14" s="36" t="s">
        <v>1354</v>
      </c>
      <c r="J14" s="36" t="s">
        <v>1355</v>
      </c>
      <c r="K14" s="36" t="s">
        <v>1356</v>
      </c>
      <c r="L14" s="36" t="s">
        <v>1357</v>
      </c>
    </row>
    <row r="15" spans="1:12">
      <c r="A15" s="43" t="s">
        <v>24</v>
      </c>
      <c r="B15" s="44">
        <v>1150</v>
      </c>
      <c r="C15" s="45" t="s">
        <v>1358</v>
      </c>
      <c r="D15" s="41">
        <v>1000</v>
      </c>
      <c r="E15" s="46">
        <f t="shared" ref="E15:E78" si="0">IF(A15="","",IF(C15="NO",0,IF(D15&lt;&gt;"",D15,$B$11)))</f>
        <v>1000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3260</v>
      </c>
      <c r="K15" s="46">
        <f t="shared" ref="K15:K78" si="5">IF(J15="","",J15-B15-E15-F15-G15-(J15*H15))</f>
        <v>1085</v>
      </c>
      <c r="L15" s="48">
        <f t="shared" ref="L15:L78" si="6">IF(J15="","",K15/J15)</f>
        <v>0.33282208588957057</v>
      </c>
    </row>
    <row r="16" spans="1:12">
      <c r="A16" s="43" t="s">
        <v>36</v>
      </c>
      <c r="B16" s="44">
        <v>9000</v>
      </c>
      <c r="C16" s="45" t="s">
        <v>1358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6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1358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49</v>
      </c>
      <c r="B18" s="44">
        <v>3250</v>
      </c>
      <c r="C18" s="45" t="s">
        <v>1358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55</v>
      </c>
      <c r="B19" s="44">
        <v>2250</v>
      </c>
      <c r="C19" s="45" t="s">
        <v>1358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63</v>
      </c>
      <c r="B20" s="44">
        <v>1650</v>
      </c>
      <c r="C20" s="45" t="s">
        <v>1358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70</v>
      </c>
      <c r="B21" s="44">
        <v>20000</v>
      </c>
      <c r="C21" s="45" t="s">
        <v>1358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77</v>
      </c>
      <c r="B22" s="44">
        <v>2200</v>
      </c>
      <c r="C22" s="45" t="s">
        <v>1358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86</v>
      </c>
      <c r="B23" s="44">
        <v>16000</v>
      </c>
      <c r="C23" s="45" t="s">
        <v>1358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91</v>
      </c>
      <c r="B24" s="44">
        <v>4600</v>
      </c>
      <c r="C24" s="45" t="s">
        <v>1358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98</v>
      </c>
      <c r="B25" s="44">
        <v>5400</v>
      </c>
      <c r="C25" s="45" t="s">
        <v>1358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103</v>
      </c>
      <c r="B26" s="44">
        <v>5400</v>
      </c>
      <c r="C26" s="45" t="s">
        <v>1358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108</v>
      </c>
      <c r="B27" s="44">
        <v>5400</v>
      </c>
      <c r="C27" s="45" t="s">
        <v>1358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113</v>
      </c>
      <c r="B28" s="44">
        <v>7300</v>
      </c>
      <c r="C28" s="45" t="s">
        <v>1358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220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442</v>
      </c>
      <c r="B92" s="44">
        <v>5000</v>
      </c>
      <c r="C92" s="45" t="s">
        <v>1358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497</v>
      </c>
      <c r="B102" s="44">
        <v>3000</v>
      </c>
      <c r="C102" s="45" t="s">
        <v>1358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535</v>
      </c>
      <c r="B109" s="44">
        <v>2500</v>
      </c>
      <c r="C109" s="45" t="s">
        <v>1358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541</v>
      </c>
      <c r="B110" s="44">
        <v>3400</v>
      </c>
      <c r="C110" s="45" t="s">
        <v>1358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547</v>
      </c>
      <c r="B111" s="44">
        <v>4300</v>
      </c>
      <c r="C111" s="45" t="s">
        <v>1358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553</v>
      </c>
      <c r="B112" s="44">
        <v>4300</v>
      </c>
      <c r="C112" s="45" t="s">
        <v>1358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559</v>
      </c>
      <c r="B113" s="44">
        <v>4300</v>
      </c>
      <c r="C113" s="45" t="s">
        <v>1358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564</v>
      </c>
      <c r="B114" s="44">
        <v>4300</v>
      </c>
      <c r="C114" s="45" t="s">
        <v>1358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569</v>
      </c>
      <c r="B115" s="44">
        <v>4300</v>
      </c>
      <c r="C115" s="45" t="s">
        <v>1358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574</v>
      </c>
      <c r="B116" s="44">
        <v>4300</v>
      </c>
      <c r="C116" s="45" t="s">
        <v>1358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734</v>
      </c>
      <c r="B147" s="44">
        <v>1660</v>
      </c>
      <c r="C147" s="45" t="s">
        <v>1358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742</v>
      </c>
      <c r="B148" s="44">
        <v>9960</v>
      </c>
      <c r="C148" s="45" t="s">
        <v>1358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748</v>
      </c>
      <c r="B149" s="44">
        <v>1800</v>
      </c>
      <c r="C149" s="45" t="s">
        <v>1358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753</v>
      </c>
      <c r="B150" s="44">
        <v>10800</v>
      </c>
      <c r="C150" s="45" t="s">
        <v>1358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758</v>
      </c>
      <c r="B151" s="44">
        <v>1550</v>
      </c>
      <c r="C151" s="45" t="s">
        <v>1358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764</v>
      </c>
      <c r="B152" s="44">
        <v>9300</v>
      </c>
      <c r="C152" s="45" t="s">
        <v>1358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769</v>
      </c>
      <c r="B153" s="44">
        <v>1650</v>
      </c>
      <c r="C153" s="45" t="s">
        <v>1358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775</v>
      </c>
      <c r="B154" s="44">
        <v>9900</v>
      </c>
      <c r="C154" s="45" t="s">
        <v>1358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780</v>
      </c>
      <c r="B155" s="44">
        <v>450</v>
      </c>
      <c r="C155" s="45" t="s">
        <v>1358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785</v>
      </c>
      <c r="B156" s="44">
        <v>2700</v>
      </c>
      <c r="C156" s="45" t="s">
        <v>1358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790</v>
      </c>
      <c r="B157" s="44">
        <v>330</v>
      </c>
      <c r="C157" s="45" t="s">
        <v>1358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795</v>
      </c>
      <c r="B158" s="44">
        <v>1980</v>
      </c>
      <c r="C158" s="45" t="s">
        <v>1358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800</v>
      </c>
      <c r="B159" s="44">
        <v>1700</v>
      </c>
      <c r="C159" s="45" t="s">
        <v>1358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809</v>
      </c>
      <c r="B160" s="44">
        <v>340</v>
      </c>
      <c r="C160" s="45" t="s">
        <v>1358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815</v>
      </c>
      <c r="B161" s="44">
        <v>2040</v>
      </c>
      <c r="C161" s="45" t="s">
        <v>1358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822</v>
      </c>
      <c r="B162" s="44">
        <v>1700</v>
      </c>
      <c r="C162" s="45" t="s">
        <v>1358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828</v>
      </c>
      <c r="B163" s="44">
        <v>340</v>
      </c>
      <c r="C163" s="45" t="s">
        <v>1358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832</v>
      </c>
      <c r="B164" s="44">
        <v>2040</v>
      </c>
      <c r="C164" s="45" t="s">
        <v>1358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836</v>
      </c>
      <c r="B165" s="44">
        <v>1700</v>
      </c>
      <c r="C165" s="45" t="s">
        <v>1358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842</v>
      </c>
      <c r="B166" s="44">
        <v>340</v>
      </c>
      <c r="C166" s="45" t="s">
        <v>1358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846</v>
      </c>
      <c r="B167" s="44">
        <v>2040</v>
      </c>
      <c r="C167" s="45" t="s">
        <v>1358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850</v>
      </c>
      <c r="B168" s="44">
        <v>1700</v>
      </c>
      <c r="C168" s="45" t="s">
        <v>1358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855</v>
      </c>
      <c r="B169" s="44">
        <v>340</v>
      </c>
      <c r="C169" s="45" t="s">
        <v>1358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859</v>
      </c>
      <c r="B170" s="44">
        <v>2040</v>
      </c>
      <c r="C170" s="45" t="s">
        <v>1358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1307</v>
      </c>
      <c r="B248" s="44">
        <v>8000</v>
      </c>
      <c r="C248" s="45" t="s">
        <v>1358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1314</v>
      </c>
      <c r="B249" s="44">
        <v>1600</v>
      </c>
      <c r="C249" s="45" t="s">
        <v>1358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3940</v>
      </c>
      <c r="K249" s="46">
        <f t="shared" si="34"/>
        <v>1315</v>
      </c>
      <c r="L249" s="48">
        <f t="shared" si="35"/>
        <v>0.33375634517766495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5" t="s">
        <v>1318</v>
      </c>
      <c r="B251" s="56">
        <v>800</v>
      </c>
      <c r="C251" s="57" t="s">
        <v>34</v>
      </c>
      <c r="D251" s="56">
        <f t="shared" ref="D251" si="36">IF(A251="","",$B$7/$B$6)</f>
        <v>25</v>
      </c>
      <c r="E251" s="58">
        <f t="shared" ref="E251" si="37">IF(A251="","",IF(C251="NO",0,IF(D251&lt;&gt;"",D251,$B$11)))</f>
        <v>0</v>
      </c>
      <c r="F251" s="58">
        <f t="shared" ref="F251" si="38">IF(A251="","",$B$7/$B$6)</f>
        <v>25</v>
      </c>
      <c r="G251" s="58">
        <f t="shared" ref="G251" si="39">IF(A251="","",($B$8-$B$9)/$B$6)</f>
        <v>0</v>
      </c>
      <c r="H251" s="59">
        <f t="shared" ref="H251" si="40">IF(A251="","",$B$10)</f>
        <v>0</v>
      </c>
      <c r="I251" s="59">
        <f t="shared" ref="I251" si="41">IF(A251="","",$B$5)</f>
        <v>0.33300000000000002</v>
      </c>
      <c r="J251" s="58">
        <f t="shared" ref="J251" si="42">IF(OR(A251="",B251=""),"",ROUND((B251+E251+F251+G251)/(1-H251-I251),-1))</f>
        <v>1240</v>
      </c>
      <c r="K251" s="58">
        <f t="shared" ref="K251" si="43">IF(J251="","",J251-B251-E251-F251-G251-(J251*H251))</f>
        <v>415</v>
      </c>
      <c r="L251" s="60">
        <f t="shared" ref="L251" si="44">IF(J251="","",K251/J251)</f>
        <v>0.33467741935483869</v>
      </c>
    </row>
    <row r="252" spans="1:12">
      <c r="A252" s="55" t="s">
        <v>1809</v>
      </c>
      <c r="B252" s="56">
        <v>230</v>
      </c>
      <c r="C252" s="57" t="s">
        <v>34</v>
      </c>
      <c r="D252" s="56">
        <f t="shared" ref="D252" si="45">IF(A252="","",$B$7/$B$6)</f>
        <v>25</v>
      </c>
      <c r="E252" s="58">
        <f t="shared" ref="E252" si="46">IF(A252="","",IF(C252="NO",0,IF(D252&lt;&gt;"",D252,$B$11)))</f>
        <v>0</v>
      </c>
      <c r="F252" s="58">
        <f t="shared" ref="F252" si="47">IF(A252="","",$B$7/$B$6)</f>
        <v>25</v>
      </c>
      <c r="G252" s="58">
        <f t="shared" ref="G252" si="48">IF(A252="","",($B$8-$B$9)/$B$6)</f>
        <v>0</v>
      </c>
      <c r="H252" s="59">
        <f t="shared" ref="H252" si="49">IF(A252="","",$B$10)</f>
        <v>0</v>
      </c>
      <c r="I252" s="59">
        <f t="shared" ref="I252" si="50">IF(A252="","",$B$5)</f>
        <v>0.33300000000000002</v>
      </c>
      <c r="J252" s="58">
        <f t="shared" ref="J252" si="51">IF(OR(A252="",B252=""),"",ROUND((B252+E252+F252+G252)/(1-H252-I252),-1))</f>
        <v>380</v>
      </c>
      <c r="K252" s="58">
        <f t="shared" ref="K252" si="52">IF(J252="","",J252-B252-E252-F252-G252-(J252*H252))</f>
        <v>125</v>
      </c>
      <c r="L252" s="60">
        <f t="shared" ref="L252" si="53">IF(J252="","",K252/J252)</f>
        <v>0.32894736842105265</v>
      </c>
    </row>
    <row r="253" spans="1:12">
      <c r="A253" s="55" t="s">
        <v>1809</v>
      </c>
      <c r="B253" s="56">
        <v>230</v>
      </c>
      <c r="C253" s="57" t="s">
        <v>740</v>
      </c>
      <c r="D253" s="56"/>
      <c r="E253" s="58">
        <f t="shared" ref="E253" si="54">IF(A253="","",IF(C253="NO",0,IF(D253&lt;&gt;"",D253,$B$11)))</f>
        <v>1000</v>
      </c>
      <c r="F253" s="58">
        <f t="shared" ref="F253" si="55">IF(A253="","",$B$7/$B$6)</f>
        <v>25</v>
      </c>
      <c r="G253" s="58">
        <f t="shared" ref="G253" si="56">IF(A253="","",($B$8-$B$9)/$B$6)</f>
        <v>0</v>
      </c>
      <c r="H253" s="59">
        <f t="shared" ref="H253" si="57">IF(A253="","",$B$10)</f>
        <v>0</v>
      </c>
      <c r="I253" s="59">
        <f t="shared" ref="I253" si="58">IF(A253="","",$B$5)</f>
        <v>0.33300000000000002</v>
      </c>
      <c r="J253" s="58">
        <f t="shared" ref="J253" si="59">IF(OR(A253="",B253=""),"",ROUND((B253+E253+F253+G253)/(1-H253-I253),-1))</f>
        <v>1880</v>
      </c>
      <c r="K253" s="58">
        <f t="shared" ref="K253" si="60">IF(J253="","",J253-B253-E253-F253-G253-(J253*H253))</f>
        <v>625</v>
      </c>
      <c r="L253" s="60">
        <f t="shared" ref="L253" si="61">IF(J253="","",K253/J253)</f>
        <v>0.33244680851063829</v>
      </c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3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D1" zoomScale="70" zoomScaleNormal="70" workbookViewId="0">
      <selection activeCell="H13" sqref="H13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68" t="s">
        <v>1359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" ht="32" customHeight="1">
      <c r="A2" s="73" t="s">
        <v>1360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4" spans="1:15">
      <c r="A4" s="74" t="s">
        <v>1361</v>
      </c>
      <c r="B4" s="74"/>
      <c r="C4" s="74"/>
      <c r="D4" s="74"/>
      <c r="F4" s="74" t="s">
        <v>1362</v>
      </c>
      <c r="G4" s="74"/>
      <c r="H4" s="74"/>
      <c r="I4" s="74"/>
      <c r="J4" s="74"/>
      <c r="L4" s="74" t="s">
        <v>1363</v>
      </c>
      <c r="M4" s="74"/>
      <c r="N4" s="74"/>
      <c r="O4" s="74"/>
    </row>
    <row r="5" spans="1:15" ht="28">
      <c r="A5" s="2" t="s">
        <v>7</v>
      </c>
      <c r="B5" s="2" t="s">
        <v>8</v>
      </c>
      <c r="C5" s="2" t="s">
        <v>21</v>
      </c>
      <c r="D5" s="2" t="s">
        <v>1364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1364</v>
      </c>
      <c r="L5" s="2" t="s">
        <v>16</v>
      </c>
      <c r="M5" s="2" t="s">
        <v>21</v>
      </c>
      <c r="N5" s="2" t="s">
        <v>1365</v>
      </c>
      <c r="O5" s="2" t="s">
        <v>1366</v>
      </c>
    </row>
    <row r="6" spans="1:15">
      <c r="A6" s="29" t="str">
        <f t="shared" ref="A6:A37" si="0">IF(B6="","","CAT-"&amp;TEXT(ROW()-5,"000"))</f>
        <v>CAT-001</v>
      </c>
      <c r="B6" s="4" t="s">
        <v>1367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1368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1369</v>
      </c>
      <c r="O6" s="9" t="s">
        <v>1370</v>
      </c>
    </row>
    <row r="7" spans="1:15">
      <c r="A7" s="30" t="str">
        <f t="shared" si="0"/>
        <v>CAT-002</v>
      </c>
      <c r="B7" s="6" t="s">
        <v>1371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1372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1373</v>
      </c>
      <c r="O7" s="10" t="s">
        <v>1374</v>
      </c>
    </row>
    <row r="8" spans="1:15">
      <c r="A8" s="30" t="str">
        <f t="shared" si="0"/>
        <v>CAT-003</v>
      </c>
      <c r="B8" s="6" t="s">
        <v>1375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1376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1377</v>
      </c>
      <c r="O8" s="10" t="s">
        <v>1378</v>
      </c>
    </row>
    <row r="9" spans="1:15">
      <c r="A9" s="30" t="str">
        <f t="shared" si="0"/>
        <v>CAT-004</v>
      </c>
      <c r="B9" s="6" t="s">
        <v>1379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1380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1381</v>
      </c>
      <c r="O9" s="10" t="s">
        <v>1382</v>
      </c>
    </row>
    <row r="10" spans="1:15">
      <c r="A10" s="30" t="str">
        <f t="shared" si="0"/>
        <v>CAT-005</v>
      </c>
      <c r="B10" s="6" t="s">
        <v>1383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1384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1385</v>
      </c>
      <c r="O10" s="10" t="s">
        <v>1386</v>
      </c>
    </row>
    <row r="11" spans="1:15">
      <c r="A11" s="30" t="str">
        <f t="shared" si="0"/>
        <v>CAT-006</v>
      </c>
      <c r="B11" s="6" t="s">
        <v>1387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1388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1389</v>
      </c>
      <c r="O11" s="10" t="s">
        <v>1390</v>
      </c>
    </row>
    <row r="12" spans="1:15">
      <c r="A12" s="30" t="str">
        <f t="shared" si="0"/>
        <v>CAT-007</v>
      </c>
      <c r="B12" s="6" t="s">
        <v>1391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1392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1393</v>
      </c>
      <c r="O12" s="10" t="s">
        <v>1390</v>
      </c>
    </row>
    <row r="13" spans="1:15">
      <c r="A13" s="30" t="str">
        <f t="shared" si="0"/>
        <v>CAT-008</v>
      </c>
      <c r="B13" s="6" t="s">
        <v>1394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1395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1396</v>
      </c>
      <c r="O13" s="10" t="s">
        <v>1397</v>
      </c>
    </row>
    <row r="14" spans="1:15">
      <c r="A14" s="30" t="str">
        <f t="shared" si="0"/>
        <v>CAT-009</v>
      </c>
      <c r="B14" s="6" t="s">
        <v>1398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1399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1400</v>
      </c>
      <c r="O14" s="10" t="s">
        <v>1397</v>
      </c>
    </row>
    <row r="15" spans="1:15">
      <c r="A15" s="30" t="str">
        <f t="shared" si="0"/>
        <v>CAT-010</v>
      </c>
      <c r="B15" s="6" t="s">
        <v>1401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1402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1403</v>
      </c>
      <c r="O15" s="10" t="s">
        <v>1404</v>
      </c>
    </row>
    <row r="16" spans="1:15">
      <c r="A16" s="30" t="str">
        <f t="shared" si="0"/>
        <v>CAT-011</v>
      </c>
      <c r="B16" s="6" t="s">
        <v>1405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1406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1407</v>
      </c>
      <c r="O16" s="10" t="s">
        <v>1404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1408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1409</v>
      </c>
      <c r="O17" s="10" t="s">
        <v>1404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1410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1411</v>
      </c>
      <c r="O18" s="10" t="s">
        <v>1404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1412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1413</v>
      </c>
      <c r="O19" s="10" t="s">
        <v>1404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1414</v>
      </c>
      <c r="O20" s="10" t="s">
        <v>1415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1416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1417</v>
      </c>
      <c r="O21" s="10" t="s">
        <v>1415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1418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1419</v>
      </c>
      <c r="O22" s="10" t="s">
        <v>1415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1420</v>
      </c>
      <c r="O23" s="10" t="s">
        <v>1415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1421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1422</v>
      </c>
      <c r="O24" s="10" t="s">
        <v>1415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1423</v>
      </c>
      <c r="O25" s="10" t="s">
        <v>1415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1424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1425</v>
      </c>
      <c r="O26" s="10" t="s">
        <v>1415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1426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1427</v>
      </c>
      <c r="O27" s="10" t="s">
        <v>1415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1428</v>
      </c>
      <c r="O28" s="10" t="s">
        <v>1415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1429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1430</v>
      </c>
      <c r="O29" s="10" t="s">
        <v>1415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1431</v>
      </c>
      <c r="O30" s="10" t="s">
        <v>1432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1433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1434</v>
      </c>
      <c r="O31" s="10" t="s">
        <v>1432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1435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1436</v>
      </c>
      <c r="O32" s="10" t="s">
        <v>1432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1437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1438</v>
      </c>
      <c r="O33" s="10" t="s">
        <v>1432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1439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1440</v>
      </c>
      <c r="O34" s="10" t="s">
        <v>1432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1441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1442</v>
      </c>
      <c r="O35" s="10" t="s">
        <v>1432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1443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1444</v>
      </c>
      <c r="O36" s="10" t="s">
        <v>1432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1445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1446</v>
      </c>
      <c r="O37" s="10" t="s">
        <v>1432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1447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1448</v>
      </c>
      <c r="O38" s="10" t="s">
        <v>1449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1450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1451</v>
      </c>
      <c r="O39" s="10" t="s">
        <v>1449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1452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1453</v>
      </c>
      <c r="O40" s="10" t="s">
        <v>1449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1454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1455</v>
      </c>
      <c r="O41" s="10" t="s">
        <v>1449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1456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1457</v>
      </c>
      <c r="O42" s="10" t="s">
        <v>1449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1458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1459</v>
      </c>
      <c r="O43" s="10" t="s">
        <v>1449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1460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1461</v>
      </c>
      <c r="O44" s="10" t="s">
        <v>1449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1462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1463</v>
      </c>
      <c r="O45" s="10" t="s">
        <v>1449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1464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1465</v>
      </c>
      <c r="O46" s="10" t="s">
        <v>1449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1466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1467</v>
      </c>
      <c r="O47" s="10" t="s">
        <v>1449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1468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1469</v>
      </c>
      <c r="O48" s="10" t="s">
        <v>1449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1470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1471</v>
      </c>
      <c r="O49" s="10" t="s">
        <v>1449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1472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1473</v>
      </c>
      <c r="O50" s="10" t="s">
        <v>1449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1474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1475</v>
      </c>
      <c r="O51" s="10" t="s">
        <v>1449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1476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1477</v>
      </c>
      <c r="O52" s="10" t="s">
        <v>1449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1478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1479</v>
      </c>
      <c r="O53" s="10" t="s">
        <v>1449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1480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1481</v>
      </c>
      <c r="O54" s="10" t="s">
        <v>1449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1482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1483</v>
      </c>
      <c r="O55" s="10" t="s">
        <v>1449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1484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1485</v>
      </c>
      <c r="O56" s="10" t="s">
        <v>1449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1486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1487</v>
      </c>
      <c r="O57" s="10" t="s">
        <v>1449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>IF(H58="","","SUB-"&amp;TEXT(ROW()-5,"000"))</f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1488</v>
      </c>
      <c r="O58" s="10" t="s">
        <v>1449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1489</v>
      </c>
      <c r="O59" s="10" t="s">
        <v>1449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1490</v>
      </c>
      <c r="O60" s="10" t="s">
        <v>1449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1491</v>
      </c>
      <c r="O61" s="10" t="s">
        <v>1449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1492</v>
      </c>
      <c r="O62" s="10" t="s">
        <v>1449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1493</v>
      </c>
      <c r="O63" s="10" t="s">
        <v>1449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1494</v>
      </c>
      <c r="O64" s="10" t="s">
        <v>1449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1495</v>
      </c>
      <c r="O65" s="10" t="s">
        <v>1449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1496</v>
      </c>
      <c r="O66" s="10" t="s">
        <v>1449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1497</v>
      </c>
      <c r="O67" s="10" t="s">
        <v>1449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1498</v>
      </c>
      <c r="O68" s="10" t="s">
        <v>1449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1499</v>
      </c>
      <c r="O69" s="10" t="s">
        <v>1449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1500</v>
      </c>
      <c r="O70" s="10" t="s">
        <v>1449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1501</v>
      </c>
      <c r="O71" s="10" t="s">
        <v>1449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1502</v>
      </c>
      <c r="O72" s="10" t="s">
        <v>1449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1503</v>
      </c>
      <c r="O73" s="10" t="s">
        <v>1504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1505</v>
      </c>
      <c r="O74" s="10" t="s">
        <v>1506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1507</v>
      </c>
      <c r="O75" s="10" t="s">
        <v>1508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1509</v>
      </c>
      <c r="O76" s="10" t="s">
        <v>1510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1511</v>
      </c>
      <c r="O77" s="10" t="s">
        <v>1510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1512</v>
      </c>
      <c r="O78" s="10" t="s">
        <v>1510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1513</v>
      </c>
      <c r="O79" s="10" t="s">
        <v>1510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1514</v>
      </c>
      <c r="O80" s="10" t="s">
        <v>1510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1515</v>
      </c>
      <c r="O81" s="10" t="s">
        <v>1510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1516</v>
      </c>
      <c r="O82" s="10" t="s">
        <v>1510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1517</v>
      </c>
      <c r="O83" s="10" t="s">
        <v>1510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1518</v>
      </c>
      <c r="O84" s="10" t="s">
        <v>1510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1519</v>
      </c>
      <c r="O85" s="10" t="s">
        <v>1520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1521</v>
      </c>
      <c r="O86" s="10" t="s">
        <v>1522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1523</v>
      </c>
      <c r="O87" s="10" t="s">
        <v>1524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1525</v>
      </c>
      <c r="O88" s="10" t="s">
        <v>1524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1526</v>
      </c>
      <c r="O89" s="10" t="s">
        <v>1524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1527</v>
      </c>
      <c r="O90" s="10" t="s">
        <v>1524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1528</v>
      </c>
      <c r="O91" s="10" t="s">
        <v>1524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1529</v>
      </c>
      <c r="O92" s="10" t="s">
        <v>1530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1531</v>
      </c>
      <c r="O93" s="10" t="s">
        <v>1532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1533</v>
      </c>
      <c r="O94" s="10" t="s">
        <v>1534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1535</v>
      </c>
      <c r="O95" s="10" t="s">
        <v>1534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1536</v>
      </c>
      <c r="O96" s="10" t="s">
        <v>1534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1537</v>
      </c>
      <c r="O97" s="10" t="s">
        <v>1534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1538</v>
      </c>
      <c r="O98" s="10" t="s">
        <v>1534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1539</v>
      </c>
      <c r="O99" s="10" t="s">
        <v>1534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1540</v>
      </c>
      <c r="O100" s="10" t="s">
        <v>1541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1542</v>
      </c>
      <c r="O101" s="10" t="s">
        <v>1541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1543</v>
      </c>
      <c r="O102" s="10" t="s">
        <v>1541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1544</v>
      </c>
      <c r="O103" s="10" t="s">
        <v>1541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1545</v>
      </c>
      <c r="O104" s="10" t="s">
        <v>1541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1546</v>
      </c>
      <c r="O105" s="10" t="s">
        <v>1541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1547</v>
      </c>
      <c r="O106" s="10" t="s">
        <v>1541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1548</v>
      </c>
      <c r="O107" s="10" t="s">
        <v>1541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1549</v>
      </c>
      <c r="O108" s="10" t="s">
        <v>1541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1550</v>
      </c>
      <c r="O109" s="10" t="s">
        <v>1541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1551</v>
      </c>
      <c r="O110" s="10" t="s">
        <v>1541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1552</v>
      </c>
      <c r="O111" s="10" t="s">
        <v>1541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1553</v>
      </c>
      <c r="O112" s="10" t="s">
        <v>1541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1554</v>
      </c>
      <c r="O113" s="10" t="s">
        <v>1541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1555</v>
      </c>
      <c r="O114" s="10" t="s">
        <v>1541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1556</v>
      </c>
      <c r="O115" s="10" t="s">
        <v>1541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1557</v>
      </c>
      <c r="O116" s="10" t="s">
        <v>1541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1558</v>
      </c>
      <c r="O117" s="10" t="s">
        <v>1541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1559</v>
      </c>
      <c r="O118" s="10" t="s">
        <v>1541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1560</v>
      </c>
      <c r="O119" s="10" t="s">
        <v>1541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1561</v>
      </c>
      <c r="O120" s="10" t="s">
        <v>1541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1562</v>
      </c>
      <c r="O121" s="10" t="s">
        <v>1541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1563</v>
      </c>
      <c r="O122" s="10" t="s">
        <v>1541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1564</v>
      </c>
      <c r="O123" s="10" t="s">
        <v>1541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1565</v>
      </c>
      <c r="O124" s="10" t="s">
        <v>1541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1566</v>
      </c>
      <c r="O125" s="10" t="s">
        <v>1541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1567</v>
      </c>
      <c r="O126" s="10" t="s">
        <v>1541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1568</v>
      </c>
      <c r="O127" s="10" t="s">
        <v>1569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1570</v>
      </c>
      <c r="O128" s="10" t="s">
        <v>1571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1572</v>
      </c>
      <c r="O129" s="10" t="s">
        <v>1573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1574</v>
      </c>
      <c r="O130" s="10" t="s">
        <v>1575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1576</v>
      </c>
      <c r="O131" s="10" t="s">
        <v>1575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1577</v>
      </c>
      <c r="O132" s="10" t="s">
        <v>1374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1578</v>
      </c>
      <c r="O133" s="10" t="s">
        <v>1374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1579</v>
      </c>
      <c r="O134" s="10" t="s">
        <v>1580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1581</v>
      </c>
      <c r="O135" s="10" t="s">
        <v>1580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1582</v>
      </c>
      <c r="O136" s="10" t="s">
        <v>1583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1584</v>
      </c>
      <c r="O137" s="10" t="s">
        <v>1583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1585</v>
      </c>
      <c r="O138" s="10" t="s">
        <v>1386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1586</v>
      </c>
      <c r="O139" s="10" t="s">
        <v>1386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1587</v>
      </c>
      <c r="O140" s="10" t="s">
        <v>1386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1588</v>
      </c>
      <c r="O141" s="10" t="s">
        <v>1386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1589</v>
      </c>
      <c r="O142" s="10" t="s">
        <v>1590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1591</v>
      </c>
      <c r="O143" s="10" t="s">
        <v>1590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1592</v>
      </c>
      <c r="O144" s="10" t="s">
        <v>1590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1593</v>
      </c>
      <c r="O145" s="10" t="s">
        <v>1590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1594</v>
      </c>
      <c r="O146" s="10" t="s">
        <v>1590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1595</v>
      </c>
      <c r="O147" s="10" t="s">
        <v>1590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1596</v>
      </c>
      <c r="O148" s="10" t="s">
        <v>1590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1597</v>
      </c>
      <c r="O149" s="10" t="s">
        <v>1590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1598</v>
      </c>
      <c r="O150" s="10" t="s">
        <v>1590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1599</v>
      </c>
      <c r="O151" s="10" t="s">
        <v>1590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1600</v>
      </c>
      <c r="O152" s="10" t="s">
        <v>1590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1601</v>
      </c>
      <c r="O153" s="10" t="s">
        <v>1590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1602</v>
      </c>
      <c r="O154" s="10" t="s">
        <v>1603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1604</v>
      </c>
      <c r="O155" s="10" t="s">
        <v>1603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1605</v>
      </c>
      <c r="O156" s="10" t="s">
        <v>1606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1607</v>
      </c>
      <c r="O157" s="10" t="s">
        <v>1606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1608</v>
      </c>
      <c r="O158" s="10" t="s">
        <v>1606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1609</v>
      </c>
      <c r="O159" s="10" t="s">
        <v>1606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1610</v>
      </c>
      <c r="O160" s="10" t="s">
        <v>1606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1611</v>
      </c>
      <c r="O161" s="10" t="s">
        <v>1612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1613</v>
      </c>
      <c r="O162" s="10" t="s">
        <v>1612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1614</v>
      </c>
      <c r="O163" s="10" t="s">
        <v>1612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1615</v>
      </c>
      <c r="O164" s="10" t="s">
        <v>1612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1616</v>
      </c>
      <c r="O165" s="10" t="s">
        <v>1612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1617</v>
      </c>
      <c r="O166" s="10" t="s">
        <v>1612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1618</v>
      </c>
      <c r="O167" s="10" t="s">
        <v>1612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1619</v>
      </c>
      <c r="O168" s="10" t="s">
        <v>1620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1621</v>
      </c>
      <c r="O169" s="10" t="s">
        <v>1620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1622</v>
      </c>
      <c r="O170" s="10" t="s">
        <v>1620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1623</v>
      </c>
      <c r="O171" s="10" t="s">
        <v>1620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1624</v>
      </c>
      <c r="O172" s="10" t="s">
        <v>1620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1625</v>
      </c>
      <c r="O173" s="10" t="s">
        <v>1626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1627</v>
      </c>
      <c r="O174" s="10" t="s">
        <v>1626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1628</v>
      </c>
      <c r="O175" s="10" t="s">
        <v>1626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1629</v>
      </c>
      <c r="O176" s="10" t="s">
        <v>1626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1630</v>
      </c>
      <c r="O177" s="10" t="s">
        <v>1626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1631</v>
      </c>
      <c r="O178" s="10" t="s">
        <v>1632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1633</v>
      </c>
      <c r="O179" s="10" t="s">
        <v>1634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1635</v>
      </c>
      <c r="O180" s="10" t="s">
        <v>1636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1637</v>
      </c>
      <c r="O181" s="10" t="s">
        <v>1638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1639</v>
      </c>
      <c r="O182" s="10" t="s">
        <v>1640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1641</v>
      </c>
      <c r="O183" s="10" t="s">
        <v>1642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1643</v>
      </c>
      <c r="O184" s="10" t="s">
        <v>1642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1644</v>
      </c>
      <c r="O185" s="10" t="s">
        <v>1642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1645</v>
      </c>
      <c r="O186" s="10" t="s">
        <v>1646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1647</v>
      </c>
      <c r="O187" s="10" t="s">
        <v>1646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1648</v>
      </c>
      <c r="O188" s="10" t="s">
        <v>1646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1649</v>
      </c>
      <c r="O189" s="10" t="s">
        <v>1646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1650</v>
      </c>
      <c r="O190" s="10" t="s">
        <v>1646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1651</v>
      </c>
      <c r="O191" s="10" t="s">
        <v>1646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1652</v>
      </c>
      <c r="O192" s="10" t="s">
        <v>1653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1654</v>
      </c>
      <c r="O193" s="10" t="s">
        <v>1653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1655</v>
      </c>
      <c r="O194" s="10" t="s">
        <v>1653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1656</v>
      </c>
      <c r="O195" s="10" t="s">
        <v>1653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1657</v>
      </c>
      <c r="O196" s="10" t="s">
        <v>1653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1658</v>
      </c>
      <c r="O197" s="10" t="s">
        <v>1659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1660</v>
      </c>
      <c r="O198" s="10" t="s">
        <v>1659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1661</v>
      </c>
      <c r="O199" s="10" t="s">
        <v>1662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1663</v>
      </c>
      <c r="O200" s="10" t="s">
        <v>1662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1664</v>
      </c>
      <c r="O201" s="10" t="s">
        <v>1662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1665</v>
      </c>
      <c r="O202" s="10" t="s">
        <v>1662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1666</v>
      </c>
      <c r="O203" s="10" t="s">
        <v>1662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1667</v>
      </c>
      <c r="O204" s="10" t="s">
        <v>1662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1668</v>
      </c>
      <c r="O205" s="10" t="s">
        <v>1669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1670</v>
      </c>
      <c r="O206" s="10" t="s">
        <v>1669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1671</v>
      </c>
      <c r="O207" s="10" t="s">
        <v>1669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1672</v>
      </c>
      <c r="O208" s="10" t="s">
        <v>1673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1674</v>
      </c>
      <c r="O209" s="10" t="s">
        <v>1673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1675</v>
      </c>
      <c r="O210" s="10" t="s">
        <v>1673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1676</v>
      </c>
      <c r="O211" s="10" t="s">
        <v>1673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1677</v>
      </c>
      <c r="O212" s="10" t="s">
        <v>1673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1678</v>
      </c>
      <c r="O213" s="10" t="s">
        <v>1679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1680</v>
      </c>
      <c r="O214" s="10" t="s">
        <v>1679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1681</v>
      </c>
      <c r="O215" s="10" t="s">
        <v>1679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1682</v>
      </c>
      <c r="O216" s="10" t="s">
        <v>1679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1683</v>
      </c>
      <c r="O217" s="10" t="s">
        <v>1684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1685</v>
      </c>
      <c r="O218" s="10" t="s">
        <v>1684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1686</v>
      </c>
      <c r="O219" s="10" t="s">
        <v>1684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1687</v>
      </c>
      <c r="O220" s="10" t="s">
        <v>1684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1688</v>
      </c>
      <c r="O221" s="10" t="s">
        <v>1684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1689</v>
      </c>
      <c r="O222" s="10" t="s">
        <v>1690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1691</v>
      </c>
      <c r="O223" s="10" t="s">
        <v>1690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1692</v>
      </c>
      <c r="O224" s="10" t="s">
        <v>1693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1694</v>
      </c>
      <c r="O225" s="10" t="s">
        <v>1693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1695</v>
      </c>
      <c r="O226" s="10" t="s">
        <v>1693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1696</v>
      </c>
      <c r="O227" s="10" t="s">
        <v>1697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1698</v>
      </c>
      <c r="O228" s="10" t="s">
        <v>1697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1699</v>
      </c>
      <c r="O229" s="10" t="s">
        <v>1700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1701</v>
      </c>
      <c r="O230" s="10" t="s">
        <v>1642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1702</v>
      </c>
      <c r="O231" s="10" t="s">
        <v>1702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1703</v>
      </c>
      <c r="O232" s="10" t="s">
        <v>1612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 t="s">
        <v>33</v>
      </c>
      <c r="N233" s="6" t="s">
        <v>1704</v>
      </c>
      <c r="O233" s="10" t="s">
        <v>1370</v>
      </c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38"/>
  <sheetViews>
    <sheetView showGridLines="0" workbookViewId="0">
      <selection activeCell="G5" sqref="G5"/>
    </sheetView>
  </sheetViews>
  <sheetFormatPr defaultRowHeight="14"/>
  <sheetData>
    <row r="1" spans="1:8" ht="20">
      <c r="A1" s="1" t="s">
        <v>1705</v>
      </c>
      <c r="B1" s="1"/>
      <c r="C1" s="1"/>
      <c r="D1" s="1"/>
      <c r="E1" s="1"/>
      <c r="F1" s="1"/>
      <c r="G1" s="1"/>
      <c r="H1" s="1"/>
    </row>
    <row r="2" spans="1:8">
      <c r="A2" t="s">
        <v>1706</v>
      </c>
    </row>
    <row r="4" spans="1:8" ht="42">
      <c r="A4" s="2" t="s">
        <v>1707</v>
      </c>
      <c r="B4" s="2" t="s">
        <v>12</v>
      </c>
      <c r="C4" s="2" t="s">
        <v>1708</v>
      </c>
      <c r="D4" s="2" t="s">
        <v>1709</v>
      </c>
      <c r="E4" s="2" t="s">
        <v>1710</v>
      </c>
      <c r="F4" s="2" t="s">
        <v>1711</v>
      </c>
      <c r="G4" s="2" t="s">
        <v>1712</v>
      </c>
      <c r="H4" s="2" t="s">
        <v>1713</v>
      </c>
    </row>
    <row r="5" spans="1:8">
      <c r="A5" t="s">
        <v>24</v>
      </c>
      <c r="B5" t="s">
        <v>28</v>
      </c>
      <c r="C5" t="s">
        <v>31</v>
      </c>
      <c r="D5" t="s">
        <v>1714</v>
      </c>
      <c r="E5" t="s">
        <v>1715</v>
      </c>
      <c r="F5" t="s">
        <v>1716</v>
      </c>
      <c r="G5" t="s">
        <v>1714</v>
      </c>
    </row>
    <row r="6" spans="1:8">
      <c r="A6" t="s">
        <v>36</v>
      </c>
      <c r="B6" t="s">
        <v>1717</v>
      </c>
      <c r="C6" t="s">
        <v>40</v>
      </c>
      <c r="D6" t="s">
        <v>1714</v>
      </c>
      <c r="E6" t="s">
        <v>1715</v>
      </c>
      <c r="F6" t="s">
        <v>1716</v>
      </c>
      <c r="G6" t="s">
        <v>1714</v>
      </c>
    </row>
    <row r="7" spans="1:8">
      <c r="A7" t="s">
        <v>43</v>
      </c>
      <c r="B7" t="s">
        <v>45</v>
      </c>
      <c r="C7" t="s">
        <v>46</v>
      </c>
      <c r="D7" t="s">
        <v>1714</v>
      </c>
      <c r="E7" t="s">
        <v>1715</v>
      </c>
      <c r="F7" t="s">
        <v>1716</v>
      </c>
      <c r="G7" t="s">
        <v>1714</v>
      </c>
    </row>
    <row r="8" spans="1:8">
      <c r="A8" t="s">
        <v>49</v>
      </c>
      <c r="B8" t="s">
        <v>51</v>
      </c>
      <c r="C8" t="s">
        <v>52</v>
      </c>
      <c r="D8" t="s">
        <v>1714</v>
      </c>
      <c r="E8" t="s">
        <v>1715</v>
      </c>
      <c r="F8" t="s">
        <v>1716</v>
      </c>
      <c r="G8" t="s">
        <v>1714</v>
      </c>
    </row>
    <row r="9" spans="1:8">
      <c r="A9" t="s">
        <v>55</v>
      </c>
      <c r="B9" t="s">
        <v>58</v>
      </c>
      <c r="C9" t="s">
        <v>60</v>
      </c>
      <c r="D9" t="s">
        <v>1714</v>
      </c>
      <c r="E9" t="s">
        <v>1715</v>
      </c>
      <c r="F9" t="s">
        <v>1716</v>
      </c>
      <c r="G9" t="s">
        <v>1714</v>
      </c>
    </row>
    <row r="10" spans="1:8">
      <c r="A10" t="s">
        <v>63</v>
      </c>
      <c r="B10" t="s">
        <v>65</v>
      </c>
      <c r="C10" t="s">
        <v>67</v>
      </c>
      <c r="D10" t="s">
        <v>1714</v>
      </c>
      <c r="E10" t="s">
        <v>1715</v>
      </c>
      <c r="F10" t="s">
        <v>1716</v>
      </c>
      <c r="G10" t="s">
        <v>1714</v>
      </c>
    </row>
    <row r="11" spans="1:8">
      <c r="A11" t="s">
        <v>70</v>
      </c>
      <c r="B11" t="s">
        <v>72</v>
      </c>
      <c r="C11" t="s">
        <v>74</v>
      </c>
      <c r="D11" t="s">
        <v>1714</v>
      </c>
      <c r="E11" t="s">
        <v>1715</v>
      </c>
      <c r="F11" t="s">
        <v>1716</v>
      </c>
      <c r="G11" t="s">
        <v>1714</v>
      </c>
    </row>
    <row r="12" spans="1:8">
      <c r="A12" t="s">
        <v>77</v>
      </c>
      <c r="B12" t="s">
        <v>80</v>
      </c>
      <c r="C12" t="s">
        <v>83</v>
      </c>
      <c r="D12" t="s">
        <v>1714</v>
      </c>
      <c r="E12" t="s">
        <v>1715</v>
      </c>
      <c r="F12" t="s">
        <v>1716</v>
      </c>
      <c r="G12" t="s">
        <v>1714</v>
      </c>
    </row>
    <row r="13" spans="1:8">
      <c r="A13" t="s">
        <v>86</v>
      </c>
      <c r="B13" t="s">
        <v>87</v>
      </c>
      <c r="C13" t="s">
        <v>88</v>
      </c>
      <c r="D13" t="s">
        <v>1714</v>
      </c>
      <c r="E13" t="s">
        <v>1715</v>
      </c>
      <c r="F13" t="s">
        <v>1716</v>
      </c>
      <c r="G13" t="s">
        <v>1714</v>
      </c>
    </row>
    <row r="14" spans="1:8">
      <c r="A14" t="s">
        <v>91</v>
      </c>
      <c r="B14" t="s">
        <v>94</v>
      </c>
      <c r="C14" t="s">
        <v>95</v>
      </c>
      <c r="D14" t="s">
        <v>1714</v>
      </c>
      <c r="E14" t="s">
        <v>1715</v>
      </c>
      <c r="F14" t="s">
        <v>1716</v>
      </c>
      <c r="G14" t="s">
        <v>1714</v>
      </c>
    </row>
    <row r="15" spans="1:8">
      <c r="A15" t="s">
        <v>98</v>
      </c>
      <c r="B15" t="s">
        <v>99</v>
      </c>
      <c r="C15" t="s">
        <v>100</v>
      </c>
      <c r="D15" t="s">
        <v>1714</v>
      </c>
      <c r="E15" t="s">
        <v>1715</v>
      </c>
      <c r="F15" t="s">
        <v>1716</v>
      </c>
      <c r="G15" t="s">
        <v>1714</v>
      </c>
    </row>
    <row r="16" spans="1:8">
      <c r="A16" t="s">
        <v>103</v>
      </c>
      <c r="B16" t="s">
        <v>104</v>
      </c>
      <c r="C16" t="s">
        <v>105</v>
      </c>
      <c r="D16" t="s">
        <v>1714</v>
      </c>
      <c r="E16" t="s">
        <v>1715</v>
      </c>
      <c r="F16" t="s">
        <v>1716</v>
      </c>
      <c r="G16" t="s">
        <v>1714</v>
      </c>
    </row>
    <row r="17" spans="1:7">
      <c r="A17" t="s">
        <v>108</v>
      </c>
      <c r="B17" t="s">
        <v>109</v>
      </c>
      <c r="C17" t="s">
        <v>110</v>
      </c>
      <c r="D17" t="s">
        <v>1714</v>
      </c>
      <c r="E17" t="s">
        <v>1715</v>
      </c>
      <c r="F17" t="s">
        <v>1716</v>
      </c>
      <c r="G17" t="s">
        <v>1714</v>
      </c>
    </row>
    <row r="18" spans="1:7">
      <c r="A18" t="s">
        <v>113</v>
      </c>
      <c r="B18" t="s">
        <v>114</v>
      </c>
      <c r="C18" t="s">
        <v>115</v>
      </c>
      <c r="D18" t="s">
        <v>1714</v>
      </c>
      <c r="E18" t="s">
        <v>1715</v>
      </c>
      <c r="F18" t="s">
        <v>1716</v>
      </c>
      <c r="G18" t="s">
        <v>1714</v>
      </c>
    </row>
    <row r="19" spans="1:7">
      <c r="A19" t="s">
        <v>118</v>
      </c>
      <c r="B19" t="s">
        <v>121</v>
      </c>
      <c r="C19" t="s">
        <v>123</v>
      </c>
      <c r="D19" t="s">
        <v>1714</v>
      </c>
      <c r="E19" t="s">
        <v>1715</v>
      </c>
      <c r="F19" t="s">
        <v>1716</v>
      </c>
      <c r="G19" t="s">
        <v>1714</v>
      </c>
    </row>
    <row r="20" spans="1:7">
      <c r="A20" t="s">
        <v>126</v>
      </c>
      <c r="B20" t="s">
        <v>127</v>
      </c>
      <c r="C20" t="s">
        <v>128</v>
      </c>
      <c r="D20" t="s">
        <v>1714</v>
      </c>
      <c r="E20" t="s">
        <v>1715</v>
      </c>
      <c r="F20" t="s">
        <v>1716</v>
      </c>
      <c r="G20" t="s">
        <v>1714</v>
      </c>
    </row>
    <row r="21" spans="1:7">
      <c r="A21" t="s">
        <v>131</v>
      </c>
      <c r="B21" t="s">
        <v>132</v>
      </c>
      <c r="C21" t="s">
        <v>133</v>
      </c>
      <c r="D21" t="s">
        <v>1714</v>
      </c>
      <c r="E21" t="s">
        <v>1715</v>
      </c>
      <c r="F21" t="s">
        <v>1716</v>
      </c>
      <c r="G21" t="s">
        <v>1714</v>
      </c>
    </row>
    <row r="22" spans="1:7">
      <c r="A22" t="s">
        <v>136</v>
      </c>
      <c r="B22" t="s">
        <v>139</v>
      </c>
      <c r="C22" t="s">
        <v>140</v>
      </c>
      <c r="D22" t="s">
        <v>1714</v>
      </c>
      <c r="E22" t="s">
        <v>1715</v>
      </c>
      <c r="F22" t="s">
        <v>1716</v>
      </c>
      <c r="G22" t="s">
        <v>1714</v>
      </c>
    </row>
    <row r="23" spans="1:7">
      <c r="A23" t="s">
        <v>143</v>
      </c>
      <c r="B23" t="s">
        <v>144</v>
      </c>
      <c r="C23" t="s">
        <v>145</v>
      </c>
      <c r="D23" t="s">
        <v>1714</v>
      </c>
      <c r="E23" t="s">
        <v>1715</v>
      </c>
      <c r="F23" t="s">
        <v>1716</v>
      </c>
      <c r="G23" t="s">
        <v>1714</v>
      </c>
    </row>
    <row r="24" spans="1:7">
      <c r="A24" t="s">
        <v>148</v>
      </c>
      <c r="B24" t="s">
        <v>139</v>
      </c>
      <c r="C24" t="s">
        <v>150</v>
      </c>
      <c r="D24" t="s">
        <v>1714</v>
      </c>
      <c r="E24" t="s">
        <v>1715</v>
      </c>
      <c r="F24" t="s">
        <v>1716</v>
      </c>
      <c r="G24" t="s">
        <v>1714</v>
      </c>
    </row>
    <row r="25" spans="1:7">
      <c r="A25" t="s">
        <v>152</v>
      </c>
      <c r="B25" t="s">
        <v>139</v>
      </c>
      <c r="C25" t="s">
        <v>154</v>
      </c>
      <c r="D25" t="s">
        <v>1714</v>
      </c>
      <c r="E25" t="s">
        <v>1715</v>
      </c>
      <c r="F25" t="s">
        <v>1716</v>
      </c>
      <c r="G25" t="s">
        <v>1714</v>
      </c>
    </row>
    <row r="26" spans="1:7">
      <c r="A26" t="s">
        <v>156</v>
      </c>
      <c r="B26" t="s">
        <v>158</v>
      </c>
      <c r="C26" t="s">
        <v>159</v>
      </c>
      <c r="D26" t="s">
        <v>1714</v>
      </c>
      <c r="E26" t="s">
        <v>1715</v>
      </c>
      <c r="F26" t="s">
        <v>1716</v>
      </c>
      <c r="G26" t="s">
        <v>1714</v>
      </c>
    </row>
    <row r="27" spans="1:7">
      <c r="A27" t="s">
        <v>162</v>
      </c>
      <c r="B27" t="s">
        <v>158</v>
      </c>
      <c r="C27" t="s">
        <v>164</v>
      </c>
      <c r="D27" t="s">
        <v>1714</v>
      </c>
      <c r="E27" t="s">
        <v>1715</v>
      </c>
      <c r="F27" t="s">
        <v>1716</v>
      </c>
      <c r="G27" t="s">
        <v>1714</v>
      </c>
    </row>
    <row r="28" spans="1:7">
      <c r="A28" t="s">
        <v>168</v>
      </c>
      <c r="B28" t="s">
        <v>169</v>
      </c>
      <c r="C28" t="s">
        <v>170</v>
      </c>
      <c r="D28" t="s">
        <v>1714</v>
      </c>
      <c r="E28" t="s">
        <v>1715</v>
      </c>
      <c r="F28" t="s">
        <v>1716</v>
      </c>
      <c r="G28" t="s">
        <v>1714</v>
      </c>
    </row>
    <row r="29" spans="1:7">
      <c r="A29" t="s">
        <v>173</v>
      </c>
      <c r="B29" t="s">
        <v>169</v>
      </c>
      <c r="C29" t="s">
        <v>174</v>
      </c>
      <c r="D29" t="s">
        <v>1714</v>
      </c>
      <c r="E29" t="s">
        <v>1715</v>
      </c>
      <c r="F29" t="s">
        <v>1716</v>
      </c>
      <c r="G29" t="s">
        <v>1714</v>
      </c>
    </row>
    <row r="30" spans="1:7">
      <c r="A30" t="s">
        <v>176</v>
      </c>
      <c r="B30" t="s">
        <v>158</v>
      </c>
      <c r="C30" t="s">
        <v>177</v>
      </c>
      <c r="D30" t="s">
        <v>1714</v>
      </c>
      <c r="E30" t="s">
        <v>1715</v>
      </c>
      <c r="F30" t="s">
        <v>1716</v>
      </c>
      <c r="G30" t="s">
        <v>1714</v>
      </c>
    </row>
    <row r="31" spans="1:7">
      <c r="A31" t="s">
        <v>179</v>
      </c>
      <c r="B31" t="s">
        <v>180</v>
      </c>
      <c r="C31" t="s">
        <v>181</v>
      </c>
      <c r="D31" t="s">
        <v>1714</v>
      </c>
      <c r="E31" t="s">
        <v>1715</v>
      </c>
      <c r="F31" t="s">
        <v>1716</v>
      </c>
      <c r="G31" t="s">
        <v>1714</v>
      </c>
    </row>
    <row r="32" spans="1:7">
      <c r="A32" t="s">
        <v>187</v>
      </c>
      <c r="B32" t="s">
        <v>180</v>
      </c>
      <c r="C32" t="s">
        <v>185</v>
      </c>
      <c r="D32" t="s">
        <v>1714</v>
      </c>
      <c r="E32" t="s">
        <v>1715</v>
      </c>
      <c r="F32" t="s">
        <v>1716</v>
      </c>
      <c r="G32" t="s">
        <v>1714</v>
      </c>
    </row>
    <row r="33" spans="1:7">
      <c r="A33" t="s">
        <v>187</v>
      </c>
      <c r="B33" t="s">
        <v>188</v>
      </c>
      <c r="C33" t="s">
        <v>189</v>
      </c>
      <c r="D33" t="s">
        <v>1714</v>
      </c>
      <c r="E33" t="s">
        <v>1715</v>
      </c>
      <c r="F33" t="s">
        <v>1716</v>
      </c>
      <c r="G33" t="s">
        <v>1714</v>
      </c>
    </row>
    <row r="34" spans="1:7">
      <c r="A34" t="s">
        <v>192</v>
      </c>
      <c r="B34" t="s">
        <v>194</v>
      </c>
      <c r="C34" t="s">
        <v>195</v>
      </c>
      <c r="D34" t="s">
        <v>1714</v>
      </c>
      <c r="E34" t="s">
        <v>1715</v>
      </c>
      <c r="F34" t="s">
        <v>1716</v>
      </c>
      <c r="G34" t="s">
        <v>1714</v>
      </c>
    </row>
    <row r="35" spans="1:7">
      <c r="A35" t="s">
        <v>198</v>
      </c>
      <c r="B35" t="s">
        <v>199</v>
      </c>
      <c r="C35" t="s">
        <v>200</v>
      </c>
      <c r="D35" t="s">
        <v>1714</v>
      </c>
      <c r="E35" t="s">
        <v>1715</v>
      </c>
      <c r="F35" t="s">
        <v>1716</v>
      </c>
      <c r="G35" t="s">
        <v>1714</v>
      </c>
    </row>
    <row r="36" spans="1:7">
      <c r="A36" t="s">
        <v>203</v>
      </c>
      <c r="B36" t="s">
        <v>206</v>
      </c>
      <c r="C36" t="s">
        <v>207</v>
      </c>
      <c r="D36" t="s">
        <v>1714</v>
      </c>
      <c r="E36" t="s">
        <v>1715</v>
      </c>
      <c r="F36" t="s">
        <v>1716</v>
      </c>
      <c r="G36" t="s">
        <v>1714</v>
      </c>
    </row>
    <row r="37" spans="1:7">
      <c r="A37" t="s">
        <v>210</v>
      </c>
      <c r="B37" t="s">
        <v>206</v>
      </c>
      <c r="C37" t="s">
        <v>212</v>
      </c>
      <c r="D37" t="s">
        <v>1714</v>
      </c>
      <c r="E37" t="s">
        <v>1715</v>
      </c>
      <c r="F37" t="s">
        <v>1716</v>
      </c>
      <c r="G37" t="s">
        <v>1714</v>
      </c>
    </row>
    <row r="38" spans="1:7">
      <c r="A38" t="s">
        <v>215</v>
      </c>
      <c r="B38" t="s">
        <v>216</v>
      </c>
      <c r="C38" t="s">
        <v>217</v>
      </c>
      <c r="D38" t="s">
        <v>1714</v>
      </c>
      <c r="E38" t="s">
        <v>1715</v>
      </c>
      <c r="F38" t="s">
        <v>1716</v>
      </c>
      <c r="G38" t="s">
        <v>1714</v>
      </c>
    </row>
    <row r="39" spans="1:7">
      <c r="A39" t="s">
        <v>220</v>
      </c>
      <c r="B39" t="s">
        <v>221</v>
      </c>
      <c r="C39" t="s">
        <v>222</v>
      </c>
      <c r="D39" t="s">
        <v>1714</v>
      </c>
      <c r="E39" t="s">
        <v>1715</v>
      </c>
      <c r="F39" t="s">
        <v>1716</v>
      </c>
      <c r="G39" t="s">
        <v>1714</v>
      </c>
    </row>
    <row r="40" spans="1:7">
      <c r="A40" t="s">
        <v>226</v>
      </c>
      <c r="B40" t="s">
        <v>228</v>
      </c>
      <c r="C40" t="s">
        <v>229</v>
      </c>
      <c r="D40" t="s">
        <v>1714</v>
      </c>
      <c r="E40" t="s">
        <v>1715</v>
      </c>
      <c r="F40" t="s">
        <v>1716</v>
      </c>
      <c r="G40" t="s">
        <v>1714</v>
      </c>
    </row>
    <row r="41" spans="1:7">
      <c r="A41" t="s">
        <v>232</v>
      </c>
      <c r="B41" t="s">
        <v>228</v>
      </c>
      <c r="C41" t="s">
        <v>233</v>
      </c>
      <c r="D41" t="s">
        <v>1714</v>
      </c>
      <c r="E41" t="s">
        <v>1715</v>
      </c>
      <c r="F41" t="s">
        <v>1716</v>
      </c>
      <c r="G41" t="s">
        <v>1714</v>
      </c>
    </row>
    <row r="42" spans="1:7">
      <c r="A42" t="s">
        <v>236</v>
      </c>
      <c r="B42" t="s">
        <v>240</v>
      </c>
      <c r="C42" t="s">
        <v>241</v>
      </c>
      <c r="D42" t="s">
        <v>1714</v>
      </c>
      <c r="E42" t="s">
        <v>1715</v>
      </c>
      <c r="F42" t="s">
        <v>1716</v>
      </c>
      <c r="G42" t="s">
        <v>1714</v>
      </c>
    </row>
    <row r="43" spans="1:7">
      <c r="A43" t="s">
        <v>244</v>
      </c>
      <c r="B43" t="s">
        <v>246</v>
      </c>
      <c r="C43" t="s">
        <v>247</v>
      </c>
      <c r="D43" t="s">
        <v>1714</v>
      </c>
      <c r="E43" t="s">
        <v>1715</v>
      </c>
      <c r="F43" t="s">
        <v>1716</v>
      </c>
      <c r="G43" t="s">
        <v>1714</v>
      </c>
    </row>
    <row r="44" spans="1:7">
      <c r="A44" t="s">
        <v>250</v>
      </c>
      <c r="B44" t="s">
        <v>252</v>
      </c>
      <c r="C44" t="s">
        <v>253</v>
      </c>
      <c r="D44" t="s">
        <v>1714</v>
      </c>
      <c r="E44" t="s">
        <v>1715</v>
      </c>
      <c r="F44" t="s">
        <v>1716</v>
      </c>
      <c r="G44" t="s">
        <v>1714</v>
      </c>
    </row>
    <row r="45" spans="1:7">
      <c r="A45" t="s">
        <v>256</v>
      </c>
      <c r="B45" t="s">
        <v>258</v>
      </c>
      <c r="C45" t="s">
        <v>259</v>
      </c>
      <c r="D45" t="s">
        <v>1714</v>
      </c>
      <c r="E45" t="s">
        <v>1715</v>
      </c>
      <c r="F45" t="s">
        <v>1716</v>
      </c>
      <c r="G45" t="s">
        <v>1714</v>
      </c>
    </row>
    <row r="46" spans="1:7">
      <c r="A46" t="s">
        <v>262</v>
      </c>
      <c r="B46" t="s">
        <v>263</v>
      </c>
      <c r="C46" t="s">
        <v>264</v>
      </c>
      <c r="D46" t="s">
        <v>1714</v>
      </c>
      <c r="E46" t="s">
        <v>1715</v>
      </c>
      <c r="F46" t="s">
        <v>1716</v>
      </c>
      <c r="G46" t="s">
        <v>1714</v>
      </c>
    </row>
    <row r="47" spans="1:7">
      <c r="A47" t="s">
        <v>267</v>
      </c>
      <c r="B47" t="s">
        <v>268</v>
      </c>
      <c r="C47" t="s">
        <v>269</v>
      </c>
      <c r="D47" t="s">
        <v>1714</v>
      </c>
      <c r="E47" t="s">
        <v>1715</v>
      </c>
      <c r="F47" t="s">
        <v>1716</v>
      </c>
      <c r="G47" t="s">
        <v>1714</v>
      </c>
    </row>
    <row r="48" spans="1:7">
      <c r="A48" t="s">
        <v>272</v>
      </c>
      <c r="B48" t="s">
        <v>275</v>
      </c>
      <c r="C48" t="s">
        <v>276</v>
      </c>
      <c r="D48" t="s">
        <v>1714</v>
      </c>
      <c r="E48" t="s">
        <v>1715</v>
      </c>
      <c r="F48" t="s">
        <v>1716</v>
      </c>
      <c r="G48" t="s">
        <v>1714</v>
      </c>
    </row>
    <row r="49" spans="1:7">
      <c r="A49" t="s">
        <v>279</v>
      </c>
      <c r="B49" t="s">
        <v>280</v>
      </c>
      <c r="C49" t="s">
        <v>281</v>
      </c>
      <c r="D49" t="s">
        <v>1714</v>
      </c>
      <c r="E49" t="s">
        <v>1715</v>
      </c>
      <c r="F49" t="s">
        <v>1716</v>
      </c>
      <c r="G49" t="s">
        <v>1714</v>
      </c>
    </row>
    <row r="50" spans="1:7">
      <c r="A50" t="s">
        <v>284</v>
      </c>
      <c r="B50" t="s">
        <v>285</v>
      </c>
      <c r="C50" t="s">
        <v>286</v>
      </c>
      <c r="D50" t="s">
        <v>1714</v>
      </c>
      <c r="E50" t="s">
        <v>1715</v>
      </c>
      <c r="F50" t="s">
        <v>1716</v>
      </c>
      <c r="G50" t="s">
        <v>1714</v>
      </c>
    </row>
    <row r="51" spans="1:7">
      <c r="A51" t="s">
        <v>289</v>
      </c>
      <c r="B51" t="s">
        <v>290</v>
      </c>
      <c r="C51" t="s">
        <v>291</v>
      </c>
      <c r="D51" t="s">
        <v>1714</v>
      </c>
      <c r="E51" t="s">
        <v>1715</v>
      </c>
      <c r="F51" t="s">
        <v>1716</v>
      </c>
      <c r="G51" t="s">
        <v>1714</v>
      </c>
    </row>
    <row r="52" spans="1:7">
      <c r="A52" t="s">
        <v>294</v>
      </c>
      <c r="B52" t="s">
        <v>295</v>
      </c>
      <c r="C52" t="s">
        <v>296</v>
      </c>
      <c r="D52" t="s">
        <v>1714</v>
      </c>
      <c r="E52" t="s">
        <v>1715</v>
      </c>
      <c r="F52" t="s">
        <v>1716</v>
      </c>
      <c r="G52" t="s">
        <v>1714</v>
      </c>
    </row>
    <row r="53" spans="1:7">
      <c r="A53" t="s">
        <v>299</v>
      </c>
      <c r="B53" t="s">
        <v>300</v>
      </c>
      <c r="C53" t="s">
        <v>301</v>
      </c>
      <c r="D53" t="s">
        <v>1714</v>
      </c>
      <c r="E53" t="s">
        <v>1715</v>
      </c>
      <c r="F53" t="s">
        <v>1716</v>
      </c>
      <c r="G53" t="s">
        <v>1714</v>
      </c>
    </row>
    <row r="54" spans="1:7">
      <c r="A54" t="s">
        <v>304</v>
      </c>
      <c r="B54" t="s">
        <v>305</v>
      </c>
      <c r="C54" t="s">
        <v>306</v>
      </c>
      <c r="D54" t="s">
        <v>1714</v>
      </c>
      <c r="E54" t="s">
        <v>1715</v>
      </c>
      <c r="F54" t="s">
        <v>1716</v>
      </c>
      <c r="G54" t="s">
        <v>1714</v>
      </c>
    </row>
    <row r="55" spans="1:7">
      <c r="A55" t="s">
        <v>309</v>
      </c>
      <c r="B55" t="s">
        <v>310</v>
      </c>
      <c r="C55" t="s">
        <v>311</v>
      </c>
      <c r="D55" t="s">
        <v>1714</v>
      </c>
      <c r="E55" t="s">
        <v>1715</v>
      </c>
      <c r="F55" t="s">
        <v>1716</v>
      </c>
      <c r="G55" t="s">
        <v>1714</v>
      </c>
    </row>
    <row r="56" spans="1:7">
      <c r="A56" t="s">
        <v>314</v>
      </c>
      <c r="B56" t="s">
        <v>315</v>
      </c>
      <c r="C56" t="s">
        <v>316</v>
      </c>
      <c r="D56" t="s">
        <v>1714</v>
      </c>
      <c r="E56" t="s">
        <v>1715</v>
      </c>
      <c r="F56" t="s">
        <v>1716</v>
      </c>
      <c r="G56" t="s">
        <v>1714</v>
      </c>
    </row>
    <row r="57" spans="1:7">
      <c r="A57" t="s">
        <v>319</v>
      </c>
      <c r="B57" t="s">
        <v>320</v>
      </c>
      <c r="C57" t="s">
        <v>321</v>
      </c>
      <c r="D57" t="s">
        <v>1714</v>
      </c>
      <c r="E57" t="s">
        <v>1715</v>
      </c>
      <c r="F57" t="s">
        <v>1716</v>
      </c>
      <c r="G57" t="s">
        <v>1714</v>
      </c>
    </row>
    <row r="58" spans="1:7">
      <c r="A58" t="s">
        <v>324</v>
      </c>
      <c r="B58" t="s">
        <v>325</v>
      </c>
      <c r="C58" t="s">
        <v>326</v>
      </c>
      <c r="D58" t="s">
        <v>1714</v>
      </c>
      <c r="E58" t="s">
        <v>1715</v>
      </c>
      <c r="F58" t="s">
        <v>1716</v>
      </c>
      <c r="G58" t="s">
        <v>1714</v>
      </c>
    </row>
    <row r="59" spans="1:7">
      <c r="A59" t="s">
        <v>329</v>
      </c>
      <c r="B59" t="s">
        <v>330</v>
      </c>
      <c r="C59" t="s">
        <v>331</v>
      </c>
      <c r="D59" t="s">
        <v>1714</v>
      </c>
      <c r="E59" t="s">
        <v>1715</v>
      </c>
      <c r="F59" t="s">
        <v>1716</v>
      </c>
      <c r="G59" t="s">
        <v>1714</v>
      </c>
    </row>
    <row r="60" spans="1:7">
      <c r="A60" t="s">
        <v>334</v>
      </c>
      <c r="B60" t="s">
        <v>336</v>
      </c>
      <c r="C60" t="s">
        <v>337</v>
      </c>
      <c r="D60" t="s">
        <v>1714</v>
      </c>
      <c r="E60" t="s">
        <v>1715</v>
      </c>
      <c r="F60" t="s">
        <v>1716</v>
      </c>
      <c r="G60" t="s">
        <v>1714</v>
      </c>
    </row>
    <row r="61" spans="1:7">
      <c r="A61" t="s">
        <v>340</v>
      </c>
      <c r="B61" t="s">
        <v>341</v>
      </c>
      <c r="C61" t="s">
        <v>342</v>
      </c>
      <c r="D61" t="s">
        <v>1714</v>
      </c>
      <c r="E61" t="s">
        <v>1715</v>
      </c>
      <c r="F61" t="s">
        <v>1716</v>
      </c>
      <c r="G61" t="s">
        <v>1714</v>
      </c>
    </row>
    <row r="62" spans="1:7">
      <c r="A62" t="s">
        <v>345</v>
      </c>
      <c r="B62" t="s">
        <v>346</v>
      </c>
      <c r="C62" t="s">
        <v>347</v>
      </c>
      <c r="D62" t="s">
        <v>1714</v>
      </c>
      <c r="E62" t="s">
        <v>1715</v>
      </c>
      <c r="F62" t="s">
        <v>1716</v>
      </c>
      <c r="G62" t="s">
        <v>1714</v>
      </c>
    </row>
    <row r="63" spans="1:7">
      <c r="A63" t="s">
        <v>350</v>
      </c>
      <c r="B63" t="s">
        <v>351</v>
      </c>
      <c r="C63" t="s">
        <v>352</v>
      </c>
      <c r="D63" t="s">
        <v>1714</v>
      </c>
      <c r="E63" t="s">
        <v>1715</v>
      </c>
      <c r="F63" t="s">
        <v>1716</v>
      </c>
      <c r="G63" t="s">
        <v>1714</v>
      </c>
    </row>
    <row r="64" spans="1:7">
      <c r="A64" t="s">
        <v>355</v>
      </c>
      <c r="B64" t="s">
        <v>356</v>
      </c>
      <c r="C64" t="s">
        <v>357</v>
      </c>
      <c r="D64" t="s">
        <v>1714</v>
      </c>
      <c r="E64" t="s">
        <v>1715</v>
      </c>
      <c r="F64" t="s">
        <v>1716</v>
      </c>
      <c r="G64" t="s">
        <v>1714</v>
      </c>
    </row>
    <row r="65" spans="1:7">
      <c r="A65" t="s">
        <v>360</v>
      </c>
      <c r="B65" t="s">
        <v>361</v>
      </c>
      <c r="C65" t="s">
        <v>362</v>
      </c>
      <c r="D65" t="s">
        <v>1714</v>
      </c>
      <c r="E65" t="s">
        <v>1715</v>
      </c>
      <c r="F65" t="s">
        <v>1716</v>
      </c>
      <c r="G65" t="s">
        <v>1714</v>
      </c>
    </row>
    <row r="66" spans="1:7">
      <c r="A66" t="s">
        <v>365</v>
      </c>
      <c r="B66" t="s">
        <v>366</v>
      </c>
      <c r="C66" t="s">
        <v>367</v>
      </c>
      <c r="D66" t="s">
        <v>1714</v>
      </c>
      <c r="E66" t="s">
        <v>1715</v>
      </c>
      <c r="F66" t="s">
        <v>1716</v>
      </c>
      <c r="G66" t="s">
        <v>1714</v>
      </c>
    </row>
    <row r="67" spans="1:7">
      <c r="A67" t="s">
        <v>370</v>
      </c>
      <c r="B67" t="s">
        <v>371</v>
      </c>
      <c r="C67" t="s">
        <v>372</v>
      </c>
      <c r="D67" t="s">
        <v>1714</v>
      </c>
      <c r="E67" t="s">
        <v>1715</v>
      </c>
      <c r="F67" t="s">
        <v>1716</v>
      </c>
      <c r="G67" t="s">
        <v>1714</v>
      </c>
    </row>
    <row r="68" spans="1:7">
      <c r="A68" t="s">
        <v>375</v>
      </c>
      <c r="B68" t="s">
        <v>376</v>
      </c>
      <c r="C68" t="s">
        <v>377</v>
      </c>
      <c r="D68" t="s">
        <v>1714</v>
      </c>
      <c r="E68" t="s">
        <v>1715</v>
      </c>
      <c r="F68" t="s">
        <v>1716</v>
      </c>
      <c r="G68" t="s">
        <v>1714</v>
      </c>
    </row>
    <row r="69" spans="1:7">
      <c r="A69" t="s">
        <v>380</v>
      </c>
      <c r="B69" t="s">
        <v>381</v>
      </c>
      <c r="C69" t="s">
        <v>382</v>
      </c>
      <c r="D69" t="s">
        <v>1714</v>
      </c>
      <c r="E69" t="s">
        <v>1715</v>
      </c>
      <c r="F69" t="s">
        <v>1716</v>
      </c>
      <c r="G69" t="s">
        <v>1714</v>
      </c>
    </row>
    <row r="70" spans="1:7">
      <c r="A70" t="s">
        <v>385</v>
      </c>
      <c r="B70" t="s">
        <v>386</v>
      </c>
      <c r="C70" t="s">
        <v>387</v>
      </c>
      <c r="D70" t="s">
        <v>1714</v>
      </c>
      <c r="E70" t="s">
        <v>1715</v>
      </c>
      <c r="F70" t="s">
        <v>1716</v>
      </c>
      <c r="G70" t="s">
        <v>1714</v>
      </c>
    </row>
    <row r="71" spans="1:7">
      <c r="A71" t="s">
        <v>390</v>
      </c>
      <c r="B71" t="s">
        <v>391</v>
      </c>
      <c r="C71" t="s">
        <v>392</v>
      </c>
      <c r="D71" t="s">
        <v>1714</v>
      </c>
      <c r="E71" t="s">
        <v>1715</v>
      </c>
      <c r="F71" t="s">
        <v>1716</v>
      </c>
      <c r="G71" t="s">
        <v>1714</v>
      </c>
    </row>
    <row r="72" spans="1:7">
      <c r="A72" t="s">
        <v>395</v>
      </c>
      <c r="B72" t="s">
        <v>396</v>
      </c>
      <c r="C72" t="s">
        <v>397</v>
      </c>
      <c r="D72" t="s">
        <v>1714</v>
      </c>
      <c r="E72" t="s">
        <v>1715</v>
      </c>
      <c r="F72" t="s">
        <v>1716</v>
      </c>
      <c r="G72" t="s">
        <v>1714</v>
      </c>
    </row>
    <row r="73" spans="1:7">
      <c r="A73" t="s">
        <v>400</v>
      </c>
      <c r="B73" t="s">
        <v>401</v>
      </c>
      <c r="C73" t="s">
        <v>402</v>
      </c>
      <c r="D73" t="s">
        <v>1714</v>
      </c>
      <c r="E73" t="s">
        <v>1715</v>
      </c>
      <c r="F73" t="s">
        <v>1716</v>
      </c>
      <c r="G73" t="s">
        <v>1714</v>
      </c>
    </row>
    <row r="74" spans="1:7">
      <c r="A74" t="s">
        <v>405</v>
      </c>
      <c r="B74" t="s">
        <v>406</v>
      </c>
      <c r="C74" t="s">
        <v>407</v>
      </c>
      <c r="D74" t="s">
        <v>1714</v>
      </c>
      <c r="E74" t="s">
        <v>1715</v>
      </c>
      <c r="F74" t="s">
        <v>1716</v>
      </c>
      <c r="G74" t="s">
        <v>1714</v>
      </c>
    </row>
    <row r="75" spans="1:7">
      <c r="A75" t="s">
        <v>410</v>
      </c>
      <c r="B75" t="s">
        <v>411</v>
      </c>
      <c r="C75" t="s">
        <v>412</v>
      </c>
      <c r="D75" t="s">
        <v>1714</v>
      </c>
      <c r="E75" t="s">
        <v>1715</v>
      </c>
      <c r="F75" t="s">
        <v>1716</v>
      </c>
      <c r="G75" t="s">
        <v>1714</v>
      </c>
    </row>
    <row r="76" spans="1:7">
      <c r="A76" t="s">
        <v>415</v>
      </c>
      <c r="B76" t="s">
        <v>411</v>
      </c>
      <c r="C76" t="s">
        <v>416</v>
      </c>
      <c r="D76" t="s">
        <v>1714</v>
      </c>
      <c r="E76" t="s">
        <v>1715</v>
      </c>
      <c r="F76" t="s">
        <v>1716</v>
      </c>
      <c r="G76" t="s">
        <v>1714</v>
      </c>
    </row>
    <row r="77" spans="1:7">
      <c r="A77" t="s">
        <v>418</v>
      </c>
      <c r="B77" t="s">
        <v>411</v>
      </c>
      <c r="C77" t="s">
        <v>419</v>
      </c>
      <c r="D77" t="s">
        <v>1714</v>
      </c>
      <c r="E77" t="s">
        <v>1715</v>
      </c>
      <c r="F77" t="s">
        <v>1716</v>
      </c>
      <c r="G77" t="s">
        <v>1714</v>
      </c>
    </row>
    <row r="78" spans="1:7">
      <c r="A78" t="s">
        <v>421</v>
      </c>
      <c r="B78" t="s">
        <v>411</v>
      </c>
      <c r="C78" t="s">
        <v>422</v>
      </c>
      <c r="D78" t="s">
        <v>1714</v>
      </c>
      <c r="E78" t="s">
        <v>1715</v>
      </c>
      <c r="F78" t="s">
        <v>1716</v>
      </c>
      <c r="G78" t="s">
        <v>1714</v>
      </c>
    </row>
    <row r="79" spans="1:7">
      <c r="A79" t="s">
        <v>424</v>
      </c>
      <c r="B79" t="s">
        <v>425</v>
      </c>
      <c r="C79" t="s">
        <v>426</v>
      </c>
      <c r="D79" t="s">
        <v>1714</v>
      </c>
      <c r="E79" t="s">
        <v>1715</v>
      </c>
      <c r="F79" t="s">
        <v>1716</v>
      </c>
      <c r="G79" t="s">
        <v>1714</v>
      </c>
    </row>
    <row r="80" spans="1:7">
      <c r="A80" t="s">
        <v>429</v>
      </c>
      <c r="B80" t="s">
        <v>432</v>
      </c>
      <c r="C80" t="s">
        <v>433</v>
      </c>
      <c r="D80" t="s">
        <v>1714</v>
      </c>
      <c r="E80" t="s">
        <v>1715</v>
      </c>
      <c r="F80" t="s">
        <v>1716</v>
      </c>
      <c r="G80" t="s">
        <v>1714</v>
      </c>
    </row>
    <row r="81" spans="1:7">
      <c r="A81" t="s">
        <v>436</v>
      </c>
      <c r="B81" t="s">
        <v>438</v>
      </c>
      <c r="C81" t="s">
        <v>439</v>
      </c>
      <c r="D81" t="s">
        <v>1714</v>
      </c>
      <c r="E81" t="s">
        <v>1715</v>
      </c>
      <c r="F81" t="s">
        <v>1716</v>
      </c>
      <c r="G81" t="s">
        <v>1714</v>
      </c>
    </row>
    <row r="82" spans="1:7">
      <c r="A82" t="s">
        <v>442</v>
      </c>
      <c r="B82" t="s">
        <v>444</v>
      </c>
      <c r="C82" t="s">
        <v>445</v>
      </c>
      <c r="D82" t="s">
        <v>1714</v>
      </c>
      <c r="E82" t="s">
        <v>1715</v>
      </c>
      <c r="F82" t="s">
        <v>1716</v>
      </c>
      <c r="G82" t="s">
        <v>1714</v>
      </c>
    </row>
    <row r="83" spans="1:7">
      <c r="A83" t="s">
        <v>448</v>
      </c>
      <c r="B83" t="s">
        <v>453</v>
      </c>
      <c r="C83" t="s">
        <v>454</v>
      </c>
      <c r="D83" t="s">
        <v>1714</v>
      </c>
      <c r="E83" t="s">
        <v>1715</v>
      </c>
      <c r="F83" t="s">
        <v>1716</v>
      </c>
      <c r="G83" t="s">
        <v>1714</v>
      </c>
    </row>
    <row r="84" spans="1:7">
      <c r="A84" t="s">
        <v>457</v>
      </c>
      <c r="B84" t="s">
        <v>453</v>
      </c>
      <c r="C84" t="s">
        <v>459</v>
      </c>
      <c r="D84" t="s">
        <v>1714</v>
      </c>
      <c r="E84" t="s">
        <v>1715</v>
      </c>
      <c r="F84" t="s">
        <v>1716</v>
      </c>
      <c r="G84" t="s">
        <v>1714</v>
      </c>
    </row>
    <row r="85" spans="1:7">
      <c r="A85" t="s">
        <v>462</v>
      </c>
      <c r="B85" t="s">
        <v>453</v>
      </c>
      <c r="C85" t="s">
        <v>464</v>
      </c>
      <c r="D85" t="s">
        <v>1714</v>
      </c>
      <c r="E85" t="s">
        <v>1715</v>
      </c>
      <c r="F85" t="s">
        <v>1716</v>
      </c>
      <c r="G85" t="s">
        <v>1714</v>
      </c>
    </row>
    <row r="86" spans="1:7">
      <c r="A86" t="s">
        <v>467</v>
      </c>
      <c r="B86" t="s">
        <v>453</v>
      </c>
      <c r="C86" t="s">
        <v>469</v>
      </c>
      <c r="D86" t="s">
        <v>1714</v>
      </c>
      <c r="E86" t="s">
        <v>1715</v>
      </c>
      <c r="F86" t="s">
        <v>1716</v>
      </c>
      <c r="G86" t="s">
        <v>1714</v>
      </c>
    </row>
    <row r="87" spans="1:7">
      <c r="A87" t="s">
        <v>472</v>
      </c>
      <c r="B87" t="s">
        <v>453</v>
      </c>
      <c r="C87" t="s">
        <v>474</v>
      </c>
      <c r="D87" t="s">
        <v>1714</v>
      </c>
      <c r="E87" t="s">
        <v>1715</v>
      </c>
      <c r="F87" t="s">
        <v>1716</v>
      </c>
      <c r="G87" t="s">
        <v>1714</v>
      </c>
    </row>
    <row r="88" spans="1:7">
      <c r="A88" t="s">
        <v>477</v>
      </c>
      <c r="B88" t="s">
        <v>453</v>
      </c>
      <c r="C88" t="s">
        <v>479</v>
      </c>
      <c r="D88" t="s">
        <v>1714</v>
      </c>
      <c r="E88" t="s">
        <v>1715</v>
      </c>
      <c r="F88" t="s">
        <v>1716</v>
      </c>
      <c r="G88" t="s">
        <v>1714</v>
      </c>
    </row>
    <row r="89" spans="1:7">
      <c r="A89" t="s">
        <v>482</v>
      </c>
      <c r="B89" t="s">
        <v>453</v>
      </c>
      <c r="C89" t="s">
        <v>484</v>
      </c>
      <c r="D89" t="s">
        <v>1714</v>
      </c>
      <c r="E89" t="s">
        <v>1715</v>
      </c>
      <c r="F89" t="s">
        <v>1716</v>
      </c>
      <c r="G89" t="s">
        <v>1714</v>
      </c>
    </row>
    <row r="90" spans="1:7">
      <c r="A90" t="s">
        <v>487</v>
      </c>
      <c r="B90" t="s">
        <v>453</v>
      </c>
      <c r="C90" t="s">
        <v>489</v>
      </c>
      <c r="D90" t="s">
        <v>1714</v>
      </c>
      <c r="E90" t="s">
        <v>1715</v>
      </c>
      <c r="F90" t="s">
        <v>1716</v>
      </c>
      <c r="G90" t="s">
        <v>1714</v>
      </c>
    </row>
    <row r="91" spans="1:7">
      <c r="A91" t="s">
        <v>492</v>
      </c>
      <c r="B91" t="s">
        <v>453</v>
      </c>
      <c r="C91" t="s">
        <v>494</v>
      </c>
      <c r="D91" t="s">
        <v>1714</v>
      </c>
      <c r="E91" t="s">
        <v>1715</v>
      </c>
      <c r="F91" t="s">
        <v>1716</v>
      </c>
      <c r="G91" t="s">
        <v>1714</v>
      </c>
    </row>
    <row r="92" spans="1:7">
      <c r="A92" t="s">
        <v>497</v>
      </c>
      <c r="B92" t="s">
        <v>499</v>
      </c>
      <c r="C92" t="s">
        <v>500</v>
      </c>
      <c r="D92" t="s">
        <v>1714</v>
      </c>
      <c r="E92" t="s">
        <v>1715</v>
      </c>
      <c r="F92" t="s">
        <v>1716</v>
      </c>
      <c r="G92" t="s">
        <v>1714</v>
      </c>
    </row>
    <row r="93" spans="1:7">
      <c r="A93" t="s">
        <v>503</v>
      </c>
      <c r="B93" t="s">
        <v>505</v>
      </c>
      <c r="C93" t="s">
        <v>507</v>
      </c>
      <c r="D93" t="s">
        <v>1714</v>
      </c>
      <c r="E93" t="s">
        <v>1715</v>
      </c>
      <c r="F93" t="s">
        <v>1716</v>
      </c>
      <c r="G93" t="s">
        <v>1714</v>
      </c>
    </row>
    <row r="94" spans="1:7">
      <c r="A94" t="s">
        <v>510</v>
      </c>
      <c r="B94" t="s">
        <v>513</v>
      </c>
      <c r="C94" t="s">
        <v>514</v>
      </c>
      <c r="D94" t="s">
        <v>1714</v>
      </c>
      <c r="E94" t="s">
        <v>1715</v>
      </c>
      <c r="F94" t="s">
        <v>1716</v>
      </c>
      <c r="G94" t="s">
        <v>1714</v>
      </c>
    </row>
    <row r="95" spans="1:7">
      <c r="A95" t="s">
        <v>517</v>
      </c>
      <c r="B95" t="s">
        <v>513</v>
      </c>
      <c r="C95" t="s">
        <v>518</v>
      </c>
      <c r="D95" t="s">
        <v>1714</v>
      </c>
      <c r="E95" t="s">
        <v>1715</v>
      </c>
      <c r="F95" t="s">
        <v>1716</v>
      </c>
      <c r="G95" t="s">
        <v>1714</v>
      </c>
    </row>
    <row r="96" spans="1:7">
      <c r="A96" t="s">
        <v>521</v>
      </c>
      <c r="B96" t="s">
        <v>513</v>
      </c>
      <c r="C96" t="s">
        <v>523</v>
      </c>
      <c r="D96" t="s">
        <v>1714</v>
      </c>
      <c r="E96" t="s">
        <v>1715</v>
      </c>
      <c r="F96" t="s">
        <v>1716</v>
      </c>
      <c r="G96" t="s">
        <v>1714</v>
      </c>
    </row>
    <row r="97" spans="1:7">
      <c r="A97" t="s">
        <v>526</v>
      </c>
      <c r="B97" t="s">
        <v>513</v>
      </c>
      <c r="C97" t="s">
        <v>527</v>
      </c>
      <c r="D97" t="s">
        <v>1714</v>
      </c>
      <c r="E97" t="s">
        <v>1715</v>
      </c>
      <c r="F97" t="s">
        <v>1716</v>
      </c>
      <c r="G97" t="s">
        <v>1714</v>
      </c>
    </row>
    <row r="98" spans="1:7">
      <c r="A98" t="s">
        <v>530</v>
      </c>
      <c r="B98" t="s">
        <v>513</v>
      </c>
      <c r="C98" t="s">
        <v>532</v>
      </c>
      <c r="D98" t="s">
        <v>1714</v>
      </c>
      <c r="E98" t="s">
        <v>1715</v>
      </c>
      <c r="F98" t="s">
        <v>1716</v>
      </c>
      <c r="G98" t="s">
        <v>1714</v>
      </c>
    </row>
    <row r="99" spans="1:7">
      <c r="A99" t="s">
        <v>535</v>
      </c>
      <c r="B99" t="s">
        <v>537</v>
      </c>
      <c r="C99" t="s">
        <v>538</v>
      </c>
      <c r="D99" t="s">
        <v>1714</v>
      </c>
      <c r="E99" t="s">
        <v>1715</v>
      </c>
      <c r="F99" t="s">
        <v>1716</v>
      </c>
      <c r="G99" t="s">
        <v>1714</v>
      </c>
    </row>
    <row r="100" spans="1:7">
      <c r="A100" t="s">
        <v>541</v>
      </c>
      <c r="B100" t="s">
        <v>543</v>
      </c>
      <c r="C100" t="s">
        <v>544</v>
      </c>
      <c r="D100" t="s">
        <v>1714</v>
      </c>
      <c r="E100" t="s">
        <v>1715</v>
      </c>
      <c r="F100" t="s">
        <v>1716</v>
      </c>
      <c r="G100" t="s">
        <v>1714</v>
      </c>
    </row>
    <row r="101" spans="1:7">
      <c r="A101" t="s">
        <v>547</v>
      </c>
      <c r="B101" t="s">
        <v>549</v>
      </c>
      <c r="C101" t="s">
        <v>550</v>
      </c>
      <c r="D101" t="s">
        <v>1714</v>
      </c>
      <c r="E101" t="s">
        <v>1715</v>
      </c>
      <c r="F101" t="s">
        <v>1716</v>
      </c>
      <c r="G101" t="s">
        <v>1714</v>
      </c>
    </row>
    <row r="102" spans="1:7">
      <c r="A102" t="s">
        <v>553</v>
      </c>
      <c r="B102" t="s">
        <v>554</v>
      </c>
      <c r="C102" t="s">
        <v>556</v>
      </c>
      <c r="D102" t="s">
        <v>1714</v>
      </c>
      <c r="E102" t="s">
        <v>1715</v>
      </c>
      <c r="F102" t="s">
        <v>1716</v>
      </c>
      <c r="G102" t="s">
        <v>1714</v>
      </c>
    </row>
    <row r="103" spans="1:7">
      <c r="A103" t="s">
        <v>559</v>
      </c>
      <c r="B103" t="s">
        <v>554</v>
      </c>
      <c r="C103" t="s">
        <v>561</v>
      </c>
      <c r="D103" t="s">
        <v>1714</v>
      </c>
      <c r="E103" t="s">
        <v>1715</v>
      </c>
      <c r="F103" t="s">
        <v>1716</v>
      </c>
      <c r="G103" t="s">
        <v>1714</v>
      </c>
    </row>
    <row r="104" spans="1:7">
      <c r="A104" t="s">
        <v>564</v>
      </c>
      <c r="B104" t="s">
        <v>554</v>
      </c>
      <c r="C104" t="s">
        <v>566</v>
      </c>
      <c r="D104" t="s">
        <v>1714</v>
      </c>
      <c r="E104" t="s">
        <v>1715</v>
      </c>
      <c r="F104" t="s">
        <v>1716</v>
      </c>
      <c r="G104" t="s">
        <v>1714</v>
      </c>
    </row>
    <row r="105" spans="1:7">
      <c r="A105" t="s">
        <v>569</v>
      </c>
      <c r="B105" t="s">
        <v>554</v>
      </c>
      <c r="C105" t="s">
        <v>571</v>
      </c>
      <c r="D105" t="s">
        <v>1714</v>
      </c>
      <c r="E105" t="s">
        <v>1715</v>
      </c>
      <c r="F105" t="s">
        <v>1716</v>
      </c>
      <c r="G105" t="s">
        <v>1714</v>
      </c>
    </row>
    <row r="106" spans="1:7">
      <c r="A106" t="s">
        <v>574</v>
      </c>
      <c r="B106" t="s">
        <v>554</v>
      </c>
      <c r="C106" t="s">
        <v>576</v>
      </c>
      <c r="D106" t="s">
        <v>1714</v>
      </c>
      <c r="E106" t="s">
        <v>1715</v>
      </c>
      <c r="F106" t="s">
        <v>1716</v>
      </c>
      <c r="G106" t="s">
        <v>1714</v>
      </c>
    </row>
    <row r="107" spans="1:7">
      <c r="A107" t="s">
        <v>579</v>
      </c>
      <c r="B107" t="s">
        <v>584</v>
      </c>
      <c r="C107" t="s">
        <v>585</v>
      </c>
      <c r="D107" t="s">
        <v>1714</v>
      </c>
      <c r="E107" t="s">
        <v>1715</v>
      </c>
      <c r="F107" t="s">
        <v>1716</v>
      </c>
      <c r="G107" t="s">
        <v>1714</v>
      </c>
    </row>
    <row r="108" spans="1:7">
      <c r="A108" t="s">
        <v>588</v>
      </c>
      <c r="B108" t="s">
        <v>584</v>
      </c>
      <c r="C108" t="s">
        <v>590</v>
      </c>
      <c r="D108" t="s">
        <v>1714</v>
      </c>
      <c r="E108" t="s">
        <v>1715</v>
      </c>
      <c r="F108" t="s">
        <v>1716</v>
      </c>
      <c r="G108" t="s">
        <v>1714</v>
      </c>
    </row>
    <row r="109" spans="1:7">
      <c r="A109" t="s">
        <v>593</v>
      </c>
      <c r="B109" t="s">
        <v>584</v>
      </c>
      <c r="C109" t="s">
        <v>594</v>
      </c>
      <c r="D109" t="s">
        <v>1714</v>
      </c>
      <c r="E109" t="s">
        <v>1715</v>
      </c>
      <c r="F109" t="s">
        <v>1716</v>
      </c>
      <c r="G109" t="s">
        <v>1714</v>
      </c>
    </row>
    <row r="110" spans="1:7">
      <c r="A110" t="s">
        <v>597</v>
      </c>
      <c r="B110" t="s">
        <v>584</v>
      </c>
      <c r="C110" t="s">
        <v>599</v>
      </c>
      <c r="D110" t="s">
        <v>1714</v>
      </c>
      <c r="E110" t="s">
        <v>1715</v>
      </c>
      <c r="F110" t="s">
        <v>1716</v>
      </c>
      <c r="G110" t="s">
        <v>1714</v>
      </c>
    </row>
    <row r="111" spans="1:7">
      <c r="A111" t="s">
        <v>602</v>
      </c>
      <c r="B111" t="s">
        <v>584</v>
      </c>
      <c r="C111" t="s">
        <v>603</v>
      </c>
      <c r="D111" t="s">
        <v>1714</v>
      </c>
      <c r="E111" t="s">
        <v>1715</v>
      </c>
      <c r="F111" t="s">
        <v>1716</v>
      </c>
      <c r="G111" t="s">
        <v>1714</v>
      </c>
    </row>
    <row r="112" spans="1:7">
      <c r="A112" t="s">
        <v>606</v>
      </c>
      <c r="B112" t="s">
        <v>584</v>
      </c>
      <c r="C112" t="s">
        <v>608</v>
      </c>
      <c r="D112" t="s">
        <v>1714</v>
      </c>
      <c r="E112" t="s">
        <v>1715</v>
      </c>
      <c r="F112" t="s">
        <v>1716</v>
      </c>
      <c r="G112" t="s">
        <v>1714</v>
      </c>
    </row>
    <row r="113" spans="1:7">
      <c r="A113" t="s">
        <v>611</v>
      </c>
      <c r="B113" t="s">
        <v>584</v>
      </c>
      <c r="C113" t="s">
        <v>613</v>
      </c>
      <c r="D113" t="s">
        <v>1714</v>
      </c>
      <c r="E113" t="s">
        <v>1715</v>
      </c>
      <c r="F113" t="s">
        <v>1716</v>
      </c>
      <c r="G113" t="s">
        <v>1714</v>
      </c>
    </row>
    <row r="114" spans="1:7">
      <c r="A114" t="s">
        <v>616</v>
      </c>
      <c r="B114" t="s">
        <v>584</v>
      </c>
      <c r="C114" t="s">
        <v>618</v>
      </c>
      <c r="D114" t="s">
        <v>1714</v>
      </c>
      <c r="E114" t="s">
        <v>1715</v>
      </c>
      <c r="F114" t="s">
        <v>1716</v>
      </c>
      <c r="G114" t="s">
        <v>1714</v>
      </c>
    </row>
    <row r="115" spans="1:7">
      <c r="A115" t="s">
        <v>621</v>
      </c>
      <c r="B115" t="s">
        <v>584</v>
      </c>
      <c r="C115" t="s">
        <v>623</v>
      </c>
      <c r="D115" t="s">
        <v>1714</v>
      </c>
      <c r="E115" t="s">
        <v>1715</v>
      </c>
      <c r="F115" t="s">
        <v>1716</v>
      </c>
      <c r="G115" t="s">
        <v>1714</v>
      </c>
    </row>
    <row r="116" spans="1:7">
      <c r="A116" t="s">
        <v>626</v>
      </c>
      <c r="B116" t="s">
        <v>584</v>
      </c>
      <c r="C116" t="s">
        <v>628</v>
      </c>
      <c r="D116" t="s">
        <v>1714</v>
      </c>
      <c r="E116" t="s">
        <v>1715</v>
      </c>
      <c r="F116" t="s">
        <v>1716</v>
      </c>
      <c r="G116" t="s">
        <v>1714</v>
      </c>
    </row>
    <row r="117" spans="1:7">
      <c r="A117" t="s">
        <v>631</v>
      </c>
      <c r="B117" t="s">
        <v>584</v>
      </c>
      <c r="C117" t="s">
        <v>633</v>
      </c>
      <c r="D117" t="s">
        <v>1714</v>
      </c>
      <c r="E117" t="s">
        <v>1715</v>
      </c>
      <c r="F117" t="s">
        <v>1716</v>
      </c>
      <c r="G117" t="s">
        <v>1714</v>
      </c>
    </row>
    <row r="118" spans="1:7">
      <c r="A118" t="s">
        <v>636</v>
      </c>
      <c r="B118" t="s">
        <v>584</v>
      </c>
      <c r="C118" t="s">
        <v>638</v>
      </c>
      <c r="D118" t="s">
        <v>1714</v>
      </c>
      <c r="E118" t="s">
        <v>1715</v>
      </c>
      <c r="F118" t="s">
        <v>1716</v>
      </c>
      <c r="G118" t="s">
        <v>1714</v>
      </c>
    </row>
    <row r="119" spans="1:7">
      <c r="A119" t="s">
        <v>641</v>
      </c>
      <c r="B119" t="s">
        <v>584</v>
      </c>
      <c r="C119" t="s">
        <v>643</v>
      </c>
      <c r="D119" t="s">
        <v>1714</v>
      </c>
      <c r="E119" t="s">
        <v>1715</v>
      </c>
      <c r="F119" t="s">
        <v>1716</v>
      </c>
      <c r="G119" t="s">
        <v>1714</v>
      </c>
    </row>
    <row r="120" spans="1:7">
      <c r="A120" t="s">
        <v>646</v>
      </c>
      <c r="B120" t="s">
        <v>584</v>
      </c>
      <c r="C120" t="s">
        <v>648</v>
      </c>
      <c r="D120" t="s">
        <v>1714</v>
      </c>
      <c r="E120" t="s">
        <v>1715</v>
      </c>
      <c r="F120" t="s">
        <v>1716</v>
      </c>
      <c r="G120" t="s">
        <v>1714</v>
      </c>
    </row>
    <row r="121" spans="1:7">
      <c r="A121" t="s">
        <v>651</v>
      </c>
      <c r="B121" t="s">
        <v>652</v>
      </c>
      <c r="C121" t="s">
        <v>653</v>
      </c>
      <c r="D121" t="s">
        <v>1714</v>
      </c>
      <c r="E121" t="s">
        <v>1715</v>
      </c>
      <c r="F121" t="s">
        <v>1716</v>
      </c>
      <c r="G121" t="s">
        <v>1714</v>
      </c>
    </row>
    <row r="122" spans="1:7">
      <c r="A122" t="s">
        <v>656</v>
      </c>
      <c r="B122" t="s">
        <v>652</v>
      </c>
      <c r="C122" t="s">
        <v>657</v>
      </c>
      <c r="D122" t="s">
        <v>1714</v>
      </c>
      <c r="E122" t="s">
        <v>1715</v>
      </c>
      <c r="F122" t="s">
        <v>1716</v>
      </c>
      <c r="G122" t="s">
        <v>1714</v>
      </c>
    </row>
    <row r="123" spans="1:7">
      <c r="A123" t="s">
        <v>660</v>
      </c>
      <c r="B123" t="s">
        <v>652</v>
      </c>
      <c r="C123" t="s">
        <v>661</v>
      </c>
      <c r="D123" t="s">
        <v>1714</v>
      </c>
      <c r="E123" t="s">
        <v>1715</v>
      </c>
      <c r="F123" t="s">
        <v>1716</v>
      </c>
      <c r="G123" t="s">
        <v>1714</v>
      </c>
    </row>
    <row r="124" spans="1:7">
      <c r="A124" t="s">
        <v>664</v>
      </c>
      <c r="B124" t="s">
        <v>652</v>
      </c>
      <c r="C124" t="s">
        <v>666</v>
      </c>
      <c r="D124" t="s">
        <v>1714</v>
      </c>
      <c r="E124" t="s">
        <v>1715</v>
      </c>
      <c r="F124" t="s">
        <v>1716</v>
      </c>
      <c r="G124" t="s">
        <v>1714</v>
      </c>
    </row>
    <row r="125" spans="1:7">
      <c r="A125" t="s">
        <v>669</v>
      </c>
      <c r="B125" t="s">
        <v>652</v>
      </c>
      <c r="C125" t="s">
        <v>671</v>
      </c>
      <c r="D125" t="s">
        <v>1714</v>
      </c>
      <c r="E125" t="s">
        <v>1715</v>
      </c>
      <c r="F125" t="s">
        <v>1716</v>
      </c>
      <c r="G125" t="s">
        <v>1714</v>
      </c>
    </row>
    <row r="126" spans="1:7">
      <c r="A126" t="s">
        <v>674</v>
      </c>
      <c r="B126" t="s">
        <v>652</v>
      </c>
      <c r="C126" t="s">
        <v>676</v>
      </c>
      <c r="D126" t="s">
        <v>1714</v>
      </c>
      <c r="E126" t="s">
        <v>1715</v>
      </c>
      <c r="F126" t="s">
        <v>1716</v>
      </c>
      <c r="G126" t="s">
        <v>1714</v>
      </c>
    </row>
    <row r="127" spans="1:7">
      <c r="A127" t="s">
        <v>679</v>
      </c>
      <c r="B127" t="s">
        <v>652</v>
      </c>
      <c r="C127" t="s">
        <v>680</v>
      </c>
      <c r="D127" t="s">
        <v>1714</v>
      </c>
      <c r="E127" t="s">
        <v>1715</v>
      </c>
      <c r="F127" t="s">
        <v>1716</v>
      </c>
      <c r="G127" t="s">
        <v>1714</v>
      </c>
    </row>
    <row r="128" spans="1:7">
      <c r="A128" t="s">
        <v>683</v>
      </c>
      <c r="B128" t="s">
        <v>652</v>
      </c>
      <c r="C128" t="s">
        <v>685</v>
      </c>
      <c r="D128" t="s">
        <v>1714</v>
      </c>
      <c r="E128" t="s">
        <v>1715</v>
      </c>
      <c r="F128" t="s">
        <v>1716</v>
      </c>
      <c r="G128" t="s">
        <v>1714</v>
      </c>
    </row>
    <row r="129" spans="1:7">
      <c r="A129" t="s">
        <v>688</v>
      </c>
      <c r="B129" t="s">
        <v>691</v>
      </c>
      <c r="C129" t="s">
        <v>692</v>
      </c>
      <c r="D129" t="s">
        <v>1714</v>
      </c>
      <c r="E129" t="s">
        <v>1715</v>
      </c>
      <c r="F129" t="s">
        <v>1716</v>
      </c>
      <c r="G129" t="s">
        <v>1714</v>
      </c>
    </row>
    <row r="130" spans="1:7">
      <c r="A130" t="s">
        <v>695</v>
      </c>
      <c r="B130" t="s">
        <v>691</v>
      </c>
      <c r="C130" t="s">
        <v>697</v>
      </c>
      <c r="D130" t="s">
        <v>1714</v>
      </c>
      <c r="E130" t="s">
        <v>1715</v>
      </c>
      <c r="F130" t="s">
        <v>1716</v>
      </c>
      <c r="G130" t="s">
        <v>1714</v>
      </c>
    </row>
    <row r="131" spans="1:7">
      <c r="A131" t="s">
        <v>700</v>
      </c>
      <c r="B131" t="s">
        <v>691</v>
      </c>
      <c r="C131" t="s">
        <v>702</v>
      </c>
      <c r="D131" t="s">
        <v>1714</v>
      </c>
      <c r="E131" t="s">
        <v>1715</v>
      </c>
      <c r="F131" t="s">
        <v>1716</v>
      </c>
      <c r="G131" t="s">
        <v>1714</v>
      </c>
    </row>
    <row r="132" spans="1:7">
      <c r="A132" t="s">
        <v>705</v>
      </c>
      <c r="B132" t="s">
        <v>691</v>
      </c>
      <c r="C132" t="s">
        <v>707</v>
      </c>
      <c r="D132" t="s">
        <v>1714</v>
      </c>
      <c r="E132" t="s">
        <v>1715</v>
      </c>
      <c r="F132" t="s">
        <v>1716</v>
      </c>
      <c r="G132" t="s">
        <v>1714</v>
      </c>
    </row>
    <row r="133" spans="1:7">
      <c r="A133" t="s">
        <v>710</v>
      </c>
      <c r="B133" t="s">
        <v>691</v>
      </c>
      <c r="C133" t="s">
        <v>712</v>
      </c>
      <c r="D133" t="s">
        <v>1714</v>
      </c>
      <c r="E133" t="s">
        <v>1715</v>
      </c>
      <c r="F133" t="s">
        <v>1716</v>
      </c>
      <c r="G133" t="s">
        <v>1714</v>
      </c>
    </row>
    <row r="134" spans="1:7">
      <c r="A134" t="s">
        <v>715</v>
      </c>
      <c r="B134" t="s">
        <v>718</v>
      </c>
      <c r="C134" t="s">
        <v>719</v>
      </c>
      <c r="D134" t="s">
        <v>1718</v>
      </c>
      <c r="E134" t="s">
        <v>1719</v>
      </c>
      <c r="F134" t="s">
        <v>1720</v>
      </c>
      <c r="G134" t="s">
        <v>1714</v>
      </c>
    </row>
    <row r="135" spans="1:7">
      <c r="A135" t="s">
        <v>722</v>
      </c>
      <c r="B135" t="s">
        <v>724</v>
      </c>
      <c r="C135" t="s">
        <v>725</v>
      </c>
      <c r="D135" t="s">
        <v>1718</v>
      </c>
      <c r="E135" t="s">
        <v>1719</v>
      </c>
      <c r="F135" t="s">
        <v>1720</v>
      </c>
      <c r="G135" t="s">
        <v>1714</v>
      </c>
    </row>
    <row r="136" spans="1:7">
      <c r="A136" t="s">
        <v>728</v>
      </c>
      <c r="B136" t="s">
        <v>730</v>
      </c>
      <c r="C136" t="s">
        <v>731</v>
      </c>
      <c r="D136" t="s">
        <v>1718</v>
      </c>
      <c r="E136" t="s">
        <v>1719</v>
      </c>
      <c r="F136" t="s">
        <v>1720</v>
      </c>
      <c r="G136" t="s">
        <v>1714</v>
      </c>
    </row>
    <row r="137" spans="1:7">
      <c r="A137" t="s">
        <v>734</v>
      </c>
      <c r="B137" t="s">
        <v>736</v>
      </c>
      <c r="C137" t="s">
        <v>738</v>
      </c>
      <c r="D137" t="s">
        <v>1714</v>
      </c>
      <c r="E137" t="s">
        <v>1715</v>
      </c>
      <c r="F137" t="s">
        <v>1716</v>
      </c>
      <c r="G137" t="s">
        <v>1714</v>
      </c>
    </row>
    <row r="138" spans="1:7">
      <c r="A138" t="s">
        <v>742</v>
      </c>
      <c r="B138" t="s">
        <v>743</v>
      </c>
      <c r="C138" t="s">
        <v>745</v>
      </c>
      <c r="D138" t="s">
        <v>1718</v>
      </c>
      <c r="E138" t="s">
        <v>1721</v>
      </c>
      <c r="F138" t="s">
        <v>1722</v>
      </c>
      <c r="G138" t="s">
        <v>1714</v>
      </c>
    </row>
    <row r="139" spans="1:7">
      <c r="A139" t="s">
        <v>748</v>
      </c>
      <c r="B139" t="s">
        <v>1723</v>
      </c>
      <c r="C139" t="s">
        <v>750</v>
      </c>
      <c r="D139" t="s">
        <v>1714</v>
      </c>
      <c r="E139" t="s">
        <v>1715</v>
      </c>
      <c r="F139" t="s">
        <v>1716</v>
      </c>
      <c r="G139" t="s">
        <v>1714</v>
      </c>
    </row>
    <row r="140" spans="1:7">
      <c r="A140" t="s">
        <v>753</v>
      </c>
      <c r="B140" t="s">
        <v>754</v>
      </c>
      <c r="C140" t="s">
        <v>755</v>
      </c>
      <c r="D140" t="s">
        <v>1714</v>
      </c>
      <c r="E140" t="s">
        <v>1715</v>
      </c>
      <c r="F140" t="s">
        <v>1716</v>
      </c>
      <c r="G140" t="s">
        <v>1714</v>
      </c>
    </row>
    <row r="141" spans="1:7">
      <c r="A141" t="s">
        <v>758</v>
      </c>
      <c r="B141" t="s">
        <v>760</v>
      </c>
      <c r="C141" t="s">
        <v>761</v>
      </c>
      <c r="D141" t="s">
        <v>1714</v>
      </c>
      <c r="E141" t="s">
        <v>1715</v>
      </c>
      <c r="F141" t="s">
        <v>1716</v>
      </c>
      <c r="G141" t="s">
        <v>1714</v>
      </c>
    </row>
    <row r="142" spans="1:7">
      <c r="A142" t="s">
        <v>764</v>
      </c>
      <c r="B142" t="s">
        <v>765</v>
      </c>
      <c r="C142" t="s">
        <v>766</v>
      </c>
      <c r="D142" t="s">
        <v>1718</v>
      </c>
      <c r="E142" t="s">
        <v>1721</v>
      </c>
      <c r="F142" t="s">
        <v>1722</v>
      </c>
      <c r="G142" t="s">
        <v>1714</v>
      </c>
    </row>
    <row r="143" spans="1:7">
      <c r="A143" t="s">
        <v>769</v>
      </c>
      <c r="B143" t="s">
        <v>771</v>
      </c>
      <c r="C143" t="s">
        <v>772</v>
      </c>
      <c r="D143" t="s">
        <v>1714</v>
      </c>
      <c r="E143" t="s">
        <v>1715</v>
      </c>
      <c r="F143" t="s">
        <v>1716</v>
      </c>
      <c r="G143" t="s">
        <v>1714</v>
      </c>
    </row>
    <row r="144" spans="1:7">
      <c r="A144" t="s">
        <v>775</v>
      </c>
      <c r="B144" t="s">
        <v>776</v>
      </c>
      <c r="C144" t="s">
        <v>777</v>
      </c>
      <c r="D144" t="s">
        <v>1718</v>
      </c>
      <c r="E144" t="s">
        <v>1721</v>
      </c>
      <c r="F144" t="s">
        <v>1722</v>
      </c>
      <c r="G144" t="s">
        <v>1714</v>
      </c>
    </row>
    <row r="145" spans="1:7">
      <c r="A145" t="s">
        <v>780</v>
      </c>
      <c r="B145" t="s">
        <v>781</v>
      </c>
      <c r="C145" t="s">
        <v>782</v>
      </c>
      <c r="D145" t="s">
        <v>1714</v>
      </c>
      <c r="E145" t="s">
        <v>1715</v>
      </c>
      <c r="F145" t="s">
        <v>1716</v>
      </c>
      <c r="G145" t="s">
        <v>1714</v>
      </c>
    </row>
    <row r="146" spans="1:7">
      <c r="A146" t="s">
        <v>785</v>
      </c>
      <c r="B146" t="s">
        <v>786</v>
      </c>
      <c r="C146" t="s">
        <v>787</v>
      </c>
      <c r="D146" t="s">
        <v>1718</v>
      </c>
      <c r="E146" t="s">
        <v>1721</v>
      </c>
      <c r="F146" t="s">
        <v>1722</v>
      </c>
      <c r="G146" t="s">
        <v>1714</v>
      </c>
    </row>
    <row r="147" spans="1:7">
      <c r="A147" t="s">
        <v>790</v>
      </c>
      <c r="B147" t="s">
        <v>791</v>
      </c>
      <c r="C147" t="s">
        <v>792</v>
      </c>
      <c r="D147" t="s">
        <v>1714</v>
      </c>
      <c r="E147" t="s">
        <v>1715</v>
      </c>
      <c r="F147" t="s">
        <v>1716</v>
      </c>
      <c r="G147" t="s">
        <v>1714</v>
      </c>
    </row>
    <row r="148" spans="1:7">
      <c r="A148" t="s">
        <v>795</v>
      </c>
      <c r="B148" t="s">
        <v>796</v>
      </c>
      <c r="C148" t="s">
        <v>797</v>
      </c>
      <c r="D148" t="s">
        <v>1718</v>
      </c>
      <c r="E148" t="s">
        <v>1721</v>
      </c>
      <c r="F148" t="s">
        <v>1722</v>
      </c>
      <c r="G148" t="s">
        <v>1714</v>
      </c>
    </row>
    <row r="149" spans="1:7">
      <c r="A149" t="s">
        <v>800</v>
      </c>
      <c r="B149" t="s">
        <v>805</v>
      </c>
      <c r="C149" t="s">
        <v>806</v>
      </c>
      <c r="D149" t="s">
        <v>1714</v>
      </c>
      <c r="E149" t="s">
        <v>1715</v>
      </c>
      <c r="F149" t="s">
        <v>1716</v>
      </c>
      <c r="G149" t="s">
        <v>1714</v>
      </c>
    </row>
    <row r="150" spans="1:7">
      <c r="A150" t="s">
        <v>809</v>
      </c>
      <c r="B150" t="s">
        <v>811</v>
      </c>
      <c r="C150" t="s">
        <v>812</v>
      </c>
      <c r="D150" t="s">
        <v>1714</v>
      </c>
      <c r="E150" t="s">
        <v>1715</v>
      </c>
      <c r="F150" t="s">
        <v>1716</v>
      </c>
      <c r="G150" t="s">
        <v>1714</v>
      </c>
    </row>
    <row r="151" spans="1:7">
      <c r="A151" t="s">
        <v>815</v>
      </c>
      <c r="B151" t="s">
        <v>817</v>
      </c>
      <c r="C151" t="s">
        <v>819</v>
      </c>
      <c r="D151" t="s">
        <v>1718</v>
      </c>
      <c r="E151" t="s">
        <v>1721</v>
      </c>
      <c r="F151" t="s">
        <v>1722</v>
      </c>
      <c r="G151" t="s">
        <v>1714</v>
      </c>
    </row>
    <row r="152" spans="1:7">
      <c r="A152" t="s">
        <v>822</v>
      </c>
      <c r="B152" t="s">
        <v>805</v>
      </c>
      <c r="C152" t="s">
        <v>825</v>
      </c>
      <c r="D152" t="s">
        <v>1714</v>
      </c>
      <c r="E152" t="s">
        <v>1715</v>
      </c>
      <c r="F152" t="s">
        <v>1716</v>
      </c>
      <c r="G152" t="s">
        <v>1714</v>
      </c>
    </row>
    <row r="153" spans="1:7">
      <c r="A153" t="s">
        <v>828</v>
      </c>
      <c r="B153" t="s">
        <v>811</v>
      </c>
      <c r="C153" t="s">
        <v>829</v>
      </c>
      <c r="D153" t="s">
        <v>1714</v>
      </c>
      <c r="E153" t="s">
        <v>1715</v>
      </c>
      <c r="F153" t="s">
        <v>1716</v>
      </c>
      <c r="G153" t="s">
        <v>1714</v>
      </c>
    </row>
    <row r="154" spans="1:7">
      <c r="A154" t="s">
        <v>832</v>
      </c>
      <c r="B154" t="s">
        <v>817</v>
      </c>
      <c r="C154" t="s">
        <v>833</v>
      </c>
      <c r="D154" t="s">
        <v>1718</v>
      </c>
      <c r="E154" t="s">
        <v>1721</v>
      </c>
      <c r="F154" t="s">
        <v>1722</v>
      </c>
      <c r="G154" t="s">
        <v>1714</v>
      </c>
    </row>
    <row r="155" spans="1:7">
      <c r="A155" t="s">
        <v>836</v>
      </c>
      <c r="B155" t="s">
        <v>805</v>
      </c>
      <c r="C155" t="s">
        <v>839</v>
      </c>
      <c r="D155" t="s">
        <v>1714</v>
      </c>
      <c r="E155" t="s">
        <v>1715</v>
      </c>
      <c r="F155" t="s">
        <v>1716</v>
      </c>
      <c r="G155" t="s">
        <v>1714</v>
      </c>
    </row>
    <row r="156" spans="1:7">
      <c r="A156" t="s">
        <v>842</v>
      </c>
      <c r="B156" t="s">
        <v>811</v>
      </c>
      <c r="C156" t="s">
        <v>843</v>
      </c>
      <c r="D156" t="s">
        <v>1714</v>
      </c>
      <c r="E156" t="s">
        <v>1715</v>
      </c>
      <c r="F156" t="s">
        <v>1716</v>
      </c>
      <c r="G156" t="s">
        <v>1714</v>
      </c>
    </row>
    <row r="157" spans="1:7">
      <c r="A157" t="s">
        <v>846</v>
      </c>
      <c r="B157" t="s">
        <v>817</v>
      </c>
      <c r="C157" t="s">
        <v>847</v>
      </c>
      <c r="D157" t="s">
        <v>1718</v>
      </c>
      <c r="E157" t="s">
        <v>1721</v>
      </c>
      <c r="F157" t="s">
        <v>1722</v>
      </c>
      <c r="G157" t="s">
        <v>1714</v>
      </c>
    </row>
    <row r="158" spans="1:7">
      <c r="A158" t="s">
        <v>850</v>
      </c>
      <c r="B158" t="s">
        <v>805</v>
      </c>
      <c r="C158" t="s">
        <v>852</v>
      </c>
      <c r="D158" t="s">
        <v>1714</v>
      </c>
      <c r="E158" t="s">
        <v>1715</v>
      </c>
      <c r="F158" t="s">
        <v>1716</v>
      </c>
      <c r="G158" t="s">
        <v>1714</v>
      </c>
    </row>
    <row r="159" spans="1:7">
      <c r="A159" t="s">
        <v>855</v>
      </c>
      <c r="B159" t="s">
        <v>811</v>
      </c>
      <c r="C159" t="s">
        <v>856</v>
      </c>
      <c r="D159" t="s">
        <v>1714</v>
      </c>
      <c r="E159" t="s">
        <v>1715</v>
      </c>
      <c r="F159" t="s">
        <v>1716</v>
      </c>
      <c r="G159" t="s">
        <v>1714</v>
      </c>
    </row>
    <row r="160" spans="1:7">
      <c r="A160" t="s">
        <v>859</v>
      </c>
      <c r="B160" t="s">
        <v>817</v>
      </c>
      <c r="C160" t="s">
        <v>860</v>
      </c>
      <c r="D160" t="s">
        <v>1718</v>
      </c>
      <c r="E160" t="s">
        <v>1721</v>
      </c>
      <c r="F160" t="s">
        <v>1722</v>
      </c>
      <c r="G160" t="s">
        <v>1714</v>
      </c>
    </row>
    <row r="161" spans="1:7">
      <c r="A161" t="s">
        <v>863</v>
      </c>
      <c r="B161" t="s">
        <v>867</v>
      </c>
      <c r="C161" t="s">
        <v>869</v>
      </c>
      <c r="D161" t="s">
        <v>1714</v>
      </c>
      <c r="E161" t="s">
        <v>1715</v>
      </c>
      <c r="F161" t="s">
        <v>1716</v>
      </c>
      <c r="G161" t="s">
        <v>1714</v>
      </c>
    </row>
    <row r="162" spans="1:7">
      <c r="A162" t="s">
        <v>872</v>
      </c>
      <c r="B162" t="s">
        <v>874</v>
      </c>
      <c r="C162" t="s">
        <v>876</v>
      </c>
      <c r="D162" t="s">
        <v>1714</v>
      </c>
      <c r="E162" t="s">
        <v>1715</v>
      </c>
      <c r="F162" t="s">
        <v>1716</v>
      </c>
      <c r="G162" t="s">
        <v>1714</v>
      </c>
    </row>
    <row r="163" spans="1:7">
      <c r="A163" t="s">
        <v>879</v>
      </c>
      <c r="B163" t="s">
        <v>881</v>
      </c>
      <c r="C163" t="s">
        <v>883</v>
      </c>
      <c r="D163" t="s">
        <v>1714</v>
      </c>
      <c r="E163" t="s">
        <v>1715</v>
      </c>
      <c r="F163" t="s">
        <v>1716</v>
      </c>
      <c r="G163" t="s">
        <v>1714</v>
      </c>
    </row>
    <row r="164" spans="1:7">
      <c r="A164" t="s">
        <v>886</v>
      </c>
      <c r="B164" t="s">
        <v>887</v>
      </c>
      <c r="C164" t="s">
        <v>888</v>
      </c>
      <c r="D164" t="s">
        <v>1714</v>
      </c>
      <c r="E164" t="s">
        <v>1715</v>
      </c>
      <c r="F164" t="s">
        <v>1716</v>
      </c>
      <c r="G164" t="s">
        <v>1714</v>
      </c>
    </row>
    <row r="165" spans="1:7">
      <c r="A165" t="s">
        <v>891</v>
      </c>
      <c r="B165" t="s">
        <v>892</v>
      </c>
      <c r="C165" t="s">
        <v>893</v>
      </c>
      <c r="D165" t="s">
        <v>1714</v>
      </c>
      <c r="E165" t="s">
        <v>1715</v>
      </c>
      <c r="F165" t="s">
        <v>1716</v>
      </c>
      <c r="G165" t="s">
        <v>1714</v>
      </c>
    </row>
    <row r="166" spans="1:7">
      <c r="A166" t="s">
        <v>896</v>
      </c>
      <c r="B166" t="s">
        <v>897</v>
      </c>
      <c r="C166" t="s">
        <v>898</v>
      </c>
      <c r="D166" t="s">
        <v>1714</v>
      </c>
      <c r="E166" t="s">
        <v>1715</v>
      </c>
      <c r="F166" t="s">
        <v>1716</v>
      </c>
      <c r="G166" t="s">
        <v>1714</v>
      </c>
    </row>
    <row r="167" spans="1:7">
      <c r="A167" t="s">
        <v>901</v>
      </c>
      <c r="B167" t="s">
        <v>902</v>
      </c>
      <c r="C167" t="s">
        <v>903</v>
      </c>
      <c r="D167" t="s">
        <v>1714</v>
      </c>
      <c r="E167" t="s">
        <v>1715</v>
      </c>
      <c r="F167" t="s">
        <v>1716</v>
      </c>
      <c r="G167" t="s">
        <v>1714</v>
      </c>
    </row>
    <row r="168" spans="1:7">
      <c r="A168" t="s">
        <v>906</v>
      </c>
      <c r="B168" t="s">
        <v>909</v>
      </c>
      <c r="C168" t="s">
        <v>910</v>
      </c>
      <c r="D168" t="s">
        <v>1714</v>
      </c>
      <c r="E168" t="s">
        <v>1715</v>
      </c>
      <c r="F168" t="s">
        <v>1716</v>
      </c>
      <c r="G168" t="s">
        <v>1714</v>
      </c>
    </row>
    <row r="169" spans="1:7">
      <c r="A169" t="s">
        <v>913</v>
      </c>
      <c r="B169" t="s">
        <v>914</v>
      </c>
      <c r="C169" t="s">
        <v>915</v>
      </c>
      <c r="D169" t="s">
        <v>1714</v>
      </c>
      <c r="E169" t="s">
        <v>1715</v>
      </c>
      <c r="F169" t="s">
        <v>1716</v>
      </c>
      <c r="G169" t="s">
        <v>1714</v>
      </c>
    </row>
    <row r="170" spans="1:7">
      <c r="A170" t="s">
        <v>918</v>
      </c>
      <c r="B170" t="s">
        <v>919</v>
      </c>
      <c r="C170" t="s">
        <v>920</v>
      </c>
      <c r="D170" t="s">
        <v>1714</v>
      </c>
      <c r="E170" t="s">
        <v>1715</v>
      </c>
      <c r="F170" t="s">
        <v>1716</v>
      </c>
      <c r="G170" t="s">
        <v>1714</v>
      </c>
    </row>
    <row r="171" spans="1:7">
      <c r="A171" t="s">
        <v>923</v>
      </c>
      <c r="B171" t="s">
        <v>924</v>
      </c>
      <c r="C171" t="s">
        <v>925</v>
      </c>
      <c r="D171" t="s">
        <v>1714</v>
      </c>
      <c r="E171" t="s">
        <v>1715</v>
      </c>
      <c r="F171" t="s">
        <v>1716</v>
      </c>
      <c r="G171" t="s">
        <v>1714</v>
      </c>
    </row>
    <row r="172" spans="1:7">
      <c r="A172" t="s">
        <v>928</v>
      </c>
      <c r="B172" t="s">
        <v>929</v>
      </c>
      <c r="C172" t="s">
        <v>930</v>
      </c>
      <c r="D172" t="s">
        <v>1714</v>
      </c>
      <c r="E172" t="s">
        <v>1715</v>
      </c>
      <c r="F172" t="s">
        <v>1716</v>
      </c>
      <c r="G172" t="s">
        <v>1714</v>
      </c>
    </row>
    <row r="173" spans="1:7">
      <c r="A173" t="s">
        <v>933</v>
      </c>
      <c r="B173" t="s">
        <v>934</v>
      </c>
      <c r="C173" t="s">
        <v>935</v>
      </c>
      <c r="D173" t="s">
        <v>1714</v>
      </c>
      <c r="E173" t="s">
        <v>1715</v>
      </c>
      <c r="F173" t="s">
        <v>1716</v>
      </c>
      <c r="G173" t="s">
        <v>1714</v>
      </c>
    </row>
    <row r="174" spans="1:7">
      <c r="A174" t="s">
        <v>938</v>
      </c>
      <c r="B174" t="s">
        <v>939</v>
      </c>
      <c r="C174" t="s">
        <v>940</v>
      </c>
      <c r="D174" t="s">
        <v>1714</v>
      </c>
      <c r="E174" t="s">
        <v>1715</v>
      </c>
      <c r="F174" t="s">
        <v>1716</v>
      </c>
      <c r="G174" t="s">
        <v>1714</v>
      </c>
    </row>
    <row r="175" spans="1:7">
      <c r="A175" t="s">
        <v>943</v>
      </c>
      <c r="B175" t="s">
        <v>945</v>
      </c>
      <c r="C175" t="s">
        <v>946</v>
      </c>
      <c r="D175" t="s">
        <v>1714</v>
      </c>
      <c r="E175" t="s">
        <v>1715</v>
      </c>
      <c r="F175" t="s">
        <v>1716</v>
      </c>
      <c r="G175" t="s">
        <v>1714</v>
      </c>
    </row>
    <row r="176" spans="1:7">
      <c r="A176" t="s">
        <v>949</v>
      </c>
      <c r="B176" t="s">
        <v>950</v>
      </c>
      <c r="C176" t="s">
        <v>951</v>
      </c>
      <c r="D176" t="s">
        <v>1714</v>
      </c>
      <c r="E176" t="s">
        <v>1715</v>
      </c>
      <c r="F176" t="s">
        <v>1716</v>
      </c>
      <c r="G176" t="s">
        <v>1714</v>
      </c>
    </row>
    <row r="177" spans="1:7">
      <c r="A177" t="s">
        <v>954</v>
      </c>
      <c r="B177" t="s">
        <v>955</v>
      </c>
      <c r="C177" t="s">
        <v>956</v>
      </c>
      <c r="D177" t="s">
        <v>1714</v>
      </c>
      <c r="E177" t="s">
        <v>1715</v>
      </c>
      <c r="F177" t="s">
        <v>1716</v>
      </c>
      <c r="G177" t="s">
        <v>1714</v>
      </c>
    </row>
    <row r="178" spans="1:7">
      <c r="A178" t="s">
        <v>959</v>
      </c>
      <c r="B178" t="s">
        <v>960</v>
      </c>
      <c r="C178" t="s">
        <v>961</v>
      </c>
      <c r="D178" t="s">
        <v>1714</v>
      </c>
      <c r="E178" t="s">
        <v>1715</v>
      </c>
      <c r="F178" t="s">
        <v>1716</v>
      </c>
      <c r="G178" t="s">
        <v>1714</v>
      </c>
    </row>
    <row r="179" spans="1:7">
      <c r="A179" t="s">
        <v>964</v>
      </c>
      <c r="B179" t="s">
        <v>965</v>
      </c>
      <c r="C179" t="s">
        <v>966</v>
      </c>
      <c r="D179" t="s">
        <v>1714</v>
      </c>
      <c r="E179" t="s">
        <v>1715</v>
      </c>
      <c r="F179" t="s">
        <v>1716</v>
      </c>
      <c r="G179" t="s">
        <v>1714</v>
      </c>
    </row>
    <row r="180" spans="1:7">
      <c r="A180" t="s">
        <v>969</v>
      </c>
      <c r="B180" t="s">
        <v>971</v>
      </c>
      <c r="C180" t="s">
        <v>972</v>
      </c>
      <c r="D180" t="s">
        <v>1714</v>
      </c>
      <c r="E180" t="s">
        <v>1715</v>
      </c>
      <c r="F180" t="s">
        <v>1716</v>
      </c>
      <c r="G180" t="s">
        <v>1714</v>
      </c>
    </row>
    <row r="181" spans="1:7">
      <c r="A181" t="s">
        <v>975</v>
      </c>
      <c r="B181" t="s">
        <v>976</v>
      </c>
      <c r="C181" t="s">
        <v>977</v>
      </c>
      <c r="D181" t="s">
        <v>1714</v>
      </c>
      <c r="E181" t="s">
        <v>1715</v>
      </c>
      <c r="F181" t="s">
        <v>1716</v>
      </c>
      <c r="G181" t="s">
        <v>1714</v>
      </c>
    </row>
    <row r="182" spans="1:7">
      <c r="A182" t="s">
        <v>980</v>
      </c>
      <c r="B182" t="s">
        <v>982</v>
      </c>
      <c r="C182" t="s">
        <v>983</v>
      </c>
      <c r="D182" t="s">
        <v>1714</v>
      </c>
      <c r="E182" t="s">
        <v>1715</v>
      </c>
      <c r="F182" t="s">
        <v>1716</v>
      </c>
      <c r="G182" t="s">
        <v>1714</v>
      </c>
    </row>
    <row r="183" spans="1:7">
      <c r="A183" t="s">
        <v>986</v>
      </c>
      <c r="B183" t="s">
        <v>988</v>
      </c>
      <c r="C183" t="s">
        <v>989</v>
      </c>
      <c r="D183" t="s">
        <v>1714</v>
      </c>
      <c r="E183" t="s">
        <v>1715</v>
      </c>
      <c r="F183" t="s">
        <v>1716</v>
      </c>
      <c r="G183" t="s">
        <v>1714</v>
      </c>
    </row>
    <row r="184" spans="1:7">
      <c r="A184" t="s">
        <v>992</v>
      </c>
      <c r="B184" t="s">
        <v>993</v>
      </c>
      <c r="C184" t="s">
        <v>994</v>
      </c>
      <c r="D184" t="s">
        <v>1714</v>
      </c>
      <c r="E184" t="s">
        <v>1715</v>
      </c>
      <c r="F184" t="s">
        <v>1716</v>
      </c>
      <c r="G184" t="s">
        <v>1714</v>
      </c>
    </row>
    <row r="185" spans="1:7">
      <c r="A185" t="s">
        <v>997</v>
      </c>
      <c r="B185" t="s">
        <v>1000</v>
      </c>
      <c r="C185" t="s">
        <v>1001</v>
      </c>
      <c r="D185" t="s">
        <v>1714</v>
      </c>
      <c r="E185" t="s">
        <v>1715</v>
      </c>
      <c r="F185" t="s">
        <v>1716</v>
      </c>
      <c r="G185" t="s">
        <v>1714</v>
      </c>
    </row>
    <row r="186" spans="1:7">
      <c r="A186" t="s">
        <v>1004</v>
      </c>
      <c r="B186" t="s">
        <v>1007</v>
      </c>
      <c r="C186" t="s">
        <v>1008</v>
      </c>
      <c r="D186" t="s">
        <v>1714</v>
      </c>
      <c r="E186" t="s">
        <v>1715</v>
      </c>
      <c r="F186" t="s">
        <v>1716</v>
      </c>
      <c r="G186" t="s">
        <v>1714</v>
      </c>
    </row>
    <row r="187" spans="1:7">
      <c r="A187" t="s">
        <v>1011</v>
      </c>
      <c r="B187" t="s">
        <v>1015</v>
      </c>
      <c r="C187" t="s">
        <v>1016</v>
      </c>
      <c r="D187" t="s">
        <v>1714</v>
      </c>
      <c r="E187" t="s">
        <v>1715</v>
      </c>
      <c r="F187" t="s">
        <v>1716</v>
      </c>
      <c r="G187" t="s">
        <v>1714</v>
      </c>
    </row>
    <row r="188" spans="1:7">
      <c r="A188" t="s">
        <v>1019</v>
      </c>
      <c r="B188" t="s">
        <v>1022</v>
      </c>
      <c r="C188" t="s">
        <v>1023</v>
      </c>
      <c r="D188" t="s">
        <v>1714</v>
      </c>
      <c r="E188" t="s">
        <v>1715</v>
      </c>
      <c r="F188" t="s">
        <v>1716</v>
      </c>
      <c r="G188" t="s">
        <v>1714</v>
      </c>
    </row>
    <row r="189" spans="1:7">
      <c r="A189" t="s">
        <v>1026</v>
      </c>
      <c r="B189" t="s">
        <v>1028</v>
      </c>
      <c r="C189" t="s">
        <v>1029</v>
      </c>
      <c r="D189" t="s">
        <v>1714</v>
      </c>
      <c r="E189" t="s">
        <v>1715</v>
      </c>
      <c r="F189" t="s">
        <v>1716</v>
      </c>
      <c r="G189" t="s">
        <v>1714</v>
      </c>
    </row>
    <row r="190" spans="1:7">
      <c r="A190" t="s">
        <v>1032</v>
      </c>
      <c r="B190" t="s">
        <v>1035</v>
      </c>
      <c r="C190" t="s">
        <v>1036</v>
      </c>
      <c r="D190" t="s">
        <v>1714</v>
      </c>
      <c r="E190" t="s">
        <v>1715</v>
      </c>
      <c r="F190" t="s">
        <v>1716</v>
      </c>
      <c r="G190" t="s">
        <v>1714</v>
      </c>
    </row>
    <row r="191" spans="1:7">
      <c r="A191" t="s">
        <v>1039</v>
      </c>
      <c r="B191" t="s">
        <v>1041</v>
      </c>
      <c r="C191" t="s">
        <v>1042</v>
      </c>
      <c r="D191" t="s">
        <v>1714</v>
      </c>
      <c r="E191" t="s">
        <v>1715</v>
      </c>
      <c r="F191" t="s">
        <v>1716</v>
      </c>
      <c r="G191" t="s">
        <v>1714</v>
      </c>
    </row>
    <row r="192" spans="1:7">
      <c r="A192" t="s">
        <v>1045</v>
      </c>
      <c r="B192" t="s">
        <v>1046</v>
      </c>
      <c r="C192" t="s">
        <v>1047</v>
      </c>
      <c r="D192" t="s">
        <v>1714</v>
      </c>
      <c r="E192" t="s">
        <v>1715</v>
      </c>
      <c r="F192" t="s">
        <v>1716</v>
      </c>
      <c r="G192" t="s">
        <v>1714</v>
      </c>
    </row>
    <row r="193" spans="1:7">
      <c r="A193" t="s">
        <v>1050</v>
      </c>
      <c r="B193" t="s">
        <v>1054</v>
      </c>
      <c r="C193" t="s">
        <v>1056</v>
      </c>
      <c r="D193" t="s">
        <v>1714</v>
      </c>
      <c r="E193" t="s">
        <v>1715</v>
      </c>
      <c r="F193" t="s">
        <v>1716</v>
      </c>
      <c r="G193" t="s">
        <v>1714</v>
      </c>
    </row>
    <row r="194" spans="1:7">
      <c r="A194" t="s">
        <v>1059</v>
      </c>
      <c r="B194" t="s">
        <v>1054</v>
      </c>
      <c r="C194" t="s">
        <v>1062</v>
      </c>
      <c r="D194" t="s">
        <v>1714</v>
      </c>
      <c r="E194" t="s">
        <v>1715</v>
      </c>
      <c r="F194" t="s">
        <v>1716</v>
      </c>
      <c r="G194" t="s">
        <v>1714</v>
      </c>
    </row>
    <row r="195" spans="1:7">
      <c r="A195" t="s">
        <v>1065</v>
      </c>
      <c r="B195" t="s">
        <v>1054</v>
      </c>
      <c r="C195" t="s">
        <v>1068</v>
      </c>
      <c r="D195" t="s">
        <v>1714</v>
      </c>
      <c r="E195" t="s">
        <v>1715</v>
      </c>
      <c r="F195" t="s">
        <v>1716</v>
      </c>
      <c r="G195" t="s">
        <v>1714</v>
      </c>
    </row>
    <row r="196" spans="1:7">
      <c r="A196" t="s">
        <v>1071</v>
      </c>
      <c r="B196" t="s">
        <v>1054</v>
      </c>
      <c r="C196" t="s">
        <v>1074</v>
      </c>
      <c r="D196" t="s">
        <v>1714</v>
      </c>
      <c r="E196" t="s">
        <v>1715</v>
      </c>
      <c r="F196" t="s">
        <v>1716</v>
      </c>
      <c r="G196" t="s">
        <v>1714</v>
      </c>
    </row>
    <row r="197" spans="1:7">
      <c r="A197" t="s">
        <v>1077</v>
      </c>
      <c r="B197" t="s">
        <v>1078</v>
      </c>
      <c r="C197" t="s">
        <v>1079</v>
      </c>
      <c r="D197" t="s">
        <v>1714</v>
      </c>
      <c r="E197" t="s">
        <v>1715</v>
      </c>
      <c r="F197" t="s">
        <v>1716</v>
      </c>
      <c r="G197" t="s">
        <v>1714</v>
      </c>
    </row>
    <row r="198" spans="1:7">
      <c r="A198" t="s">
        <v>1082</v>
      </c>
      <c r="B198" t="s">
        <v>1083</v>
      </c>
      <c r="C198" t="s">
        <v>1084</v>
      </c>
      <c r="D198" t="s">
        <v>1714</v>
      </c>
      <c r="E198" t="s">
        <v>1715</v>
      </c>
      <c r="F198" t="s">
        <v>1716</v>
      </c>
      <c r="G198" t="s">
        <v>1714</v>
      </c>
    </row>
    <row r="199" spans="1:7">
      <c r="A199" t="s">
        <v>1087</v>
      </c>
      <c r="B199" t="s">
        <v>1090</v>
      </c>
      <c r="C199" t="s">
        <v>1091</v>
      </c>
      <c r="D199" t="s">
        <v>1714</v>
      </c>
      <c r="E199" t="s">
        <v>1715</v>
      </c>
      <c r="F199" t="s">
        <v>1716</v>
      </c>
      <c r="G199" t="s">
        <v>1714</v>
      </c>
    </row>
    <row r="200" spans="1:7">
      <c r="A200" t="s">
        <v>1094</v>
      </c>
      <c r="B200" t="s">
        <v>1096</v>
      </c>
      <c r="C200" t="s">
        <v>1097</v>
      </c>
      <c r="D200" t="s">
        <v>1714</v>
      </c>
      <c r="E200" t="s">
        <v>1715</v>
      </c>
      <c r="F200" t="s">
        <v>1716</v>
      </c>
      <c r="G200" t="s">
        <v>1714</v>
      </c>
    </row>
    <row r="201" spans="1:7">
      <c r="A201" t="s">
        <v>1100</v>
      </c>
      <c r="B201" t="s">
        <v>1102</v>
      </c>
      <c r="C201" t="s">
        <v>1103</v>
      </c>
      <c r="D201" t="s">
        <v>1714</v>
      </c>
      <c r="E201" t="s">
        <v>1715</v>
      </c>
      <c r="F201" t="s">
        <v>1716</v>
      </c>
      <c r="G201" t="s">
        <v>1714</v>
      </c>
    </row>
    <row r="202" spans="1:7">
      <c r="A202" t="s">
        <v>1106</v>
      </c>
      <c r="B202" t="s">
        <v>1108</v>
      </c>
      <c r="C202" t="s">
        <v>1109</v>
      </c>
      <c r="D202" t="s">
        <v>1714</v>
      </c>
      <c r="E202" t="s">
        <v>1715</v>
      </c>
      <c r="F202" t="s">
        <v>1716</v>
      </c>
      <c r="G202" t="s">
        <v>1714</v>
      </c>
    </row>
    <row r="203" spans="1:7">
      <c r="A203" t="s">
        <v>1112</v>
      </c>
      <c r="B203" t="s">
        <v>1113</v>
      </c>
      <c r="C203" t="s">
        <v>1114</v>
      </c>
      <c r="D203" t="s">
        <v>1714</v>
      </c>
      <c r="E203" t="s">
        <v>1715</v>
      </c>
      <c r="F203" t="s">
        <v>1716</v>
      </c>
      <c r="G203" t="s">
        <v>1714</v>
      </c>
    </row>
    <row r="204" spans="1:7">
      <c r="A204" t="s">
        <v>1117</v>
      </c>
      <c r="B204" t="s">
        <v>1120</v>
      </c>
      <c r="C204" t="s">
        <v>1121</v>
      </c>
      <c r="D204" t="s">
        <v>1714</v>
      </c>
      <c r="E204" t="s">
        <v>1715</v>
      </c>
      <c r="F204" t="s">
        <v>1716</v>
      </c>
      <c r="G204" t="s">
        <v>1714</v>
      </c>
    </row>
    <row r="205" spans="1:7">
      <c r="A205" t="s">
        <v>1124</v>
      </c>
      <c r="B205" t="s">
        <v>1126</v>
      </c>
      <c r="C205" t="s">
        <v>1127</v>
      </c>
      <c r="D205" t="s">
        <v>1714</v>
      </c>
      <c r="E205" t="s">
        <v>1715</v>
      </c>
      <c r="F205" t="s">
        <v>1716</v>
      </c>
      <c r="G205" t="s">
        <v>1714</v>
      </c>
    </row>
    <row r="206" spans="1:7">
      <c r="A206" t="s">
        <v>1130</v>
      </c>
      <c r="B206" t="s">
        <v>1133</v>
      </c>
      <c r="C206" t="s">
        <v>1134</v>
      </c>
      <c r="D206" t="s">
        <v>1714</v>
      </c>
      <c r="E206" t="s">
        <v>1715</v>
      </c>
      <c r="F206" t="s">
        <v>1716</v>
      </c>
      <c r="G206" t="s">
        <v>1714</v>
      </c>
    </row>
    <row r="207" spans="1:7">
      <c r="A207" t="s">
        <v>1137</v>
      </c>
      <c r="B207" t="s">
        <v>1138</v>
      </c>
      <c r="C207" t="s">
        <v>1139</v>
      </c>
      <c r="D207" t="s">
        <v>1714</v>
      </c>
      <c r="E207" t="s">
        <v>1715</v>
      </c>
      <c r="F207" t="s">
        <v>1716</v>
      </c>
      <c r="G207" t="s">
        <v>1714</v>
      </c>
    </row>
    <row r="208" spans="1:7">
      <c r="A208" t="s">
        <v>1142</v>
      </c>
      <c r="B208" t="s">
        <v>1143</v>
      </c>
      <c r="C208" t="s">
        <v>1144</v>
      </c>
      <c r="D208" t="s">
        <v>1714</v>
      </c>
      <c r="E208" t="s">
        <v>1715</v>
      </c>
      <c r="F208" t="s">
        <v>1716</v>
      </c>
      <c r="G208" t="s">
        <v>1714</v>
      </c>
    </row>
    <row r="209" spans="1:7">
      <c r="A209" t="s">
        <v>1147</v>
      </c>
      <c r="B209" t="s">
        <v>1148</v>
      </c>
      <c r="C209" t="s">
        <v>1149</v>
      </c>
      <c r="D209" t="s">
        <v>1714</v>
      </c>
      <c r="E209" t="s">
        <v>1715</v>
      </c>
      <c r="F209" t="s">
        <v>1716</v>
      </c>
      <c r="G209" t="s">
        <v>1714</v>
      </c>
    </row>
    <row r="210" spans="1:7">
      <c r="A210" t="s">
        <v>1152</v>
      </c>
      <c r="B210" t="s">
        <v>1153</v>
      </c>
      <c r="C210" t="s">
        <v>1154</v>
      </c>
      <c r="D210" t="s">
        <v>1714</v>
      </c>
      <c r="E210" t="s">
        <v>1715</v>
      </c>
      <c r="F210" t="s">
        <v>1716</v>
      </c>
      <c r="G210" t="s">
        <v>1714</v>
      </c>
    </row>
    <row r="211" spans="1:7">
      <c r="A211" t="s">
        <v>1157</v>
      </c>
      <c r="B211" t="s">
        <v>1158</v>
      </c>
      <c r="C211" t="s">
        <v>1159</v>
      </c>
      <c r="D211" t="s">
        <v>1714</v>
      </c>
      <c r="E211" t="s">
        <v>1715</v>
      </c>
      <c r="F211" t="s">
        <v>1716</v>
      </c>
      <c r="G211" t="s">
        <v>1714</v>
      </c>
    </row>
    <row r="212" spans="1:7">
      <c r="A212" t="s">
        <v>1162</v>
      </c>
      <c r="B212" t="s">
        <v>1166</v>
      </c>
      <c r="C212" t="s">
        <v>1167</v>
      </c>
      <c r="D212" t="s">
        <v>1714</v>
      </c>
      <c r="E212" t="s">
        <v>1715</v>
      </c>
      <c r="F212" t="s">
        <v>1716</v>
      </c>
      <c r="G212" t="s">
        <v>1714</v>
      </c>
    </row>
    <row r="213" spans="1:7">
      <c r="A213" t="s">
        <v>1170</v>
      </c>
      <c r="B213" t="s">
        <v>1171</v>
      </c>
      <c r="C213" t="s">
        <v>1172</v>
      </c>
      <c r="D213" t="s">
        <v>1714</v>
      </c>
      <c r="E213" t="s">
        <v>1715</v>
      </c>
      <c r="F213" t="s">
        <v>1716</v>
      </c>
      <c r="G213" t="s">
        <v>1714</v>
      </c>
    </row>
    <row r="214" spans="1:7">
      <c r="A214" t="s">
        <v>1175</v>
      </c>
      <c r="B214" t="s">
        <v>1176</v>
      </c>
      <c r="C214" t="s">
        <v>1177</v>
      </c>
      <c r="D214" t="s">
        <v>1714</v>
      </c>
      <c r="E214" t="s">
        <v>1715</v>
      </c>
      <c r="F214" t="s">
        <v>1716</v>
      </c>
      <c r="G214" t="s">
        <v>1714</v>
      </c>
    </row>
    <row r="215" spans="1:7">
      <c r="A215" t="s">
        <v>1180</v>
      </c>
      <c r="B215" t="s">
        <v>1182</v>
      </c>
      <c r="C215" t="s">
        <v>1184</v>
      </c>
      <c r="D215" t="s">
        <v>1714</v>
      </c>
      <c r="E215" t="s">
        <v>1715</v>
      </c>
      <c r="F215" t="s">
        <v>1716</v>
      </c>
      <c r="G215" t="s">
        <v>1714</v>
      </c>
    </row>
    <row r="216" spans="1:7">
      <c r="A216" t="s">
        <v>1187</v>
      </c>
      <c r="B216" t="s">
        <v>1189</v>
      </c>
      <c r="C216" t="s">
        <v>1191</v>
      </c>
      <c r="D216" t="s">
        <v>1714</v>
      </c>
      <c r="E216" t="s">
        <v>1715</v>
      </c>
      <c r="F216" t="s">
        <v>1716</v>
      </c>
      <c r="G216" t="s">
        <v>1714</v>
      </c>
    </row>
    <row r="217" spans="1:7">
      <c r="A217" t="s">
        <v>1194</v>
      </c>
      <c r="B217" t="s">
        <v>1195</v>
      </c>
      <c r="C217" t="s">
        <v>1196</v>
      </c>
      <c r="D217" t="s">
        <v>1714</v>
      </c>
      <c r="E217" t="s">
        <v>1715</v>
      </c>
      <c r="F217" t="s">
        <v>1716</v>
      </c>
      <c r="G217" t="s">
        <v>1714</v>
      </c>
    </row>
    <row r="218" spans="1:7">
      <c r="A218" t="s">
        <v>1199</v>
      </c>
      <c r="B218" t="s">
        <v>1200</v>
      </c>
      <c r="C218" t="s">
        <v>1201</v>
      </c>
      <c r="D218" t="s">
        <v>1714</v>
      </c>
      <c r="E218" t="s">
        <v>1715</v>
      </c>
      <c r="F218" t="s">
        <v>1716</v>
      </c>
      <c r="G218" t="s">
        <v>1714</v>
      </c>
    </row>
    <row r="219" spans="1:7">
      <c r="A219" t="s">
        <v>1204</v>
      </c>
      <c r="B219" t="s">
        <v>1205</v>
      </c>
      <c r="C219" t="s">
        <v>1206</v>
      </c>
      <c r="D219" t="s">
        <v>1714</v>
      </c>
      <c r="E219" t="s">
        <v>1715</v>
      </c>
      <c r="F219" t="s">
        <v>1716</v>
      </c>
      <c r="G219" t="s">
        <v>1714</v>
      </c>
    </row>
    <row r="220" spans="1:7">
      <c r="A220" t="s">
        <v>1209</v>
      </c>
      <c r="B220" t="s">
        <v>1211</v>
      </c>
      <c r="C220" t="s">
        <v>1212</v>
      </c>
      <c r="D220" t="s">
        <v>1714</v>
      </c>
      <c r="E220" t="s">
        <v>1715</v>
      </c>
      <c r="F220" t="s">
        <v>1716</v>
      </c>
      <c r="G220" t="s">
        <v>1714</v>
      </c>
    </row>
    <row r="221" spans="1:7">
      <c r="A221" t="s">
        <v>1215</v>
      </c>
      <c r="B221" t="s">
        <v>1216</v>
      </c>
      <c r="C221" t="s">
        <v>1217</v>
      </c>
      <c r="D221" t="s">
        <v>1714</v>
      </c>
      <c r="E221" t="s">
        <v>1715</v>
      </c>
      <c r="F221" t="s">
        <v>1716</v>
      </c>
      <c r="G221" t="s">
        <v>1714</v>
      </c>
    </row>
    <row r="222" spans="1:7">
      <c r="A222" t="s">
        <v>1220</v>
      </c>
      <c r="B222" t="s">
        <v>1221</v>
      </c>
      <c r="C222" t="s">
        <v>1222</v>
      </c>
      <c r="D222" t="s">
        <v>1714</v>
      </c>
      <c r="E222" t="s">
        <v>1715</v>
      </c>
      <c r="F222" t="s">
        <v>1716</v>
      </c>
      <c r="G222" t="s">
        <v>1714</v>
      </c>
    </row>
    <row r="223" spans="1:7">
      <c r="A223" t="s">
        <v>1225</v>
      </c>
      <c r="B223" t="s">
        <v>1226</v>
      </c>
      <c r="C223" t="s">
        <v>1227</v>
      </c>
      <c r="D223" t="s">
        <v>1714</v>
      </c>
      <c r="E223" t="s">
        <v>1715</v>
      </c>
      <c r="F223" t="s">
        <v>1716</v>
      </c>
      <c r="G223" t="s">
        <v>1714</v>
      </c>
    </row>
    <row r="224" spans="1:7">
      <c r="A224" t="s">
        <v>1230</v>
      </c>
      <c r="B224" t="s">
        <v>1232</v>
      </c>
      <c r="C224" t="s">
        <v>1233</v>
      </c>
      <c r="D224" t="s">
        <v>1714</v>
      </c>
      <c r="E224" t="s">
        <v>1715</v>
      </c>
      <c r="F224" t="s">
        <v>1716</v>
      </c>
      <c r="G224" t="s">
        <v>1714</v>
      </c>
    </row>
    <row r="225" spans="1:7">
      <c r="A225" t="s">
        <v>1236</v>
      </c>
      <c r="B225" t="s">
        <v>1237</v>
      </c>
      <c r="C225" t="s">
        <v>1238</v>
      </c>
      <c r="D225" t="s">
        <v>1714</v>
      </c>
      <c r="E225" t="s">
        <v>1715</v>
      </c>
      <c r="F225" t="s">
        <v>1716</v>
      </c>
      <c r="G225" t="s">
        <v>1714</v>
      </c>
    </row>
    <row r="226" spans="1:7">
      <c r="A226" t="s">
        <v>1241</v>
      </c>
      <c r="B226" t="s">
        <v>1242</v>
      </c>
      <c r="C226" t="s">
        <v>1243</v>
      </c>
      <c r="D226" t="s">
        <v>1714</v>
      </c>
      <c r="E226" t="s">
        <v>1715</v>
      </c>
      <c r="F226" t="s">
        <v>1716</v>
      </c>
      <c r="G226" t="s">
        <v>1714</v>
      </c>
    </row>
    <row r="227" spans="1:7">
      <c r="A227" t="s">
        <v>1246</v>
      </c>
      <c r="B227" t="s">
        <v>1247</v>
      </c>
      <c r="C227" t="s">
        <v>1248</v>
      </c>
      <c r="D227" t="s">
        <v>1714</v>
      </c>
      <c r="E227" t="s">
        <v>1715</v>
      </c>
      <c r="F227" t="s">
        <v>1716</v>
      </c>
      <c r="G227" t="s">
        <v>1714</v>
      </c>
    </row>
    <row r="228" spans="1:7">
      <c r="A228" t="s">
        <v>1251</v>
      </c>
      <c r="B228" t="s">
        <v>1252</v>
      </c>
      <c r="C228" t="s">
        <v>1253</v>
      </c>
      <c r="D228" t="s">
        <v>1714</v>
      </c>
      <c r="E228" t="s">
        <v>1715</v>
      </c>
      <c r="F228" t="s">
        <v>1716</v>
      </c>
      <c r="G228" t="s">
        <v>1714</v>
      </c>
    </row>
    <row r="229" spans="1:7">
      <c r="A229" t="s">
        <v>1256</v>
      </c>
      <c r="B229" t="s">
        <v>1258</v>
      </c>
      <c r="C229" t="s">
        <v>1259</v>
      </c>
      <c r="D229" t="s">
        <v>1714</v>
      </c>
      <c r="E229" t="s">
        <v>1715</v>
      </c>
      <c r="F229" t="s">
        <v>1716</v>
      </c>
      <c r="G229" t="s">
        <v>1714</v>
      </c>
    </row>
    <row r="230" spans="1:7">
      <c r="A230" t="s">
        <v>1262</v>
      </c>
      <c r="B230" t="s">
        <v>1263</v>
      </c>
      <c r="C230" t="s">
        <v>1264</v>
      </c>
      <c r="D230" t="s">
        <v>1714</v>
      </c>
      <c r="E230" t="s">
        <v>1715</v>
      </c>
      <c r="F230" t="s">
        <v>1716</v>
      </c>
      <c r="G230" t="s">
        <v>1714</v>
      </c>
    </row>
    <row r="231" spans="1:7">
      <c r="A231" t="s">
        <v>1267</v>
      </c>
      <c r="B231" t="s">
        <v>1269</v>
      </c>
      <c r="C231" t="s">
        <v>1270</v>
      </c>
      <c r="D231" t="s">
        <v>1714</v>
      </c>
      <c r="E231" t="s">
        <v>1715</v>
      </c>
      <c r="F231" t="s">
        <v>1716</v>
      </c>
      <c r="G231" t="s">
        <v>1714</v>
      </c>
    </row>
    <row r="232" spans="1:7">
      <c r="A232" t="s">
        <v>1273</v>
      </c>
      <c r="B232" t="s">
        <v>1274</v>
      </c>
      <c r="C232" t="s">
        <v>1275</v>
      </c>
      <c r="D232" t="s">
        <v>1714</v>
      </c>
      <c r="E232" t="s">
        <v>1715</v>
      </c>
      <c r="F232" t="s">
        <v>1716</v>
      </c>
      <c r="G232" t="s">
        <v>1714</v>
      </c>
    </row>
    <row r="233" spans="1:7">
      <c r="A233" t="s">
        <v>1278</v>
      </c>
      <c r="B233" t="s">
        <v>1279</v>
      </c>
      <c r="C233" t="s">
        <v>1280</v>
      </c>
      <c r="D233" t="s">
        <v>1714</v>
      </c>
      <c r="E233" t="s">
        <v>1715</v>
      </c>
      <c r="F233" t="s">
        <v>1716</v>
      </c>
      <c r="G233" t="s">
        <v>1714</v>
      </c>
    </row>
    <row r="234" spans="1:7">
      <c r="A234" t="s">
        <v>1283</v>
      </c>
      <c r="B234" t="s">
        <v>1285</v>
      </c>
      <c r="C234" t="s">
        <v>1286</v>
      </c>
      <c r="D234" t="s">
        <v>1714</v>
      </c>
      <c r="E234" t="s">
        <v>1715</v>
      </c>
      <c r="F234" t="s">
        <v>1716</v>
      </c>
      <c r="G234" t="s">
        <v>1714</v>
      </c>
    </row>
    <row r="235" spans="1:7">
      <c r="A235" t="s">
        <v>1289</v>
      </c>
      <c r="B235" t="s">
        <v>1291</v>
      </c>
      <c r="C235" t="s">
        <v>1292</v>
      </c>
      <c r="D235" t="s">
        <v>1714</v>
      </c>
      <c r="E235" t="s">
        <v>1715</v>
      </c>
      <c r="F235" t="s">
        <v>1716</v>
      </c>
      <c r="G235" t="s">
        <v>1714</v>
      </c>
    </row>
    <row r="236" spans="1:7">
      <c r="A236" t="s">
        <v>1295</v>
      </c>
      <c r="B236" t="s">
        <v>1297</v>
      </c>
      <c r="C236" t="s">
        <v>1298</v>
      </c>
      <c r="D236" t="s">
        <v>1714</v>
      </c>
      <c r="E236" t="s">
        <v>1715</v>
      </c>
      <c r="F236" t="s">
        <v>1716</v>
      </c>
      <c r="G236" t="s">
        <v>1714</v>
      </c>
    </row>
    <row r="237" spans="1:7">
      <c r="A237" t="s">
        <v>1301</v>
      </c>
      <c r="B237" t="s">
        <v>1303</v>
      </c>
      <c r="C237" t="s">
        <v>1304</v>
      </c>
      <c r="D237" t="s">
        <v>1714</v>
      </c>
      <c r="E237" t="s">
        <v>1715</v>
      </c>
      <c r="F237" t="s">
        <v>1716</v>
      </c>
      <c r="G237" t="s">
        <v>1714</v>
      </c>
    </row>
    <row r="238" spans="1:7">
      <c r="A238" t="s">
        <v>1809</v>
      </c>
      <c r="B238" t="s">
        <v>1807</v>
      </c>
      <c r="C238" t="s">
        <v>1808</v>
      </c>
      <c r="D238" t="s">
        <v>1714</v>
      </c>
      <c r="G238" t="s">
        <v>1714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showGridLines="0" workbookViewId="0">
      <selection activeCell="E7" sqref="E7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1724</v>
      </c>
      <c r="B1" s="2" t="s">
        <v>3</v>
      </c>
      <c r="C1" s="2" t="s">
        <v>1725</v>
      </c>
      <c r="D1" s="2" t="s">
        <v>1726</v>
      </c>
      <c r="E1" s="2" t="s">
        <v>1727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4"/>
  <sheetData>
    <row r="1" spans="1:5" ht="20">
      <c r="A1" s="1" t="s">
        <v>1728</v>
      </c>
      <c r="B1" s="1"/>
      <c r="C1" s="1"/>
      <c r="D1" s="1"/>
      <c r="E1" s="1"/>
    </row>
    <row r="3" spans="1:5" ht="56">
      <c r="A3" s="2" t="s">
        <v>1729</v>
      </c>
      <c r="B3" s="2" t="s">
        <v>1730</v>
      </c>
      <c r="C3" s="2" t="s">
        <v>1731</v>
      </c>
      <c r="D3" s="2" t="s">
        <v>1732</v>
      </c>
      <c r="E3" s="2" t="s">
        <v>1733</v>
      </c>
    </row>
    <row r="4" spans="1:5">
      <c r="A4" t="s">
        <v>1734</v>
      </c>
      <c r="B4" s="32">
        <v>3000</v>
      </c>
      <c r="C4" s="32">
        <v>0</v>
      </c>
      <c r="D4" s="32">
        <v>0</v>
      </c>
      <c r="E4" t="s">
        <v>1735</v>
      </c>
    </row>
    <row r="5" spans="1:5">
      <c r="A5" t="s">
        <v>1736</v>
      </c>
      <c r="B5" s="32">
        <v>3000</v>
      </c>
      <c r="C5" s="32">
        <v>0</v>
      </c>
      <c r="D5" s="32">
        <v>0</v>
      </c>
      <c r="E5" t="s">
        <v>1735</v>
      </c>
    </row>
    <row r="6" spans="1:5">
      <c r="A6" t="s">
        <v>1737</v>
      </c>
      <c r="B6" s="32">
        <v>0</v>
      </c>
      <c r="C6" s="32">
        <v>0</v>
      </c>
      <c r="D6" s="32">
        <v>0</v>
      </c>
      <c r="E6" t="s">
        <v>1738</v>
      </c>
    </row>
    <row r="8" spans="1:5">
      <c r="A8" t="s">
        <v>1739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183"/>
  </sheetPr>
  <dimension ref="A1:P304"/>
  <sheetViews>
    <sheetView showGridLines="0" tabSelected="1" zoomScale="70" zoomScaleNormal="70" workbookViewId="0">
      <pane ySplit="4" topLeftCell="A5" activePane="bottomLeft" state="frozen"/>
      <selection pane="bottomLeft" activeCell="B14" sqref="B14"/>
    </sheetView>
  </sheetViews>
  <sheetFormatPr defaultRowHeight="14"/>
  <cols>
    <col min="1" max="1" width="27" customWidth="1"/>
    <col min="2" max="2" width="28" customWidth="1"/>
    <col min="3" max="3" width="17" customWidth="1"/>
    <col min="4" max="4" width="20" customWidth="1"/>
    <col min="5" max="5" width="17" customWidth="1"/>
    <col min="6" max="6" width="2" customWidth="1"/>
    <col min="7" max="7" width="3" customWidth="1"/>
    <col min="8" max="8" width="29" customWidth="1"/>
    <col min="9" max="9" width="28" customWidth="1"/>
    <col min="10" max="12" width="2" customWidth="1"/>
    <col min="14" max="15" width="28" customWidth="1"/>
    <col min="16" max="16" width="12" customWidth="1"/>
  </cols>
  <sheetData>
    <row r="1" spans="1:16" ht="28" customHeight="1">
      <c r="A1" s="64" t="s">
        <v>1740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N1" s="54" t="s">
        <v>1741</v>
      </c>
      <c r="O1" s="54"/>
      <c r="P1" s="54"/>
    </row>
    <row r="2" spans="1:16" ht="30" customHeight="1">
      <c r="A2" s="65" t="s">
        <v>1742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N2" s="54" t="s">
        <v>1743</v>
      </c>
      <c r="O2" s="54" t="s">
        <v>1744</v>
      </c>
      <c r="P2" s="54" t="s">
        <v>1745</v>
      </c>
    </row>
    <row r="3" spans="1:16">
      <c r="N3" t="str">
        <f>CATÁLOGOS!B6</f>
        <v>🚽 Baño</v>
      </c>
      <c r="O3" t="str">
        <f>CATÁLOGOS!H6</f>
        <v>Lavandina</v>
      </c>
      <c r="P3" t="s">
        <v>1746</v>
      </c>
    </row>
    <row r="4" spans="1:16">
      <c r="A4" s="66" t="s">
        <v>1747</v>
      </c>
      <c r="B4" s="66"/>
      <c r="C4" s="66"/>
      <c r="D4" s="66"/>
      <c r="E4" s="66"/>
      <c r="F4" s="66"/>
      <c r="H4" s="66" t="s">
        <v>1748</v>
      </c>
      <c r="I4" s="66"/>
      <c r="J4" s="66"/>
      <c r="K4" s="66"/>
      <c r="L4" s="66"/>
      <c r="N4" t="str">
        <f>CATÁLOGOS!B7</f>
        <v>🍽️ Cocina</v>
      </c>
      <c r="O4" t="str">
        <f>CATÁLOGOS!H7</f>
        <v>Detergente concentrado</v>
      </c>
      <c r="P4" t="s">
        <v>1749</v>
      </c>
    </row>
    <row r="5" spans="1:16">
      <c r="A5" s="49" t="s">
        <v>1750</v>
      </c>
      <c r="B5" s="50" t="s">
        <v>1807</v>
      </c>
      <c r="H5" s="49" t="s">
        <v>1750</v>
      </c>
      <c r="I5" s="50"/>
      <c r="N5" t="str">
        <f>CATÁLOGOS!B8</f>
        <v>👕 Ropa y lavado</v>
      </c>
      <c r="O5" t="str">
        <f>CATÁLOGOS!H8</f>
        <v>Detergente listo para usar</v>
      </c>
      <c r="P5" t="s">
        <v>1751</v>
      </c>
    </row>
    <row r="6" spans="1:16">
      <c r="A6" s="49" t="s">
        <v>1752</v>
      </c>
      <c r="B6" s="50" t="s">
        <v>1367</v>
      </c>
      <c r="H6" s="49" t="s">
        <v>1753</v>
      </c>
      <c r="I6" s="50"/>
      <c r="N6" t="str">
        <f>CATÁLOGOS!B9</f>
        <v>🌸 Aromas y fragancias</v>
      </c>
      <c r="O6" t="str">
        <f>CATÁLOGOS!H9</f>
        <v>Lava-vajillas concentrado</v>
      </c>
      <c r="P6" t="s">
        <v>1754</v>
      </c>
    </row>
    <row r="7" spans="1:16">
      <c r="A7" s="49" t="s">
        <v>1755</v>
      </c>
      <c r="B7" s="50" t="s">
        <v>1368</v>
      </c>
      <c r="H7" s="49" t="s">
        <v>1756</v>
      </c>
      <c r="I7" s="50"/>
      <c r="N7" t="str">
        <f>CATÁLOGOS!B10</f>
        <v>🦠 Desinfección y limpieza</v>
      </c>
      <c r="O7" t="str">
        <f>CATÁLOGOS!H10</f>
        <v>Suavizante</v>
      </c>
      <c r="P7" t="s">
        <v>1757</v>
      </c>
    </row>
    <row r="8" spans="1:16">
      <c r="A8" s="49" t="s">
        <v>1758</v>
      </c>
      <c r="B8" s="50" t="s">
        <v>1806</v>
      </c>
      <c r="H8" s="49" t="s">
        <v>1758</v>
      </c>
      <c r="I8" s="50"/>
      <c r="N8" t="str">
        <f>CATÁLOGOS!B11</f>
        <v>🧰 Accesorios y equipamiento</v>
      </c>
      <c r="O8" t="str">
        <f>CATÁLOGOS!H11</f>
        <v>Tradicional</v>
      </c>
      <c r="P8" t="s">
        <v>1486</v>
      </c>
    </row>
    <row r="9" spans="1:16">
      <c r="A9" s="49" t="s">
        <v>1759</v>
      </c>
      <c r="B9" s="50" t="s">
        <v>1805</v>
      </c>
      <c r="H9" s="49" t="s">
        <v>1759</v>
      </c>
      <c r="I9" s="50"/>
      <c r="N9" t="str">
        <f>CATÁLOGOS!B12</f>
        <v>🚗 Automotor</v>
      </c>
      <c r="O9" t="str">
        <f>CATÁLOGOS!H12</f>
        <v>Perfumes para ropa</v>
      </c>
      <c r="P9" t="s">
        <v>1760</v>
      </c>
    </row>
    <row r="10" spans="1:16" ht="42" customHeight="1">
      <c r="A10" s="49" t="s">
        <v>1761</v>
      </c>
      <c r="B10" s="50"/>
      <c r="H10" s="49" t="s">
        <v>1761</v>
      </c>
      <c r="I10" s="50"/>
      <c r="N10" t="str">
        <f>CATÁLOGOS!B13</f>
        <v>📦 Packs y ofertas</v>
      </c>
      <c r="O10" t="str">
        <f>CATÁLOGOS!H13</f>
        <v>Desengrasantes</v>
      </c>
      <c r="P10" t="s">
        <v>1762</v>
      </c>
    </row>
    <row r="11" spans="1:16" ht="42" customHeight="1">
      <c r="A11" s="49" t="s">
        <v>1763</v>
      </c>
      <c r="B11" s="50" t="s">
        <v>1760</v>
      </c>
      <c r="H11" s="49" t="s">
        <v>1763</v>
      </c>
      <c r="I11" s="50"/>
      <c r="N11" t="str">
        <f>CATÁLOGOS!B14</f>
        <v>🧹 Pisos y superficies</v>
      </c>
      <c r="O11" t="str">
        <f>CATÁLOGOS!H14</f>
        <v>Rejillas y repasadores</v>
      </c>
      <c r="P11" t="s">
        <v>1764</v>
      </c>
    </row>
    <row r="12" spans="1:16">
      <c r="A12" s="49" t="s">
        <v>1765</v>
      </c>
      <c r="B12" s="50"/>
      <c r="H12" s="49" t="s">
        <v>1766</v>
      </c>
      <c r="I12" s="50"/>
      <c r="N12" t="str">
        <f>CATÁLOGOS!B15</f>
        <v>🏠 Hogar y varios</v>
      </c>
      <c r="O12" t="str">
        <f>CATÁLOGOS!H15</f>
        <v>Trapos de piso</v>
      </c>
      <c r="P12" t="s">
        <v>1767</v>
      </c>
    </row>
    <row r="13" spans="1:16">
      <c r="A13" s="49" t="s">
        <v>1768</v>
      </c>
      <c r="B13" s="50"/>
      <c r="H13" s="49" t="s">
        <v>1768</v>
      </c>
      <c r="I13" s="50"/>
      <c r="N13" t="str">
        <f>CATÁLOGOS!B16</f>
        <v>🏊 Piletas</v>
      </c>
      <c r="O13" t="str">
        <f>CATÁLOGOS!H16</f>
        <v>Escobas y escobillones</v>
      </c>
      <c r="P13" t="s">
        <v>1769</v>
      </c>
    </row>
    <row r="14" spans="1:16" ht="42" customHeight="1">
      <c r="A14" s="49" t="s">
        <v>1770</v>
      </c>
      <c r="B14" s="50" t="s">
        <v>32</v>
      </c>
      <c r="H14" s="49" t="s">
        <v>1771</v>
      </c>
      <c r="I14" s="50"/>
      <c r="N14">
        <f>CATÁLOGOS!B17</f>
        <v>0</v>
      </c>
      <c r="O14" t="str">
        <f>CATÁLOGOS!H17</f>
        <v>Bruja</v>
      </c>
      <c r="P14" t="s">
        <v>1772</v>
      </c>
    </row>
    <row r="15" spans="1:16" ht="42" customHeight="1">
      <c r="A15" s="49" t="s">
        <v>1773</v>
      </c>
      <c r="B15" s="50"/>
      <c r="H15" s="49" t="s">
        <v>1774</v>
      </c>
      <c r="I15" s="50"/>
      <c r="N15">
        <f>CATÁLOGOS!B18</f>
        <v>0</v>
      </c>
      <c r="O15" t="str">
        <f>CATÁLOGOS!H18</f>
        <v>Esponja</v>
      </c>
      <c r="P15" t="s">
        <v>1775</v>
      </c>
    </row>
    <row r="16" spans="1:16">
      <c r="A16" s="49" t="s">
        <v>1776</v>
      </c>
      <c r="B16" s="50"/>
      <c r="H16" s="49" t="s">
        <v>1777</v>
      </c>
      <c r="I16" s="50"/>
      <c r="N16">
        <f>CATÁLOGOS!B19</f>
        <v>0</v>
      </c>
      <c r="O16" t="str">
        <f>CATÁLOGOS!H19</f>
        <v>Silicona</v>
      </c>
      <c r="P16" t="s">
        <v>1778</v>
      </c>
    </row>
    <row r="17" spans="1:16">
      <c r="A17" s="49" t="s">
        <v>1777</v>
      </c>
      <c r="B17" s="50">
        <v>230</v>
      </c>
      <c r="H17" s="49" t="s">
        <v>1779</v>
      </c>
      <c r="I17" s="50"/>
      <c r="N17">
        <f>CATÁLOGOS!B20</f>
        <v>0</v>
      </c>
      <c r="O17" t="str">
        <f>CATÁLOGOS!H20</f>
        <v>Silicona en Aerosol</v>
      </c>
      <c r="P17" t="s">
        <v>1780</v>
      </c>
    </row>
    <row r="18" spans="1:16">
      <c r="A18" s="49" t="s">
        <v>1779</v>
      </c>
      <c r="B18" s="50" t="s">
        <v>1358</v>
      </c>
      <c r="H18" s="49" t="s">
        <v>1781</v>
      </c>
      <c r="I18" s="50"/>
      <c r="N18">
        <f>CATÁLOGOS!B21</f>
        <v>0</v>
      </c>
      <c r="O18" t="str">
        <f>CATÁLOGOS!H21</f>
        <v>Shampoo Siliconado</v>
      </c>
      <c r="P18" t="s">
        <v>1782</v>
      </c>
    </row>
    <row r="19" spans="1:16">
      <c r="A19" s="49" t="s">
        <v>1781</v>
      </c>
      <c r="B19" s="50"/>
      <c r="H19" s="49" t="s">
        <v>1783</v>
      </c>
      <c r="I19" s="50" t="s">
        <v>33</v>
      </c>
      <c r="N19">
        <f>CATÁLOGOS!B22</f>
        <v>0</v>
      </c>
      <c r="O19" t="str">
        <f>CATÁLOGOS!H22</f>
        <v>Mini Lata Walker</v>
      </c>
      <c r="P19" t="s">
        <v>1784</v>
      </c>
    </row>
    <row r="20" spans="1:16">
      <c r="A20" s="49" t="s">
        <v>1783</v>
      </c>
      <c r="B20" s="50" t="s">
        <v>33</v>
      </c>
      <c r="H20" s="49" t="s">
        <v>1785</v>
      </c>
      <c r="I20" s="50" t="s">
        <v>34</v>
      </c>
      <c r="N20">
        <f>CATÁLOGOS!B23</f>
        <v>0</v>
      </c>
      <c r="O20" t="str">
        <f>CATÁLOGOS!H23</f>
        <v>Perfume en Lata Walker</v>
      </c>
      <c r="P20" t="s">
        <v>1786</v>
      </c>
    </row>
    <row r="21" spans="1:16">
      <c r="A21" s="49" t="s">
        <v>1785</v>
      </c>
      <c r="B21" s="50" t="s">
        <v>34</v>
      </c>
      <c r="N21">
        <f>CATÁLOGOS!B24</f>
        <v>0</v>
      </c>
      <c r="O21" t="str">
        <f>CATÁLOGOS!H24</f>
        <v>Cera</v>
      </c>
      <c r="P21" t="s">
        <v>1787</v>
      </c>
    </row>
    <row r="22" spans="1:16">
      <c r="N22">
        <f>CATÁLOGOS!B25</f>
        <v>0</v>
      </c>
      <c r="O22" t="str">
        <f>CATÁLOGOS!H25</f>
        <v>Limpia Tapizado en Aerosol</v>
      </c>
      <c r="P22" t="s">
        <v>1788</v>
      </c>
    </row>
    <row r="23" spans="1:16">
      <c r="A23" s="67" t="s">
        <v>1789</v>
      </c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N23">
        <f>CATÁLOGOS!B26</f>
        <v>0</v>
      </c>
      <c r="O23" t="str">
        <f>CATÁLOGOS!H26</f>
        <v>Jabón líquido de manos</v>
      </c>
      <c r="P23" t="s">
        <v>1790</v>
      </c>
    </row>
    <row r="24" spans="1:16">
      <c r="A24" s="51" t="s">
        <v>2</v>
      </c>
      <c r="B24" s="52">
        <v>237</v>
      </c>
      <c r="C24" s="51" t="s">
        <v>1783</v>
      </c>
      <c r="D24" s="52" t="s">
        <v>33</v>
      </c>
      <c r="N24">
        <f>CATÁLOGOS!B27</f>
        <v>0</v>
      </c>
      <c r="O24" t="str">
        <f>CATÁLOGOS!H27</f>
        <v>Difusores aromáticos</v>
      </c>
      <c r="P24" t="s">
        <v>1791</v>
      </c>
    </row>
    <row r="25" spans="1:16">
      <c r="A25" s="51" t="s">
        <v>1792</v>
      </c>
      <c r="B25" s="52" t="s">
        <v>1809</v>
      </c>
      <c r="C25" s="51" t="s">
        <v>1793</v>
      </c>
      <c r="D25" s="52" t="s">
        <v>1810</v>
      </c>
      <c r="N25">
        <f>CATÁLOGOS!B28</f>
        <v>0</v>
      </c>
      <c r="O25" t="str">
        <f>CATÁLOGOS!H28</f>
        <v>Promo 15 litros</v>
      </c>
      <c r="P25" t="s">
        <v>1794</v>
      </c>
    </row>
    <row r="26" spans="1:16">
      <c r="A26" s="51" t="s">
        <v>1795</v>
      </c>
      <c r="B26" s="52" t="s">
        <v>25</v>
      </c>
      <c r="C26" s="51" t="s">
        <v>1796</v>
      </c>
      <c r="D26" s="52"/>
      <c r="N26">
        <f>CATÁLOGOS!B29</f>
        <v>0</v>
      </c>
      <c r="O26" t="str">
        <f>CATÁLOGOS!H29</f>
        <v>Promo 12 litros</v>
      </c>
      <c r="P26" t="s">
        <v>1797</v>
      </c>
    </row>
    <row r="27" spans="1:16">
      <c r="A27" s="51" t="s">
        <v>1798</v>
      </c>
      <c r="B27" s="52" t="s">
        <v>26</v>
      </c>
      <c r="C27" s="51" t="s">
        <v>1768</v>
      </c>
      <c r="D27" s="52"/>
      <c r="N27">
        <f>CATÁLOGOS!B30</f>
        <v>0</v>
      </c>
      <c r="O27" t="str">
        <f>CATÁLOGOS!H30</f>
        <v>Promo 10 litros</v>
      </c>
    </row>
    <row r="28" spans="1:16">
      <c r="A28" s="51" t="s">
        <v>1799</v>
      </c>
      <c r="B28" s="52" t="s">
        <v>32</v>
      </c>
      <c r="C28" s="51" t="s">
        <v>1800</v>
      </c>
      <c r="D28" s="52"/>
      <c r="N28">
        <f>CATÁLOGOS!B31</f>
        <v>0</v>
      </c>
      <c r="O28" t="str">
        <f>CATÁLOGOS!H31</f>
        <v>Cloro</v>
      </c>
    </row>
    <row r="29" spans="1:16">
      <c r="A29" s="51" t="s">
        <v>1801</v>
      </c>
      <c r="B29" s="53" t="s">
        <v>1808</v>
      </c>
      <c r="C29" s="51" t="s">
        <v>1802</v>
      </c>
      <c r="D29" s="75">
        <v>46121</v>
      </c>
      <c r="N29">
        <f>CATÁLOGOS!B32</f>
        <v>0</v>
      </c>
      <c r="O29" t="str">
        <f>CATÁLOGOS!H32</f>
        <v>Lavavajillas Listo para usar</v>
      </c>
    </row>
    <row r="30" spans="1:16">
      <c r="N30">
        <f>CATÁLOGOS!B33</f>
        <v>0</v>
      </c>
      <c r="O30" t="str">
        <f>CATÁLOGOS!H33</f>
        <v>Lavavajillas Concentrado</v>
      </c>
    </row>
    <row r="31" spans="1:16">
      <c r="A31" s="61" t="s">
        <v>1803</v>
      </c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N31">
        <f>CATÁLOGOS!B34</f>
        <v>0</v>
      </c>
      <c r="O31" t="str">
        <f>CATÁLOGOS!H34</f>
        <v>Desodorante para piso</v>
      </c>
    </row>
    <row r="32" spans="1:16" ht="24" customHeight="1">
      <c r="A32" s="63" t="s">
        <v>1804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N32">
        <f>CATÁLOGOS!B35</f>
        <v>0</v>
      </c>
      <c r="O32" t="str">
        <f>CATÁLOGOS!H35</f>
        <v>Cabos y mangos</v>
      </c>
    </row>
    <row r="33" spans="1:15" ht="24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N33">
        <f>CATÁLOGOS!B36</f>
        <v>0</v>
      </c>
      <c r="O33" t="str">
        <f>CATÁLOGOS!H36</f>
        <v>Esponjas</v>
      </c>
    </row>
    <row r="34" spans="1:15" ht="24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N34">
        <f>CATÁLOGOS!B37</f>
        <v>0</v>
      </c>
      <c r="O34" t="str">
        <f>CATÁLOGOS!H37</f>
        <v>Artículos para tender</v>
      </c>
    </row>
    <row r="35" spans="1:15" ht="24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N35">
        <f>CATÁLOGOS!B38</f>
        <v>0</v>
      </c>
      <c r="O35" t="str">
        <f>CATÁLOGOS!H38</f>
        <v>Accesorios de baño</v>
      </c>
    </row>
    <row r="36" spans="1:15">
      <c r="N36">
        <f>CATÁLOGOS!B39</f>
        <v>0</v>
      </c>
      <c r="O36" t="str">
        <f>CATÁLOGOS!H39</f>
        <v>Aerosol ambiental</v>
      </c>
    </row>
    <row r="37" spans="1:15">
      <c r="N37">
        <f>CATÁLOGOS!B40</f>
        <v>0</v>
      </c>
      <c r="O37" t="str">
        <f>CATÁLOGOS!H40</f>
        <v>Aerosol desinfectante</v>
      </c>
    </row>
    <row r="38" spans="1:15">
      <c r="N38">
        <f>CATÁLOGOS!B41</f>
        <v>0</v>
      </c>
      <c r="O38" t="str">
        <f>CATÁLOGOS!H41</f>
        <v>Lustramuebles</v>
      </c>
    </row>
    <row r="39" spans="1:15">
      <c r="N39">
        <f>CATÁLOGOS!B42</f>
        <v>0</v>
      </c>
      <c r="O39" t="str">
        <f>CATÁLOGOS!H42</f>
        <v>Limpiador de horno</v>
      </c>
    </row>
    <row r="40" spans="1:15">
      <c r="N40">
        <f>CATÁLOGOS!B43</f>
        <v>0</v>
      </c>
      <c r="O40" t="str">
        <f>CATÁLOGOS!H43</f>
        <v>Apresto para ropa</v>
      </c>
    </row>
    <row r="41" spans="1:15">
      <c r="N41">
        <f>CATÁLOGOS!B44</f>
        <v>0</v>
      </c>
      <c r="O41" t="str">
        <f>CATÁLOGOS!H44</f>
        <v>Insecticidas</v>
      </c>
    </row>
    <row r="42" spans="1:15">
      <c r="N42">
        <f>CATÁLOGOS!B45</f>
        <v>0</v>
      </c>
      <c r="O42" t="str">
        <f>CATÁLOGOS!H45</f>
        <v>Guantes</v>
      </c>
    </row>
    <row r="43" spans="1:15">
      <c r="N43">
        <f>CATÁLOGOS!B46</f>
        <v>0</v>
      </c>
      <c r="O43" t="str">
        <f>CATÁLOGOS!H46</f>
        <v>Mopas</v>
      </c>
    </row>
    <row r="44" spans="1:15">
      <c r="N44">
        <f>CATÁLOGOS!B47</f>
        <v>0</v>
      </c>
      <c r="O44" t="str">
        <f>CATÁLOGOS!H47</f>
        <v>Repuestos</v>
      </c>
    </row>
    <row r="45" spans="1:15">
      <c r="N45">
        <f>CATÁLOGOS!B48</f>
        <v>0</v>
      </c>
      <c r="O45" t="str">
        <f>CATÁLOGOS!H48</f>
        <v>Baldes y recipientes</v>
      </c>
    </row>
    <row r="46" spans="1:15">
      <c r="N46">
        <f>CATÁLOGOS!B49</f>
        <v>0</v>
      </c>
      <c r="O46" t="str">
        <f>CATÁLOGOS!H49</f>
        <v>Líquidos</v>
      </c>
    </row>
    <row r="47" spans="1:15">
      <c r="N47">
        <f>CATÁLOGOS!B50</f>
        <v>0</v>
      </c>
      <c r="O47" t="str">
        <f>CATÁLOGOS!H50</f>
        <v>Químicos</v>
      </c>
    </row>
    <row r="48" spans="1:15">
      <c r="N48">
        <f>CATÁLOGOS!B51</f>
        <v>0</v>
      </c>
      <c r="O48" t="str">
        <f>CATÁLOGOS!H51</f>
        <v>Mangueras</v>
      </c>
    </row>
    <row r="49" spans="14:15">
      <c r="N49">
        <f>CATÁLOGOS!B52</f>
        <v>0</v>
      </c>
      <c r="O49" t="str">
        <f>CATÁLOGOS!H52</f>
        <v>Accesorios de pileta</v>
      </c>
    </row>
    <row r="50" spans="14:15">
      <c r="N50">
        <f>CATÁLOGOS!B53</f>
        <v>0</v>
      </c>
      <c r="O50" t="str">
        <f>CATÁLOGOS!H53</f>
        <v>Velas</v>
      </c>
    </row>
    <row r="51" spans="14:15">
      <c r="N51">
        <f>CATÁLOGOS!B54</f>
        <v>0</v>
      </c>
      <c r="O51" t="str">
        <f>CATÁLOGOS!H54</f>
        <v>Papel y film</v>
      </c>
    </row>
    <row r="52" spans="14:15">
      <c r="N52">
        <f>CATÁLOGOS!B55</f>
        <v>0</v>
      </c>
      <c r="O52" t="str">
        <f>CATÁLOGOS!H55</f>
        <v>Bolsas y freezer</v>
      </c>
    </row>
    <row r="53" spans="14:15">
      <c r="N53">
        <f>CATÁLOGOS!B56</f>
        <v>0</v>
      </c>
      <c r="O53" t="str">
        <f>CATÁLOGOS!H56</f>
        <v>Varios</v>
      </c>
    </row>
    <row r="54" spans="14:15">
      <c r="N54">
        <f>CATÁLOGOS!B57</f>
        <v>0</v>
      </c>
      <c r="O54" t="str">
        <f>CATÁLOGOS!H57</f>
        <v>CIF</v>
      </c>
    </row>
    <row r="55" spans="14:15">
      <c r="N55">
        <f>CATÁLOGOS!B58</f>
        <v>0</v>
      </c>
      <c r="O55">
        <f>CATÁLOGOS!H58</f>
        <v>0</v>
      </c>
    </row>
    <row r="56" spans="14:15">
      <c r="N56">
        <f>CATÁLOGOS!B59</f>
        <v>0</v>
      </c>
      <c r="O56">
        <f>CATÁLOGOS!H59</f>
        <v>0</v>
      </c>
    </row>
    <row r="57" spans="14:15">
      <c r="N57">
        <f>CATÁLOGOS!B60</f>
        <v>0</v>
      </c>
      <c r="O57">
        <f>CATÁLOGOS!H60</f>
        <v>0</v>
      </c>
    </row>
    <row r="58" spans="14:15">
      <c r="N58">
        <f>CATÁLOGOS!B61</f>
        <v>0</v>
      </c>
      <c r="O58">
        <f>CATÁLOGOS!H61</f>
        <v>0</v>
      </c>
    </row>
    <row r="59" spans="14:15">
      <c r="N59">
        <f>CATÁLOGOS!B62</f>
        <v>0</v>
      </c>
      <c r="O59">
        <f>CATÁLOGOS!H62</f>
        <v>0</v>
      </c>
    </row>
    <row r="60" spans="14:15">
      <c r="N60">
        <f>CATÁLOGOS!B63</f>
        <v>0</v>
      </c>
      <c r="O60">
        <f>CATÁLOGOS!H63</f>
        <v>0</v>
      </c>
    </row>
    <row r="61" spans="14:15">
      <c r="N61">
        <f>CATÁLOGOS!B64</f>
        <v>0</v>
      </c>
      <c r="O61">
        <f>CATÁLOGOS!H64</f>
        <v>0</v>
      </c>
    </row>
    <row r="62" spans="14:15">
      <c r="N62">
        <f>CATÁLOGOS!B65</f>
        <v>0</v>
      </c>
      <c r="O62">
        <f>CATÁLOGOS!H65</f>
        <v>0</v>
      </c>
    </row>
    <row r="63" spans="14:15">
      <c r="N63">
        <f>CATÁLOGOS!B66</f>
        <v>0</v>
      </c>
      <c r="O63">
        <f>CATÁLOGOS!H66</f>
        <v>0</v>
      </c>
    </row>
    <row r="64" spans="14:15">
      <c r="N64">
        <f>CATÁLOGOS!B67</f>
        <v>0</v>
      </c>
      <c r="O64">
        <f>CATÁLOGOS!H67</f>
        <v>0</v>
      </c>
    </row>
    <row r="65" spans="14:15">
      <c r="N65">
        <f>CATÁLOGOS!B68</f>
        <v>0</v>
      </c>
      <c r="O65">
        <f>CATÁLOGOS!H68</f>
        <v>0</v>
      </c>
    </row>
    <row r="66" spans="14:15">
      <c r="N66">
        <f>CATÁLOGOS!B69</f>
        <v>0</v>
      </c>
      <c r="O66">
        <f>CATÁLOGOS!H69</f>
        <v>0</v>
      </c>
    </row>
    <row r="67" spans="14:15">
      <c r="N67">
        <f>CATÁLOGOS!B70</f>
        <v>0</v>
      </c>
      <c r="O67">
        <f>CATÁLOGOS!H70</f>
        <v>0</v>
      </c>
    </row>
    <row r="68" spans="14:15">
      <c r="N68">
        <f>CATÁLOGOS!B71</f>
        <v>0</v>
      </c>
      <c r="O68">
        <f>CATÁLOGOS!H71</f>
        <v>0</v>
      </c>
    </row>
    <row r="69" spans="14:15">
      <c r="N69">
        <f>CATÁLOGOS!B72</f>
        <v>0</v>
      </c>
      <c r="O69">
        <f>CATÁLOGOS!H72</f>
        <v>0</v>
      </c>
    </row>
    <row r="70" spans="14:15">
      <c r="N70">
        <f>CATÁLOGOS!B73</f>
        <v>0</v>
      </c>
      <c r="O70">
        <f>CATÁLOGOS!H73</f>
        <v>0</v>
      </c>
    </row>
    <row r="71" spans="14:15">
      <c r="N71">
        <f>CATÁLOGOS!B74</f>
        <v>0</v>
      </c>
      <c r="O71">
        <f>CATÁLOGOS!H74</f>
        <v>0</v>
      </c>
    </row>
    <row r="72" spans="14:15">
      <c r="N72">
        <f>CATÁLOGOS!B75</f>
        <v>0</v>
      </c>
      <c r="O72">
        <f>CATÁLOGOS!H75</f>
        <v>0</v>
      </c>
    </row>
    <row r="73" spans="14:15">
      <c r="N73">
        <f>CATÁLOGOS!B76</f>
        <v>0</v>
      </c>
      <c r="O73">
        <f>CATÁLOGOS!H76</f>
        <v>0</v>
      </c>
    </row>
    <row r="74" spans="14:15">
      <c r="N74">
        <f>CATÁLOGOS!B77</f>
        <v>0</v>
      </c>
      <c r="O74">
        <f>CATÁLOGOS!H77</f>
        <v>0</v>
      </c>
    </row>
    <row r="75" spans="14:15">
      <c r="N75">
        <f>CATÁLOGOS!B78</f>
        <v>0</v>
      </c>
      <c r="O75">
        <f>CATÁLOGOS!H78</f>
        <v>0</v>
      </c>
    </row>
    <row r="76" spans="14:15">
      <c r="N76">
        <f>CATÁLOGOS!B79</f>
        <v>0</v>
      </c>
      <c r="O76">
        <f>CATÁLOGOS!H79</f>
        <v>0</v>
      </c>
    </row>
    <row r="77" spans="14:15">
      <c r="N77">
        <f>CATÁLOGOS!B80</f>
        <v>0</v>
      </c>
      <c r="O77">
        <f>CATÁLOGOS!H80</f>
        <v>0</v>
      </c>
    </row>
    <row r="78" spans="14:15">
      <c r="N78">
        <f>CATÁLOGOS!B81</f>
        <v>0</v>
      </c>
      <c r="O78">
        <f>CATÁLOGOS!H81</f>
        <v>0</v>
      </c>
    </row>
    <row r="79" spans="14:15">
      <c r="N79">
        <f>CATÁLOGOS!B82</f>
        <v>0</v>
      </c>
      <c r="O79">
        <f>CATÁLOGOS!H82</f>
        <v>0</v>
      </c>
    </row>
    <row r="80" spans="14:15">
      <c r="N80">
        <f>CATÁLOGOS!B83</f>
        <v>0</v>
      </c>
      <c r="O80">
        <f>CATÁLOGOS!H83</f>
        <v>0</v>
      </c>
    </row>
    <row r="81" spans="14:15">
      <c r="N81">
        <f>CATÁLOGOS!B84</f>
        <v>0</v>
      </c>
      <c r="O81">
        <f>CATÁLOGOS!H84</f>
        <v>0</v>
      </c>
    </row>
    <row r="82" spans="14:15">
      <c r="N82">
        <f>CATÁLOGOS!B85</f>
        <v>0</v>
      </c>
      <c r="O82">
        <f>CATÁLOGOS!H85</f>
        <v>0</v>
      </c>
    </row>
    <row r="83" spans="14:15">
      <c r="N83">
        <f>CATÁLOGOS!B86</f>
        <v>0</v>
      </c>
      <c r="O83">
        <f>CATÁLOGOS!H86</f>
        <v>0</v>
      </c>
    </row>
    <row r="84" spans="14:15">
      <c r="N84">
        <f>CATÁLOGOS!B87</f>
        <v>0</v>
      </c>
      <c r="O84">
        <f>CATÁLOGOS!H87</f>
        <v>0</v>
      </c>
    </row>
    <row r="85" spans="14:15">
      <c r="N85">
        <f>CATÁLOGOS!B88</f>
        <v>0</v>
      </c>
      <c r="O85">
        <f>CATÁLOGOS!H88</f>
        <v>0</v>
      </c>
    </row>
    <row r="86" spans="14:15">
      <c r="N86">
        <f>CATÁLOGOS!B89</f>
        <v>0</v>
      </c>
      <c r="O86">
        <f>CATÁLOGOS!H89</f>
        <v>0</v>
      </c>
    </row>
    <row r="87" spans="14:15">
      <c r="N87">
        <f>CATÁLOGOS!B90</f>
        <v>0</v>
      </c>
      <c r="O87">
        <f>CATÁLOGOS!H90</f>
        <v>0</v>
      </c>
    </row>
    <row r="88" spans="14:15">
      <c r="N88">
        <f>CATÁLOGOS!B91</f>
        <v>0</v>
      </c>
      <c r="O88">
        <f>CATÁLOGOS!H91</f>
        <v>0</v>
      </c>
    </row>
    <row r="89" spans="14:15">
      <c r="N89">
        <f>CATÁLOGOS!B92</f>
        <v>0</v>
      </c>
      <c r="O89">
        <f>CATÁLOGOS!H92</f>
        <v>0</v>
      </c>
    </row>
    <row r="90" spans="14:15">
      <c r="N90">
        <f>CATÁLOGOS!B93</f>
        <v>0</v>
      </c>
      <c r="O90">
        <f>CATÁLOGOS!H93</f>
        <v>0</v>
      </c>
    </row>
    <row r="91" spans="14:15">
      <c r="N91">
        <f>CATÁLOGOS!B94</f>
        <v>0</v>
      </c>
      <c r="O91">
        <f>CATÁLOGOS!H94</f>
        <v>0</v>
      </c>
    </row>
    <row r="92" spans="14:15">
      <c r="N92">
        <f>CATÁLOGOS!B95</f>
        <v>0</v>
      </c>
      <c r="O92">
        <f>CATÁLOGOS!H95</f>
        <v>0</v>
      </c>
    </row>
    <row r="93" spans="14:15">
      <c r="N93">
        <f>CATÁLOGOS!B96</f>
        <v>0</v>
      </c>
      <c r="O93">
        <f>CATÁLOGOS!H96</f>
        <v>0</v>
      </c>
    </row>
    <row r="94" spans="14:15">
      <c r="N94">
        <f>CATÁLOGOS!B97</f>
        <v>0</v>
      </c>
      <c r="O94">
        <f>CATÁLOGOS!H97</f>
        <v>0</v>
      </c>
    </row>
    <row r="95" spans="14:15">
      <c r="N95">
        <f>CATÁLOGOS!B98</f>
        <v>0</v>
      </c>
      <c r="O95">
        <f>CATÁLOGOS!H98</f>
        <v>0</v>
      </c>
    </row>
    <row r="96" spans="14:15">
      <c r="N96">
        <f>CATÁLOGOS!B99</f>
        <v>0</v>
      </c>
      <c r="O96">
        <f>CATÁLOGOS!H99</f>
        <v>0</v>
      </c>
    </row>
    <row r="97" spans="14:15">
      <c r="N97">
        <f>CATÁLOGOS!B100</f>
        <v>0</v>
      </c>
      <c r="O97">
        <f>CATÁLOGOS!H100</f>
        <v>0</v>
      </c>
    </row>
    <row r="98" spans="14:15">
      <c r="N98">
        <f>CATÁLOGOS!B101</f>
        <v>0</v>
      </c>
      <c r="O98">
        <f>CATÁLOGOS!H101</f>
        <v>0</v>
      </c>
    </row>
    <row r="99" spans="14:15">
      <c r="N99">
        <f>CATÁLOGOS!B102</f>
        <v>0</v>
      </c>
      <c r="O99">
        <f>CATÁLOGOS!H102</f>
        <v>0</v>
      </c>
    </row>
    <row r="100" spans="14:15">
      <c r="N100">
        <f>CATÁLOGOS!B103</f>
        <v>0</v>
      </c>
      <c r="O100">
        <f>CATÁLOGOS!H103</f>
        <v>0</v>
      </c>
    </row>
    <row r="101" spans="14:15">
      <c r="N101">
        <f>CATÁLOGOS!B104</f>
        <v>0</v>
      </c>
      <c r="O101">
        <f>CATÁLOGOS!H104</f>
        <v>0</v>
      </c>
    </row>
    <row r="102" spans="14:15">
      <c r="N102">
        <f>CATÁLOGOS!B105</f>
        <v>0</v>
      </c>
      <c r="O102">
        <f>CATÁLOGOS!H105</f>
        <v>0</v>
      </c>
    </row>
    <row r="103" spans="14:15">
      <c r="N103">
        <f>CATÁLOGOS!B106</f>
        <v>0</v>
      </c>
      <c r="O103">
        <f>CATÁLOGOS!H106</f>
        <v>0</v>
      </c>
    </row>
    <row r="104" spans="14:15">
      <c r="N104">
        <f>CATÁLOGOS!B107</f>
        <v>0</v>
      </c>
      <c r="O104">
        <f>CATÁLOGOS!H107</f>
        <v>0</v>
      </c>
    </row>
    <row r="105" spans="14:15">
      <c r="O105">
        <f>CATÁLOGOS!H108</f>
        <v>0</v>
      </c>
    </row>
    <row r="106" spans="14:15">
      <c r="O106">
        <f>CATÁLOGOS!H109</f>
        <v>0</v>
      </c>
    </row>
    <row r="107" spans="14:15">
      <c r="O107">
        <f>CATÁLOGOS!H110</f>
        <v>0</v>
      </c>
    </row>
    <row r="108" spans="14:15">
      <c r="O108">
        <f>CATÁLOGOS!H111</f>
        <v>0</v>
      </c>
    </row>
    <row r="109" spans="14:15">
      <c r="O109">
        <f>CATÁLOGOS!H112</f>
        <v>0</v>
      </c>
    </row>
    <row r="110" spans="14:15">
      <c r="O110">
        <f>CATÁLOGOS!H113</f>
        <v>0</v>
      </c>
    </row>
    <row r="111" spans="14:15">
      <c r="O111">
        <f>CATÁLOGOS!H114</f>
        <v>0</v>
      </c>
    </row>
    <row r="112" spans="14:15">
      <c r="O112">
        <f>CATÁLOGOS!H115</f>
        <v>0</v>
      </c>
    </row>
    <row r="113" spans="15:15">
      <c r="O113">
        <f>CATÁLOGOS!H116</f>
        <v>0</v>
      </c>
    </row>
    <row r="114" spans="15:15">
      <c r="O114">
        <f>CATÁLOGOS!H117</f>
        <v>0</v>
      </c>
    </row>
    <row r="115" spans="15:15">
      <c r="O115">
        <f>CATÁLOGOS!H118</f>
        <v>0</v>
      </c>
    </row>
    <row r="116" spans="15:15">
      <c r="O116">
        <f>CATÁLOGOS!H119</f>
        <v>0</v>
      </c>
    </row>
    <row r="117" spans="15:15">
      <c r="O117">
        <f>CATÁLOGOS!H120</f>
        <v>0</v>
      </c>
    </row>
    <row r="118" spans="15:15">
      <c r="O118">
        <f>CATÁLOGOS!H121</f>
        <v>0</v>
      </c>
    </row>
    <row r="119" spans="15:15">
      <c r="O119">
        <f>CATÁLOGOS!H122</f>
        <v>0</v>
      </c>
    </row>
    <row r="120" spans="15:15">
      <c r="O120">
        <f>CATÁLOGOS!H123</f>
        <v>0</v>
      </c>
    </row>
    <row r="121" spans="15:15">
      <c r="O121">
        <f>CATÁLOGOS!H124</f>
        <v>0</v>
      </c>
    </row>
    <row r="122" spans="15:15">
      <c r="O122">
        <f>CATÁLOGOS!H125</f>
        <v>0</v>
      </c>
    </row>
    <row r="123" spans="15:15">
      <c r="O123">
        <f>CATÁLOGOS!H126</f>
        <v>0</v>
      </c>
    </row>
    <row r="124" spans="15:15">
      <c r="O124">
        <f>CATÁLOGOS!H127</f>
        <v>0</v>
      </c>
    </row>
    <row r="125" spans="15:15">
      <c r="O125">
        <f>CATÁLOGOS!H128</f>
        <v>0</v>
      </c>
    </row>
    <row r="126" spans="15:15">
      <c r="O126">
        <f>CATÁLOGOS!H129</f>
        <v>0</v>
      </c>
    </row>
    <row r="127" spans="15:15">
      <c r="O127">
        <f>CATÁLOGOS!H130</f>
        <v>0</v>
      </c>
    </row>
    <row r="128" spans="15:15">
      <c r="O128">
        <f>CATÁLOGOS!H131</f>
        <v>0</v>
      </c>
    </row>
    <row r="129" spans="15:15">
      <c r="O129">
        <f>CATÁLOGOS!H132</f>
        <v>0</v>
      </c>
    </row>
    <row r="130" spans="15:15">
      <c r="O130">
        <f>CATÁLOGOS!H133</f>
        <v>0</v>
      </c>
    </row>
    <row r="131" spans="15:15">
      <c r="O131">
        <f>CATÁLOGOS!H134</f>
        <v>0</v>
      </c>
    </row>
    <row r="132" spans="15:15">
      <c r="O132">
        <f>CATÁLOGOS!H135</f>
        <v>0</v>
      </c>
    </row>
    <row r="133" spans="15:15">
      <c r="O133">
        <f>CATÁLOGOS!H136</f>
        <v>0</v>
      </c>
    </row>
    <row r="134" spans="15:15">
      <c r="O134">
        <f>CATÁLOGOS!H137</f>
        <v>0</v>
      </c>
    </row>
    <row r="135" spans="15:15">
      <c r="O135">
        <f>CATÁLOGOS!H138</f>
        <v>0</v>
      </c>
    </row>
    <row r="136" spans="15:15">
      <c r="O136">
        <f>CATÁLOGOS!H139</f>
        <v>0</v>
      </c>
    </row>
    <row r="137" spans="15:15">
      <c r="O137">
        <f>CATÁLOGOS!H140</f>
        <v>0</v>
      </c>
    </row>
    <row r="138" spans="15:15">
      <c r="O138">
        <f>CATÁLOGOS!H141</f>
        <v>0</v>
      </c>
    </row>
    <row r="139" spans="15:15">
      <c r="O139">
        <f>CATÁLOGOS!H142</f>
        <v>0</v>
      </c>
    </row>
    <row r="140" spans="15:15">
      <c r="O140">
        <f>CATÁLOGOS!H143</f>
        <v>0</v>
      </c>
    </row>
    <row r="141" spans="15:15">
      <c r="O141">
        <f>CATÁLOGOS!H144</f>
        <v>0</v>
      </c>
    </row>
    <row r="142" spans="15:15">
      <c r="O142">
        <f>CATÁLOGOS!H145</f>
        <v>0</v>
      </c>
    </row>
    <row r="143" spans="15:15">
      <c r="O143">
        <f>CATÁLOGOS!H146</f>
        <v>0</v>
      </c>
    </row>
    <row r="144" spans="15:15">
      <c r="O144">
        <f>CATÁLOGOS!H147</f>
        <v>0</v>
      </c>
    </row>
    <row r="145" spans="15:15">
      <c r="O145">
        <f>CATÁLOGOS!H148</f>
        <v>0</v>
      </c>
    </row>
    <row r="146" spans="15:15">
      <c r="O146">
        <f>CATÁLOGOS!H149</f>
        <v>0</v>
      </c>
    </row>
    <row r="147" spans="15:15">
      <c r="O147">
        <f>CATÁLOGOS!H150</f>
        <v>0</v>
      </c>
    </row>
    <row r="148" spans="15:15">
      <c r="O148">
        <f>CATÁLOGOS!H151</f>
        <v>0</v>
      </c>
    </row>
    <row r="149" spans="15:15">
      <c r="O149">
        <f>CATÁLOGOS!H152</f>
        <v>0</v>
      </c>
    </row>
    <row r="150" spans="15:15">
      <c r="O150">
        <f>CATÁLOGOS!H153</f>
        <v>0</v>
      </c>
    </row>
    <row r="151" spans="15:15">
      <c r="O151">
        <f>CATÁLOGOS!H154</f>
        <v>0</v>
      </c>
    </row>
    <row r="152" spans="15:15">
      <c r="O152">
        <f>CATÁLOGOS!H155</f>
        <v>0</v>
      </c>
    </row>
    <row r="153" spans="15:15">
      <c r="O153">
        <f>CATÁLOGOS!H156</f>
        <v>0</v>
      </c>
    </row>
    <row r="154" spans="15:15">
      <c r="O154">
        <f>CATÁLOGOS!H157</f>
        <v>0</v>
      </c>
    </row>
    <row r="155" spans="15:15">
      <c r="O155">
        <f>CATÁLOGOS!H158</f>
        <v>0</v>
      </c>
    </row>
    <row r="156" spans="15:15">
      <c r="O156">
        <f>CATÁLOGOS!H159</f>
        <v>0</v>
      </c>
    </row>
    <row r="157" spans="15:15">
      <c r="O157">
        <f>CATÁLOGOS!H160</f>
        <v>0</v>
      </c>
    </row>
    <row r="158" spans="15:15">
      <c r="O158">
        <f>CATÁLOGOS!H161</f>
        <v>0</v>
      </c>
    </row>
    <row r="159" spans="15:15">
      <c r="O159">
        <f>CATÁLOGOS!H162</f>
        <v>0</v>
      </c>
    </row>
    <row r="160" spans="15:15">
      <c r="O160">
        <f>CATÁLOGOS!H163</f>
        <v>0</v>
      </c>
    </row>
    <row r="161" spans="15:15">
      <c r="O161">
        <f>CATÁLOGOS!H164</f>
        <v>0</v>
      </c>
    </row>
    <row r="162" spans="15:15">
      <c r="O162">
        <f>CATÁLOGOS!H165</f>
        <v>0</v>
      </c>
    </row>
    <row r="163" spans="15:15">
      <c r="O163">
        <f>CATÁLOGOS!H166</f>
        <v>0</v>
      </c>
    </row>
    <row r="164" spans="15:15">
      <c r="O164">
        <f>CATÁLOGOS!H167</f>
        <v>0</v>
      </c>
    </row>
    <row r="165" spans="15:15">
      <c r="O165">
        <f>CATÁLOGOS!H168</f>
        <v>0</v>
      </c>
    </row>
    <row r="166" spans="15:15">
      <c r="O166">
        <f>CATÁLOGOS!H169</f>
        <v>0</v>
      </c>
    </row>
    <row r="167" spans="15:15">
      <c r="O167">
        <f>CATÁLOGOS!H170</f>
        <v>0</v>
      </c>
    </row>
    <row r="168" spans="15:15">
      <c r="O168">
        <f>CATÁLOGOS!H171</f>
        <v>0</v>
      </c>
    </row>
    <row r="169" spans="15:15">
      <c r="O169">
        <f>CATÁLOGOS!H172</f>
        <v>0</v>
      </c>
    </row>
    <row r="170" spans="15:15">
      <c r="O170">
        <f>CATÁLOGOS!H173</f>
        <v>0</v>
      </c>
    </row>
    <row r="171" spans="15:15">
      <c r="O171">
        <f>CATÁLOGOS!H174</f>
        <v>0</v>
      </c>
    </row>
    <row r="172" spans="15:15">
      <c r="O172">
        <f>CATÁLOGOS!H175</f>
        <v>0</v>
      </c>
    </row>
    <row r="173" spans="15:15">
      <c r="O173">
        <f>CATÁLOGOS!H176</f>
        <v>0</v>
      </c>
    </row>
    <row r="174" spans="15:15">
      <c r="O174">
        <f>CATÁLOGOS!H177</f>
        <v>0</v>
      </c>
    </row>
    <row r="175" spans="15:15">
      <c r="O175">
        <f>CATÁLOGOS!H178</f>
        <v>0</v>
      </c>
    </row>
    <row r="176" spans="15:15">
      <c r="O176">
        <f>CATÁLOGOS!H179</f>
        <v>0</v>
      </c>
    </row>
    <row r="177" spans="15:15">
      <c r="O177">
        <f>CATÁLOGOS!H180</f>
        <v>0</v>
      </c>
    </row>
    <row r="178" spans="15:15">
      <c r="O178">
        <f>CATÁLOGOS!H181</f>
        <v>0</v>
      </c>
    </row>
    <row r="179" spans="15:15">
      <c r="O179">
        <f>CATÁLOGOS!H182</f>
        <v>0</v>
      </c>
    </row>
    <row r="180" spans="15:15">
      <c r="O180">
        <f>CATÁLOGOS!H183</f>
        <v>0</v>
      </c>
    </row>
    <row r="181" spans="15:15">
      <c r="O181">
        <f>CATÁLOGOS!H184</f>
        <v>0</v>
      </c>
    </row>
    <row r="182" spans="15:15">
      <c r="O182">
        <f>CATÁLOGOS!H185</f>
        <v>0</v>
      </c>
    </row>
    <row r="183" spans="15:15">
      <c r="O183">
        <f>CATÁLOGOS!H186</f>
        <v>0</v>
      </c>
    </row>
    <row r="184" spans="15:15">
      <c r="O184">
        <f>CATÁLOGOS!H187</f>
        <v>0</v>
      </c>
    </row>
    <row r="185" spans="15:15">
      <c r="O185">
        <f>CATÁLOGOS!H188</f>
        <v>0</v>
      </c>
    </row>
    <row r="186" spans="15:15">
      <c r="O186">
        <f>CATÁLOGOS!H189</f>
        <v>0</v>
      </c>
    </row>
    <row r="187" spans="15:15">
      <c r="O187">
        <f>CATÁLOGOS!H190</f>
        <v>0</v>
      </c>
    </row>
    <row r="188" spans="15:15">
      <c r="O188">
        <f>CATÁLOGOS!H191</f>
        <v>0</v>
      </c>
    </row>
    <row r="189" spans="15:15">
      <c r="O189">
        <f>CATÁLOGOS!H192</f>
        <v>0</v>
      </c>
    </row>
    <row r="190" spans="15:15">
      <c r="O190">
        <f>CATÁLOGOS!H193</f>
        <v>0</v>
      </c>
    </row>
    <row r="191" spans="15:15">
      <c r="O191">
        <f>CATÁLOGOS!H194</f>
        <v>0</v>
      </c>
    </row>
    <row r="192" spans="15:15">
      <c r="O192">
        <f>CATÁLOGOS!H195</f>
        <v>0</v>
      </c>
    </row>
    <row r="193" spans="15:15">
      <c r="O193">
        <f>CATÁLOGOS!H196</f>
        <v>0</v>
      </c>
    </row>
    <row r="194" spans="15:15">
      <c r="O194">
        <f>CATÁLOGOS!H197</f>
        <v>0</v>
      </c>
    </row>
    <row r="195" spans="15:15">
      <c r="O195">
        <f>CATÁLOGOS!H198</f>
        <v>0</v>
      </c>
    </row>
    <row r="196" spans="15:15">
      <c r="O196">
        <f>CATÁLOGOS!H199</f>
        <v>0</v>
      </c>
    </row>
    <row r="197" spans="15:15">
      <c r="O197">
        <f>CATÁLOGOS!H200</f>
        <v>0</v>
      </c>
    </row>
    <row r="198" spans="15:15">
      <c r="O198">
        <f>CATÁLOGOS!H201</f>
        <v>0</v>
      </c>
    </row>
    <row r="199" spans="15:15">
      <c r="O199">
        <f>CATÁLOGOS!H202</f>
        <v>0</v>
      </c>
    </row>
    <row r="200" spans="15:15">
      <c r="O200">
        <f>CATÁLOGOS!H203</f>
        <v>0</v>
      </c>
    </row>
    <row r="201" spans="15:15">
      <c r="O201">
        <f>CATÁLOGOS!H204</f>
        <v>0</v>
      </c>
    </row>
    <row r="202" spans="15:15">
      <c r="O202">
        <f>CATÁLOGOS!H205</f>
        <v>0</v>
      </c>
    </row>
    <row r="203" spans="15:15">
      <c r="O203">
        <f>CATÁLOGOS!H206</f>
        <v>0</v>
      </c>
    </row>
    <row r="204" spans="15:15">
      <c r="O204">
        <f>CATÁLOGOS!H207</f>
        <v>0</v>
      </c>
    </row>
    <row r="205" spans="15:15">
      <c r="O205">
        <f>CATÁLOGOS!H208</f>
        <v>0</v>
      </c>
    </row>
    <row r="206" spans="15:15">
      <c r="O206">
        <f>CATÁLOGOS!H209</f>
        <v>0</v>
      </c>
    </row>
    <row r="207" spans="15:15">
      <c r="O207">
        <f>CATÁLOGOS!H210</f>
        <v>0</v>
      </c>
    </row>
    <row r="208" spans="15:15">
      <c r="O208">
        <f>CATÁLOGOS!H211</f>
        <v>0</v>
      </c>
    </row>
    <row r="209" spans="15:15">
      <c r="O209">
        <f>CATÁLOGOS!H212</f>
        <v>0</v>
      </c>
    </row>
    <row r="210" spans="15:15">
      <c r="O210">
        <f>CATÁLOGOS!H213</f>
        <v>0</v>
      </c>
    </row>
    <row r="211" spans="15:15">
      <c r="O211">
        <f>CATÁLOGOS!H214</f>
        <v>0</v>
      </c>
    </row>
    <row r="212" spans="15:15">
      <c r="O212">
        <f>CATÁLOGOS!H215</f>
        <v>0</v>
      </c>
    </row>
    <row r="213" spans="15:15">
      <c r="O213">
        <f>CATÁLOGOS!H216</f>
        <v>0</v>
      </c>
    </row>
    <row r="214" spans="15:15">
      <c r="O214">
        <f>CATÁLOGOS!H217</f>
        <v>0</v>
      </c>
    </row>
    <row r="215" spans="15:15">
      <c r="O215">
        <f>CATÁLOGOS!H218</f>
        <v>0</v>
      </c>
    </row>
    <row r="216" spans="15:15">
      <c r="O216">
        <f>CATÁLOGOS!H219</f>
        <v>0</v>
      </c>
    </row>
    <row r="217" spans="15:15">
      <c r="O217">
        <f>CATÁLOGOS!H220</f>
        <v>0</v>
      </c>
    </row>
    <row r="218" spans="15:15">
      <c r="O218">
        <f>CATÁLOGOS!H221</f>
        <v>0</v>
      </c>
    </row>
    <row r="219" spans="15:15">
      <c r="O219">
        <f>CATÁLOGOS!H222</f>
        <v>0</v>
      </c>
    </row>
    <row r="220" spans="15:15">
      <c r="O220">
        <f>CATÁLOGOS!H223</f>
        <v>0</v>
      </c>
    </row>
    <row r="221" spans="15:15">
      <c r="O221">
        <f>CATÁLOGOS!H224</f>
        <v>0</v>
      </c>
    </row>
    <row r="222" spans="15:15">
      <c r="O222">
        <f>CATÁLOGOS!H225</f>
        <v>0</v>
      </c>
    </row>
    <row r="223" spans="15:15">
      <c r="O223">
        <f>CATÁLOGOS!H226</f>
        <v>0</v>
      </c>
    </row>
    <row r="224" spans="15:15">
      <c r="O224">
        <f>CATÁLOGOS!H227</f>
        <v>0</v>
      </c>
    </row>
    <row r="225" spans="15:15">
      <c r="O225">
        <f>CATÁLOGOS!H228</f>
        <v>0</v>
      </c>
    </row>
    <row r="226" spans="15:15">
      <c r="O226">
        <f>CATÁLOGOS!H229</f>
        <v>0</v>
      </c>
    </row>
    <row r="227" spans="15:15">
      <c r="O227">
        <f>CATÁLOGOS!H230</f>
        <v>0</v>
      </c>
    </row>
    <row r="228" spans="15:15">
      <c r="O228">
        <f>CATÁLOGOS!H231</f>
        <v>0</v>
      </c>
    </row>
    <row r="229" spans="15:15">
      <c r="O229">
        <f>CATÁLOGOS!H232</f>
        <v>0</v>
      </c>
    </row>
    <row r="230" spans="15:15">
      <c r="O230">
        <f>CATÁLOGOS!H233</f>
        <v>0</v>
      </c>
    </row>
    <row r="231" spans="15:15">
      <c r="O231">
        <f>CATÁLOGOS!H234</f>
        <v>0</v>
      </c>
    </row>
    <row r="232" spans="15:15">
      <c r="O232">
        <f>CATÁLOGOS!H235</f>
        <v>0</v>
      </c>
    </row>
    <row r="233" spans="15:15">
      <c r="O233">
        <f>CATÁLOGOS!H236</f>
        <v>0</v>
      </c>
    </row>
    <row r="234" spans="15:15">
      <c r="O234">
        <f>CATÁLOGOS!H237</f>
        <v>0</v>
      </c>
    </row>
    <row r="235" spans="15:15">
      <c r="O235">
        <f>CATÁLOGOS!H238</f>
        <v>0</v>
      </c>
    </row>
    <row r="236" spans="15:15">
      <c r="O236">
        <f>CATÁLOGOS!H239</f>
        <v>0</v>
      </c>
    </row>
    <row r="237" spans="15:15">
      <c r="O237">
        <f>CATÁLOGOS!H240</f>
        <v>0</v>
      </c>
    </row>
    <row r="238" spans="15:15">
      <c r="O238">
        <f>CATÁLOGOS!H241</f>
        <v>0</v>
      </c>
    </row>
    <row r="239" spans="15:15">
      <c r="O239">
        <f>CATÁLOGOS!H242</f>
        <v>0</v>
      </c>
    </row>
    <row r="240" spans="15:15">
      <c r="O240">
        <f>CATÁLOGOS!H243</f>
        <v>0</v>
      </c>
    </row>
    <row r="241" spans="15:15">
      <c r="O241">
        <f>CATÁLOGOS!H244</f>
        <v>0</v>
      </c>
    </row>
    <row r="242" spans="15:15">
      <c r="O242">
        <f>CATÁLOGOS!H245</f>
        <v>0</v>
      </c>
    </row>
    <row r="243" spans="15:15">
      <c r="O243">
        <f>CATÁLOGOS!H246</f>
        <v>0</v>
      </c>
    </row>
    <row r="244" spans="15:15">
      <c r="O244">
        <f>CATÁLOGOS!H247</f>
        <v>0</v>
      </c>
    </row>
    <row r="245" spans="15:15">
      <c r="O245">
        <f>CATÁLOGOS!H248</f>
        <v>0</v>
      </c>
    </row>
    <row r="246" spans="15:15">
      <c r="O246">
        <f>CATÁLOGOS!H249</f>
        <v>0</v>
      </c>
    </row>
    <row r="247" spans="15:15">
      <c r="O247">
        <f>CATÁLOGOS!H250</f>
        <v>0</v>
      </c>
    </row>
    <row r="248" spans="15:15">
      <c r="O248">
        <f>CATÁLOGOS!H251</f>
        <v>0</v>
      </c>
    </row>
    <row r="249" spans="15:15">
      <c r="O249">
        <f>CATÁLOGOS!H252</f>
        <v>0</v>
      </c>
    </row>
    <row r="250" spans="15:15">
      <c r="O250">
        <f>CATÁLOGOS!H253</f>
        <v>0</v>
      </c>
    </row>
    <row r="251" spans="15:15">
      <c r="O251">
        <f>CATÁLOGOS!H254</f>
        <v>0</v>
      </c>
    </row>
    <row r="252" spans="15:15">
      <c r="O252">
        <f>CATÁLOGOS!H255</f>
        <v>0</v>
      </c>
    </row>
    <row r="253" spans="15:15">
      <c r="O253">
        <f>CATÁLOGOS!H256</f>
        <v>0</v>
      </c>
    </row>
    <row r="254" spans="15:15">
      <c r="O254">
        <f>CATÁLOGOS!H257</f>
        <v>0</v>
      </c>
    </row>
    <row r="255" spans="15:15">
      <c r="O255">
        <f>CATÁLOGOS!H258</f>
        <v>0</v>
      </c>
    </row>
    <row r="256" spans="15:15">
      <c r="O256">
        <f>CATÁLOGOS!H259</f>
        <v>0</v>
      </c>
    </row>
    <row r="257" spans="15:15">
      <c r="O257">
        <f>CATÁLOGOS!H260</f>
        <v>0</v>
      </c>
    </row>
    <row r="258" spans="15:15">
      <c r="O258">
        <f>CATÁLOGOS!H261</f>
        <v>0</v>
      </c>
    </row>
    <row r="259" spans="15:15">
      <c r="O259">
        <f>CATÁLOGOS!H262</f>
        <v>0</v>
      </c>
    </row>
    <row r="260" spans="15:15">
      <c r="O260">
        <f>CATÁLOGOS!H263</f>
        <v>0</v>
      </c>
    </row>
    <row r="261" spans="15:15">
      <c r="O261">
        <f>CATÁLOGOS!H264</f>
        <v>0</v>
      </c>
    </row>
    <row r="262" spans="15:15">
      <c r="O262">
        <f>CATÁLOGOS!H265</f>
        <v>0</v>
      </c>
    </row>
    <row r="263" spans="15:15">
      <c r="O263">
        <f>CATÁLOGOS!H266</f>
        <v>0</v>
      </c>
    </row>
    <row r="264" spans="15:15">
      <c r="O264">
        <f>CATÁLOGOS!H267</f>
        <v>0</v>
      </c>
    </row>
    <row r="265" spans="15:15">
      <c r="O265">
        <f>CATÁLOGOS!H268</f>
        <v>0</v>
      </c>
    </row>
    <row r="266" spans="15:15">
      <c r="O266">
        <f>CATÁLOGOS!H269</f>
        <v>0</v>
      </c>
    </row>
    <row r="267" spans="15:15">
      <c r="O267">
        <f>CATÁLOGOS!H270</f>
        <v>0</v>
      </c>
    </row>
    <row r="268" spans="15:15">
      <c r="O268">
        <f>CATÁLOGOS!H271</f>
        <v>0</v>
      </c>
    </row>
    <row r="269" spans="15:15">
      <c r="O269">
        <f>CATÁLOGOS!H272</f>
        <v>0</v>
      </c>
    </row>
    <row r="270" spans="15:15">
      <c r="O270">
        <f>CATÁLOGOS!H273</f>
        <v>0</v>
      </c>
    </row>
    <row r="271" spans="15:15">
      <c r="O271">
        <f>CATÁLOGOS!H274</f>
        <v>0</v>
      </c>
    </row>
    <row r="272" spans="15:15">
      <c r="O272">
        <f>CATÁLOGOS!H275</f>
        <v>0</v>
      </c>
    </row>
    <row r="273" spans="15:15">
      <c r="O273">
        <f>CATÁLOGOS!H276</f>
        <v>0</v>
      </c>
    </row>
    <row r="274" spans="15:15">
      <c r="O274">
        <f>CATÁLOGOS!H277</f>
        <v>0</v>
      </c>
    </row>
    <row r="275" spans="15:15">
      <c r="O275">
        <f>CATÁLOGOS!H278</f>
        <v>0</v>
      </c>
    </row>
    <row r="276" spans="15:15">
      <c r="O276">
        <f>CATÁLOGOS!H279</f>
        <v>0</v>
      </c>
    </row>
    <row r="277" spans="15:15">
      <c r="O277">
        <f>CATÁLOGOS!H280</f>
        <v>0</v>
      </c>
    </row>
    <row r="278" spans="15:15">
      <c r="O278">
        <f>CATÁLOGOS!H281</f>
        <v>0</v>
      </c>
    </row>
    <row r="279" spans="15:15">
      <c r="O279">
        <f>CATÁLOGOS!H282</f>
        <v>0</v>
      </c>
    </row>
    <row r="280" spans="15:15">
      <c r="O280">
        <f>CATÁLOGOS!H283</f>
        <v>0</v>
      </c>
    </row>
    <row r="281" spans="15:15">
      <c r="O281">
        <f>CATÁLOGOS!H284</f>
        <v>0</v>
      </c>
    </row>
    <row r="282" spans="15:15">
      <c r="O282">
        <f>CATÁLOGOS!H285</f>
        <v>0</v>
      </c>
    </row>
    <row r="283" spans="15:15">
      <c r="O283">
        <f>CATÁLOGOS!H286</f>
        <v>0</v>
      </c>
    </row>
    <row r="284" spans="15:15">
      <c r="O284">
        <f>CATÁLOGOS!H287</f>
        <v>0</v>
      </c>
    </row>
    <row r="285" spans="15:15">
      <c r="O285">
        <f>CATÁLOGOS!H288</f>
        <v>0</v>
      </c>
    </row>
    <row r="286" spans="15:15">
      <c r="O286">
        <f>CATÁLOGOS!H289</f>
        <v>0</v>
      </c>
    </row>
    <row r="287" spans="15:15">
      <c r="O287">
        <f>CATÁLOGOS!H290</f>
        <v>0</v>
      </c>
    </row>
    <row r="288" spans="15:15">
      <c r="O288">
        <f>CATÁLOGOS!H291</f>
        <v>0</v>
      </c>
    </row>
    <row r="289" spans="15:15">
      <c r="O289">
        <f>CATÁLOGOS!H292</f>
        <v>0</v>
      </c>
    </row>
    <row r="290" spans="15:15">
      <c r="O290">
        <f>CATÁLOGOS!H293</f>
        <v>0</v>
      </c>
    </row>
    <row r="291" spans="15:15">
      <c r="O291">
        <f>CATÁLOGOS!H294</f>
        <v>0</v>
      </c>
    </row>
    <row r="292" spans="15:15">
      <c r="O292">
        <f>CATÁLOGOS!H295</f>
        <v>0</v>
      </c>
    </row>
    <row r="293" spans="15:15">
      <c r="O293">
        <f>CATÁLOGOS!H296</f>
        <v>0</v>
      </c>
    </row>
    <row r="294" spans="15:15">
      <c r="O294">
        <f>CATÁLOGOS!H297</f>
        <v>0</v>
      </c>
    </row>
    <row r="295" spans="15:15">
      <c r="O295">
        <f>CATÁLOGOS!H298</f>
        <v>0</v>
      </c>
    </row>
    <row r="296" spans="15:15">
      <c r="O296">
        <f>CATÁLOGOS!H299</f>
        <v>0</v>
      </c>
    </row>
    <row r="297" spans="15:15">
      <c r="O297">
        <f>CATÁLOGOS!H300</f>
        <v>0</v>
      </c>
    </row>
    <row r="298" spans="15:15">
      <c r="O298">
        <f>CATÁLOGOS!H301</f>
        <v>0</v>
      </c>
    </row>
    <row r="299" spans="15:15">
      <c r="O299">
        <f>CATÁLOGOS!H302</f>
        <v>0</v>
      </c>
    </row>
    <row r="300" spans="15:15">
      <c r="O300">
        <f>CATÁLOGOS!H303</f>
        <v>0</v>
      </c>
    </row>
    <row r="301" spans="15:15">
      <c r="O301">
        <f>CATÁLOGOS!H304</f>
        <v>0</v>
      </c>
    </row>
    <row r="302" spans="15:15">
      <c r="O302">
        <f>CATÁLOGOS!H305</f>
        <v>0</v>
      </c>
    </row>
    <row r="303" spans="15:15">
      <c r="O303">
        <f>CATÁLOGOS!H306</f>
        <v>0</v>
      </c>
    </row>
    <row r="304" spans="15:15">
      <c r="O304">
        <f>CATÁLOGOS!H307</f>
        <v>0</v>
      </c>
    </row>
  </sheetData>
  <mergeCells count="7">
    <mergeCell ref="A31:L31"/>
    <mergeCell ref="A32:L35"/>
    <mergeCell ref="A1:L1"/>
    <mergeCell ref="A2:L2"/>
    <mergeCell ref="A4:F4"/>
    <mergeCell ref="H4:L4"/>
    <mergeCell ref="A23:L23"/>
  </mergeCells>
  <dataValidations count="6">
    <dataValidation type="list" sqref="B6" xr:uid="{00000000-0002-0000-0600-000000000000}">
      <formula1>$N$3:$N$104</formula1>
    </dataValidation>
    <dataValidation type="list" sqref="B7" xr:uid="{00000000-0002-0000-0600-000001000000}">
      <formula1>$O$3:$O$304</formula1>
    </dataValidation>
    <dataValidation type="list" sqref="B11 I11" xr:uid="{00000000-0002-0000-0600-000002000000}">
      <formula1>$P$3:$P$100</formula1>
    </dataValidation>
    <dataValidation type="list" sqref="B18 I17" xr:uid="{00000000-0002-0000-0600-000004000000}">
      <formula1>"SÍ,NO"</formula1>
    </dataValidation>
    <dataValidation type="list" sqref="B20 I19" xr:uid="{00000000-0002-0000-0600-000006000000}">
      <formula1>"Activo,Inactivo"</formula1>
    </dataValidation>
    <dataValidation type="list" sqref="B21 I20" xr:uid="{00000000-0002-0000-0600-000008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PRECIOS</vt:lpstr>
      <vt:lpstr>CATÁLOGOS</vt:lpstr>
      <vt:lpstr>CONTROL_FOTOS</vt:lpstr>
      <vt:lpstr>MOVIMIENTOS_STOCK</vt:lpstr>
      <vt:lpstr>TARIFAS ENVÍO</vt:lpstr>
      <vt:lpstr>ALTA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2026-09-04T21:33:31Z</dcterms:modified>
</cp:coreProperties>
</file>