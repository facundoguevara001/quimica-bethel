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FF648840-E89C-43D1-A3B0-3E4DDD1A8231}" xr6:coauthVersionLast="47" xr6:coauthVersionMax="47" xr10:uidLastSave="{00000000-0000-0000-0000-000000000000}"/>
  <bookViews>
    <workbookView xWindow="-110" yWindow="-110" windowWidth="16220" windowHeight="11500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9" i="2" l="1"/>
  <c r="J169" i="2" s="1"/>
  <c r="E207" i="2"/>
  <c r="J207" i="2" s="1"/>
  <c r="E130" i="2"/>
  <c r="J130" i="2" s="1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D250" i="2"/>
  <c r="E250" i="2"/>
  <c r="J250" i="2" s="1"/>
  <c r="I249" i="2"/>
  <c r="H249" i="2"/>
  <c r="G249" i="2"/>
  <c r="F249" i="2"/>
  <c r="D249" i="2"/>
  <c r="E249" i="2"/>
  <c r="J249" i="2" s="1"/>
  <c r="I248" i="2"/>
  <c r="H248" i="2"/>
  <c r="G248" i="2"/>
  <c r="F248" i="2"/>
  <c r="D248" i="2"/>
  <c r="E248" i="2"/>
  <c r="J248" i="2" s="1"/>
  <c r="I247" i="2"/>
  <c r="H247" i="2"/>
  <c r="G247" i="2"/>
  <c r="F247" i="2"/>
  <c r="D247" i="2"/>
  <c r="E247" i="2"/>
  <c r="J247" i="2" s="1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J245" i="2" s="1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J242" i="2" s="1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J240" i="2" s="1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J238" i="2" s="1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J209" i="2" s="1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D170" i="2"/>
  <c r="E170" i="2"/>
  <c r="J170" i="2" s="1"/>
  <c r="I169" i="2"/>
  <c r="H169" i="2"/>
  <c r="G169" i="2"/>
  <c r="F169" i="2"/>
  <c r="D169" i="2"/>
  <c r="I168" i="2"/>
  <c r="H168" i="2"/>
  <c r="G168" i="2"/>
  <c r="F168" i="2"/>
  <c r="D168" i="2"/>
  <c r="E168" i="2"/>
  <c r="J168" i="2" s="1"/>
  <c r="I167" i="2"/>
  <c r="H167" i="2"/>
  <c r="G167" i="2"/>
  <c r="F167" i="2"/>
  <c r="D167" i="2"/>
  <c r="E167" i="2"/>
  <c r="J167" i="2" s="1"/>
  <c r="I166" i="2"/>
  <c r="H166" i="2"/>
  <c r="G166" i="2"/>
  <c r="F166" i="2"/>
  <c r="D166" i="2"/>
  <c r="E166" i="2"/>
  <c r="J166" i="2" s="1"/>
  <c r="I165" i="2"/>
  <c r="H165" i="2"/>
  <c r="G165" i="2"/>
  <c r="F165" i="2"/>
  <c r="D165" i="2"/>
  <c r="E165" i="2"/>
  <c r="J165" i="2" s="1"/>
  <c r="I164" i="2"/>
  <c r="H164" i="2"/>
  <c r="G164" i="2"/>
  <c r="F164" i="2"/>
  <c r="D164" i="2"/>
  <c r="E164" i="2"/>
  <c r="J164" i="2" s="1"/>
  <c r="I163" i="2"/>
  <c r="H163" i="2"/>
  <c r="G163" i="2"/>
  <c r="F163" i="2"/>
  <c r="D163" i="2"/>
  <c r="E163" i="2"/>
  <c r="J163" i="2" s="1"/>
  <c r="I162" i="2"/>
  <c r="H162" i="2"/>
  <c r="G162" i="2"/>
  <c r="F162" i="2"/>
  <c r="D162" i="2"/>
  <c r="E162" i="2"/>
  <c r="J162" i="2" s="1"/>
  <c r="I161" i="2"/>
  <c r="H161" i="2"/>
  <c r="G161" i="2"/>
  <c r="F161" i="2"/>
  <c r="D161" i="2"/>
  <c r="E161" i="2"/>
  <c r="J161" i="2" s="1"/>
  <c r="I160" i="2"/>
  <c r="H160" i="2"/>
  <c r="G160" i="2"/>
  <c r="F160" i="2"/>
  <c r="D160" i="2"/>
  <c r="E160" i="2"/>
  <c r="J160" i="2" s="1"/>
  <c r="I159" i="2"/>
  <c r="H159" i="2"/>
  <c r="G159" i="2"/>
  <c r="F159" i="2"/>
  <c r="D159" i="2"/>
  <c r="E159" i="2"/>
  <c r="J159" i="2" s="1"/>
  <c r="I158" i="2"/>
  <c r="H158" i="2"/>
  <c r="G158" i="2"/>
  <c r="F158" i="2"/>
  <c r="D158" i="2"/>
  <c r="E158" i="2"/>
  <c r="J158" i="2" s="1"/>
  <c r="I157" i="2"/>
  <c r="H157" i="2"/>
  <c r="G157" i="2"/>
  <c r="F157" i="2"/>
  <c r="D157" i="2"/>
  <c r="E157" i="2"/>
  <c r="J157" i="2" s="1"/>
  <c r="I156" i="2"/>
  <c r="H156" i="2"/>
  <c r="G156" i="2"/>
  <c r="F156" i="2"/>
  <c r="D156" i="2"/>
  <c r="E156" i="2"/>
  <c r="J156" i="2" s="1"/>
  <c r="I155" i="2"/>
  <c r="H155" i="2"/>
  <c r="G155" i="2"/>
  <c r="F155" i="2"/>
  <c r="D155" i="2"/>
  <c r="E155" i="2"/>
  <c r="J155" i="2" s="1"/>
  <c r="I154" i="2"/>
  <c r="H154" i="2"/>
  <c r="G154" i="2"/>
  <c r="F154" i="2"/>
  <c r="D154" i="2"/>
  <c r="E154" i="2"/>
  <c r="J154" i="2" s="1"/>
  <c r="I153" i="2"/>
  <c r="H153" i="2"/>
  <c r="G153" i="2"/>
  <c r="F153" i="2"/>
  <c r="D153" i="2"/>
  <c r="E153" i="2"/>
  <c r="J153" i="2" s="1"/>
  <c r="I152" i="2"/>
  <c r="H152" i="2"/>
  <c r="G152" i="2"/>
  <c r="F152" i="2"/>
  <c r="D152" i="2"/>
  <c r="E152" i="2"/>
  <c r="J152" i="2" s="1"/>
  <c r="I151" i="2"/>
  <c r="H151" i="2"/>
  <c r="G151" i="2"/>
  <c r="F151" i="2"/>
  <c r="D151" i="2"/>
  <c r="E151" i="2"/>
  <c r="J151" i="2" s="1"/>
  <c r="I150" i="2"/>
  <c r="H150" i="2"/>
  <c r="G150" i="2"/>
  <c r="F150" i="2"/>
  <c r="D150" i="2"/>
  <c r="E150" i="2"/>
  <c r="J150" i="2" s="1"/>
  <c r="I149" i="2"/>
  <c r="H149" i="2"/>
  <c r="G149" i="2"/>
  <c r="F149" i="2"/>
  <c r="D149" i="2"/>
  <c r="E149" i="2"/>
  <c r="J149" i="2" s="1"/>
  <c r="I148" i="2"/>
  <c r="H148" i="2"/>
  <c r="G148" i="2"/>
  <c r="F148" i="2"/>
  <c r="D148" i="2"/>
  <c r="E148" i="2"/>
  <c r="J148" i="2" s="1"/>
  <c r="I147" i="2"/>
  <c r="H147" i="2"/>
  <c r="G147" i="2"/>
  <c r="F147" i="2"/>
  <c r="D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D143" i="2"/>
  <c r="E143" i="2"/>
  <c r="J143" i="2" s="1"/>
  <c r="I142" i="2"/>
  <c r="H142" i="2"/>
  <c r="G142" i="2"/>
  <c r="F142" i="2"/>
  <c r="D142" i="2"/>
  <c r="E142" i="2"/>
  <c r="J142" i="2" s="1"/>
  <c r="I141" i="2"/>
  <c r="H141" i="2"/>
  <c r="G141" i="2"/>
  <c r="F141" i="2"/>
  <c r="D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J132" i="2" s="1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D117" i="2"/>
  <c r="E117" i="2"/>
  <c r="J117" i="2" s="1"/>
  <c r="I116" i="2"/>
  <c r="H116" i="2"/>
  <c r="G116" i="2"/>
  <c r="F116" i="2"/>
  <c r="D116" i="2"/>
  <c r="E116" i="2"/>
  <c r="J116" i="2" s="1"/>
  <c r="I115" i="2"/>
  <c r="H115" i="2"/>
  <c r="G115" i="2"/>
  <c r="F115" i="2"/>
  <c r="D115" i="2"/>
  <c r="E115" i="2"/>
  <c r="J115" i="2" s="1"/>
  <c r="I114" i="2"/>
  <c r="H114" i="2"/>
  <c r="G114" i="2"/>
  <c r="F114" i="2"/>
  <c r="D114" i="2"/>
  <c r="E114" i="2"/>
  <c r="J114" i="2" s="1"/>
  <c r="I113" i="2"/>
  <c r="H113" i="2"/>
  <c r="G113" i="2"/>
  <c r="F113" i="2"/>
  <c r="D113" i="2"/>
  <c r="E113" i="2"/>
  <c r="J113" i="2" s="1"/>
  <c r="I112" i="2"/>
  <c r="H112" i="2"/>
  <c r="G112" i="2"/>
  <c r="F112" i="2"/>
  <c r="D112" i="2"/>
  <c r="E112" i="2"/>
  <c r="J112" i="2" s="1"/>
  <c r="I111" i="2"/>
  <c r="H111" i="2"/>
  <c r="G111" i="2"/>
  <c r="F111" i="2"/>
  <c r="D111" i="2"/>
  <c r="E111" i="2"/>
  <c r="J111" i="2" s="1"/>
  <c r="I110" i="2"/>
  <c r="H110" i="2"/>
  <c r="G110" i="2"/>
  <c r="F110" i="2"/>
  <c r="D110" i="2"/>
  <c r="E110" i="2"/>
  <c r="J110" i="2" s="1"/>
  <c r="I109" i="2"/>
  <c r="H109" i="2"/>
  <c r="G109" i="2"/>
  <c r="F109" i="2"/>
  <c r="D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D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D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J90" i="2" s="1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J79" i="2" s="1"/>
  <c r="I78" i="2"/>
  <c r="H78" i="2"/>
  <c r="G78" i="2"/>
  <c r="F78" i="2"/>
  <c r="D78" i="2"/>
  <c r="E78" i="2"/>
  <c r="J78" i="2" s="1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J71" i="2" s="1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J60" i="2" s="1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J34" i="2" s="1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J32" i="2" s="1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D28" i="2"/>
  <c r="E28" i="2"/>
  <c r="J28" i="2" s="1"/>
  <c r="I27" i="2"/>
  <c r="H27" i="2"/>
  <c r="G27" i="2"/>
  <c r="F27" i="2"/>
  <c r="D27" i="2"/>
  <c r="E27" i="2"/>
  <c r="J27" i="2" s="1"/>
  <c r="I26" i="2"/>
  <c r="H26" i="2"/>
  <c r="G26" i="2"/>
  <c r="F26" i="2"/>
  <c r="D26" i="2"/>
  <c r="E26" i="2"/>
  <c r="J26" i="2" s="1"/>
  <c r="I25" i="2"/>
  <c r="H25" i="2"/>
  <c r="G25" i="2"/>
  <c r="F25" i="2"/>
  <c r="D25" i="2"/>
  <c r="E25" i="2"/>
  <c r="J25" i="2" s="1"/>
  <c r="I24" i="2"/>
  <c r="H24" i="2"/>
  <c r="G24" i="2"/>
  <c r="F24" i="2"/>
  <c r="D24" i="2"/>
  <c r="E24" i="2"/>
  <c r="J24" i="2" s="1"/>
  <c r="I23" i="2"/>
  <c r="H23" i="2"/>
  <c r="G23" i="2"/>
  <c r="F23" i="2"/>
  <c r="E23" i="2"/>
  <c r="J23" i="2" s="1"/>
  <c r="D23" i="2"/>
  <c r="I22" i="2"/>
  <c r="H22" i="2"/>
  <c r="G22" i="2"/>
  <c r="F22" i="2"/>
  <c r="D22" i="2"/>
  <c r="E22" i="2"/>
  <c r="J22" i="2" s="1"/>
  <c r="I21" i="2"/>
  <c r="H21" i="2"/>
  <c r="G21" i="2"/>
  <c r="F21" i="2"/>
  <c r="D21" i="2"/>
  <c r="E21" i="2"/>
  <c r="J21" i="2" s="1"/>
  <c r="I20" i="2"/>
  <c r="H20" i="2"/>
  <c r="G20" i="2"/>
  <c r="F20" i="2"/>
  <c r="D20" i="2"/>
  <c r="E20" i="2"/>
  <c r="J20" i="2" s="1"/>
  <c r="I19" i="2"/>
  <c r="H19" i="2"/>
  <c r="G19" i="2"/>
  <c r="F19" i="2"/>
  <c r="D19" i="2"/>
  <c r="E19" i="2"/>
  <c r="J19" i="2" s="1"/>
  <c r="I18" i="2"/>
  <c r="H18" i="2"/>
  <c r="G18" i="2"/>
  <c r="F18" i="2"/>
  <c r="D18" i="2"/>
  <c r="E18" i="2"/>
  <c r="J18" i="2" s="1"/>
  <c r="I17" i="2"/>
  <c r="H17" i="2"/>
  <c r="G17" i="2"/>
  <c r="F17" i="2"/>
  <c r="D17" i="2"/>
  <c r="E17" i="2"/>
  <c r="J17" i="2" s="1"/>
  <c r="I16" i="2"/>
  <c r="H16" i="2"/>
  <c r="G16" i="2"/>
  <c r="F16" i="2"/>
  <c r="D16" i="2"/>
  <c r="E16" i="2"/>
  <c r="J16" i="2" s="1"/>
  <c r="I15" i="2"/>
  <c r="H15" i="2"/>
  <c r="G15" i="2"/>
  <c r="F15" i="2"/>
  <c r="D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I224" i="1" l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50" i="2"/>
  <c r="L250" i="2" s="1"/>
  <c r="K249" i="2"/>
  <c r="L249" i="2" s="1"/>
  <c r="K248" i="2"/>
  <c r="L248" i="2" s="1"/>
  <c r="K247" i="2"/>
  <c r="L247" i="2"/>
  <c r="K246" i="2"/>
  <c r="L246" i="2"/>
  <c r="K245" i="2"/>
  <c r="L245" i="2"/>
  <c r="K244" i="2"/>
  <c r="L244" i="2"/>
  <c r="K243" i="2"/>
  <c r="L243" i="2" s="1"/>
  <c r="K242" i="2"/>
  <c r="L242" i="2" s="1"/>
  <c r="K241" i="2"/>
  <c r="L241" i="2"/>
  <c r="K240" i="2"/>
  <c r="L240" i="2"/>
  <c r="K239" i="2"/>
  <c r="L239" i="2" s="1"/>
  <c r="K238" i="2"/>
  <c r="L238" i="2"/>
  <c r="K237" i="2"/>
  <c r="L237" i="2"/>
  <c r="K236" i="2"/>
  <c r="L236" i="2"/>
  <c r="K235" i="2"/>
  <c r="L235" i="2"/>
  <c r="K234" i="2"/>
  <c r="L234" i="2"/>
  <c r="K233" i="2"/>
  <c r="L233" i="2"/>
  <c r="K232" i="2"/>
  <c r="L232" i="2"/>
  <c r="K231" i="2"/>
  <c r="L231" i="2"/>
  <c r="K230" i="2"/>
  <c r="L230" i="2"/>
  <c r="K229" i="2"/>
  <c r="L229" i="2"/>
  <c r="K228" i="2"/>
  <c r="L228" i="2" s="1"/>
  <c r="K227" i="2"/>
  <c r="L227" i="2"/>
  <c r="K226" i="2"/>
  <c r="L226" i="2"/>
  <c r="K225" i="2"/>
  <c r="L225" i="2"/>
  <c r="K224" i="2"/>
  <c r="L224" i="2"/>
  <c r="K223" i="2"/>
  <c r="L223" i="2"/>
  <c r="K222" i="2"/>
  <c r="L222" i="2"/>
  <c r="K221" i="2"/>
  <c r="L221" i="2"/>
  <c r="K220" i="2"/>
  <c r="L220" i="2"/>
  <c r="K219" i="2"/>
  <c r="L219" i="2"/>
  <c r="K218" i="2"/>
  <c r="L218" i="2"/>
  <c r="K217" i="2"/>
  <c r="L217" i="2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/>
  <c r="K210" i="2"/>
  <c r="L210" i="2" s="1"/>
  <c r="K209" i="2"/>
  <c r="L209" i="2"/>
  <c r="K208" i="2"/>
  <c r="L208" i="2"/>
  <c r="K207" i="2"/>
  <c r="L207" i="2" s="1"/>
  <c r="K206" i="2"/>
  <c r="L206" i="2"/>
  <c r="K205" i="2"/>
  <c r="L205" i="2"/>
  <c r="K204" i="2"/>
  <c r="L204" i="2"/>
  <c r="K203" i="2"/>
  <c r="L203" i="2" s="1"/>
  <c r="K202" i="2"/>
  <c r="L202" i="2"/>
  <c r="K201" i="2"/>
  <c r="L201" i="2"/>
  <c r="K200" i="2"/>
  <c r="L200" i="2"/>
  <c r="K199" i="2"/>
  <c r="L199" i="2" s="1"/>
  <c r="K198" i="2"/>
  <c r="L198" i="2"/>
  <c r="K197" i="2"/>
  <c r="L197" i="2"/>
  <c r="K196" i="2"/>
  <c r="L196" i="2"/>
  <c r="K195" i="2"/>
  <c r="L195" i="2" s="1"/>
  <c r="K194" i="2"/>
  <c r="L194" i="2" s="1"/>
  <c r="K193" i="2"/>
  <c r="L193" i="2" s="1"/>
  <c r="K192" i="2"/>
  <c r="L192" i="2"/>
  <c r="K191" i="2"/>
  <c r="L191" i="2"/>
  <c r="K190" i="2"/>
  <c r="L190" i="2" s="1"/>
  <c r="K189" i="2"/>
  <c r="L189" i="2" s="1"/>
  <c r="K188" i="2"/>
  <c r="L188" i="2"/>
  <c r="K187" i="2"/>
  <c r="L187" i="2"/>
  <c r="K186" i="2"/>
  <c r="L186" i="2"/>
  <c r="K185" i="2"/>
  <c r="L185" i="2"/>
  <c r="K184" i="2"/>
  <c r="L184" i="2"/>
  <c r="K183" i="2"/>
  <c r="L183" i="2"/>
  <c r="K182" i="2"/>
  <c r="L182" i="2"/>
  <c r="K181" i="2"/>
  <c r="L181" i="2"/>
  <c r="K180" i="2"/>
  <c r="L180" i="2"/>
  <c r="K179" i="2"/>
  <c r="L179" i="2" s="1"/>
  <c r="K178" i="2"/>
  <c r="L178" i="2"/>
  <c r="K177" i="2"/>
  <c r="L177" i="2" s="1"/>
  <c r="K176" i="2"/>
  <c r="L176" i="2"/>
  <c r="K175" i="2"/>
  <c r="L175" i="2"/>
  <c r="K174" i="2"/>
  <c r="L174" i="2" s="1"/>
  <c r="K173" i="2"/>
  <c r="L173" i="2"/>
  <c r="K172" i="2"/>
  <c r="L172" i="2"/>
  <c r="K171" i="2"/>
  <c r="L171" i="2"/>
  <c r="K170" i="2"/>
  <c r="L170" i="2"/>
  <c r="K169" i="2"/>
  <c r="L169" i="2" s="1"/>
  <c r="K168" i="2"/>
  <c r="L168" i="2" s="1"/>
  <c r="K167" i="2"/>
  <c r="L167" i="2"/>
  <c r="K166" i="2"/>
  <c r="L166" i="2"/>
  <c r="K165" i="2"/>
  <c r="L165" i="2"/>
  <c r="K164" i="2"/>
  <c r="L164" i="2"/>
  <c r="K163" i="2"/>
  <c r="L163" i="2" s="1"/>
  <c r="K162" i="2"/>
  <c r="L162" i="2" s="1"/>
  <c r="K161" i="2"/>
  <c r="L161" i="2"/>
  <c r="K160" i="2"/>
  <c r="L160" i="2" s="1"/>
  <c r="K159" i="2"/>
  <c r="L159" i="2"/>
  <c r="K158" i="2"/>
  <c r="L158" i="2" s="1"/>
  <c r="K157" i="2"/>
  <c r="L157" i="2"/>
  <c r="K156" i="2"/>
  <c r="L156" i="2"/>
  <c r="K155" i="2"/>
  <c r="L155" i="2"/>
  <c r="K154" i="2"/>
  <c r="L154" i="2"/>
  <c r="K153" i="2"/>
  <c r="L153" i="2"/>
  <c r="K152" i="2"/>
  <c r="L152" i="2"/>
  <c r="K151" i="2"/>
  <c r="L151" i="2"/>
  <c r="K150" i="2"/>
  <c r="L150" i="2"/>
  <c r="K149" i="2"/>
  <c r="L149" i="2"/>
  <c r="K148" i="2"/>
  <c r="L148" i="2"/>
  <c r="K147" i="2"/>
  <c r="L147" i="2" s="1"/>
  <c r="K146" i="2"/>
  <c r="L146" i="2"/>
  <c r="K145" i="2"/>
  <c r="L145" i="2"/>
  <c r="K144" i="2"/>
  <c r="L144" i="2" s="1"/>
  <c r="K143" i="2"/>
  <c r="L143" i="2"/>
  <c r="K142" i="2"/>
  <c r="L142" i="2"/>
  <c r="K141" i="2"/>
  <c r="L141" i="2"/>
  <c r="K140" i="2"/>
  <c r="L140" i="2"/>
  <c r="K139" i="2"/>
  <c r="L139" i="2" s="1"/>
  <c r="K138" i="2"/>
  <c r="L138" i="2"/>
  <c r="K137" i="2"/>
  <c r="L137" i="2" s="1"/>
  <c r="K136" i="2"/>
  <c r="L136" i="2"/>
  <c r="K135" i="2"/>
  <c r="L135" i="2"/>
  <c r="K134" i="2"/>
  <c r="L134" i="2" s="1"/>
  <c r="K133" i="2"/>
  <c r="L133" i="2"/>
  <c r="K132" i="2"/>
  <c r="L132" i="2"/>
  <c r="K131" i="2"/>
  <c r="L131" i="2"/>
  <c r="K130" i="2"/>
  <c r="L130" i="2" s="1"/>
  <c r="K129" i="2"/>
  <c r="L129" i="2"/>
  <c r="K128" i="2"/>
  <c r="L128" i="2"/>
  <c r="K127" i="2"/>
  <c r="L127" i="2"/>
  <c r="K126" i="2"/>
  <c r="L126" i="2" s="1"/>
  <c r="K125" i="2"/>
  <c r="L125" i="2"/>
  <c r="K124" i="2"/>
  <c r="L124" i="2"/>
  <c r="K123" i="2"/>
  <c r="L123" i="2"/>
  <c r="K122" i="2"/>
  <c r="L122" i="2"/>
  <c r="K121" i="2"/>
  <c r="L121" i="2"/>
  <c r="K120" i="2"/>
  <c r="L120" i="2"/>
  <c r="K119" i="2"/>
  <c r="L119" i="2"/>
  <c r="K118" i="2"/>
  <c r="L118" i="2"/>
  <c r="K117" i="2"/>
  <c r="L117" i="2"/>
  <c r="K116" i="2"/>
  <c r="L116" i="2"/>
  <c r="K115" i="2"/>
  <c r="L115" i="2" s="1"/>
  <c r="K114" i="2"/>
  <c r="L114" i="2" s="1"/>
  <c r="K113" i="2"/>
  <c r="L113" i="2"/>
  <c r="K112" i="2"/>
  <c r="L112" i="2"/>
  <c r="K111" i="2"/>
  <c r="L111" i="2"/>
  <c r="K110" i="2"/>
  <c r="L110" i="2"/>
  <c r="K109" i="2"/>
  <c r="L109" i="2"/>
  <c r="K108" i="2"/>
  <c r="L108" i="2"/>
  <c r="K107" i="2"/>
  <c r="L107" i="2" s="1"/>
  <c r="K106" i="2"/>
  <c r="L106" i="2"/>
  <c r="K105" i="2"/>
  <c r="L105" i="2" s="1"/>
  <c r="K104" i="2"/>
  <c r="L104" i="2" s="1"/>
  <c r="K103" i="2"/>
  <c r="L103" i="2"/>
  <c r="K102" i="2"/>
  <c r="L102" i="2"/>
  <c r="K101" i="2"/>
  <c r="L101" i="2"/>
  <c r="K100" i="2"/>
  <c r="L100" i="2"/>
  <c r="K99" i="2"/>
  <c r="L99" i="2"/>
  <c r="K98" i="2"/>
  <c r="L98" i="2"/>
  <c r="K97" i="2"/>
  <c r="L97" i="2"/>
  <c r="K96" i="2"/>
  <c r="L96" i="2"/>
  <c r="K95" i="2"/>
  <c r="L95" i="2"/>
  <c r="K94" i="2"/>
  <c r="L94" i="2"/>
  <c r="K93" i="2"/>
  <c r="L93" i="2"/>
  <c r="K92" i="2"/>
  <c r="L92" i="2"/>
  <c r="K91" i="2"/>
  <c r="L91" i="2"/>
  <c r="K90" i="2"/>
  <c r="L90" i="2"/>
  <c r="K89" i="2"/>
  <c r="L89" i="2"/>
  <c r="K88" i="2"/>
  <c r="L88" i="2"/>
  <c r="K87" i="2"/>
  <c r="L87" i="2"/>
  <c r="K86" i="2"/>
  <c r="L86" i="2"/>
  <c r="K85" i="2"/>
  <c r="L85" i="2"/>
  <c r="K84" i="2"/>
  <c r="L84" i="2"/>
  <c r="K83" i="2"/>
  <c r="L83" i="2"/>
  <c r="K82" i="2"/>
  <c r="L82" i="2" s="1"/>
  <c r="K81" i="2"/>
  <c r="L81" i="2"/>
  <c r="K80" i="2"/>
  <c r="L80" i="2" s="1"/>
  <c r="K79" i="2"/>
  <c r="L79" i="2"/>
  <c r="K78" i="2"/>
  <c r="L78" i="2"/>
  <c r="K77" i="2"/>
  <c r="L77" i="2"/>
  <c r="K76" i="2"/>
  <c r="L76" i="2"/>
  <c r="K75" i="2"/>
  <c r="L75" i="2"/>
  <c r="K74" i="2"/>
  <c r="L74" i="2"/>
  <c r="K73" i="2"/>
  <c r="L73" i="2"/>
  <c r="K72" i="2"/>
  <c r="L72" i="2"/>
  <c r="K71" i="2"/>
  <c r="L71" i="2"/>
  <c r="K70" i="2"/>
  <c r="L70" i="2"/>
  <c r="K69" i="2"/>
  <c r="L69" i="2"/>
  <c r="K68" i="2"/>
  <c r="L68" i="2"/>
  <c r="K67" i="2"/>
  <c r="L67" i="2"/>
  <c r="K66" i="2"/>
  <c r="L66" i="2"/>
  <c r="K65" i="2"/>
  <c r="L65" i="2"/>
  <c r="K64" i="2"/>
  <c r="L64" i="2"/>
  <c r="K63" i="2"/>
  <c r="L63" i="2"/>
  <c r="K62" i="2"/>
  <c r="L62" i="2"/>
  <c r="K61" i="2"/>
  <c r="L61" i="2"/>
  <c r="K60" i="2"/>
  <c r="L60" i="2"/>
  <c r="K59" i="2"/>
  <c r="L59" i="2"/>
  <c r="K58" i="2"/>
  <c r="L58" i="2"/>
  <c r="K57" i="2"/>
  <c r="L57" i="2" s="1"/>
  <c r="K56" i="2"/>
  <c r="L56" i="2"/>
  <c r="K55" i="2"/>
  <c r="L55" i="2"/>
  <c r="K54" i="2"/>
  <c r="L54" i="2"/>
  <c r="K53" i="2"/>
  <c r="L53" i="2" s="1"/>
  <c r="K52" i="2"/>
  <c r="L52" i="2"/>
  <c r="K51" i="2"/>
  <c r="L51" i="2"/>
  <c r="K50" i="2"/>
  <c r="L50" i="2"/>
  <c r="L49" i="2"/>
  <c r="K49" i="2"/>
  <c r="K48" i="2"/>
  <c r="L48" i="2" s="1"/>
  <c r="K47" i="2"/>
  <c r="L47" i="2"/>
  <c r="K46" i="2"/>
  <c r="L46" i="2" s="1"/>
  <c r="K45" i="2"/>
  <c r="L45" i="2" s="1"/>
  <c r="K44" i="2"/>
  <c r="L44" i="2"/>
  <c r="K43" i="2"/>
  <c r="L43" i="2"/>
  <c r="K42" i="2"/>
  <c r="L42" i="2" s="1"/>
  <c r="K41" i="2"/>
  <c r="L41" i="2"/>
  <c r="K40" i="2"/>
  <c r="L40" i="2"/>
  <c r="K39" i="2"/>
  <c r="L39" i="2"/>
  <c r="K38" i="2"/>
  <c r="L38" i="2"/>
  <c r="K37" i="2"/>
  <c r="L37" i="2"/>
  <c r="K36" i="2"/>
  <c r="L36" i="2" s="1"/>
  <c r="K35" i="2"/>
  <c r="L35" i="2"/>
  <c r="K34" i="2"/>
  <c r="L34" i="2"/>
  <c r="K33" i="2"/>
  <c r="L33" i="2"/>
  <c r="K32" i="2"/>
  <c r="L32" i="2"/>
  <c r="K31" i="2"/>
  <c r="L31" i="2"/>
  <c r="K30" i="2"/>
  <c r="L30" i="2"/>
  <c r="K29" i="2"/>
  <c r="L29" i="2" s="1"/>
  <c r="K28" i="2"/>
  <c r="L28" i="2"/>
  <c r="K27" i="2"/>
  <c r="L27" i="2" s="1"/>
  <c r="K26" i="2"/>
  <c r="L26" i="2"/>
  <c r="K25" i="2"/>
  <c r="L25" i="2"/>
  <c r="K24" i="2"/>
  <c r="L24" i="2"/>
  <c r="K23" i="2"/>
  <c r="L23" i="2"/>
  <c r="K22" i="2"/>
  <c r="L22" i="2"/>
  <c r="K21" i="2"/>
  <c r="L21" i="2" s="1"/>
  <c r="K20" i="2"/>
  <c r="L20" i="2"/>
  <c r="K19" i="2"/>
  <c r="L19" i="2"/>
  <c r="K18" i="2"/>
  <c r="L18" i="2"/>
  <c r="K17" i="2"/>
  <c r="L17" i="2" s="1"/>
  <c r="K16" i="2"/>
  <c r="L16" i="2" s="1"/>
  <c r="K15" i="2"/>
  <c r="L15" i="2" s="1"/>
</calcChain>
</file>

<file path=xl/sharedStrings.xml><?xml version="1.0" encoding="utf-8"?>
<sst xmlns="http://schemas.openxmlformats.org/spreadsheetml/2006/main" count="6368" uniqueCount="1738">
  <si>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</si>
  <si>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</si>
  <si>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</si>
  <si>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</si>
  <si>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</si>
  <si>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</si>
  <si>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</si>
  <si>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</si>
  <si>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</si>
  <si>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</si>
  <si>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</si>
  <si>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</si>
  <si>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</si>
  <si>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</si>
  <si>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</si>
  <si>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</si>
  <si>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</si>
  <si>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</si>
  <si>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</si>
  <si>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</si>
  <si>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</si>
  <si>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</si>
  <si>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</si>
  <si>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</si>
  <si>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</si>
  <si>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</si>
  <si>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</si>
  <si>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</si>
  <si>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</si>
  <si>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</si>
  <si>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</si>
  <si>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</si>
  <si>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</si>
  <si>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</si>
  <si>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</si>
  <si>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</si>
  <si>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</si>
  <si>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</si>
  <si>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</si>
  <si>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</si>
  <si>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</si>
  <si>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</si>
  <si>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</si>
  <si>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</si>
  <si>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</si>
  <si>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</si>
  <si>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</si>
  <si>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</si>
  <si>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</si>
  <si>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</si>
  <si>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</si>
  <si>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</si>
  <si>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</si>
  <si>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</si>
  <si>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</si>
  <si>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</si>
  <si>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</si>
  <si>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</si>
  <si>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</si>
  <si>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</si>
  <si>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</si>
  <si>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</si>
  <si>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</si>
  <si>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</si>
  <si>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</si>
  <si>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</si>
  <si>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</si>
  <si>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</si>
  <si>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</si>
  <si>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</si>
  <si>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</si>
  <si>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</si>
  <si>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</si>
  <si>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</si>
  <si>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</si>
  <si>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</si>
  <si>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</si>
  <si>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</si>
  <si>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</si>
  <si>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</si>
  <si>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</si>
  <si>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</si>
  <si>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</si>
  <si>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</si>
  <si>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</si>
  <si>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</si>
  <si>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</si>
  <si>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</si>
  <si>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</si>
  <si>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</si>
  <si>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</si>
  <si>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</si>
  <si>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</si>
  <si>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</si>
  <si>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</si>
  <si>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</si>
  <si>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</si>
  <si>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</si>
  <si>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</si>
  <si>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</si>
  <si>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</si>
  <si>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</si>
  <si>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</si>
  <si>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</si>
  <si>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</si>
  <si>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</si>
  <si>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</si>
  <si>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</si>
  <si>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</si>
  <si>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</si>
  <si>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</si>
  <si>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</si>
  <si>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</si>
  <si>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</si>
  <si>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</si>
  <si>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</si>
  <si>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</si>
  <si>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</si>
  <si>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</si>
  <si>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</si>
  <si>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</si>
  <si>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</si>
  <si>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</si>
  <si>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</si>
  <si>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</si>
  <si>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</si>
  <si>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</si>
  <si>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</si>
  <si>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</si>
  <si>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</si>
  <si>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</si>
  <si>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</si>
  <si>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</si>
  <si>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</si>
  <si>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</si>
  <si>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</si>
  <si>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</si>
  <si>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</si>
  <si>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</si>
  <si>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</si>
  <si>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</si>
  <si>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</si>
  <si>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</si>
  <si>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</si>
  <si>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</si>
  <si>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</si>
  <si>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</si>
  <si>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</si>
  <si>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</si>
  <si>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</si>
  <si>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</si>
  <si>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</si>
  <si>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</si>
  <si>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</si>
  <si>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</si>
  <si>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</si>
  <si>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</si>
  <si>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</si>
  <si>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</si>
  <si>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</si>
  <si>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</si>
  <si>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</si>
  <si>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</si>
  <si>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</si>
  <si>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</si>
  <si>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</si>
  <si>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</si>
  <si>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</si>
  <si>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</si>
  <si>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</si>
  <si>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</si>
  <si>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</si>
  <si>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</si>
  <si>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</si>
  <si>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</si>
  <si>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</si>
  <si>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</si>
  <si>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</si>
  <si>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</si>
  <si>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</si>
  <si>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</si>
  <si>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</si>
  <si>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</si>
  <si>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</si>
  <si>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</si>
  <si>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</si>
  <si>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</si>
  <si>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</si>
  <si>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</si>
  <si>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</si>
  <si>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</si>
  <si>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</si>
  <si>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</si>
  <si>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</si>
  <si>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</si>
  <si>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</si>
  <si>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</si>
  <si>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</si>
  <si>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</si>
  <si>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</si>
  <si>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</si>
  <si>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</si>
  <si>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</si>
  <si>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</si>
  <si>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</si>
  <si>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</si>
  <si>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</si>
  <si>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</si>
  <si>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</si>
  <si>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</si>
  <si>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</si>
  <si>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</si>
  <si>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</si>
  <si>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</si>
  <si>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</si>
  <si>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</si>
  <si>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</si>
  <si>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</si>
  <si>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</si>
  <si>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</si>
  <si>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</si>
  <si>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</si>
  <si>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</si>
  <si>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</si>
  <si>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</si>
  <si>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</si>
  <si>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</si>
  <si>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</si>
  <si>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</si>
  <si>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</si>
  <si>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</si>
  <si>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</si>
  <si>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</si>
  <si>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</si>
  <si>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</si>
  <si>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</si>
  <si>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</si>
  <si>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</si>
  <si>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</si>
  <si>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</si>
  <si>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</si>
  <si>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</si>
  <si>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</si>
  <si>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</si>
  <si>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</si>
  <si>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</si>
  <si>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</si>
  <si>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</si>
  <si>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</si>
  <si>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</si>
  <si>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</si>
  <si>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</si>
  <si>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</si>
  <si>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</si>
  <si>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</si>
  <si>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</si>
  <si>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</si>
  <si>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</si>
  <si>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</si>
  <si>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</si>
  <si>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</si>
  <si>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</si>
  <si>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</si>
  <si>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</si>
  <si>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</si>
  <si>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</si>
  <si>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</si>
  <si>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</si>
  <si>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</si>
  <si>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</si>
  <si>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</si>
  <si>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</si>
  <si>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</si>
  <si>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</si>
  <si>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</si>
  <si>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</si>
  <si>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</si>
  <si>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</si>
  <si>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</si>
  <si>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</si>
  <si>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</si>
  <si>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</si>
  <si>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</si>
  <si>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</si>
  <si>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</si>
  <si>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</si>
  <si>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</si>
  <si>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</si>
  <si>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</si>
  <si>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</si>
  <si>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</si>
  <si>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</si>
  <si>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</si>
  <si>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</si>
  <si>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</si>
  <si>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</si>
  <si>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</si>
  <si>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</si>
  <si>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</si>
  <si>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</si>
  <si>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</si>
  <si>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</si>
  <si>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</si>
  <si>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</si>
  <si>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</si>
  <si>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</si>
  <si>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</si>
  <si>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</si>
  <si>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</si>
  <si>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</si>
  <si>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</si>
  <si>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</si>
  <si>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</si>
  <si>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</si>
  <si>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</si>
  <si>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</si>
  <si>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</si>
  <si>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</si>
  <si>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</si>
  <si>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</si>
  <si>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</si>
  <si>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</si>
  <si>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</si>
  <si>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</si>
  <si>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</si>
  <si>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</si>
  <si>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</si>
  <si>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</si>
  <si>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</si>
  <si>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</si>
  <si>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</si>
  <si>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</si>
  <si>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</si>
  <si>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</si>
  <si>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</si>
  <si>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</si>
  <si>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</si>
  <si>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</si>
  <si>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</si>
  <si>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</si>
  <si>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</si>
  <si>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</si>
  <si>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</si>
  <si>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</si>
  <si>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</si>
  <si>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</si>
  <si>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</si>
  <si>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</si>
  <si>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</si>
  <si>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</si>
  <si>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</si>
  <si>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</si>
  <si>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</si>
  <si>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</si>
  <si>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</si>
  <si>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</si>
  <si>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</si>
  <si>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</si>
  <si>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</si>
  <si>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</si>
  <si>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</si>
  <si>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</si>
  <si>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</si>
  <si>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</si>
  <si>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</si>
  <si>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</si>
  <si>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</si>
  <si>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</si>
  <si>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</si>
  <si>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</si>
  <si>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</si>
  <si>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</si>
  <si>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</si>
  <si>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</si>
  <si>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</si>
  <si>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</si>
  <si>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</si>
  <si>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</si>
  <si>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</si>
  <si>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</si>
  <si>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</si>
  <si>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</si>
  <si>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</si>
  <si>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</si>
  <si>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</si>
  <si>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</si>
  <si>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</si>
  <si>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</si>
  <si>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</si>
  <si>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</si>
  <si>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</si>
  <si>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</si>
  <si>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</si>
  <si>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</si>
  <si>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</si>
  <si>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</si>
  <si>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</si>
  <si>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</si>
  <si>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</si>
  <si>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</si>
  <si>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</si>
  <si>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</si>
  <si>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</si>
  <si>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</si>
  <si>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</si>
  <si>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</si>
  <si>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</si>
  <si>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</si>
  <si>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</si>
  <si>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</si>
  <si>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</si>
  <si>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</si>
  <si>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</si>
  <si>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</si>
  <si>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</si>
  <si>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</si>
  <si>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</si>
  <si>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</si>
  <si>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</si>
  <si>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</si>
  <si>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</si>
  <si>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</si>
  <si>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</si>
  <si>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</si>
  <si>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</si>
  <si>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</si>
  <si>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</si>
  <si>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</si>
  <si>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</si>
  <si>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</si>
  <si>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</si>
  <si>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</si>
  <si>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</si>
  <si>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</si>
  <si>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</si>
  <si>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</si>
  <si>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</si>
  <si>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</si>
  <si>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</si>
  <si>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</si>
  <si>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</si>
  <si>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</si>
  <si>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</si>
  <si>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</si>
  <si>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</si>
  <si>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</si>
  <si>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</si>
  <si>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</si>
  <si>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</si>
  <si>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</si>
  <si>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</si>
  <si>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</si>
  <si>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</si>
  <si>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</si>
  <si>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</si>
  <si>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</si>
  <si>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</si>
  <si>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</si>
  <si>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</si>
  <si>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</si>
  <si>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</si>
  <si>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</si>
  <si>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</si>
  <si>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</si>
  <si>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</si>
  <si>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</si>
  <si>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</si>
  <si>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</si>
  <si>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</si>
  <si>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</si>
  <si>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</si>
  <si>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</si>
  <si>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</si>
  <si>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</si>
  <si>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</si>
  <si>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</si>
  <si>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</si>
  <si>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</si>
  <si>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</si>
  <si>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</si>
  <si>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</si>
  <si>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</si>
  <si>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</si>
  <si>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</si>
  <si>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</si>
  <si>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</si>
  <si>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</si>
  <si>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</si>
  <si>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</si>
  <si>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</si>
  <si>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</si>
  <si>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</si>
  <si>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</si>
  <si>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</si>
  <si>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</si>
  <si>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</si>
  <si>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</si>
  <si>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</si>
  <si>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</si>
  <si>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</si>
  <si>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</si>
  <si>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</si>
  <si>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</si>
  <si>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</si>
  <si>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</si>
  <si>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</si>
  <si>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</si>
  <si>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</si>
  <si>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</si>
  <si>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</si>
  <si>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</si>
  <si>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</si>
  <si>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</si>
  <si>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</si>
  <si>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</si>
  <si>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</si>
  <si>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</si>
  <si>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</si>
  <si>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</si>
  <si>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</si>
  <si>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</si>
  <si>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</si>
  <si>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</si>
  <si>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</si>
  <si>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</si>
  <si>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</si>
  <si>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</si>
  <si>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</si>
  <si>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</si>
  <si>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</si>
  <si>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</si>
  <si>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</si>
  <si>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</si>
  <si>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</si>
  <si>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</si>
  <si>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</si>
  <si>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</si>
  <si>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</si>
  <si>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</si>
  <si>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</si>
  <si>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</si>
  <si>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</si>
  <si>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</si>
  <si>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</si>
  <si>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</si>
  <si>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</si>
  <si>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</si>
  <si>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</si>
  <si>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</si>
  <si>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</si>
  <si>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</si>
  <si>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</si>
  <si>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</si>
  <si>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</si>
  <si>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</si>
  <si>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</si>
  <si>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</si>
  <si>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</si>
  <si>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</si>
  <si>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</si>
  <si>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</si>
  <si>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</si>
  <si>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</si>
  <si>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</si>
  <si>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</si>
  <si>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</si>
  <si>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</si>
  <si>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</si>
  <si>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</si>
  <si>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</si>
  <si>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</si>
  <si>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</si>
  <si>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</si>
  <si>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</si>
  <si>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</si>
  <si>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</si>
  <si>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</si>
  <si>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</si>
  <si>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</si>
  <si>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</si>
  <si>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</si>
  <si>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</si>
  <si>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</si>
  <si>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</si>
  <si>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</si>
  <si>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</si>
  <si>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</si>
  <si>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</si>
  <si>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</si>
  <si>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</si>
  <si>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</si>
  <si>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</si>
  <si>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</si>
  <si>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</si>
  <si>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</si>
  <si>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</si>
  <si>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</si>
  <si>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</si>
  <si>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</si>
  <si>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</si>
  <si>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</si>
  <si>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</si>
  <si>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</si>
  <si>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</si>
  <si>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</si>
  <si>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</si>
  <si>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</si>
  <si>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</si>
  <si>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</si>
  <si>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</si>
  <si>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</si>
  <si>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</si>
  <si>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</si>
  <si>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</si>
  <si>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</si>
  <si>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</si>
  <si>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</si>
  <si>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</si>
  <si>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</si>
  <si>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</si>
  <si>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</si>
  <si>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</si>
  <si>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</si>
  <si>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</si>
  <si>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</si>
  <si>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</si>
  <si>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</si>
  <si>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</si>
  <si>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</si>
  <si>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</si>
  <si>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</si>
  <si>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</si>
  <si>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</si>
  <si>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</si>
  <si>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</si>
  <si>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</si>
  <si>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</si>
  <si>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</si>
  <si>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</si>
  <si>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</si>
  <si>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</si>
  <si>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</si>
  <si>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</si>
  <si>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</si>
  <si>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</si>
  <si>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</si>
  <si>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</si>
  <si>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</si>
  <si>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</si>
  <si>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</si>
  <si>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</si>
  <si>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</si>
  <si>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</si>
  <si>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</si>
  <si>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</si>
  <si>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</si>
  <si>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</si>
  <si>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</si>
  <si>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</si>
  <si>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</si>
  <si>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</si>
  <si>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</si>
  <si>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</si>
  <si>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</si>
  <si>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</si>
  <si>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</si>
  <si>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</si>
  <si>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</si>
  <si>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</si>
  <si>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</si>
  <si>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</si>
  <si>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</si>
  <si>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</si>
  <si>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</si>
  <si>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</si>
  <si>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</si>
  <si>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</si>
  <si>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</si>
  <si>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</si>
  <si>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</si>
  <si>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</si>
  <si>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</si>
  <si>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</si>
  <si>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</si>
  <si>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</si>
  <si>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</si>
  <si>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</si>
  <si>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</si>
  <si>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</si>
  <si>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</si>
  <si>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</si>
  <si>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</si>
  <si>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</si>
  <si>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</si>
  <si>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</si>
  <si>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</si>
  <si>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</si>
  <si>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</si>
  <si>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</si>
  <si>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</si>
  <si>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</si>
  <si>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</si>
  <si>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</si>
  <si>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</si>
  <si>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</si>
  <si>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</si>
  <si>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</si>
  <si>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</si>
  <si>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</si>
  <si>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</si>
  <si>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</si>
  <si>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</si>
  <si>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</si>
  <si>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</si>
  <si>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</si>
  <si>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</si>
  <si>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</si>
  <si>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</si>
  <si>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</si>
  <si>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</si>
  <si>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</si>
  <si>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</si>
  <si>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</si>
  <si>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</si>
  <si>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</si>
  <si>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</si>
  <si>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</si>
  <si>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</si>
  <si>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</si>
  <si>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</si>
  <si>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</si>
  <si>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</si>
  <si>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</si>
  <si>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</si>
  <si>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</si>
  <si>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</si>
  <si>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</si>
  <si>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</si>
  <si>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</si>
  <si>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</si>
  <si>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</si>
  <si>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</si>
  <si>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</si>
  <si>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</si>
  <si>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</si>
  <si>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</si>
  <si>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</si>
  <si>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</si>
  <si>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</si>
  <si>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</si>
  <si>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</si>
  <si>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</si>
  <si>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</si>
  <si>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</si>
  <si>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</si>
  <si>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</si>
  <si>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</si>
  <si>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</si>
  <si>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</si>
  <si>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</si>
  <si>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</si>
  <si>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</si>
  <si>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</si>
  <si>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</si>
  <si>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</si>
  <si>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</si>
  <si>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</si>
  <si>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</si>
  <si>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</si>
  <si>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</si>
  <si>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</si>
  <si>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</si>
  <si>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</si>
  <si>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</si>
  <si>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</si>
  <si>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</si>
  <si>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</si>
  <si>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</si>
  <si>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</si>
  <si>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</si>
  <si>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</si>
  <si>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</si>
  <si>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</si>
  <si>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</si>
  <si>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</si>
  <si>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</si>
  <si>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</si>
  <si>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</si>
  <si>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</si>
  <si>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</si>
  <si>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</si>
  <si>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</si>
  <si>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</si>
  <si>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</si>
  <si>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</si>
  <si>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</si>
  <si>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</si>
  <si>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</si>
  <si>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</si>
  <si>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</si>
  <si>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</si>
  <si>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</si>
  <si>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</si>
  <si>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</si>
  <si>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</si>
  <si>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</si>
  <si>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</si>
  <si>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</si>
  <si>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</si>
  <si>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</si>
  <si>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</si>
  <si>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</si>
  <si>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</si>
  <si>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</si>
  <si>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</si>
  <si>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</si>
  <si>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</si>
  <si>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</si>
  <si>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</si>
  <si>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</si>
  <si>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</si>
  <si>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</si>
  <si>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</si>
  <si>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</si>
  <si>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</si>
  <si>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</si>
  <si>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</si>
  <si>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</si>
  <si>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</si>
  <si>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</si>
  <si>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</si>
  <si>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</si>
  <si>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</si>
  <si>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</si>
  <si>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</si>
  <si>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</si>
  <si>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</si>
  <si>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</si>
  <si>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</si>
  <si>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</si>
  <si>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</si>
  <si>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</si>
  <si>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</si>
  <si>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</si>
  <si>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</si>
  <si>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</si>
  <si>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</si>
  <si>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</si>
  <si>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</si>
  <si>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</si>
  <si>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</si>
  <si>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</si>
  <si>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</si>
  <si>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</si>
  <si>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</si>
  <si>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</si>
  <si>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</si>
  <si>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</si>
  <si>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</si>
  <si>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</si>
  <si>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</si>
  <si>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</si>
  <si>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</si>
  <si>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</si>
  <si>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</si>
  <si>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</si>
  <si>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</si>
  <si>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</si>
  <si>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</si>
  <si>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</si>
  <si>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</si>
  <si>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</si>
  <si>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</si>
  <si>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</si>
  <si>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</si>
  <si>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</si>
  <si>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</si>
  <si>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</si>
  <si>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</si>
  <si>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</si>
  <si>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</si>
  <si>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</si>
  <si>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</si>
  <si>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</si>
  <si>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</si>
  <si>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</si>
  <si>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</si>
  <si>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</si>
  <si>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</si>
  <si>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</si>
  <si>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</si>
  <si>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</si>
  <si>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</si>
  <si>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</si>
  <si>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</si>
  <si>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</si>
  <si>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</si>
  <si>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</si>
  <si>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</si>
  <si>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</si>
  <si>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</si>
  <si>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</si>
  <si>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</si>
  <si>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</si>
  <si>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</si>
  <si>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</si>
  <si>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</si>
  <si>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</si>
  <si>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</si>
  <si>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</si>
  <si>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</si>
  <si>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</si>
  <si>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</si>
  <si>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</si>
  <si>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</si>
  <si>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</si>
  <si>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</si>
  <si>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</si>
  <si>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</si>
  <si>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</si>
  <si>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</si>
  <si>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</si>
  <si>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</si>
  <si>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</si>
  <si>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</si>
  <si>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</si>
  <si>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</si>
  <si>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</si>
  <si>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</si>
  <si>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</si>
  <si>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</si>
  <si>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</si>
  <si>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</si>
  <si>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</si>
  <si>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</si>
  <si>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</si>
  <si>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</si>
  <si>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</si>
  <si>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</si>
  <si>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</si>
  <si>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</si>
  <si>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</si>
  <si>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</si>
  <si>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</si>
  <si>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</si>
  <si>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</si>
  <si>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</si>
  <si>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</si>
  <si>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</si>
  <si>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</si>
  <si>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</si>
  <si>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</si>
  <si>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</si>
  <si>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</si>
  <si>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</si>
  <si>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</si>
  <si>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</si>
  <si>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</si>
  <si>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</si>
  <si>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</si>
  <si>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</si>
  <si>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</si>
  <si>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</si>
  <si>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</si>
  <si>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</si>
  <si>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</si>
  <si>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</si>
  <si>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</si>
  <si>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</si>
  <si>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</si>
  <si>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</si>
  <si>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</si>
  <si>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</si>
  <si>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</si>
  <si>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</si>
  <si>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</si>
  <si>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</si>
  <si>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</si>
  <si>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</si>
  <si>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</si>
  <si>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</si>
  <si>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</si>
  <si>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</si>
  <si>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</si>
  <si>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</si>
  <si>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</si>
  <si>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</si>
  <si>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</si>
  <si>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</si>
  <si>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</si>
  <si>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</si>
  <si>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</si>
  <si>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</si>
  <si>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</si>
  <si>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</si>
  <si>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</si>
  <si>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</si>
  <si>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</si>
  <si>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</si>
  <si>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</si>
  <si>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</si>
  <si>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</si>
  <si>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</si>
  <si>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</si>
  <si>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</si>
  <si>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</si>
  <si>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</si>
  <si>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</si>
  <si>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</si>
  <si>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</si>
  <si>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</si>
  <si>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</si>
  <si>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</si>
  <si>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</si>
  <si>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</si>
  <si>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</si>
  <si>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</si>
  <si>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</si>
  <si>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</si>
  <si>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</si>
  <si>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</si>
  <si>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</si>
  <si>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</si>
  <si>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</si>
  <si>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</si>
  <si>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</si>
  <si>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</si>
  <si>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</si>
  <si>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</si>
  <si>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</si>
  <si>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</si>
  <si>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</si>
  <si>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</si>
  <si>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</si>
  <si>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</si>
  <si>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</si>
  <si>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</si>
  <si>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</si>
  <si>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</si>
  <si>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</si>
  <si>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</si>
  <si>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</si>
  <si>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</si>
  <si>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</si>
  <si>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</si>
  <si>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</si>
  <si>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</si>
  <si>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</si>
  <si>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</si>
  <si>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</si>
  <si>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</si>
  <si>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</si>
  <si>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</si>
  <si>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</si>
  <si>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</si>
  <si>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</si>
  <si>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</si>
  <si>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</si>
  <si>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</si>
  <si>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</si>
  <si>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</si>
  <si>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</si>
  <si>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</si>
  <si>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</si>
  <si>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</si>
  <si>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</si>
  <si>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</si>
  <si>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</si>
  <si>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</si>
  <si>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</si>
  <si>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</si>
  <si>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</si>
  <si>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</si>
  <si>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</si>
  <si>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</si>
  <si>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</si>
  <si>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</si>
  <si>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</si>
  <si>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</si>
  <si>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</si>
  <si>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</si>
  <si>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</si>
  <si>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</si>
  <si>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</si>
  <si>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</si>
  <si>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</si>
  <si>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</si>
  <si>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</si>
  <si>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</si>
  <si>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</si>
  <si>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</si>
  <si>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</si>
  <si>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</si>
  <si>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</si>
  <si>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</si>
  <si>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</si>
  <si>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</si>
  <si>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</si>
  <si>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</si>
  <si>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</si>
  <si>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</si>
  <si>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</si>
  <si>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</si>
  <si>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</si>
  <si>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</si>
  <si>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</si>
  <si>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</si>
  <si>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</si>
  <si>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</si>
  <si>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</si>
  <si>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</si>
  <si>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</si>
  <si>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</si>
  <si>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</si>
  <si>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</si>
  <si>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</si>
  <si>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</si>
  <si>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</si>
  <si>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</si>
  <si>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</si>
  <si>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</si>
  <si>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</si>
  <si>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</si>
  <si>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</si>
  <si>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</si>
  <si>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</si>
  <si>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</si>
  <si>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</si>
  <si>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</si>
  <si>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</si>
  <si>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</si>
  <si>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</si>
  <si>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</si>
  <si>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</si>
  <si>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</si>
  <si>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</si>
  <si>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</si>
  <si>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</si>
  <si>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</si>
  <si>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</si>
  <si>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</si>
  <si>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</si>
  <si>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</si>
  <si>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</si>
  <si>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</si>
  <si>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</si>
  <si>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</si>
  <si>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</si>
  <si>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</si>
  <si>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</si>
  <si>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</si>
  <si>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</si>
  <si>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</si>
  <si>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</si>
  <si>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</si>
  <si>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</si>
  <si>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</si>
  <si>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</si>
  <si>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</si>
  <si>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</si>
  <si>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</si>
  <si>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</si>
  <si>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</si>
  <si>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</si>
  <si>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</si>
  <si>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</si>
  <si>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</si>
  <si>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</si>
  <si>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</si>
  <si>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</si>
  <si>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</si>
  <si>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</si>
  <si>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</si>
  <si>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</si>
  <si>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</si>
  <si>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</si>
  <si>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</si>
  <si>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</si>
  <si>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</si>
  <si>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</si>
  <si>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</si>
  <si>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</si>
  <si>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</si>
  <si>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</si>
  <si>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</si>
  <si>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</si>
  <si>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</si>
  <si>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</si>
  <si>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</si>
  <si>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</si>
  <si>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</si>
  <si>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</si>
  <si>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</si>
  <si>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</si>
  <si>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</si>
  <si>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</si>
  <si>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</si>
  <si>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</si>
  <si>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</si>
  <si>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</si>
  <si>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</si>
  <si>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</si>
  <si>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</si>
  <si>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</si>
  <si>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</si>
  <si>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</si>
  <si>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</si>
  <si>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</si>
  <si>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</si>
  <si>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</si>
  <si>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</si>
  <si>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</si>
  <si>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</si>
  <si>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</si>
  <si>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</si>
  <si>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</si>
  <si>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</si>
  <si>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</si>
  <si>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</si>
  <si>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</si>
  <si>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</si>
  <si>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</si>
  <si>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</si>
  <si>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</si>
  <si>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</si>
  <si>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</si>
  <si>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</si>
  <si>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</si>
  <si>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</si>
  <si>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</si>
  <si>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</si>
  <si>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</si>
  <si>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</si>
  <si>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</si>
  <si>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</si>
  <si>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</si>
  <si>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</si>
  <si>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</si>
  <si>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</si>
  <si>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</si>
  <si>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</si>
  <si>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</si>
  <si>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</si>
  <si>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</si>
  <si>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</si>
  <si>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</si>
  <si>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</si>
  <si>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</si>
  <si>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</si>
  <si>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</si>
  <si>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</si>
  <si>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</si>
  <si>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</si>
  <si>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</si>
  <si>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</si>
  <si>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</si>
  <si>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</si>
  <si>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</si>
  <si>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</si>
  <si>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</si>
  <si>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</si>
  <si>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</si>
  <si>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</si>
  <si>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</si>
  <si>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</si>
  <si>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</si>
  <si>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</si>
  <si>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</si>
  <si>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</si>
  <si>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</si>
  <si>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</si>
  <si>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</si>
  <si>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</si>
  <si>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</si>
  <si>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</si>
  <si>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</si>
  <si>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</si>
  <si>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</si>
  <si>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</si>
  <si>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</si>
  <si>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</si>
  <si>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</si>
  <si>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</si>
  <si>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</si>
  <si>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</si>
  <si>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</si>
  <si>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</si>
  <si>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</si>
  <si>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</si>
  <si>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</si>
  <si>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</si>
  <si>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</si>
  <si>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</si>
  <si>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</si>
  <si>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</si>
  <si>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</si>
  <si>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</si>
  <si>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</si>
  <si>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</si>
  <si>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</si>
  <si>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</si>
  <si>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</si>
  <si>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</si>
  <si>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</si>
  <si>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</si>
  <si>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</si>
  <si>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</si>
  <si>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</si>
  <si>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</si>
  <si>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</si>
  <si>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</si>
  <si>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</si>
  <si>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</si>
  <si>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</si>
  <si>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</si>
  <si>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</si>
  <si>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</si>
  <si>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</si>
  <si>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</si>
  <si>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</si>
  <si>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</si>
  <si>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</si>
  <si>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</si>
  <si>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</si>
  <si>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</si>
  <si>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</si>
  <si>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</si>
  <si>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</si>
  <si>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</si>
  <si>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</si>
  <si>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</si>
  <si>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</si>
  <si>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</si>
  <si>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</si>
  <si>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</si>
  <si>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</si>
  <si>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30%. Presentación: 5 litros.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</si>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</sst>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abSelected="1" topLeftCell="F1" zoomScale="70" zoomScaleNormal="70" workbookViewId="0">
      <selection activeCell="I9" sqref="I9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</row>
    <row r="2" spans="1:21" ht="32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30%.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749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liquido concentrado.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workbookViewId="0">
      <selection activeCell="A9" sqref="A9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51" t="s">
        <v>1701</v>
      </c>
      <c r="B1" s="51"/>
      <c r="C1" s="51"/>
      <c r="D1" s="51"/>
      <c r="E1" s="51"/>
      <c r="F1" s="51"/>
      <c r="G1" s="51"/>
      <c r="H1" s="51"/>
      <c r="I1" s="51"/>
      <c r="J1" s="51"/>
      <c r="K1" s="33"/>
      <c r="L1" s="33"/>
    </row>
    <row r="2" spans="1:12" ht="24" customHeight="1">
      <c r="A2" s="52" t="s">
        <v>1702</v>
      </c>
      <c r="B2" s="52"/>
      <c r="C2" s="52"/>
      <c r="D2" s="52"/>
      <c r="E2" s="52"/>
      <c r="F2" s="52"/>
      <c r="G2" s="52"/>
      <c r="H2" s="52"/>
      <c r="I2" s="52"/>
      <c r="J2" s="52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1703</v>
      </c>
      <c r="B4" s="35" t="s">
        <v>1704</v>
      </c>
      <c r="C4" s="35" t="s">
        <v>1705</v>
      </c>
      <c r="D4" s="35" t="s">
        <v>1706</v>
      </c>
      <c r="E4" s="37"/>
      <c r="F4" s="53" t="s">
        <v>1707</v>
      </c>
      <c r="G4" s="53"/>
      <c r="H4" s="53"/>
      <c r="I4" s="53"/>
      <c r="J4" s="53"/>
      <c r="K4" s="37"/>
      <c r="L4" s="37"/>
    </row>
    <row r="5" spans="1:12">
      <c r="A5" s="38" t="s">
        <v>1708</v>
      </c>
      <c r="B5" s="39">
        <v>0.4</v>
      </c>
      <c r="C5" s="38" t="s">
        <v>1709</v>
      </c>
      <c r="D5" s="38" t="s">
        <v>1710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1711</v>
      </c>
      <c r="B6" s="40">
        <v>4</v>
      </c>
      <c r="C6" s="38" t="s">
        <v>1712</v>
      </c>
      <c r="D6" s="38" t="s">
        <v>1713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1714</v>
      </c>
      <c r="B7" s="41">
        <v>4000</v>
      </c>
      <c r="C7" s="38" t="s">
        <v>1715</v>
      </c>
      <c r="D7" s="38" t="s">
        <v>1716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1717</v>
      </c>
      <c r="B8" s="41">
        <v>4000</v>
      </c>
      <c r="C8" s="38" t="s">
        <v>1715</v>
      </c>
      <c r="D8" s="38" t="s">
        <v>1718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1719</v>
      </c>
      <c r="B9" s="41">
        <v>2490</v>
      </c>
      <c r="C9" s="38" t="s">
        <v>1715</v>
      </c>
      <c r="D9" s="38" t="s">
        <v>1720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1721</v>
      </c>
      <c r="B10" s="42">
        <v>9.6799999999999994E-3</v>
      </c>
      <c r="C10" s="38" t="s">
        <v>1709</v>
      </c>
      <c r="D10" s="38" t="s">
        <v>1722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1723</v>
      </c>
      <c r="B11" s="41">
        <v>1000</v>
      </c>
      <c r="C11" s="38" t="s">
        <v>1724</v>
      </c>
      <c r="D11" s="38" t="s">
        <v>1725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1726</v>
      </c>
      <c r="C14" s="36" t="s">
        <v>1727</v>
      </c>
      <c r="D14" s="36" t="s">
        <v>1728</v>
      </c>
      <c r="E14" s="36" t="s">
        <v>1729</v>
      </c>
      <c r="F14" s="36" t="s">
        <v>1730</v>
      </c>
      <c r="G14" s="36" t="s">
        <v>1731</v>
      </c>
      <c r="H14" s="36" t="s">
        <v>1732</v>
      </c>
      <c r="I14" s="36" t="s">
        <v>1733</v>
      </c>
      <c r="J14" s="36" t="s">
        <v>1734</v>
      </c>
      <c r="K14" s="36" t="s">
        <v>1735</v>
      </c>
      <c r="L14" s="36" t="s">
        <v>1736</v>
      </c>
    </row>
    <row r="15" spans="1:12">
      <c r="A15" s="43" t="s">
        <v>24</v>
      </c>
      <c r="B15" s="44">
        <v>3300</v>
      </c>
      <c r="C15" s="45" t="s">
        <v>1737</v>
      </c>
      <c r="D15" s="44">
        <f t="shared" ref="D15:D78" si="0">IF(A15="","",$B$7/$B$6)</f>
        <v>1000</v>
      </c>
      <c r="E15" s="46">
        <f t="shared" ref="E15:E78" si="1">IF(A15="","",IF(C15="NO",0,IF(D15&lt;&gt;"",D15,$B$11)))</f>
        <v>1000</v>
      </c>
      <c r="F15" s="46">
        <f t="shared" ref="F15:F78" si="2">IF(A15="","",$B$7/$B$6)</f>
        <v>1000</v>
      </c>
      <c r="G15" s="46">
        <f t="shared" ref="G15:G78" si="3">IF(A15="","",($B$8-$B$9)/$B$6)</f>
        <v>377.5</v>
      </c>
      <c r="H15" s="47">
        <f t="shared" ref="H15:H78" si="4">IF(A15="","",$B$10)</f>
        <v>9.6799999999999994E-3</v>
      </c>
      <c r="I15" s="47">
        <f t="shared" ref="I15:I78" si="5">IF(A15="","",$B$5)</f>
        <v>0.4</v>
      </c>
      <c r="J15" s="46">
        <f t="shared" ref="J15:J78" si="6">IF(OR(A15="",B15=""),"",ROUND((B15+E15+F15+G15)/(1-H15-I15),-1))</f>
        <v>9620</v>
      </c>
      <c r="K15" s="46">
        <f t="shared" ref="K15:K78" si="7">IF(J15="","",J15-B15-E15-F15-G15-(J15*H15))</f>
        <v>3849.3784000000001</v>
      </c>
      <c r="L15" s="48">
        <f t="shared" ref="L15:L78" si="8">IF(J15="","",K15/J15)</f>
        <v>0.40014328482328482</v>
      </c>
    </row>
    <row r="16" spans="1:12">
      <c r="A16" s="43" t="s">
        <v>36</v>
      </c>
      <c r="B16" s="44">
        <v>9000</v>
      </c>
      <c r="C16" s="45" t="s">
        <v>1737</v>
      </c>
      <c r="D16" s="44">
        <f t="shared" si="0"/>
        <v>1000</v>
      </c>
      <c r="E16" s="46">
        <f t="shared" si="1"/>
        <v>1000</v>
      </c>
      <c r="F16" s="46">
        <f t="shared" si="2"/>
        <v>1000</v>
      </c>
      <c r="G16" s="46">
        <f t="shared" si="3"/>
        <v>377.5</v>
      </c>
      <c r="H16" s="47">
        <f t="shared" si="4"/>
        <v>9.6799999999999994E-3</v>
      </c>
      <c r="I16" s="47">
        <f t="shared" si="5"/>
        <v>0.4</v>
      </c>
      <c r="J16" s="46">
        <f t="shared" si="6"/>
        <v>19270</v>
      </c>
      <c r="K16" s="46">
        <f t="shared" si="7"/>
        <v>7705.9664000000002</v>
      </c>
      <c r="L16" s="48">
        <f t="shared" si="8"/>
        <v>0.39989446808510637</v>
      </c>
    </row>
    <row r="17" spans="1:12">
      <c r="A17" s="43" t="s">
        <v>43</v>
      </c>
      <c r="B17" s="44">
        <v>2750</v>
      </c>
      <c r="C17" s="45" t="s">
        <v>1737</v>
      </c>
      <c r="D17" s="44">
        <f t="shared" si="0"/>
        <v>1000</v>
      </c>
      <c r="E17" s="46">
        <f t="shared" si="1"/>
        <v>1000</v>
      </c>
      <c r="F17" s="46">
        <f t="shared" si="2"/>
        <v>1000</v>
      </c>
      <c r="G17" s="46">
        <f t="shared" si="3"/>
        <v>377.5</v>
      </c>
      <c r="H17" s="47">
        <f t="shared" si="4"/>
        <v>9.6799999999999994E-3</v>
      </c>
      <c r="I17" s="47">
        <f t="shared" si="5"/>
        <v>0.4</v>
      </c>
      <c r="J17" s="46">
        <f t="shared" si="6"/>
        <v>8690</v>
      </c>
      <c r="K17" s="46">
        <f t="shared" si="7"/>
        <v>3478.3807999999999</v>
      </c>
      <c r="L17" s="48">
        <f t="shared" si="8"/>
        <v>0.40027397008055232</v>
      </c>
    </row>
    <row r="18" spans="1:12">
      <c r="A18" s="43" t="s">
        <v>49</v>
      </c>
      <c r="B18" s="44">
        <v>3250</v>
      </c>
      <c r="C18" s="45" t="s">
        <v>1737</v>
      </c>
      <c r="D18" s="44">
        <f t="shared" si="0"/>
        <v>1000</v>
      </c>
      <c r="E18" s="46">
        <f t="shared" si="1"/>
        <v>1000</v>
      </c>
      <c r="F18" s="46">
        <f t="shared" si="2"/>
        <v>1000</v>
      </c>
      <c r="G18" s="46">
        <f t="shared" si="3"/>
        <v>377.5</v>
      </c>
      <c r="H18" s="47">
        <f t="shared" si="4"/>
        <v>9.6799999999999994E-3</v>
      </c>
      <c r="I18" s="47">
        <f t="shared" si="5"/>
        <v>0.4</v>
      </c>
      <c r="J18" s="46">
        <f t="shared" si="6"/>
        <v>9530</v>
      </c>
      <c r="K18" s="46">
        <f t="shared" si="7"/>
        <v>3810.2496000000001</v>
      </c>
      <c r="L18" s="48">
        <f t="shared" si="8"/>
        <v>0.39981632738719836</v>
      </c>
    </row>
    <row r="19" spans="1:12">
      <c r="A19" s="43" t="s">
        <v>55</v>
      </c>
      <c r="B19" s="44">
        <v>5000</v>
      </c>
      <c r="C19" s="45" t="s">
        <v>1737</v>
      </c>
      <c r="D19" s="44">
        <f t="shared" si="0"/>
        <v>1000</v>
      </c>
      <c r="E19" s="46">
        <f t="shared" si="1"/>
        <v>1000</v>
      </c>
      <c r="F19" s="46">
        <f t="shared" si="2"/>
        <v>1000</v>
      </c>
      <c r="G19" s="46">
        <f t="shared" si="3"/>
        <v>377.5</v>
      </c>
      <c r="H19" s="47">
        <f t="shared" si="4"/>
        <v>9.6799999999999994E-3</v>
      </c>
      <c r="I19" s="47">
        <f t="shared" si="5"/>
        <v>0.4</v>
      </c>
      <c r="J19" s="46">
        <f t="shared" si="6"/>
        <v>12500</v>
      </c>
      <c r="K19" s="46">
        <f t="shared" si="7"/>
        <v>5001.5</v>
      </c>
      <c r="L19" s="48">
        <f t="shared" si="8"/>
        <v>0.40011999999999998</v>
      </c>
    </row>
    <row r="20" spans="1:12">
      <c r="A20" s="43" t="s">
        <v>63</v>
      </c>
      <c r="B20" s="44">
        <v>4000</v>
      </c>
      <c r="C20" s="45" t="s">
        <v>1737</v>
      </c>
      <c r="D20" s="44">
        <f t="shared" si="0"/>
        <v>1000</v>
      </c>
      <c r="E20" s="46">
        <f t="shared" si="1"/>
        <v>1000</v>
      </c>
      <c r="F20" s="46">
        <f t="shared" si="2"/>
        <v>1000</v>
      </c>
      <c r="G20" s="46">
        <f t="shared" si="3"/>
        <v>377.5</v>
      </c>
      <c r="H20" s="47">
        <f t="shared" si="4"/>
        <v>9.6799999999999994E-3</v>
      </c>
      <c r="I20" s="47">
        <f t="shared" si="5"/>
        <v>0.4</v>
      </c>
      <c r="J20" s="46">
        <f t="shared" si="6"/>
        <v>10800</v>
      </c>
      <c r="K20" s="46">
        <f t="shared" si="7"/>
        <v>4317.9560000000001</v>
      </c>
      <c r="L20" s="48">
        <f t="shared" si="8"/>
        <v>0.39981074074074074</v>
      </c>
    </row>
    <row r="21" spans="1:12">
      <c r="A21" s="43" t="s">
        <v>70</v>
      </c>
      <c r="B21" s="44">
        <v>20000</v>
      </c>
      <c r="C21" s="45" t="s">
        <v>1737</v>
      </c>
      <c r="D21" s="44">
        <f t="shared" si="0"/>
        <v>1000</v>
      </c>
      <c r="E21" s="46">
        <f t="shared" si="1"/>
        <v>1000</v>
      </c>
      <c r="F21" s="46">
        <f t="shared" si="2"/>
        <v>1000</v>
      </c>
      <c r="G21" s="46">
        <f t="shared" si="3"/>
        <v>377.5</v>
      </c>
      <c r="H21" s="47">
        <f t="shared" si="4"/>
        <v>9.6799999999999994E-3</v>
      </c>
      <c r="I21" s="47">
        <f t="shared" si="5"/>
        <v>0.4</v>
      </c>
      <c r="J21" s="46">
        <f t="shared" si="6"/>
        <v>37910</v>
      </c>
      <c r="K21" s="46">
        <f t="shared" si="7"/>
        <v>15165.531199999999</v>
      </c>
      <c r="L21" s="48">
        <f t="shared" si="8"/>
        <v>0.4000403903983118</v>
      </c>
    </row>
    <row r="22" spans="1:12">
      <c r="A22" s="43" t="s">
        <v>77</v>
      </c>
      <c r="B22" s="44">
        <v>2200</v>
      </c>
      <c r="C22" s="45" t="s">
        <v>1737</v>
      </c>
      <c r="D22" s="44">
        <f t="shared" si="0"/>
        <v>1000</v>
      </c>
      <c r="E22" s="46">
        <f t="shared" si="1"/>
        <v>1000</v>
      </c>
      <c r="F22" s="46">
        <f t="shared" si="2"/>
        <v>1000</v>
      </c>
      <c r="G22" s="46">
        <f t="shared" si="3"/>
        <v>377.5</v>
      </c>
      <c r="H22" s="47">
        <f t="shared" si="4"/>
        <v>9.6799999999999994E-3</v>
      </c>
      <c r="I22" s="47">
        <f t="shared" si="5"/>
        <v>0.4</v>
      </c>
      <c r="J22" s="46">
        <f t="shared" si="6"/>
        <v>7750</v>
      </c>
      <c r="K22" s="46">
        <f t="shared" si="7"/>
        <v>3097.48</v>
      </c>
      <c r="L22" s="48">
        <f t="shared" si="8"/>
        <v>0.3996748387096774</v>
      </c>
    </row>
    <row r="23" spans="1:12">
      <c r="A23" s="43" t="s">
        <v>86</v>
      </c>
      <c r="B23" s="44">
        <v>16000</v>
      </c>
      <c r="C23" s="45" t="s">
        <v>1737</v>
      </c>
      <c r="D23" s="44">
        <f t="shared" si="0"/>
        <v>1000</v>
      </c>
      <c r="E23" s="46">
        <f t="shared" si="1"/>
        <v>1000</v>
      </c>
      <c r="F23" s="46">
        <f t="shared" si="2"/>
        <v>1000</v>
      </c>
      <c r="G23" s="46">
        <f t="shared" si="3"/>
        <v>377.5</v>
      </c>
      <c r="H23" s="47">
        <f t="shared" si="4"/>
        <v>9.6799999999999994E-3</v>
      </c>
      <c r="I23" s="47">
        <f t="shared" si="5"/>
        <v>0.4</v>
      </c>
      <c r="J23" s="46">
        <f t="shared" si="6"/>
        <v>31130</v>
      </c>
      <c r="K23" s="46">
        <f t="shared" si="7"/>
        <v>12451.161599999999</v>
      </c>
      <c r="L23" s="48">
        <f t="shared" si="8"/>
        <v>0.39997306778027625</v>
      </c>
    </row>
    <row r="24" spans="1:12">
      <c r="A24" s="43" t="s">
        <v>91</v>
      </c>
      <c r="B24" s="44">
        <v>4600</v>
      </c>
      <c r="C24" s="45" t="s">
        <v>1737</v>
      </c>
      <c r="D24" s="44">
        <f t="shared" si="0"/>
        <v>1000</v>
      </c>
      <c r="E24" s="46">
        <f t="shared" si="1"/>
        <v>1000</v>
      </c>
      <c r="F24" s="46">
        <f t="shared" si="2"/>
        <v>1000</v>
      </c>
      <c r="G24" s="46">
        <f t="shared" si="3"/>
        <v>377.5</v>
      </c>
      <c r="H24" s="47">
        <f t="shared" si="4"/>
        <v>9.6799999999999994E-3</v>
      </c>
      <c r="I24" s="47">
        <f t="shared" si="5"/>
        <v>0.4</v>
      </c>
      <c r="J24" s="46">
        <f t="shared" si="6"/>
        <v>11820</v>
      </c>
      <c r="K24" s="46">
        <f t="shared" si="7"/>
        <v>4728.0824000000002</v>
      </c>
      <c r="L24" s="48">
        <f t="shared" si="8"/>
        <v>0.40000697123519463</v>
      </c>
    </row>
    <row r="25" spans="1:12">
      <c r="A25" s="43" t="s">
        <v>98</v>
      </c>
      <c r="B25" s="44">
        <v>5400</v>
      </c>
      <c r="C25" s="45" t="s">
        <v>1737</v>
      </c>
      <c r="D25" s="44">
        <f t="shared" si="0"/>
        <v>1000</v>
      </c>
      <c r="E25" s="46">
        <f t="shared" si="1"/>
        <v>1000</v>
      </c>
      <c r="F25" s="46">
        <f t="shared" si="2"/>
        <v>1000</v>
      </c>
      <c r="G25" s="46">
        <f t="shared" si="3"/>
        <v>377.5</v>
      </c>
      <c r="H25" s="47">
        <f t="shared" si="4"/>
        <v>9.6799999999999994E-3</v>
      </c>
      <c r="I25" s="47">
        <f t="shared" si="5"/>
        <v>0.4</v>
      </c>
      <c r="J25" s="46">
        <f t="shared" si="6"/>
        <v>13180</v>
      </c>
      <c r="K25" s="46">
        <f t="shared" si="7"/>
        <v>5274.9175999999998</v>
      </c>
      <c r="L25" s="48">
        <f t="shared" si="8"/>
        <v>0.40022136570561456</v>
      </c>
    </row>
    <row r="26" spans="1:12">
      <c r="A26" s="43" t="s">
        <v>103</v>
      </c>
      <c r="B26" s="44">
        <v>5400</v>
      </c>
      <c r="C26" s="45" t="s">
        <v>1737</v>
      </c>
      <c r="D26" s="44">
        <f t="shared" si="0"/>
        <v>1000</v>
      </c>
      <c r="E26" s="46">
        <f t="shared" si="1"/>
        <v>1000</v>
      </c>
      <c r="F26" s="46">
        <f t="shared" si="2"/>
        <v>1000</v>
      </c>
      <c r="G26" s="46">
        <f t="shared" si="3"/>
        <v>377.5</v>
      </c>
      <c r="H26" s="47">
        <f t="shared" si="4"/>
        <v>9.6799999999999994E-3</v>
      </c>
      <c r="I26" s="47">
        <f t="shared" si="5"/>
        <v>0.4</v>
      </c>
      <c r="J26" s="46">
        <f t="shared" si="6"/>
        <v>13180</v>
      </c>
      <c r="K26" s="46">
        <f t="shared" si="7"/>
        <v>5274.9175999999998</v>
      </c>
      <c r="L26" s="48">
        <f t="shared" si="8"/>
        <v>0.40022136570561456</v>
      </c>
    </row>
    <row r="27" spans="1:12">
      <c r="A27" s="43" t="s">
        <v>108</v>
      </c>
      <c r="B27" s="44">
        <v>5400</v>
      </c>
      <c r="C27" s="45" t="s">
        <v>1737</v>
      </c>
      <c r="D27" s="44">
        <f t="shared" si="0"/>
        <v>1000</v>
      </c>
      <c r="E27" s="46">
        <f t="shared" si="1"/>
        <v>1000</v>
      </c>
      <c r="F27" s="46">
        <f t="shared" si="2"/>
        <v>1000</v>
      </c>
      <c r="G27" s="46">
        <f t="shared" si="3"/>
        <v>377.5</v>
      </c>
      <c r="H27" s="47">
        <f t="shared" si="4"/>
        <v>9.6799999999999994E-3</v>
      </c>
      <c r="I27" s="47">
        <f t="shared" si="5"/>
        <v>0.4</v>
      </c>
      <c r="J27" s="46">
        <f t="shared" si="6"/>
        <v>13180</v>
      </c>
      <c r="K27" s="46">
        <f t="shared" si="7"/>
        <v>5274.9175999999998</v>
      </c>
      <c r="L27" s="48">
        <f t="shared" si="8"/>
        <v>0.40022136570561456</v>
      </c>
    </row>
    <row r="28" spans="1:12">
      <c r="A28" s="43" t="s">
        <v>113</v>
      </c>
      <c r="B28" s="44">
        <v>7300</v>
      </c>
      <c r="C28" s="45" t="s">
        <v>1737</v>
      </c>
      <c r="D28" s="44">
        <f t="shared" si="0"/>
        <v>1000</v>
      </c>
      <c r="E28" s="46">
        <f t="shared" si="1"/>
        <v>1000</v>
      </c>
      <c r="F28" s="46">
        <f t="shared" si="2"/>
        <v>1000</v>
      </c>
      <c r="G28" s="46">
        <f t="shared" si="3"/>
        <v>377.5</v>
      </c>
      <c r="H28" s="47">
        <f t="shared" si="4"/>
        <v>9.6799999999999994E-3</v>
      </c>
      <c r="I28" s="47">
        <f t="shared" si="5"/>
        <v>0.4</v>
      </c>
      <c r="J28" s="46">
        <f t="shared" si="6"/>
        <v>16390</v>
      </c>
      <c r="K28" s="46">
        <f t="shared" si="7"/>
        <v>6553.8447999999999</v>
      </c>
      <c r="L28" s="48">
        <f t="shared" si="8"/>
        <v>0.39986850518608907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si="0"/>
        <v>1000</v>
      </c>
      <c r="E29" s="46">
        <f t="shared" si="1"/>
        <v>0</v>
      </c>
      <c r="F29" s="46">
        <f t="shared" si="2"/>
        <v>1000</v>
      </c>
      <c r="G29" s="46">
        <f t="shared" si="3"/>
        <v>377.5</v>
      </c>
      <c r="H29" s="47">
        <f t="shared" si="4"/>
        <v>9.6799999999999994E-3</v>
      </c>
      <c r="I29" s="47">
        <f t="shared" si="5"/>
        <v>0.4</v>
      </c>
      <c r="J29" s="46">
        <f t="shared" si="6"/>
        <v>3520</v>
      </c>
      <c r="K29" s="46">
        <f t="shared" si="7"/>
        <v>1408.4264000000001</v>
      </c>
      <c r="L29" s="48">
        <f t="shared" si="8"/>
        <v>0.40012113636363639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0"/>
        <v>1000</v>
      </c>
      <c r="E30" s="46">
        <f t="shared" si="1"/>
        <v>0</v>
      </c>
      <c r="F30" s="46">
        <f t="shared" si="2"/>
        <v>1000</v>
      </c>
      <c r="G30" s="46">
        <f t="shared" si="3"/>
        <v>377.5</v>
      </c>
      <c r="H30" s="47">
        <f t="shared" si="4"/>
        <v>9.6799999999999994E-3</v>
      </c>
      <c r="I30" s="47">
        <f t="shared" si="5"/>
        <v>0.4</v>
      </c>
      <c r="J30" s="46">
        <f t="shared" si="6"/>
        <v>2840</v>
      </c>
      <c r="K30" s="46">
        <f t="shared" si="7"/>
        <v>1135.0088000000001</v>
      </c>
      <c r="L30" s="48">
        <f t="shared" si="8"/>
        <v>0.39965098591549297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0"/>
        <v>1000</v>
      </c>
      <c r="E31" s="46">
        <f t="shared" si="1"/>
        <v>0</v>
      </c>
      <c r="F31" s="46">
        <f t="shared" si="2"/>
        <v>1000</v>
      </c>
      <c r="G31" s="46">
        <f t="shared" si="3"/>
        <v>377.5</v>
      </c>
      <c r="H31" s="47">
        <f t="shared" si="4"/>
        <v>9.6799999999999994E-3</v>
      </c>
      <c r="I31" s="47">
        <f t="shared" si="5"/>
        <v>0.4</v>
      </c>
      <c r="J31" s="46">
        <f t="shared" si="6"/>
        <v>3180</v>
      </c>
      <c r="K31" s="46">
        <f t="shared" si="7"/>
        <v>1271.7175999999999</v>
      </c>
      <c r="L31" s="48">
        <f t="shared" si="8"/>
        <v>0.39991119496855343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0"/>
        <v>1000</v>
      </c>
      <c r="E32" s="46">
        <f t="shared" si="1"/>
        <v>0</v>
      </c>
      <c r="F32" s="46">
        <f t="shared" si="2"/>
        <v>1000</v>
      </c>
      <c r="G32" s="46">
        <f t="shared" si="3"/>
        <v>377.5</v>
      </c>
      <c r="H32" s="47">
        <f t="shared" si="4"/>
        <v>9.6799999999999994E-3</v>
      </c>
      <c r="I32" s="47">
        <f t="shared" si="5"/>
        <v>0.4</v>
      </c>
      <c r="J32" s="46">
        <f t="shared" si="6"/>
        <v>3180</v>
      </c>
      <c r="K32" s="46">
        <f t="shared" si="7"/>
        <v>1271.7175999999999</v>
      </c>
      <c r="L32" s="48">
        <f t="shared" si="8"/>
        <v>0.39991119496855343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0"/>
        <v>1000</v>
      </c>
      <c r="E33" s="46">
        <f t="shared" si="1"/>
        <v>0</v>
      </c>
      <c r="F33" s="46">
        <f t="shared" si="2"/>
        <v>1000</v>
      </c>
      <c r="G33" s="46">
        <f t="shared" si="3"/>
        <v>377.5</v>
      </c>
      <c r="H33" s="47">
        <f t="shared" si="4"/>
        <v>9.6799999999999994E-3</v>
      </c>
      <c r="I33" s="47">
        <f t="shared" si="5"/>
        <v>0.4</v>
      </c>
      <c r="J33" s="46">
        <f t="shared" si="6"/>
        <v>3180</v>
      </c>
      <c r="K33" s="46">
        <f t="shared" si="7"/>
        <v>1271.7175999999999</v>
      </c>
      <c r="L33" s="48">
        <f t="shared" si="8"/>
        <v>0.39991119496855343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0"/>
        <v>1000</v>
      </c>
      <c r="E34" s="46">
        <f t="shared" si="1"/>
        <v>0</v>
      </c>
      <c r="F34" s="46">
        <f t="shared" si="2"/>
        <v>1000</v>
      </c>
      <c r="G34" s="46">
        <f t="shared" si="3"/>
        <v>377.5</v>
      </c>
      <c r="H34" s="47">
        <f t="shared" si="4"/>
        <v>9.6799999999999994E-3</v>
      </c>
      <c r="I34" s="47">
        <f t="shared" si="5"/>
        <v>0.4</v>
      </c>
      <c r="J34" s="46">
        <f t="shared" si="6"/>
        <v>5810</v>
      </c>
      <c r="K34" s="46">
        <f t="shared" si="7"/>
        <v>2326.2592</v>
      </c>
      <c r="L34" s="48">
        <f t="shared" si="8"/>
        <v>0.40038884681583475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0"/>
        <v>1000</v>
      </c>
      <c r="E35" s="46">
        <f t="shared" si="1"/>
        <v>0</v>
      </c>
      <c r="F35" s="46">
        <f t="shared" si="2"/>
        <v>1000</v>
      </c>
      <c r="G35" s="46">
        <f t="shared" si="3"/>
        <v>377.5</v>
      </c>
      <c r="H35" s="47">
        <f t="shared" si="4"/>
        <v>9.6799999999999994E-3</v>
      </c>
      <c r="I35" s="47">
        <f t="shared" si="5"/>
        <v>0.4</v>
      </c>
      <c r="J35" s="46">
        <f t="shared" si="6"/>
        <v>5810</v>
      </c>
      <c r="K35" s="46">
        <f t="shared" si="7"/>
        <v>2326.2592</v>
      </c>
      <c r="L35" s="48">
        <f t="shared" si="8"/>
        <v>0.40038884681583475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0"/>
        <v>1000</v>
      </c>
      <c r="E36" s="46">
        <f t="shared" si="1"/>
        <v>0</v>
      </c>
      <c r="F36" s="46">
        <f t="shared" si="2"/>
        <v>1000</v>
      </c>
      <c r="G36" s="46">
        <f t="shared" si="3"/>
        <v>377.5</v>
      </c>
      <c r="H36" s="47">
        <f t="shared" si="4"/>
        <v>9.6799999999999994E-3</v>
      </c>
      <c r="I36" s="47">
        <f t="shared" si="5"/>
        <v>0.4</v>
      </c>
      <c r="J36" s="46">
        <f t="shared" si="6"/>
        <v>3600</v>
      </c>
      <c r="K36" s="46">
        <f t="shared" si="7"/>
        <v>1437.652</v>
      </c>
      <c r="L36" s="48">
        <f t="shared" si="8"/>
        <v>0.3993477777777778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0"/>
        <v>1000</v>
      </c>
      <c r="E37" s="46">
        <f t="shared" si="1"/>
        <v>0</v>
      </c>
      <c r="F37" s="46">
        <f t="shared" si="2"/>
        <v>1000</v>
      </c>
      <c r="G37" s="46">
        <f t="shared" si="3"/>
        <v>377.5</v>
      </c>
      <c r="H37" s="47">
        <f t="shared" si="4"/>
        <v>9.6799999999999994E-3</v>
      </c>
      <c r="I37" s="47">
        <f t="shared" si="5"/>
        <v>0.4</v>
      </c>
      <c r="J37" s="46">
        <f t="shared" si="6"/>
        <v>3430</v>
      </c>
      <c r="K37" s="46">
        <f t="shared" si="7"/>
        <v>1369.2976000000001</v>
      </c>
      <c r="L37" s="48">
        <f t="shared" si="8"/>
        <v>0.39921212827988339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0"/>
        <v>1000</v>
      </c>
      <c r="E38" s="46">
        <f t="shared" si="1"/>
        <v>0</v>
      </c>
      <c r="F38" s="46">
        <f t="shared" si="2"/>
        <v>1000</v>
      </c>
      <c r="G38" s="46">
        <f t="shared" si="3"/>
        <v>377.5</v>
      </c>
      <c r="H38" s="47">
        <f t="shared" si="4"/>
        <v>9.6799999999999994E-3</v>
      </c>
      <c r="I38" s="47">
        <f t="shared" si="5"/>
        <v>0.4</v>
      </c>
      <c r="J38" s="46">
        <f t="shared" si="6"/>
        <v>2770</v>
      </c>
      <c r="K38" s="46">
        <f t="shared" si="7"/>
        <v>1105.6864</v>
      </c>
      <c r="L38" s="48">
        <f t="shared" si="8"/>
        <v>0.3991647653429603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0"/>
        <v>1000</v>
      </c>
      <c r="E39" s="46">
        <f t="shared" si="1"/>
        <v>0</v>
      </c>
      <c r="F39" s="46">
        <f t="shared" si="2"/>
        <v>1000</v>
      </c>
      <c r="G39" s="46">
        <f t="shared" si="3"/>
        <v>377.5</v>
      </c>
      <c r="H39" s="47">
        <f t="shared" si="4"/>
        <v>9.6799999999999994E-3</v>
      </c>
      <c r="I39" s="47">
        <f t="shared" si="5"/>
        <v>0.4</v>
      </c>
      <c r="J39" s="46">
        <f t="shared" si="6"/>
        <v>2840</v>
      </c>
      <c r="K39" s="46">
        <f t="shared" si="7"/>
        <v>1135.0088000000001</v>
      </c>
      <c r="L39" s="48">
        <f t="shared" si="8"/>
        <v>0.39965098591549297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0"/>
        <v>1000</v>
      </c>
      <c r="E40" s="46">
        <f t="shared" si="1"/>
        <v>0</v>
      </c>
      <c r="F40" s="46">
        <f t="shared" si="2"/>
        <v>1000</v>
      </c>
      <c r="G40" s="46">
        <f t="shared" si="3"/>
        <v>377.5</v>
      </c>
      <c r="H40" s="47">
        <f t="shared" si="4"/>
        <v>9.6799999999999994E-3</v>
      </c>
      <c r="I40" s="47">
        <f t="shared" si="5"/>
        <v>0.4</v>
      </c>
      <c r="J40" s="46">
        <f t="shared" si="6"/>
        <v>2840</v>
      </c>
      <c r="K40" s="46">
        <f t="shared" si="7"/>
        <v>1135.0088000000001</v>
      </c>
      <c r="L40" s="48">
        <f t="shared" si="8"/>
        <v>0.39965098591549297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0"/>
        <v>1000</v>
      </c>
      <c r="E41" s="46">
        <f t="shared" si="1"/>
        <v>0</v>
      </c>
      <c r="F41" s="46">
        <f t="shared" si="2"/>
        <v>1000</v>
      </c>
      <c r="G41" s="46">
        <f t="shared" si="3"/>
        <v>377.5</v>
      </c>
      <c r="H41" s="47">
        <f t="shared" si="4"/>
        <v>9.6799999999999994E-3</v>
      </c>
      <c r="I41" s="47">
        <f t="shared" si="5"/>
        <v>0.4</v>
      </c>
      <c r="J41" s="46">
        <f t="shared" si="6"/>
        <v>4200</v>
      </c>
      <c r="K41" s="46">
        <f t="shared" si="7"/>
        <v>1681.8440000000001</v>
      </c>
      <c r="L41" s="48">
        <f t="shared" si="8"/>
        <v>0.40043904761904764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0"/>
        <v>1000</v>
      </c>
      <c r="E42" s="46">
        <f t="shared" si="1"/>
        <v>0</v>
      </c>
      <c r="F42" s="46">
        <f t="shared" si="2"/>
        <v>1000</v>
      </c>
      <c r="G42" s="46">
        <f t="shared" si="3"/>
        <v>377.5</v>
      </c>
      <c r="H42" s="47">
        <f t="shared" si="4"/>
        <v>9.6799999999999994E-3</v>
      </c>
      <c r="I42" s="47">
        <f t="shared" si="5"/>
        <v>0.4</v>
      </c>
      <c r="J42" s="46">
        <f t="shared" si="6"/>
        <v>5210</v>
      </c>
      <c r="K42" s="46">
        <f t="shared" si="7"/>
        <v>2082.0672</v>
      </c>
      <c r="L42" s="48">
        <f t="shared" si="8"/>
        <v>0.39962902111324378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0"/>
        <v>1000</v>
      </c>
      <c r="E43" s="46">
        <f t="shared" si="1"/>
        <v>0</v>
      </c>
      <c r="F43" s="46">
        <f t="shared" si="2"/>
        <v>1000</v>
      </c>
      <c r="G43" s="46">
        <f t="shared" si="3"/>
        <v>377.5</v>
      </c>
      <c r="H43" s="47">
        <f t="shared" si="4"/>
        <v>9.6799999999999994E-3</v>
      </c>
      <c r="I43" s="47">
        <f t="shared" si="5"/>
        <v>0.4</v>
      </c>
      <c r="J43" s="46">
        <f t="shared" si="6"/>
        <v>3350</v>
      </c>
      <c r="K43" s="46">
        <f t="shared" si="7"/>
        <v>1340.0720000000001</v>
      </c>
      <c r="L43" s="48">
        <f t="shared" si="8"/>
        <v>0.40002149253731345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0"/>
        <v>1000</v>
      </c>
      <c r="E44" s="46">
        <f t="shared" si="1"/>
        <v>0</v>
      </c>
      <c r="F44" s="46">
        <f t="shared" si="2"/>
        <v>1000</v>
      </c>
      <c r="G44" s="46">
        <f t="shared" si="3"/>
        <v>377.5</v>
      </c>
      <c r="H44" s="47">
        <f t="shared" si="4"/>
        <v>9.6799999999999994E-3</v>
      </c>
      <c r="I44" s="47">
        <f t="shared" si="5"/>
        <v>0.4</v>
      </c>
      <c r="J44" s="46">
        <f t="shared" si="6"/>
        <v>4280</v>
      </c>
      <c r="K44" s="46">
        <f t="shared" si="7"/>
        <v>1711.0696</v>
      </c>
      <c r="L44" s="48">
        <f t="shared" si="8"/>
        <v>0.39978261682242994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0"/>
        <v>1000</v>
      </c>
      <c r="E45" s="46">
        <f t="shared" si="1"/>
        <v>0</v>
      </c>
      <c r="F45" s="46">
        <f t="shared" si="2"/>
        <v>1000</v>
      </c>
      <c r="G45" s="46">
        <f t="shared" si="3"/>
        <v>377.5</v>
      </c>
      <c r="H45" s="47">
        <f t="shared" si="4"/>
        <v>9.6799999999999994E-3</v>
      </c>
      <c r="I45" s="47">
        <f t="shared" si="5"/>
        <v>0.4</v>
      </c>
      <c r="J45" s="46">
        <f t="shared" si="6"/>
        <v>4280</v>
      </c>
      <c r="K45" s="46">
        <f t="shared" si="7"/>
        <v>1711.0696</v>
      </c>
      <c r="L45" s="48">
        <f t="shared" si="8"/>
        <v>0.39978261682242994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0"/>
        <v>1000</v>
      </c>
      <c r="E46" s="46">
        <f t="shared" si="1"/>
        <v>0</v>
      </c>
      <c r="F46" s="46">
        <f t="shared" si="2"/>
        <v>1000</v>
      </c>
      <c r="G46" s="46">
        <f t="shared" si="3"/>
        <v>377.5</v>
      </c>
      <c r="H46" s="47">
        <f t="shared" si="4"/>
        <v>9.6799999999999994E-3</v>
      </c>
      <c r="I46" s="47">
        <f t="shared" si="5"/>
        <v>0.4</v>
      </c>
      <c r="J46" s="46">
        <f t="shared" si="6"/>
        <v>4030</v>
      </c>
      <c r="K46" s="46">
        <f t="shared" si="7"/>
        <v>1613.4896000000001</v>
      </c>
      <c r="L46" s="48">
        <f t="shared" si="8"/>
        <v>0.40036962779156332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0"/>
        <v>1000</v>
      </c>
      <c r="E47" s="46">
        <f t="shared" si="1"/>
        <v>0</v>
      </c>
      <c r="F47" s="46">
        <f t="shared" si="2"/>
        <v>1000</v>
      </c>
      <c r="G47" s="46">
        <f t="shared" si="3"/>
        <v>377.5</v>
      </c>
      <c r="H47" s="47">
        <f t="shared" si="4"/>
        <v>9.6799999999999994E-3</v>
      </c>
      <c r="I47" s="47">
        <f t="shared" si="5"/>
        <v>0.4</v>
      </c>
      <c r="J47" s="46">
        <f t="shared" si="6"/>
        <v>3430</v>
      </c>
      <c r="K47" s="46">
        <f t="shared" si="7"/>
        <v>1369.2976000000001</v>
      </c>
      <c r="L47" s="48">
        <f t="shared" si="8"/>
        <v>0.39921212827988339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0"/>
        <v>1000</v>
      </c>
      <c r="E48" s="46">
        <f t="shared" si="1"/>
        <v>0</v>
      </c>
      <c r="F48" s="46">
        <f t="shared" si="2"/>
        <v>1000</v>
      </c>
      <c r="G48" s="46">
        <f t="shared" si="3"/>
        <v>377.5</v>
      </c>
      <c r="H48" s="47">
        <f t="shared" si="4"/>
        <v>9.6799999999999994E-3</v>
      </c>
      <c r="I48" s="47">
        <f t="shared" si="5"/>
        <v>0.4</v>
      </c>
      <c r="J48" s="46">
        <f t="shared" si="6"/>
        <v>4540</v>
      </c>
      <c r="K48" s="46">
        <f t="shared" si="7"/>
        <v>1818.5527999999999</v>
      </c>
      <c r="L48" s="48">
        <f t="shared" si="8"/>
        <v>0.40056229074889865</v>
      </c>
    </row>
    <row r="49" spans="1:12">
      <c r="A49" s="43" t="s">
        <v>220</v>
      </c>
      <c r="B49" s="44"/>
      <c r="C49" s="45" t="s">
        <v>34</v>
      </c>
      <c r="D49" s="44">
        <f t="shared" si="0"/>
        <v>1000</v>
      </c>
      <c r="E49" s="46">
        <f t="shared" si="1"/>
        <v>0</v>
      </c>
      <c r="F49" s="46">
        <f t="shared" si="2"/>
        <v>1000</v>
      </c>
      <c r="G49" s="46">
        <f t="shared" si="3"/>
        <v>377.5</v>
      </c>
      <c r="H49" s="47">
        <f t="shared" si="4"/>
        <v>9.6799999999999994E-3</v>
      </c>
      <c r="I49" s="47">
        <f t="shared" si="5"/>
        <v>0.4</v>
      </c>
      <c r="J49" s="46" t="str">
        <f t="shared" si="6"/>
        <v/>
      </c>
      <c r="K49" s="46" t="str">
        <f t="shared" si="7"/>
        <v/>
      </c>
      <c r="L49" s="48" t="str">
        <f t="shared" si="8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0"/>
        <v>1000</v>
      </c>
      <c r="E50" s="46">
        <f t="shared" si="1"/>
        <v>0</v>
      </c>
      <c r="F50" s="46">
        <f t="shared" si="2"/>
        <v>1000</v>
      </c>
      <c r="G50" s="46">
        <f t="shared" si="3"/>
        <v>377.5</v>
      </c>
      <c r="H50" s="47">
        <f t="shared" si="4"/>
        <v>9.6799999999999994E-3</v>
      </c>
      <c r="I50" s="47">
        <f t="shared" si="5"/>
        <v>0.4</v>
      </c>
      <c r="J50" s="46">
        <f t="shared" si="6"/>
        <v>4200</v>
      </c>
      <c r="K50" s="46">
        <f t="shared" si="7"/>
        <v>1681.8440000000001</v>
      </c>
      <c r="L50" s="48">
        <f t="shared" si="8"/>
        <v>0.40043904761904764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0"/>
        <v>1000</v>
      </c>
      <c r="E51" s="46">
        <f t="shared" si="1"/>
        <v>0</v>
      </c>
      <c r="F51" s="46">
        <f t="shared" si="2"/>
        <v>1000</v>
      </c>
      <c r="G51" s="46">
        <f t="shared" si="3"/>
        <v>377.5</v>
      </c>
      <c r="H51" s="47">
        <f t="shared" si="4"/>
        <v>9.6799999999999994E-3</v>
      </c>
      <c r="I51" s="47">
        <f t="shared" si="5"/>
        <v>0.4</v>
      </c>
      <c r="J51" s="46">
        <f t="shared" si="6"/>
        <v>4280</v>
      </c>
      <c r="K51" s="46">
        <f t="shared" si="7"/>
        <v>1711.0696</v>
      </c>
      <c r="L51" s="48">
        <f t="shared" si="8"/>
        <v>0.39978261682242994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0"/>
        <v>1000</v>
      </c>
      <c r="E52" s="46">
        <f t="shared" si="1"/>
        <v>0</v>
      </c>
      <c r="F52" s="46">
        <f t="shared" si="2"/>
        <v>1000</v>
      </c>
      <c r="G52" s="46">
        <f t="shared" si="3"/>
        <v>377.5</v>
      </c>
      <c r="H52" s="47">
        <f t="shared" si="4"/>
        <v>9.6799999999999994E-3</v>
      </c>
      <c r="I52" s="47">
        <f t="shared" si="5"/>
        <v>0.4</v>
      </c>
      <c r="J52" s="46">
        <f t="shared" si="6"/>
        <v>10970</v>
      </c>
      <c r="K52" s="46">
        <f t="shared" si="7"/>
        <v>4386.3104000000003</v>
      </c>
      <c r="L52" s="48">
        <f t="shared" si="8"/>
        <v>0.39984597994530541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0"/>
        <v>1000</v>
      </c>
      <c r="E53" s="46">
        <f t="shared" si="1"/>
        <v>0</v>
      </c>
      <c r="F53" s="46">
        <f t="shared" si="2"/>
        <v>1000</v>
      </c>
      <c r="G53" s="46">
        <f t="shared" si="3"/>
        <v>377.5</v>
      </c>
      <c r="H53" s="47">
        <f t="shared" si="4"/>
        <v>9.6799999999999994E-3</v>
      </c>
      <c r="I53" s="47">
        <f t="shared" si="5"/>
        <v>0.4</v>
      </c>
      <c r="J53" s="46">
        <f t="shared" si="6"/>
        <v>14530</v>
      </c>
      <c r="K53" s="46">
        <f t="shared" si="7"/>
        <v>5811.8495999999996</v>
      </c>
      <c r="L53" s="48">
        <f t="shared" si="8"/>
        <v>0.39998964900206468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0"/>
        <v>1000</v>
      </c>
      <c r="E54" s="46">
        <f t="shared" si="1"/>
        <v>0</v>
      </c>
      <c r="F54" s="46">
        <f t="shared" si="2"/>
        <v>1000</v>
      </c>
      <c r="G54" s="46">
        <f t="shared" si="3"/>
        <v>377.5</v>
      </c>
      <c r="H54" s="47">
        <f t="shared" si="4"/>
        <v>9.6799999999999994E-3</v>
      </c>
      <c r="I54" s="47">
        <f t="shared" si="5"/>
        <v>0.4</v>
      </c>
      <c r="J54" s="46">
        <f t="shared" si="6"/>
        <v>17410</v>
      </c>
      <c r="K54" s="46">
        <f t="shared" si="7"/>
        <v>6963.9712</v>
      </c>
      <c r="L54" s="48">
        <f t="shared" si="8"/>
        <v>0.39999834577828836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0"/>
        <v>1000</v>
      </c>
      <c r="E55" s="46">
        <f t="shared" si="1"/>
        <v>0</v>
      </c>
      <c r="F55" s="46">
        <f t="shared" si="2"/>
        <v>1000</v>
      </c>
      <c r="G55" s="46">
        <f t="shared" si="3"/>
        <v>377.5</v>
      </c>
      <c r="H55" s="47">
        <f t="shared" si="4"/>
        <v>9.6799999999999994E-3</v>
      </c>
      <c r="I55" s="47">
        <f t="shared" si="5"/>
        <v>0.4</v>
      </c>
      <c r="J55" s="46">
        <f t="shared" si="6"/>
        <v>21810</v>
      </c>
      <c r="K55" s="46">
        <f t="shared" si="7"/>
        <v>8721.3791999999994</v>
      </c>
      <c r="L55" s="48">
        <f t="shared" si="8"/>
        <v>0.39987983493810175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0"/>
        <v>1000</v>
      </c>
      <c r="E56" s="46">
        <f t="shared" si="1"/>
        <v>0</v>
      </c>
      <c r="F56" s="46">
        <f t="shared" si="2"/>
        <v>1000</v>
      </c>
      <c r="G56" s="46">
        <f t="shared" si="3"/>
        <v>377.5</v>
      </c>
      <c r="H56" s="47">
        <f t="shared" si="4"/>
        <v>9.6799999999999994E-3</v>
      </c>
      <c r="I56" s="47">
        <f t="shared" si="5"/>
        <v>0.4</v>
      </c>
      <c r="J56" s="46">
        <f t="shared" si="6"/>
        <v>12840</v>
      </c>
      <c r="K56" s="46">
        <f t="shared" si="7"/>
        <v>5138.2088000000003</v>
      </c>
      <c r="L56" s="48">
        <f t="shared" si="8"/>
        <v>0.4001720249221184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0"/>
        <v>1000</v>
      </c>
      <c r="E57" s="46">
        <f t="shared" si="1"/>
        <v>0</v>
      </c>
      <c r="F57" s="46">
        <f t="shared" si="2"/>
        <v>1000</v>
      </c>
      <c r="G57" s="46">
        <f t="shared" si="3"/>
        <v>377.5</v>
      </c>
      <c r="H57" s="47">
        <f t="shared" si="4"/>
        <v>9.6799999999999994E-3</v>
      </c>
      <c r="I57" s="47">
        <f t="shared" si="5"/>
        <v>0.4</v>
      </c>
      <c r="J57" s="46">
        <f t="shared" si="6"/>
        <v>14360</v>
      </c>
      <c r="K57" s="46">
        <f t="shared" si="7"/>
        <v>5743.4952000000003</v>
      </c>
      <c r="L57" s="48">
        <f t="shared" si="8"/>
        <v>0.39996484679665739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0"/>
        <v>1000</v>
      </c>
      <c r="E58" s="46">
        <f t="shared" si="1"/>
        <v>0</v>
      </c>
      <c r="F58" s="46">
        <f t="shared" si="2"/>
        <v>1000</v>
      </c>
      <c r="G58" s="46">
        <f t="shared" si="3"/>
        <v>377.5</v>
      </c>
      <c r="H58" s="47">
        <f t="shared" si="4"/>
        <v>9.6799999999999994E-3</v>
      </c>
      <c r="I58" s="47">
        <f t="shared" si="5"/>
        <v>0.4</v>
      </c>
      <c r="J58" s="46">
        <f t="shared" si="6"/>
        <v>11650</v>
      </c>
      <c r="K58" s="46">
        <f t="shared" si="7"/>
        <v>4659.7280000000001</v>
      </c>
      <c r="L58" s="48">
        <f t="shared" si="8"/>
        <v>0.39997665236051505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0"/>
        <v>1000</v>
      </c>
      <c r="E59" s="46">
        <f t="shared" si="1"/>
        <v>0</v>
      </c>
      <c r="F59" s="46">
        <f t="shared" si="2"/>
        <v>1000</v>
      </c>
      <c r="G59" s="46">
        <f t="shared" si="3"/>
        <v>377.5</v>
      </c>
      <c r="H59" s="47">
        <f t="shared" si="4"/>
        <v>9.6799999999999994E-3</v>
      </c>
      <c r="I59" s="47">
        <f t="shared" si="5"/>
        <v>0.4</v>
      </c>
      <c r="J59" s="46">
        <f t="shared" si="6"/>
        <v>14190</v>
      </c>
      <c r="K59" s="46">
        <f t="shared" si="7"/>
        <v>5675.1408000000001</v>
      </c>
      <c r="L59" s="48">
        <f t="shared" si="8"/>
        <v>0.39993945031712475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0"/>
        <v>1000</v>
      </c>
      <c r="E60" s="46">
        <f t="shared" si="1"/>
        <v>0</v>
      </c>
      <c r="F60" s="46">
        <f t="shared" si="2"/>
        <v>1000</v>
      </c>
      <c r="G60" s="46">
        <f t="shared" si="3"/>
        <v>377.5</v>
      </c>
      <c r="H60" s="47">
        <f t="shared" si="4"/>
        <v>9.6799999999999994E-3</v>
      </c>
      <c r="I60" s="47">
        <f t="shared" si="5"/>
        <v>0.4</v>
      </c>
      <c r="J60" s="46">
        <f t="shared" si="6"/>
        <v>15890</v>
      </c>
      <c r="K60" s="46">
        <f t="shared" si="7"/>
        <v>6358.6848</v>
      </c>
      <c r="L60" s="48">
        <f t="shared" si="8"/>
        <v>0.40016896161107612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0"/>
        <v>1000</v>
      </c>
      <c r="E61" s="46">
        <f t="shared" si="1"/>
        <v>0</v>
      </c>
      <c r="F61" s="46">
        <f t="shared" si="2"/>
        <v>1000</v>
      </c>
      <c r="G61" s="46">
        <f t="shared" si="3"/>
        <v>377.5</v>
      </c>
      <c r="H61" s="47">
        <f t="shared" si="4"/>
        <v>9.6799999999999994E-3</v>
      </c>
      <c r="I61" s="47">
        <f t="shared" si="5"/>
        <v>0.4</v>
      </c>
      <c r="J61" s="46">
        <f t="shared" si="6"/>
        <v>19100</v>
      </c>
      <c r="K61" s="46">
        <f t="shared" si="7"/>
        <v>7637.6120000000001</v>
      </c>
      <c r="L61" s="48">
        <f t="shared" si="8"/>
        <v>0.39987497382198955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0"/>
        <v>1000</v>
      </c>
      <c r="E62" s="46">
        <f t="shared" si="1"/>
        <v>0</v>
      </c>
      <c r="F62" s="46">
        <f t="shared" si="2"/>
        <v>1000</v>
      </c>
      <c r="G62" s="46">
        <f t="shared" si="3"/>
        <v>377.5</v>
      </c>
      <c r="H62" s="47">
        <f t="shared" si="4"/>
        <v>9.6799999999999994E-3</v>
      </c>
      <c r="I62" s="47">
        <f t="shared" si="5"/>
        <v>0.4</v>
      </c>
      <c r="J62" s="46">
        <f t="shared" si="6"/>
        <v>5380</v>
      </c>
      <c r="K62" s="46">
        <f t="shared" si="7"/>
        <v>2150.4216000000001</v>
      </c>
      <c r="L62" s="48">
        <f t="shared" si="8"/>
        <v>0.39970661710037175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0"/>
        <v>1000</v>
      </c>
      <c r="E63" s="46">
        <f t="shared" si="1"/>
        <v>0</v>
      </c>
      <c r="F63" s="46">
        <f t="shared" si="2"/>
        <v>1000</v>
      </c>
      <c r="G63" s="46">
        <f t="shared" si="3"/>
        <v>377.5</v>
      </c>
      <c r="H63" s="47">
        <f t="shared" si="4"/>
        <v>9.6799999999999994E-3</v>
      </c>
      <c r="I63" s="47">
        <f t="shared" si="5"/>
        <v>0.4</v>
      </c>
      <c r="J63" s="46">
        <f t="shared" si="6"/>
        <v>7250</v>
      </c>
      <c r="K63" s="46">
        <f t="shared" si="7"/>
        <v>2902.32</v>
      </c>
      <c r="L63" s="48">
        <f t="shared" si="8"/>
        <v>0.40032000000000001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0"/>
        <v>1000</v>
      </c>
      <c r="E64" s="46">
        <f t="shared" si="1"/>
        <v>0</v>
      </c>
      <c r="F64" s="46">
        <f t="shared" si="2"/>
        <v>1000</v>
      </c>
      <c r="G64" s="46">
        <f t="shared" si="3"/>
        <v>377.5</v>
      </c>
      <c r="H64" s="47">
        <f t="shared" si="4"/>
        <v>9.6799999999999994E-3</v>
      </c>
      <c r="I64" s="47">
        <f t="shared" si="5"/>
        <v>0.4</v>
      </c>
      <c r="J64" s="46">
        <f t="shared" si="6"/>
        <v>13340</v>
      </c>
      <c r="K64" s="46">
        <f t="shared" si="7"/>
        <v>5333.3688000000002</v>
      </c>
      <c r="L64" s="48">
        <f t="shared" si="8"/>
        <v>0.39980275862068965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0"/>
        <v>1000</v>
      </c>
      <c r="E65" s="46">
        <f t="shared" si="1"/>
        <v>0</v>
      </c>
      <c r="F65" s="46">
        <f t="shared" si="2"/>
        <v>1000</v>
      </c>
      <c r="G65" s="46">
        <f t="shared" si="3"/>
        <v>377.5</v>
      </c>
      <c r="H65" s="47">
        <f t="shared" si="4"/>
        <v>9.6799999999999994E-3</v>
      </c>
      <c r="I65" s="47">
        <f t="shared" si="5"/>
        <v>0.4</v>
      </c>
      <c r="J65" s="46">
        <f t="shared" si="6"/>
        <v>5720</v>
      </c>
      <c r="K65" s="46">
        <f t="shared" si="7"/>
        <v>2287.1304</v>
      </c>
      <c r="L65" s="48">
        <f t="shared" si="8"/>
        <v>0.39984797202797201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0"/>
        <v>1000</v>
      </c>
      <c r="E66" s="46">
        <f t="shared" si="1"/>
        <v>0</v>
      </c>
      <c r="F66" s="46">
        <f t="shared" si="2"/>
        <v>1000</v>
      </c>
      <c r="G66" s="46">
        <f t="shared" si="3"/>
        <v>377.5</v>
      </c>
      <c r="H66" s="47">
        <f t="shared" si="4"/>
        <v>9.6799999999999994E-3</v>
      </c>
      <c r="I66" s="47">
        <f t="shared" si="5"/>
        <v>0.4</v>
      </c>
      <c r="J66" s="46">
        <f t="shared" si="6"/>
        <v>6740</v>
      </c>
      <c r="K66" s="46">
        <f t="shared" si="7"/>
        <v>2697.2568000000001</v>
      </c>
      <c r="L66" s="48">
        <f t="shared" si="8"/>
        <v>0.40018646884273001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0"/>
        <v>1000</v>
      </c>
      <c r="E67" s="46">
        <f t="shared" si="1"/>
        <v>0</v>
      </c>
      <c r="F67" s="46">
        <f t="shared" si="2"/>
        <v>1000</v>
      </c>
      <c r="G67" s="46">
        <f t="shared" si="3"/>
        <v>377.5</v>
      </c>
      <c r="H67" s="47">
        <f t="shared" si="4"/>
        <v>9.6799999999999994E-3</v>
      </c>
      <c r="I67" s="47">
        <f t="shared" si="5"/>
        <v>0.4</v>
      </c>
      <c r="J67" s="46">
        <f t="shared" si="6"/>
        <v>5720</v>
      </c>
      <c r="K67" s="46">
        <f t="shared" si="7"/>
        <v>2287.1304</v>
      </c>
      <c r="L67" s="48">
        <f t="shared" si="8"/>
        <v>0.39984797202797201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0"/>
        <v>1000</v>
      </c>
      <c r="E68" s="46">
        <f t="shared" si="1"/>
        <v>0</v>
      </c>
      <c r="F68" s="46">
        <f t="shared" si="2"/>
        <v>1000</v>
      </c>
      <c r="G68" s="46">
        <f t="shared" si="3"/>
        <v>377.5</v>
      </c>
      <c r="H68" s="47">
        <f t="shared" si="4"/>
        <v>9.6799999999999994E-3</v>
      </c>
      <c r="I68" s="47">
        <f t="shared" si="5"/>
        <v>0.4</v>
      </c>
      <c r="J68" s="46">
        <f t="shared" si="6"/>
        <v>17750</v>
      </c>
      <c r="K68" s="46">
        <f t="shared" si="7"/>
        <v>7100.68</v>
      </c>
      <c r="L68" s="48">
        <f t="shared" si="8"/>
        <v>0.40003830985915495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0"/>
        <v>1000</v>
      </c>
      <c r="E69" s="46">
        <f t="shared" si="1"/>
        <v>0</v>
      </c>
      <c r="F69" s="46">
        <f t="shared" si="2"/>
        <v>1000</v>
      </c>
      <c r="G69" s="46">
        <f t="shared" si="3"/>
        <v>377.5</v>
      </c>
      <c r="H69" s="47">
        <f t="shared" si="4"/>
        <v>9.6799999999999994E-3</v>
      </c>
      <c r="I69" s="47">
        <f t="shared" si="5"/>
        <v>0.4</v>
      </c>
      <c r="J69" s="46">
        <f t="shared" si="6"/>
        <v>7420</v>
      </c>
      <c r="K69" s="46">
        <f t="shared" si="7"/>
        <v>2970.6743999999999</v>
      </c>
      <c r="L69" s="48">
        <f t="shared" si="8"/>
        <v>0.40036043126684634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0"/>
        <v>1000</v>
      </c>
      <c r="E70" s="46">
        <f t="shared" si="1"/>
        <v>0</v>
      </c>
      <c r="F70" s="46">
        <f t="shared" si="2"/>
        <v>1000</v>
      </c>
      <c r="G70" s="46">
        <f t="shared" si="3"/>
        <v>377.5</v>
      </c>
      <c r="H70" s="47">
        <f t="shared" si="4"/>
        <v>9.6799999999999994E-3</v>
      </c>
      <c r="I70" s="47">
        <f t="shared" si="5"/>
        <v>0.4</v>
      </c>
      <c r="J70" s="46">
        <f t="shared" si="6"/>
        <v>7420</v>
      </c>
      <c r="K70" s="46">
        <f t="shared" si="7"/>
        <v>2970.6743999999999</v>
      </c>
      <c r="L70" s="48">
        <f t="shared" si="8"/>
        <v>0.40036043126684634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0"/>
        <v>1000</v>
      </c>
      <c r="E71" s="46">
        <f t="shared" si="1"/>
        <v>0</v>
      </c>
      <c r="F71" s="46">
        <f t="shared" si="2"/>
        <v>1000</v>
      </c>
      <c r="G71" s="46">
        <f t="shared" si="3"/>
        <v>377.5</v>
      </c>
      <c r="H71" s="47">
        <f t="shared" si="4"/>
        <v>9.6799999999999994E-3</v>
      </c>
      <c r="I71" s="47">
        <f t="shared" si="5"/>
        <v>0.4</v>
      </c>
      <c r="J71" s="46">
        <f t="shared" si="6"/>
        <v>9450</v>
      </c>
      <c r="K71" s="46">
        <f t="shared" si="7"/>
        <v>3781.0239999999999</v>
      </c>
      <c r="L71" s="48">
        <f t="shared" si="8"/>
        <v>0.40010835978835979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0"/>
        <v>1000</v>
      </c>
      <c r="E72" s="46">
        <f t="shared" si="1"/>
        <v>0</v>
      </c>
      <c r="F72" s="46">
        <f t="shared" si="2"/>
        <v>1000</v>
      </c>
      <c r="G72" s="46">
        <f t="shared" si="3"/>
        <v>377.5</v>
      </c>
      <c r="H72" s="47">
        <f t="shared" si="4"/>
        <v>9.6799999999999994E-3</v>
      </c>
      <c r="I72" s="47">
        <f t="shared" si="5"/>
        <v>0.4</v>
      </c>
      <c r="J72" s="46">
        <f t="shared" si="6"/>
        <v>7580</v>
      </c>
      <c r="K72" s="46">
        <f t="shared" si="7"/>
        <v>3029.1255999999998</v>
      </c>
      <c r="L72" s="48">
        <f t="shared" si="8"/>
        <v>0.39962079155672819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0"/>
        <v>1000</v>
      </c>
      <c r="E73" s="46">
        <f t="shared" si="1"/>
        <v>0</v>
      </c>
      <c r="F73" s="46">
        <f t="shared" si="2"/>
        <v>1000</v>
      </c>
      <c r="G73" s="46">
        <f t="shared" si="3"/>
        <v>377.5</v>
      </c>
      <c r="H73" s="47">
        <f t="shared" si="4"/>
        <v>9.6799999999999994E-3</v>
      </c>
      <c r="I73" s="47">
        <f t="shared" si="5"/>
        <v>0.4</v>
      </c>
      <c r="J73" s="46">
        <f t="shared" si="6"/>
        <v>9110</v>
      </c>
      <c r="K73" s="46">
        <f t="shared" si="7"/>
        <v>3644.3152</v>
      </c>
      <c r="L73" s="48">
        <f t="shared" si="8"/>
        <v>0.40003459934138308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0"/>
        <v>1000</v>
      </c>
      <c r="E74" s="46">
        <f t="shared" si="1"/>
        <v>0</v>
      </c>
      <c r="F74" s="46">
        <f t="shared" si="2"/>
        <v>1000</v>
      </c>
      <c r="G74" s="46">
        <f t="shared" si="3"/>
        <v>377.5</v>
      </c>
      <c r="H74" s="47">
        <f t="shared" si="4"/>
        <v>9.6799999999999994E-3</v>
      </c>
      <c r="I74" s="47">
        <f t="shared" si="5"/>
        <v>0.4</v>
      </c>
      <c r="J74" s="46">
        <f t="shared" si="6"/>
        <v>5720</v>
      </c>
      <c r="K74" s="46">
        <f t="shared" si="7"/>
        <v>2287.1304</v>
      </c>
      <c r="L74" s="48">
        <f t="shared" si="8"/>
        <v>0.39984797202797201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0"/>
        <v>1000</v>
      </c>
      <c r="E75" s="46">
        <f t="shared" si="1"/>
        <v>0</v>
      </c>
      <c r="F75" s="46">
        <f t="shared" si="2"/>
        <v>1000</v>
      </c>
      <c r="G75" s="46">
        <f t="shared" si="3"/>
        <v>377.5</v>
      </c>
      <c r="H75" s="47">
        <f t="shared" si="4"/>
        <v>9.6799999999999994E-3</v>
      </c>
      <c r="I75" s="47">
        <f t="shared" si="5"/>
        <v>0.4</v>
      </c>
      <c r="J75" s="46">
        <f t="shared" si="6"/>
        <v>15040</v>
      </c>
      <c r="K75" s="46">
        <f t="shared" si="7"/>
        <v>6016.9128000000001</v>
      </c>
      <c r="L75" s="48">
        <f t="shared" si="8"/>
        <v>0.40006069148936169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0"/>
        <v>1000</v>
      </c>
      <c r="E76" s="46">
        <f t="shared" si="1"/>
        <v>0</v>
      </c>
      <c r="F76" s="46">
        <f t="shared" si="2"/>
        <v>1000</v>
      </c>
      <c r="G76" s="46">
        <f t="shared" si="3"/>
        <v>377.5</v>
      </c>
      <c r="H76" s="47">
        <f t="shared" si="4"/>
        <v>9.6799999999999994E-3</v>
      </c>
      <c r="I76" s="47">
        <f t="shared" si="5"/>
        <v>0.4</v>
      </c>
      <c r="J76" s="46">
        <f t="shared" si="6"/>
        <v>11990</v>
      </c>
      <c r="K76" s="46">
        <f t="shared" si="7"/>
        <v>4796.4368000000004</v>
      </c>
      <c r="L76" s="48">
        <f t="shared" si="8"/>
        <v>0.40003643035863223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0"/>
        <v>1000</v>
      </c>
      <c r="E77" s="46">
        <f t="shared" si="1"/>
        <v>0</v>
      </c>
      <c r="F77" s="46">
        <f t="shared" si="2"/>
        <v>1000</v>
      </c>
      <c r="G77" s="46">
        <f t="shared" si="3"/>
        <v>377.5</v>
      </c>
      <c r="H77" s="47">
        <f t="shared" si="4"/>
        <v>9.6799999999999994E-3</v>
      </c>
      <c r="I77" s="47">
        <f t="shared" si="5"/>
        <v>0.4</v>
      </c>
      <c r="J77" s="46">
        <f t="shared" si="6"/>
        <v>10800</v>
      </c>
      <c r="K77" s="46">
        <f t="shared" si="7"/>
        <v>4317.9560000000001</v>
      </c>
      <c r="L77" s="48">
        <f t="shared" si="8"/>
        <v>0.39981074074074074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0"/>
        <v>1000</v>
      </c>
      <c r="E78" s="46">
        <f t="shared" si="1"/>
        <v>0</v>
      </c>
      <c r="F78" s="46">
        <f t="shared" si="2"/>
        <v>1000</v>
      </c>
      <c r="G78" s="46">
        <f t="shared" si="3"/>
        <v>377.5</v>
      </c>
      <c r="H78" s="47">
        <f t="shared" si="4"/>
        <v>9.6799999999999994E-3</v>
      </c>
      <c r="I78" s="47">
        <f t="shared" si="5"/>
        <v>0.4</v>
      </c>
      <c r="J78" s="46">
        <f t="shared" si="6"/>
        <v>5040</v>
      </c>
      <c r="K78" s="46">
        <f t="shared" si="7"/>
        <v>2013.7128</v>
      </c>
      <c r="L78" s="48">
        <f t="shared" si="8"/>
        <v>0.3995461904761905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2" si="9">IF(A79="","",$B$7/$B$6)</f>
        <v>1000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1000</v>
      </c>
      <c r="G79" s="46">
        <f t="shared" ref="G79:G142" si="12">IF(A79="","",($B$8-$B$9)/$B$6)</f>
        <v>377.5</v>
      </c>
      <c r="H79" s="47">
        <f t="shared" ref="H79:H142" si="13">IF(A79="","",$B$10)</f>
        <v>9.6799999999999994E-3</v>
      </c>
      <c r="I79" s="47">
        <f t="shared" ref="I79:I142" si="14">IF(A79="","",$B$5)</f>
        <v>0.4</v>
      </c>
      <c r="J79" s="46">
        <f t="shared" ref="J79:J142" si="15">IF(OR(A79="",B79=""),"",ROUND((B79+E79+F79+G79)/(1-H79-I79),-1))</f>
        <v>9790</v>
      </c>
      <c r="K79" s="46">
        <f t="shared" ref="K79:K142" si="16">IF(J79="","",J79-B79-E79-F79-G79-(J79*H79))</f>
        <v>3917.7328000000002</v>
      </c>
      <c r="L79" s="48">
        <f t="shared" ref="L79:L142" si="17">IF(J79="","",K79/J79)</f>
        <v>0.40017699693564862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1000</v>
      </c>
      <c r="E80" s="46">
        <f t="shared" si="10"/>
        <v>0</v>
      </c>
      <c r="F80" s="46">
        <f t="shared" si="11"/>
        <v>1000</v>
      </c>
      <c r="G80" s="46">
        <f t="shared" si="12"/>
        <v>377.5</v>
      </c>
      <c r="H80" s="47">
        <f t="shared" si="13"/>
        <v>9.6799999999999994E-3</v>
      </c>
      <c r="I80" s="47">
        <f t="shared" si="14"/>
        <v>0.4</v>
      </c>
      <c r="J80" s="46">
        <f t="shared" si="15"/>
        <v>9620</v>
      </c>
      <c r="K80" s="46">
        <f t="shared" si="16"/>
        <v>3849.3784000000001</v>
      </c>
      <c r="L80" s="48">
        <f t="shared" si="17"/>
        <v>0.40014328482328482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1000</v>
      </c>
      <c r="E81" s="46">
        <f t="shared" si="10"/>
        <v>0</v>
      </c>
      <c r="F81" s="46">
        <f t="shared" si="11"/>
        <v>1000</v>
      </c>
      <c r="G81" s="46">
        <f t="shared" si="12"/>
        <v>377.5</v>
      </c>
      <c r="H81" s="47">
        <f t="shared" si="13"/>
        <v>9.6799999999999994E-3</v>
      </c>
      <c r="I81" s="47">
        <f t="shared" si="14"/>
        <v>0.4</v>
      </c>
      <c r="J81" s="46">
        <f t="shared" si="15"/>
        <v>6060</v>
      </c>
      <c r="K81" s="46">
        <f t="shared" si="16"/>
        <v>2423.8391999999999</v>
      </c>
      <c r="L81" s="48">
        <f t="shared" si="17"/>
        <v>0.39997346534653466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1000</v>
      </c>
      <c r="E82" s="46">
        <f t="shared" si="10"/>
        <v>0</v>
      </c>
      <c r="F82" s="46">
        <f t="shared" si="11"/>
        <v>1000</v>
      </c>
      <c r="G82" s="46">
        <f t="shared" si="12"/>
        <v>377.5</v>
      </c>
      <c r="H82" s="47">
        <f t="shared" si="13"/>
        <v>9.6799999999999994E-3</v>
      </c>
      <c r="I82" s="47">
        <f t="shared" si="14"/>
        <v>0.4</v>
      </c>
      <c r="J82" s="46">
        <f t="shared" si="15"/>
        <v>5550</v>
      </c>
      <c r="K82" s="46">
        <f t="shared" si="16"/>
        <v>2218.7759999999998</v>
      </c>
      <c r="L82" s="48">
        <f t="shared" si="17"/>
        <v>0.39977945945945942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1000</v>
      </c>
      <c r="E83" s="46">
        <f t="shared" si="10"/>
        <v>0</v>
      </c>
      <c r="F83" s="46">
        <f t="shared" si="11"/>
        <v>1000</v>
      </c>
      <c r="G83" s="46">
        <f t="shared" si="12"/>
        <v>377.5</v>
      </c>
      <c r="H83" s="47">
        <f t="shared" si="13"/>
        <v>9.6799999999999994E-3</v>
      </c>
      <c r="I83" s="47">
        <f t="shared" si="14"/>
        <v>0.4</v>
      </c>
      <c r="J83" s="46">
        <f t="shared" si="15"/>
        <v>9960</v>
      </c>
      <c r="K83" s="46">
        <f t="shared" si="16"/>
        <v>3986.0871999999999</v>
      </c>
      <c r="L83" s="48">
        <f t="shared" si="17"/>
        <v>0.40020955823293169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1000</v>
      </c>
      <c r="E84" s="46">
        <f t="shared" si="10"/>
        <v>0</v>
      </c>
      <c r="F84" s="46">
        <f t="shared" si="11"/>
        <v>1000</v>
      </c>
      <c r="G84" s="46">
        <f t="shared" si="12"/>
        <v>377.5</v>
      </c>
      <c r="H84" s="47">
        <f t="shared" si="13"/>
        <v>9.6799999999999994E-3</v>
      </c>
      <c r="I84" s="47">
        <f t="shared" si="14"/>
        <v>0.4</v>
      </c>
      <c r="J84" s="46">
        <f t="shared" si="15"/>
        <v>6910</v>
      </c>
      <c r="K84" s="46">
        <f t="shared" si="16"/>
        <v>2765.6111999999998</v>
      </c>
      <c r="L84" s="48">
        <f t="shared" si="17"/>
        <v>0.40023316931982633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1000</v>
      </c>
      <c r="E85" s="46">
        <f t="shared" si="10"/>
        <v>0</v>
      </c>
      <c r="F85" s="46">
        <f t="shared" si="11"/>
        <v>1000</v>
      </c>
      <c r="G85" s="46">
        <f t="shared" si="12"/>
        <v>377.5</v>
      </c>
      <c r="H85" s="47">
        <f t="shared" si="13"/>
        <v>9.6799999999999994E-3</v>
      </c>
      <c r="I85" s="47">
        <f t="shared" si="14"/>
        <v>0.4</v>
      </c>
      <c r="J85" s="46">
        <f t="shared" si="15"/>
        <v>6740</v>
      </c>
      <c r="K85" s="46">
        <f t="shared" si="16"/>
        <v>2697.2568000000001</v>
      </c>
      <c r="L85" s="48">
        <f t="shared" si="17"/>
        <v>0.40018646884273001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1000</v>
      </c>
      <c r="E86" s="46">
        <f t="shared" si="10"/>
        <v>0</v>
      </c>
      <c r="F86" s="46">
        <f t="shared" si="11"/>
        <v>1000</v>
      </c>
      <c r="G86" s="46">
        <f t="shared" si="12"/>
        <v>377.5</v>
      </c>
      <c r="H86" s="47">
        <f t="shared" si="13"/>
        <v>9.6799999999999994E-3</v>
      </c>
      <c r="I86" s="47">
        <f t="shared" si="14"/>
        <v>0.4</v>
      </c>
      <c r="J86" s="46">
        <f t="shared" si="15"/>
        <v>8600</v>
      </c>
      <c r="K86" s="46">
        <f t="shared" si="16"/>
        <v>3439.252</v>
      </c>
      <c r="L86" s="48">
        <f t="shared" si="17"/>
        <v>0.39991302325581396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1000</v>
      </c>
      <c r="E87" s="46">
        <f t="shared" si="10"/>
        <v>0</v>
      </c>
      <c r="F87" s="46">
        <f t="shared" si="11"/>
        <v>1000</v>
      </c>
      <c r="G87" s="46">
        <f t="shared" si="12"/>
        <v>377.5</v>
      </c>
      <c r="H87" s="47">
        <f t="shared" si="13"/>
        <v>9.6799999999999994E-3</v>
      </c>
      <c r="I87" s="47">
        <f t="shared" si="14"/>
        <v>0.4</v>
      </c>
      <c r="J87" s="46">
        <f t="shared" si="15"/>
        <v>9110</v>
      </c>
      <c r="K87" s="46">
        <f t="shared" si="16"/>
        <v>3644.3152</v>
      </c>
      <c r="L87" s="48">
        <f t="shared" si="17"/>
        <v>0.40003459934138308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1000</v>
      </c>
      <c r="E88" s="46">
        <f t="shared" si="10"/>
        <v>0</v>
      </c>
      <c r="F88" s="46">
        <f t="shared" si="11"/>
        <v>1000</v>
      </c>
      <c r="G88" s="46">
        <f t="shared" si="12"/>
        <v>377.5</v>
      </c>
      <c r="H88" s="47">
        <f t="shared" si="13"/>
        <v>9.6799999999999994E-3</v>
      </c>
      <c r="I88" s="47">
        <f t="shared" si="14"/>
        <v>0.4</v>
      </c>
      <c r="J88" s="46">
        <f t="shared" si="15"/>
        <v>10630</v>
      </c>
      <c r="K88" s="46">
        <f t="shared" si="16"/>
        <v>4249.6016</v>
      </c>
      <c r="L88" s="48">
        <f t="shared" si="17"/>
        <v>0.39977437441204139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1000</v>
      </c>
      <c r="E89" s="46">
        <f t="shared" si="10"/>
        <v>0</v>
      </c>
      <c r="F89" s="46">
        <f t="shared" si="11"/>
        <v>1000</v>
      </c>
      <c r="G89" s="46">
        <f t="shared" si="12"/>
        <v>377.5</v>
      </c>
      <c r="H89" s="47">
        <f t="shared" si="13"/>
        <v>9.6799999999999994E-3</v>
      </c>
      <c r="I89" s="47">
        <f t="shared" si="14"/>
        <v>0.4</v>
      </c>
      <c r="J89" s="46">
        <f t="shared" si="15"/>
        <v>6060</v>
      </c>
      <c r="K89" s="46">
        <f t="shared" si="16"/>
        <v>2423.8391999999999</v>
      </c>
      <c r="L89" s="48">
        <f t="shared" si="17"/>
        <v>0.39997346534653466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1000</v>
      </c>
      <c r="E90" s="46">
        <f t="shared" si="10"/>
        <v>0</v>
      </c>
      <c r="F90" s="46">
        <f t="shared" si="11"/>
        <v>1000</v>
      </c>
      <c r="G90" s="46">
        <f t="shared" si="12"/>
        <v>377.5</v>
      </c>
      <c r="H90" s="47">
        <f t="shared" si="13"/>
        <v>9.6799999999999994E-3</v>
      </c>
      <c r="I90" s="47">
        <f t="shared" si="14"/>
        <v>0.4</v>
      </c>
      <c r="J90" s="46">
        <f t="shared" si="15"/>
        <v>5550</v>
      </c>
      <c r="K90" s="46">
        <f t="shared" si="16"/>
        <v>2218.7759999999998</v>
      </c>
      <c r="L90" s="48">
        <f t="shared" si="17"/>
        <v>0.39977945945945942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1000</v>
      </c>
      <c r="E91" s="46">
        <f t="shared" si="10"/>
        <v>0</v>
      </c>
      <c r="F91" s="46">
        <f t="shared" si="11"/>
        <v>1000</v>
      </c>
      <c r="G91" s="46">
        <f t="shared" si="12"/>
        <v>377.5</v>
      </c>
      <c r="H91" s="47">
        <f t="shared" si="13"/>
        <v>9.6799999999999994E-3</v>
      </c>
      <c r="I91" s="47">
        <f t="shared" si="14"/>
        <v>0.4</v>
      </c>
      <c r="J91" s="46">
        <f t="shared" si="15"/>
        <v>3690</v>
      </c>
      <c r="K91" s="46">
        <f t="shared" si="16"/>
        <v>1476.7808</v>
      </c>
      <c r="L91" s="48">
        <f t="shared" si="17"/>
        <v>0.40021159891598918</v>
      </c>
    </row>
    <row r="92" spans="1:12">
      <c r="A92" s="43" t="s">
        <v>442</v>
      </c>
      <c r="B92" s="44">
        <v>5000</v>
      </c>
      <c r="C92" s="45" t="s">
        <v>1737</v>
      </c>
      <c r="D92" s="44">
        <f t="shared" si="9"/>
        <v>1000</v>
      </c>
      <c r="E92" s="46">
        <f t="shared" si="10"/>
        <v>1000</v>
      </c>
      <c r="F92" s="46">
        <f t="shared" si="11"/>
        <v>1000</v>
      </c>
      <c r="G92" s="46">
        <f t="shared" si="12"/>
        <v>377.5</v>
      </c>
      <c r="H92" s="47">
        <f t="shared" si="13"/>
        <v>9.6799999999999994E-3</v>
      </c>
      <c r="I92" s="47">
        <f t="shared" si="14"/>
        <v>0.4</v>
      </c>
      <c r="J92" s="46">
        <f t="shared" si="15"/>
        <v>12500</v>
      </c>
      <c r="K92" s="46">
        <f t="shared" si="16"/>
        <v>5001.5</v>
      </c>
      <c r="L92" s="48">
        <f t="shared" si="17"/>
        <v>0.40011999999999998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1000</v>
      </c>
      <c r="E93" s="46">
        <f t="shared" si="10"/>
        <v>0</v>
      </c>
      <c r="F93" s="46">
        <f t="shared" si="11"/>
        <v>1000</v>
      </c>
      <c r="G93" s="46">
        <f t="shared" si="12"/>
        <v>377.5</v>
      </c>
      <c r="H93" s="47">
        <f t="shared" si="13"/>
        <v>9.6799999999999994E-3</v>
      </c>
      <c r="I93" s="47">
        <f t="shared" si="14"/>
        <v>0.4</v>
      </c>
      <c r="J93" s="46">
        <f t="shared" si="15"/>
        <v>9280</v>
      </c>
      <c r="K93" s="46">
        <f t="shared" si="16"/>
        <v>3712.6696000000002</v>
      </c>
      <c r="L93" s="48">
        <f t="shared" si="17"/>
        <v>0.40007215517241379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1000</v>
      </c>
      <c r="E94" s="46">
        <f t="shared" si="10"/>
        <v>0</v>
      </c>
      <c r="F94" s="46">
        <f t="shared" si="11"/>
        <v>1000</v>
      </c>
      <c r="G94" s="46">
        <f t="shared" si="12"/>
        <v>377.5</v>
      </c>
      <c r="H94" s="47">
        <f t="shared" si="13"/>
        <v>9.6799999999999994E-3</v>
      </c>
      <c r="I94" s="47">
        <f t="shared" si="14"/>
        <v>0.4</v>
      </c>
      <c r="J94" s="46">
        <f t="shared" si="15"/>
        <v>9280</v>
      </c>
      <c r="K94" s="46">
        <f t="shared" si="16"/>
        <v>3712.6696000000002</v>
      </c>
      <c r="L94" s="48">
        <f t="shared" si="17"/>
        <v>0.40007215517241379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1000</v>
      </c>
      <c r="E95" s="46">
        <f t="shared" si="10"/>
        <v>0</v>
      </c>
      <c r="F95" s="46">
        <f t="shared" si="11"/>
        <v>1000</v>
      </c>
      <c r="G95" s="46">
        <f t="shared" si="12"/>
        <v>377.5</v>
      </c>
      <c r="H95" s="47">
        <f t="shared" si="13"/>
        <v>9.6799999999999994E-3</v>
      </c>
      <c r="I95" s="47">
        <f t="shared" si="14"/>
        <v>0.4</v>
      </c>
      <c r="J95" s="46">
        <f t="shared" si="15"/>
        <v>9280</v>
      </c>
      <c r="K95" s="46">
        <f t="shared" si="16"/>
        <v>3712.6696000000002</v>
      </c>
      <c r="L95" s="48">
        <f t="shared" si="17"/>
        <v>0.40007215517241379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1000</v>
      </c>
      <c r="E96" s="46">
        <f t="shared" si="10"/>
        <v>0</v>
      </c>
      <c r="F96" s="46">
        <f t="shared" si="11"/>
        <v>1000</v>
      </c>
      <c r="G96" s="46">
        <f t="shared" si="12"/>
        <v>377.5</v>
      </c>
      <c r="H96" s="47">
        <f t="shared" si="13"/>
        <v>9.6799999999999994E-3</v>
      </c>
      <c r="I96" s="47">
        <f t="shared" si="14"/>
        <v>0.4</v>
      </c>
      <c r="J96" s="46">
        <f t="shared" si="15"/>
        <v>9280</v>
      </c>
      <c r="K96" s="46">
        <f t="shared" si="16"/>
        <v>3712.6696000000002</v>
      </c>
      <c r="L96" s="48">
        <f t="shared" si="17"/>
        <v>0.40007215517241379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1000</v>
      </c>
      <c r="E97" s="46">
        <f t="shared" si="10"/>
        <v>0</v>
      </c>
      <c r="F97" s="46">
        <f t="shared" si="11"/>
        <v>1000</v>
      </c>
      <c r="G97" s="46">
        <f t="shared" si="12"/>
        <v>377.5</v>
      </c>
      <c r="H97" s="47">
        <f t="shared" si="13"/>
        <v>9.6799999999999994E-3</v>
      </c>
      <c r="I97" s="47">
        <f t="shared" si="14"/>
        <v>0.4</v>
      </c>
      <c r="J97" s="46">
        <f t="shared" si="15"/>
        <v>9280</v>
      </c>
      <c r="K97" s="46">
        <f t="shared" si="16"/>
        <v>3712.6696000000002</v>
      </c>
      <c r="L97" s="48">
        <f t="shared" si="17"/>
        <v>0.40007215517241379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1000</v>
      </c>
      <c r="E98" s="46">
        <f t="shared" si="10"/>
        <v>0</v>
      </c>
      <c r="F98" s="46">
        <f t="shared" si="11"/>
        <v>1000</v>
      </c>
      <c r="G98" s="46">
        <f t="shared" si="12"/>
        <v>377.5</v>
      </c>
      <c r="H98" s="47">
        <f t="shared" si="13"/>
        <v>9.6799999999999994E-3</v>
      </c>
      <c r="I98" s="47">
        <f t="shared" si="14"/>
        <v>0.4</v>
      </c>
      <c r="J98" s="46">
        <f t="shared" si="15"/>
        <v>9280</v>
      </c>
      <c r="K98" s="46">
        <f t="shared" si="16"/>
        <v>3712.6696000000002</v>
      </c>
      <c r="L98" s="48">
        <f t="shared" si="17"/>
        <v>0.40007215517241379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1000</v>
      </c>
      <c r="E99" s="46">
        <f t="shared" si="10"/>
        <v>0</v>
      </c>
      <c r="F99" s="46">
        <f t="shared" si="11"/>
        <v>1000</v>
      </c>
      <c r="G99" s="46">
        <f t="shared" si="12"/>
        <v>377.5</v>
      </c>
      <c r="H99" s="47">
        <f t="shared" si="13"/>
        <v>9.6799999999999994E-3</v>
      </c>
      <c r="I99" s="47">
        <f t="shared" si="14"/>
        <v>0.4</v>
      </c>
      <c r="J99" s="46">
        <f t="shared" si="15"/>
        <v>9280</v>
      </c>
      <c r="K99" s="46">
        <f t="shared" si="16"/>
        <v>3712.6696000000002</v>
      </c>
      <c r="L99" s="48">
        <f t="shared" si="17"/>
        <v>0.40007215517241379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1000</v>
      </c>
      <c r="E100" s="46">
        <f t="shared" si="10"/>
        <v>0</v>
      </c>
      <c r="F100" s="46">
        <f t="shared" si="11"/>
        <v>1000</v>
      </c>
      <c r="G100" s="46">
        <f t="shared" si="12"/>
        <v>377.5</v>
      </c>
      <c r="H100" s="47">
        <f t="shared" si="13"/>
        <v>9.6799999999999994E-3</v>
      </c>
      <c r="I100" s="47">
        <f t="shared" si="14"/>
        <v>0.4</v>
      </c>
      <c r="J100" s="46">
        <f t="shared" si="15"/>
        <v>9280</v>
      </c>
      <c r="K100" s="46">
        <f t="shared" si="16"/>
        <v>3712.6696000000002</v>
      </c>
      <c r="L100" s="48">
        <f t="shared" si="17"/>
        <v>0.40007215517241379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1000</v>
      </c>
      <c r="E101" s="46">
        <f t="shared" si="10"/>
        <v>0</v>
      </c>
      <c r="F101" s="46">
        <f t="shared" si="11"/>
        <v>1000</v>
      </c>
      <c r="G101" s="46">
        <f t="shared" si="12"/>
        <v>377.5</v>
      </c>
      <c r="H101" s="47">
        <f t="shared" si="13"/>
        <v>9.6799999999999994E-3</v>
      </c>
      <c r="I101" s="47">
        <f t="shared" si="14"/>
        <v>0.4</v>
      </c>
      <c r="J101" s="46">
        <f t="shared" si="15"/>
        <v>9280</v>
      </c>
      <c r="K101" s="46">
        <f t="shared" si="16"/>
        <v>3712.6696000000002</v>
      </c>
      <c r="L101" s="48">
        <f t="shared" si="17"/>
        <v>0.40007215517241379</v>
      </c>
    </row>
    <row r="102" spans="1:12">
      <c r="A102" s="43" t="s">
        <v>497</v>
      </c>
      <c r="B102" s="44">
        <v>3000</v>
      </c>
      <c r="C102" s="45" t="s">
        <v>1737</v>
      </c>
      <c r="D102" s="44">
        <f t="shared" si="9"/>
        <v>1000</v>
      </c>
      <c r="E102" s="46">
        <f t="shared" si="10"/>
        <v>1000</v>
      </c>
      <c r="F102" s="46">
        <f t="shared" si="11"/>
        <v>1000</v>
      </c>
      <c r="G102" s="46">
        <f t="shared" si="12"/>
        <v>377.5</v>
      </c>
      <c r="H102" s="47">
        <f t="shared" si="13"/>
        <v>9.6799999999999994E-3</v>
      </c>
      <c r="I102" s="47">
        <f t="shared" si="14"/>
        <v>0.4</v>
      </c>
      <c r="J102" s="46">
        <f t="shared" si="15"/>
        <v>9110</v>
      </c>
      <c r="K102" s="46">
        <f t="shared" si="16"/>
        <v>3644.3152</v>
      </c>
      <c r="L102" s="48">
        <f t="shared" si="17"/>
        <v>0.40003459934138308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1000</v>
      </c>
      <c r="E103" s="46">
        <f t="shared" si="10"/>
        <v>0</v>
      </c>
      <c r="F103" s="46">
        <f t="shared" si="11"/>
        <v>1000</v>
      </c>
      <c r="G103" s="46">
        <f t="shared" si="12"/>
        <v>377.5</v>
      </c>
      <c r="H103" s="47">
        <f t="shared" si="13"/>
        <v>9.6799999999999994E-3</v>
      </c>
      <c r="I103" s="47">
        <f t="shared" si="14"/>
        <v>0.4</v>
      </c>
      <c r="J103" s="46">
        <f t="shared" si="15"/>
        <v>9620</v>
      </c>
      <c r="K103" s="46">
        <f t="shared" si="16"/>
        <v>3849.3784000000001</v>
      </c>
      <c r="L103" s="48">
        <f t="shared" si="17"/>
        <v>0.40014328482328482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1000</v>
      </c>
      <c r="E104" s="46">
        <f t="shared" si="10"/>
        <v>0</v>
      </c>
      <c r="F104" s="46">
        <f t="shared" si="11"/>
        <v>1000</v>
      </c>
      <c r="G104" s="46">
        <f t="shared" si="12"/>
        <v>377.5</v>
      </c>
      <c r="H104" s="47">
        <f t="shared" si="13"/>
        <v>9.6799999999999994E-3</v>
      </c>
      <c r="I104" s="47">
        <f t="shared" si="14"/>
        <v>0.4</v>
      </c>
      <c r="J104" s="46">
        <f t="shared" si="15"/>
        <v>13340</v>
      </c>
      <c r="K104" s="46">
        <f t="shared" si="16"/>
        <v>5333.3688000000002</v>
      </c>
      <c r="L104" s="48">
        <f t="shared" si="17"/>
        <v>0.39980275862068965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1000</v>
      </c>
      <c r="E105" s="46">
        <f t="shared" si="10"/>
        <v>0</v>
      </c>
      <c r="F105" s="46">
        <f t="shared" si="11"/>
        <v>1000</v>
      </c>
      <c r="G105" s="46">
        <f t="shared" si="12"/>
        <v>377.5</v>
      </c>
      <c r="H105" s="47">
        <f t="shared" si="13"/>
        <v>9.6799999999999994E-3</v>
      </c>
      <c r="I105" s="47">
        <f t="shared" si="14"/>
        <v>0.4</v>
      </c>
      <c r="J105" s="46">
        <f t="shared" si="15"/>
        <v>13340</v>
      </c>
      <c r="K105" s="46">
        <f t="shared" si="16"/>
        <v>5333.3688000000002</v>
      </c>
      <c r="L105" s="48">
        <f t="shared" si="17"/>
        <v>0.39980275862068965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1000</v>
      </c>
      <c r="E106" s="46">
        <f t="shared" si="10"/>
        <v>0</v>
      </c>
      <c r="F106" s="46">
        <f t="shared" si="11"/>
        <v>1000</v>
      </c>
      <c r="G106" s="46">
        <f t="shared" si="12"/>
        <v>377.5</v>
      </c>
      <c r="H106" s="47">
        <f t="shared" si="13"/>
        <v>9.6799999999999994E-3</v>
      </c>
      <c r="I106" s="47">
        <f t="shared" si="14"/>
        <v>0.4</v>
      </c>
      <c r="J106" s="46">
        <f t="shared" si="15"/>
        <v>13340</v>
      </c>
      <c r="K106" s="46">
        <f t="shared" si="16"/>
        <v>5333.3688000000002</v>
      </c>
      <c r="L106" s="48">
        <f t="shared" si="17"/>
        <v>0.39980275862068965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1000</v>
      </c>
      <c r="E107" s="46">
        <f t="shared" si="10"/>
        <v>0</v>
      </c>
      <c r="F107" s="46">
        <f t="shared" si="11"/>
        <v>1000</v>
      </c>
      <c r="G107" s="46">
        <f t="shared" si="12"/>
        <v>377.5</v>
      </c>
      <c r="H107" s="47">
        <f t="shared" si="13"/>
        <v>9.6799999999999994E-3</v>
      </c>
      <c r="I107" s="47">
        <f t="shared" si="14"/>
        <v>0.4</v>
      </c>
      <c r="J107" s="46">
        <f t="shared" si="15"/>
        <v>13340</v>
      </c>
      <c r="K107" s="46">
        <f t="shared" si="16"/>
        <v>5333.3688000000002</v>
      </c>
      <c r="L107" s="48">
        <f t="shared" si="17"/>
        <v>0.39980275862068965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1000</v>
      </c>
      <c r="E108" s="46">
        <f t="shared" si="10"/>
        <v>0</v>
      </c>
      <c r="F108" s="46">
        <f t="shared" si="11"/>
        <v>1000</v>
      </c>
      <c r="G108" s="46">
        <f t="shared" si="12"/>
        <v>377.5</v>
      </c>
      <c r="H108" s="47">
        <f t="shared" si="13"/>
        <v>9.6799999999999994E-3</v>
      </c>
      <c r="I108" s="47">
        <f t="shared" si="14"/>
        <v>0.4</v>
      </c>
      <c r="J108" s="46">
        <f t="shared" si="15"/>
        <v>13340</v>
      </c>
      <c r="K108" s="46">
        <f t="shared" si="16"/>
        <v>5333.3688000000002</v>
      </c>
      <c r="L108" s="48">
        <f t="shared" si="17"/>
        <v>0.39980275862068965</v>
      </c>
    </row>
    <row r="109" spans="1:12">
      <c r="A109" s="43" t="s">
        <v>535</v>
      </c>
      <c r="B109" s="44">
        <v>2500</v>
      </c>
      <c r="C109" s="45" t="s">
        <v>1737</v>
      </c>
      <c r="D109" s="44">
        <f t="shared" si="9"/>
        <v>1000</v>
      </c>
      <c r="E109" s="46">
        <f t="shared" si="10"/>
        <v>1000</v>
      </c>
      <c r="F109" s="46">
        <f t="shared" si="11"/>
        <v>1000</v>
      </c>
      <c r="G109" s="46">
        <f t="shared" si="12"/>
        <v>377.5</v>
      </c>
      <c r="H109" s="47">
        <f t="shared" si="13"/>
        <v>9.6799999999999994E-3</v>
      </c>
      <c r="I109" s="47">
        <f t="shared" si="14"/>
        <v>0.4</v>
      </c>
      <c r="J109" s="46">
        <f t="shared" si="15"/>
        <v>8260</v>
      </c>
      <c r="K109" s="46">
        <f t="shared" si="16"/>
        <v>3302.5432000000001</v>
      </c>
      <c r="L109" s="48">
        <f t="shared" si="17"/>
        <v>0.39982363196125908</v>
      </c>
    </row>
    <row r="110" spans="1:12">
      <c r="A110" s="43" t="s">
        <v>541</v>
      </c>
      <c r="B110" s="44">
        <v>3400</v>
      </c>
      <c r="C110" s="45" t="s">
        <v>1737</v>
      </c>
      <c r="D110" s="44">
        <f t="shared" si="9"/>
        <v>1000</v>
      </c>
      <c r="E110" s="46">
        <f t="shared" si="10"/>
        <v>1000</v>
      </c>
      <c r="F110" s="46">
        <f t="shared" si="11"/>
        <v>1000</v>
      </c>
      <c r="G110" s="46">
        <f t="shared" si="12"/>
        <v>377.5</v>
      </c>
      <c r="H110" s="47">
        <f t="shared" si="13"/>
        <v>9.6799999999999994E-3</v>
      </c>
      <c r="I110" s="47">
        <f t="shared" si="14"/>
        <v>0.4</v>
      </c>
      <c r="J110" s="46">
        <f t="shared" si="15"/>
        <v>9790</v>
      </c>
      <c r="K110" s="46">
        <f t="shared" si="16"/>
        <v>3917.7328000000002</v>
      </c>
      <c r="L110" s="48">
        <f t="shared" si="17"/>
        <v>0.40017699693564862</v>
      </c>
    </row>
    <row r="111" spans="1:12">
      <c r="A111" s="43" t="s">
        <v>547</v>
      </c>
      <c r="B111" s="44">
        <v>4300</v>
      </c>
      <c r="C111" s="45" t="s">
        <v>1737</v>
      </c>
      <c r="D111" s="44">
        <f t="shared" si="9"/>
        <v>1000</v>
      </c>
      <c r="E111" s="46">
        <f t="shared" si="10"/>
        <v>1000</v>
      </c>
      <c r="F111" s="46">
        <f t="shared" si="11"/>
        <v>1000</v>
      </c>
      <c r="G111" s="46">
        <f t="shared" si="12"/>
        <v>377.5</v>
      </c>
      <c r="H111" s="47">
        <f t="shared" si="13"/>
        <v>9.6799999999999994E-3</v>
      </c>
      <c r="I111" s="47">
        <f t="shared" si="14"/>
        <v>0.4</v>
      </c>
      <c r="J111" s="46">
        <f t="shared" si="15"/>
        <v>11310</v>
      </c>
      <c r="K111" s="46">
        <f t="shared" si="16"/>
        <v>4523.0191999999997</v>
      </c>
      <c r="L111" s="48">
        <f t="shared" si="17"/>
        <v>0.39991328028293543</v>
      </c>
    </row>
    <row r="112" spans="1:12">
      <c r="A112" s="43" t="s">
        <v>553</v>
      </c>
      <c r="B112" s="44">
        <v>4300</v>
      </c>
      <c r="C112" s="45" t="s">
        <v>1737</v>
      </c>
      <c r="D112" s="44">
        <f t="shared" si="9"/>
        <v>1000</v>
      </c>
      <c r="E112" s="46">
        <f t="shared" si="10"/>
        <v>1000</v>
      </c>
      <c r="F112" s="46">
        <f t="shared" si="11"/>
        <v>1000</v>
      </c>
      <c r="G112" s="46">
        <f t="shared" si="12"/>
        <v>377.5</v>
      </c>
      <c r="H112" s="47">
        <f t="shared" si="13"/>
        <v>9.6799999999999994E-3</v>
      </c>
      <c r="I112" s="47">
        <f t="shared" si="14"/>
        <v>0.4</v>
      </c>
      <c r="J112" s="46">
        <f t="shared" si="15"/>
        <v>11310</v>
      </c>
      <c r="K112" s="46">
        <f t="shared" si="16"/>
        <v>4523.0191999999997</v>
      </c>
      <c r="L112" s="48">
        <f t="shared" si="17"/>
        <v>0.39991328028293543</v>
      </c>
    </row>
    <row r="113" spans="1:12">
      <c r="A113" s="43" t="s">
        <v>559</v>
      </c>
      <c r="B113" s="44">
        <v>4300</v>
      </c>
      <c r="C113" s="45" t="s">
        <v>1737</v>
      </c>
      <c r="D113" s="44">
        <f t="shared" si="9"/>
        <v>1000</v>
      </c>
      <c r="E113" s="46">
        <f t="shared" si="10"/>
        <v>1000</v>
      </c>
      <c r="F113" s="46">
        <f t="shared" si="11"/>
        <v>1000</v>
      </c>
      <c r="G113" s="46">
        <f t="shared" si="12"/>
        <v>377.5</v>
      </c>
      <c r="H113" s="47">
        <f t="shared" si="13"/>
        <v>9.6799999999999994E-3</v>
      </c>
      <c r="I113" s="47">
        <f t="shared" si="14"/>
        <v>0.4</v>
      </c>
      <c r="J113" s="46">
        <f t="shared" si="15"/>
        <v>11310</v>
      </c>
      <c r="K113" s="46">
        <f t="shared" si="16"/>
        <v>4523.0191999999997</v>
      </c>
      <c r="L113" s="48">
        <f t="shared" si="17"/>
        <v>0.39991328028293543</v>
      </c>
    </row>
    <row r="114" spans="1:12">
      <c r="A114" s="43" t="s">
        <v>564</v>
      </c>
      <c r="B114" s="44">
        <v>4300</v>
      </c>
      <c r="C114" s="45" t="s">
        <v>1737</v>
      </c>
      <c r="D114" s="44">
        <f t="shared" si="9"/>
        <v>1000</v>
      </c>
      <c r="E114" s="46">
        <f t="shared" si="10"/>
        <v>1000</v>
      </c>
      <c r="F114" s="46">
        <f t="shared" si="11"/>
        <v>1000</v>
      </c>
      <c r="G114" s="46">
        <f t="shared" si="12"/>
        <v>377.5</v>
      </c>
      <c r="H114" s="47">
        <f t="shared" si="13"/>
        <v>9.6799999999999994E-3</v>
      </c>
      <c r="I114" s="47">
        <f t="shared" si="14"/>
        <v>0.4</v>
      </c>
      <c r="J114" s="46">
        <f t="shared" si="15"/>
        <v>11310</v>
      </c>
      <c r="K114" s="46">
        <f t="shared" si="16"/>
        <v>4523.0191999999997</v>
      </c>
      <c r="L114" s="48">
        <f t="shared" si="17"/>
        <v>0.39991328028293543</v>
      </c>
    </row>
    <row r="115" spans="1:12">
      <c r="A115" s="43" t="s">
        <v>569</v>
      </c>
      <c r="B115" s="44">
        <v>4300</v>
      </c>
      <c r="C115" s="45" t="s">
        <v>1737</v>
      </c>
      <c r="D115" s="44">
        <f t="shared" si="9"/>
        <v>1000</v>
      </c>
      <c r="E115" s="46">
        <f t="shared" si="10"/>
        <v>1000</v>
      </c>
      <c r="F115" s="46">
        <f t="shared" si="11"/>
        <v>1000</v>
      </c>
      <c r="G115" s="46">
        <f t="shared" si="12"/>
        <v>377.5</v>
      </c>
      <c r="H115" s="47">
        <f t="shared" si="13"/>
        <v>9.6799999999999994E-3</v>
      </c>
      <c r="I115" s="47">
        <f t="shared" si="14"/>
        <v>0.4</v>
      </c>
      <c r="J115" s="46">
        <f t="shared" si="15"/>
        <v>11310</v>
      </c>
      <c r="K115" s="46">
        <f t="shared" si="16"/>
        <v>4523.0191999999997</v>
      </c>
      <c r="L115" s="48">
        <f t="shared" si="17"/>
        <v>0.39991328028293543</v>
      </c>
    </row>
    <row r="116" spans="1:12">
      <c r="A116" s="43" t="s">
        <v>574</v>
      </c>
      <c r="B116" s="44">
        <v>4300</v>
      </c>
      <c r="C116" s="45" t="s">
        <v>1737</v>
      </c>
      <c r="D116" s="44">
        <f t="shared" si="9"/>
        <v>1000</v>
      </c>
      <c r="E116" s="46">
        <f t="shared" si="10"/>
        <v>1000</v>
      </c>
      <c r="F116" s="46">
        <f t="shared" si="11"/>
        <v>1000</v>
      </c>
      <c r="G116" s="46">
        <f t="shared" si="12"/>
        <v>377.5</v>
      </c>
      <c r="H116" s="47">
        <f t="shared" si="13"/>
        <v>9.6799999999999994E-3</v>
      </c>
      <c r="I116" s="47">
        <f t="shared" si="14"/>
        <v>0.4</v>
      </c>
      <c r="J116" s="46">
        <f t="shared" si="15"/>
        <v>11310</v>
      </c>
      <c r="K116" s="46">
        <f t="shared" si="16"/>
        <v>4523.0191999999997</v>
      </c>
      <c r="L116" s="48">
        <f t="shared" si="17"/>
        <v>0.39991328028293543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1000</v>
      </c>
      <c r="E117" s="46">
        <f t="shared" si="10"/>
        <v>0</v>
      </c>
      <c r="F117" s="46">
        <f t="shared" si="11"/>
        <v>1000</v>
      </c>
      <c r="G117" s="46">
        <f t="shared" si="12"/>
        <v>377.5</v>
      </c>
      <c r="H117" s="47">
        <f t="shared" si="13"/>
        <v>9.6799999999999994E-3</v>
      </c>
      <c r="I117" s="47">
        <f t="shared" si="14"/>
        <v>0.4</v>
      </c>
      <c r="J117" s="46">
        <f t="shared" si="15"/>
        <v>5040</v>
      </c>
      <c r="K117" s="46">
        <f t="shared" si="16"/>
        <v>2013.7128</v>
      </c>
      <c r="L117" s="48">
        <f t="shared" si="17"/>
        <v>0.3995461904761905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1000</v>
      </c>
      <c r="E118" s="46">
        <f t="shared" si="10"/>
        <v>0</v>
      </c>
      <c r="F118" s="46">
        <f t="shared" si="11"/>
        <v>1000</v>
      </c>
      <c r="G118" s="46">
        <f t="shared" si="12"/>
        <v>377.5</v>
      </c>
      <c r="H118" s="47">
        <f t="shared" si="13"/>
        <v>9.6799999999999994E-3</v>
      </c>
      <c r="I118" s="47">
        <f t="shared" si="14"/>
        <v>0.4</v>
      </c>
      <c r="J118" s="46">
        <f t="shared" si="15"/>
        <v>5040</v>
      </c>
      <c r="K118" s="46">
        <f t="shared" si="16"/>
        <v>2013.7128</v>
      </c>
      <c r="L118" s="48">
        <f t="shared" si="17"/>
        <v>0.3995461904761905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1000</v>
      </c>
      <c r="E119" s="46">
        <f t="shared" si="10"/>
        <v>0</v>
      </c>
      <c r="F119" s="46">
        <f t="shared" si="11"/>
        <v>1000</v>
      </c>
      <c r="G119" s="46">
        <f t="shared" si="12"/>
        <v>377.5</v>
      </c>
      <c r="H119" s="47">
        <f t="shared" si="13"/>
        <v>9.6799999999999994E-3</v>
      </c>
      <c r="I119" s="47">
        <f t="shared" si="14"/>
        <v>0.4</v>
      </c>
      <c r="J119" s="46">
        <f t="shared" si="15"/>
        <v>5040</v>
      </c>
      <c r="K119" s="46">
        <f t="shared" si="16"/>
        <v>2013.7128</v>
      </c>
      <c r="L119" s="48">
        <f t="shared" si="17"/>
        <v>0.3995461904761905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1000</v>
      </c>
      <c r="E120" s="46">
        <f t="shared" si="10"/>
        <v>0</v>
      </c>
      <c r="F120" s="46">
        <f t="shared" si="11"/>
        <v>1000</v>
      </c>
      <c r="G120" s="46">
        <f t="shared" si="12"/>
        <v>377.5</v>
      </c>
      <c r="H120" s="47">
        <f t="shared" si="13"/>
        <v>9.6799999999999994E-3</v>
      </c>
      <c r="I120" s="47">
        <f t="shared" si="14"/>
        <v>0.4</v>
      </c>
      <c r="J120" s="46">
        <f t="shared" si="15"/>
        <v>5040</v>
      </c>
      <c r="K120" s="46">
        <f t="shared" si="16"/>
        <v>2013.7128</v>
      </c>
      <c r="L120" s="48">
        <f t="shared" si="17"/>
        <v>0.3995461904761905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1000</v>
      </c>
      <c r="E121" s="46">
        <f t="shared" si="10"/>
        <v>0</v>
      </c>
      <c r="F121" s="46">
        <f t="shared" si="11"/>
        <v>1000</v>
      </c>
      <c r="G121" s="46">
        <f t="shared" si="12"/>
        <v>377.5</v>
      </c>
      <c r="H121" s="47">
        <f t="shared" si="13"/>
        <v>9.6799999999999994E-3</v>
      </c>
      <c r="I121" s="47">
        <f t="shared" si="14"/>
        <v>0.4</v>
      </c>
      <c r="J121" s="46">
        <f t="shared" si="15"/>
        <v>5040</v>
      </c>
      <c r="K121" s="46">
        <f t="shared" si="16"/>
        <v>2013.7128</v>
      </c>
      <c r="L121" s="48">
        <f t="shared" si="17"/>
        <v>0.3995461904761905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1000</v>
      </c>
      <c r="E122" s="46">
        <f t="shared" si="10"/>
        <v>0</v>
      </c>
      <c r="F122" s="46">
        <f t="shared" si="11"/>
        <v>1000</v>
      </c>
      <c r="G122" s="46">
        <f t="shared" si="12"/>
        <v>377.5</v>
      </c>
      <c r="H122" s="47">
        <f t="shared" si="13"/>
        <v>9.6799999999999994E-3</v>
      </c>
      <c r="I122" s="47">
        <f t="shared" si="14"/>
        <v>0.4</v>
      </c>
      <c r="J122" s="46">
        <f t="shared" si="15"/>
        <v>5040</v>
      </c>
      <c r="K122" s="46">
        <f t="shared" si="16"/>
        <v>2013.7128</v>
      </c>
      <c r="L122" s="48">
        <f t="shared" si="17"/>
        <v>0.3995461904761905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1000</v>
      </c>
      <c r="E123" s="46">
        <f t="shared" si="10"/>
        <v>0</v>
      </c>
      <c r="F123" s="46">
        <f t="shared" si="11"/>
        <v>1000</v>
      </c>
      <c r="G123" s="46">
        <f t="shared" si="12"/>
        <v>377.5</v>
      </c>
      <c r="H123" s="47">
        <f t="shared" si="13"/>
        <v>9.6799999999999994E-3</v>
      </c>
      <c r="I123" s="47">
        <f t="shared" si="14"/>
        <v>0.4</v>
      </c>
      <c r="J123" s="46">
        <f t="shared" si="15"/>
        <v>5040</v>
      </c>
      <c r="K123" s="46">
        <f t="shared" si="16"/>
        <v>2013.7128</v>
      </c>
      <c r="L123" s="48">
        <f t="shared" si="17"/>
        <v>0.3995461904761905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1000</v>
      </c>
      <c r="E124" s="46">
        <f t="shared" si="10"/>
        <v>0</v>
      </c>
      <c r="F124" s="46">
        <f t="shared" si="11"/>
        <v>1000</v>
      </c>
      <c r="G124" s="46">
        <f t="shared" si="12"/>
        <v>377.5</v>
      </c>
      <c r="H124" s="47">
        <f t="shared" si="13"/>
        <v>9.6799999999999994E-3</v>
      </c>
      <c r="I124" s="47">
        <f t="shared" si="14"/>
        <v>0.4</v>
      </c>
      <c r="J124" s="46">
        <f t="shared" si="15"/>
        <v>5040</v>
      </c>
      <c r="K124" s="46">
        <f t="shared" si="16"/>
        <v>2013.7128</v>
      </c>
      <c r="L124" s="48">
        <f t="shared" si="17"/>
        <v>0.3995461904761905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1000</v>
      </c>
      <c r="E125" s="46">
        <f t="shared" si="10"/>
        <v>0</v>
      </c>
      <c r="F125" s="46">
        <f t="shared" si="11"/>
        <v>1000</v>
      </c>
      <c r="G125" s="46">
        <f t="shared" si="12"/>
        <v>377.5</v>
      </c>
      <c r="H125" s="47">
        <f t="shared" si="13"/>
        <v>9.6799999999999994E-3</v>
      </c>
      <c r="I125" s="47">
        <f t="shared" si="14"/>
        <v>0.4</v>
      </c>
      <c r="J125" s="46">
        <f t="shared" si="15"/>
        <v>5040</v>
      </c>
      <c r="K125" s="46">
        <f t="shared" si="16"/>
        <v>2013.7128</v>
      </c>
      <c r="L125" s="48">
        <f t="shared" si="17"/>
        <v>0.3995461904761905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1000</v>
      </c>
      <c r="E126" s="46">
        <f t="shared" si="10"/>
        <v>0</v>
      </c>
      <c r="F126" s="46">
        <f t="shared" si="11"/>
        <v>1000</v>
      </c>
      <c r="G126" s="46">
        <f t="shared" si="12"/>
        <v>377.5</v>
      </c>
      <c r="H126" s="47">
        <f t="shared" si="13"/>
        <v>9.6799999999999994E-3</v>
      </c>
      <c r="I126" s="47">
        <f t="shared" si="14"/>
        <v>0.4</v>
      </c>
      <c r="J126" s="46">
        <f t="shared" si="15"/>
        <v>5040</v>
      </c>
      <c r="K126" s="46">
        <f t="shared" si="16"/>
        <v>2013.7128</v>
      </c>
      <c r="L126" s="48">
        <f t="shared" si="17"/>
        <v>0.3995461904761905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1000</v>
      </c>
      <c r="E127" s="46">
        <f t="shared" si="10"/>
        <v>0</v>
      </c>
      <c r="F127" s="46">
        <f t="shared" si="11"/>
        <v>1000</v>
      </c>
      <c r="G127" s="46">
        <f t="shared" si="12"/>
        <v>377.5</v>
      </c>
      <c r="H127" s="47">
        <f t="shared" si="13"/>
        <v>9.6799999999999994E-3</v>
      </c>
      <c r="I127" s="47">
        <f t="shared" si="14"/>
        <v>0.4</v>
      </c>
      <c r="J127" s="46">
        <f t="shared" si="15"/>
        <v>5040</v>
      </c>
      <c r="K127" s="46">
        <f t="shared" si="16"/>
        <v>2013.7128</v>
      </c>
      <c r="L127" s="48">
        <f t="shared" si="17"/>
        <v>0.3995461904761905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1000</v>
      </c>
      <c r="E128" s="46">
        <f t="shared" si="10"/>
        <v>0</v>
      </c>
      <c r="F128" s="46">
        <f t="shared" si="11"/>
        <v>1000</v>
      </c>
      <c r="G128" s="46">
        <f t="shared" si="12"/>
        <v>377.5</v>
      </c>
      <c r="H128" s="47">
        <f t="shared" si="13"/>
        <v>9.6799999999999994E-3</v>
      </c>
      <c r="I128" s="47">
        <f t="shared" si="14"/>
        <v>0.4</v>
      </c>
      <c r="J128" s="46">
        <f t="shared" si="15"/>
        <v>5040</v>
      </c>
      <c r="K128" s="46">
        <f t="shared" si="16"/>
        <v>2013.7128</v>
      </c>
      <c r="L128" s="48">
        <f t="shared" si="17"/>
        <v>0.3995461904761905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1000</v>
      </c>
      <c r="E129" s="46">
        <f t="shared" si="10"/>
        <v>0</v>
      </c>
      <c r="F129" s="46">
        <f t="shared" si="11"/>
        <v>1000</v>
      </c>
      <c r="G129" s="46">
        <f t="shared" si="12"/>
        <v>377.5</v>
      </c>
      <c r="H129" s="47">
        <f t="shared" si="13"/>
        <v>9.6799999999999994E-3</v>
      </c>
      <c r="I129" s="47">
        <f t="shared" si="14"/>
        <v>0.4</v>
      </c>
      <c r="J129" s="46">
        <f t="shared" si="15"/>
        <v>5040</v>
      </c>
      <c r="K129" s="46">
        <f t="shared" si="16"/>
        <v>2013.7128</v>
      </c>
      <c r="L129" s="48">
        <f t="shared" si="17"/>
        <v>0.3995461904761905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1000</v>
      </c>
      <c r="E130" s="46">
        <f t="shared" si="10"/>
        <v>0</v>
      </c>
      <c r="F130" s="46">
        <f t="shared" si="11"/>
        <v>1000</v>
      </c>
      <c r="G130" s="46">
        <f t="shared" si="12"/>
        <v>377.5</v>
      </c>
      <c r="H130" s="47">
        <f t="shared" si="13"/>
        <v>9.6799999999999994E-3</v>
      </c>
      <c r="I130" s="47">
        <f t="shared" si="14"/>
        <v>0.4</v>
      </c>
      <c r="J130" s="46">
        <f t="shared" si="15"/>
        <v>5040</v>
      </c>
      <c r="K130" s="46">
        <f t="shared" si="16"/>
        <v>2013.7128</v>
      </c>
      <c r="L130" s="48">
        <f t="shared" si="17"/>
        <v>0.3995461904761905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1000</v>
      </c>
      <c r="E131" s="46">
        <f t="shared" si="10"/>
        <v>0</v>
      </c>
      <c r="F131" s="46">
        <f t="shared" si="11"/>
        <v>1000</v>
      </c>
      <c r="G131" s="46">
        <f t="shared" si="12"/>
        <v>377.5</v>
      </c>
      <c r="H131" s="47">
        <f t="shared" si="13"/>
        <v>9.6799999999999994E-3</v>
      </c>
      <c r="I131" s="47">
        <f t="shared" si="14"/>
        <v>0.4</v>
      </c>
      <c r="J131" s="46">
        <f t="shared" si="15"/>
        <v>5720</v>
      </c>
      <c r="K131" s="46">
        <f t="shared" si="16"/>
        <v>2287.1304</v>
      </c>
      <c r="L131" s="48">
        <f t="shared" si="17"/>
        <v>0.39984797202797201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1000</v>
      </c>
      <c r="E132" s="46">
        <f t="shared" si="10"/>
        <v>0</v>
      </c>
      <c r="F132" s="46">
        <f t="shared" si="11"/>
        <v>1000</v>
      </c>
      <c r="G132" s="46">
        <f t="shared" si="12"/>
        <v>377.5</v>
      </c>
      <c r="H132" s="47">
        <f t="shared" si="13"/>
        <v>9.6799999999999994E-3</v>
      </c>
      <c r="I132" s="47">
        <f t="shared" si="14"/>
        <v>0.4</v>
      </c>
      <c r="J132" s="46">
        <f t="shared" si="15"/>
        <v>5720</v>
      </c>
      <c r="K132" s="46">
        <f t="shared" si="16"/>
        <v>2287.1304</v>
      </c>
      <c r="L132" s="48">
        <f t="shared" si="17"/>
        <v>0.39984797202797201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1000</v>
      </c>
      <c r="E133" s="46">
        <f t="shared" si="10"/>
        <v>0</v>
      </c>
      <c r="F133" s="46">
        <f t="shared" si="11"/>
        <v>1000</v>
      </c>
      <c r="G133" s="46">
        <f t="shared" si="12"/>
        <v>377.5</v>
      </c>
      <c r="H133" s="47">
        <f t="shared" si="13"/>
        <v>9.6799999999999994E-3</v>
      </c>
      <c r="I133" s="47">
        <f t="shared" si="14"/>
        <v>0.4</v>
      </c>
      <c r="J133" s="46">
        <f t="shared" si="15"/>
        <v>5720</v>
      </c>
      <c r="K133" s="46">
        <f t="shared" si="16"/>
        <v>2287.1304</v>
      </c>
      <c r="L133" s="48">
        <f t="shared" si="17"/>
        <v>0.39984797202797201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1000</v>
      </c>
      <c r="E134" s="46">
        <f t="shared" si="10"/>
        <v>0</v>
      </c>
      <c r="F134" s="46">
        <f t="shared" si="11"/>
        <v>1000</v>
      </c>
      <c r="G134" s="46">
        <f t="shared" si="12"/>
        <v>377.5</v>
      </c>
      <c r="H134" s="47">
        <f t="shared" si="13"/>
        <v>9.6799999999999994E-3</v>
      </c>
      <c r="I134" s="47">
        <f t="shared" si="14"/>
        <v>0.4</v>
      </c>
      <c r="J134" s="46">
        <f t="shared" si="15"/>
        <v>5720</v>
      </c>
      <c r="K134" s="46">
        <f t="shared" si="16"/>
        <v>2287.1304</v>
      </c>
      <c r="L134" s="48">
        <f t="shared" si="17"/>
        <v>0.39984797202797201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1000</v>
      </c>
      <c r="E135" s="46">
        <f t="shared" si="10"/>
        <v>0</v>
      </c>
      <c r="F135" s="46">
        <f t="shared" si="11"/>
        <v>1000</v>
      </c>
      <c r="G135" s="46">
        <f t="shared" si="12"/>
        <v>377.5</v>
      </c>
      <c r="H135" s="47">
        <f t="shared" si="13"/>
        <v>9.6799999999999994E-3</v>
      </c>
      <c r="I135" s="47">
        <f t="shared" si="14"/>
        <v>0.4</v>
      </c>
      <c r="J135" s="46">
        <f t="shared" si="15"/>
        <v>5720</v>
      </c>
      <c r="K135" s="46">
        <f t="shared" si="16"/>
        <v>2287.1304</v>
      </c>
      <c r="L135" s="48">
        <f t="shared" si="17"/>
        <v>0.39984797202797201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1000</v>
      </c>
      <c r="E136" s="46">
        <f t="shared" si="10"/>
        <v>0</v>
      </c>
      <c r="F136" s="46">
        <f t="shared" si="11"/>
        <v>1000</v>
      </c>
      <c r="G136" s="46">
        <f t="shared" si="12"/>
        <v>377.5</v>
      </c>
      <c r="H136" s="47">
        <f t="shared" si="13"/>
        <v>9.6799999999999994E-3</v>
      </c>
      <c r="I136" s="47">
        <f t="shared" si="14"/>
        <v>0.4</v>
      </c>
      <c r="J136" s="46">
        <f t="shared" si="15"/>
        <v>5720</v>
      </c>
      <c r="K136" s="46">
        <f t="shared" si="16"/>
        <v>2287.1304</v>
      </c>
      <c r="L136" s="48">
        <f t="shared" si="17"/>
        <v>0.39984797202797201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1000</v>
      </c>
      <c r="E137" s="46">
        <f t="shared" si="10"/>
        <v>0</v>
      </c>
      <c r="F137" s="46">
        <f t="shared" si="11"/>
        <v>1000</v>
      </c>
      <c r="G137" s="46">
        <f t="shared" si="12"/>
        <v>377.5</v>
      </c>
      <c r="H137" s="47">
        <f t="shared" si="13"/>
        <v>9.6799999999999994E-3</v>
      </c>
      <c r="I137" s="47">
        <f t="shared" si="14"/>
        <v>0.4</v>
      </c>
      <c r="J137" s="46">
        <f t="shared" si="15"/>
        <v>5720</v>
      </c>
      <c r="K137" s="46">
        <f t="shared" si="16"/>
        <v>2287.1304</v>
      </c>
      <c r="L137" s="48">
        <f t="shared" si="17"/>
        <v>0.39984797202797201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1000</v>
      </c>
      <c r="E138" s="46">
        <f t="shared" si="10"/>
        <v>0</v>
      </c>
      <c r="F138" s="46">
        <f t="shared" si="11"/>
        <v>1000</v>
      </c>
      <c r="G138" s="46">
        <f t="shared" si="12"/>
        <v>377.5</v>
      </c>
      <c r="H138" s="47">
        <f t="shared" si="13"/>
        <v>9.6799999999999994E-3</v>
      </c>
      <c r="I138" s="47">
        <f t="shared" si="14"/>
        <v>0.4</v>
      </c>
      <c r="J138" s="46">
        <f t="shared" si="15"/>
        <v>5720</v>
      </c>
      <c r="K138" s="46">
        <f t="shared" si="16"/>
        <v>2287.1304</v>
      </c>
      <c r="L138" s="48">
        <f t="shared" si="17"/>
        <v>0.39984797202797201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1000</v>
      </c>
      <c r="E139" s="46">
        <f t="shared" si="10"/>
        <v>0</v>
      </c>
      <c r="F139" s="46">
        <f t="shared" si="11"/>
        <v>1000</v>
      </c>
      <c r="G139" s="46">
        <f t="shared" si="12"/>
        <v>377.5</v>
      </c>
      <c r="H139" s="47">
        <f t="shared" si="13"/>
        <v>9.6799999999999994E-3</v>
      </c>
      <c r="I139" s="47">
        <f t="shared" si="14"/>
        <v>0.4</v>
      </c>
      <c r="J139" s="46">
        <f t="shared" si="15"/>
        <v>5720</v>
      </c>
      <c r="K139" s="46">
        <f t="shared" si="16"/>
        <v>2287.1304</v>
      </c>
      <c r="L139" s="48">
        <f t="shared" si="17"/>
        <v>0.39984797202797201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1000</v>
      </c>
      <c r="E140" s="46">
        <f t="shared" si="10"/>
        <v>0</v>
      </c>
      <c r="F140" s="46">
        <f t="shared" si="11"/>
        <v>1000</v>
      </c>
      <c r="G140" s="46">
        <f t="shared" si="12"/>
        <v>377.5</v>
      </c>
      <c r="H140" s="47">
        <f t="shared" si="13"/>
        <v>9.6799999999999994E-3</v>
      </c>
      <c r="I140" s="47">
        <f t="shared" si="14"/>
        <v>0.4</v>
      </c>
      <c r="J140" s="46">
        <f t="shared" si="15"/>
        <v>5720</v>
      </c>
      <c r="K140" s="46">
        <f t="shared" si="16"/>
        <v>2287.1304</v>
      </c>
      <c r="L140" s="48">
        <f t="shared" si="17"/>
        <v>0.39984797202797201</v>
      </c>
    </row>
    <row r="141" spans="1:12">
      <c r="A141" s="43" t="s">
        <v>700</v>
      </c>
      <c r="B141" s="44">
        <v>2000</v>
      </c>
      <c r="C141" s="45" t="s">
        <v>34</v>
      </c>
      <c r="D141" s="44">
        <f t="shared" si="9"/>
        <v>1000</v>
      </c>
      <c r="E141" s="46">
        <f t="shared" si="10"/>
        <v>0</v>
      </c>
      <c r="F141" s="46">
        <f t="shared" si="11"/>
        <v>1000</v>
      </c>
      <c r="G141" s="46">
        <f t="shared" si="12"/>
        <v>377.5</v>
      </c>
      <c r="H141" s="47">
        <f t="shared" si="13"/>
        <v>9.6799999999999994E-3</v>
      </c>
      <c r="I141" s="47">
        <f t="shared" si="14"/>
        <v>0.4</v>
      </c>
      <c r="J141" s="46">
        <f t="shared" si="15"/>
        <v>5720</v>
      </c>
      <c r="K141" s="46">
        <f t="shared" si="16"/>
        <v>2287.1304</v>
      </c>
      <c r="L141" s="48">
        <f t="shared" si="17"/>
        <v>0.39984797202797201</v>
      </c>
    </row>
    <row r="142" spans="1:12">
      <c r="A142" s="43" t="s">
        <v>705</v>
      </c>
      <c r="B142" s="44">
        <v>2000</v>
      </c>
      <c r="C142" s="45" t="s">
        <v>34</v>
      </c>
      <c r="D142" s="44">
        <f t="shared" si="9"/>
        <v>1000</v>
      </c>
      <c r="E142" s="46">
        <f t="shared" si="10"/>
        <v>0</v>
      </c>
      <c r="F142" s="46">
        <f t="shared" si="11"/>
        <v>1000</v>
      </c>
      <c r="G142" s="46">
        <f t="shared" si="12"/>
        <v>377.5</v>
      </c>
      <c r="H142" s="47">
        <f t="shared" si="13"/>
        <v>9.6799999999999994E-3</v>
      </c>
      <c r="I142" s="47">
        <f t="shared" si="14"/>
        <v>0.4</v>
      </c>
      <c r="J142" s="46">
        <f t="shared" si="15"/>
        <v>5720</v>
      </c>
      <c r="K142" s="46">
        <f t="shared" si="16"/>
        <v>2287.1304</v>
      </c>
      <c r="L142" s="48">
        <f t="shared" si="17"/>
        <v>0.39984797202797201</v>
      </c>
    </row>
    <row r="143" spans="1:12">
      <c r="A143" s="43" t="s">
        <v>710</v>
      </c>
      <c r="B143" s="44">
        <v>2000</v>
      </c>
      <c r="C143" s="45" t="s">
        <v>34</v>
      </c>
      <c r="D143" s="44">
        <f t="shared" ref="D143:D206" si="18">IF(A143="","",$B$7/$B$6)</f>
        <v>1000</v>
      </c>
      <c r="E143" s="46">
        <f t="shared" ref="E143:E206" si="19">IF(A143="","",IF(C143="NO",0,IF(D143&lt;&gt;"",D143,$B$11)))</f>
        <v>0</v>
      </c>
      <c r="F143" s="46">
        <f t="shared" ref="F143:F206" si="20">IF(A143="","",$B$7/$B$6)</f>
        <v>1000</v>
      </c>
      <c r="G143" s="46">
        <f t="shared" ref="G143:G206" si="21">IF(A143="","",($B$8-$B$9)/$B$6)</f>
        <v>377.5</v>
      </c>
      <c r="H143" s="47">
        <f t="shared" ref="H143:H206" si="22">IF(A143="","",$B$10)</f>
        <v>9.6799999999999994E-3</v>
      </c>
      <c r="I143" s="47">
        <f t="shared" ref="I143:I206" si="23">IF(A143="","",$B$5)</f>
        <v>0.4</v>
      </c>
      <c r="J143" s="46">
        <f t="shared" ref="J143:J206" si="24">IF(OR(A143="",B143=""),"",ROUND((B143+E143+F143+G143)/(1-H143-I143),-1))</f>
        <v>5720</v>
      </c>
      <c r="K143" s="46">
        <f t="shared" ref="K143:K206" si="25">IF(J143="","",J143-B143-E143-F143-G143-(J143*H143))</f>
        <v>2287.1304</v>
      </c>
      <c r="L143" s="48">
        <f t="shared" ref="L143:L206" si="26">IF(J143="","",K143/J143)</f>
        <v>0.39984797202797201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9"/>
        <v>3000</v>
      </c>
      <c r="F144" s="46">
        <f t="shared" si="20"/>
        <v>1000</v>
      </c>
      <c r="G144" s="46">
        <f t="shared" si="21"/>
        <v>377.5</v>
      </c>
      <c r="H144" s="47">
        <f t="shared" si="22"/>
        <v>9.6799999999999994E-3</v>
      </c>
      <c r="I144" s="47">
        <f t="shared" si="23"/>
        <v>0.4</v>
      </c>
      <c r="J144" s="46">
        <f t="shared" si="24"/>
        <v>41300</v>
      </c>
      <c r="K144" s="46">
        <f t="shared" si="25"/>
        <v>16522.716</v>
      </c>
      <c r="L144" s="48">
        <f t="shared" si="26"/>
        <v>0.40006576271186439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9"/>
        <v>3000</v>
      </c>
      <c r="F145" s="46">
        <f t="shared" si="20"/>
        <v>1000</v>
      </c>
      <c r="G145" s="46">
        <f t="shared" si="21"/>
        <v>377.5</v>
      </c>
      <c r="H145" s="47">
        <f t="shared" si="22"/>
        <v>9.6799999999999994E-3</v>
      </c>
      <c r="I145" s="47">
        <f t="shared" si="23"/>
        <v>0.4</v>
      </c>
      <c r="J145" s="46">
        <f t="shared" si="24"/>
        <v>18430</v>
      </c>
      <c r="K145" s="46">
        <f t="shared" si="25"/>
        <v>7374.0976000000001</v>
      </c>
      <c r="L145" s="48">
        <f t="shared" si="26"/>
        <v>0.40011381443298971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9"/>
        <v>2000</v>
      </c>
      <c r="F146" s="46">
        <f t="shared" si="20"/>
        <v>1000</v>
      </c>
      <c r="G146" s="46">
        <f t="shared" si="21"/>
        <v>377.5</v>
      </c>
      <c r="H146" s="47">
        <f t="shared" si="22"/>
        <v>9.6799999999999994E-3</v>
      </c>
      <c r="I146" s="47">
        <f t="shared" si="23"/>
        <v>0.4</v>
      </c>
      <c r="J146" s="46">
        <f t="shared" si="24"/>
        <v>20970</v>
      </c>
      <c r="K146" s="46">
        <f t="shared" si="25"/>
        <v>8389.5103999999992</v>
      </c>
      <c r="L146" s="48">
        <f t="shared" si="26"/>
        <v>0.40007202670481634</v>
      </c>
    </row>
    <row r="147" spans="1:12">
      <c r="A147" s="43" t="s">
        <v>734</v>
      </c>
      <c r="B147" s="44">
        <v>1660</v>
      </c>
      <c r="C147" s="45" t="s">
        <v>1737</v>
      </c>
      <c r="D147" s="44">
        <f t="shared" si="18"/>
        <v>1000</v>
      </c>
      <c r="E147" s="46">
        <f t="shared" si="19"/>
        <v>1000</v>
      </c>
      <c r="F147" s="46">
        <f t="shared" si="20"/>
        <v>1000</v>
      </c>
      <c r="G147" s="46">
        <f t="shared" si="21"/>
        <v>377.5</v>
      </c>
      <c r="H147" s="47">
        <f t="shared" si="22"/>
        <v>9.6799999999999994E-3</v>
      </c>
      <c r="I147" s="47">
        <f t="shared" si="23"/>
        <v>0.4</v>
      </c>
      <c r="J147" s="46">
        <f t="shared" si="24"/>
        <v>6840</v>
      </c>
      <c r="K147" s="46">
        <f t="shared" si="25"/>
        <v>2736.2887999999998</v>
      </c>
      <c r="L147" s="48">
        <f t="shared" si="26"/>
        <v>0.40004222222222219</v>
      </c>
    </row>
    <row r="148" spans="1:12">
      <c r="A148" s="43" t="s">
        <v>742</v>
      </c>
      <c r="B148" s="44">
        <v>9960</v>
      </c>
      <c r="C148" s="45" t="s">
        <v>1737</v>
      </c>
      <c r="D148" s="44">
        <f t="shared" si="18"/>
        <v>1000</v>
      </c>
      <c r="E148" s="46">
        <f t="shared" si="19"/>
        <v>1000</v>
      </c>
      <c r="F148" s="46">
        <f t="shared" si="20"/>
        <v>1000</v>
      </c>
      <c r="G148" s="46">
        <f t="shared" si="21"/>
        <v>377.5</v>
      </c>
      <c r="H148" s="47">
        <f t="shared" si="22"/>
        <v>9.6799999999999994E-3</v>
      </c>
      <c r="I148" s="47">
        <f t="shared" si="23"/>
        <v>0.4</v>
      </c>
      <c r="J148" s="46">
        <f t="shared" si="24"/>
        <v>20900</v>
      </c>
      <c r="K148" s="46">
        <f t="shared" si="25"/>
        <v>8360.1880000000001</v>
      </c>
      <c r="L148" s="48">
        <f t="shared" si="26"/>
        <v>0.40000899521531103</v>
      </c>
    </row>
    <row r="149" spans="1:12">
      <c r="A149" s="43" t="s">
        <v>748</v>
      </c>
      <c r="B149" s="44">
        <v>2800</v>
      </c>
      <c r="C149" s="45" t="s">
        <v>1737</v>
      </c>
      <c r="D149" s="44">
        <f t="shared" si="18"/>
        <v>1000</v>
      </c>
      <c r="E149" s="46">
        <f t="shared" si="19"/>
        <v>1000</v>
      </c>
      <c r="F149" s="46">
        <f t="shared" si="20"/>
        <v>1000</v>
      </c>
      <c r="G149" s="46">
        <f t="shared" si="21"/>
        <v>377.5</v>
      </c>
      <c r="H149" s="47">
        <f t="shared" si="22"/>
        <v>9.6799999999999994E-3</v>
      </c>
      <c r="I149" s="47">
        <f t="shared" si="23"/>
        <v>0.4</v>
      </c>
      <c r="J149" s="46">
        <f t="shared" si="24"/>
        <v>8770</v>
      </c>
      <c r="K149" s="46">
        <f t="shared" si="25"/>
        <v>3507.6064000000001</v>
      </c>
      <c r="L149" s="48">
        <f t="shared" si="26"/>
        <v>0.39995511972633979</v>
      </c>
    </row>
    <row r="150" spans="1:12">
      <c r="A150" s="43" t="s">
        <v>753</v>
      </c>
      <c r="B150" s="44">
        <v>16800</v>
      </c>
      <c r="C150" s="45" t="s">
        <v>1737</v>
      </c>
      <c r="D150" s="44">
        <f t="shared" si="18"/>
        <v>1000</v>
      </c>
      <c r="E150" s="46">
        <f t="shared" si="19"/>
        <v>1000</v>
      </c>
      <c r="F150" s="46">
        <f t="shared" si="20"/>
        <v>1000</v>
      </c>
      <c r="G150" s="46">
        <f t="shared" si="21"/>
        <v>377.5</v>
      </c>
      <c r="H150" s="47">
        <f t="shared" si="22"/>
        <v>9.6799999999999994E-3</v>
      </c>
      <c r="I150" s="47">
        <f t="shared" si="23"/>
        <v>0.4</v>
      </c>
      <c r="J150" s="46">
        <f t="shared" si="24"/>
        <v>32490</v>
      </c>
      <c r="K150" s="46">
        <f t="shared" si="25"/>
        <v>12997.996800000001</v>
      </c>
      <c r="L150" s="48">
        <f t="shared" si="26"/>
        <v>0.40006145891043399</v>
      </c>
    </row>
    <row r="151" spans="1:12">
      <c r="A151" s="43" t="s">
        <v>758</v>
      </c>
      <c r="B151" s="44">
        <v>1550</v>
      </c>
      <c r="C151" s="45" t="s">
        <v>1737</v>
      </c>
      <c r="D151" s="44">
        <f t="shared" si="18"/>
        <v>1000</v>
      </c>
      <c r="E151" s="46">
        <f t="shared" si="19"/>
        <v>1000</v>
      </c>
      <c r="F151" s="46">
        <f t="shared" si="20"/>
        <v>1000</v>
      </c>
      <c r="G151" s="46">
        <f t="shared" si="21"/>
        <v>377.5</v>
      </c>
      <c r="H151" s="47">
        <f t="shared" si="22"/>
        <v>9.6799999999999994E-3</v>
      </c>
      <c r="I151" s="47">
        <f t="shared" si="23"/>
        <v>0.4</v>
      </c>
      <c r="J151" s="46">
        <f t="shared" si="24"/>
        <v>6650</v>
      </c>
      <c r="K151" s="46">
        <f t="shared" si="25"/>
        <v>2658.1280000000002</v>
      </c>
      <c r="L151" s="48">
        <f t="shared" si="26"/>
        <v>0.39971849624060152</v>
      </c>
    </row>
    <row r="152" spans="1:12">
      <c r="A152" s="43" t="s">
        <v>764</v>
      </c>
      <c r="B152" s="44">
        <v>9300</v>
      </c>
      <c r="C152" s="45" t="s">
        <v>1737</v>
      </c>
      <c r="D152" s="44">
        <f t="shared" si="18"/>
        <v>1000</v>
      </c>
      <c r="E152" s="46">
        <f t="shared" si="19"/>
        <v>1000</v>
      </c>
      <c r="F152" s="46">
        <f t="shared" si="20"/>
        <v>1000</v>
      </c>
      <c r="G152" s="46">
        <f t="shared" si="21"/>
        <v>377.5</v>
      </c>
      <c r="H152" s="47">
        <f t="shared" si="22"/>
        <v>9.6799999999999994E-3</v>
      </c>
      <c r="I152" s="47">
        <f t="shared" si="23"/>
        <v>0.4</v>
      </c>
      <c r="J152" s="46">
        <f t="shared" si="24"/>
        <v>19780</v>
      </c>
      <c r="K152" s="46">
        <f t="shared" si="25"/>
        <v>7911.0295999999998</v>
      </c>
      <c r="L152" s="48">
        <f t="shared" si="26"/>
        <v>0.39995094034378159</v>
      </c>
    </row>
    <row r="153" spans="1:12">
      <c r="A153" s="43" t="s">
        <v>769</v>
      </c>
      <c r="B153" s="44">
        <v>1650</v>
      </c>
      <c r="C153" s="45" t="s">
        <v>1737</v>
      </c>
      <c r="D153" s="44">
        <f t="shared" si="18"/>
        <v>1000</v>
      </c>
      <c r="E153" s="46">
        <f t="shared" si="19"/>
        <v>1000</v>
      </c>
      <c r="F153" s="46">
        <f t="shared" si="20"/>
        <v>1000</v>
      </c>
      <c r="G153" s="46">
        <f t="shared" si="21"/>
        <v>377.5</v>
      </c>
      <c r="H153" s="47">
        <f t="shared" si="22"/>
        <v>9.6799999999999994E-3</v>
      </c>
      <c r="I153" s="47">
        <f t="shared" si="23"/>
        <v>0.4</v>
      </c>
      <c r="J153" s="46">
        <f t="shared" si="24"/>
        <v>6820</v>
      </c>
      <c r="K153" s="46">
        <f t="shared" si="25"/>
        <v>2726.4823999999999</v>
      </c>
      <c r="L153" s="48">
        <f t="shared" si="26"/>
        <v>0.39977747800586511</v>
      </c>
    </row>
    <row r="154" spans="1:12">
      <c r="A154" s="43" t="s">
        <v>775</v>
      </c>
      <c r="B154" s="44">
        <v>9900</v>
      </c>
      <c r="C154" s="45" t="s">
        <v>1737</v>
      </c>
      <c r="D154" s="44">
        <f t="shared" si="18"/>
        <v>1000</v>
      </c>
      <c r="E154" s="46">
        <f t="shared" si="19"/>
        <v>1000</v>
      </c>
      <c r="F154" s="46">
        <f t="shared" si="20"/>
        <v>1000</v>
      </c>
      <c r="G154" s="46">
        <f t="shared" si="21"/>
        <v>377.5</v>
      </c>
      <c r="H154" s="47">
        <f t="shared" si="22"/>
        <v>9.6799999999999994E-3</v>
      </c>
      <c r="I154" s="47">
        <f t="shared" si="23"/>
        <v>0.4</v>
      </c>
      <c r="J154" s="46">
        <f t="shared" si="24"/>
        <v>20800</v>
      </c>
      <c r="K154" s="46">
        <f t="shared" si="25"/>
        <v>8321.1560000000009</v>
      </c>
      <c r="L154" s="48">
        <f t="shared" si="26"/>
        <v>0.40005557692307697</v>
      </c>
    </row>
    <row r="155" spans="1:12">
      <c r="A155" s="43" t="s">
        <v>780</v>
      </c>
      <c r="B155" s="44">
        <v>2000</v>
      </c>
      <c r="C155" s="45" t="s">
        <v>1737</v>
      </c>
      <c r="D155" s="44">
        <f t="shared" si="18"/>
        <v>1000</v>
      </c>
      <c r="E155" s="46">
        <f t="shared" si="19"/>
        <v>1000</v>
      </c>
      <c r="F155" s="46">
        <f t="shared" si="20"/>
        <v>1000</v>
      </c>
      <c r="G155" s="46">
        <f t="shared" si="21"/>
        <v>377.5</v>
      </c>
      <c r="H155" s="47">
        <f t="shared" si="22"/>
        <v>9.6799999999999994E-3</v>
      </c>
      <c r="I155" s="47">
        <f t="shared" si="23"/>
        <v>0.4</v>
      </c>
      <c r="J155" s="46">
        <f t="shared" si="24"/>
        <v>7420</v>
      </c>
      <c r="K155" s="46">
        <f t="shared" si="25"/>
        <v>2970.6743999999999</v>
      </c>
      <c r="L155" s="48">
        <f t="shared" si="26"/>
        <v>0.40036043126684634</v>
      </c>
    </row>
    <row r="156" spans="1:12">
      <c r="A156" s="43" t="s">
        <v>785</v>
      </c>
      <c r="B156" s="44">
        <v>12000</v>
      </c>
      <c r="C156" s="45" t="s">
        <v>1737</v>
      </c>
      <c r="D156" s="44">
        <f t="shared" si="18"/>
        <v>1000</v>
      </c>
      <c r="E156" s="46">
        <f t="shared" si="19"/>
        <v>1000</v>
      </c>
      <c r="F156" s="46">
        <f t="shared" si="20"/>
        <v>1000</v>
      </c>
      <c r="G156" s="46">
        <f t="shared" si="21"/>
        <v>377.5</v>
      </c>
      <c r="H156" s="47">
        <f t="shared" si="22"/>
        <v>9.6799999999999994E-3</v>
      </c>
      <c r="I156" s="47">
        <f t="shared" si="23"/>
        <v>0.4</v>
      </c>
      <c r="J156" s="46">
        <f t="shared" si="24"/>
        <v>24360</v>
      </c>
      <c r="K156" s="46">
        <f t="shared" si="25"/>
        <v>9746.6952000000001</v>
      </c>
      <c r="L156" s="48">
        <f t="shared" si="26"/>
        <v>0.40011064039408867</v>
      </c>
    </row>
    <row r="157" spans="1:12">
      <c r="A157" s="43" t="s">
        <v>790</v>
      </c>
      <c r="B157" s="44">
        <v>1800</v>
      </c>
      <c r="C157" s="45" t="s">
        <v>1737</v>
      </c>
      <c r="D157" s="44">
        <f t="shared" si="18"/>
        <v>1000</v>
      </c>
      <c r="E157" s="46">
        <f t="shared" si="19"/>
        <v>1000</v>
      </c>
      <c r="F157" s="46">
        <f t="shared" si="20"/>
        <v>1000</v>
      </c>
      <c r="G157" s="46">
        <f t="shared" si="21"/>
        <v>377.5</v>
      </c>
      <c r="H157" s="47">
        <f t="shared" si="22"/>
        <v>9.6799999999999994E-3</v>
      </c>
      <c r="I157" s="47">
        <f t="shared" si="23"/>
        <v>0.4</v>
      </c>
      <c r="J157" s="46">
        <f t="shared" si="24"/>
        <v>7080</v>
      </c>
      <c r="K157" s="46">
        <f t="shared" si="25"/>
        <v>2833.9656</v>
      </c>
      <c r="L157" s="48">
        <f t="shared" si="26"/>
        <v>0.40027762711864406</v>
      </c>
    </row>
    <row r="158" spans="1:12">
      <c r="A158" s="43" t="s">
        <v>795</v>
      </c>
      <c r="B158" s="44">
        <v>10800</v>
      </c>
      <c r="C158" s="45" t="s">
        <v>1737</v>
      </c>
      <c r="D158" s="44">
        <f t="shared" si="18"/>
        <v>1000</v>
      </c>
      <c r="E158" s="46">
        <f t="shared" si="19"/>
        <v>1000</v>
      </c>
      <c r="F158" s="46">
        <f t="shared" si="20"/>
        <v>1000</v>
      </c>
      <c r="G158" s="46">
        <f t="shared" si="21"/>
        <v>377.5</v>
      </c>
      <c r="H158" s="47">
        <f t="shared" si="22"/>
        <v>9.6799999999999994E-3</v>
      </c>
      <c r="I158" s="47">
        <f t="shared" si="23"/>
        <v>0.4</v>
      </c>
      <c r="J158" s="46">
        <f t="shared" si="24"/>
        <v>22320</v>
      </c>
      <c r="K158" s="46">
        <f t="shared" si="25"/>
        <v>8926.4423999999999</v>
      </c>
      <c r="L158" s="48">
        <f t="shared" si="26"/>
        <v>0.39993021505376342</v>
      </c>
    </row>
    <row r="159" spans="1:12">
      <c r="A159" s="43" t="s">
        <v>800</v>
      </c>
      <c r="B159" s="44">
        <v>2750</v>
      </c>
      <c r="C159" s="45" t="s">
        <v>1737</v>
      </c>
      <c r="D159" s="44">
        <f t="shared" si="18"/>
        <v>1000</v>
      </c>
      <c r="E159" s="46">
        <f t="shared" si="19"/>
        <v>1000</v>
      </c>
      <c r="F159" s="46">
        <f t="shared" si="20"/>
        <v>1000</v>
      </c>
      <c r="G159" s="46">
        <f t="shared" si="21"/>
        <v>377.5</v>
      </c>
      <c r="H159" s="47">
        <f t="shared" si="22"/>
        <v>9.6799999999999994E-3</v>
      </c>
      <c r="I159" s="47">
        <f t="shared" si="23"/>
        <v>0.4</v>
      </c>
      <c r="J159" s="46">
        <f t="shared" si="24"/>
        <v>8690</v>
      </c>
      <c r="K159" s="46">
        <f t="shared" si="25"/>
        <v>3478.3807999999999</v>
      </c>
      <c r="L159" s="48">
        <f t="shared" si="26"/>
        <v>0.40027397008055232</v>
      </c>
    </row>
    <row r="160" spans="1:12">
      <c r="A160" s="43" t="s">
        <v>809</v>
      </c>
      <c r="B160" s="44">
        <v>1350</v>
      </c>
      <c r="C160" s="45" t="s">
        <v>1737</v>
      </c>
      <c r="D160" s="44">
        <f t="shared" si="18"/>
        <v>1000</v>
      </c>
      <c r="E160" s="46">
        <f t="shared" si="19"/>
        <v>1000</v>
      </c>
      <c r="F160" s="46">
        <f t="shared" si="20"/>
        <v>1000</v>
      </c>
      <c r="G160" s="46">
        <f t="shared" si="21"/>
        <v>377.5</v>
      </c>
      <c r="H160" s="47">
        <f t="shared" si="22"/>
        <v>9.6799999999999994E-3</v>
      </c>
      <c r="I160" s="47">
        <f t="shared" si="23"/>
        <v>0.4</v>
      </c>
      <c r="J160" s="46">
        <f t="shared" si="24"/>
        <v>6310</v>
      </c>
      <c r="K160" s="46">
        <f t="shared" si="25"/>
        <v>2521.4191999999998</v>
      </c>
      <c r="L160" s="48">
        <f t="shared" si="26"/>
        <v>0.39959099841521389</v>
      </c>
    </row>
    <row r="161" spans="1:12">
      <c r="A161" s="43" t="s">
        <v>815</v>
      </c>
      <c r="B161" s="44">
        <v>7100</v>
      </c>
      <c r="C161" s="45" t="s">
        <v>1737</v>
      </c>
      <c r="D161" s="44">
        <f t="shared" si="18"/>
        <v>1000</v>
      </c>
      <c r="E161" s="46">
        <f t="shared" si="19"/>
        <v>1000</v>
      </c>
      <c r="F161" s="46">
        <f t="shared" si="20"/>
        <v>1000</v>
      </c>
      <c r="G161" s="46">
        <f t="shared" si="21"/>
        <v>377.5</v>
      </c>
      <c r="H161" s="47">
        <f t="shared" si="22"/>
        <v>9.6799999999999994E-3</v>
      </c>
      <c r="I161" s="47">
        <f t="shared" si="23"/>
        <v>0.4</v>
      </c>
      <c r="J161" s="46">
        <f t="shared" si="24"/>
        <v>16050</v>
      </c>
      <c r="K161" s="46">
        <f t="shared" si="25"/>
        <v>6417.1360000000004</v>
      </c>
      <c r="L161" s="48">
        <f t="shared" si="26"/>
        <v>0.39982155763239879</v>
      </c>
    </row>
    <row r="162" spans="1:12">
      <c r="A162" s="43" t="s">
        <v>822</v>
      </c>
      <c r="B162" s="44">
        <v>2750</v>
      </c>
      <c r="C162" s="45" t="s">
        <v>1737</v>
      </c>
      <c r="D162" s="44">
        <f t="shared" si="18"/>
        <v>1000</v>
      </c>
      <c r="E162" s="46">
        <f t="shared" si="19"/>
        <v>1000</v>
      </c>
      <c r="F162" s="46">
        <f t="shared" si="20"/>
        <v>1000</v>
      </c>
      <c r="G162" s="46">
        <f t="shared" si="21"/>
        <v>377.5</v>
      </c>
      <c r="H162" s="47">
        <f t="shared" si="22"/>
        <v>9.6799999999999994E-3</v>
      </c>
      <c r="I162" s="47">
        <f t="shared" si="23"/>
        <v>0.4</v>
      </c>
      <c r="J162" s="46">
        <f t="shared" si="24"/>
        <v>8690</v>
      </c>
      <c r="K162" s="46">
        <f t="shared" si="25"/>
        <v>3478.3807999999999</v>
      </c>
      <c r="L162" s="48">
        <f t="shared" si="26"/>
        <v>0.40027397008055232</v>
      </c>
    </row>
    <row r="163" spans="1:12">
      <c r="A163" s="43" t="s">
        <v>828</v>
      </c>
      <c r="B163" s="44">
        <v>1350</v>
      </c>
      <c r="C163" s="45" t="s">
        <v>1737</v>
      </c>
      <c r="D163" s="44">
        <f t="shared" si="18"/>
        <v>1000</v>
      </c>
      <c r="E163" s="46">
        <f t="shared" si="19"/>
        <v>1000</v>
      </c>
      <c r="F163" s="46">
        <f t="shared" si="20"/>
        <v>1000</v>
      </c>
      <c r="G163" s="46">
        <f t="shared" si="21"/>
        <v>377.5</v>
      </c>
      <c r="H163" s="47">
        <f t="shared" si="22"/>
        <v>9.6799999999999994E-3</v>
      </c>
      <c r="I163" s="47">
        <f t="shared" si="23"/>
        <v>0.4</v>
      </c>
      <c r="J163" s="46">
        <f t="shared" si="24"/>
        <v>6310</v>
      </c>
      <c r="K163" s="46">
        <f t="shared" si="25"/>
        <v>2521.4191999999998</v>
      </c>
      <c r="L163" s="48">
        <f t="shared" si="26"/>
        <v>0.39959099841521389</v>
      </c>
    </row>
    <row r="164" spans="1:12">
      <c r="A164" s="43" t="s">
        <v>832</v>
      </c>
      <c r="B164" s="44">
        <v>7100</v>
      </c>
      <c r="C164" s="45" t="s">
        <v>1737</v>
      </c>
      <c r="D164" s="44">
        <f t="shared" si="18"/>
        <v>1000</v>
      </c>
      <c r="E164" s="46">
        <f t="shared" si="19"/>
        <v>1000</v>
      </c>
      <c r="F164" s="46">
        <f t="shared" si="20"/>
        <v>1000</v>
      </c>
      <c r="G164" s="46">
        <f t="shared" si="21"/>
        <v>377.5</v>
      </c>
      <c r="H164" s="47">
        <f t="shared" si="22"/>
        <v>9.6799999999999994E-3</v>
      </c>
      <c r="I164" s="47">
        <f t="shared" si="23"/>
        <v>0.4</v>
      </c>
      <c r="J164" s="46">
        <f t="shared" si="24"/>
        <v>16050</v>
      </c>
      <c r="K164" s="46">
        <f t="shared" si="25"/>
        <v>6417.1360000000004</v>
      </c>
      <c r="L164" s="48">
        <f t="shared" si="26"/>
        <v>0.39982155763239879</v>
      </c>
    </row>
    <row r="165" spans="1:12">
      <c r="A165" s="43" t="s">
        <v>836</v>
      </c>
      <c r="B165" s="44">
        <v>2750</v>
      </c>
      <c r="C165" s="45" t="s">
        <v>1737</v>
      </c>
      <c r="D165" s="44">
        <f t="shared" si="18"/>
        <v>1000</v>
      </c>
      <c r="E165" s="46">
        <f t="shared" si="19"/>
        <v>1000</v>
      </c>
      <c r="F165" s="46">
        <f t="shared" si="20"/>
        <v>1000</v>
      </c>
      <c r="G165" s="46">
        <f t="shared" si="21"/>
        <v>377.5</v>
      </c>
      <c r="H165" s="47">
        <f t="shared" si="22"/>
        <v>9.6799999999999994E-3</v>
      </c>
      <c r="I165" s="47">
        <f t="shared" si="23"/>
        <v>0.4</v>
      </c>
      <c r="J165" s="46">
        <f t="shared" si="24"/>
        <v>8690</v>
      </c>
      <c r="K165" s="46">
        <f t="shared" si="25"/>
        <v>3478.3807999999999</v>
      </c>
      <c r="L165" s="48">
        <f t="shared" si="26"/>
        <v>0.40027397008055232</v>
      </c>
    </row>
    <row r="166" spans="1:12">
      <c r="A166" s="43" t="s">
        <v>842</v>
      </c>
      <c r="B166" s="44">
        <v>1350</v>
      </c>
      <c r="C166" s="45" t="s">
        <v>1737</v>
      </c>
      <c r="D166" s="44">
        <f t="shared" si="18"/>
        <v>1000</v>
      </c>
      <c r="E166" s="46">
        <f t="shared" si="19"/>
        <v>1000</v>
      </c>
      <c r="F166" s="46">
        <f t="shared" si="20"/>
        <v>1000</v>
      </c>
      <c r="G166" s="46">
        <f t="shared" si="21"/>
        <v>377.5</v>
      </c>
      <c r="H166" s="47">
        <f t="shared" si="22"/>
        <v>9.6799999999999994E-3</v>
      </c>
      <c r="I166" s="47">
        <f t="shared" si="23"/>
        <v>0.4</v>
      </c>
      <c r="J166" s="46">
        <f t="shared" si="24"/>
        <v>6310</v>
      </c>
      <c r="K166" s="46">
        <f t="shared" si="25"/>
        <v>2521.4191999999998</v>
      </c>
      <c r="L166" s="48">
        <f t="shared" si="26"/>
        <v>0.39959099841521389</v>
      </c>
    </row>
    <row r="167" spans="1:12">
      <c r="A167" s="43" t="s">
        <v>846</v>
      </c>
      <c r="B167" s="44">
        <v>7100</v>
      </c>
      <c r="C167" s="45" t="s">
        <v>1737</v>
      </c>
      <c r="D167" s="44">
        <f t="shared" si="18"/>
        <v>1000</v>
      </c>
      <c r="E167" s="46">
        <f t="shared" si="19"/>
        <v>1000</v>
      </c>
      <c r="F167" s="46">
        <f t="shared" si="20"/>
        <v>1000</v>
      </c>
      <c r="G167" s="46">
        <f t="shared" si="21"/>
        <v>377.5</v>
      </c>
      <c r="H167" s="47">
        <f t="shared" si="22"/>
        <v>9.6799999999999994E-3</v>
      </c>
      <c r="I167" s="47">
        <f t="shared" si="23"/>
        <v>0.4</v>
      </c>
      <c r="J167" s="46">
        <f t="shared" si="24"/>
        <v>16050</v>
      </c>
      <c r="K167" s="46">
        <f t="shared" si="25"/>
        <v>6417.1360000000004</v>
      </c>
      <c r="L167" s="48">
        <f t="shared" si="26"/>
        <v>0.39982155763239879</v>
      </c>
    </row>
    <row r="168" spans="1:12">
      <c r="A168" s="43" t="s">
        <v>850</v>
      </c>
      <c r="B168" s="44">
        <v>2750</v>
      </c>
      <c r="C168" s="45" t="s">
        <v>1737</v>
      </c>
      <c r="D168" s="44">
        <f t="shared" si="18"/>
        <v>1000</v>
      </c>
      <c r="E168" s="46">
        <f t="shared" si="19"/>
        <v>1000</v>
      </c>
      <c r="F168" s="46">
        <f t="shared" si="20"/>
        <v>1000</v>
      </c>
      <c r="G168" s="46">
        <f t="shared" si="21"/>
        <v>377.5</v>
      </c>
      <c r="H168" s="47">
        <f t="shared" si="22"/>
        <v>9.6799999999999994E-3</v>
      </c>
      <c r="I168" s="47">
        <f t="shared" si="23"/>
        <v>0.4</v>
      </c>
      <c r="J168" s="46">
        <f t="shared" si="24"/>
        <v>8690</v>
      </c>
      <c r="K168" s="46">
        <f t="shared" si="25"/>
        <v>3478.3807999999999</v>
      </c>
      <c r="L168" s="48">
        <f t="shared" si="26"/>
        <v>0.40027397008055232</v>
      </c>
    </row>
    <row r="169" spans="1:12">
      <c r="A169" s="43" t="s">
        <v>855</v>
      </c>
      <c r="B169" s="44">
        <v>1350</v>
      </c>
      <c r="C169" s="45" t="s">
        <v>1737</v>
      </c>
      <c r="D169" s="44">
        <f t="shared" si="18"/>
        <v>1000</v>
      </c>
      <c r="E169" s="46">
        <f t="shared" si="19"/>
        <v>1000</v>
      </c>
      <c r="F169" s="46">
        <f t="shared" si="20"/>
        <v>1000</v>
      </c>
      <c r="G169" s="46">
        <f t="shared" si="21"/>
        <v>377.5</v>
      </c>
      <c r="H169" s="47">
        <f t="shared" si="22"/>
        <v>9.6799999999999994E-3</v>
      </c>
      <c r="I169" s="47">
        <f t="shared" si="23"/>
        <v>0.4</v>
      </c>
      <c r="J169" s="46">
        <f t="shared" si="24"/>
        <v>6310</v>
      </c>
      <c r="K169" s="46">
        <f t="shared" si="25"/>
        <v>2521.4191999999998</v>
      </c>
      <c r="L169" s="48">
        <f t="shared" si="26"/>
        <v>0.39959099841521389</v>
      </c>
    </row>
    <row r="170" spans="1:12">
      <c r="A170" s="43" t="s">
        <v>859</v>
      </c>
      <c r="B170" s="44">
        <v>7100</v>
      </c>
      <c r="C170" s="45" t="s">
        <v>1737</v>
      </c>
      <c r="D170" s="44">
        <f t="shared" si="18"/>
        <v>1000</v>
      </c>
      <c r="E170" s="46">
        <f t="shared" si="19"/>
        <v>1000</v>
      </c>
      <c r="F170" s="46">
        <f t="shared" si="20"/>
        <v>1000</v>
      </c>
      <c r="G170" s="46">
        <f t="shared" si="21"/>
        <v>377.5</v>
      </c>
      <c r="H170" s="47">
        <f t="shared" si="22"/>
        <v>9.6799999999999994E-3</v>
      </c>
      <c r="I170" s="47">
        <f t="shared" si="23"/>
        <v>0.4</v>
      </c>
      <c r="J170" s="46">
        <f t="shared" si="24"/>
        <v>16050</v>
      </c>
      <c r="K170" s="46">
        <f t="shared" si="25"/>
        <v>6417.1360000000004</v>
      </c>
      <c r="L170" s="48">
        <f t="shared" si="26"/>
        <v>0.39982155763239879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si="18"/>
        <v>1000</v>
      </c>
      <c r="E171" s="46">
        <f t="shared" si="19"/>
        <v>0</v>
      </c>
      <c r="F171" s="46">
        <f t="shared" si="20"/>
        <v>1000</v>
      </c>
      <c r="G171" s="46">
        <f t="shared" si="21"/>
        <v>377.5</v>
      </c>
      <c r="H171" s="47">
        <f t="shared" si="22"/>
        <v>9.6799999999999994E-3</v>
      </c>
      <c r="I171" s="47">
        <f t="shared" si="23"/>
        <v>0.4</v>
      </c>
      <c r="J171" s="46">
        <f t="shared" si="24"/>
        <v>4030</v>
      </c>
      <c r="K171" s="46">
        <f t="shared" si="25"/>
        <v>1613.4896000000001</v>
      </c>
      <c r="L171" s="48">
        <f t="shared" si="26"/>
        <v>0.40036962779156332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18"/>
        <v>1000</v>
      </c>
      <c r="E172" s="46">
        <f t="shared" si="19"/>
        <v>0</v>
      </c>
      <c r="F172" s="46">
        <f t="shared" si="20"/>
        <v>1000</v>
      </c>
      <c r="G172" s="46">
        <f t="shared" si="21"/>
        <v>377.5</v>
      </c>
      <c r="H172" s="47">
        <f t="shared" si="22"/>
        <v>9.6799999999999994E-3</v>
      </c>
      <c r="I172" s="47">
        <f t="shared" si="23"/>
        <v>0.4</v>
      </c>
      <c r="J172" s="46">
        <f t="shared" si="24"/>
        <v>4370</v>
      </c>
      <c r="K172" s="46">
        <f t="shared" si="25"/>
        <v>1750.1984</v>
      </c>
      <c r="L172" s="48">
        <f t="shared" si="26"/>
        <v>0.40050306636155608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18"/>
        <v>1000</v>
      </c>
      <c r="E173" s="46">
        <f t="shared" si="19"/>
        <v>0</v>
      </c>
      <c r="F173" s="46">
        <f t="shared" si="20"/>
        <v>1000</v>
      </c>
      <c r="G173" s="46">
        <f t="shared" si="21"/>
        <v>377.5</v>
      </c>
      <c r="H173" s="47">
        <f t="shared" si="22"/>
        <v>9.6799999999999994E-3</v>
      </c>
      <c r="I173" s="47">
        <f t="shared" si="23"/>
        <v>0.4</v>
      </c>
      <c r="J173" s="46">
        <f t="shared" si="24"/>
        <v>4710</v>
      </c>
      <c r="K173" s="46">
        <f t="shared" si="25"/>
        <v>1886.9072000000001</v>
      </c>
      <c r="L173" s="48">
        <f t="shared" si="26"/>
        <v>0.40061723991507431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18"/>
        <v>1000</v>
      </c>
      <c r="E174" s="46">
        <f t="shared" si="19"/>
        <v>0</v>
      </c>
      <c r="F174" s="46">
        <f t="shared" si="20"/>
        <v>1000</v>
      </c>
      <c r="G174" s="46">
        <f t="shared" si="21"/>
        <v>377.5</v>
      </c>
      <c r="H174" s="47">
        <f t="shared" si="22"/>
        <v>9.6799999999999994E-3</v>
      </c>
      <c r="I174" s="47">
        <f t="shared" si="23"/>
        <v>0.4</v>
      </c>
      <c r="J174" s="46">
        <f t="shared" si="24"/>
        <v>5720</v>
      </c>
      <c r="K174" s="46">
        <f t="shared" si="25"/>
        <v>2287.1304</v>
      </c>
      <c r="L174" s="48">
        <f t="shared" si="26"/>
        <v>0.39984797202797201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18"/>
        <v>1000</v>
      </c>
      <c r="E175" s="46">
        <f t="shared" si="19"/>
        <v>0</v>
      </c>
      <c r="F175" s="46">
        <f t="shared" si="20"/>
        <v>1000</v>
      </c>
      <c r="G175" s="46">
        <f t="shared" si="21"/>
        <v>377.5</v>
      </c>
      <c r="H175" s="47">
        <f t="shared" si="22"/>
        <v>9.6799999999999994E-3</v>
      </c>
      <c r="I175" s="47">
        <f t="shared" si="23"/>
        <v>0.4</v>
      </c>
      <c r="J175" s="46">
        <f t="shared" si="24"/>
        <v>9790</v>
      </c>
      <c r="K175" s="46">
        <f t="shared" si="25"/>
        <v>3917.7328000000002</v>
      </c>
      <c r="L175" s="48">
        <f t="shared" si="26"/>
        <v>0.40017699693564862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18"/>
        <v>1000</v>
      </c>
      <c r="E176" s="46">
        <f t="shared" si="19"/>
        <v>0</v>
      </c>
      <c r="F176" s="46">
        <f t="shared" si="20"/>
        <v>1000</v>
      </c>
      <c r="G176" s="46">
        <f t="shared" si="21"/>
        <v>377.5</v>
      </c>
      <c r="H176" s="47">
        <f t="shared" si="22"/>
        <v>9.6799999999999994E-3</v>
      </c>
      <c r="I176" s="47">
        <f t="shared" si="23"/>
        <v>0.4</v>
      </c>
      <c r="J176" s="46">
        <f t="shared" si="24"/>
        <v>14190</v>
      </c>
      <c r="K176" s="46">
        <f t="shared" si="25"/>
        <v>5675.1408000000001</v>
      </c>
      <c r="L176" s="48">
        <f t="shared" si="26"/>
        <v>0.39993945031712475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18"/>
        <v>1000</v>
      </c>
      <c r="E177" s="46">
        <f t="shared" si="19"/>
        <v>0</v>
      </c>
      <c r="F177" s="46">
        <f t="shared" si="20"/>
        <v>1000</v>
      </c>
      <c r="G177" s="46">
        <f t="shared" si="21"/>
        <v>377.5</v>
      </c>
      <c r="H177" s="47">
        <f t="shared" si="22"/>
        <v>9.6799999999999994E-3</v>
      </c>
      <c r="I177" s="47">
        <f t="shared" si="23"/>
        <v>0.4</v>
      </c>
      <c r="J177" s="46">
        <f t="shared" si="24"/>
        <v>17240</v>
      </c>
      <c r="K177" s="46">
        <f t="shared" si="25"/>
        <v>6895.6167999999998</v>
      </c>
      <c r="L177" s="48">
        <f t="shared" si="26"/>
        <v>0.39997777262180972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18"/>
        <v>1000</v>
      </c>
      <c r="E178" s="46">
        <f t="shared" si="19"/>
        <v>0</v>
      </c>
      <c r="F178" s="46">
        <f t="shared" si="20"/>
        <v>1000</v>
      </c>
      <c r="G178" s="46">
        <f t="shared" si="21"/>
        <v>377.5</v>
      </c>
      <c r="H178" s="47">
        <f t="shared" si="22"/>
        <v>9.6799999999999994E-3</v>
      </c>
      <c r="I178" s="47">
        <f t="shared" si="23"/>
        <v>0.4</v>
      </c>
      <c r="J178" s="46">
        <f t="shared" si="24"/>
        <v>2840</v>
      </c>
      <c r="K178" s="46">
        <f t="shared" si="25"/>
        <v>1135.0088000000001</v>
      </c>
      <c r="L178" s="48">
        <f t="shared" si="26"/>
        <v>0.39965098591549297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18"/>
        <v>1000</v>
      </c>
      <c r="E179" s="46">
        <f t="shared" si="19"/>
        <v>0</v>
      </c>
      <c r="F179" s="46">
        <f t="shared" si="20"/>
        <v>1000</v>
      </c>
      <c r="G179" s="46">
        <f t="shared" si="21"/>
        <v>377.5</v>
      </c>
      <c r="H179" s="47">
        <f t="shared" si="22"/>
        <v>9.6799999999999994E-3</v>
      </c>
      <c r="I179" s="47">
        <f t="shared" si="23"/>
        <v>0.4</v>
      </c>
      <c r="J179" s="46">
        <f t="shared" si="24"/>
        <v>4710</v>
      </c>
      <c r="K179" s="46">
        <f t="shared" si="25"/>
        <v>1886.9072000000001</v>
      </c>
      <c r="L179" s="48">
        <f t="shared" si="26"/>
        <v>0.40061723991507431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18"/>
        <v>1000</v>
      </c>
      <c r="E180" s="46">
        <f t="shared" si="19"/>
        <v>0</v>
      </c>
      <c r="F180" s="46">
        <f t="shared" si="20"/>
        <v>1000</v>
      </c>
      <c r="G180" s="46">
        <f t="shared" si="21"/>
        <v>377.5</v>
      </c>
      <c r="H180" s="47">
        <f t="shared" si="22"/>
        <v>9.6799999999999994E-3</v>
      </c>
      <c r="I180" s="47">
        <f t="shared" si="23"/>
        <v>0.4</v>
      </c>
      <c r="J180" s="46">
        <f t="shared" si="24"/>
        <v>3010</v>
      </c>
      <c r="K180" s="46">
        <f t="shared" si="25"/>
        <v>1203.3632</v>
      </c>
      <c r="L180" s="48">
        <f t="shared" si="26"/>
        <v>0.399788438538206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18"/>
        <v>1000</v>
      </c>
      <c r="E181" s="46">
        <f t="shared" si="19"/>
        <v>0</v>
      </c>
      <c r="F181" s="46">
        <f t="shared" si="20"/>
        <v>1000</v>
      </c>
      <c r="G181" s="46">
        <f t="shared" si="21"/>
        <v>377.5</v>
      </c>
      <c r="H181" s="47">
        <f t="shared" si="22"/>
        <v>9.6799999999999994E-3</v>
      </c>
      <c r="I181" s="47">
        <f t="shared" si="23"/>
        <v>0.4</v>
      </c>
      <c r="J181" s="46">
        <f t="shared" si="24"/>
        <v>6200</v>
      </c>
      <c r="K181" s="46">
        <f t="shared" si="25"/>
        <v>2482.4839999999999</v>
      </c>
      <c r="L181" s="48">
        <f t="shared" si="26"/>
        <v>0.40040064516129031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18"/>
        <v>1000</v>
      </c>
      <c r="E182" s="46">
        <f t="shared" si="19"/>
        <v>0</v>
      </c>
      <c r="F182" s="46">
        <f t="shared" si="20"/>
        <v>1000</v>
      </c>
      <c r="G182" s="46">
        <f t="shared" si="21"/>
        <v>377.5</v>
      </c>
      <c r="H182" s="47">
        <f t="shared" si="22"/>
        <v>9.6799999999999994E-3</v>
      </c>
      <c r="I182" s="47">
        <f t="shared" si="23"/>
        <v>0.4</v>
      </c>
      <c r="J182" s="46">
        <f t="shared" si="24"/>
        <v>26050</v>
      </c>
      <c r="K182" s="46">
        <f t="shared" si="25"/>
        <v>10420.335999999999</v>
      </c>
      <c r="L182" s="48">
        <f t="shared" si="26"/>
        <v>0.40001289827255276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18"/>
        <v>1000</v>
      </c>
      <c r="E183" s="46">
        <f t="shared" si="19"/>
        <v>0</v>
      </c>
      <c r="F183" s="46">
        <f t="shared" si="20"/>
        <v>1000</v>
      </c>
      <c r="G183" s="46">
        <f t="shared" si="21"/>
        <v>377.5</v>
      </c>
      <c r="H183" s="47">
        <f t="shared" si="22"/>
        <v>9.6799999999999994E-3</v>
      </c>
      <c r="I183" s="47">
        <f t="shared" si="23"/>
        <v>0.4</v>
      </c>
      <c r="J183" s="46">
        <f t="shared" si="24"/>
        <v>3430</v>
      </c>
      <c r="K183" s="46">
        <f t="shared" si="25"/>
        <v>1369.2976000000001</v>
      </c>
      <c r="L183" s="48">
        <f t="shared" si="26"/>
        <v>0.39921212827988339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18"/>
        <v>1000</v>
      </c>
      <c r="E184" s="46">
        <f t="shared" si="19"/>
        <v>0</v>
      </c>
      <c r="F184" s="46">
        <f t="shared" si="20"/>
        <v>1000</v>
      </c>
      <c r="G184" s="46">
        <f t="shared" si="21"/>
        <v>377.5</v>
      </c>
      <c r="H184" s="47">
        <f t="shared" si="22"/>
        <v>9.6799999999999994E-3</v>
      </c>
      <c r="I184" s="47">
        <f t="shared" si="23"/>
        <v>0.4</v>
      </c>
      <c r="J184" s="46">
        <f t="shared" si="24"/>
        <v>5210</v>
      </c>
      <c r="K184" s="46">
        <f t="shared" si="25"/>
        <v>2082.0672</v>
      </c>
      <c r="L184" s="48">
        <f t="shared" si="26"/>
        <v>0.39962902111324378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18"/>
        <v>1000</v>
      </c>
      <c r="E185" s="46">
        <f t="shared" si="19"/>
        <v>0</v>
      </c>
      <c r="F185" s="46">
        <f t="shared" si="20"/>
        <v>1000</v>
      </c>
      <c r="G185" s="46">
        <f t="shared" si="21"/>
        <v>377.5</v>
      </c>
      <c r="H185" s="47">
        <f t="shared" si="22"/>
        <v>9.6799999999999994E-3</v>
      </c>
      <c r="I185" s="47">
        <f t="shared" si="23"/>
        <v>0.4</v>
      </c>
      <c r="J185" s="46">
        <f t="shared" si="24"/>
        <v>36210</v>
      </c>
      <c r="K185" s="46">
        <f t="shared" si="25"/>
        <v>14481.9872</v>
      </c>
      <c r="L185" s="48">
        <f t="shared" si="26"/>
        <v>0.39994441314553991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18"/>
        <v>1000</v>
      </c>
      <c r="E186" s="46">
        <f t="shared" si="19"/>
        <v>0</v>
      </c>
      <c r="F186" s="46">
        <f t="shared" si="20"/>
        <v>1000</v>
      </c>
      <c r="G186" s="46">
        <f t="shared" si="21"/>
        <v>377.5</v>
      </c>
      <c r="H186" s="47">
        <f t="shared" si="22"/>
        <v>9.6799999999999994E-3</v>
      </c>
      <c r="I186" s="47">
        <f t="shared" si="23"/>
        <v>0.4</v>
      </c>
      <c r="J186" s="46">
        <f t="shared" si="24"/>
        <v>9110</v>
      </c>
      <c r="K186" s="46">
        <f t="shared" si="25"/>
        <v>3644.3152</v>
      </c>
      <c r="L186" s="48">
        <f t="shared" si="26"/>
        <v>0.40003459934138308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18"/>
        <v>1000</v>
      </c>
      <c r="E187" s="46">
        <f t="shared" si="19"/>
        <v>0</v>
      </c>
      <c r="F187" s="46">
        <f t="shared" si="20"/>
        <v>1000</v>
      </c>
      <c r="G187" s="46">
        <f t="shared" si="21"/>
        <v>377.5</v>
      </c>
      <c r="H187" s="47">
        <f t="shared" si="22"/>
        <v>9.6799999999999994E-3</v>
      </c>
      <c r="I187" s="47">
        <f t="shared" si="23"/>
        <v>0.4</v>
      </c>
      <c r="J187" s="46">
        <f t="shared" si="24"/>
        <v>48070</v>
      </c>
      <c r="K187" s="46">
        <f t="shared" si="25"/>
        <v>19227.182400000002</v>
      </c>
      <c r="L187" s="48">
        <f t="shared" si="26"/>
        <v>0.39998299147077182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18"/>
        <v>1000</v>
      </c>
      <c r="E188" s="46">
        <f t="shared" si="19"/>
        <v>0</v>
      </c>
      <c r="F188" s="46">
        <f t="shared" si="20"/>
        <v>1000</v>
      </c>
      <c r="G188" s="46">
        <f t="shared" si="21"/>
        <v>377.5</v>
      </c>
      <c r="H188" s="47">
        <f t="shared" si="22"/>
        <v>9.6799999999999994E-3</v>
      </c>
      <c r="I188" s="47">
        <f t="shared" si="23"/>
        <v>0.4</v>
      </c>
      <c r="J188" s="46">
        <f t="shared" si="24"/>
        <v>3520</v>
      </c>
      <c r="K188" s="46">
        <f t="shared" si="25"/>
        <v>1408.4264000000001</v>
      </c>
      <c r="L188" s="48">
        <f t="shared" si="26"/>
        <v>0.40012113636363639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18"/>
        <v>1000</v>
      </c>
      <c r="E189" s="46">
        <f t="shared" si="19"/>
        <v>0</v>
      </c>
      <c r="F189" s="46">
        <f t="shared" si="20"/>
        <v>1000</v>
      </c>
      <c r="G189" s="46">
        <f t="shared" si="21"/>
        <v>377.5</v>
      </c>
      <c r="H189" s="47">
        <f t="shared" si="22"/>
        <v>9.6799999999999994E-3</v>
      </c>
      <c r="I189" s="47">
        <f t="shared" si="23"/>
        <v>0.4</v>
      </c>
      <c r="J189" s="46">
        <f t="shared" si="24"/>
        <v>3690</v>
      </c>
      <c r="K189" s="46">
        <f t="shared" si="25"/>
        <v>1476.7808</v>
      </c>
      <c r="L189" s="48">
        <f t="shared" si="26"/>
        <v>0.40021159891598918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18"/>
        <v>1000</v>
      </c>
      <c r="E190" s="46">
        <f t="shared" si="19"/>
        <v>0</v>
      </c>
      <c r="F190" s="46">
        <f t="shared" si="20"/>
        <v>1000</v>
      </c>
      <c r="G190" s="46">
        <f t="shared" si="21"/>
        <v>377.5</v>
      </c>
      <c r="H190" s="47">
        <f t="shared" si="22"/>
        <v>9.6799999999999994E-3</v>
      </c>
      <c r="I190" s="47">
        <f t="shared" si="23"/>
        <v>0.4</v>
      </c>
      <c r="J190" s="46">
        <f t="shared" si="24"/>
        <v>4710</v>
      </c>
      <c r="K190" s="46">
        <f t="shared" si="25"/>
        <v>1886.9072000000001</v>
      </c>
      <c r="L190" s="48">
        <f t="shared" si="26"/>
        <v>0.40061723991507431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18"/>
        <v>1000</v>
      </c>
      <c r="E191" s="46">
        <f t="shared" si="19"/>
        <v>0</v>
      </c>
      <c r="F191" s="46">
        <f t="shared" si="20"/>
        <v>1000</v>
      </c>
      <c r="G191" s="46">
        <f t="shared" si="21"/>
        <v>377.5</v>
      </c>
      <c r="H191" s="47">
        <f t="shared" si="22"/>
        <v>9.6799999999999994E-3</v>
      </c>
      <c r="I191" s="47">
        <f t="shared" si="23"/>
        <v>0.4</v>
      </c>
      <c r="J191" s="46">
        <f t="shared" si="24"/>
        <v>3520</v>
      </c>
      <c r="K191" s="46">
        <f t="shared" si="25"/>
        <v>1408.4264000000001</v>
      </c>
      <c r="L191" s="48">
        <f t="shared" si="26"/>
        <v>0.40012113636363639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18"/>
        <v>1000</v>
      </c>
      <c r="E192" s="46">
        <f t="shared" si="19"/>
        <v>0</v>
      </c>
      <c r="F192" s="46">
        <f t="shared" si="20"/>
        <v>1000</v>
      </c>
      <c r="G192" s="46">
        <f t="shared" si="21"/>
        <v>377.5</v>
      </c>
      <c r="H192" s="47">
        <f t="shared" si="22"/>
        <v>9.6799999999999994E-3</v>
      </c>
      <c r="I192" s="47">
        <f t="shared" si="23"/>
        <v>0.4</v>
      </c>
      <c r="J192" s="46">
        <f t="shared" si="24"/>
        <v>5380</v>
      </c>
      <c r="K192" s="46">
        <f t="shared" si="25"/>
        <v>2150.4216000000001</v>
      </c>
      <c r="L192" s="48">
        <f t="shared" si="26"/>
        <v>0.39970661710037175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18"/>
        <v>1000</v>
      </c>
      <c r="E193" s="46">
        <f t="shared" si="19"/>
        <v>0</v>
      </c>
      <c r="F193" s="46">
        <f t="shared" si="20"/>
        <v>1000</v>
      </c>
      <c r="G193" s="46">
        <f t="shared" si="21"/>
        <v>377.5</v>
      </c>
      <c r="H193" s="47">
        <f t="shared" si="22"/>
        <v>9.6799999999999994E-3</v>
      </c>
      <c r="I193" s="47">
        <f t="shared" si="23"/>
        <v>0.4</v>
      </c>
      <c r="J193" s="46">
        <f t="shared" si="24"/>
        <v>4710</v>
      </c>
      <c r="K193" s="46">
        <f t="shared" si="25"/>
        <v>1886.9072000000001</v>
      </c>
      <c r="L193" s="48">
        <f t="shared" si="26"/>
        <v>0.40061723991507431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18"/>
        <v>1000</v>
      </c>
      <c r="E194" s="46">
        <f t="shared" si="19"/>
        <v>0</v>
      </c>
      <c r="F194" s="46">
        <f t="shared" si="20"/>
        <v>1000</v>
      </c>
      <c r="G194" s="46">
        <f t="shared" si="21"/>
        <v>377.5</v>
      </c>
      <c r="H194" s="47">
        <f t="shared" si="22"/>
        <v>9.6799999999999994E-3</v>
      </c>
      <c r="I194" s="47">
        <f t="shared" si="23"/>
        <v>0.4</v>
      </c>
      <c r="J194" s="46">
        <f t="shared" si="24"/>
        <v>6740</v>
      </c>
      <c r="K194" s="46">
        <f t="shared" si="25"/>
        <v>2697.2568000000001</v>
      </c>
      <c r="L194" s="48">
        <f t="shared" si="26"/>
        <v>0.40018646884273001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18"/>
        <v>1000</v>
      </c>
      <c r="E195" s="46">
        <f t="shared" si="19"/>
        <v>0</v>
      </c>
      <c r="F195" s="46">
        <f t="shared" si="20"/>
        <v>1000</v>
      </c>
      <c r="G195" s="46">
        <f t="shared" si="21"/>
        <v>377.5</v>
      </c>
      <c r="H195" s="47">
        <f t="shared" si="22"/>
        <v>9.6799999999999994E-3</v>
      </c>
      <c r="I195" s="47">
        <f t="shared" si="23"/>
        <v>0.4</v>
      </c>
      <c r="J195" s="46">
        <f t="shared" si="24"/>
        <v>6740</v>
      </c>
      <c r="K195" s="46">
        <f t="shared" si="25"/>
        <v>2697.2568000000001</v>
      </c>
      <c r="L195" s="48">
        <f t="shared" si="26"/>
        <v>0.40018646884273001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18"/>
        <v>1000</v>
      </c>
      <c r="E196" s="46">
        <f t="shared" si="19"/>
        <v>0</v>
      </c>
      <c r="F196" s="46">
        <f t="shared" si="20"/>
        <v>1000</v>
      </c>
      <c r="G196" s="46">
        <f t="shared" si="21"/>
        <v>377.5</v>
      </c>
      <c r="H196" s="47">
        <f t="shared" si="22"/>
        <v>9.6799999999999994E-3</v>
      </c>
      <c r="I196" s="47">
        <f t="shared" si="23"/>
        <v>0.4</v>
      </c>
      <c r="J196" s="46">
        <f t="shared" si="24"/>
        <v>7750</v>
      </c>
      <c r="K196" s="46">
        <f t="shared" si="25"/>
        <v>3097.48</v>
      </c>
      <c r="L196" s="48">
        <f t="shared" si="26"/>
        <v>0.3996748387096774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18"/>
        <v>1000</v>
      </c>
      <c r="E197" s="46">
        <f t="shared" si="19"/>
        <v>0</v>
      </c>
      <c r="F197" s="46">
        <f t="shared" si="20"/>
        <v>1000</v>
      </c>
      <c r="G197" s="46">
        <f t="shared" si="21"/>
        <v>377.5</v>
      </c>
      <c r="H197" s="47">
        <f t="shared" si="22"/>
        <v>9.6799999999999994E-3</v>
      </c>
      <c r="I197" s="47">
        <f t="shared" si="23"/>
        <v>0.4</v>
      </c>
      <c r="J197" s="46">
        <f t="shared" si="24"/>
        <v>10130</v>
      </c>
      <c r="K197" s="46">
        <f t="shared" si="25"/>
        <v>4054.4416000000001</v>
      </c>
      <c r="L197" s="48">
        <f t="shared" si="26"/>
        <v>0.40024102665350447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18"/>
        <v>1000</v>
      </c>
      <c r="E198" s="46">
        <f t="shared" si="19"/>
        <v>0</v>
      </c>
      <c r="F198" s="46">
        <f t="shared" si="20"/>
        <v>1000</v>
      </c>
      <c r="G198" s="46">
        <f t="shared" si="21"/>
        <v>377.5</v>
      </c>
      <c r="H198" s="47">
        <f t="shared" si="22"/>
        <v>9.6799999999999994E-3</v>
      </c>
      <c r="I198" s="47">
        <f t="shared" si="23"/>
        <v>0.4</v>
      </c>
      <c r="J198" s="46">
        <f t="shared" si="24"/>
        <v>6740</v>
      </c>
      <c r="K198" s="46">
        <f t="shared" si="25"/>
        <v>2697.2568000000001</v>
      </c>
      <c r="L198" s="48">
        <f t="shared" si="26"/>
        <v>0.40018646884273001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18"/>
        <v>1000</v>
      </c>
      <c r="E199" s="46">
        <f t="shared" si="19"/>
        <v>0</v>
      </c>
      <c r="F199" s="46">
        <f t="shared" si="20"/>
        <v>1000</v>
      </c>
      <c r="G199" s="46">
        <f t="shared" si="21"/>
        <v>377.5</v>
      </c>
      <c r="H199" s="47">
        <f t="shared" si="22"/>
        <v>9.6799999999999994E-3</v>
      </c>
      <c r="I199" s="47">
        <f t="shared" si="23"/>
        <v>0.4</v>
      </c>
      <c r="J199" s="46">
        <f t="shared" si="24"/>
        <v>7250</v>
      </c>
      <c r="K199" s="46">
        <f t="shared" si="25"/>
        <v>2902.32</v>
      </c>
      <c r="L199" s="48">
        <f t="shared" si="26"/>
        <v>0.40032000000000001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18"/>
        <v>1000</v>
      </c>
      <c r="E200" s="46">
        <f t="shared" si="19"/>
        <v>0</v>
      </c>
      <c r="F200" s="46">
        <f t="shared" si="20"/>
        <v>1000</v>
      </c>
      <c r="G200" s="46">
        <f t="shared" si="21"/>
        <v>377.5</v>
      </c>
      <c r="H200" s="47">
        <f t="shared" si="22"/>
        <v>9.6799999999999994E-3</v>
      </c>
      <c r="I200" s="47">
        <f t="shared" si="23"/>
        <v>0.4</v>
      </c>
      <c r="J200" s="46">
        <f t="shared" si="24"/>
        <v>9450</v>
      </c>
      <c r="K200" s="46">
        <f t="shared" si="25"/>
        <v>3781.0239999999999</v>
      </c>
      <c r="L200" s="48">
        <f t="shared" si="26"/>
        <v>0.40010835978835979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18"/>
        <v>1000</v>
      </c>
      <c r="E201" s="46">
        <f t="shared" si="19"/>
        <v>0</v>
      </c>
      <c r="F201" s="46">
        <f t="shared" si="20"/>
        <v>1000</v>
      </c>
      <c r="G201" s="46">
        <f t="shared" si="21"/>
        <v>377.5</v>
      </c>
      <c r="H201" s="47">
        <f t="shared" si="22"/>
        <v>9.6799999999999994E-3</v>
      </c>
      <c r="I201" s="47">
        <f t="shared" si="23"/>
        <v>0.4</v>
      </c>
      <c r="J201" s="46">
        <f t="shared" si="24"/>
        <v>12500</v>
      </c>
      <c r="K201" s="46">
        <f t="shared" si="25"/>
        <v>5001.5</v>
      </c>
      <c r="L201" s="48">
        <f t="shared" si="26"/>
        <v>0.40011999999999998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18"/>
        <v>1000</v>
      </c>
      <c r="E202" s="46">
        <f t="shared" si="19"/>
        <v>0</v>
      </c>
      <c r="F202" s="46">
        <f t="shared" si="20"/>
        <v>1000</v>
      </c>
      <c r="G202" s="46">
        <f t="shared" si="21"/>
        <v>377.5</v>
      </c>
      <c r="H202" s="47">
        <f t="shared" si="22"/>
        <v>9.6799999999999994E-3</v>
      </c>
      <c r="I202" s="47">
        <f t="shared" si="23"/>
        <v>0.4</v>
      </c>
      <c r="J202" s="46">
        <f t="shared" si="24"/>
        <v>10800</v>
      </c>
      <c r="K202" s="46">
        <f t="shared" si="25"/>
        <v>4317.9560000000001</v>
      </c>
      <c r="L202" s="48">
        <f t="shared" si="26"/>
        <v>0.39981074074074074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18"/>
        <v>1000</v>
      </c>
      <c r="E203" s="46">
        <f t="shared" si="19"/>
        <v>0</v>
      </c>
      <c r="F203" s="46">
        <f t="shared" si="20"/>
        <v>1000</v>
      </c>
      <c r="G203" s="46">
        <f t="shared" si="21"/>
        <v>377.5</v>
      </c>
      <c r="H203" s="47">
        <f t="shared" si="22"/>
        <v>9.6799999999999994E-3</v>
      </c>
      <c r="I203" s="47">
        <f t="shared" si="23"/>
        <v>0.4</v>
      </c>
      <c r="J203" s="46">
        <f t="shared" si="24"/>
        <v>4540</v>
      </c>
      <c r="K203" s="46">
        <f t="shared" si="25"/>
        <v>1818.5527999999999</v>
      </c>
      <c r="L203" s="48">
        <f t="shared" si="26"/>
        <v>0.40056229074889865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18"/>
        <v>1000</v>
      </c>
      <c r="E204" s="46">
        <f t="shared" si="19"/>
        <v>0</v>
      </c>
      <c r="F204" s="46">
        <f t="shared" si="20"/>
        <v>1000</v>
      </c>
      <c r="G204" s="46">
        <f t="shared" si="21"/>
        <v>377.5</v>
      </c>
      <c r="H204" s="47">
        <f t="shared" si="22"/>
        <v>9.6799999999999994E-3</v>
      </c>
      <c r="I204" s="47">
        <f t="shared" si="23"/>
        <v>0.4</v>
      </c>
      <c r="J204" s="46">
        <f t="shared" si="24"/>
        <v>4540</v>
      </c>
      <c r="K204" s="46">
        <f t="shared" si="25"/>
        <v>1818.5527999999999</v>
      </c>
      <c r="L204" s="48">
        <f t="shared" si="26"/>
        <v>0.40056229074889865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18"/>
        <v>1000</v>
      </c>
      <c r="E205" s="46">
        <f t="shared" si="19"/>
        <v>0</v>
      </c>
      <c r="F205" s="46">
        <f t="shared" si="20"/>
        <v>1000</v>
      </c>
      <c r="G205" s="46">
        <f t="shared" si="21"/>
        <v>377.5</v>
      </c>
      <c r="H205" s="47">
        <f t="shared" si="22"/>
        <v>9.6799999999999994E-3</v>
      </c>
      <c r="I205" s="47">
        <f t="shared" si="23"/>
        <v>0.4</v>
      </c>
      <c r="J205" s="46">
        <f t="shared" si="24"/>
        <v>4540</v>
      </c>
      <c r="K205" s="46">
        <f t="shared" si="25"/>
        <v>1818.5527999999999</v>
      </c>
      <c r="L205" s="48">
        <f t="shared" si="26"/>
        <v>0.40056229074889865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18"/>
        <v>1000</v>
      </c>
      <c r="E206" s="46">
        <f t="shared" si="19"/>
        <v>0</v>
      </c>
      <c r="F206" s="46">
        <f t="shared" si="20"/>
        <v>1000</v>
      </c>
      <c r="G206" s="46">
        <f t="shared" si="21"/>
        <v>377.5</v>
      </c>
      <c r="H206" s="47">
        <f t="shared" si="22"/>
        <v>9.6799999999999994E-3</v>
      </c>
      <c r="I206" s="47">
        <f t="shared" si="23"/>
        <v>0.4</v>
      </c>
      <c r="J206" s="46">
        <f t="shared" si="24"/>
        <v>4540</v>
      </c>
      <c r="K206" s="46">
        <f t="shared" si="25"/>
        <v>1818.5527999999999</v>
      </c>
      <c r="L206" s="48">
        <f t="shared" si="26"/>
        <v>0.40056229074889865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1000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1000</v>
      </c>
      <c r="G207" s="46">
        <f t="shared" ref="G207:G250" si="30">IF(A207="","",($B$8-$B$9)/$B$6)</f>
        <v>377.5</v>
      </c>
      <c r="H207" s="47">
        <f t="shared" ref="H207:H250" si="31">IF(A207="","",$B$10)</f>
        <v>9.6799999999999994E-3</v>
      </c>
      <c r="I207" s="47">
        <f t="shared" ref="I207:I250" si="32">IF(A207="","",$B$5)</f>
        <v>0.4</v>
      </c>
      <c r="J207" s="46">
        <f t="shared" ref="J207:J250" si="33">IF(OR(A207="",B207=""),"",ROUND((B207+E207+F207+G207)/(1-H207-I207),-1))</f>
        <v>14190</v>
      </c>
      <c r="K207" s="46">
        <f t="shared" ref="K207:K250" si="34">IF(J207="","",J207-B207-E207-F207-G207-(J207*H207))</f>
        <v>5675.1408000000001</v>
      </c>
      <c r="L207" s="48">
        <f t="shared" ref="L207:L250" si="35">IF(J207="","",K207/J207)</f>
        <v>0.39993945031712475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1000</v>
      </c>
      <c r="E208" s="46">
        <f t="shared" si="28"/>
        <v>0</v>
      </c>
      <c r="F208" s="46">
        <f t="shared" si="29"/>
        <v>1000</v>
      </c>
      <c r="G208" s="46">
        <f t="shared" si="30"/>
        <v>377.5</v>
      </c>
      <c r="H208" s="47">
        <f t="shared" si="31"/>
        <v>9.6799999999999994E-3</v>
      </c>
      <c r="I208" s="47">
        <f t="shared" si="32"/>
        <v>0.4</v>
      </c>
      <c r="J208" s="46">
        <f t="shared" si="33"/>
        <v>15890</v>
      </c>
      <c r="K208" s="46">
        <f t="shared" si="34"/>
        <v>6358.6848</v>
      </c>
      <c r="L208" s="48">
        <f t="shared" si="35"/>
        <v>0.40016896161107612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1000</v>
      </c>
      <c r="E209" s="46">
        <f t="shared" si="28"/>
        <v>0</v>
      </c>
      <c r="F209" s="46">
        <f t="shared" si="29"/>
        <v>1000</v>
      </c>
      <c r="G209" s="46">
        <f t="shared" si="30"/>
        <v>377.5</v>
      </c>
      <c r="H209" s="47">
        <f t="shared" si="31"/>
        <v>9.6799999999999994E-3</v>
      </c>
      <c r="I209" s="47">
        <f t="shared" si="32"/>
        <v>0.4</v>
      </c>
      <c r="J209" s="46">
        <f t="shared" si="33"/>
        <v>14190</v>
      </c>
      <c r="K209" s="46">
        <f t="shared" si="34"/>
        <v>5675.1408000000001</v>
      </c>
      <c r="L209" s="48">
        <f t="shared" si="35"/>
        <v>0.39993945031712475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1000</v>
      </c>
      <c r="E210" s="46">
        <f t="shared" si="28"/>
        <v>0</v>
      </c>
      <c r="F210" s="46">
        <f t="shared" si="29"/>
        <v>1000</v>
      </c>
      <c r="G210" s="46">
        <f t="shared" si="30"/>
        <v>377.5</v>
      </c>
      <c r="H210" s="47">
        <f t="shared" si="31"/>
        <v>9.6799999999999994E-3</v>
      </c>
      <c r="I210" s="47">
        <f t="shared" si="32"/>
        <v>0.4</v>
      </c>
      <c r="J210" s="46">
        <f t="shared" si="33"/>
        <v>4540</v>
      </c>
      <c r="K210" s="46">
        <f t="shared" si="34"/>
        <v>1818.5527999999999</v>
      </c>
      <c r="L210" s="48">
        <f t="shared" si="35"/>
        <v>0.40056229074889865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1000</v>
      </c>
      <c r="E211" s="46">
        <f t="shared" si="28"/>
        <v>0</v>
      </c>
      <c r="F211" s="46">
        <f t="shared" si="29"/>
        <v>1000</v>
      </c>
      <c r="G211" s="46">
        <f t="shared" si="30"/>
        <v>377.5</v>
      </c>
      <c r="H211" s="47">
        <f t="shared" si="31"/>
        <v>9.6799999999999994E-3</v>
      </c>
      <c r="I211" s="47">
        <f t="shared" si="32"/>
        <v>0.4</v>
      </c>
      <c r="J211" s="46">
        <f t="shared" si="33"/>
        <v>5890</v>
      </c>
      <c r="K211" s="46">
        <f t="shared" si="34"/>
        <v>2355.4848000000002</v>
      </c>
      <c r="L211" s="48">
        <f t="shared" si="35"/>
        <v>0.39991252971137525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1000</v>
      </c>
      <c r="E212" s="46">
        <f t="shared" si="28"/>
        <v>0</v>
      </c>
      <c r="F212" s="46">
        <f t="shared" si="29"/>
        <v>1000</v>
      </c>
      <c r="G212" s="46">
        <f t="shared" si="30"/>
        <v>377.5</v>
      </c>
      <c r="H212" s="47">
        <f t="shared" si="31"/>
        <v>9.6799999999999994E-3</v>
      </c>
      <c r="I212" s="47">
        <f t="shared" si="32"/>
        <v>0.4</v>
      </c>
      <c r="J212" s="46">
        <f t="shared" si="33"/>
        <v>5720</v>
      </c>
      <c r="K212" s="46">
        <f t="shared" si="34"/>
        <v>2287.1304</v>
      </c>
      <c r="L212" s="48">
        <f t="shared" si="35"/>
        <v>0.39984797202797201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1000</v>
      </c>
      <c r="E213" s="46">
        <f t="shared" si="28"/>
        <v>0</v>
      </c>
      <c r="F213" s="46">
        <f t="shared" si="29"/>
        <v>1000</v>
      </c>
      <c r="G213" s="46">
        <f t="shared" si="30"/>
        <v>377.5</v>
      </c>
      <c r="H213" s="47">
        <f t="shared" si="31"/>
        <v>9.6799999999999994E-3</v>
      </c>
      <c r="I213" s="47">
        <f t="shared" si="32"/>
        <v>0.4</v>
      </c>
      <c r="J213" s="46">
        <f t="shared" si="33"/>
        <v>13510</v>
      </c>
      <c r="K213" s="46">
        <f t="shared" si="34"/>
        <v>5401.7232000000004</v>
      </c>
      <c r="L213" s="48">
        <f t="shared" si="35"/>
        <v>0.39983147298297561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1000</v>
      </c>
      <c r="E214" s="46">
        <f t="shared" si="28"/>
        <v>0</v>
      </c>
      <c r="F214" s="46">
        <f t="shared" si="29"/>
        <v>1000</v>
      </c>
      <c r="G214" s="46">
        <f t="shared" si="30"/>
        <v>377.5</v>
      </c>
      <c r="H214" s="47">
        <f t="shared" si="31"/>
        <v>9.6799999999999994E-3</v>
      </c>
      <c r="I214" s="47">
        <f t="shared" si="32"/>
        <v>0.4</v>
      </c>
      <c r="J214" s="46">
        <f t="shared" si="33"/>
        <v>4030</v>
      </c>
      <c r="K214" s="46">
        <f t="shared" si="34"/>
        <v>1613.4896000000001</v>
      </c>
      <c r="L214" s="48">
        <f t="shared" si="35"/>
        <v>0.40036962779156332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1000</v>
      </c>
      <c r="E215" s="46">
        <f t="shared" si="28"/>
        <v>0</v>
      </c>
      <c r="F215" s="46">
        <f t="shared" si="29"/>
        <v>1000</v>
      </c>
      <c r="G215" s="46">
        <f t="shared" si="30"/>
        <v>377.5</v>
      </c>
      <c r="H215" s="47">
        <f t="shared" si="31"/>
        <v>9.6799999999999994E-3</v>
      </c>
      <c r="I215" s="47">
        <f t="shared" si="32"/>
        <v>0.4</v>
      </c>
      <c r="J215" s="46">
        <f t="shared" si="33"/>
        <v>13510</v>
      </c>
      <c r="K215" s="46">
        <f t="shared" si="34"/>
        <v>5401.7232000000004</v>
      </c>
      <c r="L215" s="48">
        <f t="shared" si="35"/>
        <v>0.39983147298297561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1000</v>
      </c>
      <c r="E216" s="46">
        <f t="shared" si="28"/>
        <v>0</v>
      </c>
      <c r="F216" s="46">
        <f t="shared" si="29"/>
        <v>1000</v>
      </c>
      <c r="G216" s="46">
        <f t="shared" si="30"/>
        <v>377.5</v>
      </c>
      <c r="H216" s="47">
        <f t="shared" si="31"/>
        <v>9.6799999999999994E-3</v>
      </c>
      <c r="I216" s="47">
        <f t="shared" si="32"/>
        <v>0.4</v>
      </c>
      <c r="J216" s="46">
        <f t="shared" si="33"/>
        <v>13180</v>
      </c>
      <c r="K216" s="46">
        <f t="shared" si="34"/>
        <v>5274.9175999999998</v>
      </c>
      <c r="L216" s="48">
        <f t="shared" si="35"/>
        <v>0.40022136570561456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1000</v>
      </c>
      <c r="E217" s="46">
        <f t="shared" si="28"/>
        <v>0</v>
      </c>
      <c r="F217" s="46">
        <f t="shared" si="29"/>
        <v>1000</v>
      </c>
      <c r="G217" s="46">
        <f t="shared" si="30"/>
        <v>377.5</v>
      </c>
      <c r="H217" s="47">
        <f t="shared" si="31"/>
        <v>9.6799999999999994E-3</v>
      </c>
      <c r="I217" s="47">
        <f t="shared" si="32"/>
        <v>0.4</v>
      </c>
      <c r="J217" s="46">
        <f t="shared" si="33"/>
        <v>19270</v>
      </c>
      <c r="K217" s="46">
        <f t="shared" si="34"/>
        <v>7705.9664000000002</v>
      </c>
      <c r="L217" s="48">
        <f t="shared" si="35"/>
        <v>0.39989446808510637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1000</v>
      </c>
      <c r="E218" s="46">
        <f t="shared" si="28"/>
        <v>0</v>
      </c>
      <c r="F218" s="46">
        <f t="shared" si="29"/>
        <v>1000</v>
      </c>
      <c r="G218" s="46">
        <f t="shared" si="30"/>
        <v>377.5</v>
      </c>
      <c r="H218" s="47">
        <f t="shared" si="31"/>
        <v>9.6799999999999994E-3</v>
      </c>
      <c r="I218" s="47">
        <f t="shared" si="32"/>
        <v>0.4</v>
      </c>
      <c r="J218" s="46">
        <f t="shared" si="33"/>
        <v>6400</v>
      </c>
      <c r="K218" s="46">
        <f t="shared" si="34"/>
        <v>2560.5479999999998</v>
      </c>
      <c r="L218" s="48">
        <f t="shared" si="35"/>
        <v>0.40008562499999994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1000</v>
      </c>
      <c r="E219" s="46">
        <f t="shared" si="28"/>
        <v>0</v>
      </c>
      <c r="F219" s="46">
        <f t="shared" si="29"/>
        <v>1000</v>
      </c>
      <c r="G219" s="46">
        <f t="shared" si="30"/>
        <v>377.5</v>
      </c>
      <c r="H219" s="47">
        <f t="shared" si="31"/>
        <v>9.6799999999999994E-3</v>
      </c>
      <c r="I219" s="47">
        <f t="shared" si="32"/>
        <v>0.4</v>
      </c>
      <c r="J219" s="46">
        <f t="shared" si="33"/>
        <v>7750</v>
      </c>
      <c r="K219" s="46">
        <f t="shared" si="34"/>
        <v>3097.48</v>
      </c>
      <c r="L219" s="48">
        <f t="shared" si="35"/>
        <v>0.3996748387096774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1000</v>
      </c>
      <c r="E220" s="46">
        <f t="shared" si="28"/>
        <v>0</v>
      </c>
      <c r="F220" s="46">
        <f t="shared" si="29"/>
        <v>1000</v>
      </c>
      <c r="G220" s="46">
        <f t="shared" si="30"/>
        <v>377.5</v>
      </c>
      <c r="H220" s="47">
        <f t="shared" si="31"/>
        <v>9.6799999999999994E-3</v>
      </c>
      <c r="I220" s="47">
        <f t="shared" si="32"/>
        <v>0.4</v>
      </c>
      <c r="J220" s="46">
        <f t="shared" si="33"/>
        <v>22320</v>
      </c>
      <c r="K220" s="46">
        <f t="shared" si="34"/>
        <v>8926.4423999999999</v>
      </c>
      <c r="L220" s="48">
        <f t="shared" si="35"/>
        <v>0.39993021505376342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1000</v>
      </c>
      <c r="E221" s="46">
        <f t="shared" si="28"/>
        <v>0</v>
      </c>
      <c r="F221" s="46">
        <f t="shared" si="29"/>
        <v>1000</v>
      </c>
      <c r="G221" s="46">
        <f t="shared" si="30"/>
        <v>377.5</v>
      </c>
      <c r="H221" s="47">
        <f t="shared" si="31"/>
        <v>9.6799999999999994E-3</v>
      </c>
      <c r="I221" s="47">
        <f t="shared" si="32"/>
        <v>0.4</v>
      </c>
      <c r="J221" s="46">
        <f t="shared" si="33"/>
        <v>20970</v>
      </c>
      <c r="K221" s="46">
        <f t="shared" si="34"/>
        <v>8389.5103999999992</v>
      </c>
      <c r="L221" s="48">
        <f t="shared" si="35"/>
        <v>0.40007202670481634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1000</v>
      </c>
      <c r="E222" s="46">
        <f t="shared" si="28"/>
        <v>0</v>
      </c>
      <c r="F222" s="46">
        <f t="shared" si="29"/>
        <v>1000</v>
      </c>
      <c r="G222" s="46">
        <f t="shared" si="30"/>
        <v>377.5</v>
      </c>
      <c r="H222" s="47">
        <f t="shared" si="31"/>
        <v>9.6799999999999994E-3</v>
      </c>
      <c r="I222" s="47">
        <f t="shared" si="32"/>
        <v>0.4</v>
      </c>
      <c r="J222" s="46">
        <f t="shared" si="33"/>
        <v>10800</v>
      </c>
      <c r="K222" s="46">
        <f t="shared" si="34"/>
        <v>4317.9560000000001</v>
      </c>
      <c r="L222" s="48">
        <f t="shared" si="35"/>
        <v>0.39981074074074074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1000</v>
      </c>
      <c r="E223" s="46">
        <f t="shared" si="28"/>
        <v>0</v>
      </c>
      <c r="F223" s="46">
        <f t="shared" si="29"/>
        <v>1000</v>
      </c>
      <c r="G223" s="46">
        <f t="shared" si="30"/>
        <v>377.5</v>
      </c>
      <c r="H223" s="47">
        <f t="shared" si="31"/>
        <v>9.6799999999999994E-3</v>
      </c>
      <c r="I223" s="47">
        <f t="shared" si="32"/>
        <v>0.4</v>
      </c>
      <c r="J223" s="46">
        <f t="shared" si="33"/>
        <v>9960</v>
      </c>
      <c r="K223" s="46">
        <f t="shared" si="34"/>
        <v>3986.0871999999999</v>
      </c>
      <c r="L223" s="48">
        <f t="shared" si="35"/>
        <v>0.40020955823293169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1000</v>
      </c>
      <c r="E224" s="46">
        <f t="shared" si="28"/>
        <v>0</v>
      </c>
      <c r="F224" s="46">
        <f t="shared" si="29"/>
        <v>1000</v>
      </c>
      <c r="G224" s="46">
        <f t="shared" si="30"/>
        <v>377.5</v>
      </c>
      <c r="H224" s="47">
        <f t="shared" si="31"/>
        <v>9.6799999999999994E-3</v>
      </c>
      <c r="I224" s="47">
        <f t="shared" si="32"/>
        <v>0.4</v>
      </c>
      <c r="J224" s="46">
        <f t="shared" si="33"/>
        <v>12160</v>
      </c>
      <c r="K224" s="46">
        <f t="shared" si="34"/>
        <v>4864.7911999999997</v>
      </c>
      <c r="L224" s="48">
        <f t="shared" si="35"/>
        <v>0.40006506578947365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1000</v>
      </c>
      <c r="E225" s="46">
        <f t="shared" si="28"/>
        <v>0</v>
      </c>
      <c r="F225" s="46">
        <f t="shared" si="29"/>
        <v>1000</v>
      </c>
      <c r="G225" s="46">
        <f t="shared" si="30"/>
        <v>377.5</v>
      </c>
      <c r="H225" s="47">
        <f t="shared" si="31"/>
        <v>9.6799999999999994E-3</v>
      </c>
      <c r="I225" s="47">
        <f t="shared" si="32"/>
        <v>0.4</v>
      </c>
      <c r="J225" s="46">
        <f t="shared" si="33"/>
        <v>315720</v>
      </c>
      <c r="K225" s="46">
        <f t="shared" si="34"/>
        <v>126286.33040000001</v>
      </c>
      <c r="L225" s="48">
        <f t="shared" si="35"/>
        <v>0.39999471176992274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1000</v>
      </c>
      <c r="E226" s="46">
        <f t="shared" si="28"/>
        <v>0</v>
      </c>
      <c r="F226" s="46">
        <f t="shared" si="29"/>
        <v>1000</v>
      </c>
      <c r="G226" s="46">
        <f t="shared" si="30"/>
        <v>377.5</v>
      </c>
      <c r="H226" s="47">
        <f t="shared" si="31"/>
        <v>9.6799999999999994E-3</v>
      </c>
      <c r="I226" s="47">
        <f t="shared" si="32"/>
        <v>0.4</v>
      </c>
      <c r="J226" s="46">
        <f t="shared" si="33"/>
        <v>10460</v>
      </c>
      <c r="K226" s="46">
        <f t="shared" si="34"/>
        <v>4181.2471999999998</v>
      </c>
      <c r="L226" s="48">
        <f t="shared" si="35"/>
        <v>0.3997368260038241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1000</v>
      </c>
      <c r="E227" s="46">
        <f t="shared" si="28"/>
        <v>0</v>
      </c>
      <c r="F227" s="46">
        <f t="shared" si="29"/>
        <v>1000</v>
      </c>
      <c r="G227" s="46">
        <f t="shared" si="30"/>
        <v>377.5</v>
      </c>
      <c r="H227" s="47">
        <f t="shared" si="31"/>
        <v>9.6799999999999994E-3</v>
      </c>
      <c r="I227" s="47">
        <f t="shared" si="32"/>
        <v>0.4</v>
      </c>
      <c r="J227" s="46">
        <f t="shared" si="33"/>
        <v>9790</v>
      </c>
      <c r="K227" s="46">
        <f t="shared" si="34"/>
        <v>3917.7328000000002</v>
      </c>
      <c r="L227" s="48">
        <f t="shared" si="35"/>
        <v>0.40017699693564862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1000</v>
      </c>
      <c r="E228" s="46">
        <f t="shared" si="28"/>
        <v>0</v>
      </c>
      <c r="F228" s="46">
        <f t="shared" si="29"/>
        <v>1000</v>
      </c>
      <c r="G228" s="46">
        <f t="shared" si="30"/>
        <v>377.5</v>
      </c>
      <c r="H228" s="47">
        <f t="shared" si="31"/>
        <v>9.6799999999999994E-3</v>
      </c>
      <c r="I228" s="47">
        <f t="shared" si="32"/>
        <v>0.4</v>
      </c>
      <c r="J228" s="46">
        <f t="shared" si="33"/>
        <v>46380</v>
      </c>
      <c r="K228" s="46">
        <f t="shared" si="34"/>
        <v>18553.5416</v>
      </c>
      <c r="L228" s="48">
        <f t="shared" si="35"/>
        <v>0.40003323846485556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1000</v>
      </c>
      <c r="E229" s="46">
        <f t="shared" si="28"/>
        <v>0</v>
      </c>
      <c r="F229" s="46">
        <f t="shared" si="29"/>
        <v>1000</v>
      </c>
      <c r="G229" s="46">
        <f t="shared" si="30"/>
        <v>377.5</v>
      </c>
      <c r="H229" s="47">
        <f t="shared" si="31"/>
        <v>9.6799999999999994E-3</v>
      </c>
      <c r="I229" s="47">
        <f t="shared" si="32"/>
        <v>0.4</v>
      </c>
      <c r="J229" s="46">
        <f t="shared" si="33"/>
        <v>14190</v>
      </c>
      <c r="K229" s="46">
        <f t="shared" si="34"/>
        <v>5675.1408000000001</v>
      </c>
      <c r="L229" s="48">
        <f t="shared" si="35"/>
        <v>0.39993945031712475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1000</v>
      </c>
      <c r="E230" s="46">
        <f t="shared" si="28"/>
        <v>0</v>
      </c>
      <c r="F230" s="46">
        <f t="shared" si="29"/>
        <v>1000</v>
      </c>
      <c r="G230" s="46">
        <f t="shared" si="30"/>
        <v>377.5</v>
      </c>
      <c r="H230" s="47">
        <f t="shared" si="31"/>
        <v>9.6799999999999994E-3</v>
      </c>
      <c r="I230" s="47">
        <f t="shared" si="32"/>
        <v>0.4</v>
      </c>
      <c r="J230" s="46">
        <f t="shared" si="33"/>
        <v>23850</v>
      </c>
      <c r="K230" s="46">
        <f t="shared" si="34"/>
        <v>9541.6319999999996</v>
      </c>
      <c r="L230" s="48">
        <f t="shared" si="35"/>
        <v>0.40006842767295597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1000</v>
      </c>
      <c r="E231" s="46">
        <f t="shared" si="28"/>
        <v>0</v>
      </c>
      <c r="F231" s="46">
        <f t="shared" si="29"/>
        <v>1000</v>
      </c>
      <c r="G231" s="46">
        <f t="shared" si="30"/>
        <v>377.5</v>
      </c>
      <c r="H231" s="47">
        <f t="shared" si="31"/>
        <v>9.6799999999999994E-3</v>
      </c>
      <c r="I231" s="47">
        <f t="shared" si="32"/>
        <v>0.4</v>
      </c>
      <c r="J231" s="46">
        <f t="shared" si="33"/>
        <v>17580</v>
      </c>
      <c r="K231" s="46">
        <f t="shared" si="34"/>
        <v>7032.3256000000001</v>
      </c>
      <c r="L231" s="48">
        <f t="shared" si="35"/>
        <v>0.40001852104664393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1000</v>
      </c>
      <c r="E232" s="46">
        <f t="shared" si="28"/>
        <v>0</v>
      </c>
      <c r="F232" s="46">
        <f t="shared" si="29"/>
        <v>1000</v>
      </c>
      <c r="G232" s="46">
        <f t="shared" si="30"/>
        <v>377.5</v>
      </c>
      <c r="H232" s="47">
        <f t="shared" si="31"/>
        <v>9.6799999999999994E-3</v>
      </c>
      <c r="I232" s="47">
        <f t="shared" si="32"/>
        <v>0.4</v>
      </c>
      <c r="J232" s="46">
        <f t="shared" si="33"/>
        <v>9960</v>
      </c>
      <c r="K232" s="46">
        <f t="shared" si="34"/>
        <v>3986.0871999999999</v>
      </c>
      <c r="L232" s="48">
        <f t="shared" si="35"/>
        <v>0.40020955823293169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1000</v>
      </c>
      <c r="E233" s="46">
        <f t="shared" si="28"/>
        <v>0</v>
      </c>
      <c r="F233" s="46">
        <f t="shared" si="29"/>
        <v>1000</v>
      </c>
      <c r="G233" s="46">
        <f t="shared" si="30"/>
        <v>377.5</v>
      </c>
      <c r="H233" s="47">
        <f t="shared" si="31"/>
        <v>9.6799999999999994E-3</v>
      </c>
      <c r="I233" s="47">
        <f t="shared" si="32"/>
        <v>0.4</v>
      </c>
      <c r="J233" s="46">
        <f t="shared" si="33"/>
        <v>34520</v>
      </c>
      <c r="K233" s="46">
        <f t="shared" si="34"/>
        <v>13808.3464</v>
      </c>
      <c r="L233" s="48">
        <f t="shared" si="35"/>
        <v>0.40001003476245656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1000</v>
      </c>
      <c r="E234" s="46">
        <f t="shared" si="28"/>
        <v>0</v>
      </c>
      <c r="F234" s="46">
        <f t="shared" si="29"/>
        <v>1000</v>
      </c>
      <c r="G234" s="46">
        <f t="shared" si="30"/>
        <v>377.5</v>
      </c>
      <c r="H234" s="47">
        <f t="shared" si="31"/>
        <v>9.6799999999999994E-3</v>
      </c>
      <c r="I234" s="47">
        <f t="shared" si="32"/>
        <v>0.4</v>
      </c>
      <c r="J234" s="46">
        <f t="shared" si="33"/>
        <v>4030</v>
      </c>
      <c r="K234" s="46">
        <f t="shared" si="34"/>
        <v>1613.4896000000001</v>
      </c>
      <c r="L234" s="48">
        <f t="shared" si="35"/>
        <v>0.40036962779156332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1000</v>
      </c>
      <c r="E235" s="46">
        <f t="shared" si="28"/>
        <v>0</v>
      </c>
      <c r="F235" s="46">
        <f t="shared" si="29"/>
        <v>1000</v>
      </c>
      <c r="G235" s="46">
        <f t="shared" si="30"/>
        <v>377.5</v>
      </c>
      <c r="H235" s="47">
        <f t="shared" si="31"/>
        <v>9.6799999999999994E-3</v>
      </c>
      <c r="I235" s="47">
        <f t="shared" si="32"/>
        <v>0.4</v>
      </c>
      <c r="J235" s="46">
        <f t="shared" si="33"/>
        <v>26050</v>
      </c>
      <c r="K235" s="46">
        <f t="shared" si="34"/>
        <v>10420.335999999999</v>
      </c>
      <c r="L235" s="48">
        <f t="shared" si="35"/>
        <v>0.40001289827255276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1000</v>
      </c>
      <c r="E236" s="46">
        <f t="shared" si="28"/>
        <v>0</v>
      </c>
      <c r="F236" s="46">
        <f t="shared" si="29"/>
        <v>1000</v>
      </c>
      <c r="G236" s="46">
        <f t="shared" si="30"/>
        <v>377.5</v>
      </c>
      <c r="H236" s="47">
        <f t="shared" si="31"/>
        <v>9.6799999999999994E-3</v>
      </c>
      <c r="I236" s="47">
        <f t="shared" si="32"/>
        <v>0.4</v>
      </c>
      <c r="J236" s="46">
        <f t="shared" si="33"/>
        <v>20970</v>
      </c>
      <c r="K236" s="46">
        <f t="shared" si="34"/>
        <v>8389.5103999999992</v>
      </c>
      <c r="L236" s="48">
        <f t="shared" si="35"/>
        <v>0.40007202670481634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1000</v>
      </c>
      <c r="E237" s="46">
        <f t="shared" si="28"/>
        <v>0</v>
      </c>
      <c r="F237" s="46">
        <f t="shared" si="29"/>
        <v>1000</v>
      </c>
      <c r="G237" s="46">
        <f t="shared" si="30"/>
        <v>377.5</v>
      </c>
      <c r="H237" s="47">
        <f t="shared" si="31"/>
        <v>9.6799999999999994E-3</v>
      </c>
      <c r="I237" s="47">
        <f t="shared" si="32"/>
        <v>0.4</v>
      </c>
      <c r="J237" s="46">
        <f t="shared" si="33"/>
        <v>5720</v>
      </c>
      <c r="K237" s="46">
        <f t="shared" si="34"/>
        <v>2287.1304</v>
      </c>
      <c r="L237" s="48">
        <f t="shared" si="35"/>
        <v>0.39984797202797201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1000</v>
      </c>
      <c r="E238" s="46">
        <f t="shared" si="28"/>
        <v>0</v>
      </c>
      <c r="F238" s="46">
        <f t="shared" si="29"/>
        <v>1000</v>
      </c>
      <c r="G238" s="46">
        <f t="shared" si="30"/>
        <v>377.5</v>
      </c>
      <c r="H238" s="47">
        <f t="shared" si="31"/>
        <v>9.6799999999999994E-3</v>
      </c>
      <c r="I238" s="47">
        <f t="shared" si="32"/>
        <v>0.4</v>
      </c>
      <c r="J238" s="46">
        <f t="shared" si="33"/>
        <v>6400</v>
      </c>
      <c r="K238" s="46">
        <f t="shared" si="34"/>
        <v>2560.5479999999998</v>
      </c>
      <c r="L238" s="48">
        <f t="shared" si="35"/>
        <v>0.40008562499999994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1000</v>
      </c>
      <c r="E239" s="46">
        <f t="shared" si="28"/>
        <v>0</v>
      </c>
      <c r="F239" s="46">
        <f t="shared" si="29"/>
        <v>1000</v>
      </c>
      <c r="G239" s="46">
        <f t="shared" si="30"/>
        <v>377.5</v>
      </c>
      <c r="H239" s="47">
        <f t="shared" si="31"/>
        <v>9.6799999999999994E-3</v>
      </c>
      <c r="I239" s="47">
        <f t="shared" si="32"/>
        <v>0.4</v>
      </c>
      <c r="J239" s="46">
        <f t="shared" si="33"/>
        <v>4110</v>
      </c>
      <c r="K239" s="46">
        <f t="shared" si="34"/>
        <v>1642.7152000000001</v>
      </c>
      <c r="L239" s="48">
        <f t="shared" si="35"/>
        <v>0.39968739659367397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1000</v>
      </c>
      <c r="E240" s="46">
        <f t="shared" si="28"/>
        <v>0</v>
      </c>
      <c r="F240" s="46">
        <f t="shared" si="29"/>
        <v>1000</v>
      </c>
      <c r="G240" s="46">
        <f t="shared" si="30"/>
        <v>377.5</v>
      </c>
      <c r="H240" s="47">
        <f t="shared" si="31"/>
        <v>9.6799999999999994E-3</v>
      </c>
      <c r="I240" s="47">
        <f t="shared" si="32"/>
        <v>0.4</v>
      </c>
      <c r="J240" s="46">
        <f t="shared" si="33"/>
        <v>6570</v>
      </c>
      <c r="K240" s="46">
        <f t="shared" si="34"/>
        <v>2628.9023999999999</v>
      </c>
      <c r="L240" s="48">
        <f t="shared" si="35"/>
        <v>0.40013735159817349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1000</v>
      </c>
      <c r="E241" s="46">
        <f t="shared" si="28"/>
        <v>0</v>
      </c>
      <c r="F241" s="46">
        <f t="shared" si="29"/>
        <v>1000</v>
      </c>
      <c r="G241" s="46">
        <f t="shared" si="30"/>
        <v>377.5</v>
      </c>
      <c r="H241" s="47">
        <f t="shared" si="31"/>
        <v>9.6799999999999994E-3</v>
      </c>
      <c r="I241" s="47">
        <f t="shared" si="32"/>
        <v>0.4</v>
      </c>
      <c r="J241" s="46">
        <f t="shared" si="33"/>
        <v>4450</v>
      </c>
      <c r="K241" s="46">
        <f t="shared" si="34"/>
        <v>1779.424</v>
      </c>
      <c r="L241" s="48">
        <f t="shared" si="35"/>
        <v>0.39987056179775282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1000</v>
      </c>
      <c r="E242" s="46">
        <f t="shared" si="28"/>
        <v>0</v>
      </c>
      <c r="F242" s="46">
        <f t="shared" si="29"/>
        <v>1000</v>
      </c>
      <c r="G242" s="46">
        <f t="shared" si="30"/>
        <v>377.5</v>
      </c>
      <c r="H242" s="47">
        <f t="shared" si="31"/>
        <v>9.6799999999999994E-3</v>
      </c>
      <c r="I242" s="47">
        <f t="shared" si="32"/>
        <v>0.4</v>
      </c>
      <c r="J242" s="46">
        <f t="shared" si="33"/>
        <v>4370</v>
      </c>
      <c r="K242" s="46">
        <f t="shared" si="34"/>
        <v>1750.1984</v>
      </c>
      <c r="L242" s="48">
        <f t="shared" si="35"/>
        <v>0.40050306636155608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1000</v>
      </c>
      <c r="E243" s="46">
        <f t="shared" si="28"/>
        <v>0</v>
      </c>
      <c r="F243" s="46">
        <f t="shared" si="29"/>
        <v>1000</v>
      </c>
      <c r="G243" s="46">
        <f t="shared" si="30"/>
        <v>377.5</v>
      </c>
      <c r="H243" s="47">
        <f t="shared" si="31"/>
        <v>9.6799999999999994E-3</v>
      </c>
      <c r="I243" s="47">
        <f t="shared" si="32"/>
        <v>0.4</v>
      </c>
      <c r="J243" s="46">
        <f t="shared" si="33"/>
        <v>4870</v>
      </c>
      <c r="K243" s="46">
        <f t="shared" si="34"/>
        <v>1945.3584000000001</v>
      </c>
      <c r="L243" s="48">
        <f t="shared" si="35"/>
        <v>0.39945757700205342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1000</v>
      </c>
      <c r="E244" s="46">
        <f t="shared" si="28"/>
        <v>0</v>
      </c>
      <c r="F244" s="46">
        <f t="shared" si="29"/>
        <v>1000</v>
      </c>
      <c r="G244" s="46">
        <f t="shared" si="30"/>
        <v>377.5</v>
      </c>
      <c r="H244" s="47">
        <f t="shared" si="31"/>
        <v>9.6799999999999994E-3</v>
      </c>
      <c r="I244" s="47">
        <f t="shared" si="32"/>
        <v>0.4</v>
      </c>
      <c r="J244" s="46">
        <f t="shared" si="33"/>
        <v>7080</v>
      </c>
      <c r="K244" s="46">
        <f t="shared" si="34"/>
        <v>2833.9656</v>
      </c>
      <c r="L244" s="48">
        <f t="shared" si="35"/>
        <v>0.40027762711864406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1000</v>
      </c>
      <c r="E245" s="46">
        <f t="shared" si="28"/>
        <v>0</v>
      </c>
      <c r="F245" s="46">
        <f t="shared" si="29"/>
        <v>1000</v>
      </c>
      <c r="G245" s="46">
        <f t="shared" si="30"/>
        <v>377.5</v>
      </c>
      <c r="H245" s="47">
        <f t="shared" si="31"/>
        <v>9.6799999999999994E-3</v>
      </c>
      <c r="I245" s="47">
        <f t="shared" si="32"/>
        <v>0.4</v>
      </c>
      <c r="J245" s="46">
        <f t="shared" si="33"/>
        <v>6570</v>
      </c>
      <c r="K245" s="46">
        <f t="shared" si="34"/>
        <v>2628.9023999999999</v>
      </c>
      <c r="L245" s="48">
        <f t="shared" si="35"/>
        <v>0.40013735159817349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1000</v>
      </c>
      <c r="E246" s="46">
        <f t="shared" si="28"/>
        <v>0</v>
      </c>
      <c r="F246" s="46">
        <f t="shared" si="29"/>
        <v>1000</v>
      </c>
      <c r="G246" s="46">
        <f t="shared" si="30"/>
        <v>377.5</v>
      </c>
      <c r="H246" s="47">
        <f t="shared" si="31"/>
        <v>9.6799999999999994E-3</v>
      </c>
      <c r="I246" s="47">
        <f t="shared" si="32"/>
        <v>0.4</v>
      </c>
      <c r="J246" s="46">
        <f t="shared" si="33"/>
        <v>3180</v>
      </c>
      <c r="K246" s="46">
        <f t="shared" si="34"/>
        <v>1271.7175999999999</v>
      </c>
      <c r="L246" s="48">
        <f t="shared" si="35"/>
        <v>0.39991119496855343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1000</v>
      </c>
      <c r="E247" s="46">
        <f t="shared" si="28"/>
        <v>0</v>
      </c>
      <c r="F247" s="46">
        <f t="shared" si="29"/>
        <v>1000</v>
      </c>
      <c r="G247" s="46">
        <f t="shared" si="30"/>
        <v>377.5</v>
      </c>
      <c r="H247" s="47">
        <f t="shared" si="31"/>
        <v>9.6799999999999994E-3</v>
      </c>
      <c r="I247" s="47">
        <f t="shared" si="32"/>
        <v>0.4</v>
      </c>
      <c r="J247" s="46">
        <f t="shared" si="33"/>
        <v>10800</v>
      </c>
      <c r="K247" s="46">
        <f t="shared" si="34"/>
        <v>4317.9560000000001</v>
      </c>
      <c r="L247" s="48">
        <f t="shared" si="35"/>
        <v>0.39981074074074074</v>
      </c>
    </row>
    <row r="248" spans="1:12">
      <c r="A248" s="43" t="s">
        <v>1307</v>
      </c>
      <c r="B248" s="44">
        <v>8000</v>
      </c>
      <c r="C248" s="45" t="s">
        <v>1737</v>
      </c>
      <c r="D248" s="44">
        <f t="shared" si="27"/>
        <v>1000</v>
      </c>
      <c r="E248" s="46">
        <f t="shared" si="28"/>
        <v>1000</v>
      </c>
      <c r="F248" s="46">
        <f t="shared" si="29"/>
        <v>1000</v>
      </c>
      <c r="G248" s="46">
        <f t="shared" si="30"/>
        <v>377.5</v>
      </c>
      <c r="H248" s="47">
        <f t="shared" si="31"/>
        <v>9.6799999999999994E-3</v>
      </c>
      <c r="I248" s="47">
        <f t="shared" si="32"/>
        <v>0.4</v>
      </c>
      <c r="J248" s="46">
        <f t="shared" si="33"/>
        <v>17580</v>
      </c>
      <c r="K248" s="46">
        <f t="shared" si="34"/>
        <v>7032.3256000000001</v>
      </c>
      <c r="L248" s="48">
        <f t="shared" si="35"/>
        <v>0.40001852104664393</v>
      </c>
    </row>
    <row r="249" spans="1:12">
      <c r="A249" s="43" t="s">
        <v>1314</v>
      </c>
      <c r="B249" s="44">
        <v>2600</v>
      </c>
      <c r="C249" s="45" t="s">
        <v>1737</v>
      </c>
      <c r="D249" s="44">
        <f t="shared" si="27"/>
        <v>1000</v>
      </c>
      <c r="E249" s="46">
        <f t="shared" si="28"/>
        <v>1000</v>
      </c>
      <c r="F249" s="46">
        <f t="shared" si="29"/>
        <v>1000</v>
      </c>
      <c r="G249" s="46">
        <f t="shared" si="30"/>
        <v>377.5</v>
      </c>
      <c r="H249" s="47">
        <f t="shared" si="31"/>
        <v>9.6799999999999994E-3</v>
      </c>
      <c r="I249" s="47">
        <f t="shared" si="32"/>
        <v>0.4</v>
      </c>
      <c r="J249" s="46">
        <f t="shared" si="33"/>
        <v>8430</v>
      </c>
      <c r="K249" s="46">
        <f t="shared" si="34"/>
        <v>3370.8976000000002</v>
      </c>
      <c r="L249" s="48">
        <f t="shared" si="35"/>
        <v>0.39986922894424676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1000</v>
      </c>
      <c r="E250" s="46">
        <f t="shared" si="28"/>
        <v>0</v>
      </c>
      <c r="F250" s="46">
        <f t="shared" si="29"/>
        <v>1000</v>
      </c>
      <c r="G250" s="46">
        <f t="shared" si="30"/>
        <v>377.5</v>
      </c>
      <c r="H250" s="47">
        <f t="shared" si="31"/>
        <v>9.6799999999999994E-3</v>
      </c>
      <c r="I250" s="47">
        <f t="shared" si="32"/>
        <v>0.4</v>
      </c>
      <c r="J250" s="46">
        <f t="shared" si="33"/>
        <v>3690</v>
      </c>
      <c r="K250" s="46">
        <f t="shared" si="34"/>
        <v>1476.7808</v>
      </c>
      <c r="L250" s="48">
        <f t="shared" si="35"/>
        <v>0.40021159891598918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zoomScale="40" zoomScaleNormal="40" workbookViewId="0">
      <selection activeCell="M53" sqref="M53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49" t="s">
        <v>1322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32" customHeight="1">
      <c r="A2" s="54" t="s">
        <v>1323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4" spans="1:15">
      <c r="A4" s="55" t="s">
        <v>1324</v>
      </c>
      <c r="B4" s="55"/>
      <c r="C4" s="55"/>
      <c r="D4" s="55"/>
      <c r="F4" s="55" t="s">
        <v>1325</v>
      </c>
      <c r="G4" s="55"/>
      <c r="H4" s="55"/>
      <c r="I4" s="55"/>
      <c r="J4" s="55"/>
      <c r="L4" s="55" t="s">
        <v>1326</v>
      </c>
      <c r="M4" s="55"/>
      <c r="N4" s="55"/>
      <c r="O4" s="55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1336</v>
      </c>
      <c r="O7" s="10" t="s">
        <v>1337</v>
      </c>
    </row>
    <row r="8" spans="1:15">
      <c r="A8" s="30" t="str">
        <f t="shared" si="0"/>
        <v>CAT-003</v>
      </c>
      <c r="B8" s="6" t="s">
        <v>1338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1339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1340</v>
      </c>
      <c r="O8" s="10" t="s">
        <v>1341</v>
      </c>
    </row>
    <row r="9" spans="1:15">
      <c r="A9" s="30" t="str">
        <f t="shared" si="0"/>
        <v>CAT-004</v>
      </c>
      <c r="B9" s="6" t="s">
        <v>1342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1343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1344</v>
      </c>
      <c r="O9" s="10" t="s">
        <v>1345</v>
      </c>
    </row>
    <row r="10" spans="1:15">
      <c r="A10" s="30" t="str">
        <f t="shared" si="0"/>
        <v>CAT-005</v>
      </c>
      <c r="B10" s="6" t="s">
        <v>1346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1347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1348</v>
      </c>
      <c r="O10" s="10" t="s">
        <v>1349</v>
      </c>
    </row>
    <row r="11" spans="1:15">
      <c r="A11" s="30" t="str">
        <f t="shared" si="0"/>
        <v>CAT-006</v>
      </c>
      <c r="B11" s="6" t="s">
        <v>1350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1351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1352</v>
      </c>
      <c r="O11" s="10" t="s">
        <v>1353</v>
      </c>
    </row>
    <row r="12" spans="1:15">
      <c r="A12" s="30" t="str">
        <f t="shared" si="0"/>
        <v>CAT-007</v>
      </c>
      <c r="B12" s="6" t="s">
        <v>1354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1355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1356</v>
      </c>
      <c r="O12" s="10" t="s">
        <v>1353</v>
      </c>
    </row>
    <row r="13" spans="1:15">
      <c r="A13" s="30" t="str">
        <f t="shared" si="0"/>
        <v>CAT-008</v>
      </c>
      <c r="B13" s="6" t="s">
        <v>1357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1358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1359</v>
      </c>
      <c r="O13" s="10" t="s">
        <v>1360</v>
      </c>
    </row>
    <row r="14" spans="1:15">
      <c r="A14" s="30" t="str">
        <f t="shared" si="0"/>
        <v>CAT-009</v>
      </c>
      <c r="B14" s="6" t="s">
        <v>1361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1362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1363</v>
      </c>
      <c r="O14" s="10" t="s">
        <v>1360</v>
      </c>
    </row>
    <row r="15" spans="1:15">
      <c r="A15" s="30" t="str">
        <f t="shared" si="0"/>
        <v>CAT-010</v>
      </c>
      <c r="B15" s="6" t="s">
        <v>1364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1365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1366</v>
      </c>
      <c r="O15" s="10" t="s">
        <v>1367</v>
      </c>
    </row>
    <row r="16" spans="1:15">
      <c r="A16" s="30" t="str">
        <f t="shared" si="0"/>
        <v>CAT-011</v>
      </c>
      <c r="B16" s="6" t="s">
        <v>1368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1369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1370</v>
      </c>
      <c r="O16" s="10" t="s">
        <v>1367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1371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1372</v>
      </c>
      <c r="O17" s="10" t="s">
        <v>1367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1373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1374</v>
      </c>
      <c r="O18" s="10" t="s">
        <v>1367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1375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1376</v>
      </c>
      <c r="O19" s="10" t="s">
        <v>1367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1377</v>
      </c>
      <c r="O20" s="10" t="s">
        <v>1378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1379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1380</v>
      </c>
      <c r="O21" s="10" t="s">
        <v>1378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1381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1382</v>
      </c>
      <c r="O22" s="10" t="s">
        <v>1378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1383</v>
      </c>
      <c r="O23" s="10" t="s">
        <v>1378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1384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1385</v>
      </c>
      <c r="O24" s="10" t="s">
        <v>1378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1386</v>
      </c>
      <c r="O25" s="10" t="s">
        <v>1378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1387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1388</v>
      </c>
      <c r="O26" s="10" t="s">
        <v>1378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1389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1390</v>
      </c>
      <c r="O27" s="10" t="s">
        <v>1378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1391</v>
      </c>
      <c r="O28" s="10" t="s">
        <v>1378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1392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1393</v>
      </c>
      <c r="O29" s="10" t="s">
        <v>1378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1394</v>
      </c>
      <c r="O30" s="10" t="s">
        <v>1395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1396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1397</v>
      </c>
      <c r="O31" s="10" t="s">
        <v>1395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1398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1399</v>
      </c>
      <c r="O32" s="10" t="s">
        <v>1395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1400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1401</v>
      </c>
      <c r="O33" s="10" t="s">
        <v>1395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1402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1403</v>
      </c>
      <c r="O34" s="10" t="s">
        <v>1395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1404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1405</v>
      </c>
      <c r="O35" s="10" t="s">
        <v>1395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1406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1407</v>
      </c>
      <c r="O36" s="10" t="s">
        <v>1395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1408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1409</v>
      </c>
      <c r="O37" s="10" t="s">
        <v>1395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1410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1411</v>
      </c>
      <c r="O38" s="10" t="s">
        <v>1412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1413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1414</v>
      </c>
      <c r="O39" s="10" t="s">
        <v>1412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1415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1416</v>
      </c>
      <c r="O40" s="10" t="s">
        <v>1412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1417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1418</v>
      </c>
      <c r="O41" s="10" t="s">
        <v>1412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1419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1420</v>
      </c>
      <c r="O42" s="10" t="s">
        <v>1412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1421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1422</v>
      </c>
      <c r="O43" s="10" t="s">
        <v>1412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1423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1424</v>
      </c>
      <c r="O44" s="10" t="s">
        <v>1412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1425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1426</v>
      </c>
      <c r="O45" s="10" t="s">
        <v>1412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1427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1428</v>
      </c>
      <c r="O46" s="10" t="s">
        <v>1412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1429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1430</v>
      </c>
      <c r="O47" s="10" t="s">
        <v>1412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1431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1432</v>
      </c>
      <c r="O48" s="10" t="s">
        <v>1412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1433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1434</v>
      </c>
      <c r="O49" s="10" t="s">
        <v>1412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1435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1436</v>
      </c>
      <c r="O50" s="10" t="s">
        <v>1412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1437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1438</v>
      </c>
      <c r="O51" s="10" t="s">
        <v>1412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1439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1440</v>
      </c>
      <c r="O52" s="10" t="s">
        <v>1412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1441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1442</v>
      </c>
      <c r="O53" s="10" t="s">
        <v>1412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1443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1444</v>
      </c>
      <c r="O54" s="10" t="s">
        <v>1412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1445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1446</v>
      </c>
      <c r="O55" s="10" t="s">
        <v>1412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1447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1448</v>
      </c>
      <c r="O56" s="10" t="s">
        <v>1412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1449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1450</v>
      </c>
      <c r="O57" s="10" t="s">
        <v>1412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1451</v>
      </c>
      <c r="O58" s="10" t="s">
        <v>1412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1452</v>
      </c>
      <c r="O59" s="10" t="s">
        <v>1412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1453</v>
      </c>
      <c r="O60" s="10" t="s">
        <v>1412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1454</v>
      </c>
      <c r="O61" s="10" t="s">
        <v>1412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1455</v>
      </c>
      <c r="O62" s="10" t="s">
        <v>1412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1456</v>
      </c>
      <c r="O63" s="10" t="s">
        <v>1412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1457</v>
      </c>
      <c r="O64" s="10" t="s">
        <v>1412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1458</v>
      </c>
      <c r="O65" s="10" t="s">
        <v>1412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1459</v>
      </c>
      <c r="O66" s="10" t="s">
        <v>1412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1460</v>
      </c>
      <c r="O67" s="10" t="s">
        <v>1412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1461</v>
      </c>
      <c r="O68" s="10" t="s">
        <v>1412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1462</v>
      </c>
      <c r="O69" s="10" t="s">
        <v>1412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1463</v>
      </c>
      <c r="O70" s="10" t="s">
        <v>1412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1464</v>
      </c>
      <c r="O71" s="10" t="s">
        <v>1412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1465</v>
      </c>
      <c r="O72" s="10" t="s">
        <v>1412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1466</v>
      </c>
      <c r="O73" s="10" t="s">
        <v>1467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1468</v>
      </c>
      <c r="O74" s="10" t="s">
        <v>1469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1470</v>
      </c>
      <c r="O75" s="10" t="s">
        <v>1471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1472</v>
      </c>
      <c r="O76" s="10" t="s">
        <v>1473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1474</v>
      </c>
      <c r="O77" s="10" t="s">
        <v>1473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1475</v>
      </c>
      <c r="O78" s="10" t="s">
        <v>1473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1476</v>
      </c>
      <c r="O79" s="10" t="s">
        <v>1473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1477</v>
      </c>
      <c r="O80" s="10" t="s">
        <v>1473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1478</v>
      </c>
      <c r="O81" s="10" t="s">
        <v>1473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1479</v>
      </c>
      <c r="O82" s="10" t="s">
        <v>1473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1480</v>
      </c>
      <c r="O83" s="10" t="s">
        <v>1473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1481</v>
      </c>
      <c r="O84" s="10" t="s">
        <v>1473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1482</v>
      </c>
      <c r="O85" s="10" t="s">
        <v>1483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1484</v>
      </c>
      <c r="O86" s="10" t="s">
        <v>1485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1486</v>
      </c>
      <c r="O87" s="10" t="s">
        <v>1487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1488</v>
      </c>
      <c r="O88" s="10" t="s">
        <v>1487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1489</v>
      </c>
      <c r="O89" s="10" t="s">
        <v>1487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1490</v>
      </c>
      <c r="O90" s="10" t="s">
        <v>1487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1491</v>
      </c>
      <c r="O91" s="10" t="s">
        <v>1487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1492</v>
      </c>
      <c r="O92" s="10" t="s">
        <v>1493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1494</v>
      </c>
      <c r="O93" s="10" t="s">
        <v>1495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1496</v>
      </c>
      <c r="O94" s="10" t="s">
        <v>1497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1498</v>
      </c>
      <c r="O95" s="10" t="s">
        <v>1497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1499</v>
      </c>
      <c r="O96" s="10" t="s">
        <v>1497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1500</v>
      </c>
      <c r="O97" s="10" t="s">
        <v>1497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1501</v>
      </c>
      <c r="O98" s="10" t="s">
        <v>1497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1502</v>
      </c>
      <c r="O99" s="10" t="s">
        <v>1497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1503</v>
      </c>
      <c r="O100" s="10" t="s">
        <v>1504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1505</v>
      </c>
      <c r="O101" s="10" t="s">
        <v>1504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1506</v>
      </c>
      <c r="O102" s="10" t="s">
        <v>1504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1507</v>
      </c>
      <c r="O103" s="10" t="s">
        <v>1504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1508</v>
      </c>
      <c r="O104" s="10" t="s">
        <v>1504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1509</v>
      </c>
      <c r="O105" s="10" t="s">
        <v>1504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1510</v>
      </c>
      <c r="O106" s="10" t="s">
        <v>1504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1511</v>
      </c>
      <c r="O107" s="10" t="s">
        <v>1504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1512</v>
      </c>
      <c r="O108" s="10" t="s">
        <v>1504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1513</v>
      </c>
      <c r="O109" s="10" t="s">
        <v>1504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1514</v>
      </c>
      <c r="O110" s="10" t="s">
        <v>1504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1515</v>
      </c>
      <c r="O111" s="10" t="s">
        <v>1504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1516</v>
      </c>
      <c r="O112" s="10" t="s">
        <v>1504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1517</v>
      </c>
      <c r="O113" s="10" t="s">
        <v>1504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1518</v>
      </c>
      <c r="O114" s="10" t="s">
        <v>1504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1519</v>
      </c>
      <c r="O115" s="10" t="s">
        <v>1504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1520</v>
      </c>
      <c r="O116" s="10" t="s">
        <v>1504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1521</v>
      </c>
      <c r="O117" s="10" t="s">
        <v>1504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1522</v>
      </c>
      <c r="O118" s="10" t="s">
        <v>1504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1523</v>
      </c>
      <c r="O119" s="10" t="s">
        <v>1504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1524</v>
      </c>
      <c r="O120" s="10" t="s">
        <v>1504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1525</v>
      </c>
      <c r="O121" s="10" t="s">
        <v>1504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1526</v>
      </c>
      <c r="O122" s="10" t="s">
        <v>1504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1527</v>
      </c>
      <c r="O123" s="10" t="s">
        <v>1504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1528</v>
      </c>
      <c r="O124" s="10" t="s">
        <v>1504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1529</v>
      </c>
      <c r="O125" s="10" t="s">
        <v>1504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1530</v>
      </c>
      <c r="O126" s="10" t="s">
        <v>1504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1531</v>
      </c>
      <c r="O127" s="10" t="s">
        <v>1532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1533</v>
      </c>
      <c r="O128" s="10" t="s">
        <v>1534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1535</v>
      </c>
      <c r="O129" s="10" t="s">
        <v>1536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1537</v>
      </c>
      <c r="O130" s="10" t="s">
        <v>1538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1539</v>
      </c>
      <c r="O131" s="10" t="s">
        <v>1538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1540</v>
      </c>
      <c r="O132" s="10" t="s">
        <v>1337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1541</v>
      </c>
      <c r="O133" s="10" t="s">
        <v>1337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1542</v>
      </c>
      <c r="O134" s="10" t="s">
        <v>1543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1544</v>
      </c>
      <c r="O135" s="10" t="s">
        <v>1543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1545</v>
      </c>
      <c r="O136" s="10" t="s">
        <v>1546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1547</v>
      </c>
      <c r="O137" s="10" t="s">
        <v>1546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1548</v>
      </c>
      <c r="O138" s="10" t="s">
        <v>1349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1549</v>
      </c>
      <c r="O139" s="10" t="s">
        <v>1349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1550</v>
      </c>
      <c r="O140" s="10" t="s">
        <v>1349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1551</v>
      </c>
      <c r="O141" s="10" t="s">
        <v>1349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1552</v>
      </c>
      <c r="O142" s="10" t="s">
        <v>1553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1554</v>
      </c>
      <c r="O143" s="10" t="s">
        <v>1553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1555</v>
      </c>
      <c r="O144" s="10" t="s">
        <v>1553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1556</v>
      </c>
      <c r="O145" s="10" t="s">
        <v>1553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1557</v>
      </c>
      <c r="O146" s="10" t="s">
        <v>1553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1558</v>
      </c>
      <c r="O147" s="10" t="s">
        <v>1553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1559</v>
      </c>
      <c r="O148" s="10" t="s">
        <v>1553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1560</v>
      </c>
      <c r="O149" s="10" t="s">
        <v>1553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1561</v>
      </c>
      <c r="O150" s="10" t="s">
        <v>1553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1562</v>
      </c>
      <c r="O151" s="10" t="s">
        <v>1553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1563</v>
      </c>
      <c r="O152" s="10" t="s">
        <v>1553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1564</v>
      </c>
      <c r="O153" s="10" t="s">
        <v>1553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1565</v>
      </c>
      <c r="O154" s="10" t="s">
        <v>1566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1567</v>
      </c>
      <c r="O155" s="10" t="s">
        <v>1566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1568</v>
      </c>
      <c r="O156" s="10" t="s">
        <v>1569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1570</v>
      </c>
      <c r="O157" s="10" t="s">
        <v>1569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1571</v>
      </c>
      <c r="O158" s="10" t="s">
        <v>1569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1572</v>
      </c>
      <c r="O159" s="10" t="s">
        <v>1569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1573</v>
      </c>
      <c r="O160" s="10" t="s">
        <v>1569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1574</v>
      </c>
      <c r="O161" s="10" t="s">
        <v>1575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1576</v>
      </c>
      <c r="O162" s="10" t="s">
        <v>1575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1577</v>
      </c>
      <c r="O163" s="10" t="s">
        <v>1575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1578</v>
      </c>
      <c r="O164" s="10" t="s">
        <v>1575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1579</v>
      </c>
      <c r="O165" s="10" t="s">
        <v>1575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1580</v>
      </c>
      <c r="O166" s="10" t="s">
        <v>1575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1581</v>
      </c>
      <c r="O167" s="10" t="s">
        <v>1575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1582</v>
      </c>
      <c r="O168" s="10" t="s">
        <v>1583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1584</v>
      </c>
      <c r="O169" s="10" t="s">
        <v>1583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1585</v>
      </c>
      <c r="O170" s="10" t="s">
        <v>1583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1586</v>
      </c>
      <c r="O171" s="10" t="s">
        <v>1583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1587</v>
      </c>
      <c r="O172" s="10" t="s">
        <v>1583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1588</v>
      </c>
      <c r="O173" s="10" t="s">
        <v>1589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1590</v>
      </c>
      <c r="O174" s="10" t="s">
        <v>1589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1591</v>
      </c>
      <c r="O175" s="10" t="s">
        <v>1589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1592</v>
      </c>
      <c r="O176" s="10" t="s">
        <v>1589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1593</v>
      </c>
      <c r="O177" s="10" t="s">
        <v>1589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1594</v>
      </c>
      <c r="O178" s="10" t="s">
        <v>1595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1596</v>
      </c>
      <c r="O179" s="10" t="s">
        <v>1597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1598</v>
      </c>
      <c r="O180" s="10" t="s">
        <v>1599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1600</v>
      </c>
      <c r="O181" s="10" t="s">
        <v>1601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1602</v>
      </c>
      <c r="O182" s="10" t="s">
        <v>1603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1604</v>
      </c>
      <c r="O183" s="10" t="s">
        <v>1605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1606</v>
      </c>
      <c r="O184" s="10" t="s">
        <v>1605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1607</v>
      </c>
      <c r="O185" s="10" t="s">
        <v>1605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1608</v>
      </c>
      <c r="O186" s="10" t="s">
        <v>1609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1610</v>
      </c>
      <c r="O187" s="10" t="s">
        <v>1609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1611</v>
      </c>
      <c r="O188" s="10" t="s">
        <v>1609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1612</v>
      </c>
      <c r="O189" s="10" t="s">
        <v>1609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1613</v>
      </c>
      <c r="O190" s="10" t="s">
        <v>1609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1614</v>
      </c>
      <c r="O191" s="10" t="s">
        <v>1609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1615</v>
      </c>
      <c r="O192" s="10" t="s">
        <v>1616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1617</v>
      </c>
      <c r="O193" s="10" t="s">
        <v>1616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1618</v>
      </c>
      <c r="O194" s="10" t="s">
        <v>1616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1619</v>
      </c>
      <c r="O195" s="10" t="s">
        <v>1616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1620</v>
      </c>
      <c r="O196" s="10" t="s">
        <v>1616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1621</v>
      </c>
      <c r="O197" s="10" t="s">
        <v>1622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1623</v>
      </c>
      <c r="O198" s="10" t="s">
        <v>1622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1624</v>
      </c>
      <c r="O199" s="10" t="s">
        <v>1625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1626</v>
      </c>
      <c r="O200" s="10" t="s">
        <v>1625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1627</v>
      </c>
      <c r="O201" s="10" t="s">
        <v>1625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1628</v>
      </c>
      <c r="O202" s="10" t="s">
        <v>1625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1629</v>
      </c>
      <c r="O203" s="10" t="s">
        <v>1625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1630</v>
      </c>
      <c r="O204" s="10" t="s">
        <v>1625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1631</v>
      </c>
      <c r="O205" s="10" t="s">
        <v>1632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1633</v>
      </c>
      <c r="O206" s="10" t="s">
        <v>1632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1634</v>
      </c>
      <c r="O207" s="10" t="s">
        <v>1632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1635</v>
      </c>
      <c r="O208" s="10" t="s">
        <v>1636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1637</v>
      </c>
      <c r="O209" s="10" t="s">
        <v>1636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1638</v>
      </c>
      <c r="O210" s="10" t="s">
        <v>1636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1639</v>
      </c>
      <c r="O211" s="10" t="s">
        <v>1636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1640</v>
      </c>
      <c r="O212" s="10" t="s">
        <v>1636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1641</v>
      </c>
      <c r="O213" s="10" t="s">
        <v>1642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1643</v>
      </c>
      <c r="O214" s="10" t="s">
        <v>1642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1644</v>
      </c>
      <c r="O215" s="10" t="s">
        <v>1642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1645</v>
      </c>
      <c r="O216" s="10" t="s">
        <v>1642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1646</v>
      </c>
      <c r="O217" s="10" t="s">
        <v>1647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1648</v>
      </c>
      <c r="O218" s="10" t="s">
        <v>1647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1649</v>
      </c>
      <c r="O219" s="10" t="s">
        <v>1647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1650</v>
      </c>
      <c r="O220" s="10" t="s">
        <v>1647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1651</v>
      </c>
      <c r="O221" s="10" t="s">
        <v>1647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1652</v>
      </c>
      <c r="O222" s="10" t="s">
        <v>1653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1654</v>
      </c>
      <c r="O223" s="10" t="s">
        <v>1653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1655</v>
      </c>
      <c r="O224" s="10" t="s">
        <v>1656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1657</v>
      </c>
      <c r="O225" s="10" t="s">
        <v>1656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1658</v>
      </c>
      <c r="O226" s="10" t="s">
        <v>1656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1659</v>
      </c>
      <c r="O227" s="10" t="s">
        <v>1660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1661</v>
      </c>
      <c r="O228" s="10" t="s">
        <v>1660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1662</v>
      </c>
      <c r="O229" s="10" t="s">
        <v>1663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1664</v>
      </c>
      <c r="O230" s="10" t="s">
        <v>1605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1665</v>
      </c>
      <c r="O231" s="10" t="s">
        <v>1665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1666</v>
      </c>
      <c r="O232" s="10" t="s">
        <v>1575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workbookViewId="0">
      <selection activeCell="C9" sqref="C9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1667</v>
      </c>
      <c r="B1" s="2" t="s">
        <v>3</v>
      </c>
      <c r="C1" s="2" t="s">
        <v>1668</v>
      </c>
      <c r="D1" s="2" t="s">
        <v>1669</v>
      </c>
      <c r="E1" s="2" t="s">
        <v>1670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>
      <selection activeCell="D17" sqref="D17"/>
    </sheetView>
  </sheetViews>
  <sheetFormatPr defaultRowHeight="14"/>
  <sheetData>
    <row r="1" spans="1:8" ht="20">
      <c r="A1" s="1" t="s">
        <v>1671</v>
      </c>
      <c r="B1" s="1"/>
      <c r="C1" s="1"/>
      <c r="D1" s="1"/>
      <c r="E1" s="1"/>
      <c r="F1" s="1"/>
      <c r="G1" s="1"/>
      <c r="H1" s="1"/>
    </row>
    <row r="2" spans="1:8">
      <c r="A2" t="s">
        <v>1672</v>
      </c>
    </row>
    <row r="4" spans="1:8" ht="42">
      <c r="A4" s="2" t="s">
        <v>1673</v>
      </c>
      <c r="B4" s="2" t="s">
        <v>12</v>
      </c>
      <c r="C4" s="2" t="s">
        <v>1674</v>
      </c>
      <c r="D4" s="2" t="s">
        <v>1675</v>
      </c>
      <c r="E4" s="2" t="s">
        <v>1676</v>
      </c>
      <c r="F4" s="2" t="s">
        <v>1677</v>
      </c>
      <c r="G4" s="2" t="s">
        <v>1678</v>
      </c>
      <c r="H4" s="2" t="s">
        <v>1679</v>
      </c>
    </row>
    <row r="5" spans="1:8">
      <c r="A5" t="s">
        <v>24</v>
      </c>
      <c r="B5" t="s">
        <v>28</v>
      </c>
      <c r="C5" t="s">
        <v>31</v>
      </c>
      <c r="D5" t="s">
        <v>1680</v>
      </c>
      <c r="E5" t="s">
        <v>1681</v>
      </c>
      <c r="F5" t="s">
        <v>1682</v>
      </c>
      <c r="G5" t="s">
        <v>1680</v>
      </c>
    </row>
    <row r="6" spans="1:8">
      <c r="A6" t="s">
        <v>36</v>
      </c>
      <c r="B6" t="s">
        <v>39</v>
      </c>
      <c r="C6" t="s">
        <v>40</v>
      </c>
      <c r="D6" t="s">
        <v>1680</v>
      </c>
      <c r="E6" t="s">
        <v>1681</v>
      </c>
      <c r="F6" t="s">
        <v>1682</v>
      </c>
      <c r="G6" t="s">
        <v>1680</v>
      </c>
    </row>
    <row r="7" spans="1:8">
      <c r="A7" t="s">
        <v>43</v>
      </c>
      <c r="B7" t="s">
        <v>45</v>
      </c>
      <c r="C7" t="s">
        <v>46</v>
      </c>
      <c r="D7" t="s">
        <v>1680</v>
      </c>
      <c r="E7" t="s">
        <v>1681</v>
      </c>
      <c r="F7" t="s">
        <v>1682</v>
      </c>
      <c r="G7" t="s">
        <v>1680</v>
      </c>
    </row>
    <row r="8" spans="1:8">
      <c r="A8" t="s">
        <v>49</v>
      </c>
      <c r="B8" t="s">
        <v>51</v>
      </c>
      <c r="C8" t="s">
        <v>52</v>
      </c>
      <c r="D8" t="s">
        <v>1680</v>
      </c>
      <c r="E8" t="s">
        <v>1681</v>
      </c>
      <c r="F8" t="s">
        <v>1682</v>
      </c>
      <c r="G8" t="s">
        <v>1680</v>
      </c>
    </row>
    <row r="9" spans="1:8">
      <c r="A9" t="s">
        <v>55</v>
      </c>
      <c r="B9" t="s">
        <v>58</v>
      </c>
      <c r="C9" t="s">
        <v>60</v>
      </c>
      <c r="D9" t="s">
        <v>1680</v>
      </c>
      <c r="E9" t="s">
        <v>1681</v>
      </c>
      <c r="F9" t="s">
        <v>1682</v>
      </c>
      <c r="G9" t="s">
        <v>1680</v>
      </c>
    </row>
    <row r="10" spans="1:8">
      <c r="A10" t="s">
        <v>63</v>
      </c>
      <c r="B10" t="s">
        <v>65</v>
      </c>
      <c r="C10" t="s">
        <v>67</v>
      </c>
      <c r="D10" t="s">
        <v>1680</v>
      </c>
      <c r="E10" t="s">
        <v>1681</v>
      </c>
      <c r="F10" t="s">
        <v>1682</v>
      </c>
      <c r="G10" t="s">
        <v>1680</v>
      </c>
    </row>
    <row r="11" spans="1:8">
      <c r="A11" t="s">
        <v>70</v>
      </c>
      <c r="B11" t="s">
        <v>72</v>
      </c>
      <c r="C11" t="s">
        <v>74</v>
      </c>
      <c r="D11" t="s">
        <v>1680</v>
      </c>
      <c r="E11" t="s">
        <v>1681</v>
      </c>
      <c r="F11" t="s">
        <v>1682</v>
      </c>
      <c r="G11" t="s">
        <v>1680</v>
      </c>
    </row>
    <row r="12" spans="1:8">
      <c r="A12" t="s">
        <v>77</v>
      </c>
      <c r="B12" t="s">
        <v>80</v>
      </c>
      <c r="C12" t="s">
        <v>83</v>
      </c>
      <c r="D12" t="s">
        <v>1680</v>
      </c>
      <c r="E12" t="s">
        <v>1681</v>
      </c>
      <c r="F12" t="s">
        <v>1682</v>
      </c>
      <c r="G12" t="s">
        <v>1680</v>
      </c>
    </row>
    <row r="13" spans="1:8">
      <c r="A13" t="s">
        <v>86</v>
      </c>
      <c r="B13" t="s">
        <v>87</v>
      </c>
      <c r="C13" t="s">
        <v>88</v>
      </c>
      <c r="D13" t="s">
        <v>1680</v>
      </c>
      <c r="E13" t="s">
        <v>1681</v>
      </c>
      <c r="F13" t="s">
        <v>1682</v>
      </c>
      <c r="G13" t="s">
        <v>1680</v>
      </c>
    </row>
    <row r="14" spans="1:8">
      <c r="A14" t="s">
        <v>91</v>
      </c>
      <c r="B14" t="s">
        <v>94</v>
      </c>
      <c r="C14" t="s">
        <v>95</v>
      </c>
      <c r="D14" t="s">
        <v>1680</v>
      </c>
      <c r="E14" t="s">
        <v>1681</v>
      </c>
      <c r="F14" t="s">
        <v>1682</v>
      </c>
      <c r="G14" t="s">
        <v>1680</v>
      </c>
    </row>
    <row r="15" spans="1:8">
      <c r="A15" t="s">
        <v>98</v>
      </c>
      <c r="B15" t="s">
        <v>99</v>
      </c>
      <c r="C15" t="s">
        <v>100</v>
      </c>
      <c r="D15" t="s">
        <v>1680</v>
      </c>
      <c r="E15" t="s">
        <v>1681</v>
      </c>
      <c r="F15" t="s">
        <v>1682</v>
      </c>
      <c r="G15" t="s">
        <v>1680</v>
      </c>
    </row>
    <row r="16" spans="1:8">
      <c r="A16" t="s">
        <v>103</v>
      </c>
      <c r="B16" t="s">
        <v>104</v>
      </c>
      <c r="C16" t="s">
        <v>105</v>
      </c>
      <c r="D16" t="s">
        <v>1680</v>
      </c>
      <c r="E16" t="s">
        <v>1681</v>
      </c>
      <c r="F16" t="s">
        <v>1682</v>
      </c>
      <c r="G16" t="s">
        <v>1680</v>
      </c>
    </row>
    <row r="17" spans="1:7">
      <c r="A17" t="s">
        <v>108</v>
      </c>
      <c r="B17" t="s">
        <v>109</v>
      </c>
      <c r="C17" t="s">
        <v>110</v>
      </c>
      <c r="D17" t="s">
        <v>1680</v>
      </c>
      <c r="E17" t="s">
        <v>1681</v>
      </c>
      <c r="F17" t="s">
        <v>1682</v>
      </c>
      <c r="G17" t="s">
        <v>1680</v>
      </c>
    </row>
    <row r="18" spans="1:7">
      <c r="A18" t="s">
        <v>113</v>
      </c>
      <c r="B18" t="s">
        <v>114</v>
      </c>
      <c r="C18" t="s">
        <v>115</v>
      </c>
      <c r="D18" t="s">
        <v>1680</v>
      </c>
      <c r="E18" t="s">
        <v>1681</v>
      </c>
      <c r="F18" t="s">
        <v>1682</v>
      </c>
      <c r="G18" t="s">
        <v>1680</v>
      </c>
    </row>
    <row r="19" spans="1:7">
      <c r="A19" t="s">
        <v>118</v>
      </c>
      <c r="B19" t="s">
        <v>121</v>
      </c>
      <c r="C19" t="s">
        <v>123</v>
      </c>
      <c r="D19" t="s">
        <v>1680</v>
      </c>
      <c r="E19" t="s">
        <v>1681</v>
      </c>
      <c r="F19" t="s">
        <v>1682</v>
      </c>
      <c r="G19" t="s">
        <v>1680</v>
      </c>
    </row>
    <row r="20" spans="1:7">
      <c r="A20" t="s">
        <v>126</v>
      </c>
      <c r="B20" t="s">
        <v>127</v>
      </c>
      <c r="C20" t="s">
        <v>128</v>
      </c>
      <c r="D20" t="s">
        <v>1680</v>
      </c>
      <c r="E20" t="s">
        <v>1681</v>
      </c>
      <c r="F20" t="s">
        <v>1682</v>
      </c>
      <c r="G20" t="s">
        <v>1680</v>
      </c>
    </row>
    <row r="21" spans="1:7">
      <c r="A21" t="s">
        <v>131</v>
      </c>
      <c r="B21" t="s">
        <v>132</v>
      </c>
      <c r="C21" t="s">
        <v>133</v>
      </c>
      <c r="D21" t="s">
        <v>1680</v>
      </c>
      <c r="E21" t="s">
        <v>1681</v>
      </c>
      <c r="F21" t="s">
        <v>1682</v>
      </c>
      <c r="G21" t="s">
        <v>1680</v>
      </c>
    </row>
    <row r="22" spans="1:7">
      <c r="A22" t="s">
        <v>136</v>
      </c>
      <c r="B22" t="s">
        <v>139</v>
      </c>
      <c r="C22" t="s">
        <v>140</v>
      </c>
      <c r="D22" t="s">
        <v>1680</v>
      </c>
      <c r="E22" t="s">
        <v>1681</v>
      </c>
      <c r="F22" t="s">
        <v>1682</v>
      </c>
      <c r="G22" t="s">
        <v>1680</v>
      </c>
    </row>
    <row r="23" spans="1:7">
      <c r="A23" t="s">
        <v>143</v>
      </c>
      <c r="B23" t="s">
        <v>144</v>
      </c>
      <c r="C23" t="s">
        <v>145</v>
      </c>
      <c r="D23" t="s">
        <v>1680</v>
      </c>
      <c r="E23" t="s">
        <v>1681</v>
      </c>
      <c r="F23" t="s">
        <v>1682</v>
      </c>
      <c r="G23" t="s">
        <v>1680</v>
      </c>
    </row>
    <row r="24" spans="1:7">
      <c r="A24" t="s">
        <v>148</v>
      </c>
      <c r="B24" t="s">
        <v>139</v>
      </c>
      <c r="C24" t="s">
        <v>150</v>
      </c>
      <c r="D24" t="s">
        <v>1680</v>
      </c>
      <c r="E24" t="s">
        <v>1681</v>
      </c>
      <c r="F24" t="s">
        <v>1682</v>
      </c>
      <c r="G24" t="s">
        <v>1680</v>
      </c>
    </row>
    <row r="25" spans="1:7">
      <c r="A25" t="s">
        <v>152</v>
      </c>
      <c r="B25" t="s">
        <v>139</v>
      </c>
      <c r="C25" t="s">
        <v>154</v>
      </c>
      <c r="D25" t="s">
        <v>1680</v>
      </c>
      <c r="E25" t="s">
        <v>1681</v>
      </c>
      <c r="F25" t="s">
        <v>1682</v>
      </c>
      <c r="G25" t="s">
        <v>1680</v>
      </c>
    </row>
    <row r="26" spans="1:7">
      <c r="A26" t="s">
        <v>156</v>
      </c>
      <c r="B26" t="s">
        <v>158</v>
      </c>
      <c r="C26" t="s">
        <v>159</v>
      </c>
      <c r="D26" t="s">
        <v>1680</v>
      </c>
      <c r="E26" t="s">
        <v>1681</v>
      </c>
      <c r="F26" t="s">
        <v>1682</v>
      </c>
      <c r="G26" t="s">
        <v>1680</v>
      </c>
    </row>
    <row r="27" spans="1:7">
      <c r="A27" t="s">
        <v>162</v>
      </c>
      <c r="B27" t="s">
        <v>158</v>
      </c>
      <c r="C27" t="s">
        <v>164</v>
      </c>
      <c r="D27" t="s">
        <v>1680</v>
      </c>
      <c r="E27" t="s">
        <v>1681</v>
      </c>
      <c r="F27" t="s">
        <v>1682</v>
      </c>
      <c r="G27" t="s">
        <v>1680</v>
      </c>
    </row>
    <row r="28" spans="1:7">
      <c r="A28" t="s">
        <v>168</v>
      </c>
      <c r="B28" t="s">
        <v>169</v>
      </c>
      <c r="C28" t="s">
        <v>170</v>
      </c>
      <c r="D28" t="s">
        <v>1680</v>
      </c>
      <c r="E28" t="s">
        <v>1681</v>
      </c>
      <c r="F28" t="s">
        <v>1682</v>
      </c>
      <c r="G28" t="s">
        <v>1680</v>
      </c>
    </row>
    <row r="29" spans="1:7">
      <c r="A29" t="s">
        <v>173</v>
      </c>
      <c r="B29" t="s">
        <v>169</v>
      </c>
      <c r="C29" t="s">
        <v>174</v>
      </c>
      <c r="D29" t="s">
        <v>1680</v>
      </c>
      <c r="E29" t="s">
        <v>1681</v>
      </c>
      <c r="F29" t="s">
        <v>1682</v>
      </c>
      <c r="G29" t="s">
        <v>1680</v>
      </c>
    </row>
    <row r="30" spans="1:7">
      <c r="A30" t="s">
        <v>176</v>
      </c>
      <c r="B30" t="s">
        <v>158</v>
      </c>
      <c r="C30" t="s">
        <v>177</v>
      </c>
      <c r="D30" t="s">
        <v>1680</v>
      </c>
      <c r="E30" t="s">
        <v>1681</v>
      </c>
      <c r="F30" t="s">
        <v>1682</v>
      </c>
      <c r="G30" t="s">
        <v>1680</v>
      </c>
    </row>
    <row r="31" spans="1:7">
      <c r="A31" t="s">
        <v>179</v>
      </c>
      <c r="B31" t="s">
        <v>180</v>
      </c>
      <c r="C31" t="s">
        <v>181</v>
      </c>
      <c r="D31" t="s">
        <v>1680</v>
      </c>
      <c r="E31" t="s">
        <v>1681</v>
      </c>
      <c r="F31" t="s">
        <v>1682</v>
      </c>
      <c r="G31" t="s">
        <v>1680</v>
      </c>
    </row>
    <row r="32" spans="1:7">
      <c r="A32" t="s">
        <v>187</v>
      </c>
      <c r="B32" t="s">
        <v>180</v>
      </c>
      <c r="C32" t="s">
        <v>185</v>
      </c>
      <c r="D32" t="s">
        <v>1680</v>
      </c>
      <c r="E32" t="s">
        <v>1681</v>
      </c>
      <c r="F32" t="s">
        <v>1682</v>
      </c>
      <c r="G32" t="s">
        <v>1680</v>
      </c>
    </row>
    <row r="33" spans="1:7">
      <c r="A33" t="s">
        <v>187</v>
      </c>
      <c r="B33" t="s">
        <v>188</v>
      </c>
      <c r="C33" t="s">
        <v>189</v>
      </c>
      <c r="D33" t="s">
        <v>1680</v>
      </c>
      <c r="E33" t="s">
        <v>1681</v>
      </c>
      <c r="F33" t="s">
        <v>1682</v>
      </c>
      <c r="G33" t="s">
        <v>1680</v>
      </c>
    </row>
    <row r="34" spans="1:7">
      <c r="A34" t="s">
        <v>192</v>
      </c>
      <c r="B34" t="s">
        <v>194</v>
      </c>
      <c r="C34" t="s">
        <v>195</v>
      </c>
      <c r="D34" t="s">
        <v>1680</v>
      </c>
      <c r="E34" t="s">
        <v>1681</v>
      </c>
      <c r="F34" t="s">
        <v>1682</v>
      </c>
      <c r="G34" t="s">
        <v>1680</v>
      </c>
    </row>
    <row r="35" spans="1:7">
      <c r="A35" t="s">
        <v>198</v>
      </c>
      <c r="B35" t="s">
        <v>199</v>
      </c>
      <c r="C35" t="s">
        <v>200</v>
      </c>
      <c r="D35" t="s">
        <v>1680</v>
      </c>
      <c r="E35" t="s">
        <v>1681</v>
      </c>
      <c r="F35" t="s">
        <v>1682</v>
      </c>
      <c r="G35" t="s">
        <v>1680</v>
      </c>
    </row>
    <row r="36" spans="1:7">
      <c r="A36" t="s">
        <v>203</v>
      </c>
      <c r="B36" t="s">
        <v>206</v>
      </c>
      <c r="C36" t="s">
        <v>207</v>
      </c>
      <c r="D36" t="s">
        <v>1680</v>
      </c>
      <c r="E36" t="s">
        <v>1681</v>
      </c>
      <c r="F36" t="s">
        <v>1682</v>
      </c>
      <c r="G36" t="s">
        <v>1680</v>
      </c>
    </row>
    <row r="37" spans="1:7">
      <c r="A37" t="s">
        <v>210</v>
      </c>
      <c r="B37" t="s">
        <v>206</v>
      </c>
      <c r="C37" t="s">
        <v>212</v>
      </c>
      <c r="D37" t="s">
        <v>1680</v>
      </c>
      <c r="E37" t="s">
        <v>1681</v>
      </c>
      <c r="F37" t="s">
        <v>1682</v>
      </c>
      <c r="G37" t="s">
        <v>1680</v>
      </c>
    </row>
    <row r="38" spans="1:7">
      <c r="A38" t="s">
        <v>215</v>
      </c>
      <c r="B38" t="s">
        <v>216</v>
      </c>
      <c r="C38" t="s">
        <v>217</v>
      </c>
      <c r="D38" t="s">
        <v>1680</v>
      </c>
      <c r="E38" t="s">
        <v>1681</v>
      </c>
      <c r="F38" t="s">
        <v>1682</v>
      </c>
      <c r="G38" t="s">
        <v>1680</v>
      </c>
    </row>
    <row r="39" spans="1:7">
      <c r="A39" t="s">
        <v>220</v>
      </c>
      <c r="B39" t="s">
        <v>221</v>
      </c>
      <c r="C39" t="s">
        <v>222</v>
      </c>
      <c r="D39" t="s">
        <v>1680</v>
      </c>
      <c r="E39" t="s">
        <v>1681</v>
      </c>
      <c r="F39" t="s">
        <v>1682</v>
      </c>
      <c r="G39" t="s">
        <v>1680</v>
      </c>
    </row>
    <row r="40" spans="1:7">
      <c r="A40" t="s">
        <v>226</v>
      </c>
      <c r="B40" t="s">
        <v>228</v>
      </c>
      <c r="C40" t="s">
        <v>229</v>
      </c>
      <c r="D40" t="s">
        <v>1680</v>
      </c>
      <c r="E40" t="s">
        <v>1681</v>
      </c>
      <c r="F40" t="s">
        <v>1682</v>
      </c>
      <c r="G40" t="s">
        <v>1680</v>
      </c>
    </row>
    <row r="41" spans="1:7">
      <c r="A41" t="s">
        <v>232</v>
      </c>
      <c r="B41" t="s">
        <v>228</v>
      </c>
      <c r="C41" t="s">
        <v>233</v>
      </c>
      <c r="D41" t="s">
        <v>1680</v>
      </c>
      <c r="E41" t="s">
        <v>1681</v>
      </c>
      <c r="F41" t="s">
        <v>1682</v>
      </c>
      <c r="G41" t="s">
        <v>1680</v>
      </c>
    </row>
    <row r="42" spans="1:7">
      <c r="A42" t="s">
        <v>236</v>
      </c>
      <c r="B42" t="s">
        <v>240</v>
      </c>
      <c r="C42" t="s">
        <v>241</v>
      </c>
      <c r="D42" t="s">
        <v>1680</v>
      </c>
      <c r="E42" t="s">
        <v>1681</v>
      </c>
      <c r="F42" t="s">
        <v>1682</v>
      </c>
      <c r="G42" t="s">
        <v>1680</v>
      </c>
    </row>
    <row r="43" spans="1:7">
      <c r="A43" t="s">
        <v>244</v>
      </c>
      <c r="B43" t="s">
        <v>246</v>
      </c>
      <c r="C43" t="s">
        <v>247</v>
      </c>
      <c r="D43" t="s">
        <v>1680</v>
      </c>
      <c r="E43" t="s">
        <v>1681</v>
      </c>
      <c r="F43" t="s">
        <v>1682</v>
      </c>
      <c r="G43" t="s">
        <v>1680</v>
      </c>
    </row>
    <row r="44" spans="1:7">
      <c r="A44" t="s">
        <v>250</v>
      </c>
      <c r="B44" t="s">
        <v>252</v>
      </c>
      <c r="C44" t="s">
        <v>253</v>
      </c>
      <c r="D44" t="s">
        <v>1680</v>
      </c>
      <c r="E44" t="s">
        <v>1681</v>
      </c>
      <c r="F44" t="s">
        <v>1682</v>
      </c>
      <c r="G44" t="s">
        <v>1680</v>
      </c>
    </row>
    <row r="45" spans="1:7">
      <c r="A45" t="s">
        <v>256</v>
      </c>
      <c r="B45" t="s">
        <v>258</v>
      </c>
      <c r="C45" t="s">
        <v>259</v>
      </c>
      <c r="D45" t="s">
        <v>1680</v>
      </c>
      <c r="E45" t="s">
        <v>1681</v>
      </c>
      <c r="F45" t="s">
        <v>1682</v>
      </c>
      <c r="G45" t="s">
        <v>1680</v>
      </c>
    </row>
    <row r="46" spans="1:7">
      <c r="A46" t="s">
        <v>262</v>
      </c>
      <c r="B46" t="s">
        <v>263</v>
      </c>
      <c r="C46" t="s">
        <v>264</v>
      </c>
      <c r="D46" t="s">
        <v>1680</v>
      </c>
      <c r="E46" t="s">
        <v>1681</v>
      </c>
      <c r="F46" t="s">
        <v>1682</v>
      </c>
      <c r="G46" t="s">
        <v>1680</v>
      </c>
    </row>
    <row r="47" spans="1:7">
      <c r="A47" t="s">
        <v>267</v>
      </c>
      <c r="B47" t="s">
        <v>268</v>
      </c>
      <c r="C47" t="s">
        <v>269</v>
      </c>
      <c r="D47" t="s">
        <v>1680</v>
      </c>
      <c r="E47" t="s">
        <v>1681</v>
      </c>
      <c r="F47" t="s">
        <v>1682</v>
      </c>
      <c r="G47" t="s">
        <v>1680</v>
      </c>
    </row>
    <row r="48" spans="1:7">
      <c r="A48" t="s">
        <v>272</v>
      </c>
      <c r="B48" t="s">
        <v>275</v>
      </c>
      <c r="C48" t="s">
        <v>276</v>
      </c>
      <c r="D48" t="s">
        <v>1680</v>
      </c>
      <c r="E48" t="s">
        <v>1681</v>
      </c>
      <c r="F48" t="s">
        <v>1682</v>
      </c>
      <c r="G48" t="s">
        <v>1680</v>
      </c>
    </row>
    <row r="49" spans="1:7">
      <c r="A49" t="s">
        <v>279</v>
      </c>
      <c r="B49" t="s">
        <v>280</v>
      </c>
      <c r="C49" t="s">
        <v>281</v>
      </c>
      <c r="D49" t="s">
        <v>1680</v>
      </c>
      <c r="E49" t="s">
        <v>1681</v>
      </c>
      <c r="F49" t="s">
        <v>1682</v>
      </c>
      <c r="G49" t="s">
        <v>1680</v>
      </c>
    </row>
    <row r="50" spans="1:7">
      <c r="A50" t="s">
        <v>284</v>
      </c>
      <c r="B50" t="s">
        <v>285</v>
      </c>
      <c r="C50" t="s">
        <v>286</v>
      </c>
      <c r="D50" t="s">
        <v>1680</v>
      </c>
      <c r="E50" t="s">
        <v>1681</v>
      </c>
      <c r="F50" t="s">
        <v>1682</v>
      </c>
      <c r="G50" t="s">
        <v>1680</v>
      </c>
    </row>
    <row r="51" spans="1:7">
      <c r="A51" t="s">
        <v>289</v>
      </c>
      <c r="B51" t="s">
        <v>290</v>
      </c>
      <c r="C51" t="s">
        <v>291</v>
      </c>
      <c r="D51" t="s">
        <v>1680</v>
      </c>
      <c r="E51" t="s">
        <v>1681</v>
      </c>
      <c r="F51" t="s">
        <v>1682</v>
      </c>
      <c r="G51" t="s">
        <v>1680</v>
      </c>
    </row>
    <row r="52" spans="1:7">
      <c r="A52" t="s">
        <v>294</v>
      </c>
      <c r="B52" t="s">
        <v>295</v>
      </c>
      <c r="C52" t="s">
        <v>296</v>
      </c>
      <c r="D52" t="s">
        <v>1680</v>
      </c>
      <c r="E52" t="s">
        <v>1681</v>
      </c>
      <c r="F52" t="s">
        <v>1682</v>
      </c>
      <c r="G52" t="s">
        <v>1680</v>
      </c>
    </row>
    <row r="53" spans="1:7">
      <c r="A53" t="s">
        <v>299</v>
      </c>
      <c r="B53" t="s">
        <v>300</v>
      </c>
      <c r="C53" t="s">
        <v>301</v>
      </c>
      <c r="D53" t="s">
        <v>1680</v>
      </c>
      <c r="E53" t="s">
        <v>1681</v>
      </c>
      <c r="F53" t="s">
        <v>1682</v>
      </c>
      <c r="G53" t="s">
        <v>1680</v>
      </c>
    </row>
    <row r="54" spans="1:7">
      <c r="A54" t="s">
        <v>304</v>
      </c>
      <c r="B54" t="s">
        <v>305</v>
      </c>
      <c r="C54" t="s">
        <v>306</v>
      </c>
      <c r="D54" t="s">
        <v>1680</v>
      </c>
      <c r="E54" t="s">
        <v>1681</v>
      </c>
      <c r="F54" t="s">
        <v>1682</v>
      </c>
      <c r="G54" t="s">
        <v>1680</v>
      </c>
    </row>
    <row r="55" spans="1:7">
      <c r="A55" t="s">
        <v>309</v>
      </c>
      <c r="B55" t="s">
        <v>310</v>
      </c>
      <c r="C55" t="s">
        <v>311</v>
      </c>
      <c r="D55" t="s">
        <v>1680</v>
      </c>
      <c r="E55" t="s">
        <v>1681</v>
      </c>
      <c r="F55" t="s">
        <v>1682</v>
      </c>
      <c r="G55" t="s">
        <v>1680</v>
      </c>
    </row>
    <row r="56" spans="1:7">
      <c r="A56" t="s">
        <v>314</v>
      </c>
      <c r="B56" t="s">
        <v>315</v>
      </c>
      <c r="C56" t="s">
        <v>316</v>
      </c>
      <c r="D56" t="s">
        <v>1680</v>
      </c>
      <c r="E56" t="s">
        <v>1681</v>
      </c>
      <c r="F56" t="s">
        <v>1682</v>
      </c>
      <c r="G56" t="s">
        <v>1680</v>
      </c>
    </row>
    <row r="57" spans="1:7">
      <c r="A57" t="s">
        <v>319</v>
      </c>
      <c r="B57" t="s">
        <v>320</v>
      </c>
      <c r="C57" t="s">
        <v>321</v>
      </c>
      <c r="D57" t="s">
        <v>1680</v>
      </c>
      <c r="E57" t="s">
        <v>1681</v>
      </c>
      <c r="F57" t="s">
        <v>1682</v>
      </c>
      <c r="G57" t="s">
        <v>1680</v>
      </c>
    </row>
    <row r="58" spans="1:7">
      <c r="A58" t="s">
        <v>324</v>
      </c>
      <c r="B58" t="s">
        <v>325</v>
      </c>
      <c r="C58" t="s">
        <v>326</v>
      </c>
      <c r="D58" t="s">
        <v>1680</v>
      </c>
      <c r="E58" t="s">
        <v>1681</v>
      </c>
      <c r="F58" t="s">
        <v>1682</v>
      </c>
      <c r="G58" t="s">
        <v>1680</v>
      </c>
    </row>
    <row r="59" spans="1:7">
      <c r="A59" t="s">
        <v>329</v>
      </c>
      <c r="B59" t="s">
        <v>330</v>
      </c>
      <c r="C59" t="s">
        <v>331</v>
      </c>
      <c r="D59" t="s">
        <v>1680</v>
      </c>
      <c r="E59" t="s">
        <v>1681</v>
      </c>
      <c r="F59" t="s">
        <v>1682</v>
      </c>
      <c r="G59" t="s">
        <v>1680</v>
      </c>
    </row>
    <row r="60" spans="1:7">
      <c r="A60" t="s">
        <v>334</v>
      </c>
      <c r="B60" t="s">
        <v>336</v>
      </c>
      <c r="C60" t="s">
        <v>337</v>
      </c>
      <c r="D60" t="s">
        <v>1680</v>
      </c>
      <c r="E60" t="s">
        <v>1681</v>
      </c>
      <c r="F60" t="s">
        <v>1682</v>
      </c>
      <c r="G60" t="s">
        <v>1680</v>
      </c>
    </row>
    <row r="61" spans="1:7">
      <c r="A61" t="s">
        <v>340</v>
      </c>
      <c r="B61" t="s">
        <v>341</v>
      </c>
      <c r="C61" t="s">
        <v>342</v>
      </c>
      <c r="D61" t="s">
        <v>1680</v>
      </c>
      <c r="E61" t="s">
        <v>1681</v>
      </c>
      <c r="F61" t="s">
        <v>1682</v>
      </c>
      <c r="G61" t="s">
        <v>1680</v>
      </c>
    </row>
    <row r="62" spans="1:7">
      <c r="A62" t="s">
        <v>345</v>
      </c>
      <c r="B62" t="s">
        <v>346</v>
      </c>
      <c r="C62" t="s">
        <v>347</v>
      </c>
      <c r="D62" t="s">
        <v>1680</v>
      </c>
      <c r="E62" t="s">
        <v>1681</v>
      </c>
      <c r="F62" t="s">
        <v>1682</v>
      </c>
      <c r="G62" t="s">
        <v>1680</v>
      </c>
    </row>
    <row r="63" spans="1:7">
      <c r="A63" t="s">
        <v>350</v>
      </c>
      <c r="B63" t="s">
        <v>351</v>
      </c>
      <c r="C63" t="s">
        <v>352</v>
      </c>
      <c r="D63" t="s">
        <v>1680</v>
      </c>
      <c r="E63" t="s">
        <v>1681</v>
      </c>
      <c r="F63" t="s">
        <v>1682</v>
      </c>
      <c r="G63" t="s">
        <v>1680</v>
      </c>
    </row>
    <row r="64" spans="1:7">
      <c r="A64" t="s">
        <v>355</v>
      </c>
      <c r="B64" t="s">
        <v>356</v>
      </c>
      <c r="C64" t="s">
        <v>357</v>
      </c>
      <c r="D64" t="s">
        <v>1680</v>
      </c>
      <c r="E64" t="s">
        <v>1681</v>
      </c>
      <c r="F64" t="s">
        <v>1682</v>
      </c>
      <c r="G64" t="s">
        <v>1680</v>
      </c>
    </row>
    <row r="65" spans="1:7">
      <c r="A65" t="s">
        <v>360</v>
      </c>
      <c r="B65" t="s">
        <v>361</v>
      </c>
      <c r="C65" t="s">
        <v>362</v>
      </c>
      <c r="D65" t="s">
        <v>1680</v>
      </c>
      <c r="E65" t="s">
        <v>1681</v>
      </c>
      <c r="F65" t="s">
        <v>1682</v>
      </c>
      <c r="G65" t="s">
        <v>1680</v>
      </c>
    </row>
    <row r="66" spans="1:7">
      <c r="A66" t="s">
        <v>365</v>
      </c>
      <c r="B66" t="s">
        <v>366</v>
      </c>
      <c r="C66" t="s">
        <v>367</v>
      </c>
      <c r="D66" t="s">
        <v>1680</v>
      </c>
      <c r="E66" t="s">
        <v>1681</v>
      </c>
      <c r="F66" t="s">
        <v>1682</v>
      </c>
      <c r="G66" t="s">
        <v>1680</v>
      </c>
    </row>
    <row r="67" spans="1:7">
      <c r="A67" t="s">
        <v>370</v>
      </c>
      <c r="B67" t="s">
        <v>371</v>
      </c>
      <c r="C67" t="s">
        <v>372</v>
      </c>
      <c r="D67" t="s">
        <v>1680</v>
      </c>
      <c r="E67" t="s">
        <v>1681</v>
      </c>
      <c r="F67" t="s">
        <v>1682</v>
      </c>
      <c r="G67" t="s">
        <v>1680</v>
      </c>
    </row>
    <row r="68" spans="1:7">
      <c r="A68" t="s">
        <v>375</v>
      </c>
      <c r="B68" t="s">
        <v>376</v>
      </c>
      <c r="C68" t="s">
        <v>377</v>
      </c>
      <c r="D68" t="s">
        <v>1680</v>
      </c>
      <c r="E68" t="s">
        <v>1681</v>
      </c>
      <c r="F68" t="s">
        <v>1682</v>
      </c>
      <c r="G68" t="s">
        <v>1680</v>
      </c>
    </row>
    <row r="69" spans="1:7">
      <c r="A69" t="s">
        <v>380</v>
      </c>
      <c r="B69" t="s">
        <v>381</v>
      </c>
      <c r="C69" t="s">
        <v>382</v>
      </c>
      <c r="D69" t="s">
        <v>1680</v>
      </c>
      <c r="E69" t="s">
        <v>1681</v>
      </c>
      <c r="F69" t="s">
        <v>1682</v>
      </c>
      <c r="G69" t="s">
        <v>1680</v>
      </c>
    </row>
    <row r="70" spans="1:7">
      <c r="A70" t="s">
        <v>385</v>
      </c>
      <c r="B70" t="s">
        <v>386</v>
      </c>
      <c r="C70" t="s">
        <v>387</v>
      </c>
      <c r="D70" t="s">
        <v>1680</v>
      </c>
      <c r="E70" t="s">
        <v>1681</v>
      </c>
      <c r="F70" t="s">
        <v>1682</v>
      </c>
      <c r="G70" t="s">
        <v>1680</v>
      </c>
    </row>
    <row r="71" spans="1:7">
      <c r="A71" t="s">
        <v>390</v>
      </c>
      <c r="B71" t="s">
        <v>391</v>
      </c>
      <c r="C71" t="s">
        <v>392</v>
      </c>
      <c r="D71" t="s">
        <v>1680</v>
      </c>
      <c r="E71" t="s">
        <v>1681</v>
      </c>
      <c r="F71" t="s">
        <v>1682</v>
      </c>
      <c r="G71" t="s">
        <v>1680</v>
      </c>
    </row>
    <row r="72" spans="1:7">
      <c r="A72" t="s">
        <v>395</v>
      </c>
      <c r="B72" t="s">
        <v>396</v>
      </c>
      <c r="C72" t="s">
        <v>397</v>
      </c>
      <c r="D72" t="s">
        <v>1680</v>
      </c>
      <c r="E72" t="s">
        <v>1681</v>
      </c>
      <c r="F72" t="s">
        <v>1682</v>
      </c>
      <c r="G72" t="s">
        <v>1680</v>
      </c>
    </row>
    <row r="73" spans="1:7">
      <c r="A73" t="s">
        <v>400</v>
      </c>
      <c r="B73" t="s">
        <v>401</v>
      </c>
      <c r="C73" t="s">
        <v>402</v>
      </c>
      <c r="D73" t="s">
        <v>1680</v>
      </c>
      <c r="E73" t="s">
        <v>1681</v>
      </c>
      <c r="F73" t="s">
        <v>1682</v>
      </c>
      <c r="G73" t="s">
        <v>1680</v>
      </c>
    </row>
    <row r="74" spans="1:7">
      <c r="A74" t="s">
        <v>405</v>
      </c>
      <c r="B74" t="s">
        <v>406</v>
      </c>
      <c r="C74" t="s">
        <v>407</v>
      </c>
      <c r="D74" t="s">
        <v>1680</v>
      </c>
      <c r="E74" t="s">
        <v>1681</v>
      </c>
      <c r="F74" t="s">
        <v>1682</v>
      </c>
      <c r="G74" t="s">
        <v>1680</v>
      </c>
    </row>
    <row r="75" spans="1:7">
      <c r="A75" t="s">
        <v>410</v>
      </c>
      <c r="B75" t="s">
        <v>411</v>
      </c>
      <c r="C75" t="s">
        <v>412</v>
      </c>
      <c r="D75" t="s">
        <v>1680</v>
      </c>
      <c r="E75" t="s">
        <v>1681</v>
      </c>
      <c r="F75" t="s">
        <v>1682</v>
      </c>
      <c r="G75" t="s">
        <v>1680</v>
      </c>
    </row>
    <row r="76" spans="1:7">
      <c r="A76" t="s">
        <v>415</v>
      </c>
      <c r="B76" t="s">
        <v>411</v>
      </c>
      <c r="C76" t="s">
        <v>416</v>
      </c>
      <c r="D76" t="s">
        <v>1680</v>
      </c>
      <c r="E76" t="s">
        <v>1681</v>
      </c>
      <c r="F76" t="s">
        <v>1682</v>
      </c>
      <c r="G76" t="s">
        <v>1680</v>
      </c>
    </row>
    <row r="77" spans="1:7">
      <c r="A77" t="s">
        <v>418</v>
      </c>
      <c r="B77" t="s">
        <v>411</v>
      </c>
      <c r="C77" t="s">
        <v>419</v>
      </c>
      <c r="D77" t="s">
        <v>1680</v>
      </c>
      <c r="E77" t="s">
        <v>1681</v>
      </c>
      <c r="F77" t="s">
        <v>1682</v>
      </c>
      <c r="G77" t="s">
        <v>1680</v>
      </c>
    </row>
    <row r="78" spans="1:7">
      <c r="A78" t="s">
        <v>421</v>
      </c>
      <c r="B78" t="s">
        <v>411</v>
      </c>
      <c r="C78" t="s">
        <v>422</v>
      </c>
      <c r="D78" t="s">
        <v>1680</v>
      </c>
      <c r="E78" t="s">
        <v>1681</v>
      </c>
      <c r="F78" t="s">
        <v>1682</v>
      </c>
      <c r="G78" t="s">
        <v>1680</v>
      </c>
    </row>
    <row r="79" spans="1:7">
      <c r="A79" t="s">
        <v>424</v>
      </c>
      <c r="B79" t="s">
        <v>425</v>
      </c>
      <c r="C79" t="s">
        <v>426</v>
      </c>
      <c r="D79" t="s">
        <v>1680</v>
      </c>
      <c r="E79" t="s">
        <v>1681</v>
      </c>
      <c r="F79" t="s">
        <v>1682</v>
      </c>
      <c r="G79" t="s">
        <v>1680</v>
      </c>
    </row>
    <row r="80" spans="1:7">
      <c r="A80" t="s">
        <v>429</v>
      </c>
      <c r="B80" t="s">
        <v>432</v>
      </c>
      <c r="C80" t="s">
        <v>433</v>
      </c>
      <c r="D80" t="s">
        <v>1680</v>
      </c>
      <c r="E80" t="s">
        <v>1681</v>
      </c>
      <c r="F80" t="s">
        <v>1682</v>
      </c>
      <c r="G80" t="s">
        <v>1680</v>
      </c>
    </row>
    <row r="81" spans="1:7">
      <c r="A81" t="s">
        <v>436</v>
      </c>
      <c r="B81" t="s">
        <v>438</v>
      </c>
      <c r="C81" t="s">
        <v>439</v>
      </c>
      <c r="D81" t="s">
        <v>1680</v>
      </c>
      <c r="E81" t="s">
        <v>1681</v>
      </c>
      <c r="F81" t="s">
        <v>1682</v>
      </c>
      <c r="G81" t="s">
        <v>1680</v>
      </c>
    </row>
    <row r="82" spans="1:7">
      <c r="A82" t="s">
        <v>442</v>
      </c>
      <c r="B82" t="s">
        <v>444</v>
      </c>
      <c r="C82" t="s">
        <v>445</v>
      </c>
      <c r="D82" t="s">
        <v>1680</v>
      </c>
      <c r="E82" t="s">
        <v>1681</v>
      </c>
      <c r="F82" t="s">
        <v>1682</v>
      </c>
      <c r="G82" t="s">
        <v>1680</v>
      </c>
    </row>
    <row r="83" spans="1:7">
      <c r="A83" t="s">
        <v>448</v>
      </c>
      <c r="B83" t="s">
        <v>453</v>
      </c>
      <c r="C83" t="s">
        <v>454</v>
      </c>
      <c r="D83" t="s">
        <v>1680</v>
      </c>
      <c r="E83" t="s">
        <v>1681</v>
      </c>
      <c r="F83" t="s">
        <v>1682</v>
      </c>
      <c r="G83" t="s">
        <v>1680</v>
      </c>
    </row>
    <row r="84" spans="1:7">
      <c r="A84" t="s">
        <v>457</v>
      </c>
      <c r="B84" t="s">
        <v>453</v>
      </c>
      <c r="C84" t="s">
        <v>459</v>
      </c>
      <c r="D84" t="s">
        <v>1680</v>
      </c>
      <c r="E84" t="s">
        <v>1681</v>
      </c>
      <c r="F84" t="s">
        <v>1682</v>
      </c>
      <c r="G84" t="s">
        <v>1680</v>
      </c>
    </row>
    <row r="85" spans="1:7">
      <c r="A85" t="s">
        <v>462</v>
      </c>
      <c r="B85" t="s">
        <v>453</v>
      </c>
      <c r="C85" t="s">
        <v>464</v>
      </c>
      <c r="D85" t="s">
        <v>1680</v>
      </c>
      <c r="E85" t="s">
        <v>1681</v>
      </c>
      <c r="F85" t="s">
        <v>1682</v>
      </c>
      <c r="G85" t="s">
        <v>1680</v>
      </c>
    </row>
    <row r="86" spans="1:7">
      <c r="A86" t="s">
        <v>467</v>
      </c>
      <c r="B86" t="s">
        <v>453</v>
      </c>
      <c r="C86" t="s">
        <v>469</v>
      </c>
      <c r="D86" t="s">
        <v>1680</v>
      </c>
      <c r="E86" t="s">
        <v>1681</v>
      </c>
      <c r="F86" t="s">
        <v>1682</v>
      </c>
      <c r="G86" t="s">
        <v>1680</v>
      </c>
    </row>
    <row r="87" spans="1:7">
      <c r="A87" t="s">
        <v>472</v>
      </c>
      <c r="B87" t="s">
        <v>453</v>
      </c>
      <c r="C87" t="s">
        <v>474</v>
      </c>
      <c r="D87" t="s">
        <v>1680</v>
      </c>
      <c r="E87" t="s">
        <v>1681</v>
      </c>
      <c r="F87" t="s">
        <v>1682</v>
      </c>
      <c r="G87" t="s">
        <v>1680</v>
      </c>
    </row>
    <row r="88" spans="1:7">
      <c r="A88" t="s">
        <v>477</v>
      </c>
      <c r="B88" t="s">
        <v>453</v>
      </c>
      <c r="C88" t="s">
        <v>479</v>
      </c>
      <c r="D88" t="s">
        <v>1680</v>
      </c>
      <c r="E88" t="s">
        <v>1681</v>
      </c>
      <c r="F88" t="s">
        <v>1682</v>
      </c>
      <c r="G88" t="s">
        <v>1680</v>
      </c>
    </row>
    <row r="89" spans="1:7">
      <c r="A89" t="s">
        <v>482</v>
      </c>
      <c r="B89" t="s">
        <v>453</v>
      </c>
      <c r="C89" t="s">
        <v>484</v>
      </c>
      <c r="D89" t="s">
        <v>1680</v>
      </c>
      <c r="E89" t="s">
        <v>1681</v>
      </c>
      <c r="F89" t="s">
        <v>1682</v>
      </c>
      <c r="G89" t="s">
        <v>1680</v>
      </c>
    </row>
    <row r="90" spans="1:7">
      <c r="A90" t="s">
        <v>487</v>
      </c>
      <c r="B90" t="s">
        <v>453</v>
      </c>
      <c r="C90" t="s">
        <v>489</v>
      </c>
      <c r="D90" t="s">
        <v>1680</v>
      </c>
      <c r="E90" t="s">
        <v>1681</v>
      </c>
      <c r="F90" t="s">
        <v>1682</v>
      </c>
      <c r="G90" t="s">
        <v>1680</v>
      </c>
    </row>
    <row r="91" spans="1:7">
      <c r="A91" t="s">
        <v>492</v>
      </c>
      <c r="B91" t="s">
        <v>453</v>
      </c>
      <c r="C91" t="s">
        <v>494</v>
      </c>
      <c r="D91" t="s">
        <v>1680</v>
      </c>
      <c r="E91" t="s">
        <v>1681</v>
      </c>
      <c r="F91" t="s">
        <v>1682</v>
      </c>
      <c r="G91" t="s">
        <v>1680</v>
      </c>
    </row>
    <row r="92" spans="1:7">
      <c r="A92" t="s">
        <v>497</v>
      </c>
      <c r="B92" t="s">
        <v>499</v>
      </c>
      <c r="C92" t="s">
        <v>500</v>
      </c>
      <c r="D92" t="s">
        <v>1680</v>
      </c>
      <c r="E92" t="s">
        <v>1681</v>
      </c>
      <c r="F92" t="s">
        <v>1682</v>
      </c>
      <c r="G92" t="s">
        <v>1680</v>
      </c>
    </row>
    <row r="93" spans="1:7">
      <c r="A93" t="s">
        <v>503</v>
      </c>
      <c r="B93" t="s">
        <v>505</v>
      </c>
      <c r="C93" t="s">
        <v>507</v>
      </c>
      <c r="D93" t="s">
        <v>1680</v>
      </c>
      <c r="E93" t="s">
        <v>1681</v>
      </c>
      <c r="F93" t="s">
        <v>1682</v>
      </c>
      <c r="G93" t="s">
        <v>1680</v>
      </c>
    </row>
    <row r="94" spans="1:7">
      <c r="A94" t="s">
        <v>510</v>
      </c>
      <c r="B94" t="s">
        <v>513</v>
      </c>
      <c r="C94" t="s">
        <v>514</v>
      </c>
      <c r="D94" t="s">
        <v>1680</v>
      </c>
      <c r="E94" t="s">
        <v>1681</v>
      </c>
      <c r="F94" t="s">
        <v>1682</v>
      </c>
      <c r="G94" t="s">
        <v>1680</v>
      </c>
    </row>
    <row r="95" spans="1:7">
      <c r="A95" t="s">
        <v>517</v>
      </c>
      <c r="B95" t="s">
        <v>513</v>
      </c>
      <c r="C95" t="s">
        <v>518</v>
      </c>
      <c r="D95" t="s">
        <v>1680</v>
      </c>
      <c r="E95" t="s">
        <v>1681</v>
      </c>
      <c r="F95" t="s">
        <v>1682</v>
      </c>
      <c r="G95" t="s">
        <v>1680</v>
      </c>
    </row>
    <row r="96" spans="1:7">
      <c r="A96" t="s">
        <v>521</v>
      </c>
      <c r="B96" t="s">
        <v>513</v>
      </c>
      <c r="C96" t="s">
        <v>523</v>
      </c>
      <c r="D96" t="s">
        <v>1680</v>
      </c>
      <c r="E96" t="s">
        <v>1681</v>
      </c>
      <c r="F96" t="s">
        <v>1682</v>
      </c>
      <c r="G96" t="s">
        <v>1680</v>
      </c>
    </row>
    <row r="97" spans="1:7">
      <c r="A97" t="s">
        <v>526</v>
      </c>
      <c r="B97" t="s">
        <v>513</v>
      </c>
      <c r="C97" t="s">
        <v>527</v>
      </c>
      <c r="D97" t="s">
        <v>1680</v>
      </c>
      <c r="E97" t="s">
        <v>1681</v>
      </c>
      <c r="F97" t="s">
        <v>1682</v>
      </c>
      <c r="G97" t="s">
        <v>1680</v>
      </c>
    </row>
    <row r="98" spans="1:7">
      <c r="A98" t="s">
        <v>530</v>
      </c>
      <c r="B98" t="s">
        <v>513</v>
      </c>
      <c r="C98" t="s">
        <v>532</v>
      </c>
      <c r="D98" t="s">
        <v>1680</v>
      </c>
      <c r="E98" t="s">
        <v>1681</v>
      </c>
      <c r="F98" t="s">
        <v>1682</v>
      </c>
      <c r="G98" t="s">
        <v>1680</v>
      </c>
    </row>
    <row r="99" spans="1:7">
      <c r="A99" t="s">
        <v>535</v>
      </c>
      <c r="B99" t="s">
        <v>537</v>
      </c>
      <c r="C99" t="s">
        <v>538</v>
      </c>
      <c r="D99" t="s">
        <v>1680</v>
      </c>
      <c r="E99" t="s">
        <v>1681</v>
      </c>
      <c r="F99" t="s">
        <v>1682</v>
      </c>
      <c r="G99" t="s">
        <v>1680</v>
      </c>
    </row>
    <row r="100" spans="1:7">
      <c r="A100" t="s">
        <v>541</v>
      </c>
      <c r="B100" t="s">
        <v>543</v>
      </c>
      <c r="C100" t="s">
        <v>544</v>
      </c>
      <c r="D100" t="s">
        <v>1680</v>
      </c>
      <c r="E100" t="s">
        <v>1681</v>
      </c>
      <c r="F100" t="s">
        <v>1682</v>
      </c>
      <c r="G100" t="s">
        <v>1680</v>
      </c>
    </row>
    <row r="101" spans="1:7">
      <c r="A101" t="s">
        <v>547</v>
      </c>
      <c r="B101" t="s">
        <v>549</v>
      </c>
      <c r="C101" t="s">
        <v>550</v>
      </c>
      <c r="D101" t="s">
        <v>1680</v>
      </c>
      <c r="E101" t="s">
        <v>1681</v>
      </c>
      <c r="F101" t="s">
        <v>1682</v>
      </c>
      <c r="G101" t="s">
        <v>1680</v>
      </c>
    </row>
    <row r="102" spans="1:7">
      <c r="A102" t="s">
        <v>553</v>
      </c>
      <c r="B102" t="s">
        <v>554</v>
      </c>
      <c r="C102" t="s">
        <v>556</v>
      </c>
      <c r="D102" t="s">
        <v>1680</v>
      </c>
      <c r="E102" t="s">
        <v>1681</v>
      </c>
      <c r="F102" t="s">
        <v>1682</v>
      </c>
      <c r="G102" t="s">
        <v>1680</v>
      </c>
    </row>
    <row r="103" spans="1:7">
      <c r="A103" t="s">
        <v>559</v>
      </c>
      <c r="B103" t="s">
        <v>554</v>
      </c>
      <c r="C103" t="s">
        <v>561</v>
      </c>
      <c r="D103" t="s">
        <v>1680</v>
      </c>
      <c r="E103" t="s">
        <v>1681</v>
      </c>
      <c r="F103" t="s">
        <v>1682</v>
      </c>
      <c r="G103" t="s">
        <v>1680</v>
      </c>
    </row>
    <row r="104" spans="1:7">
      <c r="A104" t="s">
        <v>564</v>
      </c>
      <c r="B104" t="s">
        <v>554</v>
      </c>
      <c r="C104" t="s">
        <v>566</v>
      </c>
      <c r="D104" t="s">
        <v>1680</v>
      </c>
      <c r="E104" t="s">
        <v>1681</v>
      </c>
      <c r="F104" t="s">
        <v>1682</v>
      </c>
      <c r="G104" t="s">
        <v>1680</v>
      </c>
    </row>
    <row r="105" spans="1:7">
      <c r="A105" t="s">
        <v>569</v>
      </c>
      <c r="B105" t="s">
        <v>554</v>
      </c>
      <c r="C105" t="s">
        <v>571</v>
      </c>
      <c r="D105" t="s">
        <v>1680</v>
      </c>
      <c r="E105" t="s">
        <v>1681</v>
      </c>
      <c r="F105" t="s">
        <v>1682</v>
      </c>
      <c r="G105" t="s">
        <v>1680</v>
      </c>
    </row>
    <row r="106" spans="1:7">
      <c r="A106" t="s">
        <v>574</v>
      </c>
      <c r="B106" t="s">
        <v>554</v>
      </c>
      <c r="C106" t="s">
        <v>576</v>
      </c>
      <c r="D106" t="s">
        <v>1680</v>
      </c>
      <c r="E106" t="s">
        <v>1681</v>
      </c>
      <c r="F106" t="s">
        <v>1682</v>
      </c>
      <c r="G106" t="s">
        <v>1680</v>
      </c>
    </row>
    <row r="107" spans="1:7">
      <c r="A107" t="s">
        <v>579</v>
      </c>
      <c r="B107" t="s">
        <v>584</v>
      </c>
      <c r="C107" t="s">
        <v>585</v>
      </c>
      <c r="D107" t="s">
        <v>1680</v>
      </c>
      <c r="E107" t="s">
        <v>1681</v>
      </c>
      <c r="F107" t="s">
        <v>1682</v>
      </c>
      <c r="G107" t="s">
        <v>1680</v>
      </c>
    </row>
    <row r="108" spans="1:7">
      <c r="A108" t="s">
        <v>588</v>
      </c>
      <c r="B108" t="s">
        <v>584</v>
      </c>
      <c r="C108" t="s">
        <v>590</v>
      </c>
      <c r="D108" t="s">
        <v>1680</v>
      </c>
      <c r="E108" t="s">
        <v>1681</v>
      </c>
      <c r="F108" t="s">
        <v>1682</v>
      </c>
      <c r="G108" t="s">
        <v>1680</v>
      </c>
    </row>
    <row r="109" spans="1:7">
      <c r="A109" t="s">
        <v>593</v>
      </c>
      <c r="B109" t="s">
        <v>584</v>
      </c>
      <c r="C109" t="s">
        <v>594</v>
      </c>
      <c r="D109" t="s">
        <v>1680</v>
      </c>
      <c r="E109" t="s">
        <v>1681</v>
      </c>
      <c r="F109" t="s">
        <v>1682</v>
      </c>
      <c r="G109" t="s">
        <v>1680</v>
      </c>
    </row>
    <row r="110" spans="1:7">
      <c r="A110" t="s">
        <v>597</v>
      </c>
      <c r="B110" t="s">
        <v>584</v>
      </c>
      <c r="C110" t="s">
        <v>599</v>
      </c>
      <c r="D110" t="s">
        <v>1680</v>
      </c>
      <c r="E110" t="s">
        <v>1681</v>
      </c>
      <c r="F110" t="s">
        <v>1682</v>
      </c>
      <c r="G110" t="s">
        <v>1680</v>
      </c>
    </row>
    <row r="111" spans="1:7">
      <c r="A111" t="s">
        <v>602</v>
      </c>
      <c r="B111" t="s">
        <v>584</v>
      </c>
      <c r="C111" t="s">
        <v>603</v>
      </c>
      <c r="D111" t="s">
        <v>1680</v>
      </c>
      <c r="E111" t="s">
        <v>1681</v>
      </c>
      <c r="F111" t="s">
        <v>1682</v>
      </c>
      <c r="G111" t="s">
        <v>1680</v>
      </c>
    </row>
    <row r="112" spans="1:7">
      <c r="A112" t="s">
        <v>606</v>
      </c>
      <c r="B112" t="s">
        <v>584</v>
      </c>
      <c r="C112" t="s">
        <v>608</v>
      </c>
      <c r="D112" t="s">
        <v>1680</v>
      </c>
      <c r="E112" t="s">
        <v>1681</v>
      </c>
      <c r="F112" t="s">
        <v>1682</v>
      </c>
      <c r="G112" t="s">
        <v>1680</v>
      </c>
    </row>
    <row r="113" spans="1:7">
      <c r="A113" t="s">
        <v>611</v>
      </c>
      <c r="B113" t="s">
        <v>584</v>
      </c>
      <c r="C113" t="s">
        <v>613</v>
      </c>
      <c r="D113" t="s">
        <v>1680</v>
      </c>
      <c r="E113" t="s">
        <v>1681</v>
      </c>
      <c r="F113" t="s">
        <v>1682</v>
      </c>
      <c r="G113" t="s">
        <v>1680</v>
      </c>
    </row>
    <row r="114" spans="1:7">
      <c r="A114" t="s">
        <v>616</v>
      </c>
      <c r="B114" t="s">
        <v>584</v>
      </c>
      <c r="C114" t="s">
        <v>618</v>
      </c>
      <c r="D114" t="s">
        <v>1680</v>
      </c>
      <c r="E114" t="s">
        <v>1681</v>
      </c>
      <c r="F114" t="s">
        <v>1682</v>
      </c>
      <c r="G114" t="s">
        <v>1680</v>
      </c>
    </row>
    <row r="115" spans="1:7">
      <c r="A115" t="s">
        <v>621</v>
      </c>
      <c r="B115" t="s">
        <v>584</v>
      </c>
      <c r="C115" t="s">
        <v>623</v>
      </c>
      <c r="D115" t="s">
        <v>1680</v>
      </c>
      <c r="E115" t="s">
        <v>1681</v>
      </c>
      <c r="F115" t="s">
        <v>1682</v>
      </c>
      <c r="G115" t="s">
        <v>1680</v>
      </c>
    </row>
    <row r="116" spans="1:7">
      <c r="A116" t="s">
        <v>626</v>
      </c>
      <c r="B116" t="s">
        <v>584</v>
      </c>
      <c r="C116" t="s">
        <v>628</v>
      </c>
      <c r="D116" t="s">
        <v>1680</v>
      </c>
      <c r="E116" t="s">
        <v>1681</v>
      </c>
      <c r="F116" t="s">
        <v>1682</v>
      </c>
      <c r="G116" t="s">
        <v>1680</v>
      </c>
    </row>
    <row r="117" spans="1:7">
      <c r="A117" t="s">
        <v>631</v>
      </c>
      <c r="B117" t="s">
        <v>584</v>
      </c>
      <c r="C117" t="s">
        <v>633</v>
      </c>
      <c r="D117" t="s">
        <v>1680</v>
      </c>
      <c r="E117" t="s">
        <v>1681</v>
      </c>
      <c r="F117" t="s">
        <v>1682</v>
      </c>
      <c r="G117" t="s">
        <v>1680</v>
      </c>
    </row>
    <row r="118" spans="1:7">
      <c r="A118" t="s">
        <v>636</v>
      </c>
      <c r="B118" t="s">
        <v>584</v>
      </c>
      <c r="C118" t="s">
        <v>638</v>
      </c>
      <c r="D118" t="s">
        <v>1680</v>
      </c>
      <c r="E118" t="s">
        <v>1681</v>
      </c>
      <c r="F118" t="s">
        <v>1682</v>
      </c>
      <c r="G118" t="s">
        <v>1680</v>
      </c>
    </row>
    <row r="119" spans="1:7">
      <c r="A119" t="s">
        <v>641</v>
      </c>
      <c r="B119" t="s">
        <v>584</v>
      </c>
      <c r="C119" t="s">
        <v>643</v>
      </c>
      <c r="D119" t="s">
        <v>1680</v>
      </c>
      <c r="E119" t="s">
        <v>1681</v>
      </c>
      <c r="F119" t="s">
        <v>1682</v>
      </c>
      <c r="G119" t="s">
        <v>1680</v>
      </c>
    </row>
    <row r="120" spans="1:7">
      <c r="A120" t="s">
        <v>646</v>
      </c>
      <c r="B120" t="s">
        <v>584</v>
      </c>
      <c r="C120" t="s">
        <v>648</v>
      </c>
      <c r="D120" t="s">
        <v>1680</v>
      </c>
      <c r="E120" t="s">
        <v>1681</v>
      </c>
      <c r="F120" t="s">
        <v>1682</v>
      </c>
      <c r="G120" t="s">
        <v>1680</v>
      </c>
    </row>
    <row r="121" spans="1:7">
      <c r="A121" t="s">
        <v>651</v>
      </c>
      <c r="B121" t="s">
        <v>652</v>
      </c>
      <c r="C121" t="s">
        <v>653</v>
      </c>
      <c r="D121" t="s">
        <v>1680</v>
      </c>
      <c r="E121" t="s">
        <v>1681</v>
      </c>
      <c r="F121" t="s">
        <v>1682</v>
      </c>
      <c r="G121" t="s">
        <v>1680</v>
      </c>
    </row>
    <row r="122" spans="1:7">
      <c r="A122" t="s">
        <v>656</v>
      </c>
      <c r="B122" t="s">
        <v>652</v>
      </c>
      <c r="C122" t="s">
        <v>657</v>
      </c>
      <c r="D122" t="s">
        <v>1680</v>
      </c>
      <c r="E122" t="s">
        <v>1681</v>
      </c>
      <c r="F122" t="s">
        <v>1682</v>
      </c>
      <c r="G122" t="s">
        <v>1680</v>
      </c>
    </row>
    <row r="123" spans="1:7">
      <c r="A123" t="s">
        <v>660</v>
      </c>
      <c r="B123" t="s">
        <v>652</v>
      </c>
      <c r="C123" t="s">
        <v>661</v>
      </c>
      <c r="D123" t="s">
        <v>1680</v>
      </c>
      <c r="E123" t="s">
        <v>1681</v>
      </c>
      <c r="F123" t="s">
        <v>1682</v>
      </c>
      <c r="G123" t="s">
        <v>1680</v>
      </c>
    </row>
    <row r="124" spans="1:7">
      <c r="A124" t="s">
        <v>664</v>
      </c>
      <c r="B124" t="s">
        <v>652</v>
      </c>
      <c r="C124" t="s">
        <v>666</v>
      </c>
      <c r="D124" t="s">
        <v>1680</v>
      </c>
      <c r="E124" t="s">
        <v>1681</v>
      </c>
      <c r="F124" t="s">
        <v>1682</v>
      </c>
      <c r="G124" t="s">
        <v>1680</v>
      </c>
    </row>
    <row r="125" spans="1:7">
      <c r="A125" t="s">
        <v>669</v>
      </c>
      <c r="B125" t="s">
        <v>652</v>
      </c>
      <c r="C125" t="s">
        <v>671</v>
      </c>
      <c r="D125" t="s">
        <v>1680</v>
      </c>
      <c r="E125" t="s">
        <v>1681</v>
      </c>
      <c r="F125" t="s">
        <v>1682</v>
      </c>
      <c r="G125" t="s">
        <v>1680</v>
      </c>
    </row>
    <row r="126" spans="1:7">
      <c r="A126" t="s">
        <v>674</v>
      </c>
      <c r="B126" t="s">
        <v>652</v>
      </c>
      <c r="C126" t="s">
        <v>676</v>
      </c>
      <c r="D126" t="s">
        <v>1680</v>
      </c>
      <c r="E126" t="s">
        <v>1681</v>
      </c>
      <c r="F126" t="s">
        <v>1682</v>
      </c>
      <c r="G126" t="s">
        <v>1680</v>
      </c>
    </row>
    <row r="127" spans="1:7">
      <c r="A127" t="s">
        <v>679</v>
      </c>
      <c r="B127" t="s">
        <v>652</v>
      </c>
      <c r="C127" t="s">
        <v>680</v>
      </c>
      <c r="D127" t="s">
        <v>1680</v>
      </c>
      <c r="E127" t="s">
        <v>1681</v>
      </c>
      <c r="F127" t="s">
        <v>1682</v>
      </c>
      <c r="G127" t="s">
        <v>1680</v>
      </c>
    </row>
    <row r="128" spans="1:7">
      <c r="A128" t="s">
        <v>683</v>
      </c>
      <c r="B128" t="s">
        <v>652</v>
      </c>
      <c r="C128" t="s">
        <v>685</v>
      </c>
      <c r="D128" t="s">
        <v>1680</v>
      </c>
      <c r="E128" t="s">
        <v>1681</v>
      </c>
      <c r="F128" t="s">
        <v>1682</v>
      </c>
      <c r="G128" t="s">
        <v>1680</v>
      </c>
    </row>
    <row r="129" spans="1:7">
      <c r="A129" t="s">
        <v>688</v>
      </c>
      <c r="B129" t="s">
        <v>691</v>
      </c>
      <c r="C129" t="s">
        <v>692</v>
      </c>
      <c r="D129" t="s">
        <v>1680</v>
      </c>
      <c r="E129" t="s">
        <v>1681</v>
      </c>
      <c r="F129" t="s">
        <v>1682</v>
      </c>
      <c r="G129" t="s">
        <v>1680</v>
      </c>
    </row>
    <row r="130" spans="1:7">
      <c r="A130" t="s">
        <v>695</v>
      </c>
      <c r="B130" t="s">
        <v>691</v>
      </c>
      <c r="C130" t="s">
        <v>697</v>
      </c>
      <c r="D130" t="s">
        <v>1680</v>
      </c>
      <c r="E130" t="s">
        <v>1681</v>
      </c>
      <c r="F130" t="s">
        <v>1682</v>
      </c>
      <c r="G130" t="s">
        <v>1680</v>
      </c>
    </row>
    <row r="131" spans="1:7">
      <c r="A131" t="s">
        <v>700</v>
      </c>
      <c r="B131" t="s">
        <v>691</v>
      </c>
      <c r="C131" t="s">
        <v>702</v>
      </c>
      <c r="D131" t="s">
        <v>1680</v>
      </c>
      <c r="E131" t="s">
        <v>1681</v>
      </c>
      <c r="F131" t="s">
        <v>1682</v>
      </c>
      <c r="G131" t="s">
        <v>1680</v>
      </c>
    </row>
    <row r="132" spans="1:7">
      <c r="A132" t="s">
        <v>705</v>
      </c>
      <c r="B132" t="s">
        <v>691</v>
      </c>
      <c r="C132" t="s">
        <v>707</v>
      </c>
      <c r="D132" t="s">
        <v>1680</v>
      </c>
      <c r="E132" t="s">
        <v>1681</v>
      </c>
      <c r="F132" t="s">
        <v>1682</v>
      </c>
      <c r="G132" t="s">
        <v>1680</v>
      </c>
    </row>
    <row r="133" spans="1:7">
      <c r="A133" t="s">
        <v>710</v>
      </c>
      <c r="B133" t="s">
        <v>691</v>
      </c>
      <c r="C133" t="s">
        <v>712</v>
      </c>
      <c r="D133" t="s">
        <v>1680</v>
      </c>
      <c r="E133" t="s">
        <v>1681</v>
      </c>
      <c r="F133" t="s">
        <v>1682</v>
      </c>
      <c r="G133" t="s">
        <v>1680</v>
      </c>
    </row>
    <row r="134" spans="1:7">
      <c r="A134" t="s">
        <v>715</v>
      </c>
      <c r="B134" t="s">
        <v>718</v>
      </c>
      <c r="C134" t="s">
        <v>719</v>
      </c>
      <c r="D134" t="s">
        <v>1683</v>
      </c>
      <c r="E134" t="s">
        <v>1684</v>
      </c>
      <c r="F134" t="s">
        <v>1685</v>
      </c>
      <c r="G134" t="s">
        <v>1680</v>
      </c>
    </row>
    <row r="135" spans="1:7">
      <c r="A135" t="s">
        <v>722</v>
      </c>
      <c r="B135" t="s">
        <v>724</v>
      </c>
      <c r="C135" t="s">
        <v>725</v>
      </c>
      <c r="D135" t="s">
        <v>1683</v>
      </c>
      <c r="E135" t="s">
        <v>1684</v>
      </c>
      <c r="F135" t="s">
        <v>1685</v>
      </c>
      <c r="G135" t="s">
        <v>1680</v>
      </c>
    </row>
    <row r="136" spans="1:7">
      <c r="A136" t="s">
        <v>728</v>
      </c>
      <c r="B136" t="s">
        <v>730</v>
      </c>
      <c r="C136" t="s">
        <v>731</v>
      </c>
      <c r="D136" t="s">
        <v>1683</v>
      </c>
      <c r="E136" t="s">
        <v>1684</v>
      </c>
      <c r="F136" t="s">
        <v>1685</v>
      </c>
      <c r="G136" t="s">
        <v>1680</v>
      </c>
    </row>
    <row r="137" spans="1:7">
      <c r="A137" t="s">
        <v>734</v>
      </c>
      <c r="B137" t="s">
        <v>736</v>
      </c>
      <c r="C137" t="s">
        <v>738</v>
      </c>
      <c r="D137" t="s">
        <v>1680</v>
      </c>
      <c r="E137" t="s">
        <v>1681</v>
      </c>
      <c r="F137" t="s">
        <v>1682</v>
      </c>
      <c r="G137" t="s">
        <v>1680</v>
      </c>
    </row>
    <row r="138" spans="1:7">
      <c r="A138" t="s">
        <v>742</v>
      </c>
      <c r="B138" t="s">
        <v>743</v>
      </c>
      <c r="C138" t="s">
        <v>745</v>
      </c>
      <c r="D138" t="s">
        <v>1683</v>
      </c>
      <c r="E138" t="s">
        <v>1686</v>
      </c>
      <c r="F138" t="s">
        <v>1687</v>
      </c>
      <c r="G138" t="s">
        <v>1680</v>
      </c>
    </row>
    <row r="139" spans="1:7">
      <c r="A139" t="s">
        <v>748</v>
      </c>
      <c r="B139" t="s">
        <v>749</v>
      </c>
      <c r="C139" t="s">
        <v>750</v>
      </c>
      <c r="D139" t="s">
        <v>1680</v>
      </c>
      <c r="E139" t="s">
        <v>1681</v>
      </c>
      <c r="F139" t="s">
        <v>1682</v>
      </c>
      <c r="G139" t="s">
        <v>1680</v>
      </c>
    </row>
    <row r="140" spans="1:7">
      <c r="A140" t="s">
        <v>753</v>
      </c>
      <c r="B140" t="s">
        <v>754</v>
      </c>
      <c r="C140" t="s">
        <v>755</v>
      </c>
      <c r="D140" t="s">
        <v>1680</v>
      </c>
      <c r="E140" t="s">
        <v>1681</v>
      </c>
      <c r="F140" t="s">
        <v>1682</v>
      </c>
      <c r="G140" t="s">
        <v>1680</v>
      </c>
    </row>
    <row r="141" spans="1:7">
      <c r="A141" t="s">
        <v>758</v>
      </c>
      <c r="B141" t="s">
        <v>760</v>
      </c>
      <c r="C141" t="s">
        <v>761</v>
      </c>
      <c r="D141" t="s">
        <v>1680</v>
      </c>
      <c r="E141" t="s">
        <v>1681</v>
      </c>
      <c r="F141" t="s">
        <v>1682</v>
      </c>
      <c r="G141" t="s">
        <v>1680</v>
      </c>
    </row>
    <row r="142" spans="1:7">
      <c r="A142" t="s">
        <v>764</v>
      </c>
      <c r="B142" t="s">
        <v>765</v>
      </c>
      <c r="C142" t="s">
        <v>766</v>
      </c>
      <c r="D142" t="s">
        <v>1683</v>
      </c>
      <c r="E142" t="s">
        <v>1686</v>
      </c>
      <c r="F142" t="s">
        <v>1687</v>
      </c>
      <c r="G142" t="s">
        <v>1680</v>
      </c>
    </row>
    <row r="143" spans="1:7">
      <c r="A143" t="s">
        <v>769</v>
      </c>
      <c r="B143" t="s">
        <v>771</v>
      </c>
      <c r="C143" t="s">
        <v>772</v>
      </c>
      <c r="D143" t="s">
        <v>1680</v>
      </c>
      <c r="E143" t="s">
        <v>1681</v>
      </c>
      <c r="F143" t="s">
        <v>1682</v>
      </c>
      <c r="G143" t="s">
        <v>1680</v>
      </c>
    </row>
    <row r="144" spans="1:7">
      <c r="A144" t="s">
        <v>775</v>
      </c>
      <c r="B144" t="s">
        <v>776</v>
      </c>
      <c r="C144" t="s">
        <v>777</v>
      </c>
      <c r="D144" t="s">
        <v>1683</v>
      </c>
      <c r="E144" t="s">
        <v>1686</v>
      </c>
      <c r="F144" t="s">
        <v>1687</v>
      </c>
      <c r="G144" t="s">
        <v>1680</v>
      </c>
    </row>
    <row r="145" spans="1:7">
      <c r="A145" t="s">
        <v>780</v>
      </c>
      <c r="B145" t="s">
        <v>781</v>
      </c>
      <c r="C145" t="s">
        <v>782</v>
      </c>
      <c r="D145" t="s">
        <v>1680</v>
      </c>
      <c r="E145" t="s">
        <v>1681</v>
      </c>
      <c r="F145" t="s">
        <v>1682</v>
      </c>
      <c r="G145" t="s">
        <v>1680</v>
      </c>
    </row>
    <row r="146" spans="1:7">
      <c r="A146" t="s">
        <v>785</v>
      </c>
      <c r="B146" t="s">
        <v>786</v>
      </c>
      <c r="C146" t="s">
        <v>787</v>
      </c>
      <c r="D146" t="s">
        <v>1683</v>
      </c>
      <c r="E146" t="s">
        <v>1686</v>
      </c>
      <c r="F146" t="s">
        <v>1687</v>
      </c>
      <c r="G146" t="s">
        <v>1680</v>
      </c>
    </row>
    <row r="147" spans="1:7">
      <c r="A147" t="s">
        <v>790</v>
      </c>
      <c r="B147" t="s">
        <v>791</v>
      </c>
      <c r="C147" t="s">
        <v>792</v>
      </c>
      <c r="D147" t="s">
        <v>1680</v>
      </c>
      <c r="E147" t="s">
        <v>1681</v>
      </c>
      <c r="F147" t="s">
        <v>1682</v>
      </c>
      <c r="G147" t="s">
        <v>1680</v>
      </c>
    </row>
    <row r="148" spans="1:7">
      <c r="A148" t="s">
        <v>795</v>
      </c>
      <c r="B148" t="s">
        <v>796</v>
      </c>
      <c r="C148" t="s">
        <v>797</v>
      </c>
      <c r="D148" t="s">
        <v>1683</v>
      </c>
      <c r="E148" t="s">
        <v>1686</v>
      </c>
      <c r="F148" t="s">
        <v>1687</v>
      </c>
      <c r="G148" t="s">
        <v>1680</v>
      </c>
    </row>
    <row r="149" spans="1:7">
      <c r="A149" t="s">
        <v>800</v>
      </c>
      <c r="B149" t="s">
        <v>805</v>
      </c>
      <c r="C149" t="s">
        <v>806</v>
      </c>
      <c r="D149" t="s">
        <v>1680</v>
      </c>
      <c r="E149" t="s">
        <v>1681</v>
      </c>
      <c r="F149" t="s">
        <v>1682</v>
      </c>
      <c r="G149" t="s">
        <v>1680</v>
      </c>
    </row>
    <row r="150" spans="1:7">
      <c r="A150" t="s">
        <v>809</v>
      </c>
      <c r="B150" t="s">
        <v>811</v>
      </c>
      <c r="C150" t="s">
        <v>812</v>
      </c>
      <c r="D150" t="s">
        <v>1680</v>
      </c>
      <c r="E150" t="s">
        <v>1681</v>
      </c>
      <c r="F150" t="s">
        <v>1682</v>
      </c>
      <c r="G150" t="s">
        <v>1680</v>
      </c>
    </row>
    <row r="151" spans="1:7">
      <c r="A151" t="s">
        <v>815</v>
      </c>
      <c r="B151" t="s">
        <v>817</v>
      </c>
      <c r="C151" t="s">
        <v>819</v>
      </c>
      <c r="D151" t="s">
        <v>1683</v>
      </c>
      <c r="E151" t="s">
        <v>1686</v>
      </c>
      <c r="F151" t="s">
        <v>1687</v>
      </c>
      <c r="G151" t="s">
        <v>1680</v>
      </c>
    </row>
    <row r="152" spans="1:7">
      <c r="A152" t="s">
        <v>822</v>
      </c>
      <c r="B152" t="s">
        <v>805</v>
      </c>
      <c r="C152" t="s">
        <v>825</v>
      </c>
      <c r="D152" t="s">
        <v>1680</v>
      </c>
      <c r="E152" t="s">
        <v>1681</v>
      </c>
      <c r="F152" t="s">
        <v>1682</v>
      </c>
      <c r="G152" t="s">
        <v>1680</v>
      </c>
    </row>
    <row r="153" spans="1:7">
      <c r="A153" t="s">
        <v>828</v>
      </c>
      <c r="B153" t="s">
        <v>811</v>
      </c>
      <c r="C153" t="s">
        <v>829</v>
      </c>
      <c r="D153" t="s">
        <v>1680</v>
      </c>
      <c r="E153" t="s">
        <v>1681</v>
      </c>
      <c r="F153" t="s">
        <v>1682</v>
      </c>
      <c r="G153" t="s">
        <v>1680</v>
      </c>
    </row>
    <row r="154" spans="1:7">
      <c r="A154" t="s">
        <v>832</v>
      </c>
      <c r="B154" t="s">
        <v>817</v>
      </c>
      <c r="C154" t="s">
        <v>833</v>
      </c>
      <c r="D154" t="s">
        <v>1683</v>
      </c>
      <c r="E154" t="s">
        <v>1686</v>
      </c>
      <c r="F154" t="s">
        <v>1687</v>
      </c>
      <c r="G154" t="s">
        <v>1680</v>
      </c>
    </row>
    <row r="155" spans="1:7">
      <c r="A155" t="s">
        <v>836</v>
      </c>
      <c r="B155" t="s">
        <v>805</v>
      </c>
      <c r="C155" t="s">
        <v>839</v>
      </c>
      <c r="D155" t="s">
        <v>1680</v>
      </c>
      <c r="E155" t="s">
        <v>1681</v>
      </c>
      <c r="F155" t="s">
        <v>1682</v>
      </c>
      <c r="G155" t="s">
        <v>1680</v>
      </c>
    </row>
    <row r="156" spans="1:7">
      <c r="A156" t="s">
        <v>842</v>
      </c>
      <c r="B156" t="s">
        <v>811</v>
      </c>
      <c r="C156" t="s">
        <v>843</v>
      </c>
      <c r="D156" t="s">
        <v>1680</v>
      </c>
      <c r="E156" t="s">
        <v>1681</v>
      </c>
      <c r="F156" t="s">
        <v>1682</v>
      </c>
      <c r="G156" t="s">
        <v>1680</v>
      </c>
    </row>
    <row r="157" spans="1:7">
      <c r="A157" t="s">
        <v>846</v>
      </c>
      <c r="B157" t="s">
        <v>817</v>
      </c>
      <c r="C157" t="s">
        <v>847</v>
      </c>
      <c r="D157" t="s">
        <v>1683</v>
      </c>
      <c r="E157" t="s">
        <v>1686</v>
      </c>
      <c r="F157" t="s">
        <v>1687</v>
      </c>
      <c r="G157" t="s">
        <v>1680</v>
      </c>
    </row>
    <row r="158" spans="1:7">
      <c r="A158" t="s">
        <v>850</v>
      </c>
      <c r="B158" t="s">
        <v>805</v>
      </c>
      <c r="C158" t="s">
        <v>852</v>
      </c>
      <c r="D158" t="s">
        <v>1680</v>
      </c>
      <c r="E158" t="s">
        <v>1681</v>
      </c>
      <c r="F158" t="s">
        <v>1682</v>
      </c>
      <c r="G158" t="s">
        <v>1680</v>
      </c>
    </row>
    <row r="159" spans="1:7">
      <c r="A159" t="s">
        <v>855</v>
      </c>
      <c r="B159" t="s">
        <v>811</v>
      </c>
      <c r="C159" t="s">
        <v>856</v>
      </c>
      <c r="D159" t="s">
        <v>1680</v>
      </c>
      <c r="E159" t="s">
        <v>1681</v>
      </c>
      <c r="F159" t="s">
        <v>1682</v>
      </c>
      <c r="G159" t="s">
        <v>1680</v>
      </c>
    </row>
    <row r="160" spans="1:7">
      <c r="A160" t="s">
        <v>859</v>
      </c>
      <c r="B160" t="s">
        <v>817</v>
      </c>
      <c r="C160" t="s">
        <v>860</v>
      </c>
      <c r="D160" t="s">
        <v>1683</v>
      </c>
      <c r="E160" t="s">
        <v>1686</v>
      </c>
      <c r="F160" t="s">
        <v>1687</v>
      </c>
      <c r="G160" t="s">
        <v>1680</v>
      </c>
    </row>
    <row r="161" spans="1:7">
      <c r="A161" t="s">
        <v>863</v>
      </c>
      <c r="B161" t="s">
        <v>867</v>
      </c>
      <c r="C161" t="s">
        <v>869</v>
      </c>
      <c r="D161" t="s">
        <v>1680</v>
      </c>
      <c r="E161" t="s">
        <v>1681</v>
      </c>
      <c r="F161" t="s">
        <v>1682</v>
      </c>
      <c r="G161" t="s">
        <v>1680</v>
      </c>
    </row>
    <row r="162" spans="1:7">
      <c r="A162" t="s">
        <v>872</v>
      </c>
      <c r="B162" t="s">
        <v>874</v>
      </c>
      <c r="C162" t="s">
        <v>876</v>
      </c>
      <c r="D162" t="s">
        <v>1680</v>
      </c>
      <c r="E162" t="s">
        <v>1681</v>
      </c>
      <c r="F162" t="s">
        <v>1682</v>
      </c>
      <c r="G162" t="s">
        <v>1680</v>
      </c>
    </row>
    <row r="163" spans="1:7">
      <c r="A163" t="s">
        <v>879</v>
      </c>
      <c r="B163" t="s">
        <v>881</v>
      </c>
      <c r="C163" t="s">
        <v>883</v>
      </c>
      <c r="D163" t="s">
        <v>1680</v>
      </c>
      <c r="E163" t="s">
        <v>1681</v>
      </c>
      <c r="F163" t="s">
        <v>1682</v>
      </c>
      <c r="G163" t="s">
        <v>1680</v>
      </c>
    </row>
    <row r="164" spans="1:7">
      <c r="A164" t="s">
        <v>886</v>
      </c>
      <c r="B164" t="s">
        <v>887</v>
      </c>
      <c r="C164" t="s">
        <v>888</v>
      </c>
      <c r="D164" t="s">
        <v>1680</v>
      </c>
      <c r="E164" t="s">
        <v>1681</v>
      </c>
      <c r="F164" t="s">
        <v>1682</v>
      </c>
      <c r="G164" t="s">
        <v>1680</v>
      </c>
    </row>
    <row r="165" spans="1:7">
      <c r="A165" t="s">
        <v>891</v>
      </c>
      <c r="B165" t="s">
        <v>892</v>
      </c>
      <c r="C165" t="s">
        <v>893</v>
      </c>
      <c r="D165" t="s">
        <v>1680</v>
      </c>
      <c r="E165" t="s">
        <v>1681</v>
      </c>
      <c r="F165" t="s">
        <v>1682</v>
      </c>
      <c r="G165" t="s">
        <v>1680</v>
      </c>
    </row>
    <row r="166" spans="1:7">
      <c r="A166" t="s">
        <v>896</v>
      </c>
      <c r="B166" t="s">
        <v>897</v>
      </c>
      <c r="C166" t="s">
        <v>898</v>
      </c>
      <c r="D166" t="s">
        <v>1680</v>
      </c>
      <c r="E166" t="s">
        <v>1681</v>
      </c>
      <c r="F166" t="s">
        <v>1682</v>
      </c>
      <c r="G166" t="s">
        <v>1680</v>
      </c>
    </row>
    <row r="167" spans="1:7">
      <c r="A167" t="s">
        <v>901</v>
      </c>
      <c r="B167" t="s">
        <v>902</v>
      </c>
      <c r="C167" t="s">
        <v>903</v>
      </c>
      <c r="D167" t="s">
        <v>1680</v>
      </c>
      <c r="E167" t="s">
        <v>1681</v>
      </c>
      <c r="F167" t="s">
        <v>1682</v>
      </c>
      <c r="G167" t="s">
        <v>1680</v>
      </c>
    </row>
    <row r="168" spans="1:7">
      <c r="A168" t="s">
        <v>906</v>
      </c>
      <c r="B168" t="s">
        <v>909</v>
      </c>
      <c r="C168" t="s">
        <v>910</v>
      </c>
      <c r="D168" t="s">
        <v>1680</v>
      </c>
      <c r="E168" t="s">
        <v>1681</v>
      </c>
      <c r="F168" t="s">
        <v>1682</v>
      </c>
      <c r="G168" t="s">
        <v>1680</v>
      </c>
    </row>
    <row r="169" spans="1:7">
      <c r="A169" t="s">
        <v>913</v>
      </c>
      <c r="B169" t="s">
        <v>914</v>
      </c>
      <c r="C169" t="s">
        <v>915</v>
      </c>
      <c r="D169" t="s">
        <v>1680</v>
      </c>
      <c r="E169" t="s">
        <v>1681</v>
      </c>
      <c r="F169" t="s">
        <v>1682</v>
      </c>
      <c r="G169" t="s">
        <v>1680</v>
      </c>
    </row>
    <row r="170" spans="1:7">
      <c r="A170" t="s">
        <v>918</v>
      </c>
      <c r="B170" t="s">
        <v>919</v>
      </c>
      <c r="C170" t="s">
        <v>920</v>
      </c>
      <c r="D170" t="s">
        <v>1680</v>
      </c>
      <c r="E170" t="s">
        <v>1681</v>
      </c>
      <c r="F170" t="s">
        <v>1682</v>
      </c>
      <c r="G170" t="s">
        <v>1680</v>
      </c>
    </row>
    <row r="171" spans="1:7">
      <c r="A171" t="s">
        <v>923</v>
      </c>
      <c r="B171" t="s">
        <v>924</v>
      </c>
      <c r="C171" t="s">
        <v>925</v>
      </c>
      <c r="D171" t="s">
        <v>1680</v>
      </c>
      <c r="E171" t="s">
        <v>1681</v>
      </c>
      <c r="F171" t="s">
        <v>1682</v>
      </c>
      <c r="G171" t="s">
        <v>1680</v>
      </c>
    </row>
    <row r="172" spans="1:7">
      <c r="A172" t="s">
        <v>928</v>
      </c>
      <c r="B172" t="s">
        <v>929</v>
      </c>
      <c r="C172" t="s">
        <v>930</v>
      </c>
      <c r="D172" t="s">
        <v>1680</v>
      </c>
      <c r="E172" t="s">
        <v>1681</v>
      </c>
      <c r="F172" t="s">
        <v>1682</v>
      </c>
      <c r="G172" t="s">
        <v>1680</v>
      </c>
    </row>
    <row r="173" spans="1:7">
      <c r="A173" t="s">
        <v>933</v>
      </c>
      <c r="B173" t="s">
        <v>934</v>
      </c>
      <c r="C173" t="s">
        <v>935</v>
      </c>
      <c r="D173" t="s">
        <v>1680</v>
      </c>
      <c r="E173" t="s">
        <v>1681</v>
      </c>
      <c r="F173" t="s">
        <v>1682</v>
      </c>
      <c r="G173" t="s">
        <v>1680</v>
      </c>
    </row>
    <row r="174" spans="1:7">
      <c r="A174" t="s">
        <v>938</v>
      </c>
      <c r="B174" t="s">
        <v>939</v>
      </c>
      <c r="C174" t="s">
        <v>940</v>
      </c>
      <c r="D174" t="s">
        <v>1680</v>
      </c>
      <c r="E174" t="s">
        <v>1681</v>
      </c>
      <c r="F174" t="s">
        <v>1682</v>
      </c>
      <c r="G174" t="s">
        <v>1680</v>
      </c>
    </row>
    <row r="175" spans="1:7">
      <c r="A175" t="s">
        <v>943</v>
      </c>
      <c r="B175" t="s">
        <v>945</v>
      </c>
      <c r="C175" t="s">
        <v>946</v>
      </c>
      <c r="D175" t="s">
        <v>1680</v>
      </c>
      <c r="E175" t="s">
        <v>1681</v>
      </c>
      <c r="F175" t="s">
        <v>1682</v>
      </c>
      <c r="G175" t="s">
        <v>1680</v>
      </c>
    </row>
    <row r="176" spans="1:7">
      <c r="A176" t="s">
        <v>949</v>
      </c>
      <c r="B176" t="s">
        <v>950</v>
      </c>
      <c r="C176" t="s">
        <v>951</v>
      </c>
      <c r="D176" t="s">
        <v>1680</v>
      </c>
      <c r="E176" t="s">
        <v>1681</v>
      </c>
      <c r="F176" t="s">
        <v>1682</v>
      </c>
      <c r="G176" t="s">
        <v>1680</v>
      </c>
    </row>
    <row r="177" spans="1:7">
      <c r="A177" t="s">
        <v>954</v>
      </c>
      <c r="B177" t="s">
        <v>955</v>
      </c>
      <c r="C177" t="s">
        <v>956</v>
      </c>
      <c r="D177" t="s">
        <v>1680</v>
      </c>
      <c r="E177" t="s">
        <v>1681</v>
      </c>
      <c r="F177" t="s">
        <v>1682</v>
      </c>
      <c r="G177" t="s">
        <v>1680</v>
      </c>
    </row>
    <row r="178" spans="1:7">
      <c r="A178" t="s">
        <v>959</v>
      </c>
      <c r="B178" t="s">
        <v>960</v>
      </c>
      <c r="C178" t="s">
        <v>961</v>
      </c>
      <c r="D178" t="s">
        <v>1680</v>
      </c>
      <c r="E178" t="s">
        <v>1681</v>
      </c>
      <c r="F178" t="s">
        <v>1682</v>
      </c>
      <c r="G178" t="s">
        <v>1680</v>
      </c>
    </row>
    <row r="179" spans="1:7">
      <c r="A179" t="s">
        <v>964</v>
      </c>
      <c r="B179" t="s">
        <v>965</v>
      </c>
      <c r="C179" t="s">
        <v>966</v>
      </c>
      <c r="D179" t="s">
        <v>1680</v>
      </c>
      <c r="E179" t="s">
        <v>1681</v>
      </c>
      <c r="F179" t="s">
        <v>1682</v>
      </c>
      <c r="G179" t="s">
        <v>1680</v>
      </c>
    </row>
    <row r="180" spans="1:7">
      <c r="A180" t="s">
        <v>969</v>
      </c>
      <c r="B180" t="s">
        <v>971</v>
      </c>
      <c r="C180" t="s">
        <v>972</v>
      </c>
      <c r="D180" t="s">
        <v>1680</v>
      </c>
      <c r="E180" t="s">
        <v>1681</v>
      </c>
      <c r="F180" t="s">
        <v>1682</v>
      </c>
      <c r="G180" t="s">
        <v>1680</v>
      </c>
    </row>
    <row r="181" spans="1:7">
      <c r="A181" t="s">
        <v>975</v>
      </c>
      <c r="B181" t="s">
        <v>976</v>
      </c>
      <c r="C181" t="s">
        <v>977</v>
      </c>
      <c r="D181" t="s">
        <v>1680</v>
      </c>
      <c r="E181" t="s">
        <v>1681</v>
      </c>
      <c r="F181" t="s">
        <v>1682</v>
      </c>
      <c r="G181" t="s">
        <v>1680</v>
      </c>
    </row>
    <row r="182" spans="1:7">
      <c r="A182" t="s">
        <v>980</v>
      </c>
      <c r="B182" t="s">
        <v>982</v>
      </c>
      <c r="C182" t="s">
        <v>983</v>
      </c>
      <c r="D182" t="s">
        <v>1680</v>
      </c>
      <c r="E182" t="s">
        <v>1681</v>
      </c>
      <c r="F182" t="s">
        <v>1682</v>
      </c>
      <c r="G182" t="s">
        <v>1680</v>
      </c>
    </row>
    <row r="183" spans="1:7">
      <c r="A183" t="s">
        <v>986</v>
      </c>
      <c r="B183" t="s">
        <v>988</v>
      </c>
      <c r="C183" t="s">
        <v>989</v>
      </c>
      <c r="D183" t="s">
        <v>1680</v>
      </c>
      <c r="E183" t="s">
        <v>1681</v>
      </c>
      <c r="F183" t="s">
        <v>1682</v>
      </c>
      <c r="G183" t="s">
        <v>1680</v>
      </c>
    </row>
    <row r="184" spans="1:7">
      <c r="A184" t="s">
        <v>992</v>
      </c>
      <c r="B184" t="s">
        <v>993</v>
      </c>
      <c r="C184" t="s">
        <v>994</v>
      </c>
      <c r="D184" t="s">
        <v>1680</v>
      </c>
      <c r="E184" t="s">
        <v>1681</v>
      </c>
      <c r="F184" t="s">
        <v>1682</v>
      </c>
      <c r="G184" t="s">
        <v>1680</v>
      </c>
    </row>
    <row r="185" spans="1:7">
      <c r="A185" t="s">
        <v>997</v>
      </c>
      <c r="B185" t="s">
        <v>1000</v>
      </c>
      <c r="C185" t="s">
        <v>1001</v>
      </c>
      <c r="D185" t="s">
        <v>1680</v>
      </c>
      <c r="E185" t="s">
        <v>1681</v>
      </c>
      <c r="F185" t="s">
        <v>1682</v>
      </c>
      <c r="G185" t="s">
        <v>1680</v>
      </c>
    </row>
    <row r="186" spans="1:7">
      <c r="A186" t="s">
        <v>1004</v>
      </c>
      <c r="B186" t="s">
        <v>1007</v>
      </c>
      <c r="C186" t="s">
        <v>1008</v>
      </c>
      <c r="D186" t="s">
        <v>1680</v>
      </c>
      <c r="E186" t="s">
        <v>1681</v>
      </c>
      <c r="F186" t="s">
        <v>1682</v>
      </c>
      <c r="G186" t="s">
        <v>1680</v>
      </c>
    </row>
    <row r="187" spans="1:7">
      <c r="A187" t="s">
        <v>1011</v>
      </c>
      <c r="B187" t="s">
        <v>1015</v>
      </c>
      <c r="C187" t="s">
        <v>1016</v>
      </c>
      <c r="D187" t="s">
        <v>1680</v>
      </c>
      <c r="E187" t="s">
        <v>1681</v>
      </c>
      <c r="F187" t="s">
        <v>1682</v>
      </c>
      <c r="G187" t="s">
        <v>1680</v>
      </c>
    </row>
    <row r="188" spans="1:7">
      <c r="A188" t="s">
        <v>1019</v>
      </c>
      <c r="B188" t="s">
        <v>1022</v>
      </c>
      <c r="C188" t="s">
        <v>1023</v>
      </c>
      <c r="D188" t="s">
        <v>1680</v>
      </c>
      <c r="E188" t="s">
        <v>1681</v>
      </c>
      <c r="F188" t="s">
        <v>1682</v>
      </c>
      <c r="G188" t="s">
        <v>1680</v>
      </c>
    </row>
    <row r="189" spans="1:7">
      <c r="A189" t="s">
        <v>1026</v>
      </c>
      <c r="B189" t="s">
        <v>1028</v>
      </c>
      <c r="C189" t="s">
        <v>1029</v>
      </c>
      <c r="D189" t="s">
        <v>1680</v>
      </c>
      <c r="E189" t="s">
        <v>1681</v>
      </c>
      <c r="F189" t="s">
        <v>1682</v>
      </c>
      <c r="G189" t="s">
        <v>1680</v>
      </c>
    </row>
    <row r="190" spans="1:7">
      <c r="A190" t="s">
        <v>1032</v>
      </c>
      <c r="B190" t="s">
        <v>1035</v>
      </c>
      <c r="C190" t="s">
        <v>1036</v>
      </c>
      <c r="D190" t="s">
        <v>1680</v>
      </c>
      <c r="E190" t="s">
        <v>1681</v>
      </c>
      <c r="F190" t="s">
        <v>1682</v>
      </c>
      <c r="G190" t="s">
        <v>1680</v>
      </c>
    </row>
    <row r="191" spans="1:7">
      <c r="A191" t="s">
        <v>1039</v>
      </c>
      <c r="B191" t="s">
        <v>1041</v>
      </c>
      <c r="C191" t="s">
        <v>1042</v>
      </c>
      <c r="D191" t="s">
        <v>1680</v>
      </c>
      <c r="E191" t="s">
        <v>1681</v>
      </c>
      <c r="F191" t="s">
        <v>1682</v>
      </c>
      <c r="G191" t="s">
        <v>1680</v>
      </c>
    </row>
    <row r="192" spans="1:7">
      <c r="A192" t="s">
        <v>1045</v>
      </c>
      <c r="B192" t="s">
        <v>1046</v>
      </c>
      <c r="C192" t="s">
        <v>1047</v>
      </c>
      <c r="D192" t="s">
        <v>1680</v>
      </c>
      <c r="E192" t="s">
        <v>1681</v>
      </c>
      <c r="F192" t="s">
        <v>1682</v>
      </c>
      <c r="G192" t="s">
        <v>1680</v>
      </c>
    </row>
    <row r="193" spans="1:7">
      <c r="A193" t="s">
        <v>1050</v>
      </c>
      <c r="B193" t="s">
        <v>1054</v>
      </c>
      <c r="C193" t="s">
        <v>1056</v>
      </c>
      <c r="D193" t="s">
        <v>1680</v>
      </c>
      <c r="E193" t="s">
        <v>1681</v>
      </c>
      <c r="F193" t="s">
        <v>1682</v>
      </c>
      <c r="G193" t="s">
        <v>1680</v>
      </c>
    </row>
    <row r="194" spans="1:7">
      <c r="A194" t="s">
        <v>1059</v>
      </c>
      <c r="B194" t="s">
        <v>1054</v>
      </c>
      <c r="C194" t="s">
        <v>1062</v>
      </c>
      <c r="D194" t="s">
        <v>1680</v>
      </c>
      <c r="E194" t="s">
        <v>1681</v>
      </c>
      <c r="F194" t="s">
        <v>1682</v>
      </c>
      <c r="G194" t="s">
        <v>1680</v>
      </c>
    </row>
    <row r="195" spans="1:7">
      <c r="A195" t="s">
        <v>1065</v>
      </c>
      <c r="B195" t="s">
        <v>1054</v>
      </c>
      <c r="C195" t="s">
        <v>1068</v>
      </c>
      <c r="D195" t="s">
        <v>1680</v>
      </c>
      <c r="E195" t="s">
        <v>1681</v>
      </c>
      <c r="F195" t="s">
        <v>1682</v>
      </c>
      <c r="G195" t="s">
        <v>1680</v>
      </c>
    </row>
    <row r="196" spans="1:7">
      <c r="A196" t="s">
        <v>1071</v>
      </c>
      <c r="B196" t="s">
        <v>1054</v>
      </c>
      <c r="C196" t="s">
        <v>1074</v>
      </c>
      <c r="D196" t="s">
        <v>1680</v>
      </c>
      <c r="E196" t="s">
        <v>1681</v>
      </c>
      <c r="F196" t="s">
        <v>1682</v>
      </c>
      <c r="G196" t="s">
        <v>1680</v>
      </c>
    </row>
    <row r="197" spans="1:7">
      <c r="A197" t="s">
        <v>1077</v>
      </c>
      <c r="B197" t="s">
        <v>1078</v>
      </c>
      <c r="C197" t="s">
        <v>1079</v>
      </c>
      <c r="D197" t="s">
        <v>1680</v>
      </c>
      <c r="E197" t="s">
        <v>1681</v>
      </c>
      <c r="F197" t="s">
        <v>1682</v>
      </c>
      <c r="G197" t="s">
        <v>1680</v>
      </c>
    </row>
    <row r="198" spans="1:7">
      <c r="A198" t="s">
        <v>1082</v>
      </c>
      <c r="B198" t="s">
        <v>1083</v>
      </c>
      <c r="C198" t="s">
        <v>1084</v>
      </c>
      <c r="D198" t="s">
        <v>1680</v>
      </c>
      <c r="E198" t="s">
        <v>1681</v>
      </c>
      <c r="F198" t="s">
        <v>1682</v>
      </c>
      <c r="G198" t="s">
        <v>1680</v>
      </c>
    </row>
    <row r="199" spans="1:7">
      <c r="A199" t="s">
        <v>1087</v>
      </c>
      <c r="B199" t="s">
        <v>1090</v>
      </c>
      <c r="C199" t="s">
        <v>1091</v>
      </c>
      <c r="D199" t="s">
        <v>1680</v>
      </c>
      <c r="E199" t="s">
        <v>1681</v>
      </c>
      <c r="F199" t="s">
        <v>1682</v>
      </c>
      <c r="G199" t="s">
        <v>1680</v>
      </c>
    </row>
    <row r="200" spans="1:7">
      <c r="A200" t="s">
        <v>1094</v>
      </c>
      <c r="B200" t="s">
        <v>1096</v>
      </c>
      <c r="C200" t="s">
        <v>1097</v>
      </c>
      <c r="D200" t="s">
        <v>1680</v>
      </c>
      <c r="E200" t="s">
        <v>1681</v>
      </c>
      <c r="F200" t="s">
        <v>1682</v>
      </c>
      <c r="G200" t="s">
        <v>1680</v>
      </c>
    </row>
    <row r="201" spans="1:7">
      <c r="A201" t="s">
        <v>1100</v>
      </c>
      <c r="B201" t="s">
        <v>1102</v>
      </c>
      <c r="C201" t="s">
        <v>1103</v>
      </c>
      <c r="D201" t="s">
        <v>1680</v>
      </c>
      <c r="E201" t="s">
        <v>1681</v>
      </c>
      <c r="F201" t="s">
        <v>1682</v>
      </c>
      <c r="G201" t="s">
        <v>1680</v>
      </c>
    </row>
    <row r="202" spans="1:7">
      <c r="A202" t="s">
        <v>1106</v>
      </c>
      <c r="B202" t="s">
        <v>1108</v>
      </c>
      <c r="C202" t="s">
        <v>1109</v>
      </c>
      <c r="D202" t="s">
        <v>1680</v>
      </c>
      <c r="E202" t="s">
        <v>1681</v>
      </c>
      <c r="F202" t="s">
        <v>1682</v>
      </c>
      <c r="G202" t="s">
        <v>1680</v>
      </c>
    </row>
    <row r="203" spans="1:7">
      <c r="A203" t="s">
        <v>1112</v>
      </c>
      <c r="B203" t="s">
        <v>1113</v>
      </c>
      <c r="C203" t="s">
        <v>1114</v>
      </c>
      <c r="D203" t="s">
        <v>1680</v>
      </c>
      <c r="E203" t="s">
        <v>1681</v>
      </c>
      <c r="F203" t="s">
        <v>1682</v>
      </c>
      <c r="G203" t="s">
        <v>1680</v>
      </c>
    </row>
    <row r="204" spans="1:7">
      <c r="A204" t="s">
        <v>1117</v>
      </c>
      <c r="B204" t="s">
        <v>1120</v>
      </c>
      <c r="C204" t="s">
        <v>1121</v>
      </c>
      <c r="D204" t="s">
        <v>1680</v>
      </c>
      <c r="E204" t="s">
        <v>1681</v>
      </c>
      <c r="F204" t="s">
        <v>1682</v>
      </c>
      <c r="G204" t="s">
        <v>1680</v>
      </c>
    </row>
    <row r="205" spans="1:7">
      <c r="A205" t="s">
        <v>1124</v>
      </c>
      <c r="B205" t="s">
        <v>1126</v>
      </c>
      <c r="C205" t="s">
        <v>1127</v>
      </c>
      <c r="D205" t="s">
        <v>1680</v>
      </c>
      <c r="E205" t="s">
        <v>1681</v>
      </c>
      <c r="F205" t="s">
        <v>1682</v>
      </c>
      <c r="G205" t="s">
        <v>1680</v>
      </c>
    </row>
    <row r="206" spans="1:7">
      <c r="A206" t="s">
        <v>1130</v>
      </c>
      <c r="B206" t="s">
        <v>1133</v>
      </c>
      <c r="C206" t="s">
        <v>1134</v>
      </c>
      <c r="D206" t="s">
        <v>1680</v>
      </c>
      <c r="E206" t="s">
        <v>1681</v>
      </c>
      <c r="F206" t="s">
        <v>1682</v>
      </c>
      <c r="G206" t="s">
        <v>1680</v>
      </c>
    </row>
    <row r="207" spans="1:7">
      <c r="A207" t="s">
        <v>1137</v>
      </c>
      <c r="B207" t="s">
        <v>1138</v>
      </c>
      <c r="C207" t="s">
        <v>1139</v>
      </c>
      <c r="D207" t="s">
        <v>1680</v>
      </c>
      <c r="E207" t="s">
        <v>1681</v>
      </c>
      <c r="F207" t="s">
        <v>1682</v>
      </c>
      <c r="G207" t="s">
        <v>1680</v>
      </c>
    </row>
    <row r="208" spans="1:7">
      <c r="A208" t="s">
        <v>1142</v>
      </c>
      <c r="B208" t="s">
        <v>1143</v>
      </c>
      <c r="C208" t="s">
        <v>1144</v>
      </c>
      <c r="D208" t="s">
        <v>1680</v>
      </c>
      <c r="E208" t="s">
        <v>1681</v>
      </c>
      <c r="F208" t="s">
        <v>1682</v>
      </c>
      <c r="G208" t="s">
        <v>1680</v>
      </c>
    </row>
    <row r="209" spans="1:7">
      <c r="A209" t="s">
        <v>1147</v>
      </c>
      <c r="B209" t="s">
        <v>1148</v>
      </c>
      <c r="C209" t="s">
        <v>1149</v>
      </c>
      <c r="D209" t="s">
        <v>1680</v>
      </c>
      <c r="E209" t="s">
        <v>1681</v>
      </c>
      <c r="F209" t="s">
        <v>1682</v>
      </c>
      <c r="G209" t="s">
        <v>1680</v>
      </c>
    </row>
    <row r="210" spans="1:7">
      <c r="A210" t="s">
        <v>1152</v>
      </c>
      <c r="B210" t="s">
        <v>1153</v>
      </c>
      <c r="C210" t="s">
        <v>1154</v>
      </c>
      <c r="D210" t="s">
        <v>1680</v>
      </c>
      <c r="E210" t="s">
        <v>1681</v>
      </c>
      <c r="F210" t="s">
        <v>1682</v>
      </c>
      <c r="G210" t="s">
        <v>1680</v>
      </c>
    </row>
    <row r="211" spans="1:7">
      <c r="A211" t="s">
        <v>1157</v>
      </c>
      <c r="B211" t="s">
        <v>1158</v>
      </c>
      <c r="C211" t="s">
        <v>1159</v>
      </c>
      <c r="D211" t="s">
        <v>1680</v>
      </c>
      <c r="E211" t="s">
        <v>1681</v>
      </c>
      <c r="F211" t="s">
        <v>1682</v>
      </c>
      <c r="G211" t="s">
        <v>1680</v>
      </c>
    </row>
    <row r="212" spans="1:7">
      <c r="A212" t="s">
        <v>1162</v>
      </c>
      <c r="B212" t="s">
        <v>1166</v>
      </c>
      <c r="C212" t="s">
        <v>1167</v>
      </c>
      <c r="D212" t="s">
        <v>1680</v>
      </c>
      <c r="E212" t="s">
        <v>1681</v>
      </c>
      <c r="F212" t="s">
        <v>1682</v>
      </c>
      <c r="G212" t="s">
        <v>1680</v>
      </c>
    </row>
    <row r="213" spans="1:7">
      <c r="A213" t="s">
        <v>1170</v>
      </c>
      <c r="B213" t="s">
        <v>1171</v>
      </c>
      <c r="C213" t="s">
        <v>1172</v>
      </c>
      <c r="D213" t="s">
        <v>1680</v>
      </c>
      <c r="E213" t="s">
        <v>1681</v>
      </c>
      <c r="F213" t="s">
        <v>1682</v>
      </c>
      <c r="G213" t="s">
        <v>1680</v>
      </c>
    </row>
    <row r="214" spans="1:7">
      <c r="A214" t="s">
        <v>1175</v>
      </c>
      <c r="B214" t="s">
        <v>1176</v>
      </c>
      <c r="C214" t="s">
        <v>1177</v>
      </c>
      <c r="D214" t="s">
        <v>1680</v>
      </c>
      <c r="E214" t="s">
        <v>1681</v>
      </c>
      <c r="F214" t="s">
        <v>1682</v>
      </c>
      <c r="G214" t="s">
        <v>1680</v>
      </c>
    </row>
    <row r="215" spans="1:7">
      <c r="A215" t="s">
        <v>1180</v>
      </c>
      <c r="B215" t="s">
        <v>1182</v>
      </c>
      <c r="C215" t="s">
        <v>1184</v>
      </c>
      <c r="D215" t="s">
        <v>1680</v>
      </c>
      <c r="E215" t="s">
        <v>1681</v>
      </c>
      <c r="F215" t="s">
        <v>1682</v>
      </c>
      <c r="G215" t="s">
        <v>1680</v>
      </c>
    </row>
    <row r="216" spans="1:7">
      <c r="A216" t="s">
        <v>1187</v>
      </c>
      <c r="B216" t="s">
        <v>1189</v>
      </c>
      <c r="C216" t="s">
        <v>1191</v>
      </c>
      <c r="D216" t="s">
        <v>1680</v>
      </c>
      <c r="E216" t="s">
        <v>1681</v>
      </c>
      <c r="F216" t="s">
        <v>1682</v>
      </c>
      <c r="G216" t="s">
        <v>1680</v>
      </c>
    </row>
    <row r="217" spans="1:7">
      <c r="A217" t="s">
        <v>1194</v>
      </c>
      <c r="B217" t="s">
        <v>1195</v>
      </c>
      <c r="C217" t="s">
        <v>1196</v>
      </c>
      <c r="D217" t="s">
        <v>1680</v>
      </c>
      <c r="E217" t="s">
        <v>1681</v>
      </c>
      <c r="F217" t="s">
        <v>1682</v>
      </c>
      <c r="G217" t="s">
        <v>1680</v>
      </c>
    </row>
    <row r="218" spans="1:7">
      <c r="A218" t="s">
        <v>1199</v>
      </c>
      <c r="B218" t="s">
        <v>1200</v>
      </c>
      <c r="C218" t="s">
        <v>1201</v>
      </c>
      <c r="D218" t="s">
        <v>1680</v>
      </c>
      <c r="E218" t="s">
        <v>1681</v>
      </c>
      <c r="F218" t="s">
        <v>1682</v>
      </c>
      <c r="G218" t="s">
        <v>1680</v>
      </c>
    </row>
    <row r="219" spans="1:7">
      <c r="A219" t="s">
        <v>1204</v>
      </c>
      <c r="B219" t="s">
        <v>1205</v>
      </c>
      <c r="C219" t="s">
        <v>1206</v>
      </c>
      <c r="D219" t="s">
        <v>1680</v>
      </c>
      <c r="E219" t="s">
        <v>1681</v>
      </c>
      <c r="F219" t="s">
        <v>1682</v>
      </c>
      <c r="G219" t="s">
        <v>1680</v>
      </c>
    </row>
    <row r="220" spans="1:7">
      <c r="A220" t="s">
        <v>1209</v>
      </c>
      <c r="B220" t="s">
        <v>1211</v>
      </c>
      <c r="C220" t="s">
        <v>1212</v>
      </c>
      <c r="D220" t="s">
        <v>1680</v>
      </c>
      <c r="E220" t="s">
        <v>1681</v>
      </c>
      <c r="F220" t="s">
        <v>1682</v>
      </c>
      <c r="G220" t="s">
        <v>1680</v>
      </c>
    </row>
    <row r="221" spans="1:7">
      <c r="A221" t="s">
        <v>1215</v>
      </c>
      <c r="B221" t="s">
        <v>1216</v>
      </c>
      <c r="C221" t="s">
        <v>1217</v>
      </c>
      <c r="D221" t="s">
        <v>1680</v>
      </c>
      <c r="E221" t="s">
        <v>1681</v>
      </c>
      <c r="F221" t="s">
        <v>1682</v>
      </c>
      <c r="G221" t="s">
        <v>1680</v>
      </c>
    </row>
    <row r="222" spans="1:7">
      <c r="A222" t="s">
        <v>1220</v>
      </c>
      <c r="B222" t="s">
        <v>1221</v>
      </c>
      <c r="C222" t="s">
        <v>1222</v>
      </c>
      <c r="D222" t="s">
        <v>1680</v>
      </c>
      <c r="E222" t="s">
        <v>1681</v>
      </c>
      <c r="F222" t="s">
        <v>1682</v>
      </c>
      <c r="G222" t="s">
        <v>1680</v>
      </c>
    </row>
    <row r="223" spans="1:7">
      <c r="A223" t="s">
        <v>1225</v>
      </c>
      <c r="B223" t="s">
        <v>1226</v>
      </c>
      <c r="C223" t="s">
        <v>1227</v>
      </c>
      <c r="D223" t="s">
        <v>1680</v>
      </c>
      <c r="E223" t="s">
        <v>1681</v>
      </c>
      <c r="F223" t="s">
        <v>1682</v>
      </c>
      <c r="G223" t="s">
        <v>1680</v>
      </c>
    </row>
    <row r="224" spans="1:7">
      <c r="A224" t="s">
        <v>1230</v>
      </c>
      <c r="B224" t="s">
        <v>1232</v>
      </c>
      <c r="C224" t="s">
        <v>1233</v>
      </c>
      <c r="D224" t="s">
        <v>1680</v>
      </c>
      <c r="E224" t="s">
        <v>1681</v>
      </c>
      <c r="F224" t="s">
        <v>1682</v>
      </c>
      <c r="G224" t="s">
        <v>1680</v>
      </c>
    </row>
    <row r="225" spans="1:7">
      <c r="A225" t="s">
        <v>1236</v>
      </c>
      <c r="B225" t="s">
        <v>1237</v>
      </c>
      <c r="C225" t="s">
        <v>1238</v>
      </c>
      <c r="D225" t="s">
        <v>1680</v>
      </c>
      <c r="E225" t="s">
        <v>1681</v>
      </c>
      <c r="F225" t="s">
        <v>1682</v>
      </c>
      <c r="G225" t="s">
        <v>1680</v>
      </c>
    </row>
    <row r="226" spans="1:7">
      <c r="A226" t="s">
        <v>1241</v>
      </c>
      <c r="B226" t="s">
        <v>1242</v>
      </c>
      <c r="C226" t="s">
        <v>1243</v>
      </c>
      <c r="D226" t="s">
        <v>1680</v>
      </c>
      <c r="E226" t="s">
        <v>1681</v>
      </c>
      <c r="F226" t="s">
        <v>1682</v>
      </c>
      <c r="G226" t="s">
        <v>1680</v>
      </c>
    </row>
    <row r="227" spans="1:7">
      <c r="A227" t="s">
        <v>1246</v>
      </c>
      <c r="B227" t="s">
        <v>1247</v>
      </c>
      <c r="C227" t="s">
        <v>1248</v>
      </c>
      <c r="D227" t="s">
        <v>1680</v>
      </c>
      <c r="E227" t="s">
        <v>1681</v>
      </c>
      <c r="F227" t="s">
        <v>1682</v>
      </c>
      <c r="G227" t="s">
        <v>1680</v>
      </c>
    </row>
    <row r="228" spans="1:7">
      <c r="A228" t="s">
        <v>1251</v>
      </c>
      <c r="B228" t="s">
        <v>1252</v>
      </c>
      <c r="C228" t="s">
        <v>1253</v>
      </c>
      <c r="D228" t="s">
        <v>1680</v>
      </c>
      <c r="E228" t="s">
        <v>1681</v>
      </c>
      <c r="F228" t="s">
        <v>1682</v>
      </c>
      <c r="G228" t="s">
        <v>1680</v>
      </c>
    </row>
    <row r="229" spans="1:7">
      <c r="A229" t="s">
        <v>1256</v>
      </c>
      <c r="B229" t="s">
        <v>1258</v>
      </c>
      <c r="C229" t="s">
        <v>1259</v>
      </c>
      <c r="D229" t="s">
        <v>1680</v>
      </c>
      <c r="E229" t="s">
        <v>1681</v>
      </c>
      <c r="F229" t="s">
        <v>1682</v>
      </c>
      <c r="G229" t="s">
        <v>1680</v>
      </c>
    </row>
    <row r="230" spans="1:7">
      <c r="A230" t="s">
        <v>1262</v>
      </c>
      <c r="B230" t="s">
        <v>1263</v>
      </c>
      <c r="C230" t="s">
        <v>1264</v>
      </c>
      <c r="D230" t="s">
        <v>1680</v>
      </c>
      <c r="E230" t="s">
        <v>1681</v>
      </c>
      <c r="F230" t="s">
        <v>1682</v>
      </c>
      <c r="G230" t="s">
        <v>1680</v>
      </c>
    </row>
    <row r="231" spans="1:7">
      <c r="A231" t="s">
        <v>1267</v>
      </c>
      <c r="B231" t="s">
        <v>1269</v>
      </c>
      <c r="C231" t="s">
        <v>1270</v>
      </c>
      <c r="D231" t="s">
        <v>1680</v>
      </c>
      <c r="E231" t="s">
        <v>1681</v>
      </c>
      <c r="F231" t="s">
        <v>1682</v>
      </c>
      <c r="G231" t="s">
        <v>1680</v>
      </c>
    </row>
    <row r="232" spans="1:7">
      <c r="A232" t="s">
        <v>1273</v>
      </c>
      <c r="B232" t="s">
        <v>1274</v>
      </c>
      <c r="C232" t="s">
        <v>1275</v>
      </c>
      <c r="D232" t="s">
        <v>1680</v>
      </c>
      <c r="E232" t="s">
        <v>1681</v>
      </c>
      <c r="F232" t="s">
        <v>1682</v>
      </c>
      <c r="G232" t="s">
        <v>1680</v>
      </c>
    </row>
    <row r="233" spans="1:7">
      <c r="A233" t="s">
        <v>1278</v>
      </c>
      <c r="B233" t="s">
        <v>1279</v>
      </c>
      <c r="C233" t="s">
        <v>1280</v>
      </c>
      <c r="D233" t="s">
        <v>1680</v>
      </c>
      <c r="E233" t="s">
        <v>1681</v>
      </c>
      <c r="F233" t="s">
        <v>1682</v>
      </c>
      <c r="G233" t="s">
        <v>1680</v>
      </c>
    </row>
    <row r="234" spans="1:7">
      <c r="A234" t="s">
        <v>1283</v>
      </c>
      <c r="B234" t="s">
        <v>1285</v>
      </c>
      <c r="C234" t="s">
        <v>1286</v>
      </c>
      <c r="D234" t="s">
        <v>1680</v>
      </c>
      <c r="E234" t="s">
        <v>1681</v>
      </c>
      <c r="F234" t="s">
        <v>1682</v>
      </c>
      <c r="G234" t="s">
        <v>1680</v>
      </c>
    </row>
    <row r="235" spans="1:7">
      <c r="A235" t="s">
        <v>1289</v>
      </c>
      <c r="B235" t="s">
        <v>1291</v>
      </c>
      <c r="C235" t="s">
        <v>1292</v>
      </c>
      <c r="D235" t="s">
        <v>1680</v>
      </c>
      <c r="E235" t="s">
        <v>1681</v>
      </c>
      <c r="F235" t="s">
        <v>1682</v>
      </c>
      <c r="G235" t="s">
        <v>1680</v>
      </c>
    </row>
    <row r="236" spans="1:7">
      <c r="A236" t="s">
        <v>1295</v>
      </c>
      <c r="B236" t="s">
        <v>1297</v>
      </c>
      <c r="C236" t="s">
        <v>1298</v>
      </c>
      <c r="D236" t="s">
        <v>1680</v>
      </c>
      <c r="E236" t="s">
        <v>1681</v>
      </c>
      <c r="F236" t="s">
        <v>1682</v>
      </c>
      <c r="G236" t="s">
        <v>1680</v>
      </c>
    </row>
    <row r="237" spans="1:7">
      <c r="A237" t="s">
        <v>1301</v>
      </c>
      <c r="B237" t="s">
        <v>1303</v>
      </c>
      <c r="C237" t="s">
        <v>1304</v>
      </c>
      <c r="D237" t="s">
        <v>1680</v>
      </c>
      <c r="E237" t="s">
        <v>1681</v>
      </c>
      <c r="F237" t="s">
        <v>1682</v>
      </c>
      <c r="G237" t="s">
        <v>1680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7" sqref="C7"/>
    </sheetView>
  </sheetViews>
  <sheetFormatPr defaultRowHeight="14"/>
  <sheetData>
    <row r="1" spans="1:5" ht="20">
      <c r="A1" s="1" t="s">
        <v>1688</v>
      </c>
      <c r="B1" s="1"/>
      <c r="C1" s="1"/>
      <c r="D1" s="1"/>
      <c r="E1" s="1"/>
    </row>
    <row r="3" spans="1:5" ht="56">
      <c r="A3" s="2" t="s">
        <v>1689</v>
      </c>
      <c r="B3" s="2" t="s">
        <v>1690</v>
      </c>
      <c r="C3" s="2" t="s">
        <v>1691</v>
      </c>
      <c r="D3" s="2" t="s">
        <v>1692</v>
      </c>
      <c r="E3" s="2" t="s">
        <v>1693</v>
      </c>
    </row>
    <row r="4" spans="1:5">
      <c r="A4" t="s">
        <v>1694</v>
      </c>
      <c r="B4" s="32">
        <v>2990</v>
      </c>
      <c r="C4" s="32">
        <v>4000</v>
      </c>
      <c r="D4" s="32">
        <v>1010</v>
      </c>
      <c r="E4" t="s">
        <v>1695</v>
      </c>
    </row>
    <row r="5" spans="1:5">
      <c r="A5" t="s">
        <v>1696</v>
      </c>
      <c r="B5" s="32">
        <v>2490</v>
      </c>
      <c r="C5" s="32">
        <v>4000</v>
      </c>
      <c r="D5" s="32">
        <v>1510</v>
      </c>
      <c r="E5" t="s">
        <v>1697</v>
      </c>
    </row>
    <row r="6" spans="1:5">
      <c r="A6" t="s">
        <v>1698</v>
      </c>
      <c r="B6" s="32">
        <v>1990</v>
      </c>
      <c r="C6" s="32">
        <v>4000</v>
      </c>
      <c r="D6" s="32">
        <v>2010</v>
      </c>
      <c r="E6" t="s">
        <v>1699</v>
      </c>
    </row>
    <row r="8" spans="1:5">
      <c r="A8" t="s">
        <v>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2026-09-03T22:11:02Z</dcterms:modified>
</cp:coreProperties>
</file>