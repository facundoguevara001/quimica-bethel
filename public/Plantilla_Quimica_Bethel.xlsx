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AC9D95CE-A4E6-452E-AF21-7299633A086A}" xr6:coauthVersionLast="47" xr6:coauthVersionMax="47" xr10:uidLastSave="{00000000-0000-0000-0000-000000000000}"/>
  <bookViews>
    <workbookView xWindow="-108" yWindow="-108" windowWidth="15576" windowHeight="12504" firstSheet="4" activeTab="6" xr2:uid="{00000000-000D-0000-FFFF-FFFF00000000}"/>
  </bookViews>
  <sheets>
    <sheet name="PRODUCTOS" sheetId="1" r:id="rId1"/>
    <sheet name="PRECIOS" sheetId="2" r:id="rId2"/>
    <sheet name="CATÁLOGOS" sheetId="3" r:id="rId3"/>
    <sheet name="CONTROL_FOTOS" sheetId="5" r:id="rId4"/>
    <sheet name="MOVIMIENTOS_STOCK" sheetId="4" r:id="rId5"/>
    <sheet name="TARIFAS ENVÍO" sheetId="6" r:id="rId6"/>
    <sheet name="ALTA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4" i="2" l="1"/>
  <c r="H274" i="2"/>
  <c r="G274" i="2"/>
  <c r="F274" i="2"/>
  <c r="E274" i="2"/>
  <c r="J274" i="2" s="1"/>
  <c r="I273" i="2"/>
  <c r="H273" i="2"/>
  <c r="G273" i="2"/>
  <c r="F273" i="2"/>
  <c r="E273" i="2"/>
  <c r="J273" i="2" s="1"/>
  <c r="I272" i="2"/>
  <c r="H272" i="2"/>
  <c r="G272" i="2"/>
  <c r="F272" i="2"/>
  <c r="E272" i="2"/>
  <c r="J272" i="2" s="1"/>
  <c r="I271" i="2"/>
  <c r="H271" i="2"/>
  <c r="G271" i="2"/>
  <c r="F271" i="2"/>
  <c r="E271" i="2"/>
  <c r="J271" i="2" s="1"/>
  <c r="I270" i="2"/>
  <c r="H270" i="2"/>
  <c r="G270" i="2"/>
  <c r="F270" i="2"/>
  <c r="E270" i="2"/>
  <c r="J270" i="2" s="1"/>
  <c r="I269" i="2"/>
  <c r="H269" i="2"/>
  <c r="G269" i="2"/>
  <c r="F269" i="2"/>
  <c r="E269" i="2"/>
  <c r="J269" i="2" s="1"/>
  <c r="I268" i="2"/>
  <c r="H268" i="2"/>
  <c r="G268" i="2"/>
  <c r="F268" i="2"/>
  <c r="E268" i="2"/>
  <c r="J268" i="2" s="1"/>
  <c r="I267" i="2"/>
  <c r="H267" i="2"/>
  <c r="G267" i="2"/>
  <c r="F267" i="2"/>
  <c r="E267" i="2"/>
  <c r="J267" i="2" s="1"/>
  <c r="I266" i="2"/>
  <c r="H266" i="2"/>
  <c r="G266" i="2"/>
  <c r="F266" i="2"/>
  <c r="E266" i="2"/>
  <c r="J266" i="2" s="1"/>
  <c r="I265" i="2"/>
  <c r="H265" i="2"/>
  <c r="G265" i="2"/>
  <c r="F265" i="2"/>
  <c r="E265" i="2"/>
  <c r="J265" i="2" s="1"/>
  <c r="I264" i="2"/>
  <c r="H264" i="2"/>
  <c r="G264" i="2"/>
  <c r="F264" i="2"/>
  <c r="E264" i="2"/>
  <c r="J264" i="2" s="1"/>
  <c r="I263" i="2"/>
  <c r="H263" i="2"/>
  <c r="G263" i="2"/>
  <c r="F263" i="2"/>
  <c r="E263" i="2"/>
  <c r="J263" i="2" s="1"/>
  <c r="I262" i="2"/>
  <c r="H262" i="2"/>
  <c r="G262" i="2"/>
  <c r="F262" i="2"/>
  <c r="E262" i="2"/>
  <c r="J262" i="2" s="1"/>
  <c r="I261" i="2"/>
  <c r="H261" i="2"/>
  <c r="G261" i="2"/>
  <c r="F261" i="2"/>
  <c r="E261" i="2"/>
  <c r="J261" i="2" s="1"/>
  <c r="I260" i="2"/>
  <c r="H260" i="2"/>
  <c r="G260" i="2"/>
  <c r="F260" i="2"/>
  <c r="E260" i="2"/>
  <c r="J260" i="2" s="1"/>
  <c r="I259" i="2"/>
  <c r="H259" i="2"/>
  <c r="G259" i="2"/>
  <c r="F259" i="2"/>
  <c r="E259" i="2"/>
  <c r="J259" i="2" s="1"/>
  <c r="I258" i="2"/>
  <c r="H258" i="2"/>
  <c r="G258" i="2"/>
  <c r="F258" i="2"/>
  <c r="E258" i="2"/>
  <c r="J258" i="2" s="1"/>
  <c r="I257" i="2"/>
  <c r="H257" i="2"/>
  <c r="G257" i="2"/>
  <c r="F257" i="2"/>
  <c r="E257" i="2"/>
  <c r="J257" i="2" s="1"/>
  <c r="I256" i="2"/>
  <c r="H256" i="2"/>
  <c r="G256" i="2"/>
  <c r="F256" i="2"/>
  <c r="E256" i="2"/>
  <c r="J256" i="2" s="1"/>
  <c r="I255" i="2"/>
  <c r="H255" i="2"/>
  <c r="G255" i="2"/>
  <c r="F255" i="2"/>
  <c r="E255" i="2"/>
  <c r="J255" i="2" s="1"/>
  <c r="I254" i="2"/>
  <c r="H254" i="2"/>
  <c r="G254" i="2"/>
  <c r="F254" i="2"/>
  <c r="E254" i="2"/>
  <c r="J254" i="2" s="1"/>
  <c r="I253" i="2"/>
  <c r="H253" i="2"/>
  <c r="G253" i="2"/>
  <c r="F253" i="2"/>
  <c r="E253" i="2"/>
  <c r="J253" i="2" s="1"/>
  <c r="I251" i="2"/>
  <c r="H251" i="2"/>
  <c r="G251" i="2"/>
  <c r="F251" i="2"/>
  <c r="E251" i="2"/>
  <c r="D251" i="2"/>
  <c r="Q5" i="1"/>
  <c r="O304" i="7"/>
  <c r="O303" i="7"/>
  <c r="O302" i="7"/>
  <c r="O301" i="7"/>
  <c r="O300" i="7"/>
  <c r="O299" i="7"/>
  <c r="O298" i="7"/>
  <c r="O297" i="7"/>
  <c r="O296" i="7"/>
  <c r="O295" i="7"/>
  <c r="O294" i="7"/>
  <c r="O293" i="7"/>
  <c r="O292" i="7"/>
  <c r="O291" i="7"/>
  <c r="O290" i="7"/>
  <c r="O289" i="7"/>
  <c r="O288" i="7"/>
  <c r="O287" i="7"/>
  <c r="O286" i="7"/>
  <c r="O285" i="7"/>
  <c r="O284" i="7"/>
  <c r="O283" i="7"/>
  <c r="O282" i="7"/>
  <c r="O281" i="7"/>
  <c r="O280" i="7"/>
  <c r="O279" i="7"/>
  <c r="O278" i="7"/>
  <c r="O277" i="7"/>
  <c r="O276" i="7"/>
  <c r="O275" i="7"/>
  <c r="O274" i="7"/>
  <c r="O273" i="7"/>
  <c r="O272" i="7"/>
  <c r="O271" i="7"/>
  <c r="O270" i="7"/>
  <c r="O269" i="7"/>
  <c r="O268" i="7"/>
  <c r="O267" i="7"/>
  <c r="O266" i="7"/>
  <c r="O265" i="7"/>
  <c r="O264" i="7"/>
  <c r="O263" i="7"/>
  <c r="O262" i="7"/>
  <c r="O261" i="7"/>
  <c r="O260" i="7"/>
  <c r="O259" i="7"/>
  <c r="O258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N104" i="7"/>
  <c r="O103" i="7"/>
  <c r="N103" i="7"/>
  <c r="O102" i="7"/>
  <c r="N102" i="7"/>
  <c r="O101" i="7"/>
  <c r="N101" i="7"/>
  <c r="O100" i="7"/>
  <c r="N100" i="7"/>
  <c r="O99" i="7"/>
  <c r="N99" i="7"/>
  <c r="O98" i="7"/>
  <c r="N98" i="7"/>
  <c r="O97" i="7"/>
  <c r="N97" i="7"/>
  <c r="O96" i="7"/>
  <c r="N96" i="7"/>
  <c r="O95" i="7"/>
  <c r="N95" i="7"/>
  <c r="O94" i="7"/>
  <c r="N94" i="7"/>
  <c r="O93" i="7"/>
  <c r="N93" i="7"/>
  <c r="O92" i="7"/>
  <c r="N92" i="7"/>
  <c r="O91" i="7"/>
  <c r="N91" i="7"/>
  <c r="O90" i="7"/>
  <c r="N90" i="7"/>
  <c r="O89" i="7"/>
  <c r="N89" i="7"/>
  <c r="O88" i="7"/>
  <c r="N88" i="7"/>
  <c r="O87" i="7"/>
  <c r="N87" i="7"/>
  <c r="O86" i="7"/>
  <c r="N86" i="7"/>
  <c r="O85" i="7"/>
  <c r="N85" i="7"/>
  <c r="O84" i="7"/>
  <c r="N84" i="7"/>
  <c r="O83" i="7"/>
  <c r="N83" i="7"/>
  <c r="O82" i="7"/>
  <c r="N82" i="7"/>
  <c r="O81" i="7"/>
  <c r="N81" i="7"/>
  <c r="O80" i="7"/>
  <c r="N80" i="7"/>
  <c r="O79" i="7"/>
  <c r="N79" i="7"/>
  <c r="O78" i="7"/>
  <c r="N78" i="7"/>
  <c r="O77" i="7"/>
  <c r="N77" i="7"/>
  <c r="O76" i="7"/>
  <c r="N76" i="7"/>
  <c r="O75" i="7"/>
  <c r="N75" i="7"/>
  <c r="O74" i="7"/>
  <c r="N74" i="7"/>
  <c r="O73" i="7"/>
  <c r="N73" i="7"/>
  <c r="O72" i="7"/>
  <c r="N72" i="7"/>
  <c r="O71" i="7"/>
  <c r="N71" i="7"/>
  <c r="O70" i="7"/>
  <c r="N70" i="7"/>
  <c r="O69" i="7"/>
  <c r="N69" i="7"/>
  <c r="O68" i="7"/>
  <c r="N68" i="7"/>
  <c r="O67" i="7"/>
  <c r="N67" i="7"/>
  <c r="O66" i="7"/>
  <c r="N66" i="7"/>
  <c r="O65" i="7"/>
  <c r="N65" i="7"/>
  <c r="O64" i="7"/>
  <c r="N64" i="7"/>
  <c r="O63" i="7"/>
  <c r="N63" i="7"/>
  <c r="O62" i="7"/>
  <c r="N62" i="7"/>
  <c r="O61" i="7"/>
  <c r="N61" i="7"/>
  <c r="O60" i="7"/>
  <c r="N60" i="7"/>
  <c r="O59" i="7"/>
  <c r="N59" i="7"/>
  <c r="O58" i="7"/>
  <c r="N58" i="7"/>
  <c r="O57" i="7"/>
  <c r="N57" i="7"/>
  <c r="O56" i="7"/>
  <c r="N56" i="7"/>
  <c r="O55" i="7"/>
  <c r="N55" i="7"/>
  <c r="O54" i="7"/>
  <c r="N54" i="7"/>
  <c r="O53" i="7"/>
  <c r="N53" i="7"/>
  <c r="O52" i="7"/>
  <c r="N52" i="7"/>
  <c r="O51" i="7"/>
  <c r="N51" i="7"/>
  <c r="O50" i="7"/>
  <c r="N50" i="7"/>
  <c r="O49" i="7"/>
  <c r="N49" i="7"/>
  <c r="O48" i="7"/>
  <c r="N48" i="7"/>
  <c r="O47" i="7"/>
  <c r="N47" i="7"/>
  <c r="O46" i="7"/>
  <c r="N46" i="7"/>
  <c r="O45" i="7"/>
  <c r="N45" i="7"/>
  <c r="O44" i="7"/>
  <c r="N44" i="7"/>
  <c r="O43" i="7"/>
  <c r="N43" i="7"/>
  <c r="O42" i="7"/>
  <c r="N42" i="7"/>
  <c r="O41" i="7"/>
  <c r="N41" i="7"/>
  <c r="O40" i="7"/>
  <c r="N40" i="7"/>
  <c r="O39" i="7"/>
  <c r="N39" i="7"/>
  <c r="O38" i="7"/>
  <c r="N38" i="7"/>
  <c r="O37" i="7"/>
  <c r="N37" i="7"/>
  <c r="O36" i="7"/>
  <c r="N36" i="7"/>
  <c r="O35" i="7"/>
  <c r="N35" i="7"/>
  <c r="O34" i="7"/>
  <c r="N34" i="7"/>
  <c r="O33" i="7"/>
  <c r="N33" i="7"/>
  <c r="O32" i="7"/>
  <c r="N32" i="7"/>
  <c r="O31" i="7"/>
  <c r="N31" i="7"/>
  <c r="O30" i="7"/>
  <c r="N30" i="7"/>
  <c r="O29" i="7"/>
  <c r="N29" i="7"/>
  <c r="O28" i="7"/>
  <c r="N28" i="7"/>
  <c r="O27" i="7"/>
  <c r="N27" i="7"/>
  <c r="O26" i="7"/>
  <c r="N26" i="7"/>
  <c r="O25" i="7"/>
  <c r="N25" i="7"/>
  <c r="O24" i="7"/>
  <c r="N24" i="7"/>
  <c r="O23" i="7"/>
  <c r="N23" i="7"/>
  <c r="O22" i="7"/>
  <c r="N22" i="7"/>
  <c r="O21" i="7"/>
  <c r="N21" i="7"/>
  <c r="O20" i="7"/>
  <c r="N20" i="7"/>
  <c r="O19" i="7"/>
  <c r="N19" i="7"/>
  <c r="O18" i="7"/>
  <c r="N18" i="7"/>
  <c r="O17" i="7"/>
  <c r="N17" i="7"/>
  <c r="O16" i="7"/>
  <c r="N16" i="7"/>
  <c r="O15" i="7"/>
  <c r="N15" i="7"/>
  <c r="O14" i="7"/>
  <c r="N14" i="7"/>
  <c r="O13" i="7"/>
  <c r="N13" i="7"/>
  <c r="O12" i="7"/>
  <c r="N12" i="7"/>
  <c r="O11" i="7"/>
  <c r="N11" i="7"/>
  <c r="O10" i="7"/>
  <c r="N10" i="7"/>
  <c r="O9" i="7"/>
  <c r="N9" i="7"/>
  <c r="O8" i="7"/>
  <c r="N8" i="7"/>
  <c r="O7" i="7"/>
  <c r="N7" i="7"/>
  <c r="O6" i="7"/>
  <c r="N6" i="7"/>
  <c r="O5" i="7"/>
  <c r="N5" i="7"/>
  <c r="O4" i="7"/>
  <c r="N4" i="7"/>
  <c r="O3" i="7"/>
  <c r="N3" i="7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D250" i="2"/>
  <c r="I249" i="2"/>
  <c r="H249" i="2"/>
  <c r="G249" i="2"/>
  <c r="F249" i="2"/>
  <c r="E249" i="2"/>
  <c r="I248" i="2"/>
  <c r="H248" i="2"/>
  <c r="G248" i="2"/>
  <c r="F248" i="2"/>
  <c r="E248" i="2"/>
  <c r="I247" i="2"/>
  <c r="H247" i="2"/>
  <c r="G247" i="2"/>
  <c r="F247" i="2"/>
  <c r="E247" i="2"/>
  <c r="D247" i="2"/>
  <c r="I246" i="2"/>
  <c r="H246" i="2"/>
  <c r="G246" i="2"/>
  <c r="F246" i="2"/>
  <c r="E246" i="2"/>
  <c r="D246" i="2"/>
  <c r="I245" i="2"/>
  <c r="H245" i="2"/>
  <c r="G245" i="2"/>
  <c r="F245" i="2"/>
  <c r="E245" i="2"/>
  <c r="J245" i="2" s="1"/>
  <c r="D245" i="2"/>
  <c r="I244" i="2"/>
  <c r="H244" i="2"/>
  <c r="G244" i="2"/>
  <c r="F244" i="2"/>
  <c r="E244" i="2"/>
  <c r="D244" i="2"/>
  <c r="I243" i="2"/>
  <c r="H243" i="2"/>
  <c r="G243" i="2"/>
  <c r="F243" i="2"/>
  <c r="E243" i="2"/>
  <c r="D243" i="2"/>
  <c r="I242" i="2"/>
  <c r="H242" i="2"/>
  <c r="G242" i="2"/>
  <c r="F242" i="2"/>
  <c r="E242" i="2"/>
  <c r="D242" i="2"/>
  <c r="I241" i="2"/>
  <c r="H241" i="2"/>
  <c r="G241" i="2"/>
  <c r="F241" i="2"/>
  <c r="E241" i="2"/>
  <c r="J241" i="2" s="1"/>
  <c r="D241" i="2"/>
  <c r="I240" i="2"/>
  <c r="H240" i="2"/>
  <c r="G240" i="2"/>
  <c r="F240" i="2"/>
  <c r="E240" i="2"/>
  <c r="J240" i="2" s="1"/>
  <c r="D240" i="2"/>
  <c r="I239" i="2"/>
  <c r="H239" i="2"/>
  <c r="G239" i="2"/>
  <c r="F239" i="2"/>
  <c r="E239" i="2"/>
  <c r="D239" i="2"/>
  <c r="I238" i="2"/>
  <c r="H238" i="2"/>
  <c r="G238" i="2"/>
  <c r="F238" i="2"/>
  <c r="E238" i="2"/>
  <c r="D238" i="2"/>
  <c r="I237" i="2"/>
  <c r="H237" i="2"/>
  <c r="G237" i="2"/>
  <c r="F237" i="2"/>
  <c r="E237" i="2"/>
  <c r="D237" i="2"/>
  <c r="I236" i="2"/>
  <c r="H236" i="2"/>
  <c r="G236" i="2"/>
  <c r="F236" i="2"/>
  <c r="E236" i="2"/>
  <c r="J236" i="2" s="1"/>
  <c r="D236" i="2"/>
  <c r="I235" i="2"/>
  <c r="H235" i="2"/>
  <c r="G235" i="2"/>
  <c r="F235" i="2"/>
  <c r="E235" i="2"/>
  <c r="D235" i="2"/>
  <c r="I234" i="2"/>
  <c r="H234" i="2"/>
  <c r="G234" i="2"/>
  <c r="F234" i="2"/>
  <c r="E234" i="2"/>
  <c r="D234" i="2"/>
  <c r="I233" i="2"/>
  <c r="H233" i="2"/>
  <c r="G233" i="2"/>
  <c r="F233" i="2"/>
  <c r="E233" i="2"/>
  <c r="D233" i="2"/>
  <c r="I232" i="2"/>
  <c r="H232" i="2"/>
  <c r="G232" i="2"/>
  <c r="F232" i="2"/>
  <c r="E232" i="2"/>
  <c r="D232" i="2"/>
  <c r="I231" i="2"/>
  <c r="H231" i="2"/>
  <c r="G231" i="2"/>
  <c r="F231" i="2"/>
  <c r="E231" i="2"/>
  <c r="D231" i="2"/>
  <c r="I230" i="2"/>
  <c r="H230" i="2"/>
  <c r="G230" i="2"/>
  <c r="F230" i="2"/>
  <c r="E230" i="2"/>
  <c r="D230" i="2"/>
  <c r="I229" i="2"/>
  <c r="H229" i="2"/>
  <c r="G229" i="2"/>
  <c r="F229" i="2"/>
  <c r="E229" i="2"/>
  <c r="D229" i="2"/>
  <c r="I228" i="2"/>
  <c r="H228" i="2"/>
  <c r="G228" i="2"/>
  <c r="F228" i="2"/>
  <c r="E228" i="2"/>
  <c r="D228" i="2"/>
  <c r="I227" i="2"/>
  <c r="H227" i="2"/>
  <c r="G227" i="2"/>
  <c r="F227" i="2"/>
  <c r="E227" i="2"/>
  <c r="D227" i="2"/>
  <c r="I226" i="2"/>
  <c r="H226" i="2"/>
  <c r="G226" i="2"/>
  <c r="F226" i="2"/>
  <c r="E226" i="2"/>
  <c r="D226" i="2"/>
  <c r="I225" i="2"/>
  <c r="H225" i="2"/>
  <c r="G225" i="2"/>
  <c r="F225" i="2"/>
  <c r="E225" i="2"/>
  <c r="D225" i="2"/>
  <c r="I224" i="2"/>
  <c r="H224" i="2"/>
  <c r="G224" i="2"/>
  <c r="F224" i="2"/>
  <c r="E224" i="2"/>
  <c r="D224" i="2"/>
  <c r="I223" i="2"/>
  <c r="H223" i="2"/>
  <c r="G223" i="2"/>
  <c r="F223" i="2"/>
  <c r="E223" i="2"/>
  <c r="J223" i="2" s="1"/>
  <c r="D223" i="2"/>
  <c r="I222" i="2"/>
  <c r="H222" i="2"/>
  <c r="G222" i="2"/>
  <c r="F222" i="2"/>
  <c r="E222" i="2"/>
  <c r="D222" i="2"/>
  <c r="I221" i="2"/>
  <c r="H221" i="2"/>
  <c r="G221" i="2"/>
  <c r="F221" i="2"/>
  <c r="E221" i="2"/>
  <c r="D221" i="2"/>
  <c r="I220" i="2"/>
  <c r="H220" i="2"/>
  <c r="G220" i="2"/>
  <c r="F220" i="2"/>
  <c r="E220" i="2"/>
  <c r="D220" i="2"/>
  <c r="I219" i="2"/>
  <c r="H219" i="2"/>
  <c r="G219" i="2"/>
  <c r="F219" i="2"/>
  <c r="E219" i="2"/>
  <c r="D219" i="2"/>
  <c r="I218" i="2"/>
  <c r="H218" i="2"/>
  <c r="G218" i="2"/>
  <c r="F218" i="2"/>
  <c r="E218" i="2"/>
  <c r="D218" i="2"/>
  <c r="I217" i="2"/>
  <c r="H217" i="2"/>
  <c r="G217" i="2"/>
  <c r="F217" i="2"/>
  <c r="E217" i="2"/>
  <c r="D217" i="2"/>
  <c r="I216" i="2"/>
  <c r="H216" i="2"/>
  <c r="G216" i="2"/>
  <c r="F216" i="2"/>
  <c r="E216" i="2"/>
  <c r="D216" i="2"/>
  <c r="I215" i="2"/>
  <c r="H215" i="2"/>
  <c r="G215" i="2"/>
  <c r="F215" i="2"/>
  <c r="E215" i="2"/>
  <c r="D215" i="2"/>
  <c r="I214" i="2"/>
  <c r="H214" i="2"/>
  <c r="G214" i="2"/>
  <c r="F214" i="2"/>
  <c r="E214" i="2"/>
  <c r="D214" i="2"/>
  <c r="I213" i="2"/>
  <c r="H213" i="2"/>
  <c r="G213" i="2"/>
  <c r="F213" i="2"/>
  <c r="E213" i="2"/>
  <c r="D213" i="2"/>
  <c r="I212" i="2"/>
  <c r="H212" i="2"/>
  <c r="G212" i="2"/>
  <c r="F212" i="2"/>
  <c r="E212" i="2"/>
  <c r="J212" i="2" s="1"/>
  <c r="D212" i="2"/>
  <c r="I211" i="2"/>
  <c r="H211" i="2"/>
  <c r="G211" i="2"/>
  <c r="F211" i="2"/>
  <c r="E211" i="2"/>
  <c r="D211" i="2"/>
  <c r="I210" i="2"/>
  <c r="H210" i="2"/>
  <c r="G210" i="2"/>
  <c r="F210" i="2"/>
  <c r="E210" i="2"/>
  <c r="D210" i="2"/>
  <c r="I209" i="2"/>
  <c r="H209" i="2"/>
  <c r="G209" i="2"/>
  <c r="F209" i="2"/>
  <c r="E209" i="2"/>
  <c r="D209" i="2"/>
  <c r="I208" i="2"/>
  <c r="H208" i="2"/>
  <c r="G208" i="2"/>
  <c r="F208" i="2"/>
  <c r="E208" i="2"/>
  <c r="D208" i="2"/>
  <c r="I207" i="2"/>
  <c r="H207" i="2"/>
  <c r="G207" i="2"/>
  <c r="F207" i="2"/>
  <c r="E207" i="2"/>
  <c r="D207" i="2"/>
  <c r="I206" i="2"/>
  <c r="H206" i="2"/>
  <c r="G206" i="2"/>
  <c r="F206" i="2"/>
  <c r="E206" i="2"/>
  <c r="J206" i="2" s="1"/>
  <c r="D206" i="2"/>
  <c r="I205" i="2"/>
  <c r="H205" i="2"/>
  <c r="G205" i="2"/>
  <c r="F205" i="2"/>
  <c r="E205" i="2"/>
  <c r="D205" i="2"/>
  <c r="I204" i="2"/>
  <c r="H204" i="2"/>
  <c r="G204" i="2"/>
  <c r="F204" i="2"/>
  <c r="E204" i="2"/>
  <c r="D204" i="2"/>
  <c r="I203" i="2"/>
  <c r="H203" i="2"/>
  <c r="G203" i="2"/>
  <c r="F203" i="2"/>
  <c r="E203" i="2"/>
  <c r="D203" i="2"/>
  <c r="I202" i="2"/>
  <c r="H202" i="2"/>
  <c r="G202" i="2"/>
  <c r="F202" i="2"/>
  <c r="E202" i="2"/>
  <c r="D202" i="2"/>
  <c r="I201" i="2"/>
  <c r="H201" i="2"/>
  <c r="G201" i="2"/>
  <c r="F201" i="2"/>
  <c r="E201" i="2"/>
  <c r="D201" i="2"/>
  <c r="I200" i="2"/>
  <c r="H200" i="2"/>
  <c r="G200" i="2"/>
  <c r="F200" i="2"/>
  <c r="E200" i="2"/>
  <c r="D200" i="2"/>
  <c r="I199" i="2"/>
  <c r="H199" i="2"/>
  <c r="G199" i="2"/>
  <c r="F199" i="2"/>
  <c r="E199" i="2"/>
  <c r="D199" i="2"/>
  <c r="I198" i="2"/>
  <c r="H198" i="2"/>
  <c r="G198" i="2"/>
  <c r="F198" i="2"/>
  <c r="E198" i="2"/>
  <c r="D198" i="2"/>
  <c r="I197" i="2"/>
  <c r="H197" i="2"/>
  <c r="G197" i="2"/>
  <c r="F197" i="2"/>
  <c r="E197" i="2"/>
  <c r="D197" i="2"/>
  <c r="I196" i="2"/>
  <c r="H196" i="2"/>
  <c r="G196" i="2"/>
  <c r="F196" i="2"/>
  <c r="E196" i="2"/>
  <c r="D196" i="2"/>
  <c r="I195" i="2"/>
  <c r="H195" i="2"/>
  <c r="G195" i="2"/>
  <c r="F195" i="2"/>
  <c r="E195" i="2"/>
  <c r="D195" i="2"/>
  <c r="I194" i="2"/>
  <c r="H194" i="2"/>
  <c r="G194" i="2"/>
  <c r="F194" i="2"/>
  <c r="E194" i="2"/>
  <c r="D194" i="2"/>
  <c r="I193" i="2"/>
  <c r="H193" i="2"/>
  <c r="G193" i="2"/>
  <c r="F193" i="2"/>
  <c r="E193" i="2"/>
  <c r="D193" i="2"/>
  <c r="I192" i="2"/>
  <c r="H192" i="2"/>
  <c r="G192" i="2"/>
  <c r="F192" i="2"/>
  <c r="E192" i="2"/>
  <c r="D192" i="2"/>
  <c r="I191" i="2"/>
  <c r="H191" i="2"/>
  <c r="G191" i="2"/>
  <c r="F191" i="2"/>
  <c r="E191" i="2"/>
  <c r="J191" i="2" s="1"/>
  <c r="D191" i="2"/>
  <c r="I190" i="2"/>
  <c r="H190" i="2"/>
  <c r="G190" i="2"/>
  <c r="F190" i="2"/>
  <c r="E190" i="2"/>
  <c r="D190" i="2"/>
  <c r="I189" i="2"/>
  <c r="H189" i="2"/>
  <c r="G189" i="2"/>
  <c r="F189" i="2"/>
  <c r="E189" i="2"/>
  <c r="D189" i="2"/>
  <c r="I188" i="2"/>
  <c r="H188" i="2"/>
  <c r="G188" i="2"/>
  <c r="F188" i="2"/>
  <c r="E188" i="2"/>
  <c r="J188" i="2" s="1"/>
  <c r="D188" i="2"/>
  <c r="I187" i="2"/>
  <c r="H187" i="2"/>
  <c r="G187" i="2"/>
  <c r="F187" i="2"/>
  <c r="E187" i="2"/>
  <c r="J187" i="2" s="1"/>
  <c r="D187" i="2"/>
  <c r="I186" i="2"/>
  <c r="H186" i="2"/>
  <c r="G186" i="2"/>
  <c r="F186" i="2"/>
  <c r="E186" i="2"/>
  <c r="D186" i="2"/>
  <c r="I185" i="2"/>
  <c r="H185" i="2"/>
  <c r="G185" i="2"/>
  <c r="F185" i="2"/>
  <c r="E185" i="2"/>
  <c r="D185" i="2"/>
  <c r="I184" i="2"/>
  <c r="H184" i="2"/>
  <c r="G184" i="2"/>
  <c r="F184" i="2"/>
  <c r="E184" i="2"/>
  <c r="D184" i="2"/>
  <c r="I183" i="2"/>
  <c r="H183" i="2"/>
  <c r="G183" i="2"/>
  <c r="F183" i="2"/>
  <c r="E183" i="2"/>
  <c r="J183" i="2" s="1"/>
  <c r="D183" i="2"/>
  <c r="I182" i="2"/>
  <c r="H182" i="2"/>
  <c r="G182" i="2"/>
  <c r="F182" i="2"/>
  <c r="E182" i="2"/>
  <c r="D182" i="2"/>
  <c r="I181" i="2"/>
  <c r="H181" i="2"/>
  <c r="G181" i="2"/>
  <c r="F181" i="2"/>
  <c r="E181" i="2"/>
  <c r="D181" i="2"/>
  <c r="I180" i="2"/>
  <c r="H180" i="2"/>
  <c r="G180" i="2"/>
  <c r="F180" i="2"/>
  <c r="E180" i="2"/>
  <c r="D180" i="2"/>
  <c r="I179" i="2"/>
  <c r="H179" i="2"/>
  <c r="G179" i="2"/>
  <c r="F179" i="2"/>
  <c r="E179" i="2"/>
  <c r="D179" i="2"/>
  <c r="I178" i="2"/>
  <c r="H178" i="2"/>
  <c r="G178" i="2"/>
  <c r="F178" i="2"/>
  <c r="E178" i="2"/>
  <c r="D178" i="2"/>
  <c r="I177" i="2"/>
  <c r="H177" i="2"/>
  <c r="G177" i="2"/>
  <c r="F177" i="2"/>
  <c r="E177" i="2"/>
  <c r="D177" i="2"/>
  <c r="I176" i="2"/>
  <c r="H176" i="2"/>
  <c r="G176" i="2"/>
  <c r="F176" i="2"/>
  <c r="E176" i="2"/>
  <c r="D176" i="2"/>
  <c r="I175" i="2"/>
  <c r="H175" i="2"/>
  <c r="G175" i="2"/>
  <c r="F175" i="2"/>
  <c r="E175" i="2"/>
  <c r="D175" i="2"/>
  <c r="I174" i="2"/>
  <c r="H174" i="2"/>
  <c r="G174" i="2"/>
  <c r="F174" i="2"/>
  <c r="E174" i="2"/>
  <c r="J174" i="2" s="1"/>
  <c r="D174" i="2"/>
  <c r="I173" i="2"/>
  <c r="H173" i="2"/>
  <c r="G173" i="2"/>
  <c r="F173" i="2"/>
  <c r="E173" i="2"/>
  <c r="J173" i="2" s="1"/>
  <c r="D173" i="2"/>
  <c r="I172" i="2"/>
  <c r="H172" i="2"/>
  <c r="G172" i="2"/>
  <c r="F172" i="2"/>
  <c r="E172" i="2"/>
  <c r="D172" i="2"/>
  <c r="I171" i="2"/>
  <c r="H171" i="2"/>
  <c r="G171" i="2"/>
  <c r="F171" i="2"/>
  <c r="E171" i="2"/>
  <c r="J171" i="2" s="1"/>
  <c r="D171" i="2"/>
  <c r="I170" i="2"/>
  <c r="H170" i="2"/>
  <c r="G170" i="2"/>
  <c r="F170" i="2"/>
  <c r="E170" i="2"/>
  <c r="J170" i="2" s="1"/>
  <c r="I169" i="2"/>
  <c r="H169" i="2"/>
  <c r="G169" i="2"/>
  <c r="F169" i="2"/>
  <c r="E169" i="2"/>
  <c r="I168" i="2"/>
  <c r="H168" i="2"/>
  <c r="G168" i="2"/>
  <c r="F168" i="2"/>
  <c r="E168" i="2"/>
  <c r="J168" i="2" s="1"/>
  <c r="I167" i="2"/>
  <c r="H167" i="2"/>
  <c r="G167" i="2"/>
  <c r="F167" i="2"/>
  <c r="E167" i="2"/>
  <c r="I166" i="2"/>
  <c r="H166" i="2"/>
  <c r="G166" i="2"/>
  <c r="F166" i="2"/>
  <c r="E166" i="2"/>
  <c r="J166" i="2" s="1"/>
  <c r="I165" i="2"/>
  <c r="H165" i="2"/>
  <c r="G165" i="2"/>
  <c r="F165" i="2"/>
  <c r="E165" i="2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E161" i="2"/>
  <c r="I160" i="2"/>
  <c r="H160" i="2"/>
  <c r="G160" i="2"/>
  <c r="F160" i="2"/>
  <c r="E160" i="2"/>
  <c r="I159" i="2"/>
  <c r="H159" i="2"/>
  <c r="G159" i="2"/>
  <c r="F159" i="2"/>
  <c r="E159" i="2"/>
  <c r="J159" i="2" s="1"/>
  <c r="I158" i="2"/>
  <c r="H158" i="2"/>
  <c r="G158" i="2"/>
  <c r="F158" i="2"/>
  <c r="E158" i="2"/>
  <c r="I157" i="2"/>
  <c r="H157" i="2"/>
  <c r="G157" i="2"/>
  <c r="F157" i="2"/>
  <c r="E157" i="2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I153" i="2"/>
  <c r="H153" i="2"/>
  <c r="G153" i="2"/>
  <c r="F153" i="2"/>
  <c r="E153" i="2"/>
  <c r="I152" i="2"/>
  <c r="H152" i="2"/>
  <c r="G152" i="2"/>
  <c r="F152" i="2"/>
  <c r="E152" i="2"/>
  <c r="I151" i="2"/>
  <c r="H151" i="2"/>
  <c r="G151" i="2"/>
  <c r="F151" i="2"/>
  <c r="E151" i="2"/>
  <c r="I150" i="2"/>
  <c r="H150" i="2"/>
  <c r="G150" i="2"/>
  <c r="F150" i="2"/>
  <c r="E150" i="2"/>
  <c r="I149" i="2"/>
  <c r="H149" i="2"/>
  <c r="G149" i="2"/>
  <c r="F149" i="2"/>
  <c r="E149" i="2"/>
  <c r="I148" i="2"/>
  <c r="H148" i="2"/>
  <c r="G148" i="2"/>
  <c r="F148" i="2"/>
  <c r="E148" i="2"/>
  <c r="J148" i="2" s="1"/>
  <c r="I147" i="2"/>
  <c r="H147" i="2"/>
  <c r="G147" i="2"/>
  <c r="F147" i="2"/>
  <c r="E147" i="2"/>
  <c r="I146" i="2"/>
  <c r="H146" i="2"/>
  <c r="G146" i="2"/>
  <c r="F146" i="2"/>
  <c r="E146" i="2"/>
  <c r="I145" i="2"/>
  <c r="H145" i="2"/>
  <c r="G145" i="2"/>
  <c r="F145" i="2"/>
  <c r="E145" i="2"/>
  <c r="J145" i="2" s="1"/>
  <c r="I144" i="2"/>
  <c r="H144" i="2"/>
  <c r="G144" i="2"/>
  <c r="F144" i="2"/>
  <c r="E144" i="2"/>
  <c r="I143" i="2"/>
  <c r="H143" i="2"/>
  <c r="G143" i="2"/>
  <c r="F143" i="2"/>
  <c r="E143" i="2"/>
  <c r="I142" i="2"/>
  <c r="H142" i="2"/>
  <c r="G142" i="2"/>
  <c r="F142" i="2"/>
  <c r="E142" i="2"/>
  <c r="I141" i="2"/>
  <c r="H141" i="2"/>
  <c r="G141" i="2"/>
  <c r="F141" i="2"/>
  <c r="E141" i="2"/>
  <c r="I140" i="2"/>
  <c r="H140" i="2"/>
  <c r="G140" i="2"/>
  <c r="F140" i="2"/>
  <c r="E140" i="2"/>
  <c r="D140" i="2"/>
  <c r="I139" i="2"/>
  <c r="H139" i="2"/>
  <c r="G139" i="2"/>
  <c r="F139" i="2"/>
  <c r="E139" i="2"/>
  <c r="D139" i="2"/>
  <c r="I138" i="2"/>
  <c r="H138" i="2"/>
  <c r="G138" i="2"/>
  <c r="F138" i="2"/>
  <c r="E138" i="2"/>
  <c r="J138" i="2" s="1"/>
  <c r="D138" i="2"/>
  <c r="I137" i="2"/>
  <c r="H137" i="2"/>
  <c r="G137" i="2"/>
  <c r="F137" i="2"/>
  <c r="E137" i="2"/>
  <c r="D137" i="2"/>
  <c r="I136" i="2"/>
  <c r="H136" i="2"/>
  <c r="G136" i="2"/>
  <c r="F136" i="2"/>
  <c r="E136" i="2"/>
  <c r="J136" i="2" s="1"/>
  <c r="D136" i="2"/>
  <c r="I135" i="2"/>
  <c r="H135" i="2"/>
  <c r="G135" i="2"/>
  <c r="F135" i="2"/>
  <c r="E135" i="2"/>
  <c r="D135" i="2"/>
  <c r="I134" i="2"/>
  <c r="H134" i="2"/>
  <c r="G134" i="2"/>
  <c r="F134" i="2"/>
  <c r="E134" i="2"/>
  <c r="J134" i="2" s="1"/>
  <c r="D134" i="2"/>
  <c r="I133" i="2"/>
  <c r="H133" i="2"/>
  <c r="G133" i="2"/>
  <c r="F133" i="2"/>
  <c r="E133" i="2"/>
  <c r="D133" i="2"/>
  <c r="I132" i="2"/>
  <c r="H132" i="2"/>
  <c r="G132" i="2"/>
  <c r="F132" i="2"/>
  <c r="E132" i="2"/>
  <c r="J132" i="2" s="1"/>
  <c r="D132" i="2"/>
  <c r="I131" i="2"/>
  <c r="H131" i="2"/>
  <c r="G131" i="2"/>
  <c r="F131" i="2"/>
  <c r="E131" i="2"/>
  <c r="J131" i="2" s="1"/>
  <c r="D131" i="2"/>
  <c r="I130" i="2"/>
  <c r="H130" i="2"/>
  <c r="G130" i="2"/>
  <c r="F130" i="2"/>
  <c r="E130" i="2"/>
  <c r="J130" i="2" s="1"/>
  <c r="D130" i="2"/>
  <c r="I129" i="2"/>
  <c r="H129" i="2"/>
  <c r="G129" i="2"/>
  <c r="F129" i="2"/>
  <c r="E129" i="2"/>
  <c r="D129" i="2"/>
  <c r="I128" i="2"/>
  <c r="H128" i="2"/>
  <c r="G128" i="2"/>
  <c r="F128" i="2"/>
  <c r="E128" i="2"/>
  <c r="D128" i="2"/>
  <c r="I127" i="2"/>
  <c r="H127" i="2"/>
  <c r="G127" i="2"/>
  <c r="F127" i="2"/>
  <c r="E127" i="2"/>
  <c r="D127" i="2"/>
  <c r="I126" i="2"/>
  <c r="H126" i="2"/>
  <c r="G126" i="2"/>
  <c r="F126" i="2"/>
  <c r="E126" i="2"/>
  <c r="D126" i="2"/>
  <c r="I125" i="2"/>
  <c r="H125" i="2"/>
  <c r="G125" i="2"/>
  <c r="F125" i="2"/>
  <c r="E125" i="2"/>
  <c r="D125" i="2"/>
  <c r="I124" i="2"/>
  <c r="H124" i="2"/>
  <c r="G124" i="2"/>
  <c r="F124" i="2"/>
  <c r="E124" i="2"/>
  <c r="D124" i="2"/>
  <c r="I123" i="2"/>
  <c r="H123" i="2"/>
  <c r="G123" i="2"/>
  <c r="F123" i="2"/>
  <c r="E123" i="2"/>
  <c r="J123" i="2" s="1"/>
  <c r="D123" i="2"/>
  <c r="I122" i="2"/>
  <c r="H122" i="2"/>
  <c r="G122" i="2"/>
  <c r="F122" i="2"/>
  <c r="E122" i="2"/>
  <c r="D122" i="2"/>
  <c r="I121" i="2"/>
  <c r="H121" i="2"/>
  <c r="G121" i="2"/>
  <c r="F121" i="2"/>
  <c r="E121" i="2"/>
  <c r="D121" i="2"/>
  <c r="I120" i="2"/>
  <c r="H120" i="2"/>
  <c r="G120" i="2"/>
  <c r="F120" i="2"/>
  <c r="E120" i="2"/>
  <c r="J120" i="2" s="1"/>
  <c r="D120" i="2"/>
  <c r="I119" i="2"/>
  <c r="H119" i="2"/>
  <c r="G119" i="2"/>
  <c r="F119" i="2"/>
  <c r="E119" i="2"/>
  <c r="J119" i="2" s="1"/>
  <c r="D119" i="2"/>
  <c r="I118" i="2"/>
  <c r="H118" i="2"/>
  <c r="G118" i="2"/>
  <c r="F118" i="2"/>
  <c r="E118" i="2"/>
  <c r="J118" i="2" s="1"/>
  <c r="D118" i="2"/>
  <c r="I117" i="2"/>
  <c r="H117" i="2"/>
  <c r="G117" i="2"/>
  <c r="F117" i="2"/>
  <c r="E117" i="2"/>
  <c r="D117" i="2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I112" i="2"/>
  <c r="H112" i="2"/>
  <c r="G112" i="2"/>
  <c r="F112" i="2"/>
  <c r="E112" i="2"/>
  <c r="I111" i="2"/>
  <c r="H111" i="2"/>
  <c r="G111" i="2"/>
  <c r="F111" i="2"/>
  <c r="E111" i="2"/>
  <c r="J111" i="2" s="1"/>
  <c r="I110" i="2"/>
  <c r="H110" i="2"/>
  <c r="G110" i="2"/>
  <c r="F110" i="2"/>
  <c r="E110" i="2"/>
  <c r="I109" i="2"/>
  <c r="H109" i="2"/>
  <c r="G109" i="2"/>
  <c r="F109" i="2"/>
  <c r="E109" i="2"/>
  <c r="I108" i="2"/>
  <c r="H108" i="2"/>
  <c r="G108" i="2"/>
  <c r="F108" i="2"/>
  <c r="E108" i="2"/>
  <c r="J108" i="2" s="1"/>
  <c r="D108" i="2"/>
  <c r="I107" i="2"/>
  <c r="H107" i="2"/>
  <c r="G107" i="2"/>
  <c r="F107" i="2"/>
  <c r="E107" i="2"/>
  <c r="D107" i="2"/>
  <c r="I106" i="2"/>
  <c r="H106" i="2"/>
  <c r="G106" i="2"/>
  <c r="F106" i="2"/>
  <c r="E106" i="2"/>
  <c r="J106" i="2" s="1"/>
  <c r="D106" i="2"/>
  <c r="I105" i="2"/>
  <c r="H105" i="2"/>
  <c r="G105" i="2"/>
  <c r="F105" i="2"/>
  <c r="E105" i="2"/>
  <c r="J105" i="2" s="1"/>
  <c r="D105" i="2"/>
  <c r="I104" i="2"/>
  <c r="H104" i="2"/>
  <c r="G104" i="2"/>
  <c r="F104" i="2"/>
  <c r="E104" i="2"/>
  <c r="D104" i="2"/>
  <c r="I103" i="2"/>
  <c r="H103" i="2"/>
  <c r="G103" i="2"/>
  <c r="F103" i="2"/>
  <c r="E103" i="2"/>
  <c r="D103" i="2"/>
  <c r="I102" i="2"/>
  <c r="H102" i="2"/>
  <c r="G102" i="2"/>
  <c r="F102" i="2"/>
  <c r="E102" i="2"/>
  <c r="I101" i="2"/>
  <c r="H101" i="2"/>
  <c r="G101" i="2"/>
  <c r="F101" i="2"/>
  <c r="E101" i="2"/>
  <c r="D101" i="2"/>
  <c r="I100" i="2"/>
  <c r="H100" i="2"/>
  <c r="G100" i="2"/>
  <c r="F100" i="2"/>
  <c r="E100" i="2"/>
  <c r="J100" i="2" s="1"/>
  <c r="D100" i="2"/>
  <c r="I99" i="2"/>
  <c r="H99" i="2"/>
  <c r="G99" i="2"/>
  <c r="F99" i="2"/>
  <c r="E99" i="2"/>
  <c r="J99" i="2" s="1"/>
  <c r="D99" i="2"/>
  <c r="I98" i="2"/>
  <c r="H98" i="2"/>
  <c r="G98" i="2"/>
  <c r="F98" i="2"/>
  <c r="E98" i="2"/>
  <c r="D98" i="2"/>
  <c r="I97" i="2"/>
  <c r="H97" i="2"/>
  <c r="G97" i="2"/>
  <c r="F97" i="2"/>
  <c r="E97" i="2"/>
  <c r="J97" i="2" s="1"/>
  <c r="D97" i="2"/>
  <c r="I96" i="2"/>
  <c r="H96" i="2"/>
  <c r="G96" i="2"/>
  <c r="F96" i="2"/>
  <c r="E96" i="2"/>
  <c r="D96" i="2"/>
  <c r="I95" i="2"/>
  <c r="H95" i="2"/>
  <c r="G95" i="2"/>
  <c r="F95" i="2"/>
  <c r="E95" i="2"/>
  <c r="J95" i="2" s="1"/>
  <c r="D95" i="2"/>
  <c r="I94" i="2"/>
  <c r="H94" i="2"/>
  <c r="G94" i="2"/>
  <c r="F94" i="2"/>
  <c r="E94" i="2"/>
  <c r="D94" i="2"/>
  <c r="I93" i="2"/>
  <c r="H93" i="2"/>
  <c r="G93" i="2"/>
  <c r="F93" i="2"/>
  <c r="E93" i="2"/>
  <c r="D93" i="2"/>
  <c r="I92" i="2"/>
  <c r="H92" i="2"/>
  <c r="G92" i="2"/>
  <c r="F92" i="2"/>
  <c r="E92" i="2"/>
  <c r="I91" i="2"/>
  <c r="H91" i="2"/>
  <c r="G91" i="2"/>
  <c r="F91" i="2"/>
  <c r="E91" i="2"/>
  <c r="D91" i="2"/>
  <c r="I90" i="2"/>
  <c r="H90" i="2"/>
  <c r="G90" i="2"/>
  <c r="F90" i="2"/>
  <c r="E90" i="2"/>
  <c r="D90" i="2"/>
  <c r="I89" i="2"/>
  <c r="H89" i="2"/>
  <c r="G89" i="2"/>
  <c r="F89" i="2"/>
  <c r="E89" i="2"/>
  <c r="D89" i="2"/>
  <c r="I88" i="2"/>
  <c r="H88" i="2"/>
  <c r="G88" i="2"/>
  <c r="F88" i="2"/>
  <c r="E88" i="2"/>
  <c r="D88" i="2"/>
  <c r="I87" i="2"/>
  <c r="H87" i="2"/>
  <c r="G87" i="2"/>
  <c r="F87" i="2"/>
  <c r="E87" i="2"/>
  <c r="J87" i="2" s="1"/>
  <c r="D87" i="2"/>
  <c r="I86" i="2"/>
  <c r="H86" i="2"/>
  <c r="G86" i="2"/>
  <c r="F86" i="2"/>
  <c r="E86" i="2"/>
  <c r="J86" i="2" s="1"/>
  <c r="D86" i="2"/>
  <c r="I85" i="2"/>
  <c r="H85" i="2"/>
  <c r="G85" i="2"/>
  <c r="F85" i="2"/>
  <c r="E85" i="2"/>
  <c r="D85" i="2"/>
  <c r="I84" i="2"/>
  <c r="H84" i="2"/>
  <c r="G84" i="2"/>
  <c r="F84" i="2"/>
  <c r="E84" i="2"/>
  <c r="D84" i="2"/>
  <c r="I83" i="2"/>
  <c r="H83" i="2"/>
  <c r="G83" i="2"/>
  <c r="F83" i="2"/>
  <c r="E83" i="2"/>
  <c r="J83" i="2" s="1"/>
  <c r="D83" i="2"/>
  <c r="I82" i="2"/>
  <c r="H82" i="2"/>
  <c r="G82" i="2"/>
  <c r="F82" i="2"/>
  <c r="E82" i="2"/>
  <c r="D82" i="2"/>
  <c r="I81" i="2"/>
  <c r="H81" i="2"/>
  <c r="G81" i="2"/>
  <c r="F81" i="2"/>
  <c r="E81" i="2"/>
  <c r="D81" i="2"/>
  <c r="I80" i="2"/>
  <c r="H80" i="2"/>
  <c r="G80" i="2"/>
  <c r="F80" i="2"/>
  <c r="E80" i="2"/>
  <c r="D80" i="2"/>
  <c r="I79" i="2"/>
  <c r="H79" i="2"/>
  <c r="G79" i="2"/>
  <c r="F79" i="2"/>
  <c r="E79" i="2"/>
  <c r="D79" i="2"/>
  <c r="I78" i="2"/>
  <c r="H78" i="2"/>
  <c r="G78" i="2"/>
  <c r="F78" i="2"/>
  <c r="E78" i="2"/>
  <c r="D78" i="2"/>
  <c r="I77" i="2"/>
  <c r="H77" i="2"/>
  <c r="G77" i="2"/>
  <c r="F77" i="2"/>
  <c r="E77" i="2"/>
  <c r="D77" i="2"/>
  <c r="I76" i="2"/>
  <c r="H76" i="2"/>
  <c r="G76" i="2"/>
  <c r="F76" i="2"/>
  <c r="E76" i="2"/>
  <c r="D76" i="2"/>
  <c r="I75" i="2"/>
  <c r="H75" i="2"/>
  <c r="G75" i="2"/>
  <c r="F75" i="2"/>
  <c r="E75" i="2"/>
  <c r="D75" i="2"/>
  <c r="I74" i="2"/>
  <c r="H74" i="2"/>
  <c r="G74" i="2"/>
  <c r="F74" i="2"/>
  <c r="E74" i="2"/>
  <c r="J74" i="2" s="1"/>
  <c r="D74" i="2"/>
  <c r="I73" i="2"/>
  <c r="H73" i="2"/>
  <c r="G73" i="2"/>
  <c r="F73" i="2"/>
  <c r="E73" i="2"/>
  <c r="D73" i="2"/>
  <c r="I72" i="2"/>
  <c r="H72" i="2"/>
  <c r="G72" i="2"/>
  <c r="F72" i="2"/>
  <c r="E72" i="2"/>
  <c r="D72" i="2"/>
  <c r="I71" i="2"/>
  <c r="H71" i="2"/>
  <c r="G71" i="2"/>
  <c r="F71" i="2"/>
  <c r="E71" i="2"/>
  <c r="D71" i="2"/>
  <c r="I70" i="2"/>
  <c r="H70" i="2"/>
  <c r="G70" i="2"/>
  <c r="F70" i="2"/>
  <c r="E70" i="2"/>
  <c r="D70" i="2"/>
  <c r="I69" i="2"/>
  <c r="H69" i="2"/>
  <c r="G69" i="2"/>
  <c r="F69" i="2"/>
  <c r="E69" i="2"/>
  <c r="D69" i="2"/>
  <c r="I68" i="2"/>
  <c r="H68" i="2"/>
  <c r="G68" i="2"/>
  <c r="F68" i="2"/>
  <c r="E68" i="2"/>
  <c r="D68" i="2"/>
  <c r="I67" i="2"/>
  <c r="H67" i="2"/>
  <c r="G67" i="2"/>
  <c r="F67" i="2"/>
  <c r="E67" i="2"/>
  <c r="D67" i="2"/>
  <c r="I66" i="2"/>
  <c r="H66" i="2"/>
  <c r="G66" i="2"/>
  <c r="F66" i="2"/>
  <c r="E66" i="2"/>
  <c r="D66" i="2"/>
  <c r="I65" i="2"/>
  <c r="H65" i="2"/>
  <c r="G65" i="2"/>
  <c r="F65" i="2"/>
  <c r="E65" i="2"/>
  <c r="D65" i="2"/>
  <c r="I64" i="2"/>
  <c r="H64" i="2"/>
  <c r="G64" i="2"/>
  <c r="F64" i="2"/>
  <c r="E64" i="2"/>
  <c r="J64" i="2" s="1"/>
  <c r="D64" i="2"/>
  <c r="I63" i="2"/>
  <c r="H63" i="2"/>
  <c r="G63" i="2"/>
  <c r="F63" i="2"/>
  <c r="E63" i="2"/>
  <c r="D63" i="2"/>
  <c r="I62" i="2"/>
  <c r="H62" i="2"/>
  <c r="G62" i="2"/>
  <c r="F62" i="2"/>
  <c r="E62" i="2"/>
  <c r="J62" i="2" s="1"/>
  <c r="D62" i="2"/>
  <c r="I61" i="2"/>
  <c r="H61" i="2"/>
  <c r="G61" i="2"/>
  <c r="F61" i="2"/>
  <c r="E61" i="2"/>
  <c r="D61" i="2"/>
  <c r="I60" i="2"/>
  <c r="H60" i="2"/>
  <c r="G60" i="2"/>
  <c r="F60" i="2"/>
  <c r="E60" i="2"/>
  <c r="J60" i="2" s="1"/>
  <c r="D60" i="2"/>
  <c r="I59" i="2"/>
  <c r="H59" i="2"/>
  <c r="G59" i="2"/>
  <c r="F59" i="2"/>
  <c r="E59" i="2"/>
  <c r="J59" i="2" s="1"/>
  <c r="D59" i="2"/>
  <c r="I58" i="2"/>
  <c r="H58" i="2"/>
  <c r="G58" i="2"/>
  <c r="F58" i="2"/>
  <c r="E58" i="2"/>
  <c r="D58" i="2"/>
  <c r="I57" i="2"/>
  <c r="H57" i="2"/>
  <c r="G57" i="2"/>
  <c r="F57" i="2"/>
  <c r="E57" i="2"/>
  <c r="D57" i="2"/>
  <c r="I56" i="2"/>
  <c r="H56" i="2"/>
  <c r="G56" i="2"/>
  <c r="F56" i="2"/>
  <c r="E56" i="2"/>
  <c r="J56" i="2" s="1"/>
  <c r="D56" i="2"/>
  <c r="I55" i="2"/>
  <c r="H55" i="2"/>
  <c r="G55" i="2"/>
  <c r="F55" i="2"/>
  <c r="E55" i="2"/>
  <c r="D55" i="2"/>
  <c r="I54" i="2"/>
  <c r="H54" i="2"/>
  <c r="G54" i="2"/>
  <c r="F54" i="2"/>
  <c r="E54" i="2"/>
  <c r="J54" i="2" s="1"/>
  <c r="D54" i="2"/>
  <c r="I53" i="2"/>
  <c r="H53" i="2"/>
  <c r="G53" i="2"/>
  <c r="F53" i="2"/>
  <c r="E53" i="2"/>
  <c r="D53" i="2"/>
  <c r="I52" i="2"/>
  <c r="H52" i="2"/>
  <c r="G52" i="2"/>
  <c r="F52" i="2"/>
  <c r="E52" i="2"/>
  <c r="J52" i="2" s="1"/>
  <c r="D52" i="2"/>
  <c r="I51" i="2"/>
  <c r="H51" i="2"/>
  <c r="G51" i="2"/>
  <c r="F51" i="2"/>
  <c r="E51" i="2"/>
  <c r="D51" i="2"/>
  <c r="I50" i="2"/>
  <c r="H50" i="2"/>
  <c r="G50" i="2"/>
  <c r="F50" i="2"/>
  <c r="E50" i="2"/>
  <c r="D50" i="2"/>
  <c r="J49" i="2"/>
  <c r="I49" i="2"/>
  <c r="H49" i="2"/>
  <c r="G49" i="2"/>
  <c r="F49" i="2"/>
  <c r="E49" i="2"/>
  <c r="D49" i="2"/>
  <c r="I48" i="2"/>
  <c r="H48" i="2"/>
  <c r="G48" i="2"/>
  <c r="F48" i="2"/>
  <c r="E48" i="2"/>
  <c r="D48" i="2"/>
  <c r="I47" i="2"/>
  <c r="H47" i="2"/>
  <c r="G47" i="2"/>
  <c r="F47" i="2"/>
  <c r="E47" i="2"/>
  <c r="D47" i="2"/>
  <c r="I46" i="2"/>
  <c r="H46" i="2"/>
  <c r="G46" i="2"/>
  <c r="F46" i="2"/>
  <c r="E46" i="2"/>
  <c r="D46" i="2"/>
  <c r="I45" i="2"/>
  <c r="H45" i="2"/>
  <c r="G45" i="2"/>
  <c r="F45" i="2"/>
  <c r="E45" i="2"/>
  <c r="D45" i="2"/>
  <c r="I44" i="2"/>
  <c r="H44" i="2"/>
  <c r="G44" i="2"/>
  <c r="F44" i="2"/>
  <c r="E44" i="2"/>
  <c r="J44" i="2" s="1"/>
  <c r="D44" i="2"/>
  <c r="I43" i="2"/>
  <c r="H43" i="2"/>
  <c r="G43" i="2"/>
  <c r="F43" i="2"/>
  <c r="E43" i="2"/>
  <c r="D43" i="2"/>
  <c r="I42" i="2"/>
  <c r="H42" i="2"/>
  <c r="G42" i="2"/>
  <c r="F42" i="2"/>
  <c r="E42" i="2"/>
  <c r="D42" i="2"/>
  <c r="I41" i="2"/>
  <c r="H41" i="2"/>
  <c r="G41" i="2"/>
  <c r="F41" i="2"/>
  <c r="E41" i="2"/>
  <c r="D41" i="2"/>
  <c r="I40" i="2"/>
  <c r="H40" i="2"/>
  <c r="G40" i="2"/>
  <c r="F40" i="2"/>
  <c r="E40" i="2"/>
  <c r="D40" i="2"/>
  <c r="I39" i="2"/>
  <c r="H39" i="2"/>
  <c r="G39" i="2"/>
  <c r="F39" i="2"/>
  <c r="E39" i="2"/>
  <c r="D39" i="2"/>
  <c r="I38" i="2"/>
  <c r="H38" i="2"/>
  <c r="G38" i="2"/>
  <c r="F38" i="2"/>
  <c r="E38" i="2"/>
  <c r="J38" i="2" s="1"/>
  <c r="D38" i="2"/>
  <c r="I37" i="2"/>
  <c r="H37" i="2"/>
  <c r="G37" i="2"/>
  <c r="F37" i="2"/>
  <c r="E37" i="2"/>
  <c r="J37" i="2" s="1"/>
  <c r="D37" i="2"/>
  <c r="I36" i="2"/>
  <c r="H36" i="2"/>
  <c r="G36" i="2"/>
  <c r="F36" i="2"/>
  <c r="E36" i="2"/>
  <c r="J36" i="2" s="1"/>
  <c r="D36" i="2"/>
  <c r="I35" i="2"/>
  <c r="H35" i="2"/>
  <c r="G35" i="2"/>
  <c r="F35" i="2"/>
  <c r="E35" i="2"/>
  <c r="D35" i="2"/>
  <c r="I34" i="2"/>
  <c r="H34" i="2"/>
  <c r="G34" i="2"/>
  <c r="F34" i="2"/>
  <c r="E34" i="2"/>
  <c r="D34" i="2"/>
  <c r="I33" i="2"/>
  <c r="H33" i="2"/>
  <c r="G33" i="2"/>
  <c r="F33" i="2"/>
  <c r="E33" i="2"/>
  <c r="D33" i="2"/>
  <c r="I32" i="2"/>
  <c r="H32" i="2"/>
  <c r="G32" i="2"/>
  <c r="F32" i="2"/>
  <c r="E32" i="2"/>
  <c r="D32" i="2"/>
  <c r="I31" i="2"/>
  <c r="H31" i="2"/>
  <c r="G31" i="2"/>
  <c r="F31" i="2"/>
  <c r="E31" i="2"/>
  <c r="D31" i="2"/>
  <c r="I30" i="2"/>
  <c r="H30" i="2"/>
  <c r="G30" i="2"/>
  <c r="F30" i="2"/>
  <c r="E30" i="2"/>
  <c r="J30" i="2" s="1"/>
  <c r="D30" i="2"/>
  <c r="I29" i="2"/>
  <c r="H29" i="2"/>
  <c r="G29" i="2"/>
  <c r="F29" i="2"/>
  <c r="E29" i="2"/>
  <c r="D29" i="2"/>
  <c r="I28" i="2"/>
  <c r="H28" i="2"/>
  <c r="G28" i="2"/>
  <c r="F28" i="2"/>
  <c r="E28" i="2"/>
  <c r="I27" i="2"/>
  <c r="H27" i="2"/>
  <c r="G27" i="2"/>
  <c r="F27" i="2"/>
  <c r="E27" i="2"/>
  <c r="I26" i="2"/>
  <c r="H26" i="2"/>
  <c r="G26" i="2"/>
  <c r="F26" i="2"/>
  <c r="E26" i="2"/>
  <c r="I25" i="2"/>
  <c r="H25" i="2"/>
  <c r="G25" i="2"/>
  <c r="F25" i="2"/>
  <c r="E25" i="2"/>
  <c r="I24" i="2"/>
  <c r="H24" i="2"/>
  <c r="G24" i="2"/>
  <c r="F24" i="2"/>
  <c r="E24" i="2"/>
  <c r="I23" i="2"/>
  <c r="H23" i="2"/>
  <c r="G23" i="2"/>
  <c r="F23" i="2"/>
  <c r="E23" i="2"/>
  <c r="I22" i="2"/>
  <c r="H22" i="2"/>
  <c r="G22" i="2"/>
  <c r="F22" i="2"/>
  <c r="E22" i="2"/>
  <c r="I21" i="2"/>
  <c r="H21" i="2"/>
  <c r="G21" i="2"/>
  <c r="F21" i="2"/>
  <c r="E21" i="2"/>
  <c r="I20" i="2"/>
  <c r="H20" i="2"/>
  <c r="G20" i="2"/>
  <c r="F20" i="2"/>
  <c r="E20" i="2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I16" i="2"/>
  <c r="H16" i="2"/>
  <c r="G16" i="2"/>
  <c r="F16" i="2"/>
  <c r="E16" i="2"/>
  <c r="J16" i="2" s="1"/>
  <c r="I15" i="2"/>
  <c r="H15" i="2"/>
  <c r="G15" i="2"/>
  <c r="F15" i="2"/>
  <c r="E15" i="2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P5" i="1"/>
  <c r="J61" i="2" l="1"/>
  <c r="K61" i="2" s="1"/>
  <c r="L61" i="2" s="1"/>
  <c r="K274" i="2"/>
  <c r="L274" i="2" s="1"/>
  <c r="J234" i="2"/>
  <c r="K234" i="2" s="1"/>
  <c r="L234" i="2" s="1"/>
  <c r="J184" i="2"/>
  <c r="K184" i="2" s="1"/>
  <c r="L184" i="2" s="1"/>
  <c r="K273" i="2"/>
  <c r="L273" i="2" s="1"/>
  <c r="J165" i="2"/>
  <c r="K165" i="2" s="1"/>
  <c r="L165" i="2" s="1"/>
  <c r="J113" i="2"/>
  <c r="K113" i="2" s="1"/>
  <c r="L113" i="2" s="1"/>
  <c r="K272" i="2"/>
  <c r="L272" i="2" s="1"/>
  <c r="J109" i="2"/>
  <c r="K109" i="2" s="1"/>
  <c r="L109" i="2" s="1"/>
  <c r="J250" i="2"/>
  <c r="K250" i="2" s="1"/>
  <c r="L250" i="2" s="1"/>
  <c r="J34" i="2"/>
  <c r="K34" i="2" s="1"/>
  <c r="L34" i="2" s="1"/>
  <c r="J244" i="2"/>
  <c r="K244" i="2" s="1"/>
  <c r="L244" i="2" s="1"/>
  <c r="J31" i="2"/>
  <c r="K31" i="2" s="1"/>
  <c r="L31" i="2" s="1"/>
  <c r="K271" i="2"/>
  <c r="L271" i="2"/>
  <c r="J70" i="2"/>
  <c r="K70" i="2" s="1"/>
  <c r="L70" i="2" s="1"/>
  <c r="J25" i="2"/>
  <c r="K25" i="2" s="1"/>
  <c r="L25" i="2" s="1"/>
  <c r="J50" i="2"/>
  <c r="K50" i="2" s="1"/>
  <c r="L50" i="2" s="1"/>
  <c r="J248" i="2"/>
  <c r="K248" i="2" s="1"/>
  <c r="L248" i="2" s="1"/>
  <c r="J203" i="2"/>
  <c r="K203" i="2" s="1"/>
  <c r="L203" i="2" s="1"/>
  <c r="J88" i="2"/>
  <c r="K88" i="2" s="1"/>
  <c r="L88" i="2" s="1"/>
  <c r="K270" i="2"/>
  <c r="L270" i="2" s="1"/>
  <c r="J110" i="2"/>
  <c r="K110" i="2" s="1"/>
  <c r="L110" i="2" s="1"/>
  <c r="J190" i="2"/>
  <c r="K190" i="2" s="1"/>
  <c r="L190" i="2" s="1"/>
  <c r="J214" i="2"/>
  <c r="K214" i="2" s="1"/>
  <c r="L214" i="2" s="1"/>
  <c r="J96" i="2"/>
  <c r="K96" i="2" s="1"/>
  <c r="L96" i="2" s="1"/>
  <c r="K269" i="2"/>
  <c r="L269" i="2" s="1"/>
  <c r="J229" i="2"/>
  <c r="K229" i="2" s="1"/>
  <c r="L229" i="2" s="1"/>
  <c r="J66" i="2"/>
  <c r="K66" i="2" s="1"/>
  <c r="L66" i="2" s="1"/>
  <c r="J181" i="2"/>
  <c r="K181" i="2" s="1"/>
  <c r="L181" i="2" s="1"/>
  <c r="K268" i="2"/>
  <c r="L268" i="2" s="1"/>
  <c r="J91" i="2"/>
  <c r="K91" i="2" s="1"/>
  <c r="L91" i="2" s="1"/>
  <c r="J226" i="2"/>
  <c r="K226" i="2" s="1"/>
  <c r="L226" i="2" s="1"/>
  <c r="J137" i="2"/>
  <c r="K137" i="2" s="1"/>
  <c r="L137" i="2" s="1"/>
  <c r="J149" i="2"/>
  <c r="K149" i="2" s="1"/>
  <c r="L149" i="2" s="1"/>
  <c r="J201" i="2"/>
  <c r="K201" i="2" s="1"/>
  <c r="L201" i="2" s="1"/>
  <c r="K267" i="2"/>
  <c r="L267" i="2"/>
  <c r="J152" i="2"/>
  <c r="K152" i="2" s="1"/>
  <c r="L152" i="2" s="1"/>
  <c r="J141" i="2"/>
  <c r="K141" i="2" s="1"/>
  <c r="L141" i="2" s="1"/>
  <c r="J161" i="2"/>
  <c r="K161" i="2" s="1"/>
  <c r="L161" i="2" s="1"/>
  <c r="J65" i="2"/>
  <c r="K65" i="2" s="1"/>
  <c r="L65" i="2" s="1"/>
  <c r="J20" i="2"/>
  <c r="K20" i="2" s="1"/>
  <c r="L20" i="2" s="1"/>
  <c r="K266" i="2"/>
  <c r="L266" i="2" s="1"/>
  <c r="J84" i="2"/>
  <c r="K84" i="2" s="1"/>
  <c r="L84" i="2" s="1"/>
  <c r="J230" i="2"/>
  <c r="K230" i="2" s="1"/>
  <c r="L230" i="2" s="1"/>
  <c r="J227" i="2"/>
  <c r="K227" i="2" s="1"/>
  <c r="L227" i="2" s="1"/>
  <c r="J63" i="2"/>
  <c r="K63" i="2" s="1"/>
  <c r="L63" i="2" s="1"/>
  <c r="J228" i="2"/>
  <c r="K228" i="2" s="1"/>
  <c r="L228" i="2" s="1"/>
  <c r="J69" i="2"/>
  <c r="K69" i="2" s="1"/>
  <c r="L69" i="2" s="1"/>
  <c r="K265" i="2"/>
  <c r="L265" i="2" s="1"/>
  <c r="J53" i="2"/>
  <c r="K53" i="2" s="1"/>
  <c r="L53" i="2" s="1"/>
  <c r="J55" i="2"/>
  <c r="K55" i="2" s="1"/>
  <c r="L55" i="2" s="1"/>
  <c r="J177" i="2"/>
  <c r="K177" i="2" s="1"/>
  <c r="L177" i="2" s="1"/>
  <c r="J205" i="2"/>
  <c r="K205" i="2" s="1"/>
  <c r="L205" i="2" s="1"/>
  <c r="J211" i="2"/>
  <c r="K211" i="2" s="1"/>
  <c r="L211" i="2" s="1"/>
  <c r="J33" i="2"/>
  <c r="K33" i="2" s="1"/>
  <c r="L33" i="2" s="1"/>
  <c r="K264" i="2"/>
  <c r="L264" i="2" s="1"/>
  <c r="J81" i="2"/>
  <c r="K81" i="2" s="1"/>
  <c r="L81" i="2" s="1"/>
  <c r="J90" i="2"/>
  <c r="K90" i="2" s="1"/>
  <c r="L90" i="2" s="1"/>
  <c r="J124" i="2"/>
  <c r="K124" i="2" s="1"/>
  <c r="L124" i="2" s="1"/>
  <c r="J202" i="2"/>
  <c r="K202" i="2" s="1"/>
  <c r="L202" i="2" s="1"/>
  <c r="K263" i="2"/>
  <c r="L263" i="2" s="1"/>
  <c r="J208" i="2"/>
  <c r="K208" i="2" s="1"/>
  <c r="L208" i="2" s="1"/>
  <c r="J144" i="2"/>
  <c r="K144" i="2" s="1"/>
  <c r="L144" i="2" s="1"/>
  <c r="J232" i="2"/>
  <c r="K232" i="2" s="1"/>
  <c r="L232" i="2" s="1"/>
  <c r="J198" i="2"/>
  <c r="K198" i="2" s="1"/>
  <c r="L198" i="2" s="1"/>
  <c r="K262" i="2"/>
  <c r="L262" i="2" s="1"/>
  <c r="J89" i="2"/>
  <c r="K89" i="2" s="1"/>
  <c r="L89" i="2" s="1"/>
  <c r="J143" i="2"/>
  <c r="K143" i="2" s="1"/>
  <c r="L143" i="2" s="1"/>
  <c r="J103" i="2"/>
  <c r="K103" i="2" s="1"/>
  <c r="L103" i="2" s="1"/>
  <c r="J98" i="2"/>
  <c r="K98" i="2" s="1"/>
  <c r="L98" i="2" s="1"/>
  <c r="J129" i="2"/>
  <c r="K129" i="2" s="1"/>
  <c r="L129" i="2" s="1"/>
  <c r="J92" i="2"/>
  <c r="K92" i="2" s="1"/>
  <c r="L92" i="2" s="1"/>
  <c r="J222" i="2"/>
  <c r="K222" i="2" s="1"/>
  <c r="L222" i="2" s="1"/>
  <c r="J57" i="2"/>
  <c r="K57" i="2" s="1"/>
  <c r="L57" i="2" s="1"/>
  <c r="J94" i="2"/>
  <c r="K94" i="2" s="1"/>
  <c r="L94" i="2" s="1"/>
  <c r="J93" i="2"/>
  <c r="K93" i="2" s="1"/>
  <c r="L93" i="2" s="1"/>
  <c r="J249" i="2"/>
  <c r="K249" i="2" s="1"/>
  <c r="L249" i="2" s="1"/>
  <c r="J135" i="2"/>
  <c r="K135" i="2" s="1"/>
  <c r="L135" i="2" s="1"/>
  <c r="K261" i="2"/>
  <c r="L261" i="2" s="1"/>
  <c r="J220" i="2"/>
  <c r="K220" i="2" s="1"/>
  <c r="L220" i="2" s="1"/>
  <c r="J210" i="2"/>
  <c r="K210" i="2" s="1"/>
  <c r="L210" i="2" s="1"/>
  <c r="J77" i="2"/>
  <c r="K77" i="2" s="1"/>
  <c r="L77" i="2" s="1"/>
  <c r="J219" i="2"/>
  <c r="K219" i="2" s="1"/>
  <c r="L219" i="2" s="1"/>
  <c r="J133" i="2"/>
  <c r="K133" i="2" s="1"/>
  <c r="L133" i="2" s="1"/>
  <c r="J176" i="2"/>
  <c r="K176" i="2" s="1"/>
  <c r="L176" i="2" s="1"/>
  <c r="K260" i="2"/>
  <c r="L260" i="2" s="1"/>
  <c r="J51" i="2"/>
  <c r="K51" i="2" s="1"/>
  <c r="L51" i="2" s="1"/>
  <c r="J15" i="2"/>
  <c r="K15" i="2" s="1"/>
  <c r="L15" i="2" s="1"/>
  <c r="J238" i="2"/>
  <c r="K238" i="2" s="1"/>
  <c r="L238" i="2" s="1"/>
  <c r="J237" i="2"/>
  <c r="K237" i="2" s="1"/>
  <c r="L237" i="2" s="1"/>
  <c r="J26" i="2"/>
  <c r="K26" i="2" s="1"/>
  <c r="L26" i="2" s="1"/>
  <c r="J204" i="2"/>
  <c r="K204" i="2" s="1"/>
  <c r="L204" i="2" s="1"/>
  <c r="J196" i="2"/>
  <c r="K196" i="2" s="1"/>
  <c r="L196" i="2" s="1"/>
  <c r="K259" i="2"/>
  <c r="L259" i="2" s="1"/>
  <c r="J160" i="2"/>
  <c r="K160" i="2" s="1"/>
  <c r="L160" i="2" s="1"/>
  <c r="J153" i="2"/>
  <c r="K153" i="2" s="1"/>
  <c r="L153" i="2" s="1"/>
  <c r="J68" i="2"/>
  <c r="K68" i="2" s="1"/>
  <c r="L68" i="2" s="1"/>
  <c r="J47" i="2"/>
  <c r="K47" i="2" s="1"/>
  <c r="L47" i="2" s="1"/>
  <c r="J121" i="2"/>
  <c r="K121" i="2" s="1"/>
  <c r="L121" i="2" s="1"/>
  <c r="J218" i="2"/>
  <c r="K218" i="2" s="1"/>
  <c r="L218" i="2" s="1"/>
  <c r="J146" i="2"/>
  <c r="K146" i="2" s="1"/>
  <c r="L146" i="2" s="1"/>
  <c r="J102" i="2"/>
  <c r="K102" i="2" s="1"/>
  <c r="L102" i="2" s="1"/>
  <c r="J79" i="2"/>
  <c r="K79" i="2" s="1"/>
  <c r="L79" i="2" s="1"/>
  <c r="J46" i="2"/>
  <c r="K46" i="2" s="1"/>
  <c r="L46" i="2" s="1"/>
  <c r="J27" i="2"/>
  <c r="K27" i="2" s="1"/>
  <c r="L27" i="2" s="1"/>
  <c r="J127" i="2"/>
  <c r="K127" i="2" s="1"/>
  <c r="L127" i="2" s="1"/>
  <c r="J82" i="2"/>
  <c r="K82" i="2" s="1"/>
  <c r="L82" i="2" s="1"/>
  <c r="J139" i="2"/>
  <c r="K139" i="2" s="1"/>
  <c r="L139" i="2" s="1"/>
  <c r="K258" i="2"/>
  <c r="L258" i="2" s="1"/>
  <c r="J225" i="2"/>
  <c r="K225" i="2" s="1"/>
  <c r="L225" i="2" s="1"/>
  <c r="J217" i="2"/>
  <c r="K217" i="2" s="1"/>
  <c r="L217" i="2" s="1"/>
  <c r="J151" i="2"/>
  <c r="K151" i="2" s="1"/>
  <c r="L151" i="2" s="1"/>
  <c r="J194" i="2"/>
  <c r="K194" i="2" s="1"/>
  <c r="L194" i="2" s="1"/>
  <c r="K257" i="2"/>
  <c r="L257" i="2" s="1"/>
  <c r="J154" i="2"/>
  <c r="K154" i="2" s="1"/>
  <c r="L154" i="2" s="1"/>
  <c r="J140" i="2"/>
  <c r="K140" i="2" s="1"/>
  <c r="L140" i="2" s="1"/>
  <c r="J221" i="2"/>
  <c r="K221" i="2" s="1"/>
  <c r="L221" i="2" s="1"/>
  <c r="J75" i="2"/>
  <c r="K75" i="2" s="1"/>
  <c r="L75" i="2" s="1"/>
  <c r="J21" i="2"/>
  <c r="K21" i="2" s="1"/>
  <c r="L21" i="2" s="1"/>
  <c r="J35" i="2"/>
  <c r="K35" i="2" s="1"/>
  <c r="L35" i="2" s="1"/>
  <c r="J17" i="2"/>
  <c r="K17" i="2" s="1"/>
  <c r="L17" i="2" s="1"/>
  <c r="J39" i="2"/>
  <c r="K39" i="2" s="1"/>
  <c r="L39" i="2" s="1"/>
  <c r="J67" i="2"/>
  <c r="K67" i="2" s="1"/>
  <c r="L67" i="2" s="1"/>
  <c r="I91" i="1"/>
  <c r="I85" i="1"/>
  <c r="I60" i="1"/>
  <c r="I84" i="1"/>
  <c r="I54" i="1"/>
  <c r="I83" i="1"/>
  <c r="I53" i="1"/>
  <c r="I82" i="1"/>
  <c r="I52" i="1"/>
  <c r="I81" i="1"/>
  <c r="I51" i="1"/>
  <c r="I80" i="1"/>
  <c r="I50" i="1"/>
  <c r="I79" i="1"/>
  <c r="I49" i="1"/>
  <c r="I78" i="1"/>
  <c r="I48" i="1"/>
  <c r="I77" i="1"/>
  <c r="I47" i="1"/>
  <c r="I76" i="1"/>
  <c r="I46" i="1"/>
  <c r="I75" i="1"/>
  <c r="I44" i="1"/>
  <c r="I74" i="1"/>
  <c r="I43" i="1"/>
  <c r="I72" i="1"/>
  <c r="I42" i="1"/>
  <c r="I59" i="1"/>
  <c r="I41" i="1"/>
  <c r="I58" i="1"/>
  <c r="I40" i="1"/>
  <c r="I57" i="1"/>
  <c r="I39" i="1"/>
  <c r="I56" i="1"/>
  <c r="I38" i="1"/>
  <c r="I55" i="1"/>
  <c r="I36" i="1"/>
  <c r="I37" i="1"/>
  <c r="I35" i="1"/>
  <c r="I20" i="1"/>
  <c r="I17" i="1"/>
  <c r="I34" i="1"/>
  <c r="I16" i="1"/>
  <c r="I33" i="1"/>
  <c r="I15" i="1"/>
  <c r="I22" i="1"/>
  <c r="I32" i="1"/>
  <c r="I8" i="1"/>
  <c r="I31" i="1"/>
  <c r="I7" i="1"/>
  <c r="I30" i="1"/>
  <c r="I5" i="1"/>
  <c r="I29" i="1"/>
  <c r="I90" i="1"/>
  <c r="I28" i="1"/>
  <c r="I89" i="1"/>
  <c r="I27" i="1"/>
  <c r="I88" i="1"/>
  <c r="I26" i="1"/>
  <c r="I87" i="1"/>
  <c r="I25" i="1"/>
  <c r="I86" i="1"/>
  <c r="I24" i="1"/>
  <c r="I73" i="1"/>
  <c r="I23" i="1"/>
  <c r="I45" i="1"/>
  <c r="I71" i="1"/>
  <c r="I70" i="1"/>
  <c r="I21" i="1"/>
  <c r="I69" i="1"/>
  <c r="I19" i="1"/>
  <c r="I68" i="1"/>
  <c r="I18" i="1"/>
  <c r="I67" i="1"/>
  <c r="I14" i="1"/>
  <c r="I66" i="1"/>
  <c r="I13" i="1"/>
  <c r="I65" i="1"/>
  <c r="I12" i="1"/>
  <c r="I64" i="1"/>
  <c r="I11" i="1"/>
  <c r="I63" i="1"/>
  <c r="I10" i="1"/>
  <c r="I62" i="1"/>
  <c r="I9" i="1"/>
  <c r="I61" i="1"/>
  <c r="I6" i="1"/>
  <c r="G85" i="1"/>
  <c r="G84" i="1"/>
  <c r="G83" i="1"/>
  <c r="G82" i="1"/>
  <c r="G81" i="1"/>
  <c r="G80" i="1"/>
  <c r="G79" i="1"/>
  <c r="G78" i="1"/>
  <c r="G77" i="1"/>
  <c r="G76" i="1"/>
  <c r="G75" i="1"/>
  <c r="G74" i="1"/>
  <c r="G71" i="1"/>
  <c r="G59" i="1"/>
  <c r="G58" i="1"/>
  <c r="G57" i="1"/>
  <c r="G56" i="1"/>
  <c r="G55" i="1"/>
  <c r="G37" i="1"/>
  <c r="G17" i="1"/>
  <c r="G16" i="1"/>
  <c r="G14" i="1"/>
  <c r="G9" i="1"/>
  <c r="G8" i="1"/>
  <c r="G6" i="1"/>
  <c r="G5" i="1"/>
  <c r="G90" i="1"/>
  <c r="G89" i="1"/>
  <c r="G88" i="1"/>
  <c r="G87" i="1"/>
  <c r="G86" i="1"/>
  <c r="G73" i="1"/>
  <c r="G70" i="1"/>
  <c r="G69" i="1"/>
  <c r="G68" i="1"/>
  <c r="G67" i="1"/>
  <c r="G66" i="1"/>
  <c r="G65" i="1"/>
  <c r="G64" i="1"/>
  <c r="G63" i="1"/>
  <c r="G62" i="1"/>
  <c r="G34" i="1"/>
  <c r="G61" i="1"/>
  <c r="G45" i="1"/>
  <c r="G53" i="1"/>
  <c r="G32" i="1"/>
  <c r="G44" i="1"/>
  <c r="G31" i="1"/>
  <c r="G50" i="1"/>
  <c r="G30" i="1"/>
  <c r="G43" i="1"/>
  <c r="G29" i="1"/>
  <c r="G54" i="1"/>
  <c r="G28" i="1"/>
  <c r="G42" i="1"/>
  <c r="G27" i="1"/>
  <c r="G49" i="1"/>
  <c r="G26" i="1"/>
  <c r="G41" i="1"/>
  <c r="G25" i="1"/>
  <c r="G52" i="1"/>
  <c r="G24" i="1"/>
  <c r="G40" i="1"/>
  <c r="G23" i="1"/>
  <c r="G72" i="1"/>
  <c r="G22" i="1"/>
  <c r="G48" i="1"/>
  <c r="G21" i="1"/>
  <c r="G20" i="1"/>
  <c r="G39" i="1"/>
  <c r="G19" i="1"/>
  <c r="G60" i="1"/>
  <c r="G18" i="1"/>
  <c r="G15" i="1"/>
  <c r="G38" i="1"/>
  <c r="G47" i="1"/>
  <c r="G13" i="1"/>
  <c r="G36" i="1"/>
  <c r="G12" i="1"/>
  <c r="G51" i="1"/>
  <c r="G11" i="1"/>
  <c r="G35" i="1"/>
  <c r="G10" i="1"/>
  <c r="G46" i="1"/>
  <c r="G7" i="1"/>
  <c r="G33" i="1"/>
  <c r="J189" i="2"/>
  <c r="K189" i="2" s="1"/>
  <c r="L189" i="2" s="1"/>
  <c r="J231" i="2"/>
  <c r="K231" i="2" s="1"/>
  <c r="L231" i="2" s="1"/>
  <c r="J24" i="2"/>
  <c r="K24" i="2" s="1"/>
  <c r="L24" i="2" s="1"/>
  <c r="J128" i="2"/>
  <c r="K128" i="2" s="1"/>
  <c r="L128" i="2" s="1"/>
  <c r="J180" i="2"/>
  <c r="K180" i="2" s="1"/>
  <c r="L180" i="2" s="1"/>
  <c r="K256" i="2"/>
  <c r="L256" i="2" s="1"/>
  <c r="J195" i="2"/>
  <c r="K195" i="2" s="1"/>
  <c r="L195" i="2" s="1"/>
  <c r="J169" i="2"/>
  <c r="K169" i="2" s="1"/>
  <c r="L169" i="2" s="1"/>
  <c r="J117" i="2"/>
  <c r="K117" i="2" s="1"/>
  <c r="L117" i="2" s="1"/>
  <c r="J147" i="2"/>
  <c r="K147" i="2" s="1"/>
  <c r="L147" i="2" s="1"/>
  <c r="J101" i="2"/>
  <c r="K101" i="2" s="1"/>
  <c r="L101" i="2" s="1"/>
  <c r="J104" i="2"/>
  <c r="K104" i="2" s="1"/>
  <c r="L104" i="2" s="1"/>
  <c r="J76" i="2"/>
  <c r="K76" i="2" s="1"/>
  <c r="L76" i="2" s="1"/>
  <c r="J200" i="2"/>
  <c r="K200" i="2" s="1"/>
  <c r="L200" i="2" s="1"/>
  <c r="J72" i="2"/>
  <c r="K72" i="2" s="1"/>
  <c r="L72" i="2" s="1"/>
  <c r="J73" i="2"/>
  <c r="K73" i="2" s="1"/>
  <c r="L73" i="2" s="1"/>
  <c r="J207" i="2"/>
  <c r="K207" i="2" s="1"/>
  <c r="L207" i="2" s="1"/>
  <c r="J158" i="2"/>
  <c r="K158" i="2" s="1"/>
  <c r="L158" i="2" s="1"/>
  <c r="J242" i="2"/>
  <c r="K242" i="2" s="1"/>
  <c r="L242" i="2" s="1"/>
  <c r="J175" i="2"/>
  <c r="K175" i="2" s="1"/>
  <c r="L175" i="2" s="1"/>
  <c r="J157" i="2"/>
  <c r="K157" i="2" s="1"/>
  <c r="L157" i="2" s="1"/>
  <c r="J112" i="2"/>
  <c r="K112" i="2" s="1"/>
  <c r="L112" i="2" s="1"/>
  <c r="K255" i="2"/>
  <c r="L255" i="2" s="1"/>
  <c r="J23" i="2"/>
  <c r="K23" i="2" s="1"/>
  <c r="L23" i="2" s="1"/>
  <c r="J185" i="2"/>
  <c r="K185" i="2" s="1"/>
  <c r="L185" i="2" s="1"/>
  <c r="J235" i="2"/>
  <c r="K235" i="2" s="1"/>
  <c r="L235" i="2" s="1"/>
  <c r="J172" i="2"/>
  <c r="K172" i="2" s="1"/>
  <c r="L172" i="2" s="1"/>
  <c r="J224" i="2"/>
  <c r="K224" i="2" s="1"/>
  <c r="L224" i="2" s="1"/>
  <c r="J125" i="2"/>
  <c r="K125" i="2" s="1"/>
  <c r="L125" i="2" s="1"/>
  <c r="J29" i="2"/>
  <c r="K29" i="2" s="1"/>
  <c r="L29" i="2" s="1"/>
  <c r="J22" i="2"/>
  <c r="K22" i="2" s="1"/>
  <c r="L22" i="2" s="1"/>
  <c r="J199" i="2"/>
  <c r="K199" i="2" s="1"/>
  <c r="L199" i="2" s="1"/>
  <c r="J186" i="2"/>
  <c r="K186" i="2" s="1"/>
  <c r="L186" i="2" s="1"/>
  <c r="K254" i="2"/>
  <c r="L254" i="2" s="1"/>
  <c r="J179" i="2"/>
  <c r="K179" i="2" s="1"/>
  <c r="L179" i="2" s="1"/>
  <c r="J246" i="2"/>
  <c r="K246" i="2" s="1"/>
  <c r="L246" i="2" s="1"/>
  <c r="J78" i="2"/>
  <c r="K78" i="2" s="1"/>
  <c r="L78" i="2" s="1"/>
  <c r="J192" i="2"/>
  <c r="J43" i="2"/>
  <c r="K43" i="2" s="1"/>
  <c r="L43" i="2" s="1"/>
  <c r="J40" i="2"/>
  <c r="K40" i="2" s="1"/>
  <c r="L40" i="2" s="1"/>
  <c r="J209" i="2"/>
  <c r="J239" i="2"/>
  <c r="K239" i="2" s="1"/>
  <c r="L239" i="2" s="1"/>
  <c r="J42" i="2"/>
  <c r="K42" i="2" s="1"/>
  <c r="L42" i="2" s="1"/>
  <c r="J215" i="2"/>
  <c r="K215" i="2" s="1"/>
  <c r="L215" i="2" s="1"/>
  <c r="J167" i="2"/>
  <c r="J85" i="2"/>
  <c r="K85" i="2" s="1"/>
  <c r="L85" i="2" s="1"/>
  <c r="J193" i="2"/>
  <c r="J122" i="2"/>
  <c r="K122" i="2" s="1"/>
  <c r="L122" i="2" s="1"/>
  <c r="J41" i="2"/>
  <c r="K41" i="2" s="1"/>
  <c r="L41" i="2" s="1"/>
  <c r="J197" i="2"/>
  <c r="J142" i="2"/>
  <c r="K142" i="2" s="1"/>
  <c r="L142" i="2" s="1"/>
  <c r="J32" i="2"/>
  <c r="K32" i="2" s="1"/>
  <c r="L32" i="2" s="1"/>
  <c r="J107" i="2"/>
  <c r="K107" i="2" s="1"/>
  <c r="L107" i="2" s="1"/>
  <c r="J126" i="2"/>
  <c r="J216" i="2"/>
  <c r="K216" i="2" s="1"/>
  <c r="L216" i="2" s="1"/>
  <c r="J45" i="2"/>
  <c r="K45" i="2" s="1"/>
  <c r="L45" i="2" s="1"/>
  <c r="J213" i="2"/>
  <c r="K213" i="2" s="1"/>
  <c r="L213" i="2" s="1"/>
  <c r="J243" i="2"/>
  <c r="K243" i="2" s="1"/>
  <c r="L243" i="2" s="1"/>
  <c r="J19" i="2"/>
  <c r="K19" i="2" s="1"/>
  <c r="L19" i="2" s="1"/>
  <c r="J182" i="2"/>
  <c r="J247" i="2"/>
  <c r="K247" i="2" s="1"/>
  <c r="L247" i="2" s="1"/>
  <c r="J150" i="2"/>
  <c r="J18" i="2"/>
  <c r="K18" i="2" s="1"/>
  <c r="L18" i="2" s="1"/>
  <c r="J233" i="2"/>
  <c r="K233" i="2" s="1"/>
  <c r="L233" i="2" s="1"/>
  <c r="J178" i="2"/>
  <c r="J71" i="2"/>
  <c r="J28" i="2"/>
  <c r="J80" i="2"/>
  <c r="J58" i="2"/>
  <c r="J251" i="2"/>
  <c r="K251" i="2" s="1"/>
  <c r="L251" i="2" s="1"/>
  <c r="J48" i="2"/>
  <c r="K253" i="2"/>
  <c r="L253" i="2" s="1"/>
  <c r="I167" i="1"/>
  <c r="I166" i="1"/>
  <c r="I161" i="1"/>
  <c r="I160" i="1"/>
  <c r="I159" i="1"/>
  <c r="I158" i="1"/>
  <c r="I157" i="1"/>
  <c r="I156" i="1"/>
  <c r="I147" i="1"/>
  <c r="I146" i="1"/>
  <c r="I145" i="1"/>
  <c r="I144" i="1"/>
  <c r="I143" i="1"/>
  <c r="I141" i="1"/>
  <c r="I140" i="1"/>
  <c r="I139" i="1"/>
  <c r="I138" i="1"/>
  <c r="I137" i="1"/>
  <c r="I134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05" i="1"/>
  <c r="I104" i="1"/>
  <c r="I101" i="1"/>
  <c r="I99" i="1"/>
  <c r="I98" i="1"/>
  <c r="I97" i="1"/>
  <c r="I96" i="1"/>
  <c r="I95" i="1"/>
  <c r="I94" i="1"/>
  <c r="I93" i="1"/>
  <c r="I92" i="1"/>
  <c r="I239" i="1"/>
  <c r="I238" i="1"/>
  <c r="I237" i="1"/>
  <c r="I213" i="1"/>
  <c r="I229" i="1"/>
  <c r="I227" i="1"/>
  <c r="I204" i="1"/>
  <c r="I203" i="1"/>
  <c r="I193" i="1"/>
  <c r="I191" i="1"/>
  <c r="I189" i="1"/>
  <c r="I188" i="1"/>
  <c r="I187" i="1"/>
  <c r="I185" i="1"/>
  <c r="I183" i="1"/>
  <c r="I179" i="1"/>
  <c r="I173" i="1"/>
  <c r="I172" i="1"/>
  <c r="I165" i="1"/>
  <c r="I171" i="1"/>
  <c r="I170" i="1"/>
  <c r="I169" i="1"/>
  <c r="I168" i="1"/>
  <c r="I164" i="1"/>
  <c r="I163" i="1"/>
  <c r="I162" i="1"/>
  <c r="I155" i="1"/>
  <c r="I240" i="1"/>
  <c r="I154" i="1"/>
  <c r="I236" i="1"/>
  <c r="I153" i="1"/>
  <c r="I235" i="1"/>
  <c r="I152" i="1"/>
  <c r="I234" i="1"/>
  <c r="I151" i="1"/>
  <c r="I233" i="1"/>
  <c r="I150" i="1"/>
  <c r="I232" i="1"/>
  <c r="I149" i="1"/>
  <c r="I231" i="1"/>
  <c r="I148" i="1"/>
  <c r="I230" i="1"/>
  <c r="I142" i="1"/>
  <c r="I228" i="1"/>
  <c r="I136" i="1"/>
  <c r="I226" i="1"/>
  <c r="I135" i="1"/>
  <c r="I225" i="1"/>
  <c r="I133" i="1"/>
  <c r="I224" i="1"/>
  <c r="I113" i="1"/>
  <c r="I223" i="1"/>
  <c r="I112" i="1"/>
  <c r="I222" i="1"/>
  <c r="I111" i="1"/>
  <c r="I221" i="1"/>
  <c r="I110" i="1"/>
  <c r="I220" i="1"/>
  <c r="I109" i="1"/>
  <c r="I219" i="1"/>
  <c r="I108" i="1"/>
  <c r="I218" i="1"/>
  <c r="I107" i="1"/>
  <c r="I217" i="1"/>
  <c r="I106" i="1"/>
  <c r="I216" i="1"/>
  <c r="I103" i="1"/>
  <c r="I215" i="1"/>
  <c r="I102" i="1"/>
  <c r="I214" i="1"/>
  <c r="I100" i="1"/>
  <c r="I184" i="1"/>
  <c r="I212" i="1"/>
  <c r="I211" i="1"/>
  <c r="I210" i="1"/>
  <c r="I209" i="1"/>
  <c r="I208" i="1"/>
  <c r="I207" i="1"/>
  <c r="I206" i="1"/>
  <c r="I205" i="1"/>
  <c r="I202" i="1"/>
  <c r="I201" i="1"/>
  <c r="I200" i="1"/>
  <c r="I199" i="1"/>
  <c r="I198" i="1"/>
  <c r="I197" i="1"/>
  <c r="I196" i="1"/>
  <c r="I195" i="1"/>
  <c r="I194" i="1"/>
  <c r="I192" i="1"/>
  <c r="I190" i="1"/>
  <c r="I186" i="1"/>
  <c r="I182" i="1"/>
  <c r="I181" i="1"/>
  <c r="I180" i="1"/>
  <c r="I178" i="1"/>
  <c r="I177" i="1"/>
  <c r="I176" i="1"/>
  <c r="I175" i="1"/>
  <c r="I174" i="1"/>
  <c r="G93" i="1"/>
  <c r="G108" i="1"/>
  <c r="G109" i="1"/>
  <c r="G110" i="1"/>
  <c r="G111" i="1"/>
  <c r="G112" i="1"/>
  <c r="G113" i="1"/>
  <c r="G114" i="1"/>
  <c r="G166" i="1"/>
  <c r="G115" i="1"/>
  <c r="G210" i="1"/>
  <c r="G116" i="1"/>
  <c r="G167" i="1"/>
  <c r="G117" i="1"/>
  <c r="G198" i="1"/>
  <c r="G118" i="1"/>
  <c r="G174" i="1"/>
  <c r="G119" i="1"/>
  <c r="G207" i="1"/>
  <c r="G120" i="1"/>
  <c r="G175" i="1"/>
  <c r="G121" i="1"/>
  <c r="G199" i="1"/>
  <c r="G122" i="1"/>
  <c r="G170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30" i="1"/>
  <c r="G231" i="1"/>
  <c r="G232" i="1"/>
  <c r="G233" i="1"/>
  <c r="G234" i="1"/>
  <c r="G235" i="1"/>
  <c r="G236" i="1"/>
  <c r="G240" i="1"/>
  <c r="G97" i="1"/>
  <c r="G96" i="1"/>
  <c r="G95" i="1"/>
  <c r="G94" i="1"/>
  <c r="G98" i="1"/>
  <c r="G99" i="1"/>
  <c r="G176" i="1"/>
  <c r="G101" i="1"/>
  <c r="G102" i="1"/>
  <c r="G123" i="1"/>
  <c r="G103" i="1"/>
  <c r="G212" i="1"/>
  <c r="G104" i="1"/>
  <c r="G105" i="1"/>
  <c r="G124" i="1"/>
  <c r="G177" i="1"/>
  <c r="G125" i="1"/>
  <c r="G200" i="1"/>
  <c r="G126" i="1"/>
  <c r="G178" i="1"/>
  <c r="G127" i="1"/>
  <c r="G208" i="1"/>
  <c r="G128" i="1"/>
  <c r="G134" i="1"/>
  <c r="G180" i="1"/>
  <c r="G129" i="1"/>
  <c r="G138" i="1"/>
  <c r="G139" i="1"/>
  <c r="G201" i="1"/>
  <c r="G148" i="1"/>
  <c r="G130" i="1"/>
  <c r="G149" i="1"/>
  <c r="G181" i="1"/>
  <c r="G150" i="1"/>
  <c r="G131" i="1"/>
  <c r="G151" i="1"/>
  <c r="G211" i="1"/>
  <c r="G152" i="1"/>
  <c r="G132" i="1"/>
  <c r="G153" i="1"/>
  <c r="G182" i="1"/>
  <c r="G154" i="1"/>
  <c r="G133" i="1"/>
  <c r="G155" i="1"/>
  <c r="G202" i="1"/>
  <c r="G162" i="1"/>
  <c r="G135" i="1"/>
  <c r="G136" i="1"/>
  <c r="G164" i="1"/>
  <c r="G137" i="1"/>
  <c r="G168" i="1"/>
  <c r="G183" i="1"/>
  <c r="G169" i="1"/>
  <c r="G184" i="1"/>
  <c r="G214" i="1"/>
  <c r="G185" i="1"/>
  <c r="G171" i="1"/>
  <c r="G140" i="1"/>
  <c r="G172" i="1"/>
  <c r="G209" i="1"/>
  <c r="G173" i="1"/>
  <c r="G141" i="1"/>
  <c r="G179" i="1"/>
  <c r="G187" i="1"/>
  <c r="G142" i="1"/>
  <c r="G143" i="1"/>
  <c r="G186" i="1"/>
  <c r="G188" i="1"/>
  <c r="G144" i="1"/>
  <c r="G189" i="1"/>
  <c r="G190" i="1"/>
  <c r="G145" i="1"/>
  <c r="G192" i="1"/>
  <c r="G203" i="1"/>
  <c r="G194" i="1"/>
  <c r="G195" i="1"/>
  <c r="G146" i="1"/>
  <c r="G191" i="1"/>
  <c r="G227" i="1"/>
  <c r="G147" i="1"/>
  <c r="G229" i="1"/>
  <c r="G204" i="1"/>
  <c r="G237" i="1"/>
  <c r="G156" i="1"/>
  <c r="G238" i="1"/>
  <c r="G193" i="1"/>
  <c r="G239" i="1"/>
  <c r="G157" i="1"/>
  <c r="G163" i="1"/>
  <c r="G91" i="1"/>
  <c r="G92" i="1"/>
  <c r="G205" i="1"/>
  <c r="G158" i="1"/>
  <c r="G213" i="1"/>
  <c r="G159" i="1"/>
  <c r="G196" i="1"/>
  <c r="G160" i="1"/>
  <c r="G206" i="1"/>
  <c r="G161" i="1"/>
  <c r="G100" i="1"/>
  <c r="G197" i="1"/>
  <c r="G215" i="1"/>
  <c r="G165" i="1"/>
  <c r="G106" i="1"/>
  <c r="G107" i="1"/>
  <c r="K245" i="2"/>
  <c r="L245" i="2" s="1"/>
  <c r="K241" i="2"/>
  <c r="L241" i="2" s="1"/>
  <c r="K240" i="2"/>
  <c r="L240" i="2" s="1"/>
  <c r="K236" i="2"/>
  <c r="L236" i="2" s="1"/>
  <c r="K223" i="2"/>
  <c r="L223" i="2" s="1"/>
  <c r="K212" i="2"/>
  <c r="L212" i="2" s="1"/>
  <c r="K206" i="2"/>
  <c r="L206" i="2" s="1"/>
  <c r="K191" i="2"/>
  <c r="L191" i="2" s="1"/>
  <c r="K188" i="2"/>
  <c r="L188" i="2" s="1"/>
  <c r="K187" i="2"/>
  <c r="L187" i="2" s="1"/>
  <c r="K183" i="2"/>
  <c r="L183" i="2" s="1"/>
  <c r="K174" i="2"/>
  <c r="L174" i="2" s="1"/>
  <c r="K173" i="2"/>
  <c r="L173" i="2" s="1"/>
  <c r="K171" i="2"/>
  <c r="L171" i="2" s="1"/>
  <c r="K170" i="2"/>
  <c r="L170" i="2" s="1"/>
  <c r="K168" i="2"/>
  <c r="L168" i="2" s="1"/>
  <c r="K166" i="2"/>
  <c r="L166" i="2" s="1"/>
  <c r="K164" i="2"/>
  <c r="L164" i="2" s="1"/>
  <c r="K163" i="2"/>
  <c r="L163" i="2" s="1"/>
  <c r="K162" i="2"/>
  <c r="L162" i="2" s="1"/>
  <c r="K159" i="2"/>
  <c r="L159" i="2" s="1"/>
  <c r="K156" i="2"/>
  <c r="L156" i="2" s="1"/>
  <c r="K155" i="2"/>
  <c r="L155" i="2" s="1"/>
  <c r="K148" i="2"/>
  <c r="L148" i="2" s="1"/>
  <c r="K145" i="2"/>
  <c r="L145" i="2" s="1"/>
  <c r="K138" i="2"/>
  <c r="L138" i="2" s="1"/>
  <c r="K136" i="2"/>
  <c r="L136" i="2" s="1"/>
  <c r="K134" i="2"/>
  <c r="L134" i="2" s="1"/>
  <c r="K132" i="2"/>
  <c r="L132" i="2" s="1"/>
  <c r="K131" i="2"/>
  <c r="L131" i="2" s="1"/>
  <c r="K130" i="2"/>
  <c r="L130" i="2" s="1"/>
  <c r="K123" i="2"/>
  <c r="L123" i="2" s="1"/>
  <c r="K120" i="2"/>
  <c r="L120" i="2" s="1"/>
  <c r="K119" i="2"/>
  <c r="L119" i="2" s="1"/>
  <c r="K118" i="2"/>
  <c r="L118" i="2" s="1"/>
  <c r="K116" i="2"/>
  <c r="L116" i="2" s="1"/>
  <c r="K115" i="2"/>
  <c r="L115" i="2" s="1"/>
  <c r="K114" i="2"/>
  <c r="L114" i="2" s="1"/>
  <c r="K111" i="2"/>
  <c r="L111" i="2" s="1"/>
  <c r="K108" i="2"/>
  <c r="L108" i="2" s="1"/>
  <c r="K106" i="2"/>
  <c r="L106" i="2" s="1"/>
  <c r="K105" i="2"/>
  <c r="L105" i="2" s="1"/>
  <c r="K100" i="2"/>
  <c r="L100" i="2" s="1"/>
  <c r="K99" i="2"/>
  <c r="L99" i="2" s="1"/>
  <c r="K97" i="2"/>
  <c r="L97" i="2" s="1"/>
  <c r="K95" i="2"/>
  <c r="L95" i="2" s="1"/>
  <c r="K87" i="2"/>
  <c r="L87" i="2" s="1"/>
  <c r="K86" i="2"/>
  <c r="L86" i="2" s="1"/>
  <c r="K83" i="2"/>
  <c r="L83" i="2" s="1"/>
  <c r="K74" i="2"/>
  <c r="L74" i="2" s="1"/>
  <c r="K64" i="2"/>
  <c r="L64" i="2" s="1"/>
  <c r="K62" i="2"/>
  <c r="L62" i="2" s="1"/>
  <c r="K60" i="2"/>
  <c r="L60" i="2" s="1"/>
  <c r="K59" i="2"/>
  <c r="L59" i="2" s="1"/>
  <c r="K56" i="2"/>
  <c r="L56" i="2" s="1"/>
  <c r="K54" i="2"/>
  <c r="L54" i="2" s="1"/>
  <c r="K52" i="2"/>
  <c r="L52" i="2" s="1"/>
  <c r="K49" i="2"/>
  <c r="L49" i="2"/>
  <c r="K44" i="2"/>
  <c r="L44" i="2" s="1"/>
  <c r="K38" i="2"/>
  <c r="L38" i="2" s="1"/>
  <c r="K37" i="2"/>
  <c r="L37" i="2" s="1"/>
  <c r="K36" i="2"/>
  <c r="L36" i="2" s="1"/>
  <c r="K30" i="2"/>
  <c r="L30" i="2" s="1"/>
  <c r="K16" i="2"/>
  <c r="L16" i="2" s="1"/>
  <c r="K192" i="2" l="1"/>
  <c r="L192" i="2" s="1"/>
  <c r="K167" i="2"/>
  <c r="L167" i="2" s="1"/>
  <c r="K209" i="2"/>
  <c r="L209" i="2" s="1"/>
  <c r="K193" i="2"/>
  <c r="L193" i="2" s="1"/>
  <c r="K197" i="2"/>
  <c r="L197" i="2" s="1"/>
  <c r="K126" i="2"/>
  <c r="L126" i="2" s="1"/>
  <c r="K182" i="2"/>
  <c r="L182" i="2" s="1"/>
  <c r="K150" i="2"/>
  <c r="L150" i="2" s="1"/>
  <c r="K178" i="2"/>
  <c r="L178" i="2" s="1"/>
  <c r="K71" i="2"/>
  <c r="L71" i="2" s="1"/>
  <c r="K28" i="2"/>
  <c r="L28" i="2" s="1"/>
  <c r="K80" i="2"/>
  <c r="L80" i="2" s="1"/>
  <c r="K58" i="2"/>
  <c r="L58" i="2" s="1"/>
  <c r="K48" i="2"/>
  <c r="L48" i="2" s="1"/>
</calcChain>
</file>

<file path=xl/sharedStrings.xml><?xml version="1.0" encoding="utf-8"?>
<sst xmlns="http://schemas.openxmlformats.org/spreadsheetml/2006/main" count="6938" uniqueCount="1916">
  <si>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</si>
  <si>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</si>
  <si>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</si>
  <si>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</si>
  <si>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</si>
  <si>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</si>
  <si>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</si>
  <si>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</si>
  <si>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</si>
  <si>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</si>
  <si>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</si>
  <si>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</si>
  <si>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</si>
  <si>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</si>
  <si>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</si>
  <si>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</si>
  <si>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</si>
  <si>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</si>
  <si>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</si>
  <si>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</si>
  <si>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</si>
  <si>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</si>
  <si>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</si>
  <si>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</si>
  <si>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</si>
  <si>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</si>
  <si>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</si>
  <si>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</si>
  <si>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</si>
  <si>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</si>
  <si>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</si>
  <si>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</si>
  <si>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</si>
  <si>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</si>
  <si>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</si>
  <si>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</si>
  <si>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</si>
  <si>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</si>
  <si>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</si>
  <si>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concentrado rinde 10 Litros</t>
  </si>
  <si>
    <t>DET001.jpg</t>
  </si>
  <si>
    <t>CNT-002</t>
  </si>
  <si>
    <t>003</t>
  </si>
  <si>
    <t>LVA001</t>
  </si>
  <si>
    <t>Detergente Magistral listo para usar</t>
  </si>
  <si>
    <t>LVA001.jpg</t>
  </si>
  <si>
    <t>CNT-003</t>
  </si>
  <si>
    <t>004</t>
  </si>
  <si>
    <t>LVA002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</si>
  <si>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</si>
  <si>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</si>
  <si>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</si>
  <si>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</si>
  <si>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</si>
  <si>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</si>
  <si>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</si>
  <si>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</si>
  <si>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</si>
  <si>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</si>
  <si>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</si>
  <si>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</si>
  <si>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</si>
  <si>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</si>
  <si>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</si>
  <si>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</si>
  <si>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</si>
  <si>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</si>
  <si>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</si>
  <si>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</si>
  <si>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</si>
  <si>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</si>
  <si>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</si>
  <si>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</si>
  <si>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</si>
  <si>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</si>
  <si>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</si>
  <si>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</si>
  <si>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</si>
  <si>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</si>
  <si>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</si>
  <si>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</si>
  <si>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</si>
  <si>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</si>
  <si>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</si>
  <si>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</si>
  <si>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</si>
  <si>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</si>
  <si>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</si>
  <si>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</si>
  <si>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</si>
  <si>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</si>
  <si>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</si>
  <si>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</si>
  <si>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</si>
  <si>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</si>
  <si>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</si>
  <si>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</si>
  <si>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</si>
  <si>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</si>
  <si>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</si>
  <si>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</si>
  <si>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</si>
  <si>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</si>
  <si>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</si>
  <si>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</si>
  <si>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</si>
  <si>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</si>
  <si>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</si>
  <si>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</si>
  <si>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</si>
  <si>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</si>
  <si>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</si>
  <si>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</si>
  <si>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</si>
  <si>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</si>
  <si>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</si>
  <si>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</si>
  <si>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</si>
  <si>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</si>
  <si>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</si>
  <si>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</si>
  <si>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</si>
  <si>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</si>
  <si>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</si>
  <si>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</si>
  <si>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</si>
  <si>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</si>
  <si>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</si>
  <si>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</si>
  <si>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</si>
  <si>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</si>
  <si>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</si>
  <si>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</si>
  <si>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</si>
  <si>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</si>
  <si>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</si>
  <si>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</si>
  <si>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</si>
  <si>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</si>
  <si>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</si>
  <si>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</si>
  <si>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</si>
  <si>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</si>
  <si>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</si>
  <si>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</si>
  <si>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</si>
  <si>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</si>
  <si>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</si>
  <si>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</si>
  <si>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</si>
  <si>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</si>
  <si>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</si>
  <si>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</si>
  <si>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</si>
  <si>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</si>
  <si>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</si>
  <si>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</si>
  <si>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</si>
  <si>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</si>
  <si>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</si>
  <si>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</si>
  <si>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</si>
  <si>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</si>
  <si>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</si>
  <si>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</si>
  <si>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</si>
  <si>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</si>
  <si>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</si>
  <si>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</si>
  <si>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</si>
  <si>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</si>
  <si>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</si>
  <si>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</si>
  <si>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</si>
  <si>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</si>
  <si>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</si>
  <si>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</si>
  <si>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</si>
  <si>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</si>
  <si>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</si>
  <si>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</si>
  <si>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</si>
  <si>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</si>
  <si>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</si>
  <si>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</si>
  <si>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</si>
  <si>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</si>
  <si>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</si>
  <si>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</si>
  <si>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</si>
  <si>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</si>
  <si>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</si>
  <si>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</si>
  <si>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</si>
  <si>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</si>
  <si>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</si>
  <si>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</si>
  <si>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</si>
  <si>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</si>
  <si>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</si>
  <si>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</si>
  <si>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</si>
  <si>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</si>
  <si>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</si>
  <si>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</si>
  <si>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</si>
  <si>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</si>
  <si>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</si>
  <si>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</si>
  <si>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</si>
  <si>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</si>
  <si>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</si>
  <si>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</si>
  <si>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</si>
  <si>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</si>
  <si>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</si>
  <si>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</si>
  <si>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</si>
  <si>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</si>
  <si>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</si>
  <si>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</si>
  <si>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</si>
  <si>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</si>
  <si>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</si>
  <si>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</si>
  <si>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</si>
  <si>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</si>
  <si>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</si>
  <si>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</si>
  <si>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</si>
  <si>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</si>
  <si>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</si>
  <si>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</si>
  <si>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</si>
  <si>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</si>
  <si>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</si>
  <si>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</si>
  <si>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</si>
  <si>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</si>
  <si>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</si>
  <si>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</si>
  <si>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</si>
  <si>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</si>
  <si>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</si>
  <si>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</si>
  <si>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</si>
  <si>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</si>
  <si>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</si>
  <si>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</si>
  <si>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</si>
  <si>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</si>
  <si>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</si>
  <si>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</si>
  <si>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</si>
  <si>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</si>
  <si>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</si>
  <si>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</si>
  <si>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</si>
  <si>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</si>
  <si>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</si>
  <si>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</si>
  <si>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</si>
  <si>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</si>
  <si>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</si>
  <si>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</si>
  <si>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</si>
  <si>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</si>
  <si>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</si>
  <si>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</si>
  <si>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</si>
  <si>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</si>
  <si>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</si>
  <si>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</si>
  <si>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</si>
  <si>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</si>
  <si>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</si>
  <si>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</si>
  <si>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</si>
  <si>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</si>
  <si>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</si>
  <si>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</si>
  <si>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</si>
  <si>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</si>
  <si>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</si>
  <si>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</si>
  <si>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</si>
  <si>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</si>
  <si>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</si>
  <si>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</si>
  <si>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</si>
  <si>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</si>
  <si>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</si>
  <si>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</si>
  <si>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</si>
  <si>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</si>
  <si>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</si>
  <si>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</si>
  <si>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</si>
  <si>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</si>
  <si>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</si>
  <si>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</si>
  <si>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</si>
  <si>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</si>
  <si>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</si>
  <si>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</si>
  <si>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</si>
  <si>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</si>
  <si>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</si>
  <si>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</si>
  <si>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</si>
  <si>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</si>
  <si>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</si>
  <si>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</si>
  <si>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</si>
  <si>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</si>
  <si>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</si>
  <si>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</si>
  <si>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</si>
  <si>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</si>
  <si>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</si>
  <si>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</si>
  <si>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</si>
  <si>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</si>
  <si>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</si>
  <si>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</si>
  <si>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</si>
  <si>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</si>
  <si>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</si>
  <si>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</si>
  <si>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</si>
  <si>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</si>
  <si>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</si>
  <si>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</si>
  <si>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</si>
  <si>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</si>
  <si>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</si>
  <si>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</si>
  <si>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</si>
  <si>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</si>
  <si>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</si>
  <si>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</si>
  <si>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</si>
  <si>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</si>
  <si>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</si>
  <si>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</si>
  <si>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</si>
  <si>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</si>
  <si>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</si>
  <si>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</si>
  <si>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</si>
  <si>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</si>
  <si>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</si>
  <si>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</si>
  <si>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</si>
  <si>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</si>
  <si>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</si>
  <si>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</si>
  <si>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</si>
  <si>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</si>
  <si>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</si>
  <si>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</si>
  <si>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</si>
  <si>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</si>
  <si>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</si>
  <si>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</si>
  <si>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</si>
  <si>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</si>
  <si>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</si>
  <si>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</si>
  <si>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</si>
  <si>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</si>
  <si>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</si>
  <si>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</si>
  <si>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</si>
  <si>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</si>
  <si>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</si>
  <si>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</si>
  <si>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</si>
  <si>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</si>
  <si>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</si>
  <si>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</si>
  <si>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</si>
  <si>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</si>
  <si>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</si>
  <si>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</si>
  <si>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</si>
  <si>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</si>
  <si>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</si>
  <si>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</si>
  <si>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</si>
  <si>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</si>
  <si>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</si>
  <si>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</si>
  <si>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</si>
  <si>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</si>
  <si>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</si>
  <si>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</si>
  <si>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</si>
  <si>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</si>
  <si>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</si>
  <si>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</si>
  <si>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</si>
  <si>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</si>
  <si>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</si>
  <si>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</si>
  <si>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</si>
  <si>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</si>
  <si>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</si>
  <si>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</si>
  <si>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</si>
  <si>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</si>
  <si>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</si>
  <si>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</si>
  <si>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</si>
  <si>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</si>
  <si>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</si>
  <si>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</si>
  <si>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</si>
  <si>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</si>
  <si>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</si>
  <si>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</si>
  <si>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</si>
  <si>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</si>
  <si>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</si>
  <si>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</si>
  <si>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</si>
  <si>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</si>
  <si>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</si>
  <si>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</si>
  <si>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</si>
  <si>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</si>
  <si>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</si>
  <si>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</si>
  <si>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</si>
  <si>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</si>
  <si>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</si>
  <si>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</si>
  <si>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</si>
  <si>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</si>
  <si>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</si>
  <si>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</si>
  <si>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</si>
  <si>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</si>
  <si>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</si>
  <si>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</si>
  <si>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</si>
  <si>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</si>
  <si>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</si>
  <si>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</si>
  <si>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</si>
  <si>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</si>
  <si>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</si>
  <si>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</si>
  <si>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</si>
  <si>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</si>
  <si>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</si>
  <si>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</si>
  <si>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</si>
  <si>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</si>
  <si>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</si>
  <si>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</si>
  <si>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</si>
  <si>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</si>
  <si>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</si>
  <si>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</si>
  <si>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</si>
  <si>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</si>
  <si>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</si>
  <si>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</si>
  <si>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</si>
  <si>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</si>
  <si>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</si>
  <si>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</si>
  <si>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</si>
  <si>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</si>
  <si>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</si>
  <si>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</si>
  <si>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</si>
  <si>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</si>
  <si>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</si>
  <si>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</si>
  <si>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</si>
  <si>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</si>
  <si>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</si>
  <si>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</si>
  <si>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</si>
  <si>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</si>
  <si>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</si>
  <si>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</si>
  <si>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</si>
  <si>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</si>
  <si>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</si>
  <si>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</si>
  <si>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</si>
  <si>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</si>
  <si>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</si>
  <si>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</si>
  <si>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</si>
  <si>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</si>
  <si>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</si>
  <si>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</si>
  <si>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</si>
  <si>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</si>
  <si>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</si>
  <si>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</si>
  <si>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</si>
  <si>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</si>
  <si>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</si>
  <si>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</si>
  <si>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</si>
  <si>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</si>
  <si>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</si>
  <si>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</si>
  <si>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</si>
  <si>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</si>
  <si>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</si>
  <si>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</si>
  <si>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</si>
  <si>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</si>
  <si>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</si>
  <si>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</si>
  <si>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</si>
  <si>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</si>
  <si>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</si>
  <si>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</si>
  <si>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</si>
  <si>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</si>
  <si>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</si>
  <si>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</si>
  <si>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</si>
  <si>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</si>
  <si>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</si>
  <si>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</si>
  <si>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</si>
  <si>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</si>
  <si>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</si>
  <si>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</si>
  <si>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</si>
  <si>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</si>
  <si>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</si>
  <si>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</si>
  <si>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</si>
  <si>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</si>
  <si>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</si>
  <si>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</si>
  <si>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</si>
  <si>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</si>
  <si>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</si>
  <si>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</si>
  <si>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</si>
  <si>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</si>
  <si>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</si>
  <si>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</si>
  <si>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</si>
  <si>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</si>
  <si>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</si>
  <si>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</si>
  <si>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</si>
  <si>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</si>
  <si>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</si>
  <si>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</si>
  <si>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</si>
  <si>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</si>
  <si>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</si>
  <si>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</si>
  <si>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</si>
  <si>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</si>
  <si>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</si>
  <si>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</si>
  <si>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</si>
  <si>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</si>
  <si>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</si>
  <si>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</si>
  <si>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</si>
  <si>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</si>
  <si>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</si>
  <si>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</si>
  <si>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</si>
  <si>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</si>
  <si>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</si>
  <si>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</si>
  <si>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</si>
  <si>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</si>
  <si>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</si>
  <si>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</si>
  <si>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</si>
  <si>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</si>
  <si>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</si>
  <si>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</si>
  <si>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</si>
  <si>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</si>
  <si>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</si>
  <si>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</si>
  <si>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</si>
  <si>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</si>
  <si>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</si>
  <si>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</si>
  <si>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</si>
  <si>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</si>
  <si>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</si>
  <si>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</si>
  <si>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</si>
  <si>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</si>
  <si>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</si>
  <si>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</si>
  <si>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</si>
  <si>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</si>
  <si>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</si>
  <si>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</si>
  <si>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</si>
  <si>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</si>
  <si>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</si>
  <si>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</si>
  <si>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</si>
  <si>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</si>
  <si>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</si>
  <si>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</si>
  <si>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</si>
  <si>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</si>
  <si>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</si>
  <si>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</si>
  <si>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</si>
  <si>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</si>
  <si>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</si>
  <si>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</si>
  <si>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</si>
  <si>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</si>
  <si>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</si>
  <si>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</si>
  <si>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</si>
  <si>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</si>
  <si>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</si>
  <si>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</si>
  <si>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</si>
  <si>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</si>
  <si>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</si>
  <si>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</si>
  <si>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</si>
  <si>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</si>
  <si>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</si>
  <si>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</si>
  <si>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</si>
  <si>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</si>
  <si>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</si>
  <si>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</si>
  <si>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</si>
  <si>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</si>
  <si>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</si>
  <si>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</si>
  <si>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</si>
  <si>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</si>
  <si>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</si>
  <si>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</si>
  <si>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</si>
  <si>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</si>
  <si>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</si>
  <si>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</si>
  <si>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</si>
  <si>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</si>
  <si>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</si>
  <si>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</si>
  <si>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</si>
  <si>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</si>
  <si>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</si>
  <si>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</si>
  <si>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</si>
  <si>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</si>
  <si>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</si>
  <si>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</si>
  <si>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</si>
  <si>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</si>
  <si>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</si>
  <si>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</si>
  <si>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</si>
  <si>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</si>
  <si>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</si>
  <si>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</si>
  <si>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</si>
  <si>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</si>
  <si>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</si>
  <si>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</si>
  <si>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</si>
  <si>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</si>
  <si>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</si>
  <si>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</si>
  <si>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</si>
  <si>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</si>
  <si>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</si>
  <si>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</si>
  <si>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</si>
  <si>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</si>
  <si>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</si>
  <si>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</si>
  <si>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</si>
  <si>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</si>
  <si>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</si>
  <si>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</si>
  <si>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</si>
  <si>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</si>
  <si>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</si>
  <si>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</si>
  <si>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</si>
  <si>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</si>
  <si>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</si>
  <si>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</si>
  <si>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</si>
  <si>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</si>
  <si>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</si>
  <si>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</si>
  <si>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</si>
  <si>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</si>
  <si>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</si>
  <si>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</si>
  <si>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</si>
  <si>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</si>
  <si>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</si>
  <si>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</si>
  <si>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</si>
  <si>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</si>
  <si>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</si>
  <si>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</si>
  <si>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Promo 12 litros + 5 de regalo</t>
  </si>
  <si>
    <t>PROM002.png</t>
  </si>
  <si>
    <t>CNT-123</t>
  </si>
  <si>
    <t>132</t>
  </si>
  <si>
    <t>PROM003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</si>
  <si>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</si>
  <si>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</si>
  <si>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</si>
  <si>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</si>
  <si>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</si>
  <si>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</si>
  <si>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</si>
  <si>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</si>
  <si>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</si>
  <si>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</si>
  <si>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</si>
  <si>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</si>
  <si>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</si>
  <si>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</si>
  <si>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</si>
  <si>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</si>
  <si>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</si>
  <si>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</si>
  <si>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</si>
  <si>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</si>
  <si>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</si>
  <si>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</si>
  <si>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</si>
  <si>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</si>
  <si>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</si>
  <si>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</si>
  <si>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</si>
  <si>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</si>
  <si>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</si>
  <si>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</si>
  <si>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</si>
  <si>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</si>
  <si>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</si>
  <si>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</si>
  <si>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</si>
  <si>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</si>
  <si>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</si>
  <si>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</si>
  <si>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</si>
  <si>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</si>
  <si>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</si>
  <si>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</si>
  <si>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</si>
  <si>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</si>
  <si>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</si>
  <si>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</si>
  <si>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</si>
  <si>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</si>
  <si>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</si>
  <si>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</si>
  <si>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</si>
  <si>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</si>
  <si>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</si>
  <si>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</si>
  <si>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</si>
  <si>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</si>
  <si>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</si>
  <si>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</si>
  <si>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</si>
  <si>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</si>
  <si>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</si>
  <si>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</si>
  <si>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</si>
  <si>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</si>
  <si>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</si>
  <si>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</si>
  <si>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</si>
  <si>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</si>
  <si>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</si>
  <si>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</si>
  <si>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</si>
  <si>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</si>
  <si>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</si>
  <si>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</si>
  <si>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</si>
  <si>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</si>
  <si>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</si>
  <si>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</si>
  <si>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</si>
  <si>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</si>
  <si>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</si>
  <si>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</si>
  <si>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</si>
  <si>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</si>
  <si>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</si>
  <si>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</si>
  <si>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</si>
  <si>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</si>
  <si>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</si>
  <si>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</si>
  <si>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</si>
  <si>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</si>
  <si>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</si>
  <si>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</si>
  <si>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</si>
  <si>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</si>
  <si>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</si>
  <si>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</si>
  <si>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</si>
  <si>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</si>
  <si>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</si>
  <si>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</si>
  <si>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</si>
  <si>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</si>
  <si>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</si>
  <si>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</si>
  <si>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</si>
  <si>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</si>
  <si>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</si>
  <si>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</si>
  <si>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</si>
  <si>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</si>
  <si>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</si>
  <si>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</si>
  <si>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</si>
  <si>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</si>
  <si>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</si>
  <si>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</si>
  <si>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</si>
  <si>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</si>
  <si>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</si>
  <si>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</si>
  <si>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</si>
  <si>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</si>
  <si>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</si>
  <si>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</si>
  <si>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</si>
  <si>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</si>
  <si>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</si>
  <si>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</si>
  <si>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</si>
  <si>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</si>
  <si>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</si>
  <si>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</si>
  <si>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</si>
  <si>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</si>
  <si>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</si>
  <si>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</si>
  <si>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</si>
  <si>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</si>
  <si>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</si>
  <si>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</si>
  <si>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</si>
  <si>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</si>
  <si>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</si>
  <si>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</si>
  <si>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</si>
  <si>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</si>
  <si>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</si>
  <si>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</si>
  <si>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</si>
  <si>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</si>
  <si>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</si>
  <si>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</si>
  <si>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</si>
  <si>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</si>
  <si>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</si>
  <si>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</si>
  <si>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</si>
  <si>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</si>
  <si>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</si>
  <si>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</si>
  <si>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</si>
  <si>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</si>
  <si>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</si>
  <si>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</si>
  <si>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</si>
  <si>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</si>
  <si>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</si>
  <si>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</si>
  <si>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</si>
  <si>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</si>
  <si>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</si>
  <si>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</si>
  <si>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</si>
  <si>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</si>
  <si>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</si>
  <si>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</si>
  <si>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</si>
  <si>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</si>
  <si>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</si>
  <si>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</si>
  <si>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</si>
  <si>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</si>
  <si>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</si>
  <si>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</si>
  <si>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</si>
  <si>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</si>
  <si>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</si>
  <si>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</si>
  <si>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</si>
  <si>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</si>
  <si>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</si>
  <si>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</si>
  <si>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</si>
  <si>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</si>
  <si>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</si>
  <si>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</si>
  <si>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</si>
  <si>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</si>
  <si>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</si>
  <si>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</si>
  <si>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</si>
  <si>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</si>
  <si>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</si>
  <si>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</si>
  <si>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</si>
  <si>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</si>
  <si>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</si>
  <si>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</si>
  <si>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</si>
  <si>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</si>
  <si>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</si>
  <si>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</si>
  <si>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</si>
  <si>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</si>
  <si>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</si>
  <si>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</si>
  <si>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</si>
  <si>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</si>
  <si>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</si>
  <si>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</si>
  <si>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</si>
  <si>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</si>
  <si>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</si>
  <si>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</si>
  <si>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</si>
  <si>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</si>
  <si>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</si>
  <si>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</si>
  <si>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</si>
  <si>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</si>
  <si>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</si>
  <si>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</si>
  <si>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</si>
  <si>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</si>
  <si>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</si>
  <si>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</si>
  <si>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</si>
  <si>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</si>
  <si>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</si>
  <si>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</si>
  <si>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</si>
  <si>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</si>
  <si>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</si>
  <si>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</si>
  <si>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</si>
  <si>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</si>
  <si>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</si>
  <si>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</si>
  <si>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</si>
  <si>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</si>
  <si>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</si>
  <si>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</si>
  <si>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</si>
  <si>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</si>
  <si>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</si>
  <si>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</si>
  <si>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</si>
  <si>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</si>
  <si>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</si>
  <si>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</si>
  <si>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</si>
  <si>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</si>
  <si>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</si>
  <si>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</si>
  <si>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</si>
  <si>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</si>
  <si>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</si>
  <si>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</si>
  <si>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</si>
  <si>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</si>
  <si>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</si>
  <si>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</si>
  <si>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</si>
  <si>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</si>
  <si>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</si>
  <si>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</si>
  <si>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</si>
  <si>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</si>
  <si>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</si>
  <si>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</si>
  <si>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</si>
  <si>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</si>
  <si>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</si>
  <si>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</si>
  <si>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</si>
  <si>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</si>
  <si>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</si>
  <si>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</si>
  <si>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</si>
  <si>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</si>
  <si>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</si>
  <si>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</si>
  <si>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</si>
  <si>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</si>
  <si>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</si>
  <si>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</si>
  <si>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</si>
  <si>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</si>
  <si>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</si>
  <si>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</si>
  <si>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</si>
  <si>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</si>
  <si>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</si>
  <si>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</si>
  <si>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</si>
  <si>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</si>
  <si>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</si>
  <si>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</si>
  <si>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</si>
  <si>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</si>
  <si>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</si>
  <si>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</si>
  <si>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</si>
  <si>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</si>
  <si>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</si>
  <si>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</si>
  <si>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</si>
  <si>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</si>
  <si>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</si>
  <si>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</si>
  <si>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</si>
  <si>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</si>
  <si>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</si>
  <si>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</si>
  <si>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</si>
  <si>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</si>
  <si>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</si>
  <si>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</si>
  <si>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</si>
  <si>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</si>
  <si>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</si>
  <si>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</si>
  <si>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</si>
  <si>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</si>
  <si>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</si>
  <si>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</si>
  <si>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</si>
  <si>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</si>
  <si>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</si>
  <si>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</si>
  <si>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</si>
  <si>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</si>
  <si>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</si>
  <si>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</si>
  <si>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</si>
  <si>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</si>
  <si>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</si>
  <si>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</si>
  <si>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</si>
  <si>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</si>
  <si>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</si>
  <si>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</si>
  <si>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</si>
  <si>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</si>
  <si>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</si>
  <si>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</si>
  <si>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</si>
  <si>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</si>
  <si>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</si>
  <si>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</si>
  <si>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</si>
  <si>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</si>
  <si>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</si>
  <si>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</si>
  <si>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</si>
  <si>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</si>
  <si>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</si>
  <si>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</si>
  <si>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</si>
  <si>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</si>
  <si>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</si>
  <si>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</si>
  <si>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</si>
  <si>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</si>
  <si>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</si>
  <si>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</si>
  <si>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</si>
  <si>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</si>
  <si>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</si>
  <si>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</si>
  <si>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</si>
  <si>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</si>
  <si>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</si>
  <si>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</si>
  <si>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</si>
  <si>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</si>
  <si>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</si>
  <si>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</si>
  <si>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</si>
  <si>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</si>
  <si>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</si>
  <si>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</si>
  <si>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</si>
  <si>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</si>
  <si>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</si>
  <si>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</si>
  <si>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</si>
  <si>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</si>
  <si>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</si>
  <si>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</si>
  <si>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</si>
  <si>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</si>
  <si>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</si>
  <si>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</si>
  <si>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</si>
  <si>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</si>
  <si>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</si>
  <si>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</si>
  <si>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</si>
  <si>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</si>
  <si>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</si>
  <si>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</si>
  <si>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</si>
  <si>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</si>
  <si>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</si>
  <si>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</si>
  <si>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</si>
  <si>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</si>
  <si>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</si>
  <si>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</si>
  <si>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</si>
  <si>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</si>
  <si>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</si>
  <si>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</si>
  <si>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</si>
  <si>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</si>
  <si>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</si>
  <si>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</si>
  <si>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</si>
  <si>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</si>
  <si>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</si>
  <si>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</si>
  <si>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</si>
  <si>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</si>
  <si>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</si>
  <si>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</si>
  <si>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</si>
  <si>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</si>
  <si>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</si>
  <si>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</si>
  <si>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</si>
  <si>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</si>
  <si>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</si>
  <si>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</si>
  <si>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</si>
  <si>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</si>
  <si>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</si>
  <si>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</si>
  <si>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</si>
  <si>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</si>
  <si>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</si>
  <si>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</si>
  <si>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</si>
  <si>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</si>
  <si>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</si>
  <si>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</si>
  <si>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</si>
  <si>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</si>
  <si>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</si>
  <si>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</si>
  <si>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</si>
  <si>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</si>
  <si>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</si>
  <si>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</si>
  <si>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</si>
  <si>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</si>
  <si>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</si>
  <si>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</si>
  <si>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</si>
  <si>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</si>
  <si>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</si>
  <si>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</si>
  <si>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</si>
  <si>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</si>
  <si>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</si>
  <si>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</si>
  <si>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</si>
  <si>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</si>
  <si>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</si>
  <si>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</si>
  <si>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</si>
  <si>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</si>
  <si>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</si>
  <si>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</si>
  <si>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</si>
  <si>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</si>
  <si>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</si>
  <si>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</si>
  <si>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</si>
  <si>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</si>
  <si>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</si>
  <si>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</si>
  <si>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</si>
  <si>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</si>
  <si>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</si>
  <si>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</si>
  <si>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</si>
  <si>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</si>
  <si>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</si>
  <si>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</si>
  <si>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</si>
  <si>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</si>
  <si>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</si>
  <si>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</si>
  <si>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</si>
  <si>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</si>
  <si>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</si>
  <si>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</si>
  <si>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</si>
  <si>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</si>
  <si>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</si>
  <si>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</si>
  <si>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</si>
  <si>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</si>
  <si>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</si>
  <si>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</si>
  <si>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</si>
  <si>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</si>
  <si>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</si>
  <si>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</si>
  <si>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</si>
  <si>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</si>
  <si>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</si>
  <si>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</si>
  <si>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</si>
  <si>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</si>
  <si>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</si>
  <si>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</si>
  <si>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</si>
  <si>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</si>
  <si>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</si>
  <si>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</si>
  <si>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</si>
  <si>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</si>
  <si>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</si>
  <si>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</si>
  <si>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</si>
  <si>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</si>
  <si>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</si>
  <si>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</si>
  <si>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</si>
  <si>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</si>
  <si>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</si>
  <si>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</si>
  <si>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</si>
  <si>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</si>
  <si>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</si>
  <si>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</si>
  <si>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</si>
  <si>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</si>
  <si>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</si>
  <si>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</si>
  <si>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</si>
  <si>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</si>
  <si>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</si>
  <si>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</si>
  <si>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</si>
  <si>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</si>
  <si>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</si>
  <si>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</si>
  <si>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</si>
  <si>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</si>
  <si>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</si>
  <si>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</si>
  <si>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</si>
  <si>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</si>
  <si>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</si>
  <si>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</si>
  <si>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</si>
  <si>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</si>
  <si>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</si>
  <si>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</si>
  <si>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</si>
  <si>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</si>
  <si>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</si>
  <si>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</si>
  <si>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</si>
  <si>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</si>
  <si>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</si>
  <si>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</si>
  <si>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</si>
  <si>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</si>
  <si>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</si>
  <si>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</si>
  <si>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</si>
  <si>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</si>
  <si>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</si>
  <si>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</si>
  <si>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</si>
  <si>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</si>
  <si>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</si>
  <si>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</si>
  <si>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</si>
  <si>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</si>
  <si>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</si>
  <si>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</si>
  <si>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</si>
  <si>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</si>
  <si>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</si>
  <si>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</si>
  <si>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</si>
  <si>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</si>
  <si>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</si>
  <si>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</si>
  <si>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</si>
  <si>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</si>
  <si>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</si>
  <si>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</si>
  <si>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</si>
  <si>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</si>
  <si>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</si>
  <si>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</si>
  <si>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</si>
  <si>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</si>
  <si>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</si>
  <si>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</si>
  <si>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</si>
  <si>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</si>
  <si>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</si>
  <si>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</si>
  <si>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</si>
  <si>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</si>
  <si>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</si>
  <si>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</si>
  <si>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</si>
  <si>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</si>
  <si>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</si>
  <si>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</si>
  <si>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</si>
  <si>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</si>
  <si>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</si>
  <si>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</si>
  <si>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</si>
  <si>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</si>
  <si>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</si>
  <si>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</si>
  <si>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</si>
  <si>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industrial rinde 10 Litros. Presentación: 5 litros.</t>
  </si>
  <si>
    <t>Detergente concentrado. Ideal para desengrasar y limpiar utensilios, vajilla y superficies de cocina de forma rápida y efectiva.</t>
  </si>
  <si>
    <t>👕 Ropa y lavado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</si>
  <si>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</si>
  <si>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</si>
  <si>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</si>
  <si>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</si>
  <si>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</si>
  <si>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</si>
  <si>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</si>
  <si>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</si>
  <si>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</si>
  <si>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</si>
  <si>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</si>
  <si>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</si>
  <si>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</si>
  <si>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</si>
  <si>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</si>
  <si>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</si>
  <si>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</si>
  <si>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</si>
  <si>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</si>
  <si>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</si>
  <si>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</si>
  <si>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</si>
  <si>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</si>
  <si>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</si>
  <si>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</si>
  <si>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</si>
  <si>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</si>
  <si>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</si>
  <si>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</si>
  <si>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</si>
  <si>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</si>
  <si>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</si>
  <si>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</si>
  <si>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</si>
  <si>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</si>
  <si>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</si>
  <si>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</si>
  <si>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</si>
  <si>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</si>
  <si>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</si>
  <si>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</si>
  <si>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</si>
  <si>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</si>
  <si>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</si>
  <si>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</si>
  <si>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</si>
  <si>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</si>
  <si>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</si>
  <si>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</si>
  <si>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</si>
  <si>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</si>
  <si>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</si>
  <si>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</si>
  <si>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</si>
  <si>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</si>
  <si>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</si>
  <si>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Trapo de piso costurado. Presentación: 1 unidad. Marca mr trappo.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</si>
  <si>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</si>
  <si>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</si>
  <si>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</si>
  <si>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</si>
  <si>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</si>
  <si>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</si>
  <si>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</si>
  <si>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</si>
  <si>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</si>
  <si>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</si>
  <si>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</si>
  <si>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</si>
  <si>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</si>
  <si>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</si>
  <si>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</si>
  <si>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</si>
  <si>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</si>
  <si>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</si>
  <si>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</si>
  <si>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</si>
  <si>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</si>
  <si>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</si>
  <si>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</si>
  <si>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</si>
  <si>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</si>
  <si>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</si>
  <si>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</si>
  <si>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</si>
  <si>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</si>
  <si>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</si>
  <si>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</si>
  <si>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</si>
  <si>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</si>
  <si>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</si>
  <si>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</si>
  <si>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</si>
  <si>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</si>
  <si>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</si>
  <si>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</si>
  <si>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</si>
  <si>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</si>
  <si>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</si>
  <si>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</si>
  <si>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</si>
  <si>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</si>
  <si>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</si>
  <si>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</si>
  <si>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</si>
  <si>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</si>
  <si>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</si>
  <si>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</si>
  <si>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</si>
  <si>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</si>
  <si>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</si>
  <si>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</si>
  <si>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</si>
  <si>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</si>
  <si>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</si>
  <si>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</si>
  <si>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</si>
  <si>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</si>
  <si>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</si>
  <si>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</si>
  <si>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</si>
  <si>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</si>
  <si>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</si>
  <si>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</si>
  <si>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</si>
  <si>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</si>
  <si>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</si>
  <si>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</si>
  <si>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</si>
  <si>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</si>
  <si>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</si>
  <si>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</si>
  <si>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</si>
  <si>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</si>
  <si>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</si>
  <si>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</si>
  <si>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</si>
  <si>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</si>
  <si>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</si>
  <si>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</si>
  <si>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</si>
  <si>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</si>
  <si>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</si>
  <si>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</si>
  <si>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</si>
  <si>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</si>
  <si>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</si>
  <si>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</si>
  <si>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</si>
  <si>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</si>
  <si>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</si>
  <si>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</si>
  <si>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</si>
  <si>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</si>
  <si>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</si>
  <si>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</si>
  <si>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</si>
  <si>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</si>
  <si>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</si>
  <si>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</si>
  <si>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</si>
  <si>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</si>
  <si>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</si>
  <si>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</si>
  <si>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</si>
  <si>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</si>
  <si>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</si>
  <si>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</si>
  <si>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</si>
  <si>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</si>
  <si>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</si>
  <si>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</si>
  <si>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</si>
  <si>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</si>
  <si>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</si>
  <si>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</si>
  <si>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</si>
  <si>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</si>
  <si>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</si>
  <si>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</si>
  <si>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</si>
  <si>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</si>
  <si>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</si>
  <si>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</si>
  <si>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</si>
  <si>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</si>
  <si>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</si>
  <si>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</si>
  <si>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</si>
  <si>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</si>
  <si>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</si>
  <si>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</si>
  <si>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</si>
  <si>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</si>
  <si>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</si>
  <si>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</si>
  <si>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concentrado rinde x2. Presentación: 1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</si>
  <si>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</si>
  <si>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</si>
  <si>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</si>
  <si>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</si>
  <si>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</si>
  <si>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</si>
  <si>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</si>
  <si>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</si>
  <si>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</si>
  <si>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</si>
  <si>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</si>
  <si>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</si>
  <si>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</si>
  <si>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</si>
  <si>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</si>
  <si>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</si>
  <si>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</si>
  <si>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</si>
  <si>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</si>
  <si>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</si>
  <si>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</si>
  <si>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</si>
  <si>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</si>
  <si>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</si>
  <si>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</si>
  <si>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</si>
  <si>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</si>
  <si>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</si>
  <si>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</si>
  <si>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</si>
  <si>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</si>
  <si>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</si>
  <si>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</si>
  <si>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</si>
  <si>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</si>
  <si>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</si>
  <si>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</si>
  <si>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</si>
  <si>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</si>
  <si>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</si>
  <si>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</si>
  <si>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</si>
  <si>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</si>
  <si>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</si>
  <si>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</si>
  <si>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</si>
  <si>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</si>
  <si>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</si>
  <si>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</si>
  <si>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</si>
  <si>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</si>
  <si>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</si>
  <si>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</si>
  <si>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</si>
  <si>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</si>
  <si>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</si>
  <si>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</si>
  <si>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</si>
  <si>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</si>
  <si>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</si>
  <si>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</si>
  <si>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</si>
  <si>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</si>
  <si>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</si>
  <si>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</si>
  <si>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</si>
  <si>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</si>
  <si>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</si>
  <si>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</si>
  <si>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</si>
  <si>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</si>
  <si>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</si>
  <si>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</si>
  <si>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</si>
  <si>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</si>
  <si>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</si>
  <si>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</si>
  <si>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</si>
  <si>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</si>
  <si>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</si>
  <si>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</si>
  <si>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</si>
  <si>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</si>
  <si>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</si>
  <si>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</si>
  <si>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</si>
  <si>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</si>
  <si>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</si>
  <si>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</si>
  <si>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</si>
  <si>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</si>
  <si>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</si>
  <si>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</si>
  <si>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</si>
  <si>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</si>
  <si>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</si>
  <si>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</si>
  <si>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</si>
  <si>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</si>
  <si>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</si>
  <si>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</si>
  <si>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</si>
  <si>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</si>
  <si>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</si>
  <si>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</si>
  <si>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</si>
  <si>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</si>
  <si>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</si>
  <si>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</si>
  <si>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</si>
  <si>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</si>
  <si>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</si>
  <si>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</si>
  <si>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</si>
  <si>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</si>
  <si>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</si>
  <si>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</si>
  <si>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</si>
  <si>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</si>
  <si>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</si>
  <si>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</si>
  <si>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</si>
  <si>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</si>
  <si>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</si>
  <si>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</si>
  <si>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</si>
  <si>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</si>
  <si>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</si>
  <si>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</si>
  <si>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</si>
  <si>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</si>
  <si>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</si>
  <si>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</si>
  <si>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</si>
  <si>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</si>
  <si>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</si>
  <si>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</si>
  <si>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</si>
  <si>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Detergente 30%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</si>
  <si>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</si>
  <si>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</si>
  <si>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</si>
  <si>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</si>
  <si>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</si>
  <si>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Detergente liquido concentrado</t>
  </si>
  <si>
    <t>FECHA</t>
  </si>
  <si>
    <t>ENTRADA</t>
  </si>
  <si>
    <t>SALIDA</t>
  </si>
  <si>
    <t>OBSERVACION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</si>
  <si>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</si>
  <si>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</si>
  <si>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</si>
  <si>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</si>
  <si>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</si>
  <si>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</si>
  <si>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</si>
  <si>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$3.000</t>
  </si>
  <si>
    <t>$15.000 a $19.999</t>
  </si>
  <si>
    <t>Desde $50.000</t>
  </si>
  <si>
    <t>Envío desde $</t>
  </si>
  <si>
    <t>Política: se cobra un envío proporcional para atraer pedidos; el negocio absorbe la diferencia entre la tarifa y el costo real. La fórmula de precios usa el subsidio del tramo medio ($2.490 de envío).</t>
  </si>
  <si>
    <t>ALTA DE PRODUCTOS</t>
  </si>
  <si>
    <t>LISTAS AUXILIARES — NO EDITAR</t>
  </si>
  <si>
    <t>Completá solo las celdas amarillas. Luego ejecutá: npm run alta-producto. El comando valida, muestra el resumen y pide confirmación antes de escribir.</t>
  </si>
  <si>
    <t>Categorías</t>
  </si>
  <si>
    <t>Subcategorías</t>
  </si>
  <si>
    <t>Prefijos</t>
  </si>
  <si>
    <t>AER</t>
  </si>
  <si>
    <t>GENERADOR 1 — Categoría existente</t>
  </si>
  <si>
    <t>GENERADOR 2 — Categoría nueva</t>
  </si>
  <si>
    <t>APB</t>
  </si>
  <si>
    <t>Producto *</t>
  </si>
  <si>
    <t>APR</t>
  </si>
  <si>
    <t>Categoría *</t>
  </si>
  <si>
    <t>Categoría nueva *</t>
  </si>
  <si>
    <t>AUT</t>
  </si>
  <si>
    <t>Subcategoría *</t>
  </si>
  <si>
    <t>Subcategoría nueva *</t>
  </si>
  <si>
    <t>CBS</t>
  </si>
  <si>
    <t>Presentación</t>
  </si>
  <si>
    <t>Marca</t>
  </si>
  <si>
    <t>CLO</t>
  </si>
  <si>
    <t>Fragancia</t>
  </si>
  <si>
    <t>DAV</t>
  </si>
  <si>
    <t>Prefijo existente *</t>
  </si>
  <si>
    <t>DES</t>
  </si>
  <si>
    <t>Grupo existente</t>
  </si>
  <si>
    <t>¿Crear grupo?</t>
  </si>
  <si>
    <t>DET</t>
  </si>
  <si>
    <t>Variante</t>
  </si>
  <si>
    <t>DPP</t>
  </si>
  <si>
    <t>Código contenido a reutilizar</t>
  </si>
  <si>
    <t>Descripción base *</t>
  </si>
  <si>
    <t>ESP</t>
  </si>
  <si>
    <t>Descripción base nueva</t>
  </si>
  <si>
    <t>Características base *</t>
  </si>
  <si>
    <t>EYE</t>
  </si>
  <si>
    <t>Características base nuevas</t>
  </si>
  <si>
    <t>Costo *</t>
  </si>
  <si>
    <t>JBP</t>
  </si>
  <si>
    <t>¿Usa empaque? *</t>
  </si>
  <si>
    <t>LVA</t>
  </si>
  <si>
    <t>Empaque específico</t>
  </si>
  <si>
    <t>MYG</t>
  </si>
  <si>
    <t>Estado</t>
  </si>
  <si>
    <t>PFA</t>
  </si>
  <si>
    <t>Destacado</t>
  </si>
  <si>
    <t>PPP</t>
  </si>
  <si>
    <t>RJR</t>
  </si>
  <si>
    <t>RPP</t>
  </si>
  <si>
    <t>RESULTADO DEL ÚLTIMO ALTA CONFIRMADO</t>
  </si>
  <si>
    <t>SHA</t>
  </si>
  <si>
    <t>SUA</t>
  </si>
  <si>
    <t>Código</t>
  </si>
  <si>
    <t>Generador</t>
  </si>
  <si>
    <t>TDP</t>
  </si>
  <si>
    <t>Categoría</t>
  </si>
  <si>
    <t>Grupo</t>
  </si>
  <si>
    <t>VAR</t>
  </si>
  <si>
    <t>Subcategoría</t>
  </si>
  <si>
    <t>Contenido</t>
  </si>
  <si>
    <t>Precio estimado</t>
  </si>
  <si>
    <t>Nombre de foto</t>
  </si>
  <si>
    <t>Fecha de alta</t>
  </si>
  <si>
    <t>Notas de uso</t>
  </si>
  <si>
    <t>Generador 1: elegí una categoría y subcategoría existentes. Si reutilizás un grupo o un código de contenido, dejá vacíos los textos nuevos. Generador 2: indicá categoría, subcategoría y textos nuevos. Para una categoría nueva elegí un prefijo que ya exista. Las presentaciones sugeridas son 1L, 5L, 10L, S, M, L y XL; también podés escribir otra. El comando impide duplicados dentro de la misma categoría y subcategoría.</t>
  </si>
  <si>
    <t>King</t>
  </si>
  <si>
    <t>1L</t>
  </si>
  <si>
    <t>Lavandina 1 L</t>
  </si>
  <si>
    <t>CLO004.jpg</t>
  </si>
  <si>
    <t>CLO004</t>
  </si>
  <si>
    <t>Generador 1</t>
  </si>
  <si>
    <t>Papel Simple Hoja Higienico pack de 30 rollos x 80m</t>
  </si>
  <si>
    <t>New Pel</t>
  </si>
  <si>
    <t>VAR010.jpg</t>
  </si>
  <si>
    <t>CNT-228</t>
  </si>
  <si>
    <t>VAR010</t>
  </si>
  <si>
    <t>Papel Simple Hoja Higienico pack de 30 rollos x 30m</t>
  </si>
  <si>
    <t>VAR011.jpg</t>
  </si>
  <si>
    <t>VAR011</t>
  </si>
  <si>
    <t>Papel Doble Hoja Higienico pack de 12 rollos x 30m</t>
  </si>
  <si>
    <t>VAR012.jpg</t>
  </si>
  <si>
    <t>VAR012</t>
  </si>
  <si>
    <t>Papel Doble Hoja Higienico pack de 30 rollos x 30m</t>
  </si>
  <si>
    <t>VAR013.jpg</t>
  </si>
  <si>
    <t>VAR013</t>
  </si>
  <si>
    <t>Papel Triple Hoja Higienico pack de 10 rollos x 30m</t>
  </si>
  <si>
    <t>VAR014.jpg</t>
  </si>
  <si>
    <t>VAR014</t>
  </si>
  <si>
    <t>Papel Bobina  pack de 2 rollos x 400m</t>
  </si>
  <si>
    <t>Generico</t>
  </si>
  <si>
    <t>VAR015.jpg</t>
  </si>
  <si>
    <t>VAR015</t>
  </si>
  <si>
    <t>Papel Jumbo pack de 8 rollos x 200m</t>
  </si>
  <si>
    <t>VAR016.jpg</t>
  </si>
  <si>
    <t>VAR016</t>
  </si>
  <si>
    <t>Papel de cocina pack de 8 rollos x 150m</t>
  </si>
  <si>
    <t>VAR017.jpg</t>
  </si>
  <si>
    <t>VAR017</t>
  </si>
  <si>
    <t>Secador Goma Negra 30 cm</t>
  </si>
  <si>
    <t>Supy</t>
  </si>
  <si>
    <t>TDP009.jpg</t>
  </si>
  <si>
    <t>TDP009</t>
  </si>
  <si>
    <t>Secador Goma Negra 40 cm</t>
  </si>
  <si>
    <t>TDP010.jpg</t>
  </si>
  <si>
    <t>TDP010</t>
  </si>
  <si>
    <t>Secador Goma Negra 50 cm</t>
  </si>
  <si>
    <t>TDP011.jpg</t>
  </si>
  <si>
    <t>TDP011</t>
  </si>
  <si>
    <t>generico</t>
  </si>
  <si>
    <t>Repuesto Secador de piso de madera de 80cm</t>
  </si>
  <si>
    <t>TDP012.jpg</t>
  </si>
  <si>
    <t>TDP012</t>
  </si>
  <si>
    <t>Secador de piso doble goma 41cm</t>
  </si>
  <si>
    <t>TDP013.jpg</t>
  </si>
  <si>
    <t>TDP013</t>
  </si>
  <si>
    <t>Sopapa Negra con cabo</t>
  </si>
  <si>
    <t>APB006.jpg</t>
  </si>
  <si>
    <t>APB006</t>
  </si>
  <si>
    <t>Promo 11 litros</t>
  </si>
  <si>
    <t>Promociones</t>
  </si>
  <si>
    <t>PROM</t>
  </si>
  <si>
    <t>Promo 15 litros_x000D_
Incluye 5 Litros de Lavandina, 5 Litros de desodorante de piso a elección y 1 Litro de detergente</t>
  </si>
  <si>
    <t>PROM004.jpg</t>
  </si>
  <si>
    <t>PROM004</t>
  </si>
  <si>
    <t>CNT-242</t>
  </si>
  <si>
    <t>CNT-229</t>
  </si>
  <si>
    <t>CNT-230</t>
  </si>
  <si>
    <t>CNT-231</t>
  </si>
  <si>
    <t>CNT-232</t>
  </si>
  <si>
    <t>CNT-233</t>
  </si>
  <si>
    <t>CNT-234</t>
  </si>
  <si>
    <t>CNT-235</t>
  </si>
  <si>
    <t>CNT-236</t>
  </si>
  <si>
    <t>CNT-237</t>
  </si>
  <si>
    <t>CNT-238</t>
  </si>
  <si>
    <t>CNT-239</t>
  </si>
  <si>
    <t>CNT-240</t>
  </si>
  <si>
    <t>CNT-241</t>
  </si>
  <si>
    <t>Papel Higiénico New Pel Simple Hoja Bolsón 30 Rollos x 80Mts</t>
  </si>
  <si>
    <t>Hoja simple suave al tacto, cuida tu piel en cada uso. Rollo de 80 metros: mayor rendimiento en cada compra. Pre corte facilita el uso y evita desperdicios. Textura suave para una experiencia agradable y delicada</t>
  </si>
  <si>
    <t>Papel Higiénico New Pel Simple Hoja Bolsón 30 Rollos x 30Mts</t>
  </si>
  <si>
    <t>Hoja simple suave al tacto, cuida tu piel en cada uso. Rollo de 30 metros: mayor rendimiento en cada compra. Pre corte facilita el uso y evita desperdicios. Textura suave para una experiencia agradable y delicada</t>
  </si>
  <si>
    <t>Papel Higiénico New Pel Doble Hoja Bolsón 12 Rollos x 30Mts</t>
  </si>
  <si>
    <t>Hoja doble suave al tacto, cuida tu piel en cada uso. Rollo de 30 metros: mayor rendimiento en cada compra. Pre corte facilita el uso y evita desperdicios. Textura suave para una experiencia agradable y delicada</t>
  </si>
  <si>
    <t>Papel Higiénico New Pel Doble Hoja Bolsón 30 Rollos x 30Mts</t>
  </si>
  <si>
    <t>Papel Higiénico New Pel Triple Hoja Bolsón 10 Rollos x 30Mts</t>
  </si>
  <si>
    <t>Hoja triple suave al tacto, cuida tu piel en cada uso. Rollo de 30 metros: mayor rendimiento en cada compra. Pre corte facilita el uso y evita desperdicios. Textura suave para una experiencia agradable y delicada</t>
  </si>
  <si>
    <t>Rollo de 400 metros: mayor rendimiento en cada compra. Pre corte facilita el uso y evita desperdicios. Textura suave para una experiencia agradable y delicada</t>
  </si>
  <si>
    <t>Pack de 8 Rollos de 200 metros: mayor rendimiento en cada compra. Pre corte facilita el uso y evita desperdicios. Textura suave para una experiencia agradable y delicada</t>
  </si>
  <si>
    <t>Pack de 8 Rollos de 150 metros: mayor rendimiento en cada compra. Pre corte facilita el uso y evita desperdicios. Textura suave para una experiencia agradable y delicada</t>
  </si>
  <si>
    <t>Una herramienta imprescindible para mantener tus espacios limpios y seguros. Con una amplia cobertura y un diseño ergonómico</t>
  </si>
  <si>
    <t>Promo 11 litros con CIF</t>
  </si>
  <si>
    <t>CNT-243</t>
  </si>
  <si>
    <t>11 litros de diferentes productos</t>
  </si>
  <si>
    <t>Promo 11 litros_x000D_
Incluye 5 Litros de Lavandina, 5 Litros de desodorante de piso a elección y 1 Litro de CIF crema</t>
  </si>
  <si>
    <t>PROM005.jpg</t>
  </si>
  <si>
    <t>PROM005</t>
  </si>
  <si>
    <t>Combo 12 litros economico</t>
  </si>
  <si>
    <t>CNT-244</t>
  </si>
  <si>
    <t>12 litros de diferentes productos. Todo para tu hogar</t>
  </si>
  <si>
    <t>Promo 11 litros_x000D_
Incluye 5 Litros de Lavandina, 5 Litros de desodorante de piso a elección, 1 Litro de CIF crema y 1 Litro de Detergente</t>
  </si>
  <si>
    <t>PROM006.jpg</t>
  </si>
  <si>
    <t>PROM006</t>
  </si>
  <si>
    <t>Detergente con Gatillo</t>
  </si>
  <si>
    <t>Detergentes y Lavavajillas</t>
  </si>
  <si>
    <t>Detergente concentrado rinde x2. Presentación: 1 litro con gatillo de resorte</t>
  </si>
  <si>
    <t>CNT-245</t>
  </si>
  <si>
    <t>Detergente concentrado. Ideal para desengrasar y limpiar</t>
  </si>
  <si>
    <t>DET004.jpg</t>
  </si>
  <si>
    <t>DET004</t>
  </si>
  <si>
    <t>Detergente rinde x2</t>
  </si>
  <si>
    <t>CIF con Gatillo</t>
  </si>
  <si>
    <t>CIF o limpiador cremoso. Presentación: 1 litro con gatillo de resorte</t>
  </si>
  <si>
    <t>CNT-246</t>
  </si>
  <si>
    <t>CIF003.jpg</t>
  </si>
  <si>
    <t>CIF003</t>
  </si>
  <si>
    <t>COMBO CIF Y DETERGENTE</t>
  </si>
  <si>
    <t>Esta promo trae: 1 Litro de CIF premium y un 1 litro de Detergente con envase a gatillo ideal para tu cocina y/o baño</t>
  </si>
  <si>
    <t>CNT-247</t>
  </si>
  <si>
    <t>COMBO detergente y cif con gatillo</t>
  </si>
  <si>
    <t>PROM007.jpg</t>
  </si>
  <si>
    <t>PROM007</t>
  </si>
  <si>
    <t>COMBO 12 LITROS CON GATILLO</t>
  </si>
  <si>
    <t xml:space="preserve">Combo 12 litros con gatillo
</t>
  </si>
  <si>
    <t>Esta promo trae: 1 Litro de CIF premium y un 1 litro de Detergente con envase a gatillo ideal para tu cocina y/o baño. 5 litros de desodorante de piso a elección y 5 litros de lavandina</t>
  </si>
  <si>
    <t>CNT-248</t>
  </si>
  <si>
    <t>Combo 12 litros con gatillo</t>
  </si>
  <si>
    <t>PROM008.jpg</t>
  </si>
  <si>
    <t>PROM008</t>
  </si>
  <si>
    <t>23/10/2026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</si>
</sst>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1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  <font>
      <b/>
      <sz val="14"/>
      <color rgb="FFFFFFFF"/>
      <name val="Arial"/>
    </font>
    <font>
      <i/>
      <sz val="10"/>
      <color rgb="FF404040"/>
      <name val="Arial"/>
    </font>
    <font>
      <b/>
      <sz val="11"/>
      <color rgb="FFFFFFFF"/>
      <name val="Arial"/>
    </font>
    <font>
      <b/>
      <sz val="10"/>
      <color rgb="FF404040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b/>
      <sz val="11"/>
      <color rgb="FF1F1F1F"/>
      <name val="Arial"/>
    </font>
    <font>
      <sz val="10"/>
      <color rgb="FF404040"/>
      <name val="Arial"/>
    </font>
    <font>
      <b/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7E3EA"/>
      </left>
      <right style="thin">
        <color rgb="FFD7E3EA"/>
      </right>
      <top style="thin">
        <color rgb="FFD7E3EA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9" fillId="0" borderId="0" xfId="0" applyFont="1"/>
    <xf numFmtId="0" fontId="10" fillId="15" borderId="12" xfId="0" applyFont="1" applyFill="1" applyBorder="1" applyAlignment="1">
      <alignment vertical="top" wrapText="1"/>
    </xf>
    <xf numFmtId="0" fontId="11" fillId="0" borderId="0" xfId="0" applyFont="1"/>
    <xf numFmtId="0" fontId="10" fillId="16" borderId="12" xfId="0" applyFont="1" applyFill="1" applyBorder="1"/>
    <xf numFmtId="0" fontId="12" fillId="16" borderId="12" xfId="0" applyFont="1" applyFill="1" applyBorder="1"/>
    <xf numFmtId="0" fontId="15" fillId="18" borderId="12" xfId="0" applyFont="1" applyFill="1" applyBorder="1"/>
    <xf numFmtId="0" fontId="0" fillId="12" borderId="13" xfId="0" applyFill="1" applyBorder="1" applyAlignment="1">
      <alignment vertical="center"/>
    </xf>
    <xf numFmtId="165" fontId="0" fillId="12" borderId="13" xfId="0" applyNumberFormat="1" applyFill="1" applyBorder="1" applyAlignment="1">
      <alignment vertical="center"/>
    </xf>
    <xf numFmtId="165" fontId="0" fillId="12" borderId="13" xfId="0" applyNumberFormat="1" applyFill="1" applyBorder="1" applyAlignment="1">
      <alignment horizontal="center" vertical="center"/>
    </xf>
    <xf numFmtId="165" fontId="0" fillId="13" borderId="13" xfId="0" applyNumberFormat="1" applyFill="1" applyBorder="1" applyAlignment="1">
      <alignment vertical="center"/>
    </xf>
    <xf numFmtId="10" fontId="0" fillId="13" borderId="13" xfId="0" applyNumberFormat="1" applyFill="1" applyBorder="1" applyAlignment="1">
      <alignment vertical="center"/>
    </xf>
    <xf numFmtId="164" fontId="0" fillId="13" borderId="13" xfId="0" applyNumberFormat="1" applyFill="1" applyBorder="1" applyAlignment="1">
      <alignment vertical="center"/>
    </xf>
    <xf numFmtId="14" fontId="10" fillId="16" borderId="12" xfId="0" applyNumberFormat="1" applyFont="1" applyFill="1" applyBorder="1"/>
    <xf numFmtId="0" fontId="0" fillId="5" borderId="7" xfId="0" applyFill="1" applyBorder="1" applyAlignment="1">
      <alignment wrapText="1"/>
    </xf>
    <xf numFmtId="0" fontId="13" fillId="17" borderId="0" xfId="0" applyFont="1" applyFill="1"/>
    <xf numFmtId="0" fontId="0" fillId="0" borderId="0" xfId="0"/>
    <xf numFmtId="0" fontId="14" fillId="0" borderId="0" xfId="0" applyFont="1" applyAlignment="1">
      <alignment vertical="top" wrapText="1"/>
    </xf>
    <xf numFmtId="0" fontId="6" fillId="14" borderId="0" xfId="0" applyFont="1" applyFill="1" applyAlignment="1">
      <alignment horizontal="left" vertical="center"/>
    </xf>
    <xf numFmtId="0" fontId="7" fillId="0" borderId="0" xfId="0" applyFont="1" applyAlignment="1">
      <alignment vertical="center" wrapText="1"/>
    </xf>
    <xf numFmtId="0" fontId="8" fillId="14" borderId="0" xfId="0" applyFont="1" applyFill="1" applyAlignment="1">
      <alignment vertical="center"/>
    </xf>
    <xf numFmtId="0" fontId="8" fillId="14" borderId="0" xfId="0" applyFont="1" applyFill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28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74" totalsRowShown="0">
  <autoFilter ref="A14:L274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28"/>
  <sheetViews>
    <sheetView showGridLines="0" topLeftCell="N120" zoomScale="85" zoomScaleNormal="85" workbookViewId="0">
      <selection activeCell="R139" sqref="R139"/>
    </sheetView>
  </sheetViews>
  <sheetFormatPr defaultRowHeight="13.8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</row>
    <row r="2" spans="1:21" ht="31.95" customHeigh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</row>
    <row r="4" spans="1:21" ht="34.049999999999997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Detergentes y Lavavajillas</v>
      </c>
      <c r="J6" s="6" t="s">
        <v>27</v>
      </c>
      <c r="K6" s="6" t="s">
        <v>39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38</v>
      </c>
      <c r="I7" s="13" t="str">
        <f>IFERROR(VLOOKUP(H7,CATÁLOGOS!$F$6:$H$305,3,FALSE),"")</f>
        <v>Detergentes y Lavavajillas</v>
      </c>
      <c r="J7" s="6" t="s">
        <v>27</v>
      </c>
      <c r="K7" s="6" t="s">
        <v>44</v>
      </c>
      <c r="L7" s="6" t="s">
        <v>29</v>
      </c>
      <c r="M7" s="6" t="s">
        <v>30</v>
      </c>
      <c r="N7" s="6" t="s">
        <v>45</v>
      </c>
      <c r="O7" s="6" t="s">
        <v>46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47</v>
      </c>
      <c r="B8" s="6" t="s">
        <v>48</v>
      </c>
      <c r="C8" s="6" t="s">
        <v>48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38</v>
      </c>
      <c r="I8" s="13" t="str">
        <f>IFERROR(VLOOKUP(H8,CATÁLOGOS!$F$6:$H$305,3,FALSE),"")</f>
        <v>Detergentes y Lavavajillas</v>
      </c>
      <c r="J8" s="6" t="s">
        <v>27</v>
      </c>
      <c r="K8" s="6" t="s">
        <v>49</v>
      </c>
      <c r="L8" s="6"/>
      <c r="M8" s="6" t="s">
        <v>30</v>
      </c>
      <c r="N8" s="6" t="s">
        <v>50</v>
      </c>
      <c r="O8" s="6" t="s">
        <v>51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52</v>
      </c>
      <c r="B9" s="6" t="s">
        <v>53</v>
      </c>
      <c r="C9" s="6" t="s">
        <v>53</v>
      </c>
      <c r="D9" s="6"/>
      <c r="E9" s="6"/>
      <c r="F9" s="6" t="s">
        <v>54</v>
      </c>
      <c r="G9" s="13" t="str">
        <f>IFERROR(VLOOKUP(F9,CATÁLOGOS!$A$6:$B$105,2,FALSE),"")</f>
        <v>👕 Ropa y lavado</v>
      </c>
      <c r="H9" s="6" t="s">
        <v>55</v>
      </c>
      <c r="I9" s="13" t="str">
        <f>IFERROR(VLOOKUP(H9,CATÁLOGOS!$F$6:$H$305,3,FALSE),"")</f>
        <v>Suavizante</v>
      </c>
      <c r="J9" s="6" t="s">
        <v>27</v>
      </c>
      <c r="K9" s="6" t="s">
        <v>56</v>
      </c>
      <c r="L9" s="6" t="s">
        <v>57</v>
      </c>
      <c r="M9" s="6" t="s">
        <v>30</v>
      </c>
      <c r="N9" s="6" t="s">
        <v>58</v>
      </c>
      <c r="O9" s="6" t="s">
        <v>59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60</v>
      </c>
      <c r="B10" s="6" t="s">
        <v>61</v>
      </c>
      <c r="C10" s="6" t="s">
        <v>61</v>
      </c>
      <c r="D10" s="6"/>
      <c r="E10" s="6"/>
      <c r="F10" s="6" t="s">
        <v>54</v>
      </c>
      <c r="G10" s="13" t="str">
        <f>IFERROR(VLOOKUP(F10,CATÁLOGOS!$A$6:$B$105,2,FALSE),"")</f>
        <v>👕 Ropa y lavado</v>
      </c>
      <c r="H10" s="6" t="s">
        <v>62</v>
      </c>
      <c r="I10" s="13" t="str">
        <f>IFERROR(VLOOKUP(H10,CATÁLOGOS!$F$6:$H$305,3,FALSE),"")</f>
        <v>Tradicional</v>
      </c>
      <c r="J10" s="6" t="s">
        <v>27</v>
      </c>
      <c r="K10" s="6" t="s">
        <v>63</v>
      </c>
      <c r="L10" s="6" t="s">
        <v>64</v>
      </c>
      <c r="M10" s="6" t="s">
        <v>30</v>
      </c>
      <c r="N10" s="6" t="s">
        <v>65</v>
      </c>
      <c r="O10" s="6" t="s">
        <v>66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67</v>
      </c>
      <c r="B11" s="6" t="s">
        <v>68</v>
      </c>
      <c r="C11" s="6" t="s">
        <v>68</v>
      </c>
      <c r="D11" s="6"/>
      <c r="E11" s="6"/>
      <c r="F11" s="6" t="s">
        <v>54</v>
      </c>
      <c r="G11" s="13" t="str">
        <f>IFERROR(VLOOKUP(F11,CATÁLOGOS!$A$6:$B$105,2,FALSE),"")</f>
        <v>👕 Ropa y lavado</v>
      </c>
      <c r="H11" s="6" t="s">
        <v>62</v>
      </c>
      <c r="I11" s="13" t="str">
        <f>IFERROR(VLOOKUP(H11,CATÁLOGOS!$F$6:$H$305,3,FALSE),"")</f>
        <v>Tradicional</v>
      </c>
      <c r="J11" s="6" t="s">
        <v>69</v>
      </c>
      <c r="K11" s="6" t="s">
        <v>70</v>
      </c>
      <c r="L11" s="6"/>
      <c r="M11" s="6" t="s">
        <v>71</v>
      </c>
      <c r="N11" s="6" t="s">
        <v>72</v>
      </c>
      <c r="O11" s="6" t="s">
        <v>73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74</v>
      </c>
      <c r="B12" s="6" t="s">
        <v>75</v>
      </c>
      <c r="C12" s="6" t="s">
        <v>75</v>
      </c>
      <c r="D12" s="6"/>
      <c r="E12" s="6"/>
      <c r="F12" s="6" t="s">
        <v>76</v>
      </c>
      <c r="G12" s="13" t="str">
        <f>IFERROR(VLOOKUP(F12,CATÁLOGOS!$A$6:$B$105,2,FALSE),"")</f>
        <v>🌸 Aromas y fragancias</v>
      </c>
      <c r="H12" s="6" t="s">
        <v>77</v>
      </c>
      <c r="I12" s="13" t="str">
        <f>IFERROR(VLOOKUP(H12,CATÁLOGOS!$F$6:$H$305,3,FALSE),"")</f>
        <v>Perfumes para ropa</v>
      </c>
      <c r="J12" s="6" t="s">
        <v>27</v>
      </c>
      <c r="K12" s="6" t="s">
        <v>78</v>
      </c>
      <c r="L12" s="6" t="s">
        <v>79</v>
      </c>
      <c r="M12" s="6" t="s">
        <v>80</v>
      </c>
      <c r="N12" s="6" t="s">
        <v>81</v>
      </c>
      <c r="O12" s="6" t="s">
        <v>82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83</v>
      </c>
      <c r="B13" s="6" t="s">
        <v>84</v>
      </c>
      <c r="C13" s="6" t="s">
        <v>84</v>
      </c>
      <c r="D13" s="6"/>
      <c r="E13" s="6"/>
      <c r="F13" s="6" t="s">
        <v>76</v>
      </c>
      <c r="G13" s="13" t="str">
        <f>IFERROR(VLOOKUP(F13,CATÁLOGOS!$A$6:$B$105,2,FALSE),"")</f>
        <v>🌸 Aromas y fragancias</v>
      </c>
      <c r="H13" s="6" t="s">
        <v>77</v>
      </c>
      <c r="I13" s="13" t="str">
        <f>IFERROR(VLOOKUP(H13,CATÁLOGOS!$F$6:$H$305,3,FALSE),"")</f>
        <v>Perfumes para ropa</v>
      </c>
      <c r="J13" s="6" t="s">
        <v>27</v>
      </c>
      <c r="K13" s="6" t="s">
        <v>85</v>
      </c>
      <c r="L13" s="6" t="s">
        <v>79</v>
      </c>
      <c r="M13" s="6" t="s">
        <v>30</v>
      </c>
      <c r="N13" s="6" t="s">
        <v>86</v>
      </c>
      <c r="O13" s="6" t="s">
        <v>87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88</v>
      </c>
      <c r="B14" s="6" t="s">
        <v>89</v>
      </c>
      <c r="C14" s="6" t="s">
        <v>89</v>
      </c>
      <c r="D14" s="6"/>
      <c r="E14" s="6"/>
      <c r="F14" s="6" t="s">
        <v>90</v>
      </c>
      <c r="G14" s="13" t="str">
        <f>IFERROR(VLOOKUP(F14,CATÁLOGOS!$A$6:$B$105,2,FALSE),"")</f>
        <v>🦠 Desinfección y limpieza</v>
      </c>
      <c r="H14" s="6" t="s">
        <v>91</v>
      </c>
      <c r="I14" s="13" t="str">
        <f>IFERROR(VLOOKUP(H14,CATÁLOGOS!$F$6:$H$305,3,FALSE),"")</f>
        <v>Desengrasantes</v>
      </c>
      <c r="J14" s="6" t="s">
        <v>27</v>
      </c>
      <c r="K14" s="6" t="s">
        <v>92</v>
      </c>
      <c r="L14" s="6"/>
      <c r="M14" s="6" t="s">
        <v>30</v>
      </c>
      <c r="N14" s="6" t="s">
        <v>93</v>
      </c>
      <c r="O14" s="6" t="s">
        <v>94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95</v>
      </c>
      <c r="B15" s="6" t="s">
        <v>96</v>
      </c>
      <c r="C15" s="6" t="s">
        <v>96</v>
      </c>
      <c r="D15" s="6"/>
      <c r="E15" s="6"/>
      <c r="F15" s="6" t="s">
        <v>90</v>
      </c>
      <c r="G15" s="13" t="str">
        <f>IFERROR(VLOOKUP(F15,CATÁLOGOS!$A$6:$B$105,2,FALSE),"")</f>
        <v>🦠 Desinfección y limpieza</v>
      </c>
      <c r="H15" s="6" t="s">
        <v>91</v>
      </c>
      <c r="I15" s="13" t="str">
        <f>IFERROR(VLOOKUP(H15,CATÁLOGOS!$F$6:$H$305,3,FALSE),"")</f>
        <v>Desengrasantes</v>
      </c>
      <c r="J15" s="6" t="s">
        <v>27</v>
      </c>
      <c r="K15" s="6" t="s">
        <v>97</v>
      </c>
      <c r="L15" s="6"/>
      <c r="M15" s="6" t="s">
        <v>30</v>
      </c>
      <c r="N15" s="6" t="s">
        <v>98</v>
      </c>
      <c r="O15" s="6" t="s">
        <v>99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100</v>
      </c>
      <c r="B16" s="6" t="s">
        <v>101</v>
      </c>
      <c r="C16" s="6" t="s">
        <v>101</v>
      </c>
      <c r="D16" s="6"/>
      <c r="E16" s="6"/>
      <c r="F16" s="6" t="s">
        <v>90</v>
      </c>
      <c r="G16" s="13" t="str">
        <f>IFERROR(VLOOKUP(F16,CATÁLOGOS!$A$6:$B$105,2,FALSE),"")</f>
        <v>🦠 Desinfección y limpieza</v>
      </c>
      <c r="H16" s="6" t="s">
        <v>91</v>
      </c>
      <c r="I16" s="13" t="str">
        <f>IFERROR(VLOOKUP(H16,CATÁLOGOS!$F$6:$H$305,3,FALSE),"")</f>
        <v>Desengrasantes</v>
      </c>
      <c r="J16" s="6" t="s">
        <v>27</v>
      </c>
      <c r="K16" s="6" t="s">
        <v>102</v>
      </c>
      <c r="L16" s="6"/>
      <c r="M16" s="6" t="s">
        <v>30</v>
      </c>
      <c r="N16" s="6" t="s">
        <v>103</v>
      </c>
      <c r="O16" s="6" t="s">
        <v>104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105</v>
      </c>
      <c r="B17" s="6" t="s">
        <v>106</v>
      </c>
      <c r="C17" s="6" t="s">
        <v>106</v>
      </c>
      <c r="D17" s="6"/>
      <c r="E17" s="6"/>
      <c r="F17" s="6" t="s">
        <v>90</v>
      </c>
      <c r="G17" s="13" t="str">
        <f>IFERROR(VLOOKUP(F17,CATÁLOGOS!$A$6:$B$105,2,FALSE),"")</f>
        <v>🦠 Desinfección y limpieza</v>
      </c>
      <c r="H17" s="6" t="s">
        <v>91</v>
      </c>
      <c r="I17" s="13" t="str">
        <f>IFERROR(VLOOKUP(H17,CATÁLOGOS!$F$6:$H$305,3,FALSE),"")</f>
        <v>Desengrasantes</v>
      </c>
      <c r="J17" s="6" t="s">
        <v>27</v>
      </c>
      <c r="K17" s="6" t="s">
        <v>107</v>
      </c>
      <c r="L17" s="6"/>
      <c r="M17" s="6" t="s">
        <v>30</v>
      </c>
      <c r="N17" s="6" t="s">
        <v>108</v>
      </c>
      <c r="O17" s="6" t="s">
        <v>109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110</v>
      </c>
      <c r="B18" s="6" t="s">
        <v>111</v>
      </c>
      <c r="C18" s="6" t="s">
        <v>111</v>
      </c>
      <c r="D18" s="6"/>
      <c r="E18" s="6"/>
      <c r="F18" s="6" t="s">
        <v>90</v>
      </c>
      <c r="G18" s="13" t="str">
        <f>IFERROR(VLOOKUP(F18,CATÁLOGOS!$A$6:$B$105,2,FALSE),"")</f>
        <v>🦠 Desinfección y limpieza</v>
      </c>
      <c r="H18" s="6" t="s">
        <v>91</v>
      </c>
      <c r="I18" s="13" t="str">
        <f>IFERROR(VLOOKUP(H18,CATÁLOGOS!$F$6:$H$305,3,FALSE),"")</f>
        <v>Desengrasantes</v>
      </c>
      <c r="J18" s="6" t="s">
        <v>27</v>
      </c>
      <c r="K18" s="6" t="s">
        <v>112</v>
      </c>
      <c r="L18" s="6"/>
      <c r="M18" s="6" t="s">
        <v>30</v>
      </c>
      <c r="N18" s="6" t="s">
        <v>113</v>
      </c>
      <c r="O18" s="6" t="s">
        <v>114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115</v>
      </c>
      <c r="B19" s="6" t="s">
        <v>116</v>
      </c>
      <c r="C19" s="6" t="s">
        <v>116</v>
      </c>
      <c r="D19" s="6"/>
      <c r="E19" s="6"/>
      <c r="F19" s="6" t="s">
        <v>117</v>
      </c>
      <c r="G19" s="13" t="str">
        <f>IFERROR(VLOOKUP(F19,CATÁLOGOS!$A$6:$B$105,2,FALSE),"")</f>
        <v>🧰 Accesorios y equipamiento</v>
      </c>
      <c r="H19" s="6" t="s">
        <v>118</v>
      </c>
      <c r="I19" s="13" t="str">
        <f>IFERROR(VLOOKUP(H19,CATÁLOGOS!$F$6:$H$305,3,FALSE),"")</f>
        <v>Rejillas y repasadores</v>
      </c>
      <c r="J19" s="6" t="s">
        <v>27</v>
      </c>
      <c r="K19" s="6" t="s">
        <v>119</v>
      </c>
      <c r="L19" s="6"/>
      <c r="M19" s="6" t="s">
        <v>120</v>
      </c>
      <c r="N19" s="6" t="s">
        <v>121</v>
      </c>
      <c r="O19" s="6" t="s">
        <v>122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123</v>
      </c>
      <c r="B20" s="6" t="s">
        <v>124</v>
      </c>
      <c r="C20" s="6" t="s">
        <v>124</v>
      </c>
      <c r="D20" s="6"/>
      <c r="E20" s="6"/>
      <c r="F20" s="6" t="s">
        <v>117</v>
      </c>
      <c r="G20" s="13" t="str">
        <f>IFERROR(VLOOKUP(F20,CATÁLOGOS!$A$6:$B$105,2,FALSE),"")</f>
        <v>🧰 Accesorios y equipamiento</v>
      </c>
      <c r="H20" s="6" t="s">
        <v>118</v>
      </c>
      <c r="I20" s="13" t="str">
        <f>IFERROR(VLOOKUP(H20,CATÁLOGOS!$F$6:$H$305,3,FALSE),"")</f>
        <v>Rejillas y repasadores</v>
      </c>
      <c r="J20" s="6" t="s">
        <v>27</v>
      </c>
      <c r="K20" s="6" t="s">
        <v>125</v>
      </c>
      <c r="L20" s="6"/>
      <c r="M20" s="6" t="s">
        <v>120</v>
      </c>
      <c r="N20" s="6" t="s">
        <v>126</v>
      </c>
      <c r="O20" s="6" t="s">
        <v>127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128</v>
      </c>
      <c r="B21" s="6" t="s">
        <v>129</v>
      </c>
      <c r="C21" s="6" t="s">
        <v>129</v>
      </c>
      <c r="D21" s="6"/>
      <c r="E21" s="6"/>
      <c r="F21" s="6" t="s">
        <v>117</v>
      </c>
      <c r="G21" s="13" t="str">
        <f>IFERROR(VLOOKUP(F21,CATÁLOGOS!$A$6:$B$105,2,FALSE),"")</f>
        <v>🧰 Accesorios y equipamiento</v>
      </c>
      <c r="H21" s="6" t="s">
        <v>118</v>
      </c>
      <c r="I21" s="13" t="str">
        <f>IFERROR(VLOOKUP(H21,CATÁLOGOS!$F$6:$H$305,3,FALSE),"")</f>
        <v>Rejillas y repasadores</v>
      </c>
      <c r="J21" s="6" t="s">
        <v>27</v>
      </c>
      <c r="K21" s="6" t="s">
        <v>130</v>
      </c>
      <c r="L21" s="6"/>
      <c r="M21" s="6" t="s">
        <v>120</v>
      </c>
      <c r="N21" s="6" t="s">
        <v>131</v>
      </c>
      <c r="O21" s="6" t="s">
        <v>132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133</v>
      </c>
      <c r="B22" s="6" t="s">
        <v>134</v>
      </c>
      <c r="C22" s="6" t="s">
        <v>134</v>
      </c>
      <c r="D22" s="6" t="s">
        <v>135</v>
      </c>
      <c r="E22" s="6" t="s">
        <v>136</v>
      </c>
      <c r="F22" s="6" t="s">
        <v>117</v>
      </c>
      <c r="G22" s="13" t="str">
        <f>IFERROR(VLOOKUP(F22,CATÁLOGOS!$A$6:$B$105,2,FALSE),"")</f>
        <v>🧰 Accesorios y equipamiento</v>
      </c>
      <c r="H22" s="6" t="s">
        <v>118</v>
      </c>
      <c r="I22" s="13" t="str">
        <f>IFERROR(VLOOKUP(H22,CATÁLOGOS!$F$6:$H$305,3,FALSE),"")</f>
        <v>Rejillas y repasadores</v>
      </c>
      <c r="J22" s="6" t="s">
        <v>27</v>
      </c>
      <c r="K22" s="6" t="s">
        <v>137</v>
      </c>
      <c r="L22" s="6"/>
      <c r="M22" s="6" t="s">
        <v>120</v>
      </c>
      <c r="N22" s="6" t="s">
        <v>138</v>
      </c>
      <c r="O22" s="6" t="s">
        <v>139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140</v>
      </c>
      <c r="B23" s="6" t="s">
        <v>141</v>
      </c>
      <c r="C23" s="6" t="s">
        <v>141</v>
      </c>
      <c r="D23" s="6"/>
      <c r="E23" s="6"/>
      <c r="F23" s="6" t="s">
        <v>117</v>
      </c>
      <c r="G23" s="13" t="str">
        <f>IFERROR(VLOOKUP(F23,CATÁLOGOS!$A$6:$B$105,2,FALSE),"")</f>
        <v>🧰 Accesorios y equipamiento</v>
      </c>
      <c r="H23" s="6" t="s">
        <v>118</v>
      </c>
      <c r="I23" s="13" t="str">
        <f>IFERROR(VLOOKUP(H23,CATÁLOGOS!$F$6:$H$305,3,FALSE),"")</f>
        <v>Rejillas y repasadores</v>
      </c>
      <c r="J23" s="6" t="s">
        <v>27</v>
      </c>
      <c r="K23" s="6" t="s">
        <v>142</v>
      </c>
      <c r="L23" s="6"/>
      <c r="M23" s="6" t="s">
        <v>120</v>
      </c>
      <c r="N23" s="6" t="s">
        <v>143</v>
      </c>
      <c r="O23" s="6" t="s">
        <v>144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145</v>
      </c>
      <c r="B24" s="6" t="s">
        <v>146</v>
      </c>
      <c r="C24" s="6" t="s">
        <v>146</v>
      </c>
      <c r="D24" s="6" t="s">
        <v>135</v>
      </c>
      <c r="E24" s="6" t="s">
        <v>147</v>
      </c>
      <c r="F24" s="6" t="s">
        <v>117</v>
      </c>
      <c r="G24" s="13" t="str">
        <f>IFERROR(VLOOKUP(F24,CATÁLOGOS!$A$6:$B$105,2,FALSE),"")</f>
        <v>🧰 Accesorios y equipamiento</v>
      </c>
      <c r="H24" s="6" t="s">
        <v>118</v>
      </c>
      <c r="I24" s="13" t="str">
        <f>IFERROR(VLOOKUP(H24,CATÁLOGOS!$F$6:$H$305,3,FALSE),"")</f>
        <v>Rejillas y repasadores</v>
      </c>
      <c r="J24" s="6" t="s">
        <v>27</v>
      </c>
      <c r="K24" s="6" t="s">
        <v>137</v>
      </c>
      <c r="L24" s="6"/>
      <c r="M24" s="6" t="s">
        <v>120</v>
      </c>
      <c r="N24" s="6" t="s">
        <v>148</v>
      </c>
      <c r="O24" s="6" t="s">
        <v>139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149</v>
      </c>
      <c r="B25" s="6" t="s">
        <v>150</v>
      </c>
      <c r="C25" s="6" t="s">
        <v>150</v>
      </c>
      <c r="D25" s="6" t="s">
        <v>135</v>
      </c>
      <c r="E25" s="6" t="s">
        <v>151</v>
      </c>
      <c r="F25" s="6" t="s">
        <v>117</v>
      </c>
      <c r="G25" s="13" t="str">
        <f>IFERROR(VLOOKUP(F25,CATÁLOGOS!$A$6:$B$105,2,FALSE),"")</f>
        <v>🧰 Accesorios y equipamiento</v>
      </c>
      <c r="H25" s="6" t="s">
        <v>118</v>
      </c>
      <c r="I25" s="13" t="str">
        <f>IFERROR(VLOOKUP(H25,CATÁLOGOS!$F$6:$H$305,3,FALSE),"")</f>
        <v>Rejillas y repasadores</v>
      </c>
      <c r="J25" s="6" t="s">
        <v>27</v>
      </c>
      <c r="K25" s="6" t="s">
        <v>137</v>
      </c>
      <c r="L25" s="6"/>
      <c r="M25" s="6" t="s">
        <v>120</v>
      </c>
      <c r="N25" s="6" t="s">
        <v>152</v>
      </c>
      <c r="O25" s="6" t="s">
        <v>139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153</v>
      </c>
      <c r="B26" s="6" t="s">
        <v>154</v>
      </c>
      <c r="C26" s="6" t="s">
        <v>154</v>
      </c>
      <c r="D26" s="6" t="s">
        <v>155</v>
      </c>
      <c r="E26" s="6" t="s">
        <v>151</v>
      </c>
      <c r="F26" s="6" t="s">
        <v>117</v>
      </c>
      <c r="G26" s="13" t="str">
        <f>IFERROR(VLOOKUP(F26,CATÁLOGOS!$A$6:$B$105,2,FALSE),"")</f>
        <v>🧰 Accesorios y equipamiento</v>
      </c>
      <c r="H26" s="6" t="s">
        <v>118</v>
      </c>
      <c r="I26" s="13" t="str">
        <f>IFERROR(VLOOKUP(H26,CATÁLOGOS!$F$6:$H$305,3,FALSE),"")</f>
        <v>Rejillas y repasadores</v>
      </c>
      <c r="J26" s="6" t="s">
        <v>27</v>
      </c>
      <c r="K26" s="6" t="s">
        <v>156</v>
      </c>
      <c r="L26" s="6"/>
      <c r="M26" s="6" t="s">
        <v>120</v>
      </c>
      <c r="N26" s="6" t="s">
        <v>157</v>
      </c>
      <c r="O26" s="6" t="s">
        <v>158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159</v>
      </c>
      <c r="B27" s="6" t="s">
        <v>160</v>
      </c>
      <c r="C27" s="6" t="s">
        <v>160</v>
      </c>
      <c r="D27" s="6" t="s">
        <v>155</v>
      </c>
      <c r="E27" s="6" t="s">
        <v>147</v>
      </c>
      <c r="F27" s="6" t="s">
        <v>117</v>
      </c>
      <c r="G27" s="13" t="str">
        <f>IFERROR(VLOOKUP(F27,CATÁLOGOS!$A$6:$B$105,2,FALSE),"")</f>
        <v>🧰 Accesorios y equipamiento</v>
      </c>
      <c r="H27" s="6" t="s">
        <v>118</v>
      </c>
      <c r="I27" s="13" t="str">
        <f>IFERROR(VLOOKUP(H27,CATÁLOGOS!$F$6:$H$305,3,FALSE),"")</f>
        <v>Rejillas y repasadores</v>
      </c>
      <c r="J27" s="6" t="s">
        <v>161</v>
      </c>
      <c r="K27" s="6" t="s">
        <v>156</v>
      </c>
      <c r="L27" s="6"/>
      <c r="M27" s="6" t="s">
        <v>120</v>
      </c>
      <c r="N27" s="6" t="s">
        <v>162</v>
      </c>
      <c r="O27" s="6" t="s">
        <v>163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164</v>
      </c>
      <c r="B28" s="6" t="s">
        <v>165</v>
      </c>
      <c r="C28" s="6" t="s">
        <v>166</v>
      </c>
      <c r="D28" s="6"/>
      <c r="E28" s="6"/>
      <c r="F28" s="6" t="s">
        <v>117</v>
      </c>
      <c r="G28" s="13" t="str">
        <f>IFERROR(VLOOKUP(F28,CATÁLOGOS!$A$6:$B$105,2,FALSE),"")</f>
        <v>🧰 Accesorios y equipamiento</v>
      </c>
      <c r="H28" s="6" t="s">
        <v>118</v>
      </c>
      <c r="I28" s="13" t="str">
        <f>IFERROR(VLOOKUP(H28,CATÁLOGOS!$F$6:$H$305,3,FALSE),"")</f>
        <v>Rejillas y repasadores</v>
      </c>
      <c r="J28" s="6" t="s">
        <v>27</v>
      </c>
      <c r="K28" s="6" t="s">
        <v>167</v>
      </c>
      <c r="L28" s="6"/>
      <c r="M28" s="6" t="s">
        <v>120</v>
      </c>
      <c r="N28" s="6" t="s">
        <v>168</v>
      </c>
      <c r="O28" s="6" t="s">
        <v>169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170</v>
      </c>
      <c r="B29" s="6" t="s">
        <v>166</v>
      </c>
      <c r="C29" s="6" t="s">
        <v>171</v>
      </c>
      <c r="D29" s="6"/>
      <c r="E29" s="6"/>
      <c r="F29" s="6" t="s">
        <v>117</v>
      </c>
      <c r="G29" s="13" t="str">
        <f>IFERROR(VLOOKUP(F29,CATÁLOGOS!$A$6:$B$105,2,FALSE),"")</f>
        <v>🧰 Accesorios y equipamiento</v>
      </c>
      <c r="H29" s="6" t="s">
        <v>118</v>
      </c>
      <c r="I29" s="13" t="str">
        <f>IFERROR(VLOOKUP(H29,CATÁLOGOS!$F$6:$H$305,3,FALSE),"")</f>
        <v>Rejillas y repasadores</v>
      </c>
      <c r="J29" s="6" t="s">
        <v>27</v>
      </c>
      <c r="K29" s="6" t="s">
        <v>167</v>
      </c>
      <c r="L29" s="6"/>
      <c r="M29" s="6" t="s">
        <v>120</v>
      </c>
      <c r="N29" s="6" t="s">
        <v>172</v>
      </c>
      <c r="O29" s="6" t="s">
        <v>169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173</v>
      </c>
      <c r="B30" s="6" t="s">
        <v>171</v>
      </c>
      <c r="C30" s="6" t="s">
        <v>174</v>
      </c>
      <c r="D30" s="6" t="s">
        <v>155</v>
      </c>
      <c r="E30" s="6" t="s">
        <v>136</v>
      </c>
      <c r="F30" s="6" t="s">
        <v>117</v>
      </c>
      <c r="G30" s="13" t="str">
        <f>IFERROR(VLOOKUP(F30,CATÁLOGOS!$A$6:$B$105,2,FALSE),"")</f>
        <v>🧰 Accesorios y equipamiento</v>
      </c>
      <c r="H30" s="6" t="s">
        <v>118</v>
      </c>
      <c r="I30" s="13" t="str">
        <f>IFERROR(VLOOKUP(H30,CATÁLOGOS!$F$6:$H$305,3,FALSE),"")</f>
        <v>Rejillas y repasadores</v>
      </c>
      <c r="J30" s="6" t="s">
        <v>27</v>
      </c>
      <c r="K30" s="6" t="s">
        <v>156</v>
      </c>
      <c r="L30" s="6"/>
      <c r="M30" s="6" t="s">
        <v>120</v>
      </c>
      <c r="N30" s="6" t="s">
        <v>175</v>
      </c>
      <c r="O30" s="6" t="s">
        <v>158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176</v>
      </c>
      <c r="B31" s="6" t="s">
        <v>174</v>
      </c>
      <c r="C31" s="6" t="s">
        <v>177</v>
      </c>
      <c r="D31" s="6"/>
      <c r="E31" s="6"/>
      <c r="F31" s="6" t="s">
        <v>117</v>
      </c>
      <c r="G31" s="13" t="str">
        <f>IFERROR(VLOOKUP(F31,CATÁLOGOS!$A$6:$B$105,2,FALSE),"")</f>
        <v>🧰 Accesorios y equipamiento</v>
      </c>
      <c r="H31" s="6" t="s">
        <v>118</v>
      </c>
      <c r="I31" s="13" t="str">
        <f>IFERROR(VLOOKUP(H31,CATÁLOGOS!$F$6:$H$305,3,FALSE),"")</f>
        <v>Rejillas y repasadores</v>
      </c>
      <c r="J31" s="6" t="s">
        <v>27</v>
      </c>
      <c r="K31" s="6" t="s">
        <v>178</v>
      </c>
      <c r="L31" s="6"/>
      <c r="M31" s="6" t="s">
        <v>120</v>
      </c>
      <c r="N31" s="6" t="s">
        <v>179</v>
      </c>
      <c r="O31" s="6" t="s">
        <v>180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181</v>
      </c>
      <c r="B32" s="6" t="s">
        <v>177</v>
      </c>
      <c r="C32" s="6" t="s">
        <v>182</v>
      </c>
      <c r="D32" s="6"/>
      <c r="E32" s="6"/>
      <c r="F32" s="6" t="s">
        <v>117</v>
      </c>
      <c r="G32" s="13" t="str">
        <f>IFERROR(VLOOKUP(F32,CATÁLOGOS!$A$6:$B$105,2,FALSE),"")</f>
        <v>🧰 Accesorios y equipamiento</v>
      </c>
      <c r="H32" s="6" t="s">
        <v>118</v>
      </c>
      <c r="I32" s="13" t="str">
        <f>IFERROR(VLOOKUP(H32,CATÁLOGOS!$F$6:$H$305,3,FALSE),"")</f>
        <v>Rejillas y repasadores</v>
      </c>
      <c r="J32" s="6" t="s">
        <v>27</v>
      </c>
      <c r="K32" s="6" t="s">
        <v>178</v>
      </c>
      <c r="L32" s="6"/>
      <c r="M32" s="6" t="s">
        <v>120</v>
      </c>
      <c r="N32" s="6" t="s">
        <v>183</v>
      </c>
      <c r="O32" s="6" t="s">
        <v>180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184</v>
      </c>
      <c r="B33" s="6" t="s">
        <v>185</v>
      </c>
      <c r="C33" s="6" t="s">
        <v>185</v>
      </c>
      <c r="D33" s="6"/>
      <c r="E33" s="6"/>
      <c r="F33" s="6" t="s">
        <v>117</v>
      </c>
      <c r="G33" s="13" t="str">
        <f>IFERROR(VLOOKUP(F33,CATÁLOGOS!$A$6:$B$105,2,FALSE),"")</f>
        <v>🧰 Accesorios y equipamiento</v>
      </c>
      <c r="H33" s="6" t="s">
        <v>118</v>
      </c>
      <c r="I33" s="13" t="str">
        <f>IFERROR(VLOOKUP(H33,CATÁLOGOS!$F$6:$H$305,3,FALSE),"")</f>
        <v>Rejillas y repasadores</v>
      </c>
      <c r="J33" s="6" t="s">
        <v>27</v>
      </c>
      <c r="K33" s="6" t="s">
        <v>186</v>
      </c>
      <c r="L33" s="6"/>
      <c r="M33" s="6" t="s">
        <v>120</v>
      </c>
      <c r="N33" s="6" t="s">
        <v>187</v>
      </c>
      <c r="O33" s="6" t="s">
        <v>188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189</v>
      </c>
      <c r="B34" s="6" t="s">
        <v>190</v>
      </c>
      <c r="C34" s="6" t="s">
        <v>190</v>
      </c>
      <c r="D34" s="6"/>
      <c r="E34" s="6"/>
      <c r="F34" s="6" t="s">
        <v>117</v>
      </c>
      <c r="G34" s="13" t="str">
        <f>IFERROR(VLOOKUP(F34,CATÁLOGOS!$A$6:$B$105,2,FALSE),"")</f>
        <v>🧰 Accesorios y equipamiento</v>
      </c>
      <c r="H34" s="6" t="s">
        <v>191</v>
      </c>
      <c r="I34" s="13" t="str">
        <f>IFERROR(VLOOKUP(H34,CATÁLOGOS!$F$6:$H$305,3,FALSE),"")</f>
        <v>Trapos de piso</v>
      </c>
      <c r="J34" s="6" t="s">
        <v>27</v>
      </c>
      <c r="K34" s="6" t="s">
        <v>192</v>
      </c>
      <c r="L34" s="6"/>
      <c r="M34" s="6" t="s">
        <v>120</v>
      </c>
      <c r="N34" s="6" t="s">
        <v>193</v>
      </c>
      <c r="O34" s="6" t="s">
        <v>194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195</v>
      </c>
      <c r="B35" s="6" t="s">
        <v>196</v>
      </c>
      <c r="C35" s="6" t="s">
        <v>196</v>
      </c>
      <c r="D35" s="6"/>
      <c r="E35" s="6"/>
      <c r="F35" s="6" t="s">
        <v>117</v>
      </c>
      <c r="G35" s="13" t="str">
        <f>IFERROR(VLOOKUP(F35,CATÁLOGOS!$A$6:$B$105,2,FALSE),"")</f>
        <v>🧰 Accesorios y equipamiento</v>
      </c>
      <c r="H35" s="6" t="s">
        <v>191</v>
      </c>
      <c r="I35" s="13" t="str">
        <f>IFERROR(VLOOKUP(H35,CATÁLOGOS!$F$6:$H$305,3,FALSE),"")</f>
        <v>Trapos de piso</v>
      </c>
      <c r="J35" s="6" t="s">
        <v>27</v>
      </c>
      <c r="K35" s="6" t="s">
        <v>197</v>
      </c>
      <c r="L35" s="6"/>
      <c r="M35" s="6" t="s">
        <v>120</v>
      </c>
      <c r="N35" s="6" t="s">
        <v>198</v>
      </c>
      <c r="O35" s="6" t="s">
        <v>199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200</v>
      </c>
      <c r="B36" s="6" t="s">
        <v>201</v>
      </c>
      <c r="C36" s="6" t="s">
        <v>201</v>
      </c>
      <c r="D36" s="6" t="s">
        <v>202</v>
      </c>
      <c r="E36" s="6" t="s">
        <v>147</v>
      </c>
      <c r="F36" s="6" t="s">
        <v>117</v>
      </c>
      <c r="G36" s="13" t="str">
        <f>IFERROR(VLOOKUP(F36,CATÁLOGOS!$A$6:$B$105,2,FALSE),"")</f>
        <v>🧰 Accesorios y equipamiento</v>
      </c>
      <c r="H36" s="6" t="s">
        <v>191</v>
      </c>
      <c r="I36" s="13" t="str">
        <f>IFERROR(VLOOKUP(H36,CATÁLOGOS!$F$6:$H$305,3,FALSE),"")</f>
        <v>Trapos de piso</v>
      </c>
      <c r="J36" s="6" t="s">
        <v>203</v>
      </c>
      <c r="K36" s="6" t="s">
        <v>204</v>
      </c>
      <c r="L36" s="6"/>
      <c r="M36" s="6" t="s">
        <v>120</v>
      </c>
      <c r="N36" s="6" t="s">
        <v>205</v>
      </c>
      <c r="O36" s="6" t="s">
        <v>206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207</v>
      </c>
      <c r="B37" s="6" t="s">
        <v>208</v>
      </c>
      <c r="C37" s="6" t="s">
        <v>208</v>
      </c>
      <c r="D37" s="6" t="s">
        <v>202</v>
      </c>
      <c r="E37" s="6" t="s">
        <v>136</v>
      </c>
      <c r="F37" s="6" t="s">
        <v>117</v>
      </c>
      <c r="G37" s="13" t="str">
        <f>IFERROR(VLOOKUP(F37,CATÁLOGOS!$A$6:$B$105,2,FALSE),"")</f>
        <v>🧰 Accesorios y equipamiento</v>
      </c>
      <c r="H37" s="6" t="s">
        <v>191</v>
      </c>
      <c r="I37" s="13" t="str">
        <f>IFERROR(VLOOKUP(H37,CATÁLOGOS!$F$6:$H$305,3,FALSE),"")</f>
        <v>Trapos de piso</v>
      </c>
      <c r="J37" s="6" t="s">
        <v>209</v>
      </c>
      <c r="K37" s="6" t="s">
        <v>204</v>
      </c>
      <c r="L37" s="6"/>
      <c r="M37" s="6" t="s">
        <v>120</v>
      </c>
      <c r="N37" s="6" t="s">
        <v>210</v>
      </c>
      <c r="O37" s="6" t="s">
        <v>211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212</v>
      </c>
      <c r="B38" s="6" t="s">
        <v>213</v>
      </c>
      <c r="C38" s="6" t="s">
        <v>213</v>
      </c>
      <c r="D38" s="6"/>
      <c r="E38" s="6"/>
      <c r="F38" s="6" t="s">
        <v>117</v>
      </c>
      <c r="G38" s="13" t="str">
        <f>IFERROR(VLOOKUP(F38,CATÁLOGOS!$A$6:$B$105,2,FALSE),"")</f>
        <v>🧰 Accesorios y equipamiento</v>
      </c>
      <c r="H38" s="6" t="s">
        <v>191</v>
      </c>
      <c r="I38" s="13" t="str">
        <f>IFERROR(VLOOKUP(H38,CATÁLOGOS!$F$6:$H$305,3,FALSE),"")</f>
        <v>Trapos de piso</v>
      </c>
      <c r="J38" s="6" t="s">
        <v>27</v>
      </c>
      <c r="K38" s="6" t="s">
        <v>214</v>
      </c>
      <c r="L38" s="6"/>
      <c r="M38" s="6" t="s">
        <v>120</v>
      </c>
      <c r="N38" s="6" t="s">
        <v>215</v>
      </c>
      <c r="O38" s="6" t="s">
        <v>216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217</v>
      </c>
      <c r="B39" s="6" t="s">
        <v>218</v>
      </c>
      <c r="C39" s="6" t="s">
        <v>218</v>
      </c>
      <c r="D39" s="6"/>
      <c r="E39" s="6"/>
      <c r="F39" s="6" t="s">
        <v>117</v>
      </c>
      <c r="G39" s="13" t="str">
        <f>IFERROR(VLOOKUP(F39,CATÁLOGOS!$A$6:$B$105,2,FALSE),"")</f>
        <v>🧰 Accesorios y equipamiento</v>
      </c>
      <c r="H39" s="6" t="s">
        <v>191</v>
      </c>
      <c r="I39" s="13" t="str">
        <f>IFERROR(VLOOKUP(H39,CATÁLOGOS!$F$6:$H$305,3,FALSE),"")</f>
        <v>Trapos de piso</v>
      </c>
      <c r="J39" s="6" t="s">
        <v>27</v>
      </c>
      <c r="K39" s="6" t="s">
        <v>219</v>
      </c>
      <c r="L39" s="6"/>
      <c r="M39" s="6" t="s">
        <v>120</v>
      </c>
      <c r="N39" s="6" t="s">
        <v>220</v>
      </c>
      <c r="O39" s="6" t="s">
        <v>221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222</v>
      </c>
      <c r="U39" s="10" t="s">
        <v>34</v>
      </c>
    </row>
    <row r="40" spans="1:21">
      <c r="A40" s="5" t="s">
        <v>223</v>
      </c>
      <c r="B40" s="6" t="s">
        <v>224</v>
      </c>
      <c r="C40" s="6" t="s">
        <v>224</v>
      </c>
      <c r="D40" s="6"/>
      <c r="E40" s="6"/>
      <c r="F40" s="6" t="s">
        <v>117</v>
      </c>
      <c r="G40" s="13" t="str">
        <f>IFERROR(VLOOKUP(F40,CATÁLOGOS!$A$6:$B$105,2,FALSE),"")</f>
        <v>🧰 Accesorios y equipamiento</v>
      </c>
      <c r="H40" s="6" t="s">
        <v>191</v>
      </c>
      <c r="I40" s="13" t="str">
        <f>IFERROR(VLOOKUP(H40,CATÁLOGOS!$F$6:$H$305,3,FALSE),"")</f>
        <v>Trapos de piso</v>
      </c>
      <c r="J40" s="6" t="s">
        <v>225</v>
      </c>
      <c r="K40" s="6" t="s">
        <v>226</v>
      </c>
      <c r="L40" s="6"/>
      <c r="M40" s="6" t="s">
        <v>120</v>
      </c>
      <c r="N40" s="6" t="s">
        <v>227</v>
      </c>
      <c r="O40" s="6" t="s">
        <v>228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229</v>
      </c>
      <c r="B41" s="6" t="s">
        <v>230</v>
      </c>
      <c r="C41" s="6" t="s">
        <v>230</v>
      </c>
      <c r="D41" s="6"/>
      <c r="E41" s="6"/>
      <c r="F41" s="6" t="s">
        <v>117</v>
      </c>
      <c r="G41" s="13" t="str">
        <f>IFERROR(VLOOKUP(F41,CATÁLOGOS!$A$6:$B$105,2,FALSE),"")</f>
        <v>🧰 Accesorios y equipamiento</v>
      </c>
      <c r="H41" s="6" t="s">
        <v>191</v>
      </c>
      <c r="I41" s="13" t="str">
        <f>IFERROR(VLOOKUP(H41,CATÁLOGOS!$F$6:$H$305,3,FALSE),"")</f>
        <v>Trapos de piso</v>
      </c>
      <c r="J41" s="6" t="s">
        <v>27</v>
      </c>
      <c r="K41" s="6" t="s">
        <v>226</v>
      </c>
      <c r="L41" s="6"/>
      <c r="M41" s="6" t="s">
        <v>120</v>
      </c>
      <c r="N41" s="6" t="s">
        <v>231</v>
      </c>
      <c r="O41" s="6" t="s">
        <v>232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233</v>
      </c>
      <c r="B42" s="6" t="s">
        <v>234</v>
      </c>
      <c r="C42" s="6" t="s">
        <v>234</v>
      </c>
      <c r="D42" s="6" t="s">
        <v>235</v>
      </c>
      <c r="E42" s="6" t="s">
        <v>236</v>
      </c>
      <c r="F42" s="6" t="s">
        <v>117</v>
      </c>
      <c r="G42" s="13" t="str">
        <f>IFERROR(VLOOKUP(F42,CATÁLOGOS!$A$6:$B$105,2,FALSE),"")</f>
        <v>🧰 Accesorios y equipamiento</v>
      </c>
      <c r="H42" s="6" t="s">
        <v>237</v>
      </c>
      <c r="I42" s="13" t="str">
        <f>IFERROR(VLOOKUP(H42,CATÁLOGOS!$F$6:$H$305,3,FALSE),"")</f>
        <v>Escobas y escobillones</v>
      </c>
      <c r="J42" s="6" t="s">
        <v>27</v>
      </c>
      <c r="K42" s="6" t="s">
        <v>238</v>
      </c>
      <c r="L42" s="6"/>
      <c r="M42" s="6" t="s">
        <v>120</v>
      </c>
      <c r="N42" s="6" t="s">
        <v>239</v>
      </c>
      <c r="O42" s="6" t="s">
        <v>240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241</v>
      </c>
      <c r="B43" s="6" t="s">
        <v>242</v>
      </c>
      <c r="C43" s="6" t="s">
        <v>242</v>
      </c>
      <c r="D43" s="6" t="s">
        <v>235</v>
      </c>
      <c r="E43" s="6" t="s">
        <v>243</v>
      </c>
      <c r="F43" s="6" t="s">
        <v>117</v>
      </c>
      <c r="G43" s="13" t="str">
        <f>IFERROR(VLOOKUP(F43,CATÁLOGOS!$A$6:$B$105,2,FALSE),"")</f>
        <v>🧰 Accesorios y equipamiento</v>
      </c>
      <c r="H43" s="6" t="s">
        <v>237</v>
      </c>
      <c r="I43" s="13" t="str">
        <f>IFERROR(VLOOKUP(H43,CATÁLOGOS!$F$6:$H$305,3,FALSE),"")</f>
        <v>Escobas y escobillones</v>
      </c>
      <c r="J43" s="6" t="s">
        <v>27</v>
      </c>
      <c r="K43" s="6" t="s">
        <v>244</v>
      </c>
      <c r="L43" s="6"/>
      <c r="M43" s="6" t="s">
        <v>120</v>
      </c>
      <c r="N43" s="6" t="s">
        <v>245</v>
      </c>
      <c r="O43" s="6" t="s">
        <v>246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247</v>
      </c>
      <c r="B44" s="6" t="s">
        <v>248</v>
      </c>
      <c r="C44" s="6" t="s">
        <v>248</v>
      </c>
      <c r="D44" s="6" t="s">
        <v>235</v>
      </c>
      <c r="E44" s="6" t="s">
        <v>249</v>
      </c>
      <c r="F44" s="6" t="s">
        <v>117</v>
      </c>
      <c r="G44" s="13" t="str">
        <f>IFERROR(VLOOKUP(F44,CATÁLOGOS!$A$6:$B$105,2,FALSE),"")</f>
        <v>🧰 Accesorios y equipamiento</v>
      </c>
      <c r="H44" s="6" t="s">
        <v>237</v>
      </c>
      <c r="I44" s="13" t="str">
        <f>IFERROR(VLOOKUP(H44,CATÁLOGOS!$F$6:$H$305,3,FALSE),"")</f>
        <v>Escobas y escobillones</v>
      </c>
      <c r="J44" s="6" t="s">
        <v>27</v>
      </c>
      <c r="K44" s="6" t="s">
        <v>250</v>
      </c>
      <c r="L44" s="6"/>
      <c r="M44" s="6" t="s">
        <v>120</v>
      </c>
      <c r="N44" s="6" t="s">
        <v>251</v>
      </c>
      <c r="O44" s="6" t="s">
        <v>252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253</v>
      </c>
      <c r="B45" s="6" t="s">
        <v>254</v>
      </c>
      <c r="C45" s="6" t="s">
        <v>254</v>
      </c>
      <c r="D45" s="6" t="s">
        <v>235</v>
      </c>
      <c r="E45" s="6" t="s">
        <v>255</v>
      </c>
      <c r="F45" s="6" t="s">
        <v>117</v>
      </c>
      <c r="G45" s="13" t="str">
        <f>IFERROR(VLOOKUP(F45,CATÁLOGOS!$A$6:$B$105,2,FALSE),"")</f>
        <v>🧰 Accesorios y equipamiento</v>
      </c>
      <c r="H45" s="6" t="s">
        <v>237</v>
      </c>
      <c r="I45" s="13" t="str">
        <f>IFERROR(VLOOKUP(H45,CATÁLOGOS!$F$6:$H$305,3,FALSE),"")</f>
        <v>Escobas y escobillones</v>
      </c>
      <c r="J45" s="6" t="s">
        <v>27</v>
      </c>
      <c r="K45" s="6" t="s">
        <v>256</v>
      </c>
      <c r="L45" s="6"/>
      <c r="M45" s="6" t="s">
        <v>120</v>
      </c>
      <c r="N45" s="6" t="s">
        <v>257</v>
      </c>
      <c r="O45" s="6" t="s">
        <v>258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259</v>
      </c>
      <c r="B46" s="6" t="s">
        <v>260</v>
      </c>
      <c r="C46" s="6" t="s">
        <v>260</v>
      </c>
      <c r="D46" s="6"/>
      <c r="E46" s="6"/>
      <c r="F46" s="6" t="s">
        <v>117</v>
      </c>
      <c r="G46" s="13" t="str">
        <f>IFERROR(VLOOKUP(F46,CATÁLOGOS!$A$6:$B$105,2,FALSE),"")</f>
        <v>🧰 Accesorios y equipamiento</v>
      </c>
      <c r="H46" s="6" t="s">
        <v>237</v>
      </c>
      <c r="I46" s="13" t="str">
        <f>IFERROR(VLOOKUP(H46,CATÁLOGOS!$F$6:$H$305,3,FALSE),"")</f>
        <v>Escobas y escobillones</v>
      </c>
      <c r="J46" s="6" t="s">
        <v>27</v>
      </c>
      <c r="K46" s="6" t="s">
        <v>261</v>
      </c>
      <c r="L46" s="6"/>
      <c r="M46" s="6" t="s">
        <v>120</v>
      </c>
      <c r="N46" s="6" t="s">
        <v>262</v>
      </c>
      <c r="O46" s="6" t="s">
        <v>263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264</v>
      </c>
      <c r="B47" s="6" t="s">
        <v>265</v>
      </c>
      <c r="C47" s="6" t="s">
        <v>265</v>
      </c>
      <c r="D47" s="6"/>
      <c r="E47" s="6"/>
      <c r="F47" s="6" t="s">
        <v>117</v>
      </c>
      <c r="G47" s="13" t="str">
        <f>IFERROR(VLOOKUP(F47,CATÁLOGOS!$A$6:$B$105,2,FALSE),"")</f>
        <v>🧰 Accesorios y equipamiento</v>
      </c>
      <c r="H47" s="6" t="s">
        <v>237</v>
      </c>
      <c r="I47" s="13" t="str">
        <f>IFERROR(VLOOKUP(H47,CATÁLOGOS!$F$6:$H$305,3,FALSE),"")</f>
        <v>Escobas y escobillones</v>
      </c>
      <c r="J47" s="6" t="s">
        <v>27</v>
      </c>
      <c r="K47" s="6" t="s">
        <v>266</v>
      </c>
      <c r="L47" s="6"/>
      <c r="M47" s="6" t="s">
        <v>120</v>
      </c>
      <c r="N47" s="6" t="s">
        <v>267</v>
      </c>
      <c r="O47" s="6" t="s">
        <v>268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269</v>
      </c>
      <c r="B48" s="6" t="s">
        <v>270</v>
      </c>
      <c r="C48" s="6" t="s">
        <v>270</v>
      </c>
      <c r="D48" s="6" t="s">
        <v>271</v>
      </c>
      <c r="E48" s="6" t="s">
        <v>272</v>
      </c>
      <c r="F48" s="6" t="s">
        <v>117</v>
      </c>
      <c r="G48" s="13" t="str">
        <f>IFERROR(VLOOKUP(F48,CATÁLOGOS!$A$6:$B$105,2,FALSE),"")</f>
        <v>🧰 Accesorios y equipamiento</v>
      </c>
      <c r="H48" s="6" t="s">
        <v>237</v>
      </c>
      <c r="I48" s="13" t="str">
        <f>IFERROR(VLOOKUP(H48,CATÁLOGOS!$F$6:$H$305,3,FALSE),"")</f>
        <v>Escobas y escobillones</v>
      </c>
      <c r="J48" s="6" t="s">
        <v>27</v>
      </c>
      <c r="K48" s="6" t="s">
        <v>273</v>
      </c>
      <c r="L48" s="6"/>
      <c r="M48" s="6" t="s">
        <v>120</v>
      </c>
      <c r="N48" s="6" t="s">
        <v>274</v>
      </c>
      <c r="O48" s="6" t="s">
        <v>275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276</v>
      </c>
      <c r="B49" s="6" t="s">
        <v>277</v>
      </c>
      <c r="C49" s="6" t="s">
        <v>277</v>
      </c>
      <c r="D49" s="6" t="s">
        <v>271</v>
      </c>
      <c r="E49" s="6" t="s">
        <v>243</v>
      </c>
      <c r="F49" s="6" t="s">
        <v>117</v>
      </c>
      <c r="G49" s="13" t="str">
        <f>IFERROR(VLOOKUP(F49,CATÁLOGOS!$A$6:$B$105,2,FALSE),"")</f>
        <v>🧰 Accesorios y equipamiento</v>
      </c>
      <c r="H49" s="6" t="s">
        <v>237</v>
      </c>
      <c r="I49" s="13" t="str">
        <f>IFERROR(VLOOKUP(H49,CATÁLOGOS!$F$6:$H$305,3,FALSE),"")</f>
        <v>Escobas y escobillones</v>
      </c>
      <c r="J49" s="6" t="s">
        <v>27</v>
      </c>
      <c r="K49" s="6" t="s">
        <v>278</v>
      </c>
      <c r="L49" s="6"/>
      <c r="M49" s="6" t="s">
        <v>120</v>
      </c>
      <c r="N49" s="6" t="s">
        <v>279</v>
      </c>
      <c r="O49" s="6" t="s">
        <v>280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281</v>
      </c>
      <c r="B50" s="6" t="s">
        <v>282</v>
      </c>
      <c r="C50" s="6" t="s">
        <v>282</v>
      </c>
      <c r="D50" s="6" t="s">
        <v>271</v>
      </c>
      <c r="E50" s="6" t="s">
        <v>249</v>
      </c>
      <c r="F50" s="6" t="s">
        <v>117</v>
      </c>
      <c r="G50" s="13" t="str">
        <f>IFERROR(VLOOKUP(F50,CATÁLOGOS!$A$6:$B$105,2,FALSE),"")</f>
        <v>🧰 Accesorios y equipamiento</v>
      </c>
      <c r="H50" s="6" t="s">
        <v>237</v>
      </c>
      <c r="I50" s="13" t="str">
        <f>IFERROR(VLOOKUP(H50,CATÁLOGOS!$F$6:$H$305,3,FALSE),"")</f>
        <v>Escobas y escobillones</v>
      </c>
      <c r="J50" s="6" t="s">
        <v>27</v>
      </c>
      <c r="K50" s="6" t="s">
        <v>283</v>
      </c>
      <c r="L50" s="6"/>
      <c r="M50" s="6" t="s">
        <v>120</v>
      </c>
      <c r="N50" s="6" t="s">
        <v>284</v>
      </c>
      <c r="O50" s="6" t="s">
        <v>285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286</v>
      </c>
      <c r="B51" s="6" t="s">
        <v>287</v>
      </c>
      <c r="C51" s="6" t="s">
        <v>287</v>
      </c>
      <c r="D51" s="6" t="s">
        <v>271</v>
      </c>
      <c r="E51" s="6" t="s">
        <v>255</v>
      </c>
      <c r="F51" s="6" t="s">
        <v>117</v>
      </c>
      <c r="G51" s="13" t="str">
        <f>IFERROR(VLOOKUP(F51,CATÁLOGOS!$A$6:$B$105,2,FALSE),"")</f>
        <v>🧰 Accesorios y equipamiento</v>
      </c>
      <c r="H51" s="6" t="s">
        <v>237</v>
      </c>
      <c r="I51" s="13" t="str">
        <f>IFERROR(VLOOKUP(H51,CATÁLOGOS!$F$6:$H$305,3,FALSE),"")</f>
        <v>Escobas y escobillones</v>
      </c>
      <c r="J51" s="6" t="s">
        <v>27</v>
      </c>
      <c r="K51" s="6" t="s">
        <v>288</v>
      </c>
      <c r="L51" s="6"/>
      <c r="M51" s="6" t="s">
        <v>120</v>
      </c>
      <c r="N51" s="6" t="s">
        <v>289</v>
      </c>
      <c r="O51" s="6" t="s">
        <v>290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291</v>
      </c>
      <c r="B52" s="6" t="s">
        <v>292</v>
      </c>
      <c r="C52" s="6" t="s">
        <v>292</v>
      </c>
      <c r="D52" s="6"/>
      <c r="E52" s="6"/>
      <c r="F52" s="6" t="s">
        <v>117</v>
      </c>
      <c r="G52" s="13" t="str">
        <f>IFERROR(VLOOKUP(F52,CATÁLOGOS!$A$6:$B$105,2,FALSE),"")</f>
        <v>🧰 Accesorios y equipamiento</v>
      </c>
      <c r="H52" s="6" t="s">
        <v>237</v>
      </c>
      <c r="I52" s="13" t="str">
        <f>IFERROR(VLOOKUP(H52,CATÁLOGOS!$F$6:$H$305,3,FALSE),"")</f>
        <v>Escobas y escobillones</v>
      </c>
      <c r="J52" s="6" t="s">
        <v>27</v>
      </c>
      <c r="K52" s="6" t="s">
        <v>293</v>
      </c>
      <c r="L52" s="6"/>
      <c r="M52" s="6" t="s">
        <v>120</v>
      </c>
      <c r="N52" s="6" t="s">
        <v>294</v>
      </c>
      <c r="O52" s="6" t="s">
        <v>295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296</v>
      </c>
      <c r="B53" s="6" t="s">
        <v>297</v>
      </c>
      <c r="C53" s="6" t="s">
        <v>297</v>
      </c>
      <c r="D53" s="6"/>
      <c r="E53" s="6"/>
      <c r="F53" s="6" t="s">
        <v>117</v>
      </c>
      <c r="G53" s="13" t="str">
        <f>IFERROR(VLOOKUP(F53,CATÁLOGOS!$A$6:$B$105,2,FALSE),"")</f>
        <v>🧰 Accesorios y equipamiento</v>
      </c>
      <c r="H53" s="6" t="s">
        <v>237</v>
      </c>
      <c r="I53" s="13" t="str">
        <f>IFERROR(VLOOKUP(H53,CATÁLOGOS!$F$6:$H$305,3,FALSE),"")</f>
        <v>Escobas y escobillones</v>
      </c>
      <c r="J53" s="6" t="s">
        <v>27</v>
      </c>
      <c r="K53" s="6" t="s">
        <v>298</v>
      </c>
      <c r="L53" s="6"/>
      <c r="M53" s="6" t="s">
        <v>120</v>
      </c>
      <c r="N53" s="6" t="s">
        <v>299</v>
      </c>
      <c r="O53" s="6" t="s">
        <v>300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301</v>
      </c>
      <c r="B54" s="6" t="s">
        <v>302</v>
      </c>
      <c r="C54" s="6" t="s">
        <v>302</v>
      </c>
      <c r="D54" s="6"/>
      <c r="E54" s="6"/>
      <c r="F54" s="6" t="s">
        <v>117</v>
      </c>
      <c r="G54" s="13" t="str">
        <f>IFERROR(VLOOKUP(F54,CATÁLOGOS!$A$6:$B$105,2,FALSE),"")</f>
        <v>🧰 Accesorios y equipamiento</v>
      </c>
      <c r="H54" s="6" t="s">
        <v>237</v>
      </c>
      <c r="I54" s="13" t="str">
        <f>IFERROR(VLOOKUP(H54,CATÁLOGOS!$F$6:$H$305,3,FALSE),"")</f>
        <v>Escobas y escobillones</v>
      </c>
      <c r="J54" s="6" t="s">
        <v>27</v>
      </c>
      <c r="K54" s="6" t="s">
        <v>303</v>
      </c>
      <c r="L54" s="6"/>
      <c r="M54" s="6" t="s">
        <v>120</v>
      </c>
      <c r="N54" s="6" t="s">
        <v>304</v>
      </c>
      <c r="O54" s="6" t="s">
        <v>305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306</v>
      </c>
      <c r="B55" s="6" t="s">
        <v>307</v>
      </c>
      <c r="C55" s="6" t="s">
        <v>307</v>
      </c>
      <c r="D55" s="6"/>
      <c r="E55" s="6"/>
      <c r="F55" s="6" t="s">
        <v>117</v>
      </c>
      <c r="G55" s="13" t="str">
        <f>IFERROR(VLOOKUP(F55,CATÁLOGOS!$A$6:$B$105,2,FALSE),"")</f>
        <v>🧰 Accesorios y equipamiento</v>
      </c>
      <c r="H55" s="6" t="s">
        <v>237</v>
      </c>
      <c r="I55" s="13" t="str">
        <f>IFERROR(VLOOKUP(H55,CATÁLOGOS!$F$6:$H$305,3,FALSE),"")</f>
        <v>Escobas y escobillones</v>
      </c>
      <c r="J55" s="6" t="s">
        <v>27</v>
      </c>
      <c r="K55" s="6" t="s">
        <v>308</v>
      </c>
      <c r="L55" s="6"/>
      <c r="M55" s="6" t="s">
        <v>120</v>
      </c>
      <c r="N55" s="6" t="s">
        <v>309</v>
      </c>
      <c r="O55" s="6" t="s">
        <v>310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311</v>
      </c>
      <c r="B56" s="6" t="s">
        <v>312</v>
      </c>
      <c r="C56" s="6" t="s">
        <v>312</v>
      </c>
      <c r="D56" s="6"/>
      <c r="E56" s="6"/>
      <c r="F56" s="6" t="s">
        <v>117</v>
      </c>
      <c r="G56" s="13" t="str">
        <f>IFERROR(VLOOKUP(F56,CATÁLOGOS!$A$6:$B$105,2,FALSE),"")</f>
        <v>🧰 Accesorios y equipamiento</v>
      </c>
      <c r="H56" s="6" t="s">
        <v>237</v>
      </c>
      <c r="I56" s="13" t="str">
        <f>IFERROR(VLOOKUP(H56,CATÁLOGOS!$F$6:$H$305,3,FALSE),"")</f>
        <v>Escobas y escobillones</v>
      </c>
      <c r="J56" s="6" t="s">
        <v>27</v>
      </c>
      <c r="K56" s="6" t="s">
        <v>313</v>
      </c>
      <c r="L56" s="6"/>
      <c r="M56" s="6" t="s">
        <v>120</v>
      </c>
      <c r="N56" s="6" t="s">
        <v>314</v>
      </c>
      <c r="O56" s="6" t="s">
        <v>315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316</v>
      </c>
      <c r="B57" s="6" t="s">
        <v>317</v>
      </c>
      <c r="C57" s="6" t="s">
        <v>317</v>
      </c>
      <c r="D57" s="6"/>
      <c r="E57" s="6"/>
      <c r="F57" s="6" t="s">
        <v>117</v>
      </c>
      <c r="G57" s="13" t="str">
        <f>IFERROR(VLOOKUP(F57,CATÁLOGOS!$A$6:$B$105,2,FALSE),"")</f>
        <v>🧰 Accesorios y equipamiento</v>
      </c>
      <c r="H57" s="6" t="s">
        <v>237</v>
      </c>
      <c r="I57" s="13" t="str">
        <f>IFERROR(VLOOKUP(H57,CATÁLOGOS!$F$6:$H$305,3,FALSE),"")</f>
        <v>Escobas y escobillones</v>
      </c>
      <c r="J57" s="6" t="s">
        <v>27</v>
      </c>
      <c r="K57" s="6" t="s">
        <v>318</v>
      </c>
      <c r="L57" s="6"/>
      <c r="M57" s="6" t="s">
        <v>120</v>
      </c>
      <c r="N57" s="6" t="s">
        <v>319</v>
      </c>
      <c r="O57" s="6" t="s">
        <v>320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321</v>
      </c>
      <c r="B58" s="6" t="s">
        <v>322</v>
      </c>
      <c r="C58" s="6" t="s">
        <v>322</v>
      </c>
      <c r="D58" s="6"/>
      <c r="E58" s="6"/>
      <c r="F58" s="6" t="s">
        <v>117</v>
      </c>
      <c r="G58" s="13" t="str">
        <f>IFERROR(VLOOKUP(F58,CATÁLOGOS!$A$6:$B$105,2,FALSE),"")</f>
        <v>🧰 Accesorios y equipamiento</v>
      </c>
      <c r="H58" s="6" t="s">
        <v>237</v>
      </c>
      <c r="I58" s="13" t="str">
        <f>IFERROR(VLOOKUP(H58,CATÁLOGOS!$F$6:$H$305,3,FALSE),"")</f>
        <v>Escobas y escobillones</v>
      </c>
      <c r="J58" s="6" t="s">
        <v>27</v>
      </c>
      <c r="K58" s="6" t="s">
        <v>323</v>
      </c>
      <c r="L58" s="6"/>
      <c r="M58" s="6" t="s">
        <v>120</v>
      </c>
      <c r="N58" s="6" t="s">
        <v>324</v>
      </c>
      <c r="O58" s="6" t="s">
        <v>325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326</v>
      </c>
      <c r="B59" s="6" t="s">
        <v>327</v>
      </c>
      <c r="C59" s="6" t="s">
        <v>327</v>
      </c>
      <c r="D59" s="6"/>
      <c r="E59" s="6"/>
      <c r="F59" s="6" t="s">
        <v>117</v>
      </c>
      <c r="G59" s="13" t="str">
        <f>IFERROR(VLOOKUP(F59,CATÁLOGOS!$A$6:$B$105,2,FALSE),"")</f>
        <v>🧰 Accesorios y equipamiento</v>
      </c>
      <c r="H59" s="6" t="s">
        <v>237</v>
      </c>
      <c r="I59" s="13" t="str">
        <f>IFERROR(VLOOKUP(H59,CATÁLOGOS!$F$6:$H$305,3,FALSE),"")</f>
        <v>Escobas y escobillones</v>
      </c>
      <c r="J59" s="6" t="s">
        <v>27</v>
      </c>
      <c r="K59" s="6" t="s">
        <v>328</v>
      </c>
      <c r="L59" s="6"/>
      <c r="M59" s="6" t="s">
        <v>120</v>
      </c>
      <c r="N59" s="6" t="s">
        <v>329</v>
      </c>
      <c r="O59" s="6" t="s">
        <v>330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331</v>
      </c>
      <c r="B60" s="6" t="s">
        <v>332</v>
      </c>
      <c r="C60" s="6" t="s">
        <v>332</v>
      </c>
      <c r="D60" s="6"/>
      <c r="E60" s="6"/>
      <c r="F60" s="6" t="s">
        <v>117</v>
      </c>
      <c r="G60" s="13" t="str">
        <f>IFERROR(VLOOKUP(F60,CATÁLOGOS!$A$6:$B$105,2,FALSE),"")</f>
        <v>🧰 Accesorios y equipamiento</v>
      </c>
      <c r="H60" s="6" t="s">
        <v>237</v>
      </c>
      <c r="I60" s="13" t="str">
        <f>IFERROR(VLOOKUP(H60,CATÁLOGOS!$F$6:$H$305,3,FALSE),"")</f>
        <v>Escobas y escobillones</v>
      </c>
      <c r="J60" s="6" t="s">
        <v>333</v>
      </c>
      <c r="K60" s="6" t="s">
        <v>334</v>
      </c>
      <c r="L60" s="6"/>
      <c r="M60" s="6" t="s">
        <v>120</v>
      </c>
      <c r="N60" s="6" t="s">
        <v>335</v>
      </c>
      <c r="O60" s="6" t="s">
        <v>336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337</v>
      </c>
      <c r="B61" s="6" t="s">
        <v>338</v>
      </c>
      <c r="C61" s="6" t="s">
        <v>338</v>
      </c>
      <c r="D61" s="6"/>
      <c r="E61" s="6"/>
      <c r="F61" s="6" t="s">
        <v>117</v>
      </c>
      <c r="G61" s="13" t="str">
        <f>IFERROR(VLOOKUP(F61,CATÁLOGOS!$A$6:$B$105,2,FALSE),"")</f>
        <v>🧰 Accesorios y equipamiento</v>
      </c>
      <c r="H61" s="6" t="s">
        <v>237</v>
      </c>
      <c r="I61" s="13" t="str">
        <f>IFERROR(VLOOKUP(H61,CATÁLOGOS!$F$6:$H$305,3,FALSE),"")</f>
        <v>Escobas y escobillones</v>
      </c>
      <c r="J61" s="6" t="s">
        <v>27</v>
      </c>
      <c r="K61" s="6" t="s">
        <v>339</v>
      </c>
      <c r="L61" s="6"/>
      <c r="M61" s="6" t="s">
        <v>120</v>
      </c>
      <c r="N61" s="6" t="s">
        <v>340</v>
      </c>
      <c r="O61" s="6" t="s">
        <v>341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342</v>
      </c>
      <c r="B62" s="6" t="s">
        <v>343</v>
      </c>
      <c r="C62" s="6" t="s">
        <v>343</v>
      </c>
      <c r="D62" s="6"/>
      <c r="E62" s="6"/>
      <c r="F62" s="6" t="s">
        <v>117</v>
      </c>
      <c r="G62" s="13" t="str">
        <f>IFERROR(VLOOKUP(F62,CATÁLOGOS!$A$6:$B$105,2,FALSE),"")</f>
        <v>🧰 Accesorios y equipamiento</v>
      </c>
      <c r="H62" s="6" t="s">
        <v>237</v>
      </c>
      <c r="I62" s="13" t="str">
        <f>IFERROR(VLOOKUP(H62,CATÁLOGOS!$F$6:$H$305,3,FALSE),"")</f>
        <v>Escobas y escobillones</v>
      </c>
      <c r="J62" s="6" t="s">
        <v>27</v>
      </c>
      <c r="K62" s="6" t="s">
        <v>344</v>
      </c>
      <c r="L62" s="6"/>
      <c r="M62" s="6" t="s">
        <v>120</v>
      </c>
      <c r="N62" s="6" t="s">
        <v>345</v>
      </c>
      <c r="O62" s="6" t="s">
        <v>346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347</v>
      </c>
      <c r="B63" s="6" t="s">
        <v>348</v>
      </c>
      <c r="C63" s="6" t="s">
        <v>348</v>
      </c>
      <c r="D63" s="6"/>
      <c r="E63" s="6"/>
      <c r="F63" s="6" t="s">
        <v>117</v>
      </c>
      <c r="G63" s="13" t="str">
        <f>IFERROR(VLOOKUP(F63,CATÁLOGOS!$A$6:$B$105,2,FALSE),"")</f>
        <v>🧰 Accesorios y equipamiento</v>
      </c>
      <c r="H63" s="6" t="s">
        <v>237</v>
      </c>
      <c r="I63" s="13" t="str">
        <f>IFERROR(VLOOKUP(H63,CATÁLOGOS!$F$6:$H$305,3,FALSE),"")</f>
        <v>Escobas y escobillones</v>
      </c>
      <c r="J63" s="6" t="s">
        <v>27</v>
      </c>
      <c r="K63" s="6" t="s">
        <v>349</v>
      </c>
      <c r="L63" s="6"/>
      <c r="M63" s="6" t="s">
        <v>120</v>
      </c>
      <c r="N63" s="6" t="s">
        <v>350</v>
      </c>
      <c r="O63" s="6" t="s">
        <v>351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352</v>
      </c>
      <c r="B64" s="6" t="s">
        <v>353</v>
      </c>
      <c r="C64" s="6" t="s">
        <v>353</v>
      </c>
      <c r="D64" s="6"/>
      <c r="E64" s="6"/>
      <c r="F64" s="6" t="s">
        <v>117</v>
      </c>
      <c r="G64" s="13" t="str">
        <f>IFERROR(VLOOKUP(F64,CATÁLOGOS!$A$6:$B$105,2,FALSE),"")</f>
        <v>🧰 Accesorios y equipamiento</v>
      </c>
      <c r="H64" s="6" t="s">
        <v>237</v>
      </c>
      <c r="I64" s="13" t="str">
        <f>IFERROR(VLOOKUP(H64,CATÁLOGOS!$F$6:$H$305,3,FALSE),"")</f>
        <v>Escobas y escobillones</v>
      </c>
      <c r="J64" s="6" t="s">
        <v>27</v>
      </c>
      <c r="K64" s="6" t="s">
        <v>354</v>
      </c>
      <c r="L64" s="6"/>
      <c r="M64" s="6" t="s">
        <v>120</v>
      </c>
      <c r="N64" s="6" t="s">
        <v>355</v>
      </c>
      <c r="O64" s="6" t="s">
        <v>356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357</v>
      </c>
      <c r="B65" s="6" t="s">
        <v>358</v>
      </c>
      <c r="C65" s="6" t="s">
        <v>358</v>
      </c>
      <c r="D65" s="6"/>
      <c r="E65" s="6"/>
      <c r="F65" s="6" t="s">
        <v>117</v>
      </c>
      <c r="G65" s="13" t="str">
        <f>IFERROR(VLOOKUP(F65,CATÁLOGOS!$A$6:$B$105,2,FALSE),"")</f>
        <v>🧰 Accesorios y equipamiento</v>
      </c>
      <c r="H65" s="6" t="s">
        <v>237</v>
      </c>
      <c r="I65" s="13" t="str">
        <f>IFERROR(VLOOKUP(H65,CATÁLOGOS!$F$6:$H$305,3,FALSE),"")</f>
        <v>Escobas y escobillones</v>
      </c>
      <c r="J65" s="6" t="s">
        <v>27</v>
      </c>
      <c r="K65" s="6" t="s">
        <v>359</v>
      </c>
      <c r="L65" s="6"/>
      <c r="M65" s="6" t="s">
        <v>120</v>
      </c>
      <c r="N65" s="6" t="s">
        <v>360</v>
      </c>
      <c r="O65" s="6" t="s">
        <v>361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362</v>
      </c>
      <c r="B66" s="6" t="s">
        <v>363</v>
      </c>
      <c r="C66" s="6" t="s">
        <v>363</v>
      </c>
      <c r="D66" s="6"/>
      <c r="E66" s="6"/>
      <c r="F66" s="6" t="s">
        <v>117</v>
      </c>
      <c r="G66" s="13" t="str">
        <f>IFERROR(VLOOKUP(F66,CATÁLOGOS!$A$6:$B$105,2,FALSE),"")</f>
        <v>🧰 Accesorios y equipamiento</v>
      </c>
      <c r="H66" s="6" t="s">
        <v>237</v>
      </c>
      <c r="I66" s="13" t="str">
        <f>IFERROR(VLOOKUP(H66,CATÁLOGOS!$F$6:$H$305,3,FALSE),"")</f>
        <v>Escobas y escobillones</v>
      </c>
      <c r="J66" s="6" t="s">
        <v>27</v>
      </c>
      <c r="K66" s="6" t="s">
        <v>364</v>
      </c>
      <c r="L66" s="6"/>
      <c r="M66" s="6" t="s">
        <v>120</v>
      </c>
      <c r="N66" s="6" t="s">
        <v>365</v>
      </c>
      <c r="O66" s="6" t="s">
        <v>366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367</v>
      </c>
      <c r="B67" s="6" t="s">
        <v>368</v>
      </c>
      <c r="C67" s="6" t="s">
        <v>368</v>
      </c>
      <c r="D67" s="6"/>
      <c r="E67" s="6"/>
      <c r="F67" s="6" t="s">
        <v>117</v>
      </c>
      <c r="G67" s="13" t="str">
        <f>IFERROR(VLOOKUP(F67,CATÁLOGOS!$A$6:$B$105,2,FALSE),"")</f>
        <v>🧰 Accesorios y equipamiento</v>
      </c>
      <c r="H67" s="6" t="s">
        <v>237</v>
      </c>
      <c r="I67" s="13" t="str">
        <f>IFERROR(VLOOKUP(H67,CATÁLOGOS!$F$6:$H$305,3,FALSE),"")</f>
        <v>Escobas y escobillones</v>
      </c>
      <c r="J67" s="6" t="s">
        <v>27</v>
      </c>
      <c r="K67" s="6" t="s">
        <v>369</v>
      </c>
      <c r="L67" s="6"/>
      <c r="M67" s="6" t="s">
        <v>120</v>
      </c>
      <c r="N67" s="6" t="s">
        <v>370</v>
      </c>
      <c r="O67" s="6" t="s">
        <v>371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372</v>
      </c>
      <c r="B68" s="6" t="s">
        <v>373</v>
      </c>
      <c r="C68" s="6" t="s">
        <v>373</v>
      </c>
      <c r="D68" s="6"/>
      <c r="E68" s="6"/>
      <c r="F68" s="6" t="s">
        <v>117</v>
      </c>
      <c r="G68" s="13" t="str">
        <f>IFERROR(VLOOKUP(F68,CATÁLOGOS!$A$6:$B$105,2,FALSE),"")</f>
        <v>🧰 Accesorios y equipamiento</v>
      </c>
      <c r="H68" s="6" t="s">
        <v>237</v>
      </c>
      <c r="I68" s="13" t="str">
        <f>IFERROR(VLOOKUP(H68,CATÁLOGOS!$F$6:$H$305,3,FALSE),"")</f>
        <v>Escobas y escobillones</v>
      </c>
      <c r="J68" s="6" t="s">
        <v>27</v>
      </c>
      <c r="K68" s="6" t="s">
        <v>374</v>
      </c>
      <c r="L68" s="6"/>
      <c r="M68" s="6" t="s">
        <v>120</v>
      </c>
      <c r="N68" s="6" t="s">
        <v>375</v>
      </c>
      <c r="O68" s="6" t="s">
        <v>376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377</v>
      </c>
      <c r="B69" s="6" t="s">
        <v>378</v>
      </c>
      <c r="C69" s="6" t="s">
        <v>378</v>
      </c>
      <c r="D69" s="6"/>
      <c r="E69" s="6"/>
      <c r="F69" s="6" t="s">
        <v>117</v>
      </c>
      <c r="G69" s="13" t="str">
        <f>IFERROR(VLOOKUP(F69,CATÁLOGOS!$A$6:$B$105,2,FALSE),"")</f>
        <v>🧰 Accesorios y equipamiento</v>
      </c>
      <c r="H69" s="6" t="s">
        <v>237</v>
      </c>
      <c r="I69" s="13" t="str">
        <f>IFERROR(VLOOKUP(H69,CATÁLOGOS!$F$6:$H$305,3,FALSE),"")</f>
        <v>Escobas y escobillones</v>
      </c>
      <c r="J69" s="6" t="s">
        <v>27</v>
      </c>
      <c r="K69" s="6" t="s">
        <v>379</v>
      </c>
      <c r="L69" s="6"/>
      <c r="M69" s="6" t="s">
        <v>120</v>
      </c>
      <c r="N69" s="6" t="s">
        <v>380</v>
      </c>
      <c r="O69" s="6" t="s">
        <v>381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382</v>
      </c>
      <c r="B70" s="6" t="s">
        <v>383</v>
      </c>
      <c r="C70" s="6" t="s">
        <v>383</v>
      </c>
      <c r="D70" s="6"/>
      <c r="E70" s="6"/>
      <c r="F70" s="6" t="s">
        <v>117</v>
      </c>
      <c r="G70" s="13" t="str">
        <f>IFERROR(VLOOKUP(F70,CATÁLOGOS!$A$6:$B$105,2,FALSE),"")</f>
        <v>🧰 Accesorios y equipamiento</v>
      </c>
      <c r="H70" s="6" t="s">
        <v>237</v>
      </c>
      <c r="I70" s="13" t="str">
        <f>IFERROR(VLOOKUP(H70,CATÁLOGOS!$F$6:$H$305,3,FALSE),"")</f>
        <v>Escobas y escobillones</v>
      </c>
      <c r="J70" s="6" t="s">
        <v>27</v>
      </c>
      <c r="K70" s="6" t="s">
        <v>384</v>
      </c>
      <c r="L70" s="6"/>
      <c r="M70" s="6" t="s">
        <v>120</v>
      </c>
      <c r="N70" s="6" t="s">
        <v>385</v>
      </c>
      <c r="O70" s="6" t="s">
        <v>386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387</v>
      </c>
      <c r="B71" s="6" t="s">
        <v>388</v>
      </c>
      <c r="C71" s="6" t="s">
        <v>388</v>
      </c>
      <c r="D71" s="6"/>
      <c r="E71" s="6"/>
      <c r="F71" s="6" t="s">
        <v>117</v>
      </c>
      <c r="G71" s="13" t="str">
        <f>IFERROR(VLOOKUP(F71,CATÁLOGOS!$A$6:$B$105,2,FALSE),"")</f>
        <v>🧰 Accesorios y equipamiento</v>
      </c>
      <c r="H71" s="6" t="s">
        <v>237</v>
      </c>
      <c r="I71" s="13" t="str">
        <f>IFERROR(VLOOKUP(H71,CATÁLOGOS!$F$6:$H$305,3,FALSE),"")</f>
        <v>Escobas y escobillones</v>
      </c>
      <c r="J71" s="6" t="s">
        <v>27</v>
      </c>
      <c r="K71" s="6" t="s">
        <v>389</v>
      </c>
      <c r="L71" s="6"/>
      <c r="M71" s="6" t="s">
        <v>120</v>
      </c>
      <c r="N71" s="6" t="s">
        <v>390</v>
      </c>
      <c r="O71" s="6" t="s">
        <v>391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392</v>
      </c>
      <c r="B72" s="6" t="s">
        <v>393</v>
      </c>
      <c r="C72" s="6" t="s">
        <v>393</v>
      </c>
      <c r="D72" s="6"/>
      <c r="E72" s="6"/>
      <c r="F72" s="6" t="s">
        <v>117</v>
      </c>
      <c r="G72" s="13" t="str">
        <f>IFERROR(VLOOKUP(F72,CATÁLOGOS!$A$6:$B$105,2,FALSE),"")</f>
        <v>🧰 Accesorios y equipamiento</v>
      </c>
      <c r="H72" s="6" t="s">
        <v>237</v>
      </c>
      <c r="I72" s="13" t="str">
        <f>IFERROR(VLOOKUP(H72,CATÁLOGOS!$F$6:$H$305,3,FALSE),"")</f>
        <v>Escobas y escobillones</v>
      </c>
      <c r="J72" s="6" t="s">
        <v>27</v>
      </c>
      <c r="K72" s="6" t="s">
        <v>394</v>
      </c>
      <c r="L72" s="6"/>
      <c r="M72" s="6" t="s">
        <v>120</v>
      </c>
      <c r="N72" s="6" t="s">
        <v>395</v>
      </c>
      <c r="O72" s="6" t="s">
        <v>396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397</v>
      </c>
      <c r="B73" s="6" t="s">
        <v>398</v>
      </c>
      <c r="C73" s="6" t="s">
        <v>398</v>
      </c>
      <c r="D73" s="6"/>
      <c r="E73" s="6"/>
      <c r="F73" s="6" t="s">
        <v>117</v>
      </c>
      <c r="G73" s="13" t="str">
        <f>IFERROR(VLOOKUP(F73,CATÁLOGOS!$A$6:$B$105,2,FALSE),"")</f>
        <v>🧰 Accesorios y equipamiento</v>
      </c>
      <c r="H73" s="6" t="s">
        <v>237</v>
      </c>
      <c r="I73" s="13" t="str">
        <f>IFERROR(VLOOKUP(H73,CATÁLOGOS!$F$6:$H$305,3,FALSE),"")</f>
        <v>Escobas y escobillones</v>
      </c>
      <c r="J73" s="6" t="s">
        <v>27</v>
      </c>
      <c r="K73" s="6" t="s">
        <v>399</v>
      </c>
      <c r="L73" s="6"/>
      <c r="M73" s="6" t="s">
        <v>120</v>
      </c>
      <c r="N73" s="6" t="s">
        <v>400</v>
      </c>
      <c r="O73" s="6" t="s">
        <v>401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402</v>
      </c>
      <c r="B74" s="6" t="s">
        <v>403</v>
      </c>
      <c r="C74" s="6" t="s">
        <v>403</v>
      </c>
      <c r="D74" s="6"/>
      <c r="E74" s="6"/>
      <c r="F74" s="6" t="s">
        <v>117</v>
      </c>
      <c r="G74" s="13" t="str">
        <f>IFERROR(VLOOKUP(F74,CATÁLOGOS!$A$6:$B$105,2,FALSE),"")</f>
        <v>🧰 Accesorios y equipamiento</v>
      </c>
      <c r="H74" s="6" t="s">
        <v>237</v>
      </c>
      <c r="I74" s="13" t="str">
        <f>IFERROR(VLOOKUP(H74,CATÁLOGOS!$F$6:$H$305,3,FALSE),"")</f>
        <v>Escobas y escobillones</v>
      </c>
      <c r="J74" s="6" t="s">
        <v>27</v>
      </c>
      <c r="K74" s="6" t="s">
        <v>404</v>
      </c>
      <c r="L74" s="6"/>
      <c r="M74" s="6" t="s">
        <v>120</v>
      </c>
      <c r="N74" s="6" t="s">
        <v>405</v>
      </c>
      <c r="O74" s="6" t="s">
        <v>406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407</v>
      </c>
      <c r="B75" s="6" t="s">
        <v>408</v>
      </c>
      <c r="C75" s="6" t="s">
        <v>408</v>
      </c>
      <c r="D75" s="6" t="s">
        <v>271</v>
      </c>
      <c r="E75" s="6" t="s">
        <v>272</v>
      </c>
      <c r="F75" s="6" t="s">
        <v>117</v>
      </c>
      <c r="G75" s="13" t="str">
        <f>IFERROR(VLOOKUP(F75,CATÁLOGOS!$A$6:$B$105,2,FALSE),"")</f>
        <v>🧰 Accesorios y equipamiento</v>
      </c>
      <c r="H75" s="6" t="s">
        <v>237</v>
      </c>
      <c r="I75" s="13" t="str">
        <f>IFERROR(VLOOKUP(H75,CATÁLOGOS!$F$6:$H$305,3,FALSE),"")</f>
        <v>Escobas y escobillones</v>
      </c>
      <c r="J75" s="6" t="s">
        <v>27</v>
      </c>
      <c r="K75" s="6" t="s">
        <v>409</v>
      </c>
      <c r="L75" s="6"/>
      <c r="M75" s="6" t="s">
        <v>120</v>
      </c>
      <c r="N75" s="6" t="s">
        <v>410</v>
      </c>
      <c r="O75" s="6" t="s">
        <v>411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412</v>
      </c>
      <c r="B76" s="6" t="s">
        <v>413</v>
      </c>
      <c r="C76" s="6" t="s">
        <v>413</v>
      </c>
      <c r="D76" s="6" t="s">
        <v>271</v>
      </c>
      <c r="E76" s="6" t="s">
        <v>243</v>
      </c>
      <c r="F76" s="6" t="s">
        <v>117</v>
      </c>
      <c r="G76" s="13" t="str">
        <f>IFERROR(VLOOKUP(F76,CATÁLOGOS!$A$6:$B$105,2,FALSE),"")</f>
        <v>🧰 Accesorios y equipamiento</v>
      </c>
      <c r="H76" s="6" t="s">
        <v>237</v>
      </c>
      <c r="I76" s="13" t="str">
        <f>IFERROR(VLOOKUP(H76,CATÁLOGOS!$F$6:$H$305,3,FALSE),"")</f>
        <v>Escobas y escobillones</v>
      </c>
      <c r="J76" s="6" t="s">
        <v>27</v>
      </c>
      <c r="K76" s="6" t="s">
        <v>409</v>
      </c>
      <c r="L76" s="6"/>
      <c r="M76" s="6" t="s">
        <v>120</v>
      </c>
      <c r="N76" s="6" t="s">
        <v>414</v>
      </c>
      <c r="O76" s="6" t="s">
        <v>411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415</v>
      </c>
      <c r="B77" s="6" t="s">
        <v>416</v>
      </c>
      <c r="C77" s="6" t="s">
        <v>416</v>
      </c>
      <c r="D77" s="6" t="s">
        <v>271</v>
      </c>
      <c r="E77" s="6" t="s">
        <v>249</v>
      </c>
      <c r="F77" s="6" t="s">
        <v>117</v>
      </c>
      <c r="G77" s="13" t="str">
        <f>IFERROR(VLOOKUP(F77,CATÁLOGOS!$A$6:$B$105,2,FALSE),"")</f>
        <v>🧰 Accesorios y equipamiento</v>
      </c>
      <c r="H77" s="6" t="s">
        <v>237</v>
      </c>
      <c r="I77" s="13" t="str">
        <f>IFERROR(VLOOKUP(H77,CATÁLOGOS!$F$6:$H$305,3,FALSE),"")</f>
        <v>Escobas y escobillones</v>
      </c>
      <c r="J77" s="6" t="s">
        <v>27</v>
      </c>
      <c r="K77" s="6" t="s">
        <v>409</v>
      </c>
      <c r="L77" s="6"/>
      <c r="M77" s="6" t="s">
        <v>120</v>
      </c>
      <c r="N77" s="6" t="s">
        <v>417</v>
      </c>
      <c r="O77" s="6" t="s">
        <v>411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418</v>
      </c>
      <c r="B78" s="6" t="s">
        <v>419</v>
      </c>
      <c r="C78" s="6" t="s">
        <v>419</v>
      </c>
      <c r="D78" s="6" t="s">
        <v>271</v>
      </c>
      <c r="E78" s="6" t="s">
        <v>255</v>
      </c>
      <c r="F78" s="6" t="s">
        <v>117</v>
      </c>
      <c r="G78" s="13" t="str">
        <f>IFERROR(VLOOKUP(F78,CATÁLOGOS!$A$6:$B$105,2,FALSE),"")</f>
        <v>🧰 Accesorios y equipamiento</v>
      </c>
      <c r="H78" s="6" t="s">
        <v>237</v>
      </c>
      <c r="I78" s="13" t="str">
        <f>IFERROR(VLOOKUP(H78,CATÁLOGOS!$F$6:$H$305,3,FALSE),"")</f>
        <v>Escobas y escobillones</v>
      </c>
      <c r="J78" s="6" t="s">
        <v>27</v>
      </c>
      <c r="K78" s="6" t="s">
        <v>409</v>
      </c>
      <c r="L78" s="6"/>
      <c r="M78" s="6" t="s">
        <v>120</v>
      </c>
      <c r="N78" s="6" t="s">
        <v>420</v>
      </c>
      <c r="O78" s="6" t="s">
        <v>411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421</v>
      </c>
      <c r="B79" s="6" t="s">
        <v>422</v>
      </c>
      <c r="C79" s="6" t="s">
        <v>422</v>
      </c>
      <c r="D79" s="6"/>
      <c r="E79" s="6"/>
      <c r="F79" s="6" t="s">
        <v>117</v>
      </c>
      <c r="G79" s="13" t="str">
        <f>IFERROR(VLOOKUP(F79,CATÁLOGOS!$A$6:$B$105,2,FALSE),"")</f>
        <v>🧰 Accesorios y equipamiento</v>
      </c>
      <c r="H79" s="6" t="s">
        <v>237</v>
      </c>
      <c r="I79" s="13" t="str">
        <f>IFERROR(VLOOKUP(H79,CATÁLOGOS!$F$6:$H$305,3,FALSE),"")</f>
        <v>Escobas y escobillones</v>
      </c>
      <c r="J79" s="6" t="s">
        <v>27</v>
      </c>
      <c r="K79" s="6" t="s">
        <v>423</v>
      </c>
      <c r="L79" s="6"/>
      <c r="M79" s="6" t="s">
        <v>120</v>
      </c>
      <c r="N79" s="6" t="s">
        <v>424</v>
      </c>
      <c r="O79" s="6" t="s">
        <v>425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426</v>
      </c>
      <c r="B80" s="6" t="s">
        <v>427</v>
      </c>
      <c r="C80" s="6" t="s">
        <v>427</v>
      </c>
      <c r="D80" s="6"/>
      <c r="E80" s="6"/>
      <c r="F80" s="6" t="s">
        <v>428</v>
      </c>
      <c r="G80" s="13" t="str">
        <f>IFERROR(VLOOKUP(F80,CATÁLOGOS!$A$6:$B$105,2,FALSE),"")</f>
        <v>🚗 Automotor</v>
      </c>
      <c r="H80" s="6" t="s">
        <v>429</v>
      </c>
      <c r="I80" s="13" t="str">
        <f>IFERROR(VLOOKUP(H80,CATÁLOGOS!$F$6:$H$305,3,FALSE),"")</f>
        <v>Bruja</v>
      </c>
      <c r="J80" s="6" t="s">
        <v>27</v>
      </c>
      <c r="K80" s="6" t="s">
        <v>430</v>
      </c>
      <c r="L80" s="6"/>
      <c r="M80" s="6" t="s">
        <v>120</v>
      </c>
      <c r="N80" s="6" t="s">
        <v>431</v>
      </c>
      <c r="O80" s="6" t="s">
        <v>432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433</v>
      </c>
      <c r="B81" s="6" t="s">
        <v>434</v>
      </c>
      <c r="C81" s="6" t="s">
        <v>434</v>
      </c>
      <c r="D81" s="6"/>
      <c r="E81" s="6"/>
      <c r="F81" s="6" t="s">
        <v>428</v>
      </c>
      <c r="G81" s="13" t="str">
        <f>IFERROR(VLOOKUP(F81,CATÁLOGOS!$A$6:$B$105,2,FALSE),"")</f>
        <v>🚗 Automotor</v>
      </c>
      <c r="H81" s="6" t="s">
        <v>435</v>
      </c>
      <c r="I81" s="13" t="str">
        <f>IFERROR(VLOOKUP(H81,CATÁLOGOS!$F$6:$H$305,3,FALSE),"")</f>
        <v>Esponja</v>
      </c>
      <c r="J81" s="6" t="s">
        <v>27</v>
      </c>
      <c r="K81" s="6" t="s">
        <v>436</v>
      </c>
      <c r="L81" s="6"/>
      <c r="M81" s="6" t="s">
        <v>120</v>
      </c>
      <c r="N81" s="6" t="s">
        <v>437</v>
      </c>
      <c r="O81" s="6" t="s">
        <v>438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439</v>
      </c>
      <c r="B82" s="6" t="s">
        <v>440</v>
      </c>
      <c r="C82" s="6" t="s">
        <v>440</v>
      </c>
      <c r="D82" s="6"/>
      <c r="E82" s="6"/>
      <c r="F82" s="6" t="s">
        <v>428</v>
      </c>
      <c r="G82" s="13" t="str">
        <f>IFERROR(VLOOKUP(F82,CATÁLOGOS!$A$6:$B$105,2,FALSE),"")</f>
        <v>🚗 Automotor</v>
      </c>
      <c r="H82" s="6" t="s">
        <v>441</v>
      </c>
      <c r="I82" s="13" t="str">
        <f>IFERROR(VLOOKUP(H82,CATÁLOGOS!$F$6:$H$305,3,FALSE),"")</f>
        <v>Silicona</v>
      </c>
      <c r="J82" s="6" t="s">
        <v>27</v>
      </c>
      <c r="K82" s="6" t="s">
        <v>442</v>
      </c>
      <c r="L82" s="6"/>
      <c r="M82" s="6" t="s">
        <v>120</v>
      </c>
      <c r="N82" s="6" t="s">
        <v>443</v>
      </c>
      <c r="O82" s="6" t="s">
        <v>444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445</v>
      </c>
      <c r="B83" s="6" t="s">
        <v>446</v>
      </c>
      <c r="C83" s="6" t="s">
        <v>446</v>
      </c>
      <c r="D83" s="6" t="s">
        <v>447</v>
      </c>
      <c r="E83" s="6" t="s">
        <v>448</v>
      </c>
      <c r="F83" s="6" t="s">
        <v>428</v>
      </c>
      <c r="G83" s="13" t="str">
        <f>IFERROR(VLOOKUP(F83,CATÁLOGOS!$A$6:$B$105,2,FALSE),"")</f>
        <v>🚗 Automotor</v>
      </c>
      <c r="H83" s="6" t="s">
        <v>449</v>
      </c>
      <c r="I83" s="13" t="str">
        <f>IFERROR(VLOOKUP(H83,CATÁLOGOS!$F$6:$H$305,3,FALSE),"")</f>
        <v>Silicona en Aerosol</v>
      </c>
      <c r="J83" s="6" t="s">
        <v>450</v>
      </c>
      <c r="K83" s="6" t="s">
        <v>451</v>
      </c>
      <c r="L83" s="6" t="s">
        <v>448</v>
      </c>
      <c r="M83" s="6" t="s">
        <v>120</v>
      </c>
      <c r="N83" s="6" t="s">
        <v>452</v>
      </c>
      <c r="O83" s="6" t="s">
        <v>453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454</v>
      </c>
      <c r="B84" s="6" t="s">
        <v>455</v>
      </c>
      <c r="C84" s="6" t="s">
        <v>455</v>
      </c>
      <c r="D84" s="6" t="s">
        <v>447</v>
      </c>
      <c r="E84" s="6" t="s">
        <v>456</v>
      </c>
      <c r="F84" s="6" t="s">
        <v>428</v>
      </c>
      <c r="G84" s="13" t="str">
        <f>IFERROR(VLOOKUP(F84,CATÁLOGOS!$A$6:$B$105,2,FALSE),"")</f>
        <v>🚗 Automotor</v>
      </c>
      <c r="H84" s="6" t="s">
        <v>449</v>
      </c>
      <c r="I84" s="13" t="str">
        <f>IFERROR(VLOOKUP(H84,CATÁLOGOS!$F$6:$H$305,3,FALSE),"")</f>
        <v>Silicona en Aerosol</v>
      </c>
      <c r="J84" s="6" t="s">
        <v>450</v>
      </c>
      <c r="K84" s="6" t="s">
        <v>451</v>
      </c>
      <c r="L84" s="6" t="s">
        <v>456</v>
      </c>
      <c r="M84" s="6" t="s">
        <v>120</v>
      </c>
      <c r="N84" s="6" t="s">
        <v>457</v>
      </c>
      <c r="O84" s="6" t="s">
        <v>458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459</v>
      </c>
      <c r="B85" s="6" t="s">
        <v>460</v>
      </c>
      <c r="C85" s="6" t="s">
        <v>460</v>
      </c>
      <c r="D85" s="6" t="s">
        <v>447</v>
      </c>
      <c r="E85" s="6" t="s">
        <v>461</v>
      </c>
      <c r="F85" s="6" t="s">
        <v>428</v>
      </c>
      <c r="G85" s="13" t="str">
        <f>IFERROR(VLOOKUP(F85,CATÁLOGOS!$A$6:$B$105,2,FALSE),"")</f>
        <v>🚗 Automotor</v>
      </c>
      <c r="H85" s="6" t="s">
        <v>449</v>
      </c>
      <c r="I85" s="13" t="str">
        <f>IFERROR(VLOOKUP(H85,CATÁLOGOS!$F$6:$H$305,3,FALSE),"")</f>
        <v>Silicona en Aerosol</v>
      </c>
      <c r="J85" s="6" t="s">
        <v>450</v>
      </c>
      <c r="K85" s="6" t="s">
        <v>451</v>
      </c>
      <c r="L85" s="6" t="s">
        <v>461</v>
      </c>
      <c r="M85" s="6" t="s">
        <v>120</v>
      </c>
      <c r="N85" s="6" t="s">
        <v>462</v>
      </c>
      <c r="O85" s="6" t="s">
        <v>463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464</v>
      </c>
      <c r="B86" s="6" t="s">
        <v>465</v>
      </c>
      <c r="C86" s="6" t="s">
        <v>465</v>
      </c>
      <c r="D86" s="6" t="s">
        <v>447</v>
      </c>
      <c r="E86" s="6" t="s">
        <v>466</v>
      </c>
      <c r="F86" s="6" t="s">
        <v>428</v>
      </c>
      <c r="G86" s="13" t="str">
        <f>IFERROR(VLOOKUP(F86,CATÁLOGOS!$A$6:$B$105,2,FALSE),"")</f>
        <v>🚗 Automotor</v>
      </c>
      <c r="H86" s="6" t="s">
        <v>449</v>
      </c>
      <c r="I86" s="13" t="str">
        <f>IFERROR(VLOOKUP(H86,CATÁLOGOS!$F$6:$H$305,3,FALSE),"")</f>
        <v>Silicona en Aerosol</v>
      </c>
      <c r="J86" s="6" t="s">
        <v>450</v>
      </c>
      <c r="K86" s="6" t="s">
        <v>451</v>
      </c>
      <c r="L86" s="6" t="s">
        <v>466</v>
      </c>
      <c r="M86" s="6" t="s">
        <v>120</v>
      </c>
      <c r="N86" s="6" t="s">
        <v>467</v>
      </c>
      <c r="O86" s="6" t="s">
        <v>468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469</v>
      </c>
      <c r="B87" s="6" t="s">
        <v>470</v>
      </c>
      <c r="C87" s="6" t="s">
        <v>470</v>
      </c>
      <c r="D87" s="6" t="s">
        <v>447</v>
      </c>
      <c r="E87" s="6" t="s">
        <v>471</v>
      </c>
      <c r="F87" s="6" t="s">
        <v>428</v>
      </c>
      <c r="G87" s="13" t="str">
        <f>IFERROR(VLOOKUP(F87,CATÁLOGOS!$A$6:$B$105,2,FALSE),"")</f>
        <v>🚗 Automotor</v>
      </c>
      <c r="H87" s="6" t="s">
        <v>449</v>
      </c>
      <c r="I87" s="13" t="str">
        <f>IFERROR(VLOOKUP(H87,CATÁLOGOS!$F$6:$H$305,3,FALSE),"")</f>
        <v>Silicona en Aerosol</v>
      </c>
      <c r="J87" s="6" t="s">
        <v>450</v>
      </c>
      <c r="K87" s="6" t="s">
        <v>451</v>
      </c>
      <c r="L87" s="6" t="s">
        <v>471</v>
      </c>
      <c r="M87" s="6" t="s">
        <v>120</v>
      </c>
      <c r="N87" s="6" t="s">
        <v>472</v>
      </c>
      <c r="O87" s="6" t="s">
        <v>473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474</v>
      </c>
      <c r="B88" s="6" t="s">
        <v>475</v>
      </c>
      <c r="C88" s="6" t="s">
        <v>475</v>
      </c>
      <c r="D88" s="6" t="s">
        <v>447</v>
      </c>
      <c r="E88" s="6" t="s">
        <v>476</v>
      </c>
      <c r="F88" s="6" t="s">
        <v>428</v>
      </c>
      <c r="G88" s="13" t="str">
        <f>IFERROR(VLOOKUP(F88,CATÁLOGOS!$A$6:$B$105,2,FALSE),"")</f>
        <v>🚗 Automotor</v>
      </c>
      <c r="H88" s="6" t="s">
        <v>449</v>
      </c>
      <c r="I88" s="13" t="str">
        <f>IFERROR(VLOOKUP(H88,CATÁLOGOS!$F$6:$H$305,3,FALSE),"")</f>
        <v>Silicona en Aerosol</v>
      </c>
      <c r="J88" s="6" t="s">
        <v>450</v>
      </c>
      <c r="K88" s="6" t="s">
        <v>451</v>
      </c>
      <c r="L88" s="6" t="s">
        <v>476</v>
      </c>
      <c r="M88" s="6" t="s">
        <v>120</v>
      </c>
      <c r="N88" s="6" t="s">
        <v>477</v>
      </c>
      <c r="O88" s="6" t="s">
        <v>478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479</v>
      </c>
      <c r="B89" s="6" t="s">
        <v>480</v>
      </c>
      <c r="C89" s="6" t="s">
        <v>480</v>
      </c>
      <c r="D89" s="6" t="s">
        <v>447</v>
      </c>
      <c r="E89" s="6" t="s">
        <v>481</v>
      </c>
      <c r="F89" s="6" t="s">
        <v>428</v>
      </c>
      <c r="G89" s="13" t="str">
        <f>IFERROR(VLOOKUP(F89,CATÁLOGOS!$A$6:$B$105,2,FALSE),"")</f>
        <v>🚗 Automotor</v>
      </c>
      <c r="H89" s="6" t="s">
        <v>449</v>
      </c>
      <c r="I89" s="13" t="str">
        <f>IFERROR(VLOOKUP(H89,CATÁLOGOS!$F$6:$H$305,3,FALSE),"")</f>
        <v>Silicona en Aerosol</v>
      </c>
      <c r="J89" s="6" t="s">
        <v>450</v>
      </c>
      <c r="K89" s="6" t="s">
        <v>451</v>
      </c>
      <c r="L89" s="6" t="s">
        <v>481</v>
      </c>
      <c r="M89" s="6" t="s">
        <v>120</v>
      </c>
      <c r="N89" s="6" t="s">
        <v>482</v>
      </c>
      <c r="O89" s="6" t="s">
        <v>483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484</v>
      </c>
      <c r="B90" s="6" t="s">
        <v>485</v>
      </c>
      <c r="C90" s="6" t="s">
        <v>485</v>
      </c>
      <c r="D90" s="6" t="s">
        <v>447</v>
      </c>
      <c r="E90" s="6" t="s">
        <v>486</v>
      </c>
      <c r="F90" s="6" t="s">
        <v>428</v>
      </c>
      <c r="G90" s="13" t="str">
        <f>IFERROR(VLOOKUP(F90,CATÁLOGOS!$A$6:$B$105,2,FALSE),"")</f>
        <v>🚗 Automotor</v>
      </c>
      <c r="H90" s="6" t="s">
        <v>449</v>
      </c>
      <c r="I90" s="13" t="str">
        <f>IFERROR(VLOOKUP(H90,CATÁLOGOS!$F$6:$H$305,3,FALSE),"")</f>
        <v>Silicona en Aerosol</v>
      </c>
      <c r="J90" s="6" t="s">
        <v>450</v>
      </c>
      <c r="K90" s="6" t="s">
        <v>451</v>
      </c>
      <c r="L90" s="6" t="s">
        <v>486</v>
      </c>
      <c r="M90" s="6" t="s">
        <v>120</v>
      </c>
      <c r="N90" s="6" t="s">
        <v>487</v>
      </c>
      <c r="O90" s="6" t="s">
        <v>488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489</v>
      </c>
      <c r="B91" s="6" t="s">
        <v>490</v>
      </c>
      <c r="C91" s="6" t="s">
        <v>490</v>
      </c>
      <c r="D91" s="6" t="s">
        <v>447</v>
      </c>
      <c r="E91" s="6" t="s">
        <v>491</v>
      </c>
      <c r="F91" s="6" t="s">
        <v>428</v>
      </c>
      <c r="G91" s="13" t="str">
        <f>IFERROR(VLOOKUP(F91,CATÁLOGOS!$A$6:$B$105,2,FALSE),"")</f>
        <v>🚗 Automotor</v>
      </c>
      <c r="H91" s="6" t="s">
        <v>449</v>
      </c>
      <c r="I91" s="13" t="str">
        <f>IFERROR(VLOOKUP(H91,CATÁLOGOS!$F$6:$H$305,3,FALSE),"")</f>
        <v>Silicona en Aerosol</v>
      </c>
      <c r="J91" s="6" t="s">
        <v>450</v>
      </c>
      <c r="K91" s="6" t="s">
        <v>451</v>
      </c>
      <c r="L91" s="6" t="s">
        <v>491</v>
      </c>
      <c r="M91" s="6" t="s">
        <v>120</v>
      </c>
      <c r="N91" s="6" t="s">
        <v>492</v>
      </c>
      <c r="O91" s="6" t="s">
        <v>493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494</v>
      </c>
      <c r="B92" s="6" t="s">
        <v>495</v>
      </c>
      <c r="C92" s="6" t="s">
        <v>495</v>
      </c>
      <c r="D92" s="6"/>
      <c r="E92" s="6"/>
      <c r="F92" s="6" t="s">
        <v>428</v>
      </c>
      <c r="G92" s="13" t="str">
        <f>IFERROR(VLOOKUP(F92,CATÁLOGOS!$A$6:$B$105,2,FALSE),"")</f>
        <v>🚗 Automotor</v>
      </c>
      <c r="H92" s="6" t="s">
        <v>496</v>
      </c>
      <c r="I92" s="13" t="str">
        <f>IFERROR(VLOOKUP(H92,CATÁLOGOS!$F$6:$H$305,3,FALSE),"")</f>
        <v>Shampoo Siliconado</v>
      </c>
      <c r="J92" s="6" t="s">
        <v>27</v>
      </c>
      <c r="K92" s="6" t="s">
        <v>497</v>
      </c>
      <c r="L92" s="6"/>
      <c r="M92" s="6" t="s">
        <v>120</v>
      </c>
      <c r="N92" s="6" t="s">
        <v>498</v>
      </c>
      <c r="O92" s="6" t="s">
        <v>499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500</v>
      </c>
      <c r="B93" s="6" t="s">
        <v>501</v>
      </c>
      <c r="C93" s="6" t="s">
        <v>501</v>
      </c>
      <c r="D93" s="6"/>
      <c r="E93" s="6"/>
      <c r="F93" s="6" t="s">
        <v>428</v>
      </c>
      <c r="G93" s="13" t="str">
        <f>IFERROR(VLOOKUP(F93,CATÁLOGOS!$A$6:$B$105,2,FALSE),"")</f>
        <v>🚗 Automotor</v>
      </c>
      <c r="H93" s="6" t="s">
        <v>502</v>
      </c>
      <c r="I93" s="13" t="str">
        <f>IFERROR(VLOOKUP(H93,CATÁLOGOS!$F$6:$H$305,3,FALSE),"")</f>
        <v>Mini Lata Walker</v>
      </c>
      <c r="J93" s="6" t="s">
        <v>450</v>
      </c>
      <c r="K93" s="6" t="s">
        <v>503</v>
      </c>
      <c r="L93" s="6" t="s">
        <v>504</v>
      </c>
      <c r="M93" s="6" t="s">
        <v>120</v>
      </c>
      <c r="N93" s="6" t="s">
        <v>505</v>
      </c>
      <c r="O93" s="6" t="s">
        <v>506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507</v>
      </c>
      <c r="B94" s="6" t="s">
        <v>508</v>
      </c>
      <c r="C94" s="6" t="s">
        <v>508</v>
      </c>
      <c r="D94" s="6" t="s">
        <v>509</v>
      </c>
      <c r="E94" s="6" t="s">
        <v>448</v>
      </c>
      <c r="F94" s="6" t="s">
        <v>428</v>
      </c>
      <c r="G94" s="13" t="str">
        <f>IFERROR(VLOOKUP(F94,CATÁLOGOS!$A$6:$B$105,2,FALSE),"")</f>
        <v>🚗 Automotor</v>
      </c>
      <c r="H94" s="6" t="s">
        <v>510</v>
      </c>
      <c r="I94" s="13" t="str">
        <f>IFERROR(VLOOKUP(H94,CATÁLOGOS!$F$6:$H$305,3,FALSE),"")</f>
        <v>Perfume en Lata Walker</v>
      </c>
      <c r="J94" s="6" t="s">
        <v>450</v>
      </c>
      <c r="K94" s="6" t="s">
        <v>511</v>
      </c>
      <c r="L94" s="6" t="s">
        <v>448</v>
      </c>
      <c r="M94" s="6" t="s">
        <v>120</v>
      </c>
      <c r="N94" s="6" t="s">
        <v>512</v>
      </c>
      <c r="O94" s="6" t="s">
        <v>513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514</v>
      </c>
      <c r="B95" s="6" t="s">
        <v>515</v>
      </c>
      <c r="C95" s="6" t="s">
        <v>515</v>
      </c>
      <c r="D95" s="6" t="s">
        <v>509</v>
      </c>
      <c r="E95" s="6" t="s">
        <v>461</v>
      </c>
      <c r="F95" s="6" t="s">
        <v>428</v>
      </c>
      <c r="G95" s="13" t="str">
        <f>IFERROR(VLOOKUP(F95,CATÁLOGOS!$A$6:$B$105,2,FALSE),"")</f>
        <v>🚗 Automotor</v>
      </c>
      <c r="H95" s="6" t="s">
        <v>510</v>
      </c>
      <c r="I95" s="13" t="str">
        <f>IFERROR(VLOOKUP(H95,CATÁLOGOS!$F$6:$H$305,3,FALSE),"")</f>
        <v>Perfume en Lata Walker</v>
      </c>
      <c r="J95" s="6" t="s">
        <v>450</v>
      </c>
      <c r="K95" s="6" t="s">
        <v>511</v>
      </c>
      <c r="L95" s="6" t="s">
        <v>461</v>
      </c>
      <c r="M95" s="6" t="s">
        <v>120</v>
      </c>
      <c r="N95" s="6" t="s">
        <v>516</v>
      </c>
      <c r="O95" s="6" t="s">
        <v>517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518</v>
      </c>
      <c r="B96" s="6" t="s">
        <v>519</v>
      </c>
      <c r="C96" s="6" t="s">
        <v>519</v>
      </c>
      <c r="D96" s="6" t="s">
        <v>509</v>
      </c>
      <c r="E96" s="6" t="s">
        <v>520</v>
      </c>
      <c r="F96" s="6" t="s">
        <v>428</v>
      </c>
      <c r="G96" s="13" t="str">
        <f>IFERROR(VLOOKUP(F96,CATÁLOGOS!$A$6:$B$105,2,FALSE),"")</f>
        <v>🚗 Automotor</v>
      </c>
      <c r="H96" s="6" t="s">
        <v>510</v>
      </c>
      <c r="I96" s="13" t="str">
        <f>IFERROR(VLOOKUP(H96,CATÁLOGOS!$F$6:$H$305,3,FALSE),"")</f>
        <v>Perfume en Lata Walker</v>
      </c>
      <c r="J96" s="6" t="s">
        <v>450</v>
      </c>
      <c r="K96" s="6" t="s">
        <v>511</v>
      </c>
      <c r="L96" s="6" t="s">
        <v>520</v>
      </c>
      <c r="M96" s="6" t="s">
        <v>120</v>
      </c>
      <c r="N96" s="6" t="s">
        <v>521</v>
      </c>
      <c r="O96" s="6" t="s">
        <v>522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523</v>
      </c>
      <c r="B97" s="6" t="s">
        <v>524</v>
      </c>
      <c r="C97" s="6" t="s">
        <v>524</v>
      </c>
      <c r="D97" s="6" t="s">
        <v>509</v>
      </c>
      <c r="E97" s="6" t="s">
        <v>491</v>
      </c>
      <c r="F97" s="6" t="s">
        <v>428</v>
      </c>
      <c r="G97" s="13" t="str">
        <f>IFERROR(VLOOKUP(F97,CATÁLOGOS!$A$6:$B$105,2,FALSE),"")</f>
        <v>🚗 Automotor</v>
      </c>
      <c r="H97" s="6" t="s">
        <v>510</v>
      </c>
      <c r="I97" s="13" t="str">
        <f>IFERROR(VLOOKUP(H97,CATÁLOGOS!$F$6:$H$305,3,FALSE),"")</f>
        <v>Perfume en Lata Walker</v>
      </c>
      <c r="J97" s="6" t="s">
        <v>450</v>
      </c>
      <c r="K97" s="6" t="s">
        <v>511</v>
      </c>
      <c r="L97" s="6" t="s">
        <v>491</v>
      </c>
      <c r="M97" s="6" t="s">
        <v>120</v>
      </c>
      <c r="N97" s="6" t="s">
        <v>525</v>
      </c>
      <c r="O97" s="6" t="s">
        <v>526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527</v>
      </c>
      <c r="B98" s="6" t="s">
        <v>528</v>
      </c>
      <c r="C98" s="6" t="s">
        <v>528</v>
      </c>
      <c r="D98" s="6" t="s">
        <v>509</v>
      </c>
      <c r="E98" s="6" t="s">
        <v>529</v>
      </c>
      <c r="F98" s="6" t="s">
        <v>428</v>
      </c>
      <c r="G98" s="13" t="str">
        <f>IFERROR(VLOOKUP(F98,CATÁLOGOS!$A$6:$B$105,2,FALSE),"")</f>
        <v>🚗 Automotor</v>
      </c>
      <c r="H98" s="6" t="s">
        <v>510</v>
      </c>
      <c r="I98" s="13" t="str">
        <f>IFERROR(VLOOKUP(H98,CATÁLOGOS!$F$6:$H$305,3,FALSE),"")</f>
        <v>Perfume en Lata Walker</v>
      </c>
      <c r="J98" s="6" t="s">
        <v>450</v>
      </c>
      <c r="K98" s="6" t="s">
        <v>511</v>
      </c>
      <c r="L98" s="6" t="s">
        <v>529</v>
      </c>
      <c r="M98" s="6" t="s">
        <v>120</v>
      </c>
      <c r="N98" s="6" t="s">
        <v>530</v>
      </c>
      <c r="O98" s="6" t="s">
        <v>531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532</v>
      </c>
      <c r="B99" s="6" t="s">
        <v>533</v>
      </c>
      <c r="C99" s="6" t="s">
        <v>533</v>
      </c>
      <c r="D99" s="6"/>
      <c r="E99" s="6"/>
      <c r="F99" s="6" t="s">
        <v>428</v>
      </c>
      <c r="G99" s="13" t="str">
        <f>IFERROR(VLOOKUP(F99,CATÁLOGOS!$A$6:$B$105,2,FALSE),"")</f>
        <v>🚗 Automotor</v>
      </c>
      <c r="H99" s="6" t="s">
        <v>534</v>
      </c>
      <c r="I99" s="13" t="str">
        <f>IFERROR(VLOOKUP(H99,CATÁLOGOS!$F$6:$H$305,3,FALSE),"")</f>
        <v>Cera</v>
      </c>
      <c r="J99" s="6" t="s">
        <v>27</v>
      </c>
      <c r="K99" s="6" t="s">
        <v>535</v>
      </c>
      <c r="L99" s="6"/>
      <c r="M99" s="6" t="s">
        <v>120</v>
      </c>
      <c r="N99" s="6" t="s">
        <v>536</v>
      </c>
      <c r="O99" s="6" t="s">
        <v>537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538</v>
      </c>
      <c r="B100" s="6" t="s">
        <v>539</v>
      </c>
      <c r="C100" s="6" t="s">
        <v>539</v>
      </c>
      <c r="D100" s="6"/>
      <c r="E100" s="6"/>
      <c r="F100" s="6" t="s">
        <v>428</v>
      </c>
      <c r="G100" s="13" t="str">
        <f>IFERROR(VLOOKUP(F100,CATÁLOGOS!$A$6:$B$105,2,FALSE),"")</f>
        <v>🚗 Automotor</v>
      </c>
      <c r="H100" s="6" t="s">
        <v>540</v>
      </c>
      <c r="I100" s="13" t="str">
        <f>IFERROR(VLOOKUP(H100,CATÁLOGOS!$F$6:$H$305,3,FALSE),"")</f>
        <v>Limpia Tapizado en Aerosol</v>
      </c>
      <c r="J100" s="6" t="s">
        <v>450</v>
      </c>
      <c r="K100" s="6" t="s">
        <v>541</v>
      </c>
      <c r="L100" s="6"/>
      <c r="M100" s="6" t="s">
        <v>120</v>
      </c>
      <c r="N100" s="6" t="s">
        <v>542</v>
      </c>
      <c r="O100" s="6" t="s">
        <v>543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544</v>
      </c>
      <c r="B101" s="6" t="s">
        <v>545</v>
      </c>
      <c r="C101" s="6" t="s">
        <v>545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546</v>
      </c>
      <c r="I101" s="13" t="str">
        <f>IFERROR(VLOOKUP(H101,CATÁLOGOS!$F$6:$H$305,3,FALSE),"")</f>
        <v>Jabón líquido de manos</v>
      </c>
      <c r="J101" s="6" t="s">
        <v>27</v>
      </c>
      <c r="K101" s="6" t="s">
        <v>547</v>
      </c>
      <c r="L101" s="6" t="s">
        <v>461</v>
      </c>
      <c r="M101" s="6" t="s">
        <v>120</v>
      </c>
      <c r="N101" s="6" t="s">
        <v>548</v>
      </c>
      <c r="O101" s="6" t="s">
        <v>549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550</v>
      </c>
      <c r="B102" s="6" t="s">
        <v>551</v>
      </c>
      <c r="C102" s="6" t="s">
        <v>551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546</v>
      </c>
      <c r="I102" s="13" t="str">
        <f>IFERROR(VLOOKUP(H102,CATÁLOGOS!$F$6:$H$305,3,FALSE),"")</f>
        <v>Jabón líquido de manos</v>
      </c>
      <c r="J102" s="6" t="s">
        <v>27</v>
      </c>
      <c r="K102" s="6" t="s">
        <v>552</v>
      </c>
      <c r="L102" s="6" t="s">
        <v>553</v>
      </c>
      <c r="M102" s="6" t="s">
        <v>120</v>
      </c>
      <c r="N102" s="6" t="s">
        <v>554</v>
      </c>
      <c r="O102" s="6" t="s">
        <v>555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556</v>
      </c>
      <c r="B103" s="6" t="s">
        <v>557</v>
      </c>
      <c r="C103" s="6" t="s">
        <v>557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546</v>
      </c>
      <c r="I103" s="13" t="str">
        <f>IFERROR(VLOOKUP(H103,CATÁLOGOS!$F$6:$H$305,3,FALSE),"")</f>
        <v>Jabón líquido de manos</v>
      </c>
      <c r="J103" s="6" t="s">
        <v>27</v>
      </c>
      <c r="K103" s="6" t="s">
        <v>552</v>
      </c>
      <c r="L103" s="6" t="s">
        <v>558</v>
      </c>
      <c r="M103" s="6" t="s">
        <v>120</v>
      </c>
      <c r="N103" s="6" t="s">
        <v>559</v>
      </c>
      <c r="O103" s="6" t="s">
        <v>560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561</v>
      </c>
      <c r="B104" s="6" t="s">
        <v>562</v>
      </c>
      <c r="C104" s="6" t="s">
        <v>562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546</v>
      </c>
      <c r="I104" s="13" t="str">
        <f>IFERROR(VLOOKUP(H104,CATÁLOGOS!$F$6:$H$305,3,FALSE),"")</f>
        <v>Jabón líquido de manos</v>
      </c>
      <c r="J104" s="6" t="s">
        <v>27</v>
      </c>
      <c r="K104" s="6" t="s">
        <v>552</v>
      </c>
      <c r="L104" s="6" t="s">
        <v>563</v>
      </c>
      <c r="M104" s="6" t="s">
        <v>120</v>
      </c>
      <c r="N104" s="6" t="s">
        <v>564</v>
      </c>
      <c r="O104" s="6" t="s">
        <v>565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566</v>
      </c>
      <c r="B105" s="6" t="s">
        <v>567</v>
      </c>
      <c r="C105" s="6" t="s">
        <v>567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546</v>
      </c>
      <c r="I105" s="13" t="str">
        <f>IFERROR(VLOOKUP(H105,CATÁLOGOS!$F$6:$H$305,3,FALSE),"")</f>
        <v>Jabón líquido de manos</v>
      </c>
      <c r="J105" s="6" t="s">
        <v>27</v>
      </c>
      <c r="K105" s="6" t="s">
        <v>552</v>
      </c>
      <c r="L105" s="6" t="s">
        <v>568</v>
      </c>
      <c r="M105" s="6" t="s">
        <v>120</v>
      </c>
      <c r="N105" s="6" t="s">
        <v>569</v>
      </c>
      <c r="O105" s="6" t="s">
        <v>570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571</v>
      </c>
      <c r="B106" s="6" t="s">
        <v>572</v>
      </c>
      <c r="C106" s="6" t="s">
        <v>572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546</v>
      </c>
      <c r="I106" s="13" t="str">
        <f>IFERROR(VLOOKUP(H106,CATÁLOGOS!$F$6:$H$305,3,FALSE),"")</f>
        <v>Jabón líquido de manos</v>
      </c>
      <c r="J106" s="6" t="s">
        <v>27</v>
      </c>
      <c r="K106" s="6" t="s">
        <v>552</v>
      </c>
      <c r="L106" s="6" t="s">
        <v>573</v>
      </c>
      <c r="M106" s="6" t="s">
        <v>120</v>
      </c>
      <c r="N106" s="6" t="s">
        <v>574</v>
      </c>
      <c r="O106" s="6" t="s">
        <v>575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576</v>
      </c>
      <c r="B107" s="6" t="s">
        <v>577</v>
      </c>
      <c r="C107" s="6" t="s">
        <v>577</v>
      </c>
      <c r="D107" s="6" t="s">
        <v>578</v>
      </c>
      <c r="E107" s="6" t="s">
        <v>579</v>
      </c>
      <c r="F107" s="6" t="s">
        <v>76</v>
      </c>
      <c r="G107" s="13" t="str">
        <f>IFERROR(VLOOKUP(F107,CATÁLOGOS!$A$6:$B$105,2,FALSE),"")</f>
        <v>🌸 Aromas y fragancias</v>
      </c>
      <c r="H107" s="6" t="s">
        <v>580</v>
      </c>
      <c r="I107" s="13" t="str">
        <f>IFERROR(VLOOKUP(H107,CATÁLOGOS!$F$6:$H$305,3,FALSE),"")</f>
        <v>Difusores aromáticos</v>
      </c>
      <c r="J107" s="6" t="s">
        <v>581</v>
      </c>
      <c r="K107" s="6" t="s">
        <v>582</v>
      </c>
      <c r="L107" s="6" t="s">
        <v>579</v>
      </c>
      <c r="M107" s="6" t="s">
        <v>120</v>
      </c>
      <c r="N107" s="6" t="s">
        <v>583</v>
      </c>
      <c r="O107" s="6" t="s">
        <v>584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585</v>
      </c>
      <c r="B108" s="6" t="s">
        <v>586</v>
      </c>
      <c r="C108" s="6" t="s">
        <v>586</v>
      </c>
      <c r="D108" s="6" t="s">
        <v>578</v>
      </c>
      <c r="E108" s="6" t="s">
        <v>587</v>
      </c>
      <c r="F108" s="6" t="s">
        <v>76</v>
      </c>
      <c r="G108" s="13" t="str">
        <f>IFERROR(VLOOKUP(F108,CATÁLOGOS!$A$6:$B$105,2,FALSE),"")</f>
        <v>🌸 Aromas y fragancias</v>
      </c>
      <c r="H108" s="6" t="s">
        <v>580</v>
      </c>
      <c r="I108" s="13" t="str">
        <f>IFERROR(VLOOKUP(H108,CATÁLOGOS!$F$6:$H$305,3,FALSE),"")</f>
        <v>Difusores aromáticos</v>
      </c>
      <c r="J108" s="6" t="s">
        <v>581</v>
      </c>
      <c r="K108" s="6" t="s">
        <v>582</v>
      </c>
      <c r="L108" s="6" t="s">
        <v>587</v>
      </c>
      <c r="M108" s="6" t="s">
        <v>120</v>
      </c>
      <c r="N108" s="6" t="s">
        <v>588</v>
      </c>
      <c r="O108" s="6" t="s">
        <v>589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590</v>
      </c>
      <c r="B109" s="6" t="s">
        <v>591</v>
      </c>
      <c r="C109" s="6" t="s">
        <v>591</v>
      </c>
      <c r="D109" s="6" t="s">
        <v>578</v>
      </c>
      <c r="E109" s="6" t="s">
        <v>568</v>
      </c>
      <c r="F109" s="6" t="s">
        <v>76</v>
      </c>
      <c r="G109" s="13" t="str">
        <f>IFERROR(VLOOKUP(F109,CATÁLOGOS!$A$6:$B$105,2,FALSE),"")</f>
        <v>🌸 Aromas y fragancias</v>
      </c>
      <c r="H109" s="6" t="s">
        <v>580</v>
      </c>
      <c r="I109" s="13" t="str">
        <f>IFERROR(VLOOKUP(H109,CATÁLOGOS!$F$6:$H$305,3,FALSE),"")</f>
        <v>Difusores aromáticos</v>
      </c>
      <c r="J109" s="6" t="s">
        <v>581</v>
      </c>
      <c r="K109" s="6" t="s">
        <v>582</v>
      </c>
      <c r="L109" s="6" t="s">
        <v>568</v>
      </c>
      <c r="M109" s="6" t="s">
        <v>120</v>
      </c>
      <c r="N109" s="6" t="s">
        <v>592</v>
      </c>
      <c r="O109" s="6" t="s">
        <v>593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594</v>
      </c>
      <c r="B110" s="6" t="s">
        <v>595</v>
      </c>
      <c r="C110" s="6" t="s">
        <v>595</v>
      </c>
      <c r="D110" s="6" t="s">
        <v>578</v>
      </c>
      <c r="E110" s="6" t="s">
        <v>596</v>
      </c>
      <c r="F110" s="6" t="s">
        <v>76</v>
      </c>
      <c r="G110" s="13" t="str">
        <f>IFERROR(VLOOKUP(F110,CATÁLOGOS!$A$6:$B$105,2,FALSE),"")</f>
        <v>🌸 Aromas y fragancias</v>
      </c>
      <c r="H110" s="6" t="s">
        <v>580</v>
      </c>
      <c r="I110" s="13" t="str">
        <f>IFERROR(VLOOKUP(H110,CATÁLOGOS!$F$6:$H$305,3,FALSE),"")</f>
        <v>Difusores aromáticos</v>
      </c>
      <c r="J110" s="6" t="s">
        <v>581</v>
      </c>
      <c r="K110" s="6" t="s">
        <v>582</v>
      </c>
      <c r="L110" s="6" t="s">
        <v>596</v>
      </c>
      <c r="M110" s="6" t="s">
        <v>120</v>
      </c>
      <c r="N110" s="6" t="s">
        <v>597</v>
      </c>
      <c r="O110" s="6" t="s">
        <v>598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599</v>
      </c>
      <c r="B111" s="6" t="s">
        <v>600</v>
      </c>
      <c r="C111" s="6" t="s">
        <v>600</v>
      </c>
      <c r="D111" s="6" t="s">
        <v>578</v>
      </c>
      <c r="E111" s="6" t="s">
        <v>558</v>
      </c>
      <c r="F111" s="6" t="s">
        <v>76</v>
      </c>
      <c r="G111" s="13" t="str">
        <f>IFERROR(VLOOKUP(F111,CATÁLOGOS!$A$6:$B$105,2,FALSE),"")</f>
        <v>🌸 Aromas y fragancias</v>
      </c>
      <c r="H111" s="6" t="s">
        <v>580</v>
      </c>
      <c r="I111" s="13" t="str">
        <f>IFERROR(VLOOKUP(H111,CATÁLOGOS!$F$6:$H$305,3,FALSE),"")</f>
        <v>Difusores aromáticos</v>
      </c>
      <c r="J111" s="6" t="s">
        <v>581</v>
      </c>
      <c r="K111" s="6" t="s">
        <v>582</v>
      </c>
      <c r="L111" s="6" t="s">
        <v>558</v>
      </c>
      <c r="M111" s="6" t="s">
        <v>120</v>
      </c>
      <c r="N111" s="6" t="s">
        <v>601</v>
      </c>
      <c r="O111" s="6" t="s">
        <v>602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603</v>
      </c>
      <c r="B112" s="6" t="s">
        <v>604</v>
      </c>
      <c r="C112" s="6" t="s">
        <v>604</v>
      </c>
      <c r="D112" s="6" t="s">
        <v>578</v>
      </c>
      <c r="E112" s="6" t="s">
        <v>605</v>
      </c>
      <c r="F112" s="6" t="s">
        <v>76</v>
      </c>
      <c r="G112" s="13" t="str">
        <f>IFERROR(VLOOKUP(F112,CATÁLOGOS!$A$6:$B$105,2,FALSE),"")</f>
        <v>🌸 Aromas y fragancias</v>
      </c>
      <c r="H112" s="6" t="s">
        <v>580</v>
      </c>
      <c r="I112" s="13" t="str">
        <f>IFERROR(VLOOKUP(H112,CATÁLOGOS!$F$6:$H$305,3,FALSE),"")</f>
        <v>Difusores aromáticos</v>
      </c>
      <c r="J112" s="6" t="s">
        <v>581</v>
      </c>
      <c r="K112" s="6" t="s">
        <v>582</v>
      </c>
      <c r="L112" s="6" t="s">
        <v>605</v>
      </c>
      <c r="M112" s="6" t="s">
        <v>120</v>
      </c>
      <c r="N112" s="6" t="s">
        <v>606</v>
      </c>
      <c r="O112" s="6" t="s">
        <v>607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608</v>
      </c>
      <c r="B113" s="6" t="s">
        <v>609</v>
      </c>
      <c r="C113" s="6" t="s">
        <v>609</v>
      </c>
      <c r="D113" s="6" t="s">
        <v>578</v>
      </c>
      <c r="E113" s="6" t="s">
        <v>610</v>
      </c>
      <c r="F113" s="6" t="s">
        <v>76</v>
      </c>
      <c r="G113" s="13" t="str">
        <f>IFERROR(VLOOKUP(F113,CATÁLOGOS!$A$6:$B$105,2,FALSE),"")</f>
        <v>🌸 Aromas y fragancias</v>
      </c>
      <c r="H113" s="6" t="s">
        <v>580</v>
      </c>
      <c r="I113" s="13" t="str">
        <f>IFERROR(VLOOKUP(H113,CATÁLOGOS!$F$6:$H$305,3,FALSE),"")</f>
        <v>Difusores aromáticos</v>
      </c>
      <c r="J113" s="6" t="s">
        <v>581</v>
      </c>
      <c r="K113" s="6" t="s">
        <v>582</v>
      </c>
      <c r="L113" s="6" t="s">
        <v>610</v>
      </c>
      <c r="M113" s="6" t="s">
        <v>120</v>
      </c>
      <c r="N113" s="6" t="s">
        <v>611</v>
      </c>
      <c r="O113" s="6" t="s">
        <v>612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613</v>
      </c>
      <c r="B114" s="6" t="s">
        <v>614</v>
      </c>
      <c r="C114" s="6" t="s">
        <v>614</v>
      </c>
      <c r="D114" s="6" t="s">
        <v>578</v>
      </c>
      <c r="E114" s="6" t="s">
        <v>615</v>
      </c>
      <c r="F114" s="6" t="s">
        <v>76</v>
      </c>
      <c r="G114" s="13" t="str">
        <f>IFERROR(VLOOKUP(F114,CATÁLOGOS!$A$6:$B$105,2,FALSE),"")</f>
        <v>🌸 Aromas y fragancias</v>
      </c>
      <c r="H114" s="6" t="s">
        <v>580</v>
      </c>
      <c r="I114" s="13" t="str">
        <f>IFERROR(VLOOKUP(H114,CATÁLOGOS!$F$6:$H$305,3,FALSE),"")</f>
        <v>Difusores aromáticos</v>
      </c>
      <c r="J114" s="6" t="s">
        <v>581</v>
      </c>
      <c r="K114" s="6" t="s">
        <v>582</v>
      </c>
      <c r="L114" s="6" t="s">
        <v>615</v>
      </c>
      <c r="M114" s="6" t="s">
        <v>120</v>
      </c>
      <c r="N114" s="6" t="s">
        <v>616</v>
      </c>
      <c r="O114" s="6" t="s">
        <v>617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618</v>
      </c>
      <c r="B115" s="6" t="s">
        <v>619</v>
      </c>
      <c r="C115" s="6" t="s">
        <v>619</v>
      </c>
      <c r="D115" s="6" t="s">
        <v>578</v>
      </c>
      <c r="E115" s="6" t="s">
        <v>620</v>
      </c>
      <c r="F115" s="6" t="s">
        <v>76</v>
      </c>
      <c r="G115" s="13" t="str">
        <f>IFERROR(VLOOKUP(F115,CATÁLOGOS!$A$6:$B$105,2,FALSE),"")</f>
        <v>🌸 Aromas y fragancias</v>
      </c>
      <c r="H115" s="6" t="s">
        <v>580</v>
      </c>
      <c r="I115" s="13" t="str">
        <f>IFERROR(VLOOKUP(H115,CATÁLOGOS!$F$6:$H$305,3,FALSE),"")</f>
        <v>Difusores aromáticos</v>
      </c>
      <c r="J115" s="6" t="s">
        <v>581</v>
      </c>
      <c r="K115" s="6" t="s">
        <v>582</v>
      </c>
      <c r="L115" s="6" t="s">
        <v>620</v>
      </c>
      <c r="M115" s="6" t="s">
        <v>120</v>
      </c>
      <c r="N115" s="6" t="s">
        <v>621</v>
      </c>
      <c r="O115" s="6" t="s">
        <v>622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623</v>
      </c>
      <c r="B116" s="6" t="s">
        <v>624</v>
      </c>
      <c r="C116" s="6" t="s">
        <v>624</v>
      </c>
      <c r="D116" s="6" t="s">
        <v>578</v>
      </c>
      <c r="E116" s="6" t="s">
        <v>625</v>
      </c>
      <c r="F116" s="6" t="s">
        <v>76</v>
      </c>
      <c r="G116" s="13" t="str">
        <f>IFERROR(VLOOKUP(F116,CATÁLOGOS!$A$6:$B$105,2,FALSE),"")</f>
        <v>🌸 Aromas y fragancias</v>
      </c>
      <c r="H116" s="6" t="s">
        <v>580</v>
      </c>
      <c r="I116" s="13" t="str">
        <f>IFERROR(VLOOKUP(H116,CATÁLOGOS!$F$6:$H$305,3,FALSE),"")</f>
        <v>Difusores aromáticos</v>
      </c>
      <c r="J116" s="6" t="s">
        <v>581</v>
      </c>
      <c r="K116" s="6" t="s">
        <v>582</v>
      </c>
      <c r="L116" s="6" t="s">
        <v>625</v>
      </c>
      <c r="M116" s="6" t="s">
        <v>120</v>
      </c>
      <c r="N116" s="6" t="s">
        <v>626</v>
      </c>
      <c r="O116" s="6" t="s">
        <v>627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628</v>
      </c>
      <c r="B117" s="6" t="s">
        <v>629</v>
      </c>
      <c r="C117" s="6" t="s">
        <v>629</v>
      </c>
      <c r="D117" s="6" t="s">
        <v>578</v>
      </c>
      <c r="E117" s="6" t="s">
        <v>630</v>
      </c>
      <c r="F117" s="6" t="s">
        <v>76</v>
      </c>
      <c r="G117" s="13" t="str">
        <f>IFERROR(VLOOKUP(F117,CATÁLOGOS!$A$6:$B$105,2,FALSE),"")</f>
        <v>🌸 Aromas y fragancias</v>
      </c>
      <c r="H117" s="6" t="s">
        <v>580</v>
      </c>
      <c r="I117" s="13" t="str">
        <f>IFERROR(VLOOKUP(H117,CATÁLOGOS!$F$6:$H$305,3,FALSE),"")</f>
        <v>Difusores aromáticos</v>
      </c>
      <c r="J117" s="6" t="s">
        <v>581</v>
      </c>
      <c r="K117" s="6" t="s">
        <v>582</v>
      </c>
      <c r="L117" s="6" t="s">
        <v>630</v>
      </c>
      <c r="M117" s="6" t="s">
        <v>120</v>
      </c>
      <c r="N117" s="6" t="s">
        <v>631</v>
      </c>
      <c r="O117" s="6" t="s">
        <v>632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633</v>
      </c>
      <c r="B118" s="6" t="s">
        <v>634</v>
      </c>
      <c r="C118" s="6" t="s">
        <v>634</v>
      </c>
      <c r="D118" s="6" t="s">
        <v>578</v>
      </c>
      <c r="E118" s="6" t="s">
        <v>635</v>
      </c>
      <c r="F118" s="6" t="s">
        <v>76</v>
      </c>
      <c r="G118" s="13" t="str">
        <f>IFERROR(VLOOKUP(F118,CATÁLOGOS!$A$6:$B$105,2,FALSE),"")</f>
        <v>🌸 Aromas y fragancias</v>
      </c>
      <c r="H118" s="6" t="s">
        <v>580</v>
      </c>
      <c r="I118" s="13" t="str">
        <f>IFERROR(VLOOKUP(H118,CATÁLOGOS!$F$6:$H$305,3,FALSE),"")</f>
        <v>Difusores aromáticos</v>
      </c>
      <c r="J118" s="6" t="s">
        <v>581</v>
      </c>
      <c r="K118" s="6" t="s">
        <v>582</v>
      </c>
      <c r="L118" s="6" t="s">
        <v>635</v>
      </c>
      <c r="M118" s="6" t="s">
        <v>120</v>
      </c>
      <c r="N118" s="6" t="s">
        <v>636</v>
      </c>
      <c r="O118" s="6" t="s">
        <v>637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638</v>
      </c>
      <c r="B119" s="6" t="s">
        <v>639</v>
      </c>
      <c r="C119" s="6" t="s">
        <v>639</v>
      </c>
      <c r="D119" s="6" t="s">
        <v>578</v>
      </c>
      <c r="E119" s="6" t="s">
        <v>640</v>
      </c>
      <c r="F119" s="6" t="s">
        <v>76</v>
      </c>
      <c r="G119" s="13" t="str">
        <f>IFERROR(VLOOKUP(F119,CATÁLOGOS!$A$6:$B$105,2,FALSE),"")</f>
        <v>🌸 Aromas y fragancias</v>
      </c>
      <c r="H119" s="6" t="s">
        <v>580</v>
      </c>
      <c r="I119" s="13" t="str">
        <f>IFERROR(VLOOKUP(H119,CATÁLOGOS!$F$6:$H$305,3,FALSE),"")</f>
        <v>Difusores aromáticos</v>
      </c>
      <c r="J119" s="6" t="s">
        <v>581</v>
      </c>
      <c r="K119" s="6" t="s">
        <v>582</v>
      </c>
      <c r="L119" s="6" t="s">
        <v>640</v>
      </c>
      <c r="M119" s="6" t="s">
        <v>120</v>
      </c>
      <c r="N119" s="6" t="s">
        <v>641</v>
      </c>
      <c r="O119" s="6" t="s">
        <v>642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643</v>
      </c>
      <c r="B120" s="6" t="s">
        <v>644</v>
      </c>
      <c r="C120" s="6" t="s">
        <v>644</v>
      </c>
      <c r="D120" s="6" t="s">
        <v>578</v>
      </c>
      <c r="E120" s="6" t="s">
        <v>645</v>
      </c>
      <c r="F120" s="6" t="s">
        <v>76</v>
      </c>
      <c r="G120" s="13" t="str">
        <f>IFERROR(VLOOKUP(F120,CATÁLOGOS!$A$6:$B$105,2,FALSE),"")</f>
        <v>🌸 Aromas y fragancias</v>
      </c>
      <c r="H120" s="6" t="s">
        <v>580</v>
      </c>
      <c r="I120" s="13" t="str">
        <f>IFERROR(VLOOKUP(H120,CATÁLOGOS!$F$6:$H$305,3,FALSE),"")</f>
        <v>Difusores aromáticos</v>
      </c>
      <c r="J120" s="6" t="s">
        <v>581</v>
      </c>
      <c r="K120" s="6" t="s">
        <v>582</v>
      </c>
      <c r="L120" s="6" t="s">
        <v>645</v>
      </c>
      <c r="M120" s="6" t="s">
        <v>120</v>
      </c>
      <c r="N120" s="6" t="s">
        <v>646</v>
      </c>
      <c r="O120" s="6" t="s">
        <v>647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648</v>
      </c>
      <c r="B121" s="6" t="s">
        <v>649</v>
      </c>
      <c r="C121" s="6" t="s">
        <v>649</v>
      </c>
      <c r="D121" s="6" t="s">
        <v>578</v>
      </c>
      <c r="E121" s="6" t="s">
        <v>579</v>
      </c>
      <c r="F121" s="6" t="s">
        <v>76</v>
      </c>
      <c r="G121" s="13" t="str">
        <f>IFERROR(VLOOKUP(F121,CATÁLOGOS!$A$6:$B$105,2,FALSE),"")</f>
        <v>🌸 Aromas y fragancias</v>
      </c>
      <c r="H121" s="6" t="s">
        <v>580</v>
      </c>
      <c r="I121" s="13" t="str">
        <f>IFERROR(VLOOKUP(H121,CATÁLOGOS!$F$6:$H$305,3,FALSE),"")</f>
        <v>Difusores aromáticos</v>
      </c>
      <c r="J121" s="6" t="s">
        <v>581</v>
      </c>
      <c r="K121" s="6" t="s">
        <v>650</v>
      </c>
      <c r="L121" s="6" t="s">
        <v>579</v>
      </c>
      <c r="M121" s="6" t="s">
        <v>120</v>
      </c>
      <c r="N121" s="6" t="s">
        <v>651</v>
      </c>
      <c r="O121" s="6" t="s">
        <v>652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653</v>
      </c>
      <c r="B122" s="6" t="s">
        <v>654</v>
      </c>
      <c r="C122" s="6" t="s">
        <v>654</v>
      </c>
      <c r="D122" s="6" t="s">
        <v>578</v>
      </c>
      <c r="E122" s="6" t="s">
        <v>587</v>
      </c>
      <c r="F122" s="6" t="s">
        <v>76</v>
      </c>
      <c r="G122" s="13" t="str">
        <f>IFERROR(VLOOKUP(F122,CATÁLOGOS!$A$6:$B$105,2,FALSE),"")</f>
        <v>🌸 Aromas y fragancias</v>
      </c>
      <c r="H122" s="6" t="s">
        <v>580</v>
      </c>
      <c r="I122" s="13" t="str">
        <f>IFERROR(VLOOKUP(H122,CATÁLOGOS!$F$6:$H$305,3,FALSE),"")</f>
        <v>Difusores aromáticos</v>
      </c>
      <c r="J122" s="6" t="s">
        <v>581</v>
      </c>
      <c r="K122" s="6" t="s">
        <v>650</v>
      </c>
      <c r="L122" s="6" t="s">
        <v>587</v>
      </c>
      <c r="M122" s="6" t="s">
        <v>120</v>
      </c>
      <c r="N122" s="6" t="s">
        <v>655</v>
      </c>
      <c r="O122" s="6" t="s">
        <v>656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657</v>
      </c>
      <c r="B123" s="6" t="s">
        <v>658</v>
      </c>
      <c r="C123" s="6" t="s">
        <v>658</v>
      </c>
      <c r="D123" s="6" t="s">
        <v>578</v>
      </c>
      <c r="E123" s="6" t="s">
        <v>610</v>
      </c>
      <c r="F123" s="6" t="s">
        <v>76</v>
      </c>
      <c r="G123" s="13" t="str">
        <f>IFERROR(VLOOKUP(F123,CATÁLOGOS!$A$6:$B$105,2,FALSE),"")</f>
        <v>🌸 Aromas y fragancias</v>
      </c>
      <c r="H123" s="6" t="s">
        <v>580</v>
      </c>
      <c r="I123" s="13" t="str">
        <f>IFERROR(VLOOKUP(H123,CATÁLOGOS!$F$6:$H$305,3,FALSE),"")</f>
        <v>Difusores aromáticos</v>
      </c>
      <c r="J123" s="6" t="s">
        <v>581</v>
      </c>
      <c r="K123" s="6" t="s">
        <v>650</v>
      </c>
      <c r="L123" s="6" t="s">
        <v>610</v>
      </c>
      <c r="M123" s="6" t="s">
        <v>120</v>
      </c>
      <c r="N123" s="6" t="s">
        <v>659</v>
      </c>
      <c r="O123" s="6" t="s">
        <v>660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661</v>
      </c>
      <c r="B124" s="6" t="s">
        <v>662</v>
      </c>
      <c r="C124" s="6" t="s">
        <v>662</v>
      </c>
      <c r="D124" s="6" t="s">
        <v>578</v>
      </c>
      <c r="E124" s="6" t="s">
        <v>663</v>
      </c>
      <c r="F124" s="6" t="s">
        <v>76</v>
      </c>
      <c r="G124" s="13" t="str">
        <f>IFERROR(VLOOKUP(F124,CATÁLOGOS!$A$6:$B$105,2,FALSE),"")</f>
        <v>🌸 Aromas y fragancias</v>
      </c>
      <c r="H124" s="6" t="s">
        <v>580</v>
      </c>
      <c r="I124" s="13" t="str">
        <f>IFERROR(VLOOKUP(H124,CATÁLOGOS!$F$6:$H$305,3,FALSE),"")</f>
        <v>Difusores aromáticos</v>
      </c>
      <c r="J124" s="6" t="s">
        <v>581</v>
      </c>
      <c r="K124" s="6" t="s">
        <v>650</v>
      </c>
      <c r="L124" s="6" t="s">
        <v>663</v>
      </c>
      <c r="M124" s="6" t="s">
        <v>120</v>
      </c>
      <c r="N124" s="6" t="s">
        <v>664</v>
      </c>
      <c r="O124" s="6" t="s">
        <v>665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666</v>
      </c>
      <c r="B125" s="6" t="s">
        <v>667</v>
      </c>
      <c r="C125" s="6" t="s">
        <v>667</v>
      </c>
      <c r="D125" s="6" t="s">
        <v>578</v>
      </c>
      <c r="E125" s="6" t="s">
        <v>668</v>
      </c>
      <c r="F125" s="6" t="s">
        <v>76</v>
      </c>
      <c r="G125" s="13" t="str">
        <f>IFERROR(VLOOKUP(F125,CATÁLOGOS!$A$6:$B$105,2,FALSE),"")</f>
        <v>🌸 Aromas y fragancias</v>
      </c>
      <c r="H125" s="6" t="s">
        <v>580</v>
      </c>
      <c r="I125" s="13" t="str">
        <f>IFERROR(VLOOKUP(H125,CATÁLOGOS!$F$6:$H$305,3,FALSE),"")</f>
        <v>Difusores aromáticos</v>
      </c>
      <c r="J125" s="6" t="s">
        <v>581</v>
      </c>
      <c r="K125" s="6" t="s">
        <v>650</v>
      </c>
      <c r="L125" s="6" t="s">
        <v>668</v>
      </c>
      <c r="M125" s="6" t="s">
        <v>120</v>
      </c>
      <c r="N125" s="6" t="s">
        <v>669</v>
      </c>
      <c r="O125" s="6" t="s">
        <v>670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671</v>
      </c>
      <c r="B126" s="6" t="s">
        <v>672</v>
      </c>
      <c r="C126" s="6" t="s">
        <v>672</v>
      </c>
      <c r="D126" s="6" t="s">
        <v>578</v>
      </c>
      <c r="E126" s="6" t="s">
        <v>673</v>
      </c>
      <c r="F126" s="6" t="s">
        <v>76</v>
      </c>
      <c r="G126" s="13" t="str">
        <f>IFERROR(VLOOKUP(F126,CATÁLOGOS!$A$6:$B$105,2,FALSE),"")</f>
        <v>🌸 Aromas y fragancias</v>
      </c>
      <c r="H126" s="6" t="s">
        <v>580</v>
      </c>
      <c r="I126" s="13" t="str">
        <f>IFERROR(VLOOKUP(H126,CATÁLOGOS!$F$6:$H$305,3,FALSE),"")</f>
        <v>Difusores aromáticos</v>
      </c>
      <c r="J126" s="6" t="s">
        <v>581</v>
      </c>
      <c r="K126" s="6" t="s">
        <v>650</v>
      </c>
      <c r="L126" s="6" t="s">
        <v>673</v>
      </c>
      <c r="M126" s="6" t="s">
        <v>120</v>
      </c>
      <c r="N126" s="6" t="s">
        <v>674</v>
      </c>
      <c r="O126" s="6" t="s">
        <v>675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676</v>
      </c>
      <c r="B127" s="6" t="s">
        <v>677</v>
      </c>
      <c r="C127" s="6" t="s">
        <v>677</v>
      </c>
      <c r="D127" s="6" t="s">
        <v>578</v>
      </c>
      <c r="E127" s="6" t="s">
        <v>596</v>
      </c>
      <c r="F127" s="6" t="s">
        <v>76</v>
      </c>
      <c r="G127" s="13" t="str">
        <f>IFERROR(VLOOKUP(F127,CATÁLOGOS!$A$6:$B$105,2,FALSE),"")</f>
        <v>🌸 Aromas y fragancias</v>
      </c>
      <c r="H127" s="6" t="s">
        <v>580</v>
      </c>
      <c r="I127" s="13" t="str">
        <f>IFERROR(VLOOKUP(H127,CATÁLOGOS!$F$6:$H$305,3,FALSE),"")</f>
        <v>Difusores aromáticos</v>
      </c>
      <c r="J127" s="6" t="s">
        <v>581</v>
      </c>
      <c r="K127" s="6" t="s">
        <v>650</v>
      </c>
      <c r="L127" s="6" t="s">
        <v>596</v>
      </c>
      <c r="M127" s="6" t="s">
        <v>120</v>
      </c>
      <c r="N127" s="6" t="s">
        <v>678</v>
      </c>
      <c r="O127" s="6" t="s">
        <v>679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680</v>
      </c>
      <c r="B128" s="6" t="s">
        <v>681</v>
      </c>
      <c r="C128" s="6" t="s">
        <v>681</v>
      </c>
      <c r="D128" s="6" t="s">
        <v>578</v>
      </c>
      <c r="E128" s="6" t="s">
        <v>682</v>
      </c>
      <c r="F128" s="6" t="s">
        <v>76</v>
      </c>
      <c r="G128" s="13" t="str">
        <f>IFERROR(VLOOKUP(F128,CATÁLOGOS!$A$6:$B$105,2,FALSE),"")</f>
        <v>🌸 Aromas y fragancias</v>
      </c>
      <c r="H128" s="6" t="s">
        <v>580</v>
      </c>
      <c r="I128" s="13" t="str">
        <f>IFERROR(VLOOKUP(H128,CATÁLOGOS!$F$6:$H$305,3,FALSE),"")</f>
        <v>Difusores aromáticos</v>
      </c>
      <c r="J128" s="6" t="s">
        <v>581</v>
      </c>
      <c r="K128" s="6" t="s">
        <v>650</v>
      </c>
      <c r="L128" s="6" t="s">
        <v>682</v>
      </c>
      <c r="M128" s="6" t="s">
        <v>120</v>
      </c>
      <c r="N128" s="6" t="s">
        <v>683</v>
      </c>
      <c r="O128" s="6" t="s">
        <v>684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685</v>
      </c>
      <c r="B129" s="6" t="s">
        <v>686</v>
      </c>
      <c r="C129" s="6" t="s">
        <v>686</v>
      </c>
      <c r="D129" s="6" t="s">
        <v>687</v>
      </c>
      <c r="E129" s="6" t="s">
        <v>688</v>
      </c>
      <c r="F129" s="6" t="s">
        <v>76</v>
      </c>
      <c r="G129" s="13" t="str">
        <f>IFERROR(VLOOKUP(F129,CATÁLOGOS!$A$6:$B$105,2,FALSE),"")</f>
        <v>🌸 Aromas y fragancias</v>
      </c>
      <c r="H129" s="6" t="s">
        <v>580</v>
      </c>
      <c r="I129" s="13" t="str">
        <f>IFERROR(VLOOKUP(H129,CATÁLOGOS!$F$6:$H$305,3,FALSE),"")</f>
        <v>Difusores aromáticos</v>
      </c>
      <c r="J129" s="6" t="s">
        <v>581</v>
      </c>
      <c r="K129" s="6" t="s">
        <v>689</v>
      </c>
      <c r="L129" s="6" t="s">
        <v>688</v>
      </c>
      <c r="M129" s="6" t="s">
        <v>120</v>
      </c>
      <c r="N129" s="6" t="s">
        <v>690</v>
      </c>
      <c r="O129" s="6" t="s">
        <v>691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692</v>
      </c>
      <c r="B130" s="6" t="s">
        <v>693</v>
      </c>
      <c r="C130" s="6" t="s">
        <v>693</v>
      </c>
      <c r="D130" s="6" t="s">
        <v>687</v>
      </c>
      <c r="E130" s="6" t="s">
        <v>694</v>
      </c>
      <c r="F130" s="6" t="s">
        <v>76</v>
      </c>
      <c r="G130" s="13" t="str">
        <f>IFERROR(VLOOKUP(F130,CATÁLOGOS!$A$6:$B$105,2,FALSE),"")</f>
        <v>🌸 Aromas y fragancias</v>
      </c>
      <c r="H130" s="6" t="s">
        <v>580</v>
      </c>
      <c r="I130" s="13" t="str">
        <f>IFERROR(VLOOKUP(H130,CATÁLOGOS!$F$6:$H$305,3,FALSE),"")</f>
        <v>Difusores aromáticos</v>
      </c>
      <c r="J130" s="6" t="s">
        <v>581</v>
      </c>
      <c r="K130" s="6" t="s">
        <v>689</v>
      </c>
      <c r="L130" s="6" t="s">
        <v>694</v>
      </c>
      <c r="M130" s="6" t="s">
        <v>120</v>
      </c>
      <c r="N130" s="6" t="s">
        <v>695</v>
      </c>
      <c r="O130" s="6" t="s">
        <v>696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697</v>
      </c>
      <c r="B131" s="6" t="s">
        <v>698</v>
      </c>
      <c r="C131" s="6" t="s">
        <v>698</v>
      </c>
      <c r="D131" s="6" t="s">
        <v>687</v>
      </c>
      <c r="E131" s="6" t="s">
        <v>699</v>
      </c>
      <c r="F131" s="6" t="s">
        <v>76</v>
      </c>
      <c r="G131" s="13" t="str">
        <f>IFERROR(VLOOKUP(F131,CATÁLOGOS!$A$6:$B$105,2,FALSE),"")</f>
        <v>🌸 Aromas y fragancias</v>
      </c>
      <c r="H131" s="6" t="s">
        <v>580</v>
      </c>
      <c r="I131" s="13" t="str">
        <f>IFERROR(VLOOKUP(H131,CATÁLOGOS!$F$6:$H$305,3,FALSE),"")</f>
        <v>Difusores aromáticos</v>
      </c>
      <c r="J131" s="6" t="s">
        <v>581</v>
      </c>
      <c r="K131" s="6" t="s">
        <v>689</v>
      </c>
      <c r="L131" s="6" t="s">
        <v>699</v>
      </c>
      <c r="M131" s="6" t="s">
        <v>120</v>
      </c>
      <c r="N131" s="6" t="s">
        <v>700</v>
      </c>
      <c r="O131" s="6" t="s">
        <v>701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702</v>
      </c>
      <c r="B132" s="6" t="s">
        <v>703</v>
      </c>
      <c r="C132" s="6" t="s">
        <v>703</v>
      </c>
      <c r="D132" s="6" t="s">
        <v>687</v>
      </c>
      <c r="E132" s="6" t="s">
        <v>704</v>
      </c>
      <c r="F132" s="6" t="s">
        <v>76</v>
      </c>
      <c r="G132" s="13" t="str">
        <f>IFERROR(VLOOKUP(F132,CATÁLOGOS!$A$6:$B$105,2,FALSE),"")</f>
        <v>🌸 Aromas y fragancias</v>
      </c>
      <c r="H132" s="6" t="s">
        <v>580</v>
      </c>
      <c r="I132" s="13" t="str">
        <f>IFERROR(VLOOKUP(H132,CATÁLOGOS!$F$6:$H$305,3,FALSE),"")</f>
        <v>Difusores aromáticos</v>
      </c>
      <c r="J132" s="6" t="s">
        <v>581</v>
      </c>
      <c r="K132" s="6" t="s">
        <v>689</v>
      </c>
      <c r="L132" s="6" t="s">
        <v>704</v>
      </c>
      <c r="M132" s="6" t="s">
        <v>120</v>
      </c>
      <c r="N132" s="6" t="s">
        <v>705</v>
      </c>
      <c r="O132" s="6" t="s">
        <v>706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707</v>
      </c>
      <c r="B133" s="6" t="s">
        <v>708</v>
      </c>
      <c r="C133" s="6" t="s">
        <v>708</v>
      </c>
      <c r="D133" s="6" t="s">
        <v>687</v>
      </c>
      <c r="E133" s="6" t="s">
        <v>709</v>
      </c>
      <c r="F133" s="6" t="s">
        <v>76</v>
      </c>
      <c r="G133" s="13" t="str">
        <f>IFERROR(VLOOKUP(F133,CATÁLOGOS!$A$6:$B$105,2,FALSE),"")</f>
        <v>🌸 Aromas y fragancias</v>
      </c>
      <c r="H133" s="6" t="s">
        <v>580</v>
      </c>
      <c r="I133" s="13" t="str">
        <f>IFERROR(VLOOKUP(H133,CATÁLOGOS!$F$6:$H$305,3,FALSE),"")</f>
        <v>Difusores aromáticos</v>
      </c>
      <c r="J133" s="6" t="s">
        <v>581</v>
      </c>
      <c r="K133" s="6" t="s">
        <v>689</v>
      </c>
      <c r="L133" s="6" t="s">
        <v>709</v>
      </c>
      <c r="M133" s="6" t="s">
        <v>120</v>
      </c>
      <c r="N133" s="6" t="s">
        <v>710</v>
      </c>
      <c r="O133" s="6" t="s">
        <v>711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712</v>
      </c>
      <c r="B134" s="6" t="s">
        <v>713</v>
      </c>
      <c r="C134" s="6" t="s">
        <v>713</v>
      </c>
      <c r="D134" s="6"/>
      <c r="E134" s="6"/>
      <c r="F134" s="6" t="s">
        <v>714</v>
      </c>
      <c r="G134" s="13" t="str">
        <f>IFERROR(VLOOKUP(F134,CATÁLOGOS!$A$6:$B$105,2,FALSE),"")</f>
        <v>📦 Packs y ofertas</v>
      </c>
      <c r="H134" s="6" t="s">
        <v>715</v>
      </c>
      <c r="I134" s="13" t="str">
        <f>IFERROR(VLOOKUP(H134,CATÁLOGOS!$F$6:$H$305,3,FALSE),"")</f>
        <v>Promociones</v>
      </c>
      <c r="J134" s="6" t="s">
        <v>27</v>
      </c>
      <c r="K134" s="6" t="s">
        <v>716</v>
      </c>
      <c r="L134" s="6"/>
      <c r="M134" s="6" t="s">
        <v>120</v>
      </c>
      <c r="N134" s="6" t="s">
        <v>717</v>
      </c>
      <c r="O134" s="6" t="s">
        <v>718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719</v>
      </c>
      <c r="B135" s="6" t="s">
        <v>720</v>
      </c>
      <c r="C135" s="6" t="s">
        <v>720</v>
      </c>
      <c r="D135" s="6"/>
      <c r="E135" s="6"/>
      <c r="F135" s="6" t="s">
        <v>714</v>
      </c>
      <c r="G135" s="13" t="str">
        <f>IFERROR(VLOOKUP(F135,CATÁLOGOS!$A$6:$B$105,2,FALSE),"")</f>
        <v>📦 Packs y ofertas</v>
      </c>
      <c r="H135" s="6" t="s">
        <v>715</v>
      </c>
      <c r="I135" s="13" t="str">
        <f>IFERROR(VLOOKUP(H135,CATÁLOGOS!$F$6:$H$305,3,FALSE),"")</f>
        <v>Promociones</v>
      </c>
      <c r="J135" s="6" t="s">
        <v>27</v>
      </c>
      <c r="K135" s="6" t="s">
        <v>721</v>
      </c>
      <c r="L135" s="6"/>
      <c r="M135" s="6" t="s">
        <v>120</v>
      </c>
      <c r="N135" s="6" t="s">
        <v>722</v>
      </c>
      <c r="O135" s="6" t="s">
        <v>723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724</v>
      </c>
      <c r="B136" s="6" t="s">
        <v>725</v>
      </c>
      <c r="C136" s="6" t="s">
        <v>725</v>
      </c>
      <c r="D136" s="6"/>
      <c r="E136" s="6"/>
      <c r="F136" s="6" t="s">
        <v>714</v>
      </c>
      <c r="G136" s="13" t="str">
        <f>IFERROR(VLOOKUP(F136,CATÁLOGOS!$A$6:$B$105,2,FALSE),"")</f>
        <v>📦 Packs y ofertas</v>
      </c>
      <c r="H136" s="6" t="s">
        <v>715</v>
      </c>
      <c r="I136" s="13" t="str">
        <f>IFERROR(VLOOKUP(H136,CATÁLOGOS!$F$6:$H$305,3,FALSE),"")</f>
        <v>Promociones</v>
      </c>
      <c r="J136" s="6" t="s">
        <v>27</v>
      </c>
      <c r="K136" s="6" t="s">
        <v>726</v>
      </c>
      <c r="L136" s="6"/>
      <c r="M136" s="6" t="s">
        <v>120</v>
      </c>
      <c r="N136" s="6" t="s">
        <v>727</v>
      </c>
      <c r="O136" s="6" t="s">
        <v>728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729</v>
      </c>
      <c r="B137" s="6" t="s">
        <v>730</v>
      </c>
      <c r="C137" s="6" t="s">
        <v>730</v>
      </c>
      <c r="D137" s="6"/>
      <c r="E137" s="6"/>
      <c r="F137" s="6" t="s">
        <v>90</v>
      </c>
      <c r="G137" s="13" t="str">
        <f>IFERROR(VLOOKUP(F137,CATÁLOGOS!$A$6:$B$105,2,FALSE),"")</f>
        <v>🦠 Desinfección y limpieza</v>
      </c>
      <c r="H137" s="6" t="s">
        <v>731</v>
      </c>
      <c r="I137" s="13" t="str">
        <f>IFERROR(VLOOKUP(H137,CATÁLOGOS!$F$6:$H$305,3,FALSE),"")</f>
        <v>Cloro</v>
      </c>
      <c r="J137" s="6" t="s">
        <v>27</v>
      </c>
      <c r="K137" s="6" t="s">
        <v>732</v>
      </c>
      <c r="L137" s="6"/>
      <c r="M137" s="6" t="s">
        <v>733</v>
      </c>
      <c r="N137" s="6" t="s">
        <v>734</v>
      </c>
      <c r="O137" s="6" t="s">
        <v>735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736</v>
      </c>
    </row>
    <row r="138" spans="1:21">
      <c r="A138" s="5" t="s">
        <v>737</v>
      </c>
      <c r="B138" s="6" t="s">
        <v>738</v>
      </c>
      <c r="C138" s="6" t="s">
        <v>738</v>
      </c>
      <c r="D138" s="6"/>
      <c r="E138" s="6"/>
      <c r="F138" s="6" t="s">
        <v>90</v>
      </c>
      <c r="G138" s="13" t="str">
        <f>IFERROR(VLOOKUP(F138,CATÁLOGOS!$A$6:$B$105,2,FALSE),"")</f>
        <v>🦠 Desinfección y limpieza</v>
      </c>
      <c r="H138" s="6" t="s">
        <v>731</v>
      </c>
      <c r="I138" s="13" t="str">
        <f>IFERROR(VLOOKUP(H138,CATÁLOGOS!$F$6:$H$305,3,FALSE),"")</f>
        <v>Cloro</v>
      </c>
      <c r="J138" s="6" t="s">
        <v>27</v>
      </c>
      <c r="K138" s="6" t="s">
        <v>739</v>
      </c>
      <c r="L138" s="6"/>
      <c r="M138" s="6" t="s">
        <v>740</v>
      </c>
      <c r="N138" s="6" t="s">
        <v>741</v>
      </c>
      <c r="O138" s="6" t="s">
        <v>742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736</v>
      </c>
    </row>
    <row r="139" spans="1:21">
      <c r="A139" s="5" t="s">
        <v>743</v>
      </c>
      <c r="B139" s="6" t="s">
        <v>744</v>
      </c>
      <c r="C139" s="6" t="s">
        <v>744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Detergentes y Lavavajillas</v>
      </c>
      <c r="J139" s="6" t="s">
        <v>27</v>
      </c>
      <c r="K139" s="6" t="s">
        <v>1896</v>
      </c>
      <c r="L139" s="6"/>
      <c r="M139" s="6" t="s">
        <v>80</v>
      </c>
      <c r="N139" s="6" t="s">
        <v>745</v>
      </c>
      <c r="O139" s="6" t="s">
        <v>746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736</v>
      </c>
    </row>
    <row r="140" spans="1:21">
      <c r="A140" s="5" t="s">
        <v>747</v>
      </c>
      <c r="B140" s="6" t="s">
        <v>748</v>
      </c>
      <c r="C140" s="6" t="s">
        <v>748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Detergentes y Lavavajillas</v>
      </c>
      <c r="J140" s="6" t="s">
        <v>27</v>
      </c>
      <c r="K140" s="6" t="s">
        <v>749</v>
      </c>
      <c r="L140" s="6"/>
      <c r="M140" s="6" t="s">
        <v>740</v>
      </c>
      <c r="N140" s="6" t="s">
        <v>750</v>
      </c>
      <c r="O140" s="6" t="s">
        <v>751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736</v>
      </c>
    </row>
    <row r="141" spans="1:21">
      <c r="A141" s="5" t="s">
        <v>752</v>
      </c>
      <c r="B141" s="6" t="s">
        <v>753</v>
      </c>
      <c r="C141" s="6" t="s">
        <v>753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38</v>
      </c>
      <c r="I141" s="13" t="str">
        <f>IFERROR(VLOOKUP(H141,CATÁLOGOS!$F$6:$H$305,3,FALSE),"")</f>
        <v>Detergentes y Lavavajillas</v>
      </c>
      <c r="J141" s="6" t="s">
        <v>27</v>
      </c>
      <c r="K141" s="6" t="s">
        <v>754</v>
      </c>
      <c r="L141" s="6"/>
      <c r="M141" s="6" t="s">
        <v>733</v>
      </c>
      <c r="N141" s="6" t="s">
        <v>755</v>
      </c>
      <c r="O141" s="6" t="s">
        <v>756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736</v>
      </c>
    </row>
    <row r="142" spans="1:21">
      <c r="A142" s="5" t="s">
        <v>757</v>
      </c>
      <c r="B142" s="6" t="s">
        <v>758</v>
      </c>
      <c r="C142" s="6" t="s">
        <v>758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38</v>
      </c>
      <c r="I142" s="13" t="str">
        <f>IFERROR(VLOOKUP(H142,CATÁLOGOS!$F$6:$H$305,3,FALSE),"")</f>
        <v>Detergentes y Lavavajillas</v>
      </c>
      <c r="J142" s="6" t="s">
        <v>27</v>
      </c>
      <c r="K142" s="6" t="s">
        <v>759</v>
      </c>
      <c r="L142" s="6"/>
      <c r="M142" s="6" t="s">
        <v>740</v>
      </c>
      <c r="N142" s="6" t="s">
        <v>760</v>
      </c>
      <c r="O142" s="6" t="s">
        <v>761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736</v>
      </c>
    </row>
    <row r="143" spans="1:21">
      <c r="A143" s="5" t="s">
        <v>762</v>
      </c>
      <c r="B143" s="6" t="s">
        <v>763</v>
      </c>
      <c r="C143" s="6" t="s">
        <v>763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38</v>
      </c>
      <c r="I143" s="13" t="str">
        <f>IFERROR(VLOOKUP(H143,CATÁLOGOS!$F$6:$H$305,3,FALSE),"")</f>
        <v>Detergentes y Lavavajillas</v>
      </c>
      <c r="J143" s="6" t="s">
        <v>27</v>
      </c>
      <c r="K143" s="6" t="s">
        <v>764</v>
      </c>
      <c r="L143" s="6"/>
      <c r="M143" s="6" t="s">
        <v>733</v>
      </c>
      <c r="N143" s="6" t="s">
        <v>765</v>
      </c>
      <c r="O143" s="6" t="s">
        <v>766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736</v>
      </c>
    </row>
    <row r="144" spans="1:21">
      <c r="A144" s="5" t="s">
        <v>767</v>
      </c>
      <c r="B144" s="6" t="s">
        <v>768</v>
      </c>
      <c r="C144" s="6" t="s">
        <v>768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38</v>
      </c>
      <c r="I144" s="13" t="str">
        <f>IFERROR(VLOOKUP(H144,CATÁLOGOS!$F$6:$H$305,3,FALSE),"")</f>
        <v>Detergentes y Lavavajillas</v>
      </c>
      <c r="J144" s="6" t="s">
        <v>27</v>
      </c>
      <c r="K144" s="6" t="s">
        <v>769</v>
      </c>
      <c r="L144" s="6"/>
      <c r="M144" s="6" t="s">
        <v>740</v>
      </c>
      <c r="N144" s="6" t="s">
        <v>770</v>
      </c>
      <c r="O144" s="6" t="s">
        <v>771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736</v>
      </c>
    </row>
    <row r="145" spans="1:21">
      <c r="A145" s="5" t="s">
        <v>772</v>
      </c>
      <c r="B145" s="6" t="s">
        <v>773</v>
      </c>
      <c r="C145" s="6" t="s">
        <v>773</v>
      </c>
      <c r="D145" s="6"/>
      <c r="E145" s="6"/>
      <c r="F145" s="6" t="s">
        <v>54</v>
      </c>
      <c r="G145" s="13" t="str">
        <f>IFERROR(VLOOKUP(F145,CATÁLOGOS!$A$6:$B$105,2,FALSE),"")</f>
        <v>👕 Ropa y lavado</v>
      </c>
      <c r="H145" s="6" t="s">
        <v>55</v>
      </c>
      <c r="I145" s="13" t="str">
        <f>IFERROR(VLOOKUP(H145,CATÁLOGOS!$F$6:$H$305,3,FALSE),"")</f>
        <v>Suavizante</v>
      </c>
      <c r="J145" s="6" t="s">
        <v>27</v>
      </c>
      <c r="K145" s="6" t="s">
        <v>774</v>
      </c>
      <c r="L145" s="6" t="s">
        <v>57</v>
      </c>
      <c r="M145" s="6" t="s">
        <v>733</v>
      </c>
      <c r="N145" s="6" t="s">
        <v>775</v>
      </c>
      <c r="O145" s="6" t="s">
        <v>776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736</v>
      </c>
    </row>
    <row r="146" spans="1:21">
      <c r="A146" s="5" t="s">
        <v>777</v>
      </c>
      <c r="B146" s="6" t="s">
        <v>778</v>
      </c>
      <c r="C146" s="6" t="s">
        <v>778</v>
      </c>
      <c r="D146" s="6"/>
      <c r="E146" s="6"/>
      <c r="F146" s="6" t="s">
        <v>54</v>
      </c>
      <c r="G146" s="13" t="str">
        <f>IFERROR(VLOOKUP(F146,CATÁLOGOS!$A$6:$B$105,2,FALSE),"")</f>
        <v>👕 Ropa y lavado</v>
      </c>
      <c r="H146" s="6" t="s">
        <v>55</v>
      </c>
      <c r="I146" s="13" t="str">
        <f>IFERROR(VLOOKUP(H146,CATÁLOGOS!$F$6:$H$305,3,FALSE),"")</f>
        <v>Suavizante</v>
      </c>
      <c r="J146" s="6" t="s">
        <v>27</v>
      </c>
      <c r="K146" s="6" t="s">
        <v>779</v>
      </c>
      <c r="L146" s="6"/>
      <c r="M146" s="6" t="s">
        <v>740</v>
      </c>
      <c r="N146" s="6" t="s">
        <v>780</v>
      </c>
      <c r="O146" s="6" t="s">
        <v>781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736</v>
      </c>
    </row>
    <row r="147" spans="1:21">
      <c r="A147" s="5" t="s">
        <v>782</v>
      </c>
      <c r="B147" s="6" t="s">
        <v>783</v>
      </c>
      <c r="C147" s="6" t="s">
        <v>783</v>
      </c>
      <c r="D147" s="6"/>
      <c r="E147" s="6"/>
      <c r="F147" s="6" t="s">
        <v>54</v>
      </c>
      <c r="G147" s="13" t="str">
        <f>IFERROR(VLOOKUP(F147,CATÁLOGOS!$A$6:$B$105,2,FALSE),"")</f>
        <v>👕 Ropa y lavado</v>
      </c>
      <c r="H147" s="6" t="s">
        <v>55</v>
      </c>
      <c r="I147" s="13" t="str">
        <f>IFERROR(VLOOKUP(H147,CATÁLOGOS!$F$6:$H$305,3,FALSE),"")</f>
        <v>Suavizante</v>
      </c>
      <c r="J147" s="6" t="s">
        <v>27</v>
      </c>
      <c r="K147" s="6" t="s">
        <v>784</v>
      </c>
      <c r="L147" s="6" t="s">
        <v>64</v>
      </c>
      <c r="M147" s="6" t="s">
        <v>733</v>
      </c>
      <c r="N147" s="6" t="s">
        <v>785</v>
      </c>
      <c r="O147" s="6" t="s">
        <v>786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736</v>
      </c>
    </row>
    <row r="148" spans="1:21">
      <c r="A148" s="5" t="s">
        <v>787</v>
      </c>
      <c r="B148" s="6" t="s">
        <v>788</v>
      </c>
      <c r="C148" s="6" t="s">
        <v>788</v>
      </c>
      <c r="D148" s="6"/>
      <c r="E148" s="6"/>
      <c r="F148" s="6" t="s">
        <v>54</v>
      </c>
      <c r="G148" s="13" t="str">
        <f>IFERROR(VLOOKUP(F148,CATÁLOGOS!$A$6:$B$105,2,FALSE),"")</f>
        <v>👕 Ropa y lavado</v>
      </c>
      <c r="H148" s="6" t="s">
        <v>55</v>
      </c>
      <c r="I148" s="13" t="str">
        <f>IFERROR(VLOOKUP(H148,CATÁLOGOS!$F$6:$H$305,3,FALSE),"")</f>
        <v>Suavizante</v>
      </c>
      <c r="J148" s="6" t="s">
        <v>27</v>
      </c>
      <c r="K148" s="6" t="s">
        <v>789</v>
      </c>
      <c r="L148" s="6" t="s">
        <v>64</v>
      </c>
      <c r="M148" s="6" t="s">
        <v>740</v>
      </c>
      <c r="N148" s="6" t="s">
        <v>790</v>
      </c>
      <c r="O148" s="6" t="s">
        <v>791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736</v>
      </c>
    </row>
    <row r="149" spans="1:21">
      <c r="A149" s="5" t="s">
        <v>792</v>
      </c>
      <c r="B149" s="6" t="s">
        <v>793</v>
      </c>
      <c r="C149" s="6" t="s">
        <v>793</v>
      </c>
      <c r="D149" s="6" t="s">
        <v>794</v>
      </c>
      <c r="E149" s="6" t="s">
        <v>795</v>
      </c>
      <c r="F149" s="6" t="s">
        <v>796</v>
      </c>
      <c r="G149" s="13" t="str">
        <f>IFERROR(VLOOKUP(F149,CATÁLOGOS!$A$6:$B$105,2,FALSE),"")</f>
        <v>🧹 Pisos y superficies</v>
      </c>
      <c r="H149" s="6" t="s">
        <v>797</v>
      </c>
      <c r="I149" s="13" t="str">
        <f>IFERROR(VLOOKUP(H149,CATÁLOGOS!$F$6:$H$305,3,FALSE),"")</f>
        <v>Desodorante para piso</v>
      </c>
      <c r="J149" s="6" t="s">
        <v>27</v>
      </c>
      <c r="K149" s="6" t="s">
        <v>798</v>
      </c>
      <c r="L149" s="6">
        <v>1056</v>
      </c>
      <c r="M149" s="6" t="s">
        <v>30</v>
      </c>
      <c r="N149" s="6" t="s">
        <v>799</v>
      </c>
      <c r="O149" s="6" t="s">
        <v>800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801</v>
      </c>
      <c r="B150" s="6" t="s">
        <v>802</v>
      </c>
      <c r="C150" s="6" t="s">
        <v>802</v>
      </c>
      <c r="D150" s="6" t="s">
        <v>794</v>
      </c>
      <c r="E150" s="6" t="s">
        <v>803</v>
      </c>
      <c r="F150" s="6" t="s">
        <v>796</v>
      </c>
      <c r="G150" s="13" t="str">
        <f>IFERROR(VLOOKUP(F150,CATÁLOGOS!$A$6:$B$105,2,FALSE),"")</f>
        <v>🧹 Pisos y superficies</v>
      </c>
      <c r="H150" s="6" t="s">
        <v>797</v>
      </c>
      <c r="I150" s="13" t="str">
        <f>IFERROR(VLOOKUP(H150,CATÁLOGOS!$F$6:$H$305,3,FALSE),"")</f>
        <v>Desodorante para piso</v>
      </c>
      <c r="J150" s="6" t="s">
        <v>27</v>
      </c>
      <c r="K150" s="6" t="s">
        <v>804</v>
      </c>
      <c r="L150" s="6">
        <v>1056</v>
      </c>
      <c r="M150" s="6" t="s">
        <v>733</v>
      </c>
      <c r="N150" s="6" t="s">
        <v>805</v>
      </c>
      <c r="O150" s="6" t="s">
        <v>806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807</v>
      </c>
      <c r="B151" s="6" t="s">
        <v>808</v>
      </c>
      <c r="C151" s="6" t="s">
        <v>808</v>
      </c>
      <c r="D151" s="6" t="s">
        <v>794</v>
      </c>
      <c r="E151" s="6" t="s">
        <v>809</v>
      </c>
      <c r="F151" s="6" t="s">
        <v>796</v>
      </c>
      <c r="G151" s="13" t="str">
        <f>IFERROR(VLOOKUP(F151,CATÁLOGOS!$A$6:$B$105,2,FALSE),"")</f>
        <v>🧹 Pisos y superficies</v>
      </c>
      <c r="H151" s="6" t="s">
        <v>797</v>
      </c>
      <c r="I151" s="13" t="str">
        <f>IFERROR(VLOOKUP(H151,CATÁLOGOS!$F$6:$H$305,3,FALSE),"")</f>
        <v>Desodorante para piso</v>
      </c>
      <c r="J151" s="6" t="s">
        <v>27</v>
      </c>
      <c r="K151" s="6" t="s">
        <v>810</v>
      </c>
      <c r="L151" s="6">
        <v>1056</v>
      </c>
      <c r="M151" s="6" t="s">
        <v>811</v>
      </c>
      <c r="N151" s="6" t="s">
        <v>812</v>
      </c>
      <c r="O151" s="6" t="s">
        <v>813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814</v>
      </c>
      <c r="B152" s="6" t="s">
        <v>815</v>
      </c>
      <c r="C152" s="6" t="s">
        <v>815</v>
      </c>
      <c r="D152" s="6" t="s">
        <v>816</v>
      </c>
      <c r="E152" s="6" t="s">
        <v>795</v>
      </c>
      <c r="F152" s="6" t="s">
        <v>796</v>
      </c>
      <c r="G152" s="13" t="str">
        <f>IFERROR(VLOOKUP(F152,CATÁLOGOS!$A$6:$B$105,2,FALSE),"")</f>
        <v>🧹 Pisos y superficies</v>
      </c>
      <c r="H152" s="6" t="s">
        <v>797</v>
      </c>
      <c r="I152" s="13" t="str">
        <f>IFERROR(VLOOKUP(H152,CATÁLOGOS!$F$6:$H$305,3,FALSE),"")</f>
        <v>Desodorante para piso</v>
      </c>
      <c r="J152" s="6" t="s">
        <v>27</v>
      </c>
      <c r="K152" s="6" t="s">
        <v>798</v>
      </c>
      <c r="L152" s="6" t="s">
        <v>817</v>
      </c>
      <c r="M152" s="6" t="s">
        <v>30</v>
      </c>
      <c r="N152" s="6" t="s">
        <v>818</v>
      </c>
      <c r="O152" s="6" t="s">
        <v>819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820</v>
      </c>
      <c r="B153" s="6" t="s">
        <v>821</v>
      </c>
      <c r="C153" s="6" t="s">
        <v>821</v>
      </c>
      <c r="D153" s="6" t="s">
        <v>816</v>
      </c>
      <c r="E153" s="6" t="s">
        <v>803</v>
      </c>
      <c r="F153" s="6" t="s">
        <v>796</v>
      </c>
      <c r="G153" s="13" t="str">
        <f>IFERROR(VLOOKUP(F153,CATÁLOGOS!$A$6:$B$105,2,FALSE),"")</f>
        <v>🧹 Pisos y superficies</v>
      </c>
      <c r="H153" s="6" t="s">
        <v>797</v>
      </c>
      <c r="I153" s="13" t="str">
        <f>IFERROR(VLOOKUP(H153,CATÁLOGOS!$F$6:$H$305,3,FALSE),"")</f>
        <v>Desodorante para piso</v>
      </c>
      <c r="J153" s="6" t="s">
        <v>27</v>
      </c>
      <c r="K153" s="6" t="s">
        <v>804</v>
      </c>
      <c r="L153" s="6" t="s">
        <v>817</v>
      </c>
      <c r="M153" s="6" t="s">
        <v>733</v>
      </c>
      <c r="N153" s="6" t="s">
        <v>822</v>
      </c>
      <c r="O153" s="6" t="s">
        <v>823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824</v>
      </c>
      <c r="B154" s="6" t="s">
        <v>825</v>
      </c>
      <c r="C154" s="6" t="s">
        <v>825</v>
      </c>
      <c r="D154" s="6" t="s">
        <v>816</v>
      </c>
      <c r="E154" s="6" t="s">
        <v>809</v>
      </c>
      <c r="F154" s="6" t="s">
        <v>796</v>
      </c>
      <c r="G154" s="13" t="str">
        <f>IFERROR(VLOOKUP(F154,CATÁLOGOS!$A$6:$B$105,2,FALSE),"")</f>
        <v>🧹 Pisos y superficies</v>
      </c>
      <c r="H154" s="6" t="s">
        <v>797</v>
      </c>
      <c r="I154" s="13" t="str">
        <f>IFERROR(VLOOKUP(H154,CATÁLOGOS!$F$6:$H$305,3,FALSE),"")</f>
        <v>Desodorante para piso</v>
      </c>
      <c r="J154" s="6" t="s">
        <v>27</v>
      </c>
      <c r="K154" s="6" t="s">
        <v>810</v>
      </c>
      <c r="L154" s="6" t="s">
        <v>817</v>
      </c>
      <c r="M154" s="6" t="s">
        <v>811</v>
      </c>
      <c r="N154" s="6" t="s">
        <v>826</v>
      </c>
      <c r="O154" s="6" t="s">
        <v>827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828</v>
      </c>
      <c r="B155" s="6" t="s">
        <v>829</v>
      </c>
      <c r="C155" s="6" t="s">
        <v>829</v>
      </c>
      <c r="D155" s="6" t="s">
        <v>830</v>
      </c>
      <c r="E155" s="6" t="s">
        <v>795</v>
      </c>
      <c r="F155" s="6" t="s">
        <v>796</v>
      </c>
      <c r="G155" s="13" t="str">
        <f>IFERROR(VLOOKUP(F155,CATÁLOGOS!$A$6:$B$105,2,FALSE),"")</f>
        <v>🧹 Pisos y superficies</v>
      </c>
      <c r="H155" s="6" t="s">
        <v>797</v>
      </c>
      <c r="I155" s="13" t="str">
        <f>IFERROR(VLOOKUP(H155,CATÁLOGOS!$F$6:$H$305,3,FALSE),"")</f>
        <v>Desodorante para piso</v>
      </c>
      <c r="J155" s="6" t="s">
        <v>27</v>
      </c>
      <c r="K155" s="6" t="s">
        <v>798</v>
      </c>
      <c r="L155" s="6" t="s">
        <v>831</v>
      </c>
      <c r="M155" s="6" t="s">
        <v>30</v>
      </c>
      <c r="N155" s="6" t="s">
        <v>832</v>
      </c>
      <c r="O155" s="6" t="s">
        <v>833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834</v>
      </c>
      <c r="B156" s="6" t="s">
        <v>835</v>
      </c>
      <c r="C156" s="6" t="s">
        <v>835</v>
      </c>
      <c r="D156" s="6" t="s">
        <v>830</v>
      </c>
      <c r="E156" s="6" t="s">
        <v>803</v>
      </c>
      <c r="F156" s="6" t="s">
        <v>796</v>
      </c>
      <c r="G156" s="13" t="str">
        <f>IFERROR(VLOOKUP(F156,CATÁLOGOS!$A$6:$B$105,2,FALSE),"")</f>
        <v>🧹 Pisos y superficies</v>
      </c>
      <c r="H156" s="6" t="s">
        <v>797</v>
      </c>
      <c r="I156" s="13" t="str">
        <f>IFERROR(VLOOKUP(H156,CATÁLOGOS!$F$6:$H$305,3,FALSE),"")</f>
        <v>Desodorante para piso</v>
      </c>
      <c r="J156" s="6" t="s">
        <v>27</v>
      </c>
      <c r="K156" s="6" t="s">
        <v>804</v>
      </c>
      <c r="L156" s="6" t="s">
        <v>831</v>
      </c>
      <c r="M156" s="6" t="s">
        <v>733</v>
      </c>
      <c r="N156" s="6" t="s">
        <v>836</v>
      </c>
      <c r="O156" s="6" t="s">
        <v>837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838</v>
      </c>
      <c r="B157" s="6" t="s">
        <v>839</v>
      </c>
      <c r="C157" s="6" t="s">
        <v>839</v>
      </c>
      <c r="D157" s="6" t="s">
        <v>830</v>
      </c>
      <c r="E157" s="6" t="s">
        <v>809</v>
      </c>
      <c r="F157" s="6" t="s">
        <v>796</v>
      </c>
      <c r="G157" s="13" t="str">
        <f>IFERROR(VLOOKUP(F157,CATÁLOGOS!$A$6:$B$105,2,FALSE),"")</f>
        <v>🧹 Pisos y superficies</v>
      </c>
      <c r="H157" s="6" t="s">
        <v>797</v>
      </c>
      <c r="I157" s="13" t="str">
        <f>IFERROR(VLOOKUP(H157,CATÁLOGOS!$F$6:$H$305,3,FALSE),"")</f>
        <v>Desodorante para piso</v>
      </c>
      <c r="J157" s="6" t="s">
        <v>27</v>
      </c>
      <c r="K157" s="6" t="s">
        <v>810</v>
      </c>
      <c r="L157" s="6" t="s">
        <v>831</v>
      </c>
      <c r="M157" s="6" t="s">
        <v>811</v>
      </c>
      <c r="N157" s="6" t="s">
        <v>840</v>
      </c>
      <c r="O157" s="6" t="s">
        <v>841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842</v>
      </c>
      <c r="B158" s="6" t="s">
        <v>843</v>
      </c>
      <c r="C158" s="6" t="s">
        <v>843</v>
      </c>
      <c r="D158" s="6" t="s">
        <v>844</v>
      </c>
      <c r="E158" s="6" t="s">
        <v>795</v>
      </c>
      <c r="F158" s="6" t="s">
        <v>796</v>
      </c>
      <c r="G158" s="13" t="str">
        <f>IFERROR(VLOOKUP(F158,CATÁLOGOS!$A$6:$B$105,2,FALSE),"")</f>
        <v>🧹 Pisos y superficies</v>
      </c>
      <c r="H158" s="6" t="s">
        <v>797</v>
      </c>
      <c r="I158" s="13" t="str">
        <f>IFERROR(VLOOKUP(H158,CATÁLOGOS!$F$6:$H$305,3,FALSE),"")</f>
        <v>Desodorante para piso</v>
      </c>
      <c r="J158" s="6" t="s">
        <v>27</v>
      </c>
      <c r="K158" s="6" t="s">
        <v>798</v>
      </c>
      <c r="L158" s="6" t="s">
        <v>587</v>
      </c>
      <c r="M158" s="6" t="s">
        <v>30</v>
      </c>
      <c r="N158" s="6" t="s">
        <v>845</v>
      </c>
      <c r="O158" s="6" t="s">
        <v>846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847</v>
      </c>
      <c r="B159" s="6" t="s">
        <v>848</v>
      </c>
      <c r="C159" s="6" t="s">
        <v>848</v>
      </c>
      <c r="D159" s="6" t="s">
        <v>844</v>
      </c>
      <c r="E159" s="6" t="s">
        <v>803</v>
      </c>
      <c r="F159" s="6" t="s">
        <v>796</v>
      </c>
      <c r="G159" s="13" t="str">
        <f>IFERROR(VLOOKUP(F159,CATÁLOGOS!$A$6:$B$105,2,FALSE),"")</f>
        <v>🧹 Pisos y superficies</v>
      </c>
      <c r="H159" s="6" t="s">
        <v>797</v>
      </c>
      <c r="I159" s="13" t="str">
        <f>IFERROR(VLOOKUP(H159,CATÁLOGOS!$F$6:$H$305,3,FALSE),"")</f>
        <v>Desodorante para piso</v>
      </c>
      <c r="J159" s="6" t="s">
        <v>27</v>
      </c>
      <c r="K159" s="6" t="s">
        <v>804</v>
      </c>
      <c r="L159" s="6" t="s">
        <v>587</v>
      </c>
      <c r="M159" s="6" t="s">
        <v>733</v>
      </c>
      <c r="N159" s="6" t="s">
        <v>849</v>
      </c>
      <c r="O159" s="6" t="s">
        <v>850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851</v>
      </c>
      <c r="B160" s="6" t="s">
        <v>852</v>
      </c>
      <c r="C160" s="6" t="s">
        <v>852</v>
      </c>
      <c r="D160" s="6" t="s">
        <v>844</v>
      </c>
      <c r="E160" s="6" t="s">
        <v>809</v>
      </c>
      <c r="F160" s="6" t="s">
        <v>796</v>
      </c>
      <c r="G160" s="13" t="str">
        <f>IFERROR(VLOOKUP(F160,CATÁLOGOS!$A$6:$B$105,2,FALSE),"")</f>
        <v>🧹 Pisos y superficies</v>
      </c>
      <c r="H160" s="6" t="s">
        <v>797</v>
      </c>
      <c r="I160" s="13" t="str">
        <f>IFERROR(VLOOKUP(H160,CATÁLOGOS!$F$6:$H$305,3,FALSE),"")</f>
        <v>Desodorante para piso</v>
      </c>
      <c r="J160" s="6" t="s">
        <v>27</v>
      </c>
      <c r="K160" s="6" t="s">
        <v>810</v>
      </c>
      <c r="L160" s="6" t="s">
        <v>587</v>
      </c>
      <c r="M160" s="6" t="s">
        <v>811</v>
      </c>
      <c r="N160" s="6" t="s">
        <v>853</v>
      </c>
      <c r="O160" s="6" t="s">
        <v>854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855</v>
      </c>
      <c r="B161" s="6" t="s">
        <v>856</v>
      </c>
      <c r="C161" s="6" t="s">
        <v>856</v>
      </c>
      <c r="D161" s="6" t="s">
        <v>857</v>
      </c>
      <c r="E161" s="6" t="s">
        <v>858</v>
      </c>
      <c r="F161" s="6" t="s">
        <v>117</v>
      </c>
      <c r="G161" s="13" t="str">
        <f>IFERROR(VLOOKUP(F161,CATÁLOGOS!$A$6:$B$105,2,FALSE),"")</f>
        <v>🧰 Accesorios y equipamiento</v>
      </c>
      <c r="H161" s="6" t="s">
        <v>859</v>
      </c>
      <c r="I161" s="13" t="str">
        <f>IFERROR(VLOOKUP(H161,CATÁLOGOS!$F$6:$H$305,3,FALSE),"")</f>
        <v>Cabos y mangos</v>
      </c>
      <c r="J161" s="6" t="s">
        <v>27</v>
      </c>
      <c r="K161" s="6" t="s">
        <v>860</v>
      </c>
      <c r="L161" s="6" t="s">
        <v>861</v>
      </c>
      <c r="M161" s="6" t="s">
        <v>120</v>
      </c>
      <c r="N161" s="6" t="s">
        <v>862</v>
      </c>
      <c r="O161" s="6" t="s">
        <v>863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864</v>
      </c>
      <c r="B162" s="6" t="s">
        <v>865</v>
      </c>
      <c r="C162" s="6" t="s">
        <v>865</v>
      </c>
      <c r="D162" s="6" t="s">
        <v>857</v>
      </c>
      <c r="E162" s="6" t="s">
        <v>866</v>
      </c>
      <c r="F162" s="6" t="s">
        <v>117</v>
      </c>
      <c r="G162" s="13" t="str">
        <f>IFERROR(VLOOKUP(F162,CATÁLOGOS!$A$6:$B$105,2,FALSE),"")</f>
        <v>🧰 Accesorios y equipamiento</v>
      </c>
      <c r="H162" s="6" t="s">
        <v>859</v>
      </c>
      <c r="I162" s="13" t="str">
        <f>IFERROR(VLOOKUP(H162,CATÁLOGOS!$F$6:$H$305,3,FALSE),"")</f>
        <v>Cabos y mangos</v>
      </c>
      <c r="J162" s="6" t="s">
        <v>27</v>
      </c>
      <c r="K162" s="6" t="s">
        <v>867</v>
      </c>
      <c r="L162" s="6" t="s">
        <v>868</v>
      </c>
      <c r="M162" s="6" t="s">
        <v>120</v>
      </c>
      <c r="N162" s="6" t="s">
        <v>869</v>
      </c>
      <c r="O162" s="6" t="s">
        <v>870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871</v>
      </c>
      <c r="B163" s="6" t="s">
        <v>872</v>
      </c>
      <c r="C163" s="6" t="s">
        <v>872</v>
      </c>
      <c r="D163" s="6" t="s">
        <v>857</v>
      </c>
      <c r="E163" s="6" t="s">
        <v>873</v>
      </c>
      <c r="F163" s="6" t="s">
        <v>117</v>
      </c>
      <c r="G163" s="13" t="str">
        <f>IFERROR(VLOOKUP(F163,CATÁLOGOS!$A$6:$B$105,2,FALSE),"")</f>
        <v>🧰 Accesorios y equipamiento</v>
      </c>
      <c r="H163" s="6" t="s">
        <v>859</v>
      </c>
      <c r="I163" s="13" t="str">
        <f>IFERROR(VLOOKUP(H163,CATÁLOGOS!$F$6:$H$305,3,FALSE),"")</f>
        <v>Cabos y mangos</v>
      </c>
      <c r="J163" s="6" t="s">
        <v>27</v>
      </c>
      <c r="K163" s="6" t="s">
        <v>874</v>
      </c>
      <c r="L163" s="6" t="s">
        <v>875</v>
      </c>
      <c r="M163" s="6" t="s">
        <v>120</v>
      </c>
      <c r="N163" s="6" t="s">
        <v>876</v>
      </c>
      <c r="O163" s="6" t="s">
        <v>877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878</v>
      </c>
      <c r="B164" s="6" t="s">
        <v>879</v>
      </c>
      <c r="C164" s="6" t="s">
        <v>879</v>
      </c>
      <c r="D164" s="6"/>
      <c r="E164" s="6"/>
      <c r="F164" s="6" t="s">
        <v>117</v>
      </c>
      <c r="G164" s="13" t="str">
        <f>IFERROR(VLOOKUP(F164,CATÁLOGOS!$A$6:$B$105,2,FALSE),"")</f>
        <v>🧰 Accesorios y equipamiento</v>
      </c>
      <c r="H164" s="6" t="s">
        <v>859</v>
      </c>
      <c r="I164" s="13" t="str">
        <f>IFERROR(VLOOKUP(H164,CATÁLOGOS!$F$6:$H$305,3,FALSE),"")</f>
        <v>Cabos y mangos</v>
      </c>
      <c r="J164" s="6" t="s">
        <v>27</v>
      </c>
      <c r="K164" s="6" t="s">
        <v>880</v>
      </c>
      <c r="L164" s="6"/>
      <c r="M164" s="6" t="s">
        <v>120</v>
      </c>
      <c r="N164" s="6" t="s">
        <v>881</v>
      </c>
      <c r="O164" s="6" t="s">
        <v>882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883</v>
      </c>
      <c r="B165" s="6" t="s">
        <v>884</v>
      </c>
      <c r="C165" s="6" t="s">
        <v>884</v>
      </c>
      <c r="D165" s="6"/>
      <c r="E165" s="6"/>
      <c r="F165" s="6" t="s">
        <v>117</v>
      </c>
      <c r="G165" s="13" t="str">
        <f>IFERROR(VLOOKUP(F165,CATÁLOGOS!$A$6:$B$105,2,FALSE),"")</f>
        <v>🧰 Accesorios y equipamiento</v>
      </c>
      <c r="H165" s="6" t="s">
        <v>859</v>
      </c>
      <c r="I165" s="13" t="str">
        <f>IFERROR(VLOOKUP(H165,CATÁLOGOS!$F$6:$H$305,3,FALSE),"")</f>
        <v>Cabos y mangos</v>
      </c>
      <c r="J165" s="6" t="s">
        <v>27</v>
      </c>
      <c r="K165" s="6" t="s">
        <v>885</v>
      </c>
      <c r="L165" s="6"/>
      <c r="M165" s="6" t="s">
        <v>120</v>
      </c>
      <c r="N165" s="6" t="s">
        <v>886</v>
      </c>
      <c r="O165" s="6" t="s">
        <v>887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888</v>
      </c>
      <c r="B166" s="6" t="s">
        <v>889</v>
      </c>
      <c r="C166" s="6" t="s">
        <v>889</v>
      </c>
      <c r="D166" s="6"/>
      <c r="E166" s="6"/>
      <c r="F166" s="6" t="s">
        <v>117</v>
      </c>
      <c r="G166" s="13" t="str">
        <f>IFERROR(VLOOKUP(F166,CATÁLOGOS!$A$6:$B$105,2,FALSE),"")</f>
        <v>🧰 Accesorios y equipamiento</v>
      </c>
      <c r="H166" s="6" t="s">
        <v>859</v>
      </c>
      <c r="I166" s="13" t="str">
        <f>IFERROR(VLOOKUP(H166,CATÁLOGOS!$F$6:$H$305,3,FALSE),"")</f>
        <v>Cabos y mangos</v>
      </c>
      <c r="J166" s="6" t="s">
        <v>27</v>
      </c>
      <c r="K166" s="6" t="s">
        <v>890</v>
      </c>
      <c r="L166" s="6"/>
      <c r="M166" s="6" t="s">
        <v>120</v>
      </c>
      <c r="N166" s="6" t="s">
        <v>891</v>
      </c>
      <c r="O166" s="6" t="s">
        <v>892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893</v>
      </c>
      <c r="B167" s="6" t="s">
        <v>894</v>
      </c>
      <c r="C167" s="6" t="s">
        <v>894</v>
      </c>
      <c r="D167" s="6"/>
      <c r="E167" s="6"/>
      <c r="F167" s="6" t="s">
        <v>117</v>
      </c>
      <c r="G167" s="13" t="str">
        <f>IFERROR(VLOOKUP(F167,CATÁLOGOS!$A$6:$B$105,2,FALSE),"")</f>
        <v>🧰 Accesorios y equipamiento</v>
      </c>
      <c r="H167" s="6" t="s">
        <v>859</v>
      </c>
      <c r="I167" s="13" t="str">
        <f>IFERROR(VLOOKUP(H167,CATÁLOGOS!$F$6:$H$305,3,FALSE),"")</f>
        <v>Cabos y mangos</v>
      </c>
      <c r="J167" s="6" t="s">
        <v>27</v>
      </c>
      <c r="K167" s="6" t="s">
        <v>895</v>
      </c>
      <c r="L167" s="6"/>
      <c r="M167" s="6" t="s">
        <v>120</v>
      </c>
      <c r="N167" s="6" t="s">
        <v>896</v>
      </c>
      <c r="O167" s="6" t="s">
        <v>897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898</v>
      </c>
      <c r="B168" s="6" t="s">
        <v>899</v>
      </c>
      <c r="C168" s="6" t="s">
        <v>899</v>
      </c>
      <c r="D168" s="6"/>
      <c r="E168" s="6"/>
      <c r="F168" s="6" t="s">
        <v>117</v>
      </c>
      <c r="G168" s="13" t="str">
        <f>IFERROR(VLOOKUP(F168,CATÁLOGOS!$A$6:$B$105,2,FALSE),"")</f>
        <v>🧰 Accesorios y equipamiento</v>
      </c>
      <c r="H168" s="6" t="s">
        <v>900</v>
      </c>
      <c r="I168" s="13" t="str">
        <f>IFERROR(VLOOKUP(H168,CATÁLOGOS!$F$6:$H$305,3,FALSE),"")</f>
        <v>Esponjas</v>
      </c>
      <c r="J168" s="6" t="s">
        <v>901</v>
      </c>
      <c r="K168" s="6" t="s">
        <v>902</v>
      </c>
      <c r="L168" s="6"/>
      <c r="M168" s="6" t="s">
        <v>120</v>
      </c>
      <c r="N168" s="6" t="s">
        <v>903</v>
      </c>
      <c r="O168" s="6" t="s">
        <v>904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905</v>
      </c>
      <c r="B169" s="6" t="s">
        <v>906</v>
      </c>
      <c r="C169" s="6" t="s">
        <v>906</v>
      </c>
      <c r="D169" s="6"/>
      <c r="E169" s="6"/>
      <c r="F169" s="6" t="s">
        <v>117</v>
      </c>
      <c r="G169" s="13" t="str">
        <f>IFERROR(VLOOKUP(F169,CATÁLOGOS!$A$6:$B$105,2,FALSE),"")</f>
        <v>🧰 Accesorios y equipamiento</v>
      </c>
      <c r="H169" s="6" t="s">
        <v>900</v>
      </c>
      <c r="I169" s="13" t="str">
        <f>IFERROR(VLOOKUP(H169,CATÁLOGOS!$F$6:$H$305,3,FALSE),"")</f>
        <v>Esponjas</v>
      </c>
      <c r="J169" s="6" t="s">
        <v>901</v>
      </c>
      <c r="K169" s="6" t="s">
        <v>907</v>
      </c>
      <c r="L169" s="6"/>
      <c r="M169" s="6" t="s">
        <v>120</v>
      </c>
      <c r="N169" s="6" t="s">
        <v>908</v>
      </c>
      <c r="O169" s="6" t="s">
        <v>909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910</v>
      </c>
      <c r="B170" s="6" t="s">
        <v>911</v>
      </c>
      <c r="C170" s="6" t="s">
        <v>911</v>
      </c>
      <c r="D170" s="6"/>
      <c r="E170" s="6"/>
      <c r="F170" s="6" t="s">
        <v>117</v>
      </c>
      <c r="G170" s="13" t="str">
        <f>IFERROR(VLOOKUP(F170,CATÁLOGOS!$A$6:$B$105,2,FALSE),"")</f>
        <v>🧰 Accesorios y equipamiento</v>
      </c>
      <c r="H170" s="6" t="s">
        <v>900</v>
      </c>
      <c r="I170" s="13" t="str">
        <f>IFERROR(VLOOKUP(H170,CATÁLOGOS!$F$6:$H$305,3,FALSE),"")</f>
        <v>Esponjas</v>
      </c>
      <c r="J170" s="6" t="s">
        <v>901</v>
      </c>
      <c r="K170" s="6" t="s">
        <v>912</v>
      </c>
      <c r="L170" s="6"/>
      <c r="M170" s="6" t="s">
        <v>120</v>
      </c>
      <c r="N170" s="6" t="s">
        <v>913</v>
      </c>
      <c r="O170" s="6" t="s">
        <v>914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915</v>
      </c>
      <c r="B171" s="6" t="s">
        <v>916</v>
      </c>
      <c r="C171" s="6" t="s">
        <v>916</v>
      </c>
      <c r="D171" s="6"/>
      <c r="E171" s="6"/>
      <c r="F171" s="6" t="s">
        <v>117</v>
      </c>
      <c r="G171" s="13" t="str">
        <f>IFERROR(VLOOKUP(F171,CATÁLOGOS!$A$6:$B$105,2,FALSE),"")</f>
        <v>🧰 Accesorios y equipamiento</v>
      </c>
      <c r="H171" s="6" t="s">
        <v>900</v>
      </c>
      <c r="I171" s="13" t="str">
        <f>IFERROR(VLOOKUP(H171,CATÁLOGOS!$F$6:$H$305,3,FALSE),"")</f>
        <v>Esponjas</v>
      </c>
      <c r="J171" s="6" t="s">
        <v>901</v>
      </c>
      <c r="K171" s="6" t="s">
        <v>917</v>
      </c>
      <c r="L171" s="6"/>
      <c r="M171" s="6" t="s">
        <v>811</v>
      </c>
      <c r="N171" s="6" t="s">
        <v>918</v>
      </c>
      <c r="O171" s="6" t="s">
        <v>919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920</v>
      </c>
      <c r="B172" s="6" t="s">
        <v>921</v>
      </c>
      <c r="C172" s="6" t="s">
        <v>921</v>
      </c>
      <c r="D172" s="6"/>
      <c r="E172" s="6"/>
      <c r="F172" s="6" t="s">
        <v>117</v>
      </c>
      <c r="G172" s="13" t="str">
        <f>IFERROR(VLOOKUP(F172,CATÁLOGOS!$A$6:$B$105,2,FALSE),"")</f>
        <v>🧰 Accesorios y equipamiento</v>
      </c>
      <c r="H172" s="6" t="s">
        <v>900</v>
      </c>
      <c r="I172" s="13" t="str">
        <f>IFERROR(VLOOKUP(H172,CATÁLOGOS!$F$6:$H$305,3,FALSE),"")</f>
        <v>Esponjas</v>
      </c>
      <c r="J172" s="6" t="s">
        <v>901</v>
      </c>
      <c r="K172" s="6" t="s">
        <v>922</v>
      </c>
      <c r="L172" s="6"/>
      <c r="M172" s="6" t="s">
        <v>811</v>
      </c>
      <c r="N172" s="6" t="s">
        <v>923</v>
      </c>
      <c r="O172" s="6" t="s">
        <v>924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925</v>
      </c>
      <c r="B173" s="6" t="s">
        <v>926</v>
      </c>
      <c r="C173" s="6" t="s">
        <v>926</v>
      </c>
      <c r="D173" s="6"/>
      <c r="E173" s="6"/>
      <c r="F173" s="6" t="s">
        <v>117</v>
      </c>
      <c r="G173" s="13" t="str">
        <f>IFERROR(VLOOKUP(F173,CATÁLOGOS!$A$6:$B$105,2,FALSE),"")</f>
        <v>🧰 Accesorios y equipamiento</v>
      </c>
      <c r="H173" s="6" t="s">
        <v>900</v>
      </c>
      <c r="I173" s="13" t="str">
        <f>IFERROR(VLOOKUP(H173,CATÁLOGOS!$F$6:$H$305,3,FALSE),"")</f>
        <v>Esponjas</v>
      </c>
      <c r="J173" s="6" t="s">
        <v>901</v>
      </c>
      <c r="K173" s="6" t="s">
        <v>927</v>
      </c>
      <c r="L173" s="6"/>
      <c r="M173" s="6" t="s">
        <v>120</v>
      </c>
      <c r="N173" s="6" t="s">
        <v>928</v>
      </c>
      <c r="O173" s="6" t="s">
        <v>929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930</v>
      </c>
      <c r="B174" s="6" t="s">
        <v>931</v>
      </c>
      <c r="C174" s="6" t="s">
        <v>931</v>
      </c>
      <c r="D174" s="6"/>
      <c r="E174" s="6"/>
      <c r="F174" s="6" t="s">
        <v>117</v>
      </c>
      <c r="G174" s="13" t="str">
        <f>IFERROR(VLOOKUP(F174,CATÁLOGOS!$A$6:$B$105,2,FALSE),"")</f>
        <v>🧰 Accesorios y equipamiento</v>
      </c>
      <c r="H174" s="6" t="s">
        <v>900</v>
      </c>
      <c r="I174" s="13" t="str">
        <f>IFERROR(VLOOKUP(H174,CATÁLOGOS!$F$6:$H$305,3,FALSE),"")</f>
        <v>Esponjas</v>
      </c>
      <c r="J174" s="6" t="s">
        <v>27</v>
      </c>
      <c r="K174" s="6" t="s">
        <v>932</v>
      </c>
      <c r="L174" s="6"/>
      <c r="M174" s="6" t="s">
        <v>120</v>
      </c>
      <c r="N174" s="6" t="s">
        <v>933</v>
      </c>
      <c r="O174" s="6" t="s">
        <v>934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935</v>
      </c>
      <c r="B175" s="6" t="s">
        <v>936</v>
      </c>
      <c r="C175" s="6" t="s">
        <v>936</v>
      </c>
      <c r="D175" s="6"/>
      <c r="E175" s="6"/>
      <c r="F175" s="6" t="s">
        <v>117</v>
      </c>
      <c r="G175" s="13" t="str">
        <f>IFERROR(VLOOKUP(F175,CATÁLOGOS!$A$6:$B$105,2,FALSE),"")</f>
        <v>🧰 Accesorios y equipamiento</v>
      </c>
      <c r="H175" s="6" t="s">
        <v>937</v>
      </c>
      <c r="I175" s="13" t="str">
        <f>IFERROR(VLOOKUP(H175,CATÁLOGOS!$F$6:$H$305,3,FALSE),"")</f>
        <v>Artículos para tender</v>
      </c>
      <c r="J175" s="6" t="s">
        <v>27</v>
      </c>
      <c r="K175" s="6" t="s">
        <v>938</v>
      </c>
      <c r="L175" s="6"/>
      <c r="M175" s="6" t="s">
        <v>120</v>
      </c>
      <c r="N175" s="6" t="s">
        <v>939</v>
      </c>
      <c r="O175" s="6" t="s">
        <v>940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941</v>
      </c>
      <c r="B176" s="6" t="s">
        <v>942</v>
      </c>
      <c r="C176" s="6" t="s">
        <v>942</v>
      </c>
      <c r="D176" s="6"/>
      <c r="E176" s="6"/>
      <c r="F176" s="6" t="s">
        <v>117</v>
      </c>
      <c r="G176" s="13" t="str">
        <f>IFERROR(VLOOKUP(F176,CATÁLOGOS!$A$6:$B$105,2,FALSE),"")</f>
        <v>🧰 Accesorios y equipamiento</v>
      </c>
      <c r="H176" s="6" t="s">
        <v>937</v>
      </c>
      <c r="I176" s="13" t="str">
        <f>IFERROR(VLOOKUP(H176,CATÁLOGOS!$F$6:$H$305,3,FALSE),"")</f>
        <v>Artículos para tender</v>
      </c>
      <c r="J176" s="6" t="s">
        <v>27</v>
      </c>
      <c r="K176" s="6" t="s">
        <v>943</v>
      </c>
      <c r="L176" s="6"/>
      <c r="M176" s="6" t="s">
        <v>120</v>
      </c>
      <c r="N176" s="6" t="s">
        <v>944</v>
      </c>
      <c r="O176" s="6" t="s">
        <v>945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946</v>
      </c>
      <c r="B177" s="6" t="s">
        <v>947</v>
      </c>
      <c r="C177" s="6" t="s">
        <v>947</v>
      </c>
      <c r="D177" s="6"/>
      <c r="E177" s="6"/>
      <c r="F177" s="6" t="s">
        <v>117</v>
      </c>
      <c r="G177" s="13" t="str">
        <f>IFERROR(VLOOKUP(F177,CATÁLOGOS!$A$6:$B$105,2,FALSE),"")</f>
        <v>🧰 Accesorios y equipamiento</v>
      </c>
      <c r="H177" s="6" t="s">
        <v>937</v>
      </c>
      <c r="I177" s="13" t="str">
        <f>IFERROR(VLOOKUP(H177,CATÁLOGOS!$F$6:$H$305,3,FALSE),"")</f>
        <v>Artículos para tender</v>
      </c>
      <c r="J177" s="6" t="s">
        <v>27</v>
      </c>
      <c r="K177" s="6" t="s">
        <v>948</v>
      </c>
      <c r="L177" s="6"/>
      <c r="M177" s="6" t="s">
        <v>120</v>
      </c>
      <c r="N177" s="6" t="s">
        <v>949</v>
      </c>
      <c r="O177" s="6" t="s">
        <v>950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951</v>
      </c>
      <c r="B178" s="6" t="s">
        <v>952</v>
      </c>
      <c r="C178" s="6" t="s">
        <v>952</v>
      </c>
      <c r="D178" s="6"/>
      <c r="E178" s="6"/>
      <c r="F178" s="6" t="s">
        <v>117</v>
      </c>
      <c r="G178" s="13" t="str">
        <f>IFERROR(VLOOKUP(F178,CATÁLOGOS!$A$6:$B$105,2,FALSE),"")</f>
        <v>🧰 Accesorios y equipamiento</v>
      </c>
      <c r="H178" s="6" t="s">
        <v>937</v>
      </c>
      <c r="I178" s="13" t="str">
        <f>IFERROR(VLOOKUP(H178,CATÁLOGOS!$F$6:$H$305,3,FALSE),"")</f>
        <v>Artículos para tender</v>
      </c>
      <c r="J178" s="6" t="s">
        <v>27</v>
      </c>
      <c r="K178" s="6" t="s">
        <v>953</v>
      </c>
      <c r="L178" s="6"/>
      <c r="M178" s="6" t="s">
        <v>811</v>
      </c>
      <c r="N178" s="6" t="s">
        <v>954</v>
      </c>
      <c r="O178" s="6" t="s">
        <v>955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956</v>
      </c>
      <c r="B179" s="6" t="s">
        <v>957</v>
      </c>
      <c r="C179" s="6" t="s">
        <v>957</v>
      </c>
      <c r="D179" s="6"/>
      <c r="E179" s="6"/>
      <c r="F179" s="6" t="s">
        <v>117</v>
      </c>
      <c r="G179" s="13" t="str">
        <f>IFERROR(VLOOKUP(F179,CATÁLOGOS!$A$6:$B$105,2,FALSE),"")</f>
        <v>🧰 Accesorios y equipamiento</v>
      </c>
      <c r="H179" s="6" t="s">
        <v>937</v>
      </c>
      <c r="I179" s="13" t="str">
        <f>IFERROR(VLOOKUP(H179,CATÁLOGOS!$F$6:$H$305,3,FALSE),"")</f>
        <v>Artículos para tender</v>
      </c>
      <c r="J179" s="6" t="s">
        <v>27</v>
      </c>
      <c r="K179" s="6" t="s">
        <v>958</v>
      </c>
      <c r="L179" s="6"/>
      <c r="M179" s="6" t="s">
        <v>811</v>
      </c>
      <c r="N179" s="6" t="s">
        <v>959</v>
      </c>
      <c r="O179" s="6" t="s">
        <v>960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961</v>
      </c>
      <c r="B180" s="6" t="s">
        <v>962</v>
      </c>
      <c r="C180" s="6" t="s">
        <v>962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963</v>
      </c>
      <c r="I180" s="13" t="str">
        <f>IFERROR(VLOOKUP(H180,CATÁLOGOS!$F$6:$H$305,3,FALSE),"")</f>
        <v>Accesorios de baño</v>
      </c>
      <c r="J180" s="6" t="s">
        <v>27</v>
      </c>
      <c r="K180" s="6" t="s">
        <v>964</v>
      </c>
      <c r="L180" s="6"/>
      <c r="M180" s="6" t="s">
        <v>120</v>
      </c>
      <c r="N180" s="6" t="s">
        <v>965</v>
      </c>
      <c r="O180" s="6" t="s">
        <v>966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967</v>
      </c>
      <c r="B181" s="6" t="s">
        <v>968</v>
      </c>
      <c r="C181" s="6" t="s">
        <v>968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963</v>
      </c>
      <c r="I181" s="13" t="str">
        <f>IFERROR(VLOOKUP(H181,CATÁLOGOS!$F$6:$H$305,3,FALSE),"")</f>
        <v>Accesorios de baño</v>
      </c>
      <c r="J181" s="6" t="s">
        <v>27</v>
      </c>
      <c r="K181" s="6" t="s">
        <v>969</v>
      </c>
      <c r="L181" s="6"/>
      <c r="M181" s="6" t="s">
        <v>120</v>
      </c>
      <c r="N181" s="6" t="s">
        <v>970</v>
      </c>
      <c r="O181" s="6" t="s">
        <v>971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972</v>
      </c>
      <c r="B182" s="6" t="s">
        <v>973</v>
      </c>
      <c r="C182" s="6" t="s">
        <v>973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963</v>
      </c>
      <c r="I182" s="13" t="str">
        <f>IFERROR(VLOOKUP(H182,CATÁLOGOS!$F$6:$H$305,3,FALSE),"")</f>
        <v>Accesorios de baño</v>
      </c>
      <c r="J182" s="6" t="s">
        <v>974</v>
      </c>
      <c r="K182" s="6" t="s">
        <v>975</v>
      </c>
      <c r="L182" s="6"/>
      <c r="M182" s="6" t="s">
        <v>120</v>
      </c>
      <c r="N182" s="6" t="s">
        <v>976</v>
      </c>
      <c r="O182" s="6" t="s">
        <v>977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978</v>
      </c>
      <c r="B183" s="6" t="s">
        <v>979</v>
      </c>
      <c r="C183" s="6" t="s">
        <v>979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963</v>
      </c>
      <c r="I183" s="13" t="str">
        <f>IFERROR(VLOOKUP(H183,CATÁLOGOS!$F$6:$H$305,3,FALSE),"")</f>
        <v>Accesorios de baño</v>
      </c>
      <c r="J183" s="6" t="s">
        <v>980</v>
      </c>
      <c r="K183" s="6" t="s">
        <v>981</v>
      </c>
      <c r="L183" s="6"/>
      <c r="M183" s="6" t="s">
        <v>120</v>
      </c>
      <c r="N183" s="6" t="s">
        <v>982</v>
      </c>
      <c r="O183" s="6" t="s">
        <v>983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984</v>
      </c>
      <c r="B184" s="6" t="s">
        <v>985</v>
      </c>
      <c r="C184" s="6" t="s">
        <v>985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963</v>
      </c>
      <c r="I184" s="13" t="str">
        <f>IFERROR(VLOOKUP(H184,CATÁLOGOS!$F$6:$H$305,3,FALSE),"")</f>
        <v>Accesorios de baño</v>
      </c>
      <c r="J184" s="6" t="s">
        <v>27</v>
      </c>
      <c r="K184" s="6" t="s">
        <v>986</v>
      </c>
      <c r="L184" s="6"/>
      <c r="M184" s="6" t="s">
        <v>120</v>
      </c>
      <c r="N184" s="6" t="s">
        <v>987</v>
      </c>
      <c r="O184" s="6" t="s">
        <v>988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989</v>
      </c>
      <c r="B185" s="6" t="s">
        <v>990</v>
      </c>
      <c r="C185" s="6" t="s">
        <v>990</v>
      </c>
      <c r="D185" s="6"/>
      <c r="E185" s="6"/>
      <c r="F185" s="6" t="s">
        <v>76</v>
      </c>
      <c r="G185" s="13" t="str">
        <f>IFERROR(VLOOKUP(F185,CATÁLOGOS!$A$6:$B$105,2,FALSE),"")</f>
        <v>🌸 Aromas y fragancias</v>
      </c>
      <c r="H185" s="6" t="s">
        <v>991</v>
      </c>
      <c r="I185" s="13" t="str">
        <f>IFERROR(VLOOKUP(H185,CATÁLOGOS!$F$6:$H$305,3,FALSE),"")</f>
        <v>Aerosol ambiental</v>
      </c>
      <c r="J185" s="6" t="s">
        <v>992</v>
      </c>
      <c r="K185" s="6" t="s">
        <v>993</v>
      </c>
      <c r="L185" s="6"/>
      <c r="M185" s="6" t="s">
        <v>120</v>
      </c>
      <c r="N185" s="6" t="s">
        <v>994</v>
      </c>
      <c r="O185" s="6" t="s">
        <v>995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996</v>
      </c>
      <c r="B186" s="6" t="s">
        <v>997</v>
      </c>
      <c r="C186" s="6" t="s">
        <v>997</v>
      </c>
      <c r="D186" s="6"/>
      <c r="E186" s="6"/>
      <c r="F186" s="6" t="s">
        <v>90</v>
      </c>
      <c r="G186" s="13" t="str">
        <f>IFERROR(VLOOKUP(F186,CATÁLOGOS!$A$6:$B$105,2,FALSE),"")</f>
        <v>🦠 Desinfección y limpieza</v>
      </c>
      <c r="H186" s="6" t="s">
        <v>998</v>
      </c>
      <c r="I186" s="13" t="str">
        <f>IFERROR(VLOOKUP(H186,CATÁLOGOS!$F$6:$H$305,3,FALSE),"")</f>
        <v>Aerosol desinfectante</v>
      </c>
      <c r="J186" s="6" t="s">
        <v>999</v>
      </c>
      <c r="K186" s="6" t="s">
        <v>1000</v>
      </c>
      <c r="L186" s="6"/>
      <c r="M186" s="6" t="s">
        <v>120</v>
      </c>
      <c r="N186" s="6" t="s">
        <v>1001</v>
      </c>
      <c r="O186" s="6" t="s">
        <v>1002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1003</v>
      </c>
      <c r="B187" s="6" t="s">
        <v>1004</v>
      </c>
      <c r="C187" s="6" t="s">
        <v>1004</v>
      </c>
      <c r="D187" s="6"/>
      <c r="E187" s="6"/>
      <c r="F187" s="6" t="s">
        <v>1005</v>
      </c>
      <c r="G187" s="13" t="str">
        <f>IFERROR(VLOOKUP(F187,CATÁLOGOS!$A$6:$B$105,2,FALSE),"")</f>
        <v>🏠 Hogar y varios</v>
      </c>
      <c r="H187" s="6" t="s">
        <v>1006</v>
      </c>
      <c r="I187" s="13" t="str">
        <f>IFERROR(VLOOKUP(H187,CATÁLOGOS!$F$6:$H$305,3,FALSE),"")</f>
        <v>Lustramuebles</v>
      </c>
      <c r="J187" s="6" t="s">
        <v>1007</v>
      </c>
      <c r="K187" s="6" t="s">
        <v>1008</v>
      </c>
      <c r="L187" s="6"/>
      <c r="M187" s="6" t="s">
        <v>120</v>
      </c>
      <c r="N187" s="6" t="s">
        <v>1009</v>
      </c>
      <c r="O187" s="6" t="s">
        <v>1010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736</v>
      </c>
    </row>
    <row r="188" spans="1:21">
      <c r="A188" s="5" t="s">
        <v>1011</v>
      </c>
      <c r="B188" s="6" t="s">
        <v>1012</v>
      </c>
      <c r="C188" s="6" t="s">
        <v>1012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1013</v>
      </c>
      <c r="I188" s="13" t="str">
        <f>IFERROR(VLOOKUP(H188,CATÁLOGOS!$F$6:$H$305,3,FALSE),"")</f>
        <v>Limpiador de horno</v>
      </c>
      <c r="J188" s="6" t="s">
        <v>1014</v>
      </c>
      <c r="K188" s="6" t="s">
        <v>1015</v>
      </c>
      <c r="L188" s="6"/>
      <c r="M188" s="6" t="s">
        <v>120</v>
      </c>
      <c r="N188" s="6" t="s">
        <v>1016</v>
      </c>
      <c r="O188" s="6" t="s">
        <v>1017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1018</v>
      </c>
      <c r="B189" s="6" t="s">
        <v>1019</v>
      </c>
      <c r="C189" s="6" t="s">
        <v>1019</v>
      </c>
      <c r="D189" s="6"/>
      <c r="E189" s="6"/>
      <c r="F189" s="6" t="s">
        <v>54</v>
      </c>
      <c r="G189" s="13" t="str">
        <f>IFERROR(VLOOKUP(F189,CATÁLOGOS!$A$6:$B$105,2,FALSE),"")</f>
        <v>👕 Ropa y lavado</v>
      </c>
      <c r="H189" s="6" t="s">
        <v>1020</v>
      </c>
      <c r="I189" s="13" t="str">
        <f>IFERROR(VLOOKUP(H189,CATÁLOGOS!$F$6:$H$305,3,FALSE),"")</f>
        <v>Apresto para ropa</v>
      </c>
      <c r="J189" s="6" t="s">
        <v>1021</v>
      </c>
      <c r="K189" s="6" t="s">
        <v>1021</v>
      </c>
      <c r="L189" s="6"/>
      <c r="M189" s="6" t="s">
        <v>120</v>
      </c>
      <c r="N189" s="6" t="s">
        <v>1022</v>
      </c>
      <c r="O189" s="6" t="s">
        <v>1023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1024</v>
      </c>
      <c r="B190" s="6" t="s">
        <v>1025</v>
      </c>
      <c r="C190" s="6" t="s">
        <v>1025</v>
      </c>
      <c r="D190" s="6"/>
      <c r="E190" s="6"/>
      <c r="F190" s="6" t="s">
        <v>1005</v>
      </c>
      <c r="G190" s="13" t="str">
        <f>IFERROR(VLOOKUP(F190,CATÁLOGOS!$A$6:$B$105,2,FALSE),"")</f>
        <v>🏠 Hogar y varios</v>
      </c>
      <c r="H190" s="6" t="s">
        <v>1026</v>
      </c>
      <c r="I190" s="13" t="str">
        <f>IFERROR(VLOOKUP(H190,CATÁLOGOS!$F$6:$H$305,3,FALSE),"")</f>
        <v>Insecticidas</v>
      </c>
      <c r="J190" s="6" t="s">
        <v>1027</v>
      </c>
      <c r="K190" s="6" t="s">
        <v>1028</v>
      </c>
      <c r="L190" s="6"/>
      <c r="M190" s="6" t="s">
        <v>120</v>
      </c>
      <c r="N190" s="6" t="s">
        <v>1029</v>
      </c>
      <c r="O190" s="6" t="s">
        <v>1030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1031</v>
      </c>
      <c r="B191" s="6" t="s">
        <v>1032</v>
      </c>
      <c r="C191" s="6" t="s">
        <v>1032</v>
      </c>
      <c r="D191" s="6"/>
      <c r="E191" s="6"/>
      <c r="F191" s="6" t="s">
        <v>1005</v>
      </c>
      <c r="G191" s="13" t="str">
        <f>IFERROR(VLOOKUP(F191,CATÁLOGOS!$A$6:$B$105,2,FALSE),"")</f>
        <v>🏠 Hogar y varios</v>
      </c>
      <c r="H191" s="6" t="s">
        <v>1026</v>
      </c>
      <c r="I191" s="13" t="str">
        <f>IFERROR(VLOOKUP(H191,CATÁLOGOS!$F$6:$H$305,3,FALSE),"")</f>
        <v>Insecticidas</v>
      </c>
      <c r="J191" s="6" t="s">
        <v>1033</v>
      </c>
      <c r="K191" s="6" t="s">
        <v>1034</v>
      </c>
      <c r="L191" s="6"/>
      <c r="M191" s="6" t="s">
        <v>120</v>
      </c>
      <c r="N191" s="6" t="s">
        <v>1035</v>
      </c>
      <c r="O191" s="6" t="s">
        <v>1036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1037</v>
      </c>
      <c r="B192" s="6" t="s">
        <v>1038</v>
      </c>
      <c r="C192" s="6" t="s">
        <v>1038</v>
      </c>
      <c r="D192" s="6"/>
      <c r="E192" s="6"/>
      <c r="F192" s="6" t="s">
        <v>1005</v>
      </c>
      <c r="G192" s="13" t="str">
        <f>IFERROR(VLOOKUP(F192,CATÁLOGOS!$A$6:$B$105,2,FALSE),"")</f>
        <v>🏠 Hogar y varios</v>
      </c>
      <c r="H192" s="6" t="s">
        <v>1026</v>
      </c>
      <c r="I192" s="13" t="str">
        <f>IFERROR(VLOOKUP(H192,CATÁLOGOS!$F$6:$H$305,3,FALSE),"")</f>
        <v>Insecticidas</v>
      </c>
      <c r="J192" s="6" t="s">
        <v>1033</v>
      </c>
      <c r="K192" s="6" t="s">
        <v>1039</v>
      </c>
      <c r="L192" s="6"/>
      <c r="M192" s="6" t="s">
        <v>120</v>
      </c>
      <c r="N192" s="6" t="s">
        <v>1040</v>
      </c>
      <c r="O192" s="6" t="s">
        <v>1041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1042</v>
      </c>
      <c r="B193" s="6" t="s">
        <v>1043</v>
      </c>
      <c r="C193" s="6" t="s">
        <v>1043</v>
      </c>
      <c r="D193" s="6" t="s">
        <v>1044</v>
      </c>
      <c r="E193" s="6" t="s">
        <v>1045</v>
      </c>
      <c r="F193" s="6" t="s">
        <v>117</v>
      </c>
      <c r="G193" s="13" t="str">
        <f>IFERROR(VLOOKUP(F193,CATÁLOGOS!$A$6:$B$105,2,FALSE),"")</f>
        <v>🧰 Accesorios y equipamiento</v>
      </c>
      <c r="H193" s="6" t="s">
        <v>1046</v>
      </c>
      <c r="I193" s="13" t="str">
        <f>IFERROR(VLOOKUP(H193,CATÁLOGOS!$F$6:$H$305,3,FALSE),"")</f>
        <v>Guantes</v>
      </c>
      <c r="J193" s="6" t="s">
        <v>901</v>
      </c>
      <c r="K193" s="6" t="s">
        <v>1047</v>
      </c>
      <c r="L193" s="6" t="s">
        <v>1048</v>
      </c>
      <c r="M193" s="6" t="s">
        <v>120</v>
      </c>
      <c r="N193" s="6" t="s">
        <v>1049</v>
      </c>
      <c r="O193" s="6" t="s">
        <v>1050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1051</v>
      </c>
      <c r="B194" s="6" t="s">
        <v>1052</v>
      </c>
      <c r="C194" s="6" t="s">
        <v>1052</v>
      </c>
      <c r="D194" s="6" t="s">
        <v>1044</v>
      </c>
      <c r="E194" s="6" t="s">
        <v>1053</v>
      </c>
      <c r="F194" s="6" t="s">
        <v>117</v>
      </c>
      <c r="G194" s="13" t="str">
        <f>IFERROR(VLOOKUP(F194,CATÁLOGOS!$A$6:$B$105,2,FALSE),"")</f>
        <v>🧰 Accesorios y equipamiento</v>
      </c>
      <c r="H194" s="6" t="s">
        <v>1046</v>
      </c>
      <c r="I194" s="13" t="str">
        <f>IFERROR(VLOOKUP(H194,CATÁLOGOS!$F$6:$H$305,3,FALSE),"")</f>
        <v>Guantes</v>
      </c>
      <c r="J194" s="6" t="s">
        <v>901</v>
      </c>
      <c r="K194" s="6" t="s">
        <v>1047</v>
      </c>
      <c r="L194" s="6" t="s">
        <v>1054</v>
      </c>
      <c r="M194" s="6" t="s">
        <v>120</v>
      </c>
      <c r="N194" s="6" t="s">
        <v>1055</v>
      </c>
      <c r="O194" s="6" t="s">
        <v>1056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1057</v>
      </c>
      <c r="B195" s="6" t="s">
        <v>1058</v>
      </c>
      <c r="C195" s="6" t="s">
        <v>1058</v>
      </c>
      <c r="D195" s="6" t="s">
        <v>1044</v>
      </c>
      <c r="E195" s="6" t="s">
        <v>1059</v>
      </c>
      <c r="F195" s="6" t="s">
        <v>117</v>
      </c>
      <c r="G195" s="13" t="str">
        <f>IFERROR(VLOOKUP(F195,CATÁLOGOS!$A$6:$B$105,2,FALSE),"")</f>
        <v>🧰 Accesorios y equipamiento</v>
      </c>
      <c r="H195" s="6" t="s">
        <v>1046</v>
      </c>
      <c r="I195" s="13" t="str">
        <f>IFERROR(VLOOKUP(H195,CATÁLOGOS!$F$6:$H$305,3,FALSE),"")</f>
        <v>Guantes</v>
      </c>
      <c r="J195" s="6" t="s">
        <v>901</v>
      </c>
      <c r="K195" s="6" t="s">
        <v>1047</v>
      </c>
      <c r="L195" s="6" t="s">
        <v>1060</v>
      </c>
      <c r="M195" s="6" t="s">
        <v>120</v>
      </c>
      <c r="N195" s="6" t="s">
        <v>1061</v>
      </c>
      <c r="O195" s="6" t="s">
        <v>1062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1063</v>
      </c>
      <c r="B196" s="6" t="s">
        <v>1064</v>
      </c>
      <c r="C196" s="6" t="s">
        <v>1064</v>
      </c>
      <c r="D196" s="6" t="s">
        <v>1044</v>
      </c>
      <c r="E196" s="6" t="s">
        <v>1065</v>
      </c>
      <c r="F196" s="6" t="s">
        <v>117</v>
      </c>
      <c r="G196" s="13" t="str">
        <f>IFERROR(VLOOKUP(F196,CATÁLOGOS!$A$6:$B$105,2,FALSE),"")</f>
        <v>🧰 Accesorios y equipamiento</v>
      </c>
      <c r="H196" s="6" t="s">
        <v>1046</v>
      </c>
      <c r="I196" s="13" t="str">
        <f>IFERROR(VLOOKUP(H196,CATÁLOGOS!$F$6:$H$305,3,FALSE),"")</f>
        <v>Guantes</v>
      </c>
      <c r="J196" s="6" t="s">
        <v>901</v>
      </c>
      <c r="K196" s="6" t="s">
        <v>1047</v>
      </c>
      <c r="L196" s="6" t="s">
        <v>1066</v>
      </c>
      <c r="M196" s="6" t="s">
        <v>120</v>
      </c>
      <c r="N196" s="6" t="s">
        <v>1067</v>
      </c>
      <c r="O196" s="6" t="s">
        <v>1068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1069</v>
      </c>
      <c r="B197" s="6" t="s">
        <v>1070</v>
      </c>
      <c r="C197" s="6" t="s">
        <v>1070</v>
      </c>
      <c r="D197" s="6"/>
      <c r="E197" s="6"/>
      <c r="F197" s="6" t="s">
        <v>117</v>
      </c>
      <c r="G197" s="13" t="str">
        <f>IFERROR(VLOOKUP(F197,CATÁLOGOS!$A$6:$B$105,2,FALSE),"")</f>
        <v>🧰 Accesorios y equipamiento</v>
      </c>
      <c r="H197" s="6" t="s">
        <v>1046</v>
      </c>
      <c r="I197" s="13" t="str">
        <f>IFERROR(VLOOKUP(H197,CATÁLOGOS!$F$6:$H$305,3,FALSE),"")</f>
        <v>Guantes</v>
      </c>
      <c r="J197" s="6" t="s">
        <v>27</v>
      </c>
      <c r="K197" s="6" t="s">
        <v>1071</v>
      </c>
      <c r="L197" s="6"/>
      <c r="M197" s="6" t="s">
        <v>811</v>
      </c>
      <c r="N197" s="6" t="s">
        <v>1072</v>
      </c>
      <c r="O197" s="6" t="s">
        <v>1073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1074</v>
      </c>
      <c r="B198" s="6" t="s">
        <v>1075</v>
      </c>
      <c r="C198" s="6" t="s">
        <v>1075</v>
      </c>
      <c r="D198" s="6"/>
      <c r="E198" s="6"/>
      <c r="F198" s="6" t="s">
        <v>117</v>
      </c>
      <c r="G198" s="13" t="str">
        <f>IFERROR(VLOOKUP(F198,CATÁLOGOS!$A$6:$B$105,2,FALSE),"")</f>
        <v>🧰 Accesorios y equipamiento</v>
      </c>
      <c r="H198" s="6" t="s">
        <v>1046</v>
      </c>
      <c r="I198" s="13" t="str">
        <f>IFERROR(VLOOKUP(H198,CATÁLOGOS!$F$6:$H$305,3,FALSE),"")</f>
        <v>Guantes</v>
      </c>
      <c r="J198" s="6" t="s">
        <v>27</v>
      </c>
      <c r="K198" s="6" t="s">
        <v>1076</v>
      </c>
      <c r="L198" s="6"/>
      <c r="M198" s="6" t="s">
        <v>811</v>
      </c>
      <c r="N198" s="6" t="s">
        <v>1077</v>
      </c>
      <c r="O198" s="6" t="s">
        <v>1078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1079</v>
      </c>
      <c r="B199" s="6" t="s">
        <v>1080</v>
      </c>
      <c r="C199" s="6" t="s">
        <v>1080</v>
      </c>
      <c r="D199" s="6"/>
      <c r="E199" s="6"/>
      <c r="F199" s="6" t="s">
        <v>117</v>
      </c>
      <c r="G199" s="13" t="str">
        <f>IFERROR(VLOOKUP(F199,CATÁLOGOS!$A$6:$B$105,2,FALSE),"")</f>
        <v>🧰 Accesorios y equipamiento</v>
      </c>
      <c r="H199" s="6" t="s">
        <v>1081</v>
      </c>
      <c r="I199" s="13" t="str">
        <f>IFERROR(VLOOKUP(H199,CATÁLOGOS!$F$6:$H$305,3,FALSE),"")</f>
        <v>Mopas</v>
      </c>
      <c r="J199" s="6" t="s">
        <v>1082</v>
      </c>
      <c r="K199" s="6" t="s">
        <v>1083</v>
      </c>
      <c r="L199" s="6"/>
      <c r="M199" s="6" t="s">
        <v>120</v>
      </c>
      <c r="N199" s="6" t="s">
        <v>1084</v>
      </c>
      <c r="O199" s="6" t="s">
        <v>1085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1086</v>
      </c>
      <c r="B200" s="6" t="s">
        <v>1087</v>
      </c>
      <c r="C200" s="6" t="s">
        <v>1087</v>
      </c>
      <c r="D200" s="6"/>
      <c r="E200" s="6"/>
      <c r="F200" s="6" t="s">
        <v>117</v>
      </c>
      <c r="G200" s="13" t="str">
        <f>IFERROR(VLOOKUP(F200,CATÁLOGOS!$A$6:$B$105,2,FALSE),"")</f>
        <v>🧰 Accesorios y equipamiento</v>
      </c>
      <c r="H200" s="6" t="s">
        <v>1081</v>
      </c>
      <c r="I200" s="13" t="str">
        <f>IFERROR(VLOOKUP(H200,CATÁLOGOS!$F$6:$H$305,3,FALSE),"")</f>
        <v>Mopas</v>
      </c>
      <c r="J200" s="6" t="s">
        <v>1088</v>
      </c>
      <c r="K200" s="6" t="s">
        <v>1089</v>
      </c>
      <c r="L200" s="6"/>
      <c r="M200" s="6" t="s">
        <v>120</v>
      </c>
      <c r="N200" s="6" t="s">
        <v>1090</v>
      </c>
      <c r="O200" s="6" t="s">
        <v>1091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1092</v>
      </c>
      <c r="B201" s="6" t="s">
        <v>1093</v>
      </c>
      <c r="C201" s="6" t="s">
        <v>1093</v>
      </c>
      <c r="D201" s="6"/>
      <c r="E201" s="6"/>
      <c r="F201" s="6" t="s">
        <v>117</v>
      </c>
      <c r="G201" s="13" t="str">
        <f>IFERROR(VLOOKUP(F201,CATÁLOGOS!$A$6:$B$105,2,FALSE),"")</f>
        <v>🧰 Accesorios y equipamiento</v>
      </c>
      <c r="H201" s="6" t="s">
        <v>1081</v>
      </c>
      <c r="I201" s="13" t="str">
        <f>IFERROR(VLOOKUP(H201,CATÁLOGOS!$F$6:$H$305,3,FALSE),"")</f>
        <v>Mopas</v>
      </c>
      <c r="J201" s="6" t="s">
        <v>1094</v>
      </c>
      <c r="K201" s="6" t="s">
        <v>1095</v>
      </c>
      <c r="L201" s="6"/>
      <c r="M201" s="6" t="s">
        <v>120</v>
      </c>
      <c r="N201" s="6" t="s">
        <v>1096</v>
      </c>
      <c r="O201" s="6" t="s">
        <v>1097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1098</v>
      </c>
      <c r="B202" s="6" t="s">
        <v>1099</v>
      </c>
      <c r="C202" s="6" t="s">
        <v>1099</v>
      </c>
      <c r="D202" s="6"/>
      <c r="E202" s="6"/>
      <c r="F202" s="6" t="s">
        <v>117</v>
      </c>
      <c r="G202" s="13" t="str">
        <f>IFERROR(VLOOKUP(F202,CATÁLOGOS!$A$6:$B$105,2,FALSE),"")</f>
        <v>🧰 Accesorios y equipamiento</v>
      </c>
      <c r="H202" s="6" t="s">
        <v>1081</v>
      </c>
      <c r="I202" s="13" t="str">
        <f>IFERROR(VLOOKUP(H202,CATÁLOGOS!$F$6:$H$305,3,FALSE),"")</f>
        <v>Mopas</v>
      </c>
      <c r="J202" s="6" t="s">
        <v>1100</v>
      </c>
      <c r="K202" s="6" t="s">
        <v>1101</v>
      </c>
      <c r="L202" s="6"/>
      <c r="M202" s="6" t="s">
        <v>120</v>
      </c>
      <c r="N202" s="6" t="s">
        <v>1102</v>
      </c>
      <c r="O202" s="6" t="s">
        <v>1103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1104</v>
      </c>
      <c r="B203" s="6" t="s">
        <v>1105</v>
      </c>
      <c r="C203" s="6" t="s">
        <v>1105</v>
      </c>
      <c r="D203" s="6"/>
      <c r="E203" s="6"/>
      <c r="F203" s="6" t="s">
        <v>117</v>
      </c>
      <c r="G203" s="13" t="str">
        <f>IFERROR(VLOOKUP(F203,CATÁLOGOS!$A$6:$B$105,2,FALSE),"")</f>
        <v>🧰 Accesorios y equipamiento</v>
      </c>
      <c r="H203" s="6" t="s">
        <v>1081</v>
      </c>
      <c r="I203" s="13" t="str">
        <f>IFERROR(VLOOKUP(H203,CATÁLOGOS!$F$6:$H$305,3,FALSE),"")</f>
        <v>Mopas</v>
      </c>
      <c r="J203" s="6" t="s">
        <v>901</v>
      </c>
      <c r="K203" s="6" t="s">
        <v>1106</v>
      </c>
      <c r="L203" s="6"/>
      <c r="M203" s="6" t="s">
        <v>120</v>
      </c>
      <c r="N203" s="6" t="s">
        <v>1107</v>
      </c>
      <c r="O203" s="6" t="s">
        <v>1108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1109</v>
      </c>
      <c r="B204" s="6" t="s">
        <v>1110</v>
      </c>
      <c r="C204" s="6" t="s">
        <v>1110</v>
      </c>
      <c r="D204" s="6"/>
      <c r="E204" s="6"/>
      <c r="F204" s="6" t="s">
        <v>117</v>
      </c>
      <c r="G204" s="13" t="str">
        <f>IFERROR(VLOOKUP(F204,CATÁLOGOS!$A$6:$B$105,2,FALSE),"")</f>
        <v>🧰 Accesorios y equipamiento</v>
      </c>
      <c r="H204" s="6" t="s">
        <v>1111</v>
      </c>
      <c r="I204" s="13" t="str">
        <f>IFERROR(VLOOKUP(H204,CATÁLOGOS!$F$6:$H$305,3,FALSE),"")</f>
        <v>Repuestos</v>
      </c>
      <c r="J204" s="6" t="s">
        <v>1112</v>
      </c>
      <c r="K204" s="6" t="s">
        <v>1113</v>
      </c>
      <c r="L204" s="6"/>
      <c r="M204" s="6" t="s">
        <v>120</v>
      </c>
      <c r="N204" s="6" t="s">
        <v>1114</v>
      </c>
      <c r="O204" s="6" t="s">
        <v>1115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1116</v>
      </c>
      <c r="B205" s="6" t="s">
        <v>1117</v>
      </c>
      <c r="C205" s="6" t="s">
        <v>1117</v>
      </c>
      <c r="D205" s="6"/>
      <c r="E205" s="6"/>
      <c r="F205" s="6" t="s">
        <v>117</v>
      </c>
      <c r="G205" s="13" t="str">
        <f>IFERROR(VLOOKUP(F205,CATÁLOGOS!$A$6:$B$105,2,FALSE),"")</f>
        <v>🧰 Accesorios y equipamiento</v>
      </c>
      <c r="H205" s="6" t="s">
        <v>1111</v>
      </c>
      <c r="I205" s="13" t="str">
        <f>IFERROR(VLOOKUP(H205,CATÁLOGOS!$F$6:$H$305,3,FALSE),"")</f>
        <v>Repuestos</v>
      </c>
      <c r="J205" s="6" t="s">
        <v>1118</v>
      </c>
      <c r="K205" s="6" t="s">
        <v>1119</v>
      </c>
      <c r="L205" s="6"/>
      <c r="M205" s="6" t="s">
        <v>120</v>
      </c>
      <c r="N205" s="6" t="s">
        <v>1120</v>
      </c>
      <c r="O205" s="6" t="s">
        <v>1121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1122</v>
      </c>
      <c r="B206" s="6" t="s">
        <v>1123</v>
      </c>
      <c r="C206" s="6" t="s">
        <v>1123</v>
      </c>
      <c r="D206" s="6"/>
      <c r="E206" s="6"/>
      <c r="F206" s="6" t="s">
        <v>117</v>
      </c>
      <c r="G206" s="13" t="str">
        <f>IFERROR(VLOOKUP(F206,CATÁLOGOS!$A$6:$B$105,2,FALSE),"")</f>
        <v>🧰 Accesorios y equipamiento</v>
      </c>
      <c r="H206" s="6" t="s">
        <v>1124</v>
      </c>
      <c r="I206" s="13" t="str">
        <f>IFERROR(VLOOKUP(H206,CATÁLOGOS!$F$6:$H$305,3,FALSE),"")</f>
        <v>Baldes y recipientes</v>
      </c>
      <c r="J206" s="6" t="s">
        <v>1125</v>
      </c>
      <c r="K206" s="6" t="s">
        <v>1126</v>
      </c>
      <c r="L206" s="6"/>
      <c r="M206" s="6" t="s">
        <v>120</v>
      </c>
      <c r="N206" s="6" t="s">
        <v>1127</v>
      </c>
      <c r="O206" s="6" t="s">
        <v>1128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1129</v>
      </c>
      <c r="B207" s="6" t="s">
        <v>1130</v>
      </c>
      <c r="C207" s="6" t="s">
        <v>1130</v>
      </c>
      <c r="D207" s="6"/>
      <c r="E207" s="6"/>
      <c r="F207" s="6" t="s">
        <v>117</v>
      </c>
      <c r="G207" s="13" t="str">
        <f>IFERROR(VLOOKUP(F207,CATÁLOGOS!$A$6:$B$105,2,FALSE),"")</f>
        <v>🧰 Accesorios y equipamiento</v>
      </c>
      <c r="H207" s="6" t="s">
        <v>1124</v>
      </c>
      <c r="I207" s="13" t="str">
        <f>IFERROR(VLOOKUP(H207,CATÁLOGOS!$F$6:$H$305,3,FALSE),"")</f>
        <v>Baldes y recipientes</v>
      </c>
      <c r="J207" s="6" t="s">
        <v>1125</v>
      </c>
      <c r="K207" s="6" t="s">
        <v>1131</v>
      </c>
      <c r="L207" s="6"/>
      <c r="M207" s="6" t="s">
        <v>120</v>
      </c>
      <c r="N207" s="6" t="s">
        <v>1132</v>
      </c>
      <c r="O207" s="6" t="s">
        <v>1133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1134</v>
      </c>
      <c r="B208" s="6" t="s">
        <v>1135</v>
      </c>
      <c r="C208" s="6" t="s">
        <v>1135</v>
      </c>
      <c r="D208" s="6"/>
      <c r="E208" s="6"/>
      <c r="F208" s="6" t="s">
        <v>117</v>
      </c>
      <c r="G208" s="13" t="str">
        <f>IFERROR(VLOOKUP(F208,CATÁLOGOS!$A$6:$B$105,2,FALSE),"")</f>
        <v>🧰 Accesorios y equipamiento</v>
      </c>
      <c r="H208" s="6" t="s">
        <v>1124</v>
      </c>
      <c r="I208" s="13" t="str">
        <f>IFERROR(VLOOKUP(H208,CATÁLOGOS!$F$6:$H$305,3,FALSE),"")</f>
        <v>Baldes y recipientes</v>
      </c>
      <c r="J208" s="6" t="s">
        <v>27</v>
      </c>
      <c r="K208" s="6" t="s">
        <v>1136</v>
      </c>
      <c r="L208" s="6"/>
      <c r="M208" s="6" t="s">
        <v>120</v>
      </c>
      <c r="N208" s="6" t="s">
        <v>1137</v>
      </c>
      <c r="O208" s="6" t="s">
        <v>1138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1139</v>
      </c>
      <c r="B209" s="6" t="s">
        <v>1140</v>
      </c>
      <c r="C209" s="6" t="s">
        <v>1140</v>
      </c>
      <c r="D209" s="6"/>
      <c r="E209" s="6"/>
      <c r="F209" s="6" t="s">
        <v>117</v>
      </c>
      <c r="G209" s="13" t="str">
        <f>IFERROR(VLOOKUP(F209,CATÁLOGOS!$A$6:$B$105,2,FALSE),"")</f>
        <v>🧰 Accesorios y equipamiento</v>
      </c>
      <c r="H209" s="6" t="s">
        <v>1124</v>
      </c>
      <c r="I209" s="13" t="str">
        <f>IFERROR(VLOOKUP(H209,CATÁLOGOS!$F$6:$H$305,3,FALSE),"")</f>
        <v>Baldes y recipientes</v>
      </c>
      <c r="J209" s="6" t="s">
        <v>27</v>
      </c>
      <c r="K209" s="6" t="s">
        <v>1141</v>
      </c>
      <c r="L209" s="6"/>
      <c r="M209" s="6" t="s">
        <v>120</v>
      </c>
      <c r="N209" s="6" t="s">
        <v>1142</v>
      </c>
      <c r="O209" s="6" t="s">
        <v>1143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1144</v>
      </c>
      <c r="B210" s="6" t="s">
        <v>1145</v>
      </c>
      <c r="C210" s="6" t="s">
        <v>1145</v>
      </c>
      <c r="D210" s="6"/>
      <c r="E210" s="6"/>
      <c r="F210" s="6" t="s">
        <v>117</v>
      </c>
      <c r="G210" s="13" t="str">
        <f>IFERROR(VLOOKUP(F210,CATÁLOGOS!$A$6:$B$105,2,FALSE),"")</f>
        <v>🧰 Accesorios y equipamiento</v>
      </c>
      <c r="H210" s="6" t="s">
        <v>1124</v>
      </c>
      <c r="I210" s="13" t="str">
        <f>IFERROR(VLOOKUP(H210,CATÁLOGOS!$F$6:$H$305,3,FALSE),"")</f>
        <v>Baldes y recipientes</v>
      </c>
      <c r="J210" s="6" t="s">
        <v>1125</v>
      </c>
      <c r="K210" s="6" t="s">
        <v>1146</v>
      </c>
      <c r="L210" s="6"/>
      <c r="M210" s="6" t="s">
        <v>120</v>
      </c>
      <c r="N210" s="6" t="s">
        <v>1147</v>
      </c>
      <c r="O210" s="6" t="s">
        <v>1148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1149</v>
      </c>
      <c r="B211" s="6" t="s">
        <v>1150</v>
      </c>
      <c r="C211" s="6" t="s">
        <v>1150</v>
      </c>
      <c r="D211" s="6"/>
      <c r="E211" s="6"/>
      <c r="F211" s="6" t="s">
        <v>117</v>
      </c>
      <c r="G211" s="13" t="str">
        <f>IFERROR(VLOOKUP(F211,CATÁLOGOS!$A$6:$B$105,2,FALSE),"")</f>
        <v>🧰 Accesorios y equipamiento</v>
      </c>
      <c r="H211" s="6" t="s">
        <v>1124</v>
      </c>
      <c r="I211" s="13" t="str">
        <f>IFERROR(VLOOKUP(H211,CATÁLOGOS!$F$6:$H$305,3,FALSE),"")</f>
        <v>Baldes y recipientes</v>
      </c>
      <c r="J211" s="6" t="s">
        <v>27</v>
      </c>
      <c r="K211" s="6" t="s">
        <v>1151</v>
      </c>
      <c r="L211" s="6"/>
      <c r="M211" s="6" t="s">
        <v>120</v>
      </c>
      <c r="N211" s="6" t="s">
        <v>1152</v>
      </c>
      <c r="O211" s="6" t="s">
        <v>1153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1154</v>
      </c>
      <c r="B212" s="6" t="s">
        <v>1155</v>
      </c>
      <c r="C212" s="6" t="s">
        <v>1155</v>
      </c>
      <c r="D212" s="6"/>
      <c r="E212" s="6"/>
      <c r="F212" s="6" t="s">
        <v>1156</v>
      </c>
      <c r="G212" s="13" t="str">
        <f>IFERROR(VLOOKUP(F212,CATÁLOGOS!$A$6:$B$105,2,FALSE),"")</f>
        <v>🏊 Piletas</v>
      </c>
      <c r="H212" s="6" t="s">
        <v>1157</v>
      </c>
      <c r="I212" s="13" t="str">
        <f>IFERROR(VLOOKUP(H212,CATÁLOGOS!$F$6:$H$305,3,FALSE),"")</f>
        <v>Líquidos</v>
      </c>
      <c r="J212" s="6" t="s">
        <v>1158</v>
      </c>
      <c r="K212" s="6" t="s">
        <v>1159</v>
      </c>
      <c r="L212" s="6"/>
      <c r="M212" s="6" t="s">
        <v>733</v>
      </c>
      <c r="N212" s="6" t="s">
        <v>1160</v>
      </c>
      <c r="O212" s="6" t="s">
        <v>1161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1162</v>
      </c>
      <c r="B213" s="6" t="s">
        <v>1163</v>
      </c>
      <c r="C213" s="6" t="s">
        <v>1163</v>
      </c>
      <c r="D213" s="6"/>
      <c r="E213" s="6"/>
      <c r="F213" s="6" t="s">
        <v>1156</v>
      </c>
      <c r="G213" s="13" t="str">
        <f>IFERROR(VLOOKUP(F213,CATÁLOGOS!$A$6:$B$105,2,FALSE),"")</f>
        <v>🏊 Piletas</v>
      </c>
      <c r="H213" s="6" t="s">
        <v>1157</v>
      </c>
      <c r="I213" s="13" t="str">
        <f>IFERROR(VLOOKUP(H213,CATÁLOGOS!$F$6:$H$305,3,FALSE),"")</f>
        <v>Líquidos</v>
      </c>
      <c r="J213" s="6" t="s">
        <v>1158</v>
      </c>
      <c r="K213" s="6" t="s">
        <v>1164</v>
      </c>
      <c r="L213" s="6"/>
      <c r="M213" s="6" t="s">
        <v>733</v>
      </c>
      <c r="N213" s="6" t="s">
        <v>1165</v>
      </c>
      <c r="O213" s="6" t="s">
        <v>1166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1167</v>
      </c>
      <c r="B214" s="6" t="s">
        <v>1168</v>
      </c>
      <c r="C214" s="6" t="s">
        <v>1168</v>
      </c>
      <c r="D214" s="6"/>
      <c r="E214" s="6"/>
      <c r="F214" s="6" t="s">
        <v>1156</v>
      </c>
      <c r="G214" s="13" t="str">
        <f>IFERROR(VLOOKUP(F214,CATÁLOGOS!$A$6:$B$105,2,FALSE),"")</f>
        <v>🏊 Piletas</v>
      </c>
      <c r="H214" s="6" t="s">
        <v>1157</v>
      </c>
      <c r="I214" s="13" t="str">
        <f>IFERROR(VLOOKUP(H214,CATÁLOGOS!$F$6:$H$305,3,FALSE),"")</f>
        <v>Líquidos</v>
      </c>
      <c r="J214" s="6" t="s">
        <v>27</v>
      </c>
      <c r="K214" s="6" t="s">
        <v>1169</v>
      </c>
      <c r="L214" s="6"/>
      <c r="M214" s="6" t="s">
        <v>30</v>
      </c>
      <c r="N214" s="6" t="s">
        <v>1170</v>
      </c>
      <c r="O214" s="6" t="s">
        <v>1171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1172</v>
      </c>
      <c r="B215" s="6" t="s">
        <v>1173</v>
      </c>
      <c r="C215" s="6" t="s">
        <v>1173</v>
      </c>
      <c r="D215" s="6"/>
      <c r="E215" s="6"/>
      <c r="F215" s="6" t="s">
        <v>1156</v>
      </c>
      <c r="G215" s="13" t="str">
        <f>IFERROR(VLOOKUP(F215,CATÁLOGOS!$A$6:$B$105,2,FALSE),"")</f>
        <v>🏊 Piletas</v>
      </c>
      <c r="H215" s="6" t="s">
        <v>1174</v>
      </c>
      <c r="I215" s="13" t="str">
        <f>IFERROR(VLOOKUP(H215,CATÁLOGOS!$F$6:$H$305,3,FALSE),"")</f>
        <v>Químicos</v>
      </c>
      <c r="J215" s="6" t="s">
        <v>27</v>
      </c>
      <c r="K215" s="6" t="s">
        <v>1175</v>
      </c>
      <c r="L215" s="6"/>
      <c r="M215" s="6" t="s">
        <v>1176</v>
      </c>
      <c r="N215" s="6" t="s">
        <v>1177</v>
      </c>
      <c r="O215" s="6" t="s">
        <v>1178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1179</v>
      </c>
      <c r="B216" s="6" t="s">
        <v>1180</v>
      </c>
      <c r="C216" s="6" t="s">
        <v>1180</v>
      </c>
      <c r="D216" s="6"/>
      <c r="E216" s="6"/>
      <c r="F216" s="6" t="s">
        <v>1156</v>
      </c>
      <c r="G216" s="13" t="str">
        <f>IFERROR(VLOOKUP(F216,CATÁLOGOS!$A$6:$B$105,2,FALSE),"")</f>
        <v>🏊 Piletas</v>
      </c>
      <c r="H216" s="6" t="s">
        <v>1174</v>
      </c>
      <c r="I216" s="13" t="str">
        <f>IFERROR(VLOOKUP(H216,CATÁLOGOS!$F$6:$H$305,3,FALSE),"")</f>
        <v>Químicos</v>
      </c>
      <c r="J216" s="6" t="s">
        <v>1181</v>
      </c>
      <c r="K216" s="6" t="s">
        <v>1182</v>
      </c>
      <c r="L216" s="6"/>
      <c r="M216" s="6" t="s">
        <v>1183</v>
      </c>
      <c r="N216" s="6" t="s">
        <v>1184</v>
      </c>
      <c r="O216" s="6" t="s">
        <v>1185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1186</v>
      </c>
      <c r="B217" s="6" t="s">
        <v>1187</v>
      </c>
      <c r="C217" s="6" t="s">
        <v>1187</v>
      </c>
      <c r="D217" s="6"/>
      <c r="E217" s="6"/>
      <c r="F217" s="6" t="s">
        <v>1156</v>
      </c>
      <c r="G217" s="13" t="str">
        <f>IFERROR(VLOOKUP(F217,CATÁLOGOS!$A$6:$B$105,2,FALSE),"")</f>
        <v>🏊 Piletas</v>
      </c>
      <c r="H217" s="6" t="s">
        <v>1174</v>
      </c>
      <c r="I217" s="13" t="str">
        <f>IFERROR(VLOOKUP(H217,CATÁLOGOS!$F$6:$H$305,3,FALSE),"")</f>
        <v>Químicos</v>
      </c>
      <c r="J217" s="6" t="s">
        <v>1181</v>
      </c>
      <c r="K217" s="6" t="s">
        <v>1188</v>
      </c>
      <c r="L217" s="6"/>
      <c r="M217" s="6" t="s">
        <v>120</v>
      </c>
      <c r="N217" s="6" t="s">
        <v>1189</v>
      </c>
      <c r="O217" s="6" t="s">
        <v>1190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1191</v>
      </c>
      <c r="B218" s="6" t="s">
        <v>1192</v>
      </c>
      <c r="C218" s="6" t="s">
        <v>1192</v>
      </c>
      <c r="D218" s="6"/>
      <c r="E218" s="6"/>
      <c r="F218" s="6" t="s">
        <v>1156</v>
      </c>
      <c r="G218" s="13" t="str">
        <f>IFERROR(VLOOKUP(F218,CATÁLOGOS!$A$6:$B$105,2,FALSE),"")</f>
        <v>🏊 Piletas</v>
      </c>
      <c r="H218" s="6" t="s">
        <v>1174</v>
      </c>
      <c r="I218" s="13" t="str">
        <f>IFERROR(VLOOKUP(H218,CATÁLOGOS!$F$6:$H$305,3,FALSE),"")</f>
        <v>Químicos</v>
      </c>
      <c r="J218" s="6" t="s">
        <v>1181</v>
      </c>
      <c r="K218" s="6" t="s">
        <v>1193</v>
      </c>
      <c r="L218" s="6"/>
      <c r="M218" s="6" t="s">
        <v>811</v>
      </c>
      <c r="N218" s="6" t="s">
        <v>1194</v>
      </c>
      <c r="O218" s="6" t="s">
        <v>1195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1196</v>
      </c>
      <c r="B219" s="6" t="s">
        <v>1197</v>
      </c>
      <c r="C219" s="6" t="s">
        <v>1197</v>
      </c>
      <c r="D219" s="6"/>
      <c r="E219" s="6"/>
      <c r="F219" s="6" t="s">
        <v>1156</v>
      </c>
      <c r="G219" s="13" t="str">
        <f>IFERROR(VLOOKUP(F219,CATÁLOGOS!$A$6:$B$105,2,FALSE),"")</f>
        <v>🏊 Piletas</v>
      </c>
      <c r="H219" s="6" t="s">
        <v>1174</v>
      </c>
      <c r="I219" s="13" t="str">
        <f>IFERROR(VLOOKUP(H219,CATÁLOGOS!$F$6:$H$305,3,FALSE),"")</f>
        <v>Químicos</v>
      </c>
      <c r="J219" s="6" t="s">
        <v>1181</v>
      </c>
      <c r="K219" s="6" t="s">
        <v>1198</v>
      </c>
      <c r="L219" s="6"/>
      <c r="M219" s="6" t="s">
        <v>120</v>
      </c>
      <c r="N219" s="6" t="s">
        <v>1199</v>
      </c>
      <c r="O219" s="6" t="s">
        <v>1200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1201</v>
      </c>
      <c r="B220" s="6" t="s">
        <v>1202</v>
      </c>
      <c r="C220" s="6" t="s">
        <v>1202</v>
      </c>
      <c r="D220" s="6"/>
      <c r="E220" s="6"/>
      <c r="F220" s="6" t="s">
        <v>1156</v>
      </c>
      <c r="G220" s="13" t="str">
        <f>IFERROR(VLOOKUP(F220,CATÁLOGOS!$A$6:$B$105,2,FALSE),"")</f>
        <v>🏊 Piletas</v>
      </c>
      <c r="H220" s="6" t="s">
        <v>1203</v>
      </c>
      <c r="I220" s="13" t="str">
        <f>IFERROR(VLOOKUP(H220,CATÁLOGOS!$F$6:$H$305,3,FALSE),"")</f>
        <v>Mangueras</v>
      </c>
      <c r="J220" s="6" t="s">
        <v>1181</v>
      </c>
      <c r="K220" s="6" t="s">
        <v>1204</v>
      </c>
      <c r="L220" s="6"/>
      <c r="M220" s="6" t="s">
        <v>120</v>
      </c>
      <c r="N220" s="6" t="s">
        <v>1205</v>
      </c>
      <c r="O220" s="6" t="s">
        <v>1206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1207</v>
      </c>
      <c r="B221" s="6" t="s">
        <v>1208</v>
      </c>
      <c r="C221" s="6" t="s">
        <v>1208</v>
      </c>
      <c r="D221" s="6"/>
      <c r="E221" s="6"/>
      <c r="F221" s="6" t="s">
        <v>1156</v>
      </c>
      <c r="G221" s="13" t="str">
        <f>IFERROR(VLOOKUP(F221,CATÁLOGOS!$A$6:$B$105,2,FALSE),"")</f>
        <v>🏊 Piletas</v>
      </c>
      <c r="H221" s="6" t="s">
        <v>1203</v>
      </c>
      <c r="I221" s="13" t="str">
        <f>IFERROR(VLOOKUP(H221,CATÁLOGOS!$F$6:$H$305,3,FALSE),"")</f>
        <v>Mangueras</v>
      </c>
      <c r="J221" s="6" t="s">
        <v>1181</v>
      </c>
      <c r="K221" s="6" t="s">
        <v>1209</v>
      </c>
      <c r="L221" s="6"/>
      <c r="M221" s="6" t="s">
        <v>120</v>
      </c>
      <c r="N221" s="6" t="s">
        <v>1210</v>
      </c>
      <c r="O221" s="6" t="s">
        <v>1211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1212</v>
      </c>
      <c r="B222" s="6" t="s">
        <v>1213</v>
      </c>
      <c r="C222" s="6" t="s">
        <v>1213</v>
      </c>
      <c r="D222" s="6"/>
      <c r="E222" s="6"/>
      <c r="F222" s="6" t="s">
        <v>1156</v>
      </c>
      <c r="G222" s="13" t="str">
        <f>IFERROR(VLOOKUP(F222,CATÁLOGOS!$A$6:$B$105,2,FALSE),"")</f>
        <v>🏊 Piletas</v>
      </c>
      <c r="H222" s="6" t="s">
        <v>1203</v>
      </c>
      <c r="I222" s="13" t="str">
        <f>IFERROR(VLOOKUP(H222,CATÁLOGOS!$F$6:$H$305,3,FALSE),"")</f>
        <v>Mangueras</v>
      </c>
      <c r="J222" s="6" t="s">
        <v>1181</v>
      </c>
      <c r="K222" s="6" t="s">
        <v>1214</v>
      </c>
      <c r="L222" s="6"/>
      <c r="M222" s="6" t="s">
        <v>120</v>
      </c>
      <c r="N222" s="6" t="s">
        <v>1215</v>
      </c>
      <c r="O222" s="6" t="s">
        <v>1216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1217</v>
      </c>
      <c r="B223" s="6" t="s">
        <v>1218</v>
      </c>
      <c r="C223" s="6" t="s">
        <v>1218</v>
      </c>
      <c r="D223" s="6"/>
      <c r="E223" s="6"/>
      <c r="F223" s="6" t="s">
        <v>1156</v>
      </c>
      <c r="G223" s="13" t="str">
        <f>IFERROR(VLOOKUP(F223,CATÁLOGOS!$A$6:$B$105,2,FALSE),"")</f>
        <v>🏊 Piletas</v>
      </c>
      <c r="H223" s="6" t="s">
        <v>1203</v>
      </c>
      <c r="I223" s="13" t="str">
        <f>IFERROR(VLOOKUP(H223,CATÁLOGOS!$F$6:$H$305,3,FALSE),"")</f>
        <v>Mangueras</v>
      </c>
      <c r="J223" s="6" t="s">
        <v>1181</v>
      </c>
      <c r="K223" s="6" t="s">
        <v>1219</v>
      </c>
      <c r="L223" s="6"/>
      <c r="M223" s="6" t="s">
        <v>120</v>
      </c>
      <c r="N223" s="6" t="s">
        <v>1220</v>
      </c>
      <c r="O223" s="6" t="s">
        <v>1221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1222</v>
      </c>
      <c r="B224" s="6" t="s">
        <v>1223</v>
      </c>
      <c r="C224" s="6" t="s">
        <v>1223</v>
      </c>
      <c r="D224" s="6"/>
      <c r="E224" s="6"/>
      <c r="F224" s="6" t="s">
        <v>1156</v>
      </c>
      <c r="G224" s="13" t="str">
        <f>IFERROR(VLOOKUP(F224,CATÁLOGOS!$A$6:$B$105,2,FALSE),"")</f>
        <v>🏊 Piletas</v>
      </c>
      <c r="H224" s="6" t="s">
        <v>1224</v>
      </c>
      <c r="I224" s="13" t="str">
        <f>IFERROR(VLOOKUP(H224,CATÁLOGOS!$F$6:$H$305,3,FALSE),"")</f>
        <v>Accesorios de pileta</v>
      </c>
      <c r="J224" s="6" t="s">
        <v>1181</v>
      </c>
      <c r="K224" s="6" t="s">
        <v>1225</v>
      </c>
      <c r="L224" s="6"/>
      <c r="M224" s="6" t="s">
        <v>120</v>
      </c>
      <c r="N224" s="6" t="s">
        <v>1226</v>
      </c>
      <c r="O224" s="6" t="s">
        <v>1227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1228</v>
      </c>
      <c r="B225" s="6" t="s">
        <v>1229</v>
      </c>
      <c r="C225" s="6" t="s">
        <v>1229</v>
      </c>
      <c r="D225" s="6"/>
      <c r="E225" s="6"/>
      <c r="F225" s="6" t="s">
        <v>1156</v>
      </c>
      <c r="G225" s="13" t="str">
        <f>IFERROR(VLOOKUP(F225,CATÁLOGOS!$A$6:$B$105,2,FALSE),"")</f>
        <v>🏊 Piletas</v>
      </c>
      <c r="H225" s="6" t="s">
        <v>1224</v>
      </c>
      <c r="I225" s="13" t="str">
        <f>IFERROR(VLOOKUP(H225,CATÁLOGOS!$F$6:$H$305,3,FALSE),"")</f>
        <v>Accesorios de pileta</v>
      </c>
      <c r="J225" s="6" t="s">
        <v>1181</v>
      </c>
      <c r="K225" s="6" t="s">
        <v>1230</v>
      </c>
      <c r="L225" s="6"/>
      <c r="M225" s="6" t="s">
        <v>120</v>
      </c>
      <c r="N225" s="6" t="s">
        <v>1231</v>
      </c>
      <c r="O225" s="6" t="s">
        <v>1232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1233</v>
      </c>
      <c r="B226" s="6" t="s">
        <v>1234</v>
      </c>
      <c r="C226" s="6" t="s">
        <v>1234</v>
      </c>
      <c r="D226" s="6"/>
      <c r="E226" s="6"/>
      <c r="F226" s="6" t="s">
        <v>1156</v>
      </c>
      <c r="G226" s="13" t="str">
        <f>IFERROR(VLOOKUP(F226,CATÁLOGOS!$A$6:$B$105,2,FALSE),"")</f>
        <v>🏊 Piletas</v>
      </c>
      <c r="H226" s="6" t="s">
        <v>1224</v>
      </c>
      <c r="I226" s="13" t="str">
        <f>IFERROR(VLOOKUP(H226,CATÁLOGOS!$F$6:$H$305,3,FALSE),"")</f>
        <v>Accesorios de pileta</v>
      </c>
      <c r="J226" s="6" t="s">
        <v>1181</v>
      </c>
      <c r="K226" s="6" t="s">
        <v>1235</v>
      </c>
      <c r="L226" s="6"/>
      <c r="M226" s="6" t="s">
        <v>120</v>
      </c>
      <c r="N226" s="6" t="s">
        <v>1236</v>
      </c>
      <c r="O226" s="6" t="s">
        <v>1237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1238</v>
      </c>
      <c r="B227" s="6" t="s">
        <v>1239</v>
      </c>
      <c r="C227" s="6" t="s">
        <v>1239</v>
      </c>
      <c r="D227" s="6"/>
      <c r="E227" s="6"/>
      <c r="F227" s="6" t="s">
        <v>1156</v>
      </c>
      <c r="G227" s="13" t="str">
        <f>IFERROR(VLOOKUP(F227,CATÁLOGOS!$A$6:$B$105,2,FALSE),"")</f>
        <v>🏊 Piletas</v>
      </c>
      <c r="H227" s="6" t="s">
        <v>1224</v>
      </c>
      <c r="I227" s="13" t="str">
        <f>IFERROR(VLOOKUP(H227,CATÁLOGOS!$F$6:$H$305,3,FALSE),"")</f>
        <v>Accesorios de pileta</v>
      </c>
      <c r="J227" s="6" t="s">
        <v>1181</v>
      </c>
      <c r="K227" s="6" t="s">
        <v>1240</v>
      </c>
      <c r="L227" s="6"/>
      <c r="M227" s="6" t="s">
        <v>120</v>
      </c>
      <c r="N227" s="6" t="s">
        <v>1241</v>
      </c>
      <c r="O227" s="6" t="s">
        <v>1242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1243</v>
      </c>
      <c r="B228" s="6" t="s">
        <v>1244</v>
      </c>
      <c r="C228" s="6" t="s">
        <v>1244</v>
      </c>
      <c r="D228" s="6"/>
      <c r="E228" s="6"/>
      <c r="F228" s="6" t="s">
        <v>1156</v>
      </c>
      <c r="G228" s="13" t="str">
        <f>IFERROR(VLOOKUP(F228,CATÁLOGOS!$A$6:$B$105,2,FALSE),"")</f>
        <v>🏊 Piletas</v>
      </c>
      <c r="H228" s="6" t="s">
        <v>1224</v>
      </c>
      <c r="I228" s="13" t="str">
        <f>IFERROR(VLOOKUP(H228,CATÁLOGOS!$F$6:$H$305,3,FALSE),"")</f>
        <v>Accesorios de pileta</v>
      </c>
      <c r="J228" s="6" t="s">
        <v>1181</v>
      </c>
      <c r="K228" s="6" t="s">
        <v>1245</v>
      </c>
      <c r="L228" s="6"/>
      <c r="M228" s="6" t="s">
        <v>120</v>
      </c>
      <c r="N228" s="6" t="s">
        <v>1246</v>
      </c>
      <c r="O228" s="6" t="s">
        <v>1247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1248</v>
      </c>
      <c r="B229" s="6" t="s">
        <v>1249</v>
      </c>
      <c r="C229" s="6" t="s">
        <v>1249</v>
      </c>
      <c r="D229" s="6"/>
      <c r="E229" s="6"/>
      <c r="F229" s="6" t="s">
        <v>1005</v>
      </c>
      <c r="G229" s="13" t="str">
        <f>IFERROR(VLOOKUP(F229,CATÁLOGOS!$A$6:$B$105,2,FALSE),"")</f>
        <v>🏠 Hogar y varios</v>
      </c>
      <c r="H229" s="6" t="s">
        <v>1250</v>
      </c>
      <c r="I229" s="13" t="str">
        <f>IFERROR(VLOOKUP(H229,CATÁLOGOS!$F$6:$H$305,3,FALSE),"")</f>
        <v>Velas</v>
      </c>
      <c r="J229" s="6" t="s">
        <v>901</v>
      </c>
      <c r="K229" s="6" t="s">
        <v>1251</v>
      </c>
      <c r="L229" s="6"/>
      <c r="M229" s="6" t="s">
        <v>120</v>
      </c>
      <c r="N229" s="6" t="s">
        <v>1252</v>
      </c>
      <c r="O229" s="6" t="s">
        <v>1253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1254</v>
      </c>
      <c r="B230" s="6" t="s">
        <v>1255</v>
      </c>
      <c r="C230" s="6" t="s">
        <v>1255</v>
      </c>
      <c r="D230" s="6"/>
      <c r="E230" s="6"/>
      <c r="F230" s="6" t="s">
        <v>1005</v>
      </c>
      <c r="G230" s="13" t="str">
        <f>IFERROR(VLOOKUP(F230,CATÁLOGOS!$A$6:$B$105,2,FALSE),"")</f>
        <v>🏠 Hogar y varios</v>
      </c>
      <c r="H230" s="6" t="s">
        <v>1250</v>
      </c>
      <c r="I230" s="13" t="str">
        <f>IFERROR(VLOOKUP(H230,CATÁLOGOS!$F$6:$H$305,3,FALSE),"")</f>
        <v>Velas</v>
      </c>
      <c r="J230" s="6" t="s">
        <v>901</v>
      </c>
      <c r="K230" s="6" t="s">
        <v>1256</v>
      </c>
      <c r="L230" s="6"/>
      <c r="M230" s="6" t="s">
        <v>120</v>
      </c>
      <c r="N230" s="6" t="s">
        <v>1257</v>
      </c>
      <c r="O230" s="6" t="s">
        <v>1258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1259</v>
      </c>
      <c r="B231" s="6" t="s">
        <v>1260</v>
      </c>
      <c r="C231" s="6" t="s">
        <v>1260</v>
      </c>
      <c r="D231" s="6"/>
      <c r="E231" s="6"/>
      <c r="F231" s="6" t="s">
        <v>1005</v>
      </c>
      <c r="G231" s="13" t="str">
        <f>IFERROR(VLOOKUP(F231,CATÁLOGOS!$A$6:$B$105,2,FALSE),"")</f>
        <v>🏠 Hogar y varios</v>
      </c>
      <c r="H231" s="6" t="s">
        <v>1261</v>
      </c>
      <c r="I231" s="13" t="str">
        <f>IFERROR(VLOOKUP(H231,CATÁLOGOS!$F$6:$H$305,3,FALSE),"")</f>
        <v>Papel y film</v>
      </c>
      <c r="J231" s="6" t="s">
        <v>901</v>
      </c>
      <c r="K231" s="6" t="s">
        <v>1262</v>
      </c>
      <c r="L231" s="6"/>
      <c r="M231" s="6" t="s">
        <v>120</v>
      </c>
      <c r="N231" s="6" t="s">
        <v>1263</v>
      </c>
      <c r="O231" s="6" t="s">
        <v>1264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1265</v>
      </c>
      <c r="B232" s="6" t="s">
        <v>1266</v>
      </c>
      <c r="C232" s="6" t="s">
        <v>1266</v>
      </c>
      <c r="D232" s="6"/>
      <c r="E232" s="6"/>
      <c r="F232" s="6" t="s">
        <v>1005</v>
      </c>
      <c r="G232" s="13" t="str">
        <f>IFERROR(VLOOKUP(F232,CATÁLOGOS!$A$6:$B$105,2,FALSE),"")</f>
        <v>🏠 Hogar y varios</v>
      </c>
      <c r="H232" s="6" t="s">
        <v>1261</v>
      </c>
      <c r="I232" s="13" t="str">
        <f>IFERROR(VLOOKUP(H232,CATÁLOGOS!$F$6:$H$305,3,FALSE),"")</f>
        <v>Papel y film</v>
      </c>
      <c r="J232" s="6" t="s">
        <v>901</v>
      </c>
      <c r="K232" s="6" t="s">
        <v>1267</v>
      </c>
      <c r="L232" s="6"/>
      <c r="M232" s="6" t="s">
        <v>120</v>
      </c>
      <c r="N232" s="6" t="s">
        <v>1268</v>
      </c>
      <c r="O232" s="6" t="s">
        <v>1269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1270</v>
      </c>
      <c r="B233" s="6" t="s">
        <v>1271</v>
      </c>
      <c r="C233" s="6" t="s">
        <v>1271</v>
      </c>
      <c r="D233" s="6"/>
      <c r="E233" s="6"/>
      <c r="F233" s="6" t="s">
        <v>1005</v>
      </c>
      <c r="G233" s="13" t="str">
        <f>IFERROR(VLOOKUP(F233,CATÁLOGOS!$A$6:$B$105,2,FALSE),"")</f>
        <v>🏠 Hogar y varios</v>
      </c>
      <c r="H233" s="6" t="s">
        <v>1261</v>
      </c>
      <c r="I233" s="13" t="str">
        <f>IFERROR(VLOOKUP(H233,CATÁLOGOS!$F$6:$H$305,3,FALSE),"")</f>
        <v>Papel y film</v>
      </c>
      <c r="J233" s="6" t="s">
        <v>901</v>
      </c>
      <c r="K233" s="6" t="s">
        <v>1272</v>
      </c>
      <c r="L233" s="6"/>
      <c r="M233" s="6" t="s">
        <v>120</v>
      </c>
      <c r="N233" s="6" t="s">
        <v>1273</v>
      </c>
      <c r="O233" s="6" t="s">
        <v>1274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1275</v>
      </c>
      <c r="B234" s="6" t="s">
        <v>1276</v>
      </c>
      <c r="C234" s="6" t="s">
        <v>1276</v>
      </c>
      <c r="D234" s="6"/>
      <c r="E234" s="6"/>
      <c r="F234" s="6" t="s">
        <v>1005</v>
      </c>
      <c r="G234" s="13" t="str">
        <f>IFERROR(VLOOKUP(F234,CATÁLOGOS!$A$6:$B$105,2,FALSE),"")</f>
        <v>🏠 Hogar y varios</v>
      </c>
      <c r="H234" s="6" t="s">
        <v>1277</v>
      </c>
      <c r="I234" s="13" t="str">
        <f>IFERROR(VLOOKUP(H234,CATÁLOGOS!$F$6:$H$305,3,FALSE),"")</f>
        <v>Bolsas y freezer</v>
      </c>
      <c r="J234" s="6" t="s">
        <v>901</v>
      </c>
      <c r="K234" s="6" t="s">
        <v>1278</v>
      </c>
      <c r="L234" s="6"/>
      <c r="M234" s="6" t="s">
        <v>120</v>
      </c>
      <c r="N234" s="6" t="s">
        <v>1279</v>
      </c>
      <c r="O234" s="6" t="s">
        <v>1280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1281</v>
      </c>
      <c r="B235" s="6" t="s">
        <v>1282</v>
      </c>
      <c r="C235" s="6" t="s">
        <v>1282</v>
      </c>
      <c r="D235" s="6"/>
      <c r="E235" s="6"/>
      <c r="F235" s="6" t="s">
        <v>1005</v>
      </c>
      <c r="G235" s="13" t="str">
        <f>IFERROR(VLOOKUP(F235,CATÁLOGOS!$A$6:$B$105,2,FALSE),"")</f>
        <v>🏠 Hogar y varios</v>
      </c>
      <c r="H235" s="6" t="s">
        <v>1277</v>
      </c>
      <c r="I235" s="13" t="str">
        <f>IFERROR(VLOOKUP(H235,CATÁLOGOS!$F$6:$H$305,3,FALSE),"")</f>
        <v>Bolsas y freezer</v>
      </c>
      <c r="J235" s="6" t="s">
        <v>1283</v>
      </c>
      <c r="K235" s="6" t="s">
        <v>1284</v>
      </c>
      <c r="L235" s="6"/>
      <c r="M235" s="6" t="s">
        <v>120</v>
      </c>
      <c r="N235" s="6" t="s">
        <v>1285</v>
      </c>
      <c r="O235" s="6" t="s">
        <v>1286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1287</v>
      </c>
      <c r="B236" s="6" t="s">
        <v>1288</v>
      </c>
      <c r="C236" s="6" t="s">
        <v>1288</v>
      </c>
      <c r="D236" s="6"/>
      <c r="E236" s="6"/>
      <c r="F236" s="6" t="s">
        <v>1005</v>
      </c>
      <c r="G236" s="13" t="str">
        <f>IFERROR(VLOOKUP(F236,CATÁLOGOS!$A$6:$B$105,2,FALSE),"")</f>
        <v>🏠 Hogar y varios</v>
      </c>
      <c r="H236" s="6" t="s">
        <v>1289</v>
      </c>
      <c r="I236" s="13" t="str">
        <f>IFERROR(VLOOKUP(H236,CATÁLOGOS!$F$6:$H$305,3,FALSE),"")</f>
        <v>Varios</v>
      </c>
      <c r="J236" s="6" t="s">
        <v>1181</v>
      </c>
      <c r="K236" s="6" t="s">
        <v>1290</v>
      </c>
      <c r="L236" s="6"/>
      <c r="M236" s="6" t="s">
        <v>120</v>
      </c>
      <c r="N236" s="6" t="s">
        <v>1291</v>
      </c>
      <c r="O236" s="6" t="s">
        <v>1292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1293</v>
      </c>
      <c r="B237" s="6" t="s">
        <v>1294</v>
      </c>
      <c r="C237" s="6" t="s">
        <v>1294</v>
      </c>
      <c r="D237" s="6"/>
      <c r="E237" s="6"/>
      <c r="F237" s="6" t="s">
        <v>1005</v>
      </c>
      <c r="G237" s="13" t="str">
        <f>IFERROR(VLOOKUP(F237,CATÁLOGOS!$A$6:$B$105,2,FALSE),"")</f>
        <v>🏠 Hogar y varios</v>
      </c>
      <c r="H237" s="6" t="s">
        <v>1026</v>
      </c>
      <c r="I237" s="13" t="str">
        <f>IFERROR(VLOOKUP(H237,CATÁLOGOS!$F$6:$H$305,3,FALSE),"")</f>
        <v>Insecticidas</v>
      </c>
      <c r="J237" s="6" t="s">
        <v>1295</v>
      </c>
      <c r="K237" s="6" t="s">
        <v>1296</v>
      </c>
      <c r="L237" s="6"/>
      <c r="M237" s="6" t="s">
        <v>120</v>
      </c>
      <c r="N237" s="6" t="s">
        <v>1297</v>
      </c>
      <c r="O237" s="6" t="s">
        <v>1298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1299</v>
      </c>
      <c r="B238" s="6" t="s">
        <v>1300</v>
      </c>
      <c r="C238" s="6" t="s">
        <v>1300</v>
      </c>
      <c r="D238" s="6" t="s">
        <v>1301</v>
      </c>
      <c r="E238" s="6" t="s">
        <v>795</v>
      </c>
      <c r="F238" s="6" t="s">
        <v>25</v>
      </c>
      <c r="G238" s="13" t="str">
        <f>IFERROR(VLOOKUP(F238,CATÁLOGOS!$A$6:$B$105,2,FALSE),"")</f>
        <v>🚽 Baño</v>
      </c>
      <c r="H238" s="6" t="s">
        <v>1302</v>
      </c>
      <c r="I238" s="13" t="str">
        <f>IFERROR(VLOOKUP(H238,CATÁLOGOS!$F$6:$H$305,3,FALSE),"")</f>
        <v>CIF</v>
      </c>
      <c r="J238" s="6" t="s">
        <v>1181</v>
      </c>
      <c r="K238" s="6" t="s">
        <v>1303</v>
      </c>
      <c r="L238" s="6"/>
      <c r="M238" s="6" t="s">
        <v>120</v>
      </c>
      <c r="N238" s="6" t="s">
        <v>1304</v>
      </c>
      <c r="O238" s="6" t="s">
        <v>1305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1306</v>
      </c>
      <c r="B239" s="6" t="s">
        <v>1307</v>
      </c>
      <c r="C239" s="6" t="s">
        <v>1307</v>
      </c>
      <c r="D239" s="6" t="s">
        <v>1301</v>
      </c>
      <c r="E239" s="6" t="s">
        <v>803</v>
      </c>
      <c r="F239" s="6" t="s">
        <v>25</v>
      </c>
      <c r="G239" s="13" t="str">
        <f>IFERROR(VLOOKUP(F239,CATÁLOGOS!$A$6:$B$105,2,FALSE),"")</f>
        <v>🚽 Baño</v>
      </c>
      <c r="H239" s="6" t="s">
        <v>1302</v>
      </c>
      <c r="I239" s="13" t="str">
        <f>IFERROR(VLOOKUP(H239,CATÁLOGOS!$F$6:$H$305,3,FALSE),"")</f>
        <v>CIF</v>
      </c>
      <c r="J239" s="6" t="s">
        <v>1181</v>
      </c>
      <c r="K239" s="6" t="s">
        <v>1308</v>
      </c>
      <c r="L239" s="6"/>
      <c r="M239" s="6" t="s">
        <v>120</v>
      </c>
      <c r="N239" s="6" t="s">
        <v>1309</v>
      </c>
      <c r="O239" s="6" t="s">
        <v>1305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1310</v>
      </c>
      <c r="B240" s="6" t="s">
        <v>1311</v>
      </c>
      <c r="C240" s="6" t="s">
        <v>1311</v>
      </c>
      <c r="D240" s="6"/>
      <c r="E240" s="6"/>
      <c r="F240" s="6" t="s">
        <v>117</v>
      </c>
      <c r="G240" s="13" t="str">
        <f>IFERROR(VLOOKUP(F240,CATÁLOGOS!$A$6:$B$105,2,FALSE),"")</f>
        <v>🧰 Accesorios y equipamiento</v>
      </c>
      <c r="H240" s="6" t="s">
        <v>900</v>
      </c>
      <c r="I240" s="13" t="str">
        <f>IFERROR(VLOOKUP(H240,CATÁLOGOS!$F$6:$H$305,3,FALSE),"")</f>
        <v>Esponjas</v>
      </c>
      <c r="J240" s="6" t="s">
        <v>1181</v>
      </c>
      <c r="K240" s="6" t="s">
        <v>1312</v>
      </c>
      <c r="L240" s="6"/>
      <c r="M240" s="6" t="s">
        <v>120</v>
      </c>
      <c r="N240" s="6" t="s">
        <v>1313</v>
      </c>
      <c r="O240" s="6" t="s">
        <v>1314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  <row r="1005" spans="1:21">
      <c r="A1005" s="7"/>
      <c r="B1005" s="8"/>
      <c r="C1005" s="8"/>
      <c r="D1005" s="8"/>
      <c r="E1005" s="8"/>
      <c r="F1005" s="8"/>
      <c r="G1005" s="14"/>
      <c r="H1005" s="8"/>
      <c r="I1005" s="14"/>
      <c r="J1005" s="8"/>
      <c r="K1005" s="8"/>
      <c r="L1005" s="8"/>
      <c r="M1005" s="8"/>
      <c r="N1005" s="8"/>
      <c r="O1005" s="8"/>
      <c r="P1005" s="14"/>
      <c r="Q1005" s="14"/>
      <c r="R1005" s="17"/>
      <c r="S1005" s="17"/>
      <c r="T1005" s="8"/>
      <c r="U1005" s="11"/>
    </row>
    <row r="1006" spans="1:21">
      <c r="A1006" s="7"/>
      <c r="B1006" s="8"/>
      <c r="C1006" s="8"/>
      <c r="D1006" s="8"/>
      <c r="E1006" s="8"/>
      <c r="F1006" s="8"/>
      <c r="G1006" s="14"/>
      <c r="H1006" s="8"/>
      <c r="I1006" s="14"/>
      <c r="J1006" s="8"/>
      <c r="K1006" s="8"/>
      <c r="L1006" s="8"/>
      <c r="M1006" s="8"/>
      <c r="N1006" s="8"/>
      <c r="O1006" s="8"/>
      <c r="P1006" s="14"/>
      <c r="Q1006" s="14"/>
      <c r="R1006" s="17"/>
      <c r="S1006" s="17"/>
      <c r="T1006" s="8"/>
      <c r="U1006" s="11"/>
    </row>
    <row r="1007" spans="1:21">
      <c r="A1007" s="7">
        <v>237</v>
      </c>
      <c r="B1007" s="8" t="s">
        <v>1795</v>
      </c>
      <c r="C1007" s="8" t="s">
        <v>1795</v>
      </c>
      <c r="D1007" s="8"/>
      <c r="E1007" s="8"/>
      <c r="F1007" s="8" t="s">
        <v>25</v>
      </c>
      <c r="G1007" s="14"/>
      <c r="H1007" s="8" t="s">
        <v>26</v>
      </c>
      <c r="I1007" s="14"/>
      <c r="J1007" s="8" t="s">
        <v>1791</v>
      </c>
      <c r="K1007" s="8" t="s">
        <v>1793</v>
      </c>
      <c r="L1007" s="8"/>
      <c r="M1007" s="8" t="s">
        <v>1792</v>
      </c>
      <c r="N1007" s="8" t="s">
        <v>1794</v>
      </c>
      <c r="O1007" s="8" t="s">
        <v>32</v>
      </c>
      <c r="P1007" s="14"/>
      <c r="Q1007" s="14"/>
      <c r="R1007" s="17"/>
      <c r="S1007" s="17"/>
      <c r="T1007" s="8" t="s">
        <v>33</v>
      </c>
      <c r="U1007" s="11" t="s">
        <v>34</v>
      </c>
    </row>
    <row r="1008" spans="1:21">
      <c r="A1008" s="7">
        <v>237</v>
      </c>
      <c r="B1008" s="8" t="s">
        <v>1801</v>
      </c>
      <c r="C1008" s="8" t="s">
        <v>1801</v>
      </c>
      <c r="D1008" s="8"/>
      <c r="E1008" s="8"/>
      <c r="F1008" s="8" t="s">
        <v>1005</v>
      </c>
      <c r="G1008" s="14"/>
      <c r="H1008" s="8" t="s">
        <v>1261</v>
      </c>
      <c r="I1008" s="14"/>
      <c r="J1008" s="8" t="s">
        <v>1798</v>
      </c>
      <c r="K1008" s="8" t="s">
        <v>1797</v>
      </c>
      <c r="L1008" s="8"/>
      <c r="M1008" s="8" t="s">
        <v>120</v>
      </c>
      <c r="N1008" s="8" t="s">
        <v>1799</v>
      </c>
      <c r="O1008" s="8" t="s">
        <v>1800</v>
      </c>
      <c r="P1008" s="14"/>
      <c r="Q1008" s="14"/>
      <c r="R1008" s="17"/>
      <c r="S1008" s="17"/>
      <c r="T1008" s="8" t="s">
        <v>33</v>
      </c>
      <c r="U1008" s="11" t="s">
        <v>34</v>
      </c>
    </row>
    <row r="1009" spans="1:21">
      <c r="A1009" s="7">
        <v>238</v>
      </c>
      <c r="B1009" s="8" t="s">
        <v>1804</v>
      </c>
      <c r="C1009" s="8" t="s">
        <v>1804</v>
      </c>
      <c r="D1009" s="8"/>
      <c r="E1009" s="8"/>
      <c r="F1009" s="8" t="s">
        <v>1005</v>
      </c>
      <c r="G1009" s="14"/>
      <c r="H1009" s="8" t="s">
        <v>1261</v>
      </c>
      <c r="I1009" s="14"/>
      <c r="J1009" s="8" t="s">
        <v>1798</v>
      </c>
      <c r="K1009" s="8" t="s">
        <v>1802</v>
      </c>
      <c r="L1009" s="8"/>
      <c r="M1009" s="8" t="s">
        <v>120</v>
      </c>
      <c r="N1009" s="8" t="s">
        <v>1803</v>
      </c>
      <c r="O1009" s="8" t="s">
        <v>1851</v>
      </c>
      <c r="P1009" s="14"/>
      <c r="Q1009" s="14"/>
      <c r="R1009" s="17"/>
      <c r="S1009" s="17"/>
      <c r="T1009" s="8" t="s">
        <v>33</v>
      </c>
      <c r="U1009" s="11" t="s">
        <v>34</v>
      </c>
    </row>
    <row r="1010" spans="1:21">
      <c r="A1010" s="7">
        <v>239</v>
      </c>
      <c r="B1010" s="8" t="s">
        <v>1807</v>
      </c>
      <c r="C1010" s="8" t="s">
        <v>1807</v>
      </c>
      <c r="D1010" s="8"/>
      <c r="E1010" s="8"/>
      <c r="F1010" s="8" t="s">
        <v>1005</v>
      </c>
      <c r="G1010" s="14"/>
      <c r="H1010" s="8" t="s">
        <v>1261</v>
      </c>
      <c r="I1010" s="14"/>
      <c r="J1010" s="8" t="s">
        <v>1798</v>
      </c>
      <c r="K1010" s="8" t="s">
        <v>1805</v>
      </c>
      <c r="L1010" s="8"/>
      <c r="M1010" s="8" t="s">
        <v>120</v>
      </c>
      <c r="N1010" s="8" t="s">
        <v>1806</v>
      </c>
      <c r="O1010" s="8" t="s">
        <v>1852</v>
      </c>
      <c r="P1010" s="14"/>
      <c r="Q1010" s="14"/>
      <c r="R1010" s="17"/>
      <c r="S1010" s="17"/>
      <c r="T1010" s="8" t="s">
        <v>33</v>
      </c>
      <c r="U1010" s="11" t="s">
        <v>34</v>
      </c>
    </row>
    <row r="1011" spans="1:21">
      <c r="A1011" s="7">
        <v>240</v>
      </c>
      <c r="B1011" s="8" t="s">
        <v>1810</v>
      </c>
      <c r="C1011" s="8" t="s">
        <v>1810</v>
      </c>
      <c r="D1011" s="8"/>
      <c r="E1011" s="8"/>
      <c r="F1011" s="8" t="s">
        <v>1005</v>
      </c>
      <c r="G1011" s="14"/>
      <c r="H1011" s="8" t="s">
        <v>1261</v>
      </c>
      <c r="I1011" s="14"/>
      <c r="J1011" s="8" t="s">
        <v>1798</v>
      </c>
      <c r="K1011" s="8" t="s">
        <v>1808</v>
      </c>
      <c r="L1011" s="8"/>
      <c r="M1011" s="8" t="s">
        <v>120</v>
      </c>
      <c r="N1011" s="8" t="s">
        <v>1809</v>
      </c>
      <c r="O1011" s="8" t="s">
        <v>1853</v>
      </c>
      <c r="P1011" s="14"/>
      <c r="Q1011" s="14"/>
      <c r="R1011" s="17"/>
      <c r="S1011" s="17"/>
      <c r="T1011" s="8" t="s">
        <v>33</v>
      </c>
      <c r="U1011" s="11" t="s">
        <v>34</v>
      </c>
    </row>
    <row r="1012" spans="1:21">
      <c r="A1012" s="7">
        <v>241</v>
      </c>
      <c r="B1012" s="8" t="s">
        <v>1813</v>
      </c>
      <c r="C1012" s="8" t="s">
        <v>1813</v>
      </c>
      <c r="D1012" s="8"/>
      <c r="E1012" s="8"/>
      <c r="F1012" s="8" t="s">
        <v>1005</v>
      </c>
      <c r="G1012" s="14"/>
      <c r="H1012" s="8" t="s">
        <v>1261</v>
      </c>
      <c r="I1012" s="14"/>
      <c r="J1012" s="8" t="s">
        <v>1798</v>
      </c>
      <c r="K1012" s="8" t="s">
        <v>1811</v>
      </c>
      <c r="L1012" s="8"/>
      <c r="M1012" s="8" t="s">
        <v>120</v>
      </c>
      <c r="N1012" s="8" t="s">
        <v>1812</v>
      </c>
      <c r="O1012" s="8" t="s">
        <v>1854</v>
      </c>
      <c r="P1012" s="14"/>
      <c r="Q1012" s="14"/>
      <c r="R1012" s="17"/>
      <c r="S1012" s="17"/>
      <c r="T1012" s="8" t="s">
        <v>33</v>
      </c>
      <c r="U1012" s="11" t="s">
        <v>34</v>
      </c>
    </row>
    <row r="1013" spans="1:21">
      <c r="A1013" s="7">
        <v>242</v>
      </c>
      <c r="B1013" s="8" t="s">
        <v>1817</v>
      </c>
      <c r="C1013" s="8" t="s">
        <v>1817</v>
      </c>
      <c r="D1013" s="8"/>
      <c r="E1013" s="8"/>
      <c r="F1013" s="8" t="s">
        <v>1005</v>
      </c>
      <c r="G1013" s="14"/>
      <c r="H1013" s="8" t="s">
        <v>1261</v>
      </c>
      <c r="I1013" s="14"/>
      <c r="J1013" s="8" t="s">
        <v>1815</v>
      </c>
      <c r="K1013" s="8" t="s">
        <v>1814</v>
      </c>
      <c r="L1013" s="8"/>
      <c r="M1013" s="8" t="s">
        <v>120</v>
      </c>
      <c r="N1013" s="8" t="s">
        <v>1816</v>
      </c>
      <c r="O1013" s="8" t="s">
        <v>1855</v>
      </c>
      <c r="P1013" s="14"/>
      <c r="Q1013" s="14"/>
      <c r="R1013" s="17"/>
      <c r="S1013" s="17"/>
      <c r="T1013" s="8" t="s">
        <v>33</v>
      </c>
      <c r="U1013" s="11" t="s">
        <v>34</v>
      </c>
    </row>
    <row r="1014" spans="1:21">
      <c r="A1014" s="7">
        <v>243</v>
      </c>
      <c r="B1014" s="8" t="s">
        <v>1820</v>
      </c>
      <c r="C1014" s="8" t="s">
        <v>1820</v>
      </c>
      <c r="D1014" s="8"/>
      <c r="E1014" s="8"/>
      <c r="F1014" s="8" t="s">
        <v>1005</v>
      </c>
      <c r="G1014" s="14"/>
      <c r="H1014" s="8" t="s">
        <v>1261</v>
      </c>
      <c r="I1014" s="14"/>
      <c r="J1014" s="8" t="s">
        <v>1815</v>
      </c>
      <c r="K1014" s="8" t="s">
        <v>1818</v>
      </c>
      <c r="L1014" s="8"/>
      <c r="M1014" s="8" t="s">
        <v>120</v>
      </c>
      <c r="N1014" s="8" t="s">
        <v>1819</v>
      </c>
      <c r="O1014" s="8" t="s">
        <v>1856</v>
      </c>
      <c r="P1014" s="14"/>
      <c r="Q1014" s="14"/>
      <c r="R1014" s="17"/>
      <c r="S1014" s="17"/>
      <c r="T1014" s="8" t="s">
        <v>33</v>
      </c>
      <c r="U1014" s="11" t="s">
        <v>34</v>
      </c>
    </row>
    <row r="1015" spans="1:21">
      <c r="A1015" s="7">
        <v>244</v>
      </c>
      <c r="B1015" s="8" t="s">
        <v>1823</v>
      </c>
      <c r="C1015" s="8" t="s">
        <v>1823</v>
      </c>
      <c r="D1015" s="8"/>
      <c r="E1015" s="8"/>
      <c r="F1015" s="8" t="s">
        <v>1005</v>
      </c>
      <c r="G1015" s="14"/>
      <c r="H1015" s="8" t="s">
        <v>1261</v>
      </c>
      <c r="I1015" s="14"/>
      <c r="J1015" s="8" t="s">
        <v>1815</v>
      </c>
      <c r="K1015" s="8" t="s">
        <v>1821</v>
      </c>
      <c r="L1015" s="8"/>
      <c r="M1015" s="8" t="s">
        <v>120</v>
      </c>
      <c r="N1015" s="8" t="s">
        <v>1822</v>
      </c>
      <c r="O1015" s="8" t="s">
        <v>1857</v>
      </c>
      <c r="P1015" s="14"/>
      <c r="Q1015" s="14"/>
      <c r="R1015" s="17"/>
      <c r="S1015" s="17"/>
      <c r="T1015" s="8" t="s">
        <v>33</v>
      </c>
      <c r="U1015" s="11" t="s">
        <v>34</v>
      </c>
    </row>
    <row r="1016" spans="1:21">
      <c r="A1016" s="7">
        <v>245</v>
      </c>
      <c r="B1016" s="8" t="s">
        <v>1827</v>
      </c>
      <c r="C1016" s="8" t="s">
        <v>1827</v>
      </c>
      <c r="D1016" s="8"/>
      <c r="E1016" s="8"/>
      <c r="F1016" s="8" t="s">
        <v>117</v>
      </c>
      <c r="G1016" s="14"/>
      <c r="H1016" s="8" t="s">
        <v>191</v>
      </c>
      <c r="I1016" s="14"/>
      <c r="J1016" s="8" t="s">
        <v>1825</v>
      </c>
      <c r="K1016" s="8" t="s">
        <v>1824</v>
      </c>
      <c r="L1016" s="8"/>
      <c r="M1016" s="8" t="s">
        <v>120</v>
      </c>
      <c r="N1016" s="8" t="s">
        <v>1826</v>
      </c>
      <c r="O1016" s="8" t="s">
        <v>1858</v>
      </c>
      <c r="P1016" s="14"/>
      <c r="Q1016" s="14"/>
      <c r="R1016" s="17"/>
      <c r="S1016" s="17"/>
      <c r="T1016" s="8" t="s">
        <v>33</v>
      </c>
      <c r="U1016" s="11" t="s">
        <v>34</v>
      </c>
    </row>
    <row r="1017" spans="1:21">
      <c r="A1017" s="7">
        <v>246</v>
      </c>
      <c r="B1017" s="8" t="s">
        <v>1830</v>
      </c>
      <c r="C1017" s="8" t="s">
        <v>1830</v>
      </c>
      <c r="D1017" s="8"/>
      <c r="E1017" s="8"/>
      <c r="F1017" s="8" t="s">
        <v>117</v>
      </c>
      <c r="G1017" s="14"/>
      <c r="H1017" s="8" t="s">
        <v>191</v>
      </c>
      <c r="I1017" s="14"/>
      <c r="J1017" s="8" t="s">
        <v>1825</v>
      </c>
      <c r="K1017" s="8" t="s">
        <v>1828</v>
      </c>
      <c r="L1017" s="8"/>
      <c r="M1017" s="8" t="s">
        <v>120</v>
      </c>
      <c r="N1017" s="8" t="s">
        <v>1829</v>
      </c>
      <c r="O1017" s="8" t="s">
        <v>1859</v>
      </c>
      <c r="P1017" s="14"/>
      <c r="Q1017" s="14"/>
      <c r="R1017" s="17"/>
      <c r="S1017" s="17"/>
      <c r="T1017" s="8" t="s">
        <v>33</v>
      </c>
      <c r="U1017" s="11" t="s">
        <v>34</v>
      </c>
    </row>
    <row r="1018" spans="1:21">
      <c r="A1018" s="7">
        <v>247</v>
      </c>
      <c r="B1018" s="8" t="s">
        <v>1833</v>
      </c>
      <c r="C1018" s="8" t="s">
        <v>1833</v>
      </c>
      <c r="D1018" s="8"/>
      <c r="E1018" s="8"/>
      <c r="F1018" s="8" t="s">
        <v>117</v>
      </c>
      <c r="G1018" s="14"/>
      <c r="H1018" s="8" t="s">
        <v>191</v>
      </c>
      <c r="I1018" s="14"/>
      <c r="J1018" s="8" t="s">
        <v>1825</v>
      </c>
      <c r="K1018" s="8" t="s">
        <v>1831</v>
      </c>
      <c r="L1018" s="8"/>
      <c r="M1018" s="8" t="s">
        <v>120</v>
      </c>
      <c r="N1018" s="8" t="s">
        <v>1832</v>
      </c>
      <c r="O1018" s="8" t="s">
        <v>1860</v>
      </c>
      <c r="P1018" s="14"/>
      <c r="Q1018" s="14"/>
      <c r="R1018" s="17"/>
      <c r="S1018" s="17"/>
      <c r="T1018" s="8" t="s">
        <v>33</v>
      </c>
      <c r="U1018" s="11" t="s">
        <v>34</v>
      </c>
    </row>
    <row r="1019" spans="1:21">
      <c r="A1019" s="7">
        <v>248</v>
      </c>
      <c r="B1019" s="8" t="s">
        <v>1837</v>
      </c>
      <c r="C1019" s="8" t="s">
        <v>1837</v>
      </c>
      <c r="D1019" s="8"/>
      <c r="E1019" s="8"/>
      <c r="F1019" s="8" t="s">
        <v>117</v>
      </c>
      <c r="G1019" s="14"/>
      <c r="H1019" s="8" t="s">
        <v>191</v>
      </c>
      <c r="I1019" s="14"/>
      <c r="J1019" s="8" t="s">
        <v>1834</v>
      </c>
      <c r="K1019" s="8" t="s">
        <v>1835</v>
      </c>
      <c r="L1019" s="8"/>
      <c r="M1019" s="8" t="s">
        <v>120</v>
      </c>
      <c r="N1019" s="8" t="s">
        <v>1836</v>
      </c>
      <c r="O1019" s="8" t="s">
        <v>1861</v>
      </c>
      <c r="P1019" s="14"/>
      <c r="Q1019" s="14"/>
      <c r="R1019" s="17"/>
      <c r="S1019" s="17"/>
      <c r="T1019" s="8" t="s">
        <v>33</v>
      </c>
      <c r="U1019" s="11" t="s">
        <v>34</v>
      </c>
    </row>
    <row r="1020" spans="1:21">
      <c r="A1020" s="7">
        <v>249</v>
      </c>
      <c r="B1020" s="8" t="s">
        <v>1840</v>
      </c>
      <c r="C1020" s="8" t="s">
        <v>1840</v>
      </c>
      <c r="D1020" s="8"/>
      <c r="E1020" s="8"/>
      <c r="F1020" s="8" t="s">
        <v>117</v>
      </c>
      <c r="G1020" s="14"/>
      <c r="H1020" s="8" t="s">
        <v>191</v>
      </c>
      <c r="I1020" s="14"/>
      <c r="J1020" s="8" t="s">
        <v>1834</v>
      </c>
      <c r="K1020" s="8" t="s">
        <v>1838</v>
      </c>
      <c r="L1020" s="8"/>
      <c r="M1020" s="8" t="s">
        <v>120</v>
      </c>
      <c r="N1020" s="8" t="s">
        <v>1839</v>
      </c>
      <c r="O1020" s="8" t="s">
        <v>1862</v>
      </c>
      <c r="P1020" s="14"/>
      <c r="Q1020" s="14"/>
      <c r="R1020" s="17"/>
      <c r="S1020" s="17"/>
      <c r="T1020" s="8" t="s">
        <v>33</v>
      </c>
      <c r="U1020" s="11" t="s">
        <v>34</v>
      </c>
    </row>
    <row r="1021" spans="1:21">
      <c r="A1021" s="7">
        <v>250</v>
      </c>
      <c r="B1021" s="8" t="s">
        <v>1843</v>
      </c>
      <c r="C1021" s="8" t="s">
        <v>1843</v>
      </c>
      <c r="D1021" s="8"/>
      <c r="E1021" s="8"/>
      <c r="F1021" s="8" t="s">
        <v>25</v>
      </c>
      <c r="G1021" s="14"/>
      <c r="H1021" s="8" t="s">
        <v>963</v>
      </c>
      <c r="I1021" s="14"/>
      <c r="J1021" s="8" t="s">
        <v>1834</v>
      </c>
      <c r="K1021" s="8" t="s">
        <v>1841</v>
      </c>
      <c r="L1021" s="8"/>
      <c r="M1021" s="8" t="s">
        <v>120</v>
      </c>
      <c r="N1021" s="8" t="s">
        <v>1842</v>
      </c>
      <c r="O1021" s="8" t="s">
        <v>1863</v>
      </c>
      <c r="P1021" s="14"/>
      <c r="Q1021" s="14"/>
      <c r="R1021" s="17"/>
      <c r="S1021" s="17"/>
      <c r="T1021" s="8" t="s">
        <v>33</v>
      </c>
      <c r="U1021" s="11" t="s">
        <v>34</v>
      </c>
    </row>
    <row r="1022" spans="1:21">
      <c r="A1022" s="7">
        <v>251</v>
      </c>
      <c r="B1022" s="8" t="s">
        <v>1849</v>
      </c>
      <c r="C1022" s="8" t="s">
        <v>1849</v>
      </c>
      <c r="D1022" s="8"/>
      <c r="E1022" s="8"/>
      <c r="F1022" s="8" t="s">
        <v>714</v>
      </c>
      <c r="G1022" s="14"/>
      <c r="H1022" s="8" t="s">
        <v>715</v>
      </c>
      <c r="I1022" s="14"/>
      <c r="J1022" s="8" t="s">
        <v>1834</v>
      </c>
      <c r="K1022" s="8" t="s">
        <v>1844</v>
      </c>
      <c r="L1022" s="8"/>
      <c r="M1022" s="8" t="s">
        <v>120</v>
      </c>
      <c r="N1022" s="8" t="s">
        <v>1848</v>
      </c>
      <c r="O1022" s="8" t="s">
        <v>1850</v>
      </c>
      <c r="P1022" s="14"/>
      <c r="Q1022" s="14"/>
      <c r="R1022" s="17"/>
      <c r="S1022" s="17"/>
      <c r="T1022" s="8" t="s">
        <v>33</v>
      </c>
      <c r="U1022" s="11" t="s">
        <v>34</v>
      </c>
    </row>
    <row r="1023" spans="1:21">
      <c r="A1023" s="7">
        <v>252</v>
      </c>
      <c r="B1023" s="8" t="s">
        <v>1882</v>
      </c>
      <c r="C1023" s="8" t="s">
        <v>1882</v>
      </c>
      <c r="D1023" s="8"/>
      <c r="E1023" s="8"/>
      <c r="F1023" s="8" t="s">
        <v>714</v>
      </c>
      <c r="G1023" s="14"/>
      <c r="H1023" s="8" t="s">
        <v>715</v>
      </c>
      <c r="I1023" s="14"/>
      <c r="J1023" s="8" t="s">
        <v>1834</v>
      </c>
      <c r="K1023" s="8" t="s">
        <v>1877</v>
      </c>
      <c r="L1023" s="8"/>
      <c r="M1023" s="8" t="s">
        <v>120</v>
      </c>
      <c r="N1023" s="8" t="s">
        <v>1881</v>
      </c>
      <c r="O1023" s="8" t="s">
        <v>1878</v>
      </c>
      <c r="P1023" s="14"/>
      <c r="Q1023" s="14"/>
      <c r="R1023" s="17"/>
      <c r="S1023" s="17"/>
      <c r="T1023" s="8" t="s">
        <v>33</v>
      </c>
      <c r="U1023" s="11" t="s">
        <v>34</v>
      </c>
    </row>
    <row r="1024" spans="1:21">
      <c r="A1024" s="7">
        <v>253</v>
      </c>
      <c r="B1024" s="8" t="s">
        <v>1888</v>
      </c>
      <c r="C1024" s="8" t="s">
        <v>1888</v>
      </c>
      <c r="D1024" s="8"/>
      <c r="E1024" s="8"/>
      <c r="F1024" s="8" t="s">
        <v>714</v>
      </c>
      <c r="G1024" s="14"/>
      <c r="H1024" s="8" t="s">
        <v>715</v>
      </c>
      <c r="I1024" s="14"/>
      <c r="J1024" s="8" t="s">
        <v>1834</v>
      </c>
      <c r="K1024" s="8" t="s">
        <v>1883</v>
      </c>
      <c r="L1024" s="8"/>
      <c r="M1024" s="8" t="s">
        <v>120</v>
      </c>
      <c r="N1024" s="8" t="s">
        <v>1887</v>
      </c>
      <c r="O1024" s="8" t="s">
        <v>1884</v>
      </c>
      <c r="P1024" s="14"/>
      <c r="Q1024" s="14"/>
      <c r="R1024" s="17"/>
      <c r="S1024" s="17"/>
      <c r="T1024" s="8" t="s">
        <v>33</v>
      </c>
      <c r="U1024" s="11" t="s">
        <v>34</v>
      </c>
    </row>
    <row r="1025" spans="1:21">
      <c r="A1025" s="7">
        <v>254</v>
      </c>
      <c r="B1025" s="8" t="s">
        <v>1895</v>
      </c>
      <c r="C1025" s="8" t="s">
        <v>1895</v>
      </c>
      <c r="D1025" s="8"/>
      <c r="E1025" s="8"/>
      <c r="F1025" s="8" t="s">
        <v>37</v>
      </c>
      <c r="G1025" s="14"/>
      <c r="H1025" s="8" t="s">
        <v>38</v>
      </c>
      <c r="I1025" s="14"/>
      <c r="J1025" s="8" t="s">
        <v>1834</v>
      </c>
      <c r="K1025" s="8" t="s">
        <v>1889</v>
      </c>
      <c r="L1025" s="8"/>
      <c r="M1025" s="8" t="s">
        <v>1792</v>
      </c>
      <c r="N1025" s="8" t="s">
        <v>1894</v>
      </c>
      <c r="O1025" s="8" t="s">
        <v>1892</v>
      </c>
      <c r="P1025" s="14"/>
      <c r="Q1025" s="14"/>
      <c r="R1025" s="17"/>
      <c r="S1025" s="17"/>
      <c r="T1025" s="8" t="s">
        <v>33</v>
      </c>
      <c r="U1025" s="11" t="s">
        <v>34</v>
      </c>
    </row>
    <row r="1026" spans="1:21">
      <c r="A1026" s="7">
        <v>255</v>
      </c>
      <c r="B1026" s="8" t="s">
        <v>1901</v>
      </c>
      <c r="C1026" s="8" t="s">
        <v>1901</v>
      </c>
      <c r="D1026" s="8"/>
      <c r="E1026" s="8"/>
      <c r="F1026" s="8" t="s">
        <v>25</v>
      </c>
      <c r="G1026" s="14"/>
      <c r="H1026" s="8" t="s">
        <v>1302</v>
      </c>
      <c r="I1026" s="14"/>
      <c r="J1026" s="8" t="s">
        <v>1834</v>
      </c>
      <c r="K1026" s="8" t="s">
        <v>1897</v>
      </c>
      <c r="L1026" s="8"/>
      <c r="M1026" s="8" t="s">
        <v>1792</v>
      </c>
      <c r="N1026" s="8" t="s">
        <v>1900</v>
      </c>
      <c r="O1026" s="8" t="s">
        <v>1899</v>
      </c>
      <c r="P1026" s="14"/>
      <c r="Q1026" s="14"/>
      <c r="R1026" s="17"/>
      <c r="S1026" s="17"/>
      <c r="T1026" s="8" t="s">
        <v>33</v>
      </c>
      <c r="U1026" s="11" t="s">
        <v>34</v>
      </c>
    </row>
    <row r="1027" spans="1:21">
      <c r="A1027" s="7">
        <v>256</v>
      </c>
      <c r="B1027" s="8" t="s">
        <v>1907</v>
      </c>
      <c r="C1027" s="8" t="s">
        <v>1907</v>
      </c>
      <c r="D1027" s="8"/>
      <c r="E1027" s="8"/>
      <c r="F1027" s="8" t="s">
        <v>714</v>
      </c>
      <c r="G1027" s="14"/>
      <c r="H1027" s="8" t="s">
        <v>715</v>
      </c>
      <c r="I1027" s="14"/>
      <c r="J1027" s="8" t="s">
        <v>1834</v>
      </c>
      <c r="K1027" s="8" t="s">
        <v>1902</v>
      </c>
      <c r="L1027" s="8"/>
      <c r="M1027" s="8" t="s">
        <v>120</v>
      </c>
      <c r="N1027" s="8" t="s">
        <v>1906</v>
      </c>
      <c r="O1027" s="8" t="s">
        <v>1904</v>
      </c>
      <c r="P1027" s="14"/>
      <c r="Q1027" s="14"/>
      <c r="R1027" s="17"/>
      <c r="S1027" s="17"/>
      <c r="T1027" s="8" t="s">
        <v>33</v>
      </c>
      <c r="U1027" s="11" t="s">
        <v>34</v>
      </c>
    </row>
    <row r="1028" spans="1:21">
      <c r="A1028" s="7">
        <v>257</v>
      </c>
      <c r="B1028" s="8" t="s">
        <v>1914</v>
      </c>
      <c r="C1028" s="8" t="s">
        <v>1914</v>
      </c>
      <c r="D1028" s="8"/>
      <c r="E1028" s="8"/>
      <c r="F1028" s="8" t="s">
        <v>714</v>
      </c>
      <c r="G1028" s="14"/>
      <c r="H1028" s="8" t="s">
        <v>715</v>
      </c>
      <c r="I1028" s="14"/>
      <c r="J1028" s="8" t="s">
        <v>1834</v>
      </c>
      <c r="K1028" s="8" t="s">
        <v>1908</v>
      </c>
      <c r="L1028" s="8"/>
      <c r="M1028" s="8" t="s">
        <v>120</v>
      </c>
      <c r="N1028" s="8" t="s">
        <v>1913</v>
      </c>
      <c r="O1028" s="8" t="s">
        <v>1911</v>
      </c>
      <c r="P1028" s="14"/>
      <c r="Q1028" s="14"/>
      <c r="R1028" s="17"/>
      <c r="S1028" s="17"/>
      <c r="T1028" s="8" t="s">
        <v>33</v>
      </c>
      <c r="U1028" s="11" t="s">
        <v>34</v>
      </c>
    </row>
  </sheetData>
  <mergeCells count="2">
    <mergeCell ref="A1:U1"/>
    <mergeCell ref="A2:U2"/>
  </mergeCells>
  <dataValidations count="2">
    <dataValidation type="list" sqref="T5:T1028" xr:uid="{00000000-0002-0000-0000-000000000000}">
      <formula1>"Activo,Inactivo"</formula1>
    </dataValidation>
    <dataValidation type="list" sqref="U5:U1028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opLeftCell="A119" zoomScale="55" zoomScaleNormal="55" workbookViewId="0">
      <selection activeCell="A149" sqref="A149"/>
    </sheetView>
  </sheetViews>
  <sheetFormatPr defaultRowHeight="13.8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72" t="s">
        <v>1315</v>
      </c>
      <c r="B1" s="72"/>
      <c r="C1" s="72"/>
      <c r="D1" s="72"/>
      <c r="E1" s="72"/>
      <c r="F1" s="72"/>
      <c r="G1" s="72"/>
      <c r="H1" s="72"/>
      <c r="I1" s="72"/>
      <c r="J1" s="72"/>
      <c r="K1" s="33"/>
      <c r="L1" s="33"/>
    </row>
    <row r="2" spans="1:12" ht="24" customHeight="1">
      <c r="A2" s="73" t="s">
        <v>1316</v>
      </c>
      <c r="B2" s="73"/>
      <c r="C2" s="73"/>
      <c r="D2" s="73"/>
      <c r="E2" s="73"/>
      <c r="F2" s="73"/>
      <c r="G2" s="73"/>
      <c r="H2" s="73"/>
      <c r="I2" s="73"/>
      <c r="J2" s="73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5.95" customHeight="1">
      <c r="A4" s="35" t="s">
        <v>1317</v>
      </c>
      <c r="B4" s="35" t="s">
        <v>1318</v>
      </c>
      <c r="C4" s="35" t="s">
        <v>1319</v>
      </c>
      <c r="D4" s="35" t="s">
        <v>1320</v>
      </c>
      <c r="E4" s="37"/>
      <c r="F4" s="74" t="s">
        <v>1321</v>
      </c>
      <c r="G4" s="74"/>
      <c r="H4" s="74"/>
      <c r="I4" s="74"/>
      <c r="J4" s="74"/>
      <c r="K4" s="37"/>
      <c r="L4" s="37"/>
    </row>
    <row r="5" spans="1:12">
      <c r="A5" s="38" t="s">
        <v>1322</v>
      </c>
      <c r="B5" s="39">
        <v>0.33300000000000002</v>
      </c>
      <c r="C5" s="38" t="s">
        <v>1323</v>
      </c>
      <c r="D5" s="38" t="s">
        <v>1324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1325</v>
      </c>
      <c r="B6" s="40">
        <v>4</v>
      </c>
      <c r="C6" s="38" t="s">
        <v>1326</v>
      </c>
      <c r="D6" s="38" t="s">
        <v>1327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1328</v>
      </c>
      <c r="B7" s="41">
        <v>100</v>
      </c>
      <c r="C7" s="38" t="s">
        <v>1329</v>
      </c>
      <c r="D7" s="38" t="s">
        <v>1330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1331</v>
      </c>
      <c r="B8" s="41">
        <v>100</v>
      </c>
      <c r="C8" s="38" t="s">
        <v>1329</v>
      </c>
      <c r="D8" s="38" t="s">
        <v>1332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1333</v>
      </c>
      <c r="B9" s="41">
        <v>100</v>
      </c>
      <c r="C9" s="38" t="s">
        <v>1329</v>
      </c>
      <c r="D9" s="38" t="s">
        <v>1334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1335</v>
      </c>
      <c r="B10" s="42">
        <v>0</v>
      </c>
      <c r="C10" s="38" t="s">
        <v>1323</v>
      </c>
      <c r="D10" s="38" t="s">
        <v>1336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1337</v>
      </c>
      <c r="B11" s="41">
        <v>1000</v>
      </c>
      <c r="C11" s="38" t="s">
        <v>1338</v>
      </c>
      <c r="D11" s="38" t="s">
        <v>1339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.049999999999997" customHeight="1">
      <c r="A14" s="36" t="s">
        <v>3</v>
      </c>
      <c r="B14" s="36" t="s">
        <v>1340</v>
      </c>
      <c r="C14" s="36" t="s">
        <v>1341</v>
      </c>
      <c r="D14" s="36" t="s">
        <v>1342</v>
      </c>
      <c r="E14" s="36" t="s">
        <v>1343</v>
      </c>
      <c r="F14" s="36" t="s">
        <v>1344</v>
      </c>
      <c r="G14" s="36" t="s">
        <v>1345</v>
      </c>
      <c r="H14" s="36" t="s">
        <v>1346</v>
      </c>
      <c r="I14" s="36" t="s">
        <v>1347</v>
      </c>
      <c r="J14" s="36" t="s">
        <v>1348</v>
      </c>
      <c r="K14" s="36" t="s">
        <v>1349</v>
      </c>
      <c r="L14" s="36" t="s">
        <v>1350</v>
      </c>
    </row>
    <row r="15" spans="1:12">
      <c r="A15" s="43" t="s">
        <v>24</v>
      </c>
      <c r="B15" s="44">
        <v>1150</v>
      </c>
      <c r="C15" s="45" t="s">
        <v>1351</v>
      </c>
      <c r="D15" s="41">
        <v>1000</v>
      </c>
      <c r="E15" s="46">
        <f t="shared" ref="E15:E78" si="0">IF(A15="","",IF(C15="NO",0,IF(D15&lt;&gt;"",D15,$B$11)))</f>
        <v>1000</v>
      </c>
      <c r="F15" s="46">
        <f t="shared" ref="F15:F78" si="1">IF(A15="","",$B$7/$B$6)</f>
        <v>25</v>
      </c>
      <c r="G15" s="46">
        <f>IF(A15="","",($B$8-$B$9)/$B$6)</f>
        <v>0</v>
      </c>
      <c r="H15" s="47">
        <f t="shared" ref="H15:H78" si="2">IF(A15="","",$B$10)</f>
        <v>0</v>
      </c>
      <c r="I15" s="47">
        <f t="shared" ref="I15:I78" si="3">IF(A15="","",$B$5)</f>
        <v>0.33300000000000002</v>
      </c>
      <c r="J15" s="46">
        <f t="shared" ref="J15:J78" si="4">IF(OR(A15="",B15=""),"",ROUND((B15+E15+F15+G15)/(1-H15-I15),-1))</f>
        <v>3260</v>
      </c>
      <c r="K15" s="46">
        <f t="shared" ref="K15:K78" si="5">IF(J15="","",J15-B15-E15-F15-G15-(J15*H15))</f>
        <v>1085</v>
      </c>
      <c r="L15" s="48">
        <f t="shared" ref="L15:L78" si="6">IF(J15="","",K15/J15)</f>
        <v>0.33282208588957057</v>
      </c>
    </row>
    <row r="16" spans="1:12">
      <c r="A16" s="43" t="s">
        <v>36</v>
      </c>
      <c r="B16" s="44">
        <v>9000</v>
      </c>
      <c r="C16" s="45" t="s">
        <v>1351</v>
      </c>
      <c r="D16" s="41">
        <v>1000</v>
      </c>
      <c r="E16" s="46">
        <f t="shared" si="0"/>
        <v>1000</v>
      </c>
      <c r="F16" s="46">
        <f t="shared" si="1"/>
        <v>25</v>
      </c>
      <c r="G16" s="46">
        <f t="shared" ref="G16:G78" si="7">IF(A16="","",($B$8-$B$9)/$B$6)</f>
        <v>0</v>
      </c>
      <c r="H16" s="47">
        <f t="shared" si="2"/>
        <v>0</v>
      </c>
      <c r="I16" s="47">
        <f t="shared" si="3"/>
        <v>0.33300000000000002</v>
      </c>
      <c r="J16" s="46">
        <f t="shared" si="4"/>
        <v>15030</v>
      </c>
      <c r="K16" s="46">
        <f t="shared" si="5"/>
        <v>5005</v>
      </c>
      <c r="L16" s="48">
        <f t="shared" si="6"/>
        <v>0.33300066533599465</v>
      </c>
    </row>
    <row r="17" spans="1:12">
      <c r="A17" s="43" t="s">
        <v>43</v>
      </c>
      <c r="B17" s="44">
        <v>2750</v>
      </c>
      <c r="C17" s="45" t="s">
        <v>1351</v>
      </c>
      <c r="D17" s="41">
        <v>1000</v>
      </c>
      <c r="E17" s="46">
        <f t="shared" si="0"/>
        <v>1000</v>
      </c>
      <c r="F17" s="46">
        <f t="shared" si="1"/>
        <v>25</v>
      </c>
      <c r="G17" s="46">
        <f t="shared" si="7"/>
        <v>0</v>
      </c>
      <c r="H17" s="47">
        <f t="shared" si="2"/>
        <v>0</v>
      </c>
      <c r="I17" s="47">
        <f t="shared" si="3"/>
        <v>0.33300000000000002</v>
      </c>
      <c r="J17" s="46">
        <f t="shared" si="4"/>
        <v>5660</v>
      </c>
      <c r="K17" s="46">
        <f t="shared" si="5"/>
        <v>1885</v>
      </c>
      <c r="L17" s="48">
        <f t="shared" si="6"/>
        <v>0.33303886925795051</v>
      </c>
    </row>
    <row r="18" spans="1:12">
      <c r="A18" s="43" t="s">
        <v>48</v>
      </c>
      <c r="B18" s="44">
        <v>3250</v>
      </c>
      <c r="C18" s="45" t="s">
        <v>1351</v>
      </c>
      <c r="D18" s="41">
        <v>1000</v>
      </c>
      <c r="E18" s="46">
        <f t="shared" si="0"/>
        <v>1000</v>
      </c>
      <c r="F18" s="46">
        <f t="shared" si="1"/>
        <v>25</v>
      </c>
      <c r="G18" s="46">
        <f t="shared" si="7"/>
        <v>0</v>
      </c>
      <c r="H18" s="47">
        <f t="shared" si="2"/>
        <v>0</v>
      </c>
      <c r="I18" s="47">
        <f t="shared" si="3"/>
        <v>0.33300000000000002</v>
      </c>
      <c r="J18" s="46">
        <f t="shared" si="4"/>
        <v>6410</v>
      </c>
      <c r="K18" s="46">
        <f t="shared" si="5"/>
        <v>2135</v>
      </c>
      <c r="L18" s="48">
        <f t="shared" si="6"/>
        <v>0.3330733229329173</v>
      </c>
    </row>
    <row r="19" spans="1:12">
      <c r="A19" s="43" t="s">
        <v>53</v>
      </c>
      <c r="B19" s="44">
        <v>2250</v>
      </c>
      <c r="C19" s="45" t="s">
        <v>1351</v>
      </c>
      <c r="D19" s="41">
        <v>1000</v>
      </c>
      <c r="E19" s="46">
        <f t="shared" si="0"/>
        <v>1000</v>
      </c>
      <c r="F19" s="46">
        <f t="shared" si="1"/>
        <v>25</v>
      </c>
      <c r="G19" s="46">
        <f t="shared" si="7"/>
        <v>0</v>
      </c>
      <c r="H19" s="47">
        <f t="shared" si="2"/>
        <v>0</v>
      </c>
      <c r="I19" s="47">
        <f t="shared" si="3"/>
        <v>0.33300000000000002</v>
      </c>
      <c r="J19" s="46">
        <f t="shared" si="4"/>
        <v>4910</v>
      </c>
      <c r="K19" s="46">
        <f t="shared" si="5"/>
        <v>1635</v>
      </c>
      <c r="L19" s="48">
        <f t="shared" si="6"/>
        <v>0.33299389002036661</v>
      </c>
    </row>
    <row r="20" spans="1:12">
      <c r="A20" s="43" t="s">
        <v>61</v>
      </c>
      <c r="B20" s="44">
        <v>1650</v>
      </c>
      <c r="C20" s="45" t="s">
        <v>1351</v>
      </c>
      <c r="D20" s="41">
        <v>1000</v>
      </c>
      <c r="E20" s="46">
        <f t="shared" si="0"/>
        <v>1000</v>
      </c>
      <c r="F20" s="46">
        <f t="shared" si="1"/>
        <v>25</v>
      </c>
      <c r="G20" s="46">
        <f t="shared" si="7"/>
        <v>0</v>
      </c>
      <c r="H20" s="47">
        <f t="shared" si="2"/>
        <v>0</v>
      </c>
      <c r="I20" s="47">
        <f t="shared" si="3"/>
        <v>0.33300000000000002</v>
      </c>
      <c r="J20" s="46">
        <f t="shared" si="4"/>
        <v>4010</v>
      </c>
      <c r="K20" s="46">
        <f t="shared" si="5"/>
        <v>1335</v>
      </c>
      <c r="L20" s="48">
        <f t="shared" si="6"/>
        <v>0.33291770573566087</v>
      </c>
    </row>
    <row r="21" spans="1:12">
      <c r="A21" s="43" t="s">
        <v>68</v>
      </c>
      <c r="B21" s="44">
        <v>20000</v>
      </c>
      <c r="C21" s="45" t="s">
        <v>1351</v>
      </c>
      <c r="D21" s="41">
        <v>1000</v>
      </c>
      <c r="E21" s="46">
        <f t="shared" si="0"/>
        <v>1000</v>
      </c>
      <c r="F21" s="46">
        <f t="shared" si="1"/>
        <v>25</v>
      </c>
      <c r="G21" s="46">
        <f t="shared" si="7"/>
        <v>0</v>
      </c>
      <c r="H21" s="47">
        <f t="shared" si="2"/>
        <v>0</v>
      </c>
      <c r="I21" s="47">
        <f t="shared" si="3"/>
        <v>0.33300000000000002</v>
      </c>
      <c r="J21" s="46">
        <f t="shared" si="4"/>
        <v>31520</v>
      </c>
      <c r="K21" s="46">
        <f t="shared" si="5"/>
        <v>10495</v>
      </c>
      <c r="L21" s="48">
        <f t="shared" si="6"/>
        <v>0.33296319796954316</v>
      </c>
    </row>
    <row r="22" spans="1:12">
      <c r="A22" s="43" t="s">
        <v>75</v>
      </c>
      <c r="B22" s="44">
        <v>2200</v>
      </c>
      <c r="C22" s="45" t="s">
        <v>1351</v>
      </c>
      <c r="D22" s="41">
        <v>1000</v>
      </c>
      <c r="E22" s="46">
        <f t="shared" si="0"/>
        <v>1000</v>
      </c>
      <c r="F22" s="46">
        <f t="shared" si="1"/>
        <v>25</v>
      </c>
      <c r="G22" s="46">
        <f t="shared" si="7"/>
        <v>0</v>
      </c>
      <c r="H22" s="47">
        <f t="shared" si="2"/>
        <v>0</v>
      </c>
      <c r="I22" s="47">
        <f t="shared" si="3"/>
        <v>0.33300000000000002</v>
      </c>
      <c r="J22" s="46">
        <f t="shared" si="4"/>
        <v>4840</v>
      </c>
      <c r="K22" s="46">
        <f t="shared" si="5"/>
        <v>1615</v>
      </c>
      <c r="L22" s="48">
        <f t="shared" si="6"/>
        <v>0.33367768595041325</v>
      </c>
    </row>
    <row r="23" spans="1:12">
      <c r="A23" s="43" t="s">
        <v>84</v>
      </c>
      <c r="B23" s="44">
        <v>16000</v>
      </c>
      <c r="C23" s="45" t="s">
        <v>1351</v>
      </c>
      <c r="D23" s="41">
        <v>1000</v>
      </c>
      <c r="E23" s="46">
        <f t="shared" si="0"/>
        <v>1000</v>
      </c>
      <c r="F23" s="46">
        <f t="shared" si="1"/>
        <v>25</v>
      </c>
      <c r="G23" s="46">
        <f t="shared" si="7"/>
        <v>0</v>
      </c>
      <c r="H23" s="47">
        <f t="shared" si="2"/>
        <v>0</v>
      </c>
      <c r="I23" s="47">
        <f t="shared" si="3"/>
        <v>0.33300000000000002</v>
      </c>
      <c r="J23" s="46">
        <f t="shared" si="4"/>
        <v>25520</v>
      </c>
      <c r="K23" s="46">
        <f t="shared" si="5"/>
        <v>8495</v>
      </c>
      <c r="L23" s="48">
        <f t="shared" si="6"/>
        <v>0.33287617554858934</v>
      </c>
    </row>
    <row r="24" spans="1:12">
      <c r="A24" s="43" t="s">
        <v>89</v>
      </c>
      <c r="B24" s="44">
        <v>4600</v>
      </c>
      <c r="C24" s="45" t="s">
        <v>1351</v>
      </c>
      <c r="D24" s="41">
        <v>1000</v>
      </c>
      <c r="E24" s="46">
        <f t="shared" si="0"/>
        <v>1000</v>
      </c>
      <c r="F24" s="46">
        <f t="shared" si="1"/>
        <v>25</v>
      </c>
      <c r="G24" s="46">
        <f t="shared" si="7"/>
        <v>0</v>
      </c>
      <c r="H24" s="47">
        <f t="shared" si="2"/>
        <v>0</v>
      </c>
      <c r="I24" s="47">
        <f t="shared" si="3"/>
        <v>0.33300000000000002</v>
      </c>
      <c r="J24" s="46">
        <f t="shared" si="4"/>
        <v>8430</v>
      </c>
      <c r="K24" s="46">
        <f t="shared" si="5"/>
        <v>2805</v>
      </c>
      <c r="L24" s="48">
        <f t="shared" si="6"/>
        <v>0.33274021352313166</v>
      </c>
    </row>
    <row r="25" spans="1:12">
      <c r="A25" s="43" t="s">
        <v>96</v>
      </c>
      <c r="B25" s="44">
        <v>5400</v>
      </c>
      <c r="C25" s="45" t="s">
        <v>1351</v>
      </c>
      <c r="D25" s="41">
        <v>1000</v>
      </c>
      <c r="E25" s="46">
        <f t="shared" si="0"/>
        <v>1000</v>
      </c>
      <c r="F25" s="46">
        <f t="shared" si="1"/>
        <v>25</v>
      </c>
      <c r="G25" s="46">
        <f t="shared" si="7"/>
        <v>0</v>
      </c>
      <c r="H25" s="47">
        <f t="shared" si="2"/>
        <v>0</v>
      </c>
      <c r="I25" s="47">
        <f t="shared" si="3"/>
        <v>0.33300000000000002</v>
      </c>
      <c r="J25" s="46">
        <f t="shared" si="4"/>
        <v>9630</v>
      </c>
      <c r="K25" s="46">
        <f t="shared" si="5"/>
        <v>3205</v>
      </c>
      <c r="L25" s="48">
        <f t="shared" si="6"/>
        <v>0.3328141225337487</v>
      </c>
    </row>
    <row r="26" spans="1:12">
      <c r="A26" s="43" t="s">
        <v>101</v>
      </c>
      <c r="B26" s="44">
        <v>5400</v>
      </c>
      <c r="C26" s="45" t="s">
        <v>1351</v>
      </c>
      <c r="D26" s="41">
        <v>1000</v>
      </c>
      <c r="E26" s="46">
        <f t="shared" si="0"/>
        <v>1000</v>
      </c>
      <c r="F26" s="46">
        <f t="shared" si="1"/>
        <v>25</v>
      </c>
      <c r="G26" s="46">
        <f t="shared" si="7"/>
        <v>0</v>
      </c>
      <c r="H26" s="47">
        <f t="shared" si="2"/>
        <v>0</v>
      </c>
      <c r="I26" s="47">
        <f t="shared" si="3"/>
        <v>0.33300000000000002</v>
      </c>
      <c r="J26" s="46">
        <f t="shared" si="4"/>
        <v>9630</v>
      </c>
      <c r="K26" s="46">
        <f t="shared" si="5"/>
        <v>3205</v>
      </c>
      <c r="L26" s="48">
        <f t="shared" si="6"/>
        <v>0.3328141225337487</v>
      </c>
    </row>
    <row r="27" spans="1:12">
      <c r="A27" s="43" t="s">
        <v>106</v>
      </c>
      <c r="B27" s="44">
        <v>5400</v>
      </c>
      <c r="C27" s="45" t="s">
        <v>1351</v>
      </c>
      <c r="D27" s="41">
        <v>1000</v>
      </c>
      <c r="E27" s="46">
        <f t="shared" si="0"/>
        <v>1000</v>
      </c>
      <c r="F27" s="46">
        <f t="shared" si="1"/>
        <v>25</v>
      </c>
      <c r="G27" s="46">
        <f t="shared" si="7"/>
        <v>0</v>
      </c>
      <c r="H27" s="47">
        <f t="shared" si="2"/>
        <v>0</v>
      </c>
      <c r="I27" s="47">
        <f t="shared" si="3"/>
        <v>0.33300000000000002</v>
      </c>
      <c r="J27" s="46">
        <f t="shared" si="4"/>
        <v>9630</v>
      </c>
      <c r="K27" s="46">
        <f t="shared" si="5"/>
        <v>3205</v>
      </c>
      <c r="L27" s="48">
        <f t="shared" si="6"/>
        <v>0.3328141225337487</v>
      </c>
    </row>
    <row r="28" spans="1:12">
      <c r="A28" s="43" t="s">
        <v>111</v>
      </c>
      <c r="B28" s="44">
        <v>7300</v>
      </c>
      <c r="C28" s="45" t="s">
        <v>1351</v>
      </c>
      <c r="D28" s="41">
        <v>1000</v>
      </c>
      <c r="E28" s="46">
        <f t="shared" si="0"/>
        <v>1000</v>
      </c>
      <c r="F28" s="46">
        <f t="shared" si="1"/>
        <v>25</v>
      </c>
      <c r="G28" s="46">
        <f t="shared" si="7"/>
        <v>0</v>
      </c>
      <c r="H28" s="47">
        <f t="shared" si="2"/>
        <v>0</v>
      </c>
      <c r="I28" s="47">
        <f t="shared" si="3"/>
        <v>0.33300000000000002</v>
      </c>
      <c r="J28" s="46">
        <f t="shared" si="4"/>
        <v>12480</v>
      </c>
      <c r="K28" s="46">
        <f t="shared" si="5"/>
        <v>4155</v>
      </c>
      <c r="L28" s="48">
        <f t="shared" si="6"/>
        <v>0.33293269230769229</v>
      </c>
    </row>
    <row r="29" spans="1:12">
      <c r="A29" s="43" t="s">
        <v>116</v>
      </c>
      <c r="B29" s="44">
        <v>700</v>
      </c>
      <c r="C29" s="45" t="s">
        <v>34</v>
      </c>
      <c r="D29" s="44">
        <f t="shared" ref="D29:D78" si="8">IF(A29="","",$B$7/$B$6)</f>
        <v>25</v>
      </c>
      <c r="E29" s="46">
        <f t="shared" si="0"/>
        <v>0</v>
      </c>
      <c r="F29" s="46">
        <f t="shared" si="1"/>
        <v>25</v>
      </c>
      <c r="G29" s="46">
        <f t="shared" si="7"/>
        <v>0</v>
      </c>
      <c r="H29" s="47">
        <f t="shared" si="2"/>
        <v>0</v>
      </c>
      <c r="I29" s="47">
        <f t="shared" si="3"/>
        <v>0.33300000000000002</v>
      </c>
      <c r="J29" s="46">
        <f t="shared" si="4"/>
        <v>1090</v>
      </c>
      <c r="K29" s="46">
        <f t="shared" si="5"/>
        <v>365</v>
      </c>
      <c r="L29" s="48">
        <f t="shared" si="6"/>
        <v>0.33486238532110091</v>
      </c>
    </row>
    <row r="30" spans="1:12">
      <c r="A30" s="43" t="s">
        <v>124</v>
      </c>
      <c r="B30" s="44">
        <v>300</v>
      </c>
      <c r="C30" s="45" t="s">
        <v>34</v>
      </c>
      <c r="D30" s="44">
        <f t="shared" si="8"/>
        <v>25</v>
      </c>
      <c r="E30" s="46">
        <f t="shared" si="0"/>
        <v>0</v>
      </c>
      <c r="F30" s="46">
        <f t="shared" si="1"/>
        <v>25</v>
      </c>
      <c r="G30" s="46">
        <f t="shared" si="7"/>
        <v>0</v>
      </c>
      <c r="H30" s="47">
        <f t="shared" si="2"/>
        <v>0</v>
      </c>
      <c r="I30" s="47">
        <f t="shared" si="3"/>
        <v>0.33300000000000002</v>
      </c>
      <c r="J30" s="46">
        <f t="shared" si="4"/>
        <v>490</v>
      </c>
      <c r="K30" s="46">
        <f t="shared" si="5"/>
        <v>165</v>
      </c>
      <c r="L30" s="48">
        <f t="shared" si="6"/>
        <v>0.33673469387755101</v>
      </c>
    </row>
    <row r="31" spans="1:12">
      <c r="A31" s="43" t="s">
        <v>129</v>
      </c>
      <c r="B31" s="44">
        <v>500</v>
      </c>
      <c r="C31" s="45" t="s">
        <v>34</v>
      </c>
      <c r="D31" s="44">
        <f t="shared" si="8"/>
        <v>25</v>
      </c>
      <c r="E31" s="46">
        <f t="shared" si="0"/>
        <v>0</v>
      </c>
      <c r="F31" s="46">
        <f t="shared" si="1"/>
        <v>25</v>
      </c>
      <c r="G31" s="46">
        <f t="shared" si="7"/>
        <v>0</v>
      </c>
      <c r="H31" s="47">
        <f t="shared" si="2"/>
        <v>0</v>
      </c>
      <c r="I31" s="47">
        <f t="shared" si="3"/>
        <v>0.33300000000000002</v>
      </c>
      <c r="J31" s="46">
        <f t="shared" si="4"/>
        <v>790</v>
      </c>
      <c r="K31" s="46">
        <f t="shared" si="5"/>
        <v>265</v>
      </c>
      <c r="L31" s="48">
        <f t="shared" si="6"/>
        <v>0.33544303797468356</v>
      </c>
    </row>
    <row r="32" spans="1:12">
      <c r="A32" s="43" t="s">
        <v>134</v>
      </c>
      <c r="B32" s="44">
        <v>500</v>
      </c>
      <c r="C32" s="45" t="s">
        <v>34</v>
      </c>
      <c r="D32" s="44">
        <f t="shared" si="8"/>
        <v>25</v>
      </c>
      <c r="E32" s="46">
        <f t="shared" si="0"/>
        <v>0</v>
      </c>
      <c r="F32" s="46">
        <f t="shared" si="1"/>
        <v>25</v>
      </c>
      <c r="G32" s="46">
        <f t="shared" si="7"/>
        <v>0</v>
      </c>
      <c r="H32" s="47">
        <f t="shared" si="2"/>
        <v>0</v>
      </c>
      <c r="I32" s="47">
        <f t="shared" si="3"/>
        <v>0.33300000000000002</v>
      </c>
      <c r="J32" s="46">
        <f t="shared" si="4"/>
        <v>790</v>
      </c>
      <c r="K32" s="46">
        <f t="shared" si="5"/>
        <v>265</v>
      </c>
      <c r="L32" s="48">
        <f t="shared" si="6"/>
        <v>0.33544303797468356</v>
      </c>
    </row>
    <row r="33" spans="1:12">
      <c r="A33" s="43" t="s">
        <v>141</v>
      </c>
      <c r="B33" s="44">
        <v>500</v>
      </c>
      <c r="C33" s="45" t="s">
        <v>34</v>
      </c>
      <c r="D33" s="44">
        <f t="shared" si="8"/>
        <v>25</v>
      </c>
      <c r="E33" s="46">
        <f t="shared" si="0"/>
        <v>0</v>
      </c>
      <c r="F33" s="46">
        <f t="shared" si="1"/>
        <v>25</v>
      </c>
      <c r="G33" s="46">
        <f t="shared" si="7"/>
        <v>0</v>
      </c>
      <c r="H33" s="47">
        <f t="shared" si="2"/>
        <v>0</v>
      </c>
      <c r="I33" s="47">
        <f t="shared" si="3"/>
        <v>0.33300000000000002</v>
      </c>
      <c r="J33" s="46">
        <f t="shared" si="4"/>
        <v>790</v>
      </c>
      <c r="K33" s="46">
        <f t="shared" si="5"/>
        <v>265</v>
      </c>
      <c r="L33" s="48">
        <f t="shared" si="6"/>
        <v>0.33544303797468356</v>
      </c>
    </row>
    <row r="34" spans="1:12">
      <c r="A34" s="43" t="s">
        <v>146</v>
      </c>
      <c r="B34" s="44">
        <v>2050</v>
      </c>
      <c r="C34" s="45" t="s">
        <v>34</v>
      </c>
      <c r="D34" s="44">
        <f t="shared" si="8"/>
        <v>25</v>
      </c>
      <c r="E34" s="46">
        <f t="shared" si="0"/>
        <v>0</v>
      </c>
      <c r="F34" s="46">
        <f t="shared" si="1"/>
        <v>25</v>
      </c>
      <c r="G34" s="46">
        <f t="shared" si="7"/>
        <v>0</v>
      </c>
      <c r="H34" s="47">
        <f t="shared" si="2"/>
        <v>0</v>
      </c>
      <c r="I34" s="47">
        <f t="shared" si="3"/>
        <v>0.33300000000000002</v>
      </c>
      <c r="J34" s="46">
        <f t="shared" si="4"/>
        <v>3110</v>
      </c>
      <c r="K34" s="46">
        <f t="shared" si="5"/>
        <v>1035</v>
      </c>
      <c r="L34" s="48">
        <f t="shared" si="6"/>
        <v>0.33279742765273312</v>
      </c>
    </row>
    <row r="35" spans="1:12">
      <c r="A35" s="43" t="s">
        <v>150</v>
      </c>
      <c r="B35" s="44">
        <v>2050</v>
      </c>
      <c r="C35" s="45" t="s">
        <v>34</v>
      </c>
      <c r="D35" s="44">
        <f t="shared" si="8"/>
        <v>25</v>
      </c>
      <c r="E35" s="46">
        <f t="shared" si="0"/>
        <v>0</v>
      </c>
      <c r="F35" s="46">
        <f t="shared" si="1"/>
        <v>25</v>
      </c>
      <c r="G35" s="46">
        <f t="shared" si="7"/>
        <v>0</v>
      </c>
      <c r="H35" s="47">
        <f t="shared" si="2"/>
        <v>0</v>
      </c>
      <c r="I35" s="47">
        <f t="shared" si="3"/>
        <v>0.33300000000000002</v>
      </c>
      <c r="J35" s="46">
        <f t="shared" si="4"/>
        <v>3110</v>
      </c>
      <c r="K35" s="46">
        <f t="shared" si="5"/>
        <v>1035</v>
      </c>
      <c r="L35" s="48">
        <f t="shared" si="6"/>
        <v>0.33279742765273312</v>
      </c>
    </row>
    <row r="36" spans="1:12">
      <c r="A36" s="43" t="s">
        <v>154</v>
      </c>
      <c r="B36" s="44">
        <v>750</v>
      </c>
      <c r="C36" s="45" t="s">
        <v>34</v>
      </c>
      <c r="D36" s="44">
        <f t="shared" si="8"/>
        <v>25</v>
      </c>
      <c r="E36" s="46">
        <f t="shared" si="0"/>
        <v>0</v>
      </c>
      <c r="F36" s="46">
        <f t="shared" si="1"/>
        <v>25</v>
      </c>
      <c r="G36" s="46">
        <f t="shared" si="7"/>
        <v>0</v>
      </c>
      <c r="H36" s="47">
        <f t="shared" si="2"/>
        <v>0</v>
      </c>
      <c r="I36" s="47">
        <f t="shared" si="3"/>
        <v>0.33300000000000002</v>
      </c>
      <c r="J36" s="46">
        <f t="shared" si="4"/>
        <v>1160</v>
      </c>
      <c r="K36" s="46">
        <f t="shared" si="5"/>
        <v>385</v>
      </c>
      <c r="L36" s="48">
        <f t="shared" si="6"/>
        <v>0.33189655172413796</v>
      </c>
    </row>
    <row r="37" spans="1:12">
      <c r="A37" s="43" t="s">
        <v>160</v>
      </c>
      <c r="B37" s="44">
        <v>650</v>
      </c>
      <c r="C37" s="45" t="s">
        <v>34</v>
      </c>
      <c r="D37" s="44">
        <f t="shared" si="8"/>
        <v>25</v>
      </c>
      <c r="E37" s="46">
        <f t="shared" si="0"/>
        <v>0</v>
      </c>
      <c r="F37" s="46">
        <f t="shared" si="1"/>
        <v>25</v>
      </c>
      <c r="G37" s="46">
        <f t="shared" si="7"/>
        <v>0</v>
      </c>
      <c r="H37" s="47">
        <f t="shared" si="2"/>
        <v>0</v>
      </c>
      <c r="I37" s="47">
        <f t="shared" si="3"/>
        <v>0.33300000000000002</v>
      </c>
      <c r="J37" s="46">
        <f t="shared" si="4"/>
        <v>1010</v>
      </c>
      <c r="K37" s="46">
        <f t="shared" si="5"/>
        <v>335</v>
      </c>
      <c r="L37" s="48">
        <f t="shared" si="6"/>
        <v>0.3316831683168317</v>
      </c>
    </row>
    <row r="38" spans="1:12">
      <c r="A38" s="43" t="s">
        <v>165</v>
      </c>
      <c r="B38" s="44">
        <v>260</v>
      </c>
      <c r="C38" s="45" t="s">
        <v>34</v>
      </c>
      <c r="D38" s="44">
        <f t="shared" si="8"/>
        <v>25</v>
      </c>
      <c r="E38" s="46">
        <f t="shared" si="0"/>
        <v>0</v>
      </c>
      <c r="F38" s="46">
        <f t="shared" si="1"/>
        <v>25</v>
      </c>
      <c r="G38" s="46">
        <f t="shared" si="7"/>
        <v>0</v>
      </c>
      <c r="H38" s="47">
        <f t="shared" si="2"/>
        <v>0</v>
      </c>
      <c r="I38" s="47">
        <f t="shared" si="3"/>
        <v>0.33300000000000002</v>
      </c>
      <c r="J38" s="46">
        <f t="shared" si="4"/>
        <v>430</v>
      </c>
      <c r="K38" s="46">
        <f t="shared" si="5"/>
        <v>145</v>
      </c>
      <c r="L38" s="48">
        <f t="shared" si="6"/>
        <v>0.33720930232558138</v>
      </c>
    </row>
    <row r="39" spans="1:12">
      <c r="A39" s="43" t="s">
        <v>166</v>
      </c>
      <c r="B39" s="44">
        <v>300</v>
      </c>
      <c r="C39" s="45" t="s">
        <v>34</v>
      </c>
      <c r="D39" s="44">
        <f t="shared" si="8"/>
        <v>25</v>
      </c>
      <c r="E39" s="46">
        <f t="shared" si="0"/>
        <v>0</v>
      </c>
      <c r="F39" s="46">
        <f t="shared" si="1"/>
        <v>25</v>
      </c>
      <c r="G39" s="46">
        <f t="shared" si="7"/>
        <v>0</v>
      </c>
      <c r="H39" s="47">
        <f t="shared" si="2"/>
        <v>0</v>
      </c>
      <c r="I39" s="47">
        <f t="shared" si="3"/>
        <v>0.33300000000000002</v>
      </c>
      <c r="J39" s="46">
        <f t="shared" si="4"/>
        <v>490</v>
      </c>
      <c r="K39" s="46">
        <f t="shared" si="5"/>
        <v>165</v>
      </c>
      <c r="L39" s="48">
        <f t="shared" si="6"/>
        <v>0.33673469387755101</v>
      </c>
    </row>
    <row r="40" spans="1:12">
      <c r="A40" s="43" t="s">
        <v>171</v>
      </c>
      <c r="B40" s="44">
        <v>300</v>
      </c>
      <c r="C40" s="45" t="s">
        <v>34</v>
      </c>
      <c r="D40" s="44">
        <f t="shared" si="8"/>
        <v>25</v>
      </c>
      <c r="E40" s="46">
        <f t="shared" si="0"/>
        <v>0</v>
      </c>
      <c r="F40" s="46">
        <f t="shared" si="1"/>
        <v>25</v>
      </c>
      <c r="G40" s="46">
        <f t="shared" si="7"/>
        <v>0</v>
      </c>
      <c r="H40" s="47">
        <f t="shared" si="2"/>
        <v>0</v>
      </c>
      <c r="I40" s="47">
        <f t="shared" si="3"/>
        <v>0.33300000000000002</v>
      </c>
      <c r="J40" s="46">
        <f t="shared" si="4"/>
        <v>490</v>
      </c>
      <c r="K40" s="46">
        <f t="shared" si="5"/>
        <v>165</v>
      </c>
      <c r="L40" s="48">
        <f t="shared" si="6"/>
        <v>0.33673469387755101</v>
      </c>
    </row>
    <row r="41" spans="1:12">
      <c r="A41" s="43" t="s">
        <v>174</v>
      </c>
      <c r="B41" s="44">
        <v>1100</v>
      </c>
      <c r="C41" s="45" t="s">
        <v>34</v>
      </c>
      <c r="D41" s="44">
        <f t="shared" si="8"/>
        <v>25</v>
      </c>
      <c r="E41" s="46">
        <f t="shared" si="0"/>
        <v>0</v>
      </c>
      <c r="F41" s="46">
        <f t="shared" si="1"/>
        <v>25</v>
      </c>
      <c r="G41" s="46">
        <f t="shared" si="7"/>
        <v>0</v>
      </c>
      <c r="H41" s="47">
        <f t="shared" si="2"/>
        <v>0</v>
      </c>
      <c r="I41" s="47">
        <f t="shared" si="3"/>
        <v>0.33300000000000002</v>
      </c>
      <c r="J41" s="46">
        <f t="shared" si="4"/>
        <v>1690</v>
      </c>
      <c r="K41" s="46">
        <f t="shared" si="5"/>
        <v>565</v>
      </c>
      <c r="L41" s="48">
        <f t="shared" si="6"/>
        <v>0.33431952662721892</v>
      </c>
    </row>
    <row r="42" spans="1:12">
      <c r="A42" s="43" t="s">
        <v>177</v>
      </c>
      <c r="B42" s="44">
        <v>1700</v>
      </c>
      <c r="C42" s="45" t="s">
        <v>34</v>
      </c>
      <c r="D42" s="44">
        <f t="shared" si="8"/>
        <v>25</v>
      </c>
      <c r="E42" s="46">
        <f t="shared" si="0"/>
        <v>0</v>
      </c>
      <c r="F42" s="46">
        <f t="shared" si="1"/>
        <v>25</v>
      </c>
      <c r="G42" s="46">
        <f t="shared" si="7"/>
        <v>0</v>
      </c>
      <c r="H42" s="47">
        <f t="shared" si="2"/>
        <v>0</v>
      </c>
      <c r="I42" s="47">
        <f t="shared" si="3"/>
        <v>0.33300000000000002</v>
      </c>
      <c r="J42" s="46">
        <f t="shared" si="4"/>
        <v>2590</v>
      </c>
      <c r="K42" s="46">
        <f t="shared" si="5"/>
        <v>865</v>
      </c>
      <c r="L42" s="48">
        <f t="shared" si="6"/>
        <v>0.33397683397683398</v>
      </c>
    </row>
    <row r="43" spans="1:12">
      <c r="A43" s="43" t="s">
        <v>185</v>
      </c>
      <c r="B43" s="44">
        <v>600</v>
      </c>
      <c r="C43" s="45" t="s">
        <v>34</v>
      </c>
      <c r="D43" s="44">
        <f t="shared" si="8"/>
        <v>25</v>
      </c>
      <c r="E43" s="46">
        <f t="shared" si="0"/>
        <v>0</v>
      </c>
      <c r="F43" s="46">
        <f t="shared" si="1"/>
        <v>25</v>
      </c>
      <c r="G43" s="46">
        <f t="shared" si="7"/>
        <v>0</v>
      </c>
      <c r="H43" s="47">
        <f t="shared" si="2"/>
        <v>0</v>
      </c>
      <c r="I43" s="47">
        <f t="shared" si="3"/>
        <v>0.33300000000000002</v>
      </c>
      <c r="J43" s="46">
        <f t="shared" si="4"/>
        <v>940</v>
      </c>
      <c r="K43" s="46">
        <f t="shared" si="5"/>
        <v>315</v>
      </c>
      <c r="L43" s="48">
        <f t="shared" si="6"/>
        <v>0.33510638297872342</v>
      </c>
    </row>
    <row r="44" spans="1:12">
      <c r="A44" s="43" t="s">
        <v>190</v>
      </c>
      <c r="B44" s="44">
        <v>1150</v>
      </c>
      <c r="C44" s="45" t="s">
        <v>34</v>
      </c>
      <c r="D44" s="44">
        <f t="shared" si="8"/>
        <v>25</v>
      </c>
      <c r="E44" s="46">
        <f t="shared" si="0"/>
        <v>0</v>
      </c>
      <c r="F44" s="46">
        <f t="shared" si="1"/>
        <v>25</v>
      </c>
      <c r="G44" s="46">
        <f t="shared" si="7"/>
        <v>0</v>
      </c>
      <c r="H44" s="47">
        <f t="shared" si="2"/>
        <v>0</v>
      </c>
      <c r="I44" s="47">
        <f t="shared" si="3"/>
        <v>0.33300000000000002</v>
      </c>
      <c r="J44" s="46">
        <f t="shared" si="4"/>
        <v>1760</v>
      </c>
      <c r="K44" s="46">
        <f t="shared" si="5"/>
        <v>585</v>
      </c>
      <c r="L44" s="48">
        <f t="shared" si="6"/>
        <v>0.33238636363636365</v>
      </c>
    </row>
    <row r="45" spans="1:12">
      <c r="A45" s="43" t="s">
        <v>196</v>
      </c>
      <c r="B45" s="44">
        <v>1150</v>
      </c>
      <c r="C45" s="45" t="s">
        <v>34</v>
      </c>
      <c r="D45" s="44">
        <f t="shared" si="8"/>
        <v>25</v>
      </c>
      <c r="E45" s="46">
        <f t="shared" si="0"/>
        <v>0</v>
      </c>
      <c r="F45" s="46">
        <f t="shared" si="1"/>
        <v>25</v>
      </c>
      <c r="G45" s="46">
        <f t="shared" si="7"/>
        <v>0</v>
      </c>
      <c r="H45" s="47">
        <f t="shared" si="2"/>
        <v>0</v>
      </c>
      <c r="I45" s="47">
        <f t="shared" si="3"/>
        <v>0.33300000000000002</v>
      </c>
      <c r="J45" s="46">
        <f t="shared" si="4"/>
        <v>1760</v>
      </c>
      <c r="K45" s="46">
        <f t="shared" si="5"/>
        <v>585</v>
      </c>
      <c r="L45" s="48">
        <f t="shared" si="6"/>
        <v>0.33238636363636365</v>
      </c>
    </row>
    <row r="46" spans="1:12">
      <c r="A46" s="43" t="s">
        <v>201</v>
      </c>
      <c r="B46" s="44">
        <v>1000</v>
      </c>
      <c r="C46" s="45" t="s">
        <v>34</v>
      </c>
      <c r="D46" s="44">
        <f t="shared" si="8"/>
        <v>25</v>
      </c>
      <c r="E46" s="46">
        <f t="shared" si="0"/>
        <v>0</v>
      </c>
      <c r="F46" s="46">
        <f t="shared" si="1"/>
        <v>25</v>
      </c>
      <c r="G46" s="46">
        <f t="shared" si="7"/>
        <v>0</v>
      </c>
      <c r="H46" s="47">
        <f t="shared" si="2"/>
        <v>0</v>
      </c>
      <c r="I46" s="47">
        <f t="shared" si="3"/>
        <v>0.33300000000000002</v>
      </c>
      <c r="J46" s="46">
        <f t="shared" si="4"/>
        <v>1540</v>
      </c>
      <c r="K46" s="46">
        <f t="shared" si="5"/>
        <v>515</v>
      </c>
      <c r="L46" s="48">
        <f t="shared" si="6"/>
        <v>0.33441558441558439</v>
      </c>
    </row>
    <row r="47" spans="1:12">
      <c r="A47" s="43" t="s">
        <v>208</v>
      </c>
      <c r="B47" s="44">
        <v>650</v>
      </c>
      <c r="C47" s="45" t="s">
        <v>34</v>
      </c>
      <c r="D47" s="44">
        <f t="shared" si="8"/>
        <v>25</v>
      </c>
      <c r="E47" s="46">
        <f t="shared" si="0"/>
        <v>0</v>
      </c>
      <c r="F47" s="46">
        <f t="shared" si="1"/>
        <v>25</v>
      </c>
      <c r="G47" s="46">
        <f t="shared" si="7"/>
        <v>0</v>
      </c>
      <c r="H47" s="47">
        <f t="shared" si="2"/>
        <v>0</v>
      </c>
      <c r="I47" s="47">
        <f t="shared" si="3"/>
        <v>0.33300000000000002</v>
      </c>
      <c r="J47" s="46">
        <f t="shared" si="4"/>
        <v>1010</v>
      </c>
      <c r="K47" s="46">
        <f t="shared" si="5"/>
        <v>335</v>
      </c>
      <c r="L47" s="48">
        <f t="shared" si="6"/>
        <v>0.3316831683168317</v>
      </c>
    </row>
    <row r="48" spans="1:12">
      <c r="A48" s="43" t="s">
        <v>213</v>
      </c>
      <c r="B48" s="44">
        <v>1300</v>
      </c>
      <c r="C48" s="45" t="s">
        <v>34</v>
      </c>
      <c r="D48" s="44">
        <f t="shared" si="8"/>
        <v>25</v>
      </c>
      <c r="E48" s="46">
        <f t="shared" si="0"/>
        <v>0</v>
      </c>
      <c r="F48" s="46">
        <f t="shared" si="1"/>
        <v>25</v>
      </c>
      <c r="G48" s="46">
        <f t="shared" si="7"/>
        <v>0</v>
      </c>
      <c r="H48" s="47">
        <f t="shared" si="2"/>
        <v>0</v>
      </c>
      <c r="I48" s="47">
        <f t="shared" si="3"/>
        <v>0.33300000000000002</v>
      </c>
      <c r="J48" s="46">
        <f t="shared" si="4"/>
        <v>1990</v>
      </c>
      <c r="K48" s="46">
        <f t="shared" si="5"/>
        <v>665</v>
      </c>
      <c r="L48" s="48">
        <f t="shared" si="6"/>
        <v>0.33417085427135679</v>
      </c>
    </row>
    <row r="49" spans="1:12">
      <c r="A49" s="43" t="s">
        <v>218</v>
      </c>
      <c r="B49" s="44"/>
      <c r="C49" s="45" t="s">
        <v>34</v>
      </c>
      <c r="D49" s="44">
        <f t="shared" si="8"/>
        <v>25</v>
      </c>
      <c r="E49" s="46">
        <f t="shared" si="0"/>
        <v>0</v>
      </c>
      <c r="F49" s="46">
        <f t="shared" si="1"/>
        <v>25</v>
      </c>
      <c r="G49" s="46">
        <f t="shared" si="7"/>
        <v>0</v>
      </c>
      <c r="H49" s="47">
        <f t="shared" si="2"/>
        <v>0</v>
      </c>
      <c r="I49" s="47">
        <f t="shared" si="3"/>
        <v>0.33300000000000002</v>
      </c>
      <c r="J49" s="46" t="str">
        <f t="shared" si="4"/>
        <v/>
      </c>
      <c r="K49" s="46" t="str">
        <f t="shared" si="5"/>
        <v/>
      </c>
      <c r="L49" s="48" t="str">
        <f t="shared" si="6"/>
        <v/>
      </c>
    </row>
    <row r="50" spans="1:12">
      <c r="A50" s="43" t="s">
        <v>224</v>
      </c>
      <c r="B50" s="44">
        <v>1100</v>
      </c>
      <c r="C50" s="45" t="s">
        <v>34</v>
      </c>
      <c r="D50" s="44">
        <f t="shared" si="8"/>
        <v>25</v>
      </c>
      <c r="E50" s="46">
        <f t="shared" si="0"/>
        <v>0</v>
      </c>
      <c r="F50" s="46">
        <f t="shared" si="1"/>
        <v>25</v>
      </c>
      <c r="G50" s="46">
        <f t="shared" si="7"/>
        <v>0</v>
      </c>
      <c r="H50" s="47">
        <f t="shared" si="2"/>
        <v>0</v>
      </c>
      <c r="I50" s="47">
        <f t="shared" si="3"/>
        <v>0.33300000000000002</v>
      </c>
      <c r="J50" s="46">
        <f t="shared" si="4"/>
        <v>1690</v>
      </c>
      <c r="K50" s="46">
        <f t="shared" si="5"/>
        <v>565</v>
      </c>
      <c r="L50" s="48">
        <f t="shared" si="6"/>
        <v>0.33431952662721892</v>
      </c>
    </row>
    <row r="51" spans="1:12">
      <c r="A51" s="43" t="s">
        <v>230</v>
      </c>
      <c r="B51" s="44">
        <v>1150</v>
      </c>
      <c r="C51" s="45" t="s">
        <v>34</v>
      </c>
      <c r="D51" s="44">
        <f t="shared" si="8"/>
        <v>25</v>
      </c>
      <c r="E51" s="46">
        <f t="shared" si="0"/>
        <v>0</v>
      </c>
      <c r="F51" s="46">
        <f t="shared" si="1"/>
        <v>25</v>
      </c>
      <c r="G51" s="46">
        <f t="shared" si="7"/>
        <v>0</v>
      </c>
      <c r="H51" s="47">
        <f t="shared" si="2"/>
        <v>0</v>
      </c>
      <c r="I51" s="47">
        <f t="shared" si="3"/>
        <v>0.33300000000000002</v>
      </c>
      <c r="J51" s="46">
        <f t="shared" si="4"/>
        <v>1760</v>
      </c>
      <c r="K51" s="46">
        <f t="shared" si="5"/>
        <v>585</v>
      </c>
      <c r="L51" s="48">
        <f t="shared" si="6"/>
        <v>0.33238636363636365</v>
      </c>
    </row>
    <row r="52" spans="1:12">
      <c r="A52" s="43" t="s">
        <v>234</v>
      </c>
      <c r="B52" s="44">
        <v>5100</v>
      </c>
      <c r="C52" s="45" t="s">
        <v>34</v>
      </c>
      <c r="D52" s="44">
        <f t="shared" si="8"/>
        <v>25</v>
      </c>
      <c r="E52" s="46">
        <f t="shared" si="0"/>
        <v>0</v>
      </c>
      <c r="F52" s="46">
        <f t="shared" si="1"/>
        <v>25</v>
      </c>
      <c r="G52" s="46">
        <f t="shared" si="7"/>
        <v>0</v>
      </c>
      <c r="H52" s="47">
        <f t="shared" si="2"/>
        <v>0</v>
      </c>
      <c r="I52" s="47">
        <f t="shared" si="3"/>
        <v>0.33300000000000002</v>
      </c>
      <c r="J52" s="46">
        <f t="shared" si="4"/>
        <v>7680</v>
      </c>
      <c r="K52" s="46">
        <f t="shared" si="5"/>
        <v>2555</v>
      </c>
      <c r="L52" s="48">
        <f t="shared" si="6"/>
        <v>0.33268229166666669</v>
      </c>
    </row>
    <row r="53" spans="1:12">
      <c r="A53" s="43" t="s">
        <v>242</v>
      </c>
      <c r="B53" s="44">
        <v>7200</v>
      </c>
      <c r="C53" s="45" t="s">
        <v>34</v>
      </c>
      <c r="D53" s="44">
        <f t="shared" si="8"/>
        <v>25</v>
      </c>
      <c r="E53" s="46">
        <f t="shared" si="0"/>
        <v>0</v>
      </c>
      <c r="F53" s="46">
        <f t="shared" si="1"/>
        <v>25</v>
      </c>
      <c r="G53" s="46">
        <f t="shared" si="7"/>
        <v>0</v>
      </c>
      <c r="H53" s="47">
        <f t="shared" si="2"/>
        <v>0</v>
      </c>
      <c r="I53" s="47">
        <f t="shared" si="3"/>
        <v>0.33300000000000002</v>
      </c>
      <c r="J53" s="46">
        <f t="shared" si="4"/>
        <v>10830</v>
      </c>
      <c r="K53" s="46">
        <f t="shared" si="5"/>
        <v>3605</v>
      </c>
      <c r="L53" s="48">
        <f t="shared" si="6"/>
        <v>0.33287165281625114</v>
      </c>
    </row>
    <row r="54" spans="1:12">
      <c r="A54" s="43" t="s">
        <v>248</v>
      </c>
      <c r="B54" s="44">
        <v>8900</v>
      </c>
      <c r="C54" s="45" t="s">
        <v>34</v>
      </c>
      <c r="D54" s="44">
        <f t="shared" si="8"/>
        <v>25</v>
      </c>
      <c r="E54" s="46">
        <f t="shared" si="0"/>
        <v>0</v>
      </c>
      <c r="F54" s="46">
        <f t="shared" si="1"/>
        <v>25</v>
      </c>
      <c r="G54" s="46">
        <f t="shared" si="7"/>
        <v>0</v>
      </c>
      <c r="H54" s="47">
        <f t="shared" si="2"/>
        <v>0</v>
      </c>
      <c r="I54" s="47">
        <f t="shared" si="3"/>
        <v>0.33300000000000002</v>
      </c>
      <c r="J54" s="46">
        <f t="shared" si="4"/>
        <v>13380</v>
      </c>
      <c r="K54" s="46">
        <f t="shared" si="5"/>
        <v>4455</v>
      </c>
      <c r="L54" s="48">
        <f t="shared" si="6"/>
        <v>0.3329596412556054</v>
      </c>
    </row>
    <row r="55" spans="1:12">
      <c r="A55" s="43" t="s">
        <v>254</v>
      </c>
      <c r="B55" s="44">
        <v>11500</v>
      </c>
      <c r="C55" s="45" t="s">
        <v>34</v>
      </c>
      <c r="D55" s="44">
        <f t="shared" si="8"/>
        <v>25</v>
      </c>
      <c r="E55" s="46">
        <f t="shared" si="0"/>
        <v>0</v>
      </c>
      <c r="F55" s="46">
        <f t="shared" si="1"/>
        <v>25</v>
      </c>
      <c r="G55" s="46">
        <f t="shared" si="7"/>
        <v>0</v>
      </c>
      <c r="H55" s="47">
        <f t="shared" si="2"/>
        <v>0</v>
      </c>
      <c r="I55" s="47">
        <f t="shared" si="3"/>
        <v>0.33300000000000002</v>
      </c>
      <c r="J55" s="46">
        <f t="shared" si="4"/>
        <v>17280</v>
      </c>
      <c r="K55" s="46">
        <f t="shared" si="5"/>
        <v>5755</v>
      </c>
      <c r="L55" s="48">
        <f t="shared" si="6"/>
        <v>0.33304398148148145</v>
      </c>
    </row>
    <row r="56" spans="1:12">
      <c r="A56" s="43" t="s">
        <v>260</v>
      </c>
      <c r="B56" s="44">
        <v>6200</v>
      </c>
      <c r="C56" s="45" t="s">
        <v>34</v>
      </c>
      <c r="D56" s="44">
        <f t="shared" si="8"/>
        <v>25</v>
      </c>
      <c r="E56" s="46">
        <f t="shared" si="0"/>
        <v>0</v>
      </c>
      <c r="F56" s="46">
        <f t="shared" si="1"/>
        <v>25</v>
      </c>
      <c r="G56" s="46">
        <f t="shared" si="7"/>
        <v>0</v>
      </c>
      <c r="H56" s="47">
        <f t="shared" si="2"/>
        <v>0</v>
      </c>
      <c r="I56" s="47">
        <f t="shared" si="3"/>
        <v>0.33300000000000002</v>
      </c>
      <c r="J56" s="46">
        <f t="shared" si="4"/>
        <v>9330</v>
      </c>
      <c r="K56" s="46">
        <f t="shared" si="5"/>
        <v>3105</v>
      </c>
      <c r="L56" s="48">
        <f t="shared" si="6"/>
        <v>0.33279742765273312</v>
      </c>
    </row>
    <row r="57" spans="1:12">
      <c r="A57" s="43" t="s">
        <v>265</v>
      </c>
      <c r="B57" s="44">
        <v>7100</v>
      </c>
      <c r="C57" s="45" t="s">
        <v>34</v>
      </c>
      <c r="D57" s="44">
        <f t="shared" si="8"/>
        <v>25</v>
      </c>
      <c r="E57" s="46">
        <f t="shared" si="0"/>
        <v>0</v>
      </c>
      <c r="F57" s="46">
        <f t="shared" si="1"/>
        <v>25</v>
      </c>
      <c r="G57" s="46">
        <f t="shared" si="7"/>
        <v>0</v>
      </c>
      <c r="H57" s="47">
        <f t="shared" si="2"/>
        <v>0</v>
      </c>
      <c r="I57" s="47">
        <f t="shared" si="3"/>
        <v>0.33300000000000002</v>
      </c>
      <c r="J57" s="46">
        <f t="shared" si="4"/>
        <v>10680</v>
      </c>
      <c r="K57" s="46">
        <f t="shared" si="5"/>
        <v>3555</v>
      </c>
      <c r="L57" s="48">
        <f t="shared" si="6"/>
        <v>0.33286516853932585</v>
      </c>
    </row>
    <row r="58" spans="1:12">
      <c r="A58" s="43" t="s">
        <v>270</v>
      </c>
      <c r="B58" s="44">
        <v>5500</v>
      </c>
      <c r="C58" s="45" t="s">
        <v>34</v>
      </c>
      <c r="D58" s="44">
        <f t="shared" si="8"/>
        <v>25</v>
      </c>
      <c r="E58" s="46">
        <f t="shared" si="0"/>
        <v>0</v>
      </c>
      <c r="F58" s="46">
        <f t="shared" si="1"/>
        <v>25</v>
      </c>
      <c r="G58" s="46">
        <f t="shared" si="7"/>
        <v>0</v>
      </c>
      <c r="H58" s="47">
        <f t="shared" si="2"/>
        <v>0</v>
      </c>
      <c r="I58" s="47">
        <f t="shared" si="3"/>
        <v>0.33300000000000002</v>
      </c>
      <c r="J58" s="46">
        <f t="shared" si="4"/>
        <v>8280</v>
      </c>
      <c r="K58" s="46">
        <f t="shared" si="5"/>
        <v>2755</v>
      </c>
      <c r="L58" s="48">
        <f t="shared" si="6"/>
        <v>0.3327294685990338</v>
      </c>
    </row>
    <row r="59" spans="1:12">
      <c r="A59" s="43" t="s">
        <v>277</v>
      </c>
      <c r="B59" s="44">
        <v>7000</v>
      </c>
      <c r="C59" s="45" t="s">
        <v>34</v>
      </c>
      <c r="D59" s="44">
        <f t="shared" si="8"/>
        <v>25</v>
      </c>
      <c r="E59" s="46">
        <f t="shared" si="0"/>
        <v>0</v>
      </c>
      <c r="F59" s="46">
        <f t="shared" si="1"/>
        <v>25</v>
      </c>
      <c r="G59" s="46">
        <f t="shared" si="7"/>
        <v>0</v>
      </c>
      <c r="H59" s="47">
        <f t="shared" si="2"/>
        <v>0</v>
      </c>
      <c r="I59" s="47">
        <f t="shared" si="3"/>
        <v>0.33300000000000002</v>
      </c>
      <c r="J59" s="46">
        <f t="shared" si="4"/>
        <v>10530</v>
      </c>
      <c r="K59" s="46">
        <f t="shared" si="5"/>
        <v>3505</v>
      </c>
      <c r="L59" s="48">
        <f t="shared" si="6"/>
        <v>0.33285849952516622</v>
      </c>
    </row>
    <row r="60" spans="1:12">
      <c r="A60" s="43" t="s">
        <v>282</v>
      </c>
      <c r="B60" s="44">
        <v>8000</v>
      </c>
      <c r="C60" s="45" t="s">
        <v>34</v>
      </c>
      <c r="D60" s="44">
        <f t="shared" si="8"/>
        <v>25</v>
      </c>
      <c r="E60" s="46">
        <f t="shared" si="0"/>
        <v>0</v>
      </c>
      <c r="F60" s="46">
        <f t="shared" si="1"/>
        <v>25</v>
      </c>
      <c r="G60" s="46">
        <f t="shared" si="7"/>
        <v>0</v>
      </c>
      <c r="H60" s="47">
        <f t="shared" si="2"/>
        <v>0</v>
      </c>
      <c r="I60" s="47">
        <f t="shared" si="3"/>
        <v>0.33300000000000002</v>
      </c>
      <c r="J60" s="46">
        <f t="shared" si="4"/>
        <v>12030</v>
      </c>
      <c r="K60" s="46">
        <f t="shared" si="5"/>
        <v>4005</v>
      </c>
      <c r="L60" s="48">
        <f t="shared" si="6"/>
        <v>0.33291770573566087</v>
      </c>
    </row>
    <row r="61" spans="1:12">
      <c r="A61" s="43" t="s">
        <v>287</v>
      </c>
      <c r="B61" s="44">
        <v>9900</v>
      </c>
      <c r="C61" s="45" t="s">
        <v>34</v>
      </c>
      <c r="D61" s="44">
        <f t="shared" si="8"/>
        <v>25</v>
      </c>
      <c r="E61" s="46">
        <f t="shared" si="0"/>
        <v>0</v>
      </c>
      <c r="F61" s="46">
        <f t="shared" si="1"/>
        <v>25</v>
      </c>
      <c r="G61" s="46">
        <f t="shared" si="7"/>
        <v>0</v>
      </c>
      <c r="H61" s="47">
        <f t="shared" si="2"/>
        <v>0</v>
      </c>
      <c r="I61" s="47">
        <f t="shared" si="3"/>
        <v>0.33300000000000002</v>
      </c>
      <c r="J61" s="46">
        <f t="shared" si="4"/>
        <v>14880</v>
      </c>
      <c r="K61" s="46">
        <f t="shared" si="5"/>
        <v>4955</v>
      </c>
      <c r="L61" s="48">
        <f t="shared" si="6"/>
        <v>0.332997311827957</v>
      </c>
    </row>
    <row r="62" spans="1:12">
      <c r="A62" s="43" t="s">
        <v>292</v>
      </c>
      <c r="B62" s="44">
        <v>1800</v>
      </c>
      <c r="C62" s="45" t="s">
        <v>34</v>
      </c>
      <c r="D62" s="44">
        <f t="shared" si="8"/>
        <v>25</v>
      </c>
      <c r="E62" s="46">
        <f t="shared" si="0"/>
        <v>0</v>
      </c>
      <c r="F62" s="46">
        <f t="shared" si="1"/>
        <v>25</v>
      </c>
      <c r="G62" s="46">
        <f t="shared" si="7"/>
        <v>0</v>
      </c>
      <c r="H62" s="47">
        <f t="shared" si="2"/>
        <v>0</v>
      </c>
      <c r="I62" s="47">
        <f t="shared" si="3"/>
        <v>0.33300000000000002</v>
      </c>
      <c r="J62" s="46">
        <f t="shared" si="4"/>
        <v>2740</v>
      </c>
      <c r="K62" s="46">
        <f t="shared" si="5"/>
        <v>915</v>
      </c>
      <c r="L62" s="48">
        <f t="shared" si="6"/>
        <v>0.33394160583941607</v>
      </c>
    </row>
    <row r="63" spans="1:12">
      <c r="A63" s="43" t="s">
        <v>297</v>
      </c>
      <c r="B63" s="44">
        <v>2900</v>
      </c>
      <c r="C63" s="45" t="s">
        <v>34</v>
      </c>
      <c r="D63" s="44">
        <f t="shared" si="8"/>
        <v>25</v>
      </c>
      <c r="E63" s="46">
        <f t="shared" si="0"/>
        <v>0</v>
      </c>
      <c r="F63" s="46">
        <f t="shared" si="1"/>
        <v>25</v>
      </c>
      <c r="G63" s="46">
        <f t="shared" si="7"/>
        <v>0</v>
      </c>
      <c r="H63" s="47">
        <f t="shared" si="2"/>
        <v>0</v>
      </c>
      <c r="I63" s="47">
        <f t="shared" si="3"/>
        <v>0.33300000000000002</v>
      </c>
      <c r="J63" s="46">
        <f t="shared" si="4"/>
        <v>4390</v>
      </c>
      <c r="K63" s="46">
        <f t="shared" si="5"/>
        <v>1465</v>
      </c>
      <c r="L63" s="48">
        <f t="shared" si="6"/>
        <v>0.3337129840546697</v>
      </c>
    </row>
    <row r="64" spans="1:12">
      <c r="A64" s="43" t="s">
        <v>302</v>
      </c>
      <c r="B64" s="44">
        <v>6500</v>
      </c>
      <c r="C64" s="45" t="s">
        <v>34</v>
      </c>
      <c r="D64" s="44">
        <f t="shared" si="8"/>
        <v>25</v>
      </c>
      <c r="E64" s="46">
        <f t="shared" si="0"/>
        <v>0</v>
      </c>
      <c r="F64" s="46">
        <f t="shared" si="1"/>
        <v>25</v>
      </c>
      <c r="G64" s="46">
        <f t="shared" si="7"/>
        <v>0</v>
      </c>
      <c r="H64" s="47">
        <f t="shared" si="2"/>
        <v>0</v>
      </c>
      <c r="I64" s="47">
        <f t="shared" si="3"/>
        <v>0.33300000000000002</v>
      </c>
      <c r="J64" s="46">
        <f t="shared" si="4"/>
        <v>9780</v>
      </c>
      <c r="K64" s="46">
        <f t="shared" si="5"/>
        <v>3255</v>
      </c>
      <c r="L64" s="48">
        <f t="shared" si="6"/>
        <v>0.33282208588957057</v>
      </c>
    </row>
    <row r="65" spans="1:12">
      <c r="A65" s="43" t="s">
        <v>307</v>
      </c>
      <c r="B65" s="44">
        <v>2000</v>
      </c>
      <c r="C65" s="45" t="s">
        <v>34</v>
      </c>
      <c r="D65" s="44">
        <f t="shared" si="8"/>
        <v>25</v>
      </c>
      <c r="E65" s="46">
        <f t="shared" si="0"/>
        <v>0</v>
      </c>
      <c r="F65" s="46">
        <f t="shared" si="1"/>
        <v>25</v>
      </c>
      <c r="G65" s="46">
        <f t="shared" si="7"/>
        <v>0</v>
      </c>
      <c r="H65" s="47">
        <f t="shared" si="2"/>
        <v>0</v>
      </c>
      <c r="I65" s="47">
        <f t="shared" si="3"/>
        <v>0.33300000000000002</v>
      </c>
      <c r="J65" s="46">
        <f t="shared" si="4"/>
        <v>3040</v>
      </c>
      <c r="K65" s="46">
        <f t="shared" si="5"/>
        <v>1015</v>
      </c>
      <c r="L65" s="48">
        <f t="shared" si="6"/>
        <v>0.33388157894736842</v>
      </c>
    </row>
    <row r="66" spans="1:12">
      <c r="A66" s="43" t="s">
        <v>312</v>
      </c>
      <c r="B66" s="44">
        <v>2600</v>
      </c>
      <c r="C66" s="45" t="s">
        <v>34</v>
      </c>
      <c r="D66" s="44">
        <f t="shared" si="8"/>
        <v>25</v>
      </c>
      <c r="E66" s="46">
        <f t="shared" si="0"/>
        <v>0</v>
      </c>
      <c r="F66" s="46">
        <f t="shared" si="1"/>
        <v>25</v>
      </c>
      <c r="G66" s="46">
        <f t="shared" si="7"/>
        <v>0</v>
      </c>
      <c r="H66" s="47">
        <f t="shared" si="2"/>
        <v>0</v>
      </c>
      <c r="I66" s="47">
        <f t="shared" si="3"/>
        <v>0.33300000000000002</v>
      </c>
      <c r="J66" s="46">
        <f t="shared" si="4"/>
        <v>3940</v>
      </c>
      <c r="K66" s="46">
        <f t="shared" si="5"/>
        <v>1315</v>
      </c>
      <c r="L66" s="48">
        <f t="shared" si="6"/>
        <v>0.33375634517766495</v>
      </c>
    </row>
    <row r="67" spans="1:12">
      <c r="A67" s="43" t="s">
        <v>317</v>
      </c>
      <c r="B67" s="44">
        <v>2000</v>
      </c>
      <c r="C67" s="45" t="s">
        <v>34</v>
      </c>
      <c r="D67" s="44">
        <f t="shared" si="8"/>
        <v>25</v>
      </c>
      <c r="E67" s="46">
        <f t="shared" si="0"/>
        <v>0</v>
      </c>
      <c r="F67" s="46">
        <f t="shared" si="1"/>
        <v>25</v>
      </c>
      <c r="G67" s="46">
        <f t="shared" si="7"/>
        <v>0</v>
      </c>
      <c r="H67" s="47">
        <f t="shared" si="2"/>
        <v>0</v>
      </c>
      <c r="I67" s="47">
        <f t="shared" si="3"/>
        <v>0.33300000000000002</v>
      </c>
      <c r="J67" s="46">
        <f t="shared" si="4"/>
        <v>3040</v>
      </c>
      <c r="K67" s="46">
        <f t="shared" si="5"/>
        <v>1015</v>
      </c>
      <c r="L67" s="48">
        <f t="shared" si="6"/>
        <v>0.33388157894736842</v>
      </c>
    </row>
    <row r="68" spans="1:12">
      <c r="A68" s="43" t="s">
        <v>322</v>
      </c>
      <c r="B68" s="44">
        <v>9100</v>
      </c>
      <c r="C68" s="45" t="s">
        <v>34</v>
      </c>
      <c r="D68" s="44">
        <f t="shared" si="8"/>
        <v>25</v>
      </c>
      <c r="E68" s="46">
        <f t="shared" si="0"/>
        <v>0</v>
      </c>
      <c r="F68" s="46">
        <f t="shared" si="1"/>
        <v>25</v>
      </c>
      <c r="G68" s="46">
        <f t="shared" si="7"/>
        <v>0</v>
      </c>
      <c r="H68" s="47">
        <f t="shared" si="2"/>
        <v>0</v>
      </c>
      <c r="I68" s="47">
        <f t="shared" si="3"/>
        <v>0.33300000000000002</v>
      </c>
      <c r="J68" s="46">
        <f t="shared" si="4"/>
        <v>13680</v>
      </c>
      <c r="K68" s="46">
        <f t="shared" si="5"/>
        <v>4555</v>
      </c>
      <c r="L68" s="48">
        <f t="shared" si="6"/>
        <v>0.33296783625730997</v>
      </c>
    </row>
    <row r="69" spans="1:12">
      <c r="A69" s="43" t="s">
        <v>327</v>
      </c>
      <c r="B69" s="44">
        <v>3000</v>
      </c>
      <c r="C69" s="45" t="s">
        <v>34</v>
      </c>
      <c r="D69" s="44">
        <f t="shared" si="8"/>
        <v>25</v>
      </c>
      <c r="E69" s="46">
        <f t="shared" si="0"/>
        <v>0</v>
      </c>
      <c r="F69" s="46">
        <f t="shared" si="1"/>
        <v>25</v>
      </c>
      <c r="G69" s="46">
        <f t="shared" si="7"/>
        <v>0</v>
      </c>
      <c r="H69" s="47">
        <f t="shared" si="2"/>
        <v>0</v>
      </c>
      <c r="I69" s="47">
        <f t="shared" si="3"/>
        <v>0.33300000000000002</v>
      </c>
      <c r="J69" s="46">
        <f t="shared" si="4"/>
        <v>4540</v>
      </c>
      <c r="K69" s="46">
        <f t="shared" si="5"/>
        <v>1515</v>
      </c>
      <c r="L69" s="48">
        <f t="shared" si="6"/>
        <v>0.33370044052863435</v>
      </c>
    </row>
    <row r="70" spans="1:12">
      <c r="A70" s="43" t="s">
        <v>332</v>
      </c>
      <c r="B70" s="44">
        <v>3000</v>
      </c>
      <c r="C70" s="45" t="s">
        <v>34</v>
      </c>
      <c r="D70" s="44">
        <f t="shared" si="8"/>
        <v>25</v>
      </c>
      <c r="E70" s="46">
        <f t="shared" si="0"/>
        <v>0</v>
      </c>
      <c r="F70" s="46">
        <f t="shared" si="1"/>
        <v>25</v>
      </c>
      <c r="G70" s="46">
        <f t="shared" si="7"/>
        <v>0</v>
      </c>
      <c r="H70" s="47">
        <f t="shared" si="2"/>
        <v>0</v>
      </c>
      <c r="I70" s="47">
        <f t="shared" si="3"/>
        <v>0.33300000000000002</v>
      </c>
      <c r="J70" s="46">
        <f t="shared" si="4"/>
        <v>4540</v>
      </c>
      <c r="K70" s="46">
        <f t="shared" si="5"/>
        <v>1515</v>
      </c>
      <c r="L70" s="48">
        <f t="shared" si="6"/>
        <v>0.33370044052863435</v>
      </c>
    </row>
    <row r="71" spans="1:12">
      <c r="A71" s="43" t="s">
        <v>338</v>
      </c>
      <c r="B71" s="44">
        <v>4200</v>
      </c>
      <c r="C71" s="45" t="s">
        <v>34</v>
      </c>
      <c r="D71" s="44">
        <f t="shared" si="8"/>
        <v>25</v>
      </c>
      <c r="E71" s="46">
        <f t="shared" si="0"/>
        <v>0</v>
      </c>
      <c r="F71" s="46">
        <f t="shared" si="1"/>
        <v>25</v>
      </c>
      <c r="G71" s="46">
        <f t="shared" si="7"/>
        <v>0</v>
      </c>
      <c r="H71" s="47">
        <f t="shared" si="2"/>
        <v>0</v>
      </c>
      <c r="I71" s="47">
        <f t="shared" si="3"/>
        <v>0.33300000000000002</v>
      </c>
      <c r="J71" s="46">
        <f t="shared" si="4"/>
        <v>6330</v>
      </c>
      <c r="K71" s="46">
        <f t="shared" si="5"/>
        <v>2105</v>
      </c>
      <c r="L71" s="48">
        <f t="shared" si="6"/>
        <v>0.33254344391785151</v>
      </c>
    </row>
    <row r="72" spans="1:12">
      <c r="A72" s="43" t="s">
        <v>343</v>
      </c>
      <c r="B72" s="44">
        <v>3100</v>
      </c>
      <c r="C72" s="45" t="s">
        <v>34</v>
      </c>
      <c r="D72" s="44">
        <f t="shared" si="8"/>
        <v>25</v>
      </c>
      <c r="E72" s="46">
        <f t="shared" si="0"/>
        <v>0</v>
      </c>
      <c r="F72" s="46">
        <f t="shared" si="1"/>
        <v>25</v>
      </c>
      <c r="G72" s="46">
        <f t="shared" si="7"/>
        <v>0</v>
      </c>
      <c r="H72" s="47">
        <f t="shared" si="2"/>
        <v>0</v>
      </c>
      <c r="I72" s="47">
        <f t="shared" si="3"/>
        <v>0.33300000000000002</v>
      </c>
      <c r="J72" s="46">
        <f t="shared" si="4"/>
        <v>4690</v>
      </c>
      <c r="K72" s="46">
        <f t="shared" si="5"/>
        <v>1565</v>
      </c>
      <c r="L72" s="48">
        <f t="shared" si="6"/>
        <v>0.33368869936034118</v>
      </c>
    </row>
    <row r="73" spans="1:12">
      <c r="A73" s="43" t="s">
        <v>348</v>
      </c>
      <c r="B73" s="44">
        <v>4000</v>
      </c>
      <c r="C73" s="45" t="s">
        <v>34</v>
      </c>
      <c r="D73" s="44">
        <f t="shared" si="8"/>
        <v>25</v>
      </c>
      <c r="E73" s="46">
        <f t="shared" si="0"/>
        <v>0</v>
      </c>
      <c r="F73" s="46">
        <f t="shared" si="1"/>
        <v>25</v>
      </c>
      <c r="G73" s="46">
        <f t="shared" si="7"/>
        <v>0</v>
      </c>
      <c r="H73" s="47">
        <f t="shared" si="2"/>
        <v>0</v>
      </c>
      <c r="I73" s="47">
        <f t="shared" si="3"/>
        <v>0.33300000000000002</v>
      </c>
      <c r="J73" s="46">
        <f t="shared" si="4"/>
        <v>6030</v>
      </c>
      <c r="K73" s="46">
        <f t="shared" si="5"/>
        <v>2005</v>
      </c>
      <c r="L73" s="48">
        <f t="shared" si="6"/>
        <v>0.33250414593698174</v>
      </c>
    </row>
    <row r="74" spans="1:12">
      <c r="A74" s="43" t="s">
        <v>353</v>
      </c>
      <c r="B74" s="44">
        <v>2000</v>
      </c>
      <c r="C74" s="45" t="s">
        <v>34</v>
      </c>
      <c r="D74" s="44">
        <f t="shared" si="8"/>
        <v>25</v>
      </c>
      <c r="E74" s="46">
        <f t="shared" si="0"/>
        <v>0</v>
      </c>
      <c r="F74" s="46">
        <f t="shared" si="1"/>
        <v>25</v>
      </c>
      <c r="G74" s="46">
        <f t="shared" si="7"/>
        <v>0</v>
      </c>
      <c r="H74" s="47">
        <f t="shared" si="2"/>
        <v>0</v>
      </c>
      <c r="I74" s="47">
        <f t="shared" si="3"/>
        <v>0.33300000000000002</v>
      </c>
      <c r="J74" s="46">
        <f t="shared" si="4"/>
        <v>3040</v>
      </c>
      <c r="K74" s="46">
        <f t="shared" si="5"/>
        <v>1015</v>
      </c>
      <c r="L74" s="48">
        <f t="shared" si="6"/>
        <v>0.33388157894736842</v>
      </c>
    </row>
    <row r="75" spans="1:12">
      <c r="A75" s="43" t="s">
        <v>358</v>
      </c>
      <c r="B75" s="44">
        <v>7500</v>
      </c>
      <c r="C75" s="45" t="s">
        <v>34</v>
      </c>
      <c r="D75" s="44">
        <f t="shared" si="8"/>
        <v>25</v>
      </c>
      <c r="E75" s="46">
        <f t="shared" si="0"/>
        <v>0</v>
      </c>
      <c r="F75" s="46">
        <f t="shared" si="1"/>
        <v>25</v>
      </c>
      <c r="G75" s="46">
        <f t="shared" si="7"/>
        <v>0</v>
      </c>
      <c r="H75" s="47">
        <f t="shared" si="2"/>
        <v>0</v>
      </c>
      <c r="I75" s="47">
        <f t="shared" si="3"/>
        <v>0.33300000000000002</v>
      </c>
      <c r="J75" s="46">
        <f t="shared" si="4"/>
        <v>11280</v>
      </c>
      <c r="K75" s="46">
        <f t="shared" si="5"/>
        <v>3755</v>
      </c>
      <c r="L75" s="48">
        <f t="shared" si="6"/>
        <v>0.3328900709219858</v>
      </c>
    </row>
    <row r="76" spans="1:12">
      <c r="A76" s="43" t="s">
        <v>363</v>
      </c>
      <c r="B76" s="44">
        <v>5700</v>
      </c>
      <c r="C76" s="45" t="s">
        <v>34</v>
      </c>
      <c r="D76" s="44">
        <f t="shared" si="8"/>
        <v>25</v>
      </c>
      <c r="E76" s="46">
        <f t="shared" si="0"/>
        <v>0</v>
      </c>
      <c r="F76" s="46">
        <f t="shared" si="1"/>
        <v>25</v>
      </c>
      <c r="G76" s="46">
        <f t="shared" si="7"/>
        <v>0</v>
      </c>
      <c r="H76" s="47">
        <f t="shared" si="2"/>
        <v>0</v>
      </c>
      <c r="I76" s="47">
        <f t="shared" si="3"/>
        <v>0.33300000000000002</v>
      </c>
      <c r="J76" s="46">
        <f t="shared" si="4"/>
        <v>8580</v>
      </c>
      <c r="K76" s="46">
        <f t="shared" si="5"/>
        <v>2855</v>
      </c>
      <c r="L76" s="48">
        <f t="shared" si="6"/>
        <v>0.33275058275058272</v>
      </c>
    </row>
    <row r="77" spans="1:12">
      <c r="A77" s="43" t="s">
        <v>368</v>
      </c>
      <c r="B77" s="44">
        <v>5000</v>
      </c>
      <c r="C77" s="45" t="s">
        <v>34</v>
      </c>
      <c r="D77" s="44">
        <f t="shared" si="8"/>
        <v>25</v>
      </c>
      <c r="E77" s="46">
        <f t="shared" si="0"/>
        <v>0</v>
      </c>
      <c r="F77" s="46">
        <f t="shared" si="1"/>
        <v>25</v>
      </c>
      <c r="G77" s="46">
        <f t="shared" si="7"/>
        <v>0</v>
      </c>
      <c r="H77" s="47">
        <f t="shared" si="2"/>
        <v>0</v>
      </c>
      <c r="I77" s="47">
        <f t="shared" si="3"/>
        <v>0.33300000000000002</v>
      </c>
      <c r="J77" s="46">
        <f t="shared" si="4"/>
        <v>7530</v>
      </c>
      <c r="K77" s="46">
        <f t="shared" si="5"/>
        <v>2505</v>
      </c>
      <c r="L77" s="48">
        <f t="shared" si="6"/>
        <v>0.33266932270916333</v>
      </c>
    </row>
    <row r="78" spans="1:12">
      <c r="A78" s="43" t="s">
        <v>373</v>
      </c>
      <c r="B78" s="44">
        <v>1600</v>
      </c>
      <c r="C78" s="45" t="s">
        <v>34</v>
      </c>
      <c r="D78" s="44">
        <f t="shared" si="8"/>
        <v>25</v>
      </c>
      <c r="E78" s="46">
        <f t="shared" si="0"/>
        <v>0</v>
      </c>
      <c r="F78" s="46">
        <f t="shared" si="1"/>
        <v>25</v>
      </c>
      <c r="G78" s="46">
        <f t="shared" si="7"/>
        <v>0</v>
      </c>
      <c r="H78" s="47">
        <f t="shared" si="2"/>
        <v>0</v>
      </c>
      <c r="I78" s="47">
        <f t="shared" si="3"/>
        <v>0.33300000000000002</v>
      </c>
      <c r="J78" s="46">
        <f t="shared" si="4"/>
        <v>2440</v>
      </c>
      <c r="K78" s="46">
        <f t="shared" si="5"/>
        <v>815</v>
      </c>
      <c r="L78" s="48">
        <f t="shared" si="6"/>
        <v>0.33401639344262296</v>
      </c>
    </row>
    <row r="79" spans="1:12">
      <c r="A79" s="43" t="s">
        <v>378</v>
      </c>
      <c r="B79" s="44">
        <v>4400</v>
      </c>
      <c r="C79" s="45" t="s">
        <v>34</v>
      </c>
      <c r="D79" s="44">
        <f t="shared" ref="D79:D140" si="9">IF(A79="","",$B$7/$B$6)</f>
        <v>25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</v>
      </c>
      <c r="G79" s="46">
        <f t="shared" ref="G79:G142" si="12">IF(A79="","",($B$8-$B$9)/$B$6)</f>
        <v>0</v>
      </c>
      <c r="H79" s="47">
        <f t="shared" ref="H79:H142" si="13">IF(A79="","",$B$10)</f>
        <v>0</v>
      </c>
      <c r="I79" s="47">
        <f t="shared" ref="I79:I142" si="14">IF(A79="","",$B$5)</f>
        <v>0.33300000000000002</v>
      </c>
      <c r="J79" s="46">
        <f t="shared" ref="J79:J142" si="15">IF(OR(A79="",B79=""),"",ROUND((B79+E79+F79+G79)/(1-H79-I79),-1))</f>
        <v>6630</v>
      </c>
      <c r="K79" s="46">
        <f t="shared" ref="K79:K142" si="16">IF(J79="","",J79-B79-E79-F79-G79-(J79*H79))</f>
        <v>2205</v>
      </c>
      <c r="L79" s="48">
        <f t="shared" ref="L79:L142" si="17">IF(J79="","",K79/J79)</f>
        <v>0.33257918552036198</v>
      </c>
    </row>
    <row r="80" spans="1:12">
      <c r="A80" s="43" t="s">
        <v>383</v>
      </c>
      <c r="B80" s="44">
        <v>4300</v>
      </c>
      <c r="C80" s="45" t="s">
        <v>34</v>
      </c>
      <c r="D80" s="44">
        <f t="shared" si="9"/>
        <v>25</v>
      </c>
      <c r="E80" s="46">
        <f t="shared" si="10"/>
        <v>0</v>
      </c>
      <c r="F80" s="46">
        <f t="shared" si="11"/>
        <v>25</v>
      </c>
      <c r="G80" s="46">
        <f t="shared" si="12"/>
        <v>0</v>
      </c>
      <c r="H80" s="47">
        <f t="shared" si="13"/>
        <v>0</v>
      </c>
      <c r="I80" s="47">
        <f t="shared" si="14"/>
        <v>0.33300000000000002</v>
      </c>
      <c r="J80" s="46">
        <f t="shared" si="15"/>
        <v>6480</v>
      </c>
      <c r="K80" s="46">
        <f t="shared" si="16"/>
        <v>2155</v>
      </c>
      <c r="L80" s="48">
        <f t="shared" si="17"/>
        <v>0.33256172839506171</v>
      </c>
    </row>
    <row r="81" spans="1:12">
      <c r="A81" s="43" t="s">
        <v>388</v>
      </c>
      <c r="B81" s="44">
        <v>2200</v>
      </c>
      <c r="C81" s="45" t="s">
        <v>34</v>
      </c>
      <c r="D81" s="44">
        <f t="shared" si="9"/>
        <v>25</v>
      </c>
      <c r="E81" s="46">
        <f t="shared" si="10"/>
        <v>0</v>
      </c>
      <c r="F81" s="46">
        <f t="shared" si="11"/>
        <v>25</v>
      </c>
      <c r="G81" s="46">
        <f t="shared" si="12"/>
        <v>0</v>
      </c>
      <c r="H81" s="47">
        <f t="shared" si="13"/>
        <v>0</v>
      </c>
      <c r="I81" s="47">
        <f t="shared" si="14"/>
        <v>0.33300000000000002</v>
      </c>
      <c r="J81" s="46">
        <f t="shared" si="15"/>
        <v>3340</v>
      </c>
      <c r="K81" s="46">
        <f t="shared" si="16"/>
        <v>1115</v>
      </c>
      <c r="L81" s="48">
        <f t="shared" si="17"/>
        <v>0.33383233532934131</v>
      </c>
    </row>
    <row r="82" spans="1:12">
      <c r="A82" s="43" t="s">
        <v>393</v>
      </c>
      <c r="B82" s="44">
        <v>1900</v>
      </c>
      <c r="C82" s="45" t="s">
        <v>34</v>
      </c>
      <c r="D82" s="44">
        <f t="shared" si="9"/>
        <v>25</v>
      </c>
      <c r="E82" s="46">
        <f t="shared" si="10"/>
        <v>0</v>
      </c>
      <c r="F82" s="46">
        <f t="shared" si="11"/>
        <v>25</v>
      </c>
      <c r="G82" s="46">
        <f t="shared" si="12"/>
        <v>0</v>
      </c>
      <c r="H82" s="47">
        <f t="shared" si="13"/>
        <v>0</v>
      </c>
      <c r="I82" s="47">
        <f t="shared" si="14"/>
        <v>0.33300000000000002</v>
      </c>
      <c r="J82" s="46">
        <f t="shared" si="15"/>
        <v>2890</v>
      </c>
      <c r="K82" s="46">
        <f t="shared" si="16"/>
        <v>965</v>
      </c>
      <c r="L82" s="48">
        <f t="shared" si="17"/>
        <v>0.33391003460207613</v>
      </c>
    </row>
    <row r="83" spans="1:12">
      <c r="A83" s="43" t="s">
        <v>398</v>
      </c>
      <c r="B83" s="44">
        <v>4500</v>
      </c>
      <c r="C83" s="45" t="s">
        <v>34</v>
      </c>
      <c r="D83" s="44">
        <f t="shared" si="9"/>
        <v>25</v>
      </c>
      <c r="E83" s="46">
        <f t="shared" si="10"/>
        <v>0</v>
      </c>
      <c r="F83" s="46">
        <f t="shared" si="11"/>
        <v>25</v>
      </c>
      <c r="G83" s="46">
        <f t="shared" si="12"/>
        <v>0</v>
      </c>
      <c r="H83" s="47">
        <f t="shared" si="13"/>
        <v>0</v>
      </c>
      <c r="I83" s="47">
        <f t="shared" si="14"/>
        <v>0.33300000000000002</v>
      </c>
      <c r="J83" s="46">
        <f t="shared" si="15"/>
        <v>6780</v>
      </c>
      <c r="K83" s="46">
        <f t="shared" si="16"/>
        <v>2255</v>
      </c>
      <c r="L83" s="48">
        <f t="shared" si="17"/>
        <v>0.33259587020648967</v>
      </c>
    </row>
    <row r="84" spans="1:12">
      <c r="A84" s="43" t="s">
        <v>403</v>
      </c>
      <c r="B84" s="44">
        <v>2700</v>
      </c>
      <c r="C84" s="45" t="s">
        <v>34</v>
      </c>
      <c r="D84" s="44">
        <f t="shared" si="9"/>
        <v>25</v>
      </c>
      <c r="E84" s="46">
        <f t="shared" si="10"/>
        <v>0</v>
      </c>
      <c r="F84" s="46">
        <f t="shared" si="11"/>
        <v>25</v>
      </c>
      <c r="G84" s="46">
        <f t="shared" si="12"/>
        <v>0</v>
      </c>
      <c r="H84" s="47">
        <f t="shared" si="13"/>
        <v>0</v>
      </c>
      <c r="I84" s="47">
        <f t="shared" si="14"/>
        <v>0.33300000000000002</v>
      </c>
      <c r="J84" s="46">
        <f t="shared" si="15"/>
        <v>4090</v>
      </c>
      <c r="K84" s="46">
        <f t="shared" si="16"/>
        <v>1365</v>
      </c>
      <c r="L84" s="48">
        <f t="shared" si="17"/>
        <v>0.33374083129584353</v>
      </c>
    </row>
    <row r="85" spans="1:12">
      <c r="A85" s="43" t="s">
        <v>408</v>
      </c>
      <c r="B85" s="44">
        <v>2600</v>
      </c>
      <c r="C85" s="45" t="s">
        <v>34</v>
      </c>
      <c r="D85" s="44">
        <f t="shared" si="9"/>
        <v>25</v>
      </c>
      <c r="E85" s="46">
        <f t="shared" si="10"/>
        <v>0</v>
      </c>
      <c r="F85" s="46">
        <f t="shared" si="11"/>
        <v>25</v>
      </c>
      <c r="G85" s="46">
        <f t="shared" si="12"/>
        <v>0</v>
      </c>
      <c r="H85" s="47">
        <f t="shared" si="13"/>
        <v>0</v>
      </c>
      <c r="I85" s="47">
        <f t="shared" si="14"/>
        <v>0.33300000000000002</v>
      </c>
      <c r="J85" s="46">
        <f t="shared" si="15"/>
        <v>3940</v>
      </c>
      <c r="K85" s="46">
        <f t="shared" si="16"/>
        <v>1315</v>
      </c>
      <c r="L85" s="48">
        <f t="shared" si="17"/>
        <v>0.33375634517766495</v>
      </c>
    </row>
    <row r="86" spans="1:12">
      <c r="A86" s="43" t="s">
        <v>413</v>
      </c>
      <c r="B86" s="44">
        <v>3700</v>
      </c>
      <c r="C86" s="45" t="s">
        <v>34</v>
      </c>
      <c r="D86" s="44">
        <f t="shared" si="9"/>
        <v>25</v>
      </c>
      <c r="E86" s="46">
        <f t="shared" si="10"/>
        <v>0</v>
      </c>
      <c r="F86" s="46">
        <f t="shared" si="11"/>
        <v>25</v>
      </c>
      <c r="G86" s="46">
        <f t="shared" si="12"/>
        <v>0</v>
      </c>
      <c r="H86" s="47">
        <f t="shared" si="13"/>
        <v>0</v>
      </c>
      <c r="I86" s="47">
        <f t="shared" si="14"/>
        <v>0.33300000000000002</v>
      </c>
      <c r="J86" s="46">
        <f t="shared" si="15"/>
        <v>5580</v>
      </c>
      <c r="K86" s="46">
        <f t="shared" si="16"/>
        <v>1855</v>
      </c>
      <c r="L86" s="48">
        <f t="shared" si="17"/>
        <v>0.33243727598566308</v>
      </c>
    </row>
    <row r="87" spans="1:12">
      <c r="A87" s="43" t="s">
        <v>416</v>
      </c>
      <c r="B87" s="44">
        <v>4000</v>
      </c>
      <c r="C87" s="45" t="s">
        <v>34</v>
      </c>
      <c r="D87" s="44">
        <f t="shared" si="9"/>
        <v>25</v>
      </c>
      <c r="E87" s="46">
        <f t="shared" si="10"/>
        <v>0</v>
      </c>
      <c r="F87" s="46">
        <f t="shared" si="11"/>
        <v>25</v>
      </c>
      <c r="G87" s="46">
        <f t="shared" si="12"/>
        <v>0</v>
      </c>
      <c r="H87" s="47">
        <f t="shared" si="13"/>
        <v>0</v>
      </c>
      <c r="I87" s="47">
        <f t="shared" si="14"/>
        <v>0.33300000000000002</v>
      </c>
      <c r="J87" s="46">
        <f t="shared" si="15"/>
        <v>6030</v>
      </c>
      <c r="K87" s="46">
        <f t="shared" si="16"/>
        <v>2005</v>
      </c>
      <c r="L87" s="48">
        <f t="shared" si="17"/>
        <v>0.33250414593698174</v>
      </c>
    </row>
    <row r="88" spans="1:12">
      <c r="A88" s="43" t="s">
        <v>419</v>
      </c>
      <c r="B88" s="44">
        <v>4900</v>
      </c>
      <c r="C88" s="45" t="s">
        <v>34</v>
      </c>
      <c r="D88" s="44">
        <f t="shared" si="9"/>
        <v>25</v>
      </c>
      <c r="E88" s="46">
        <f t="shared" si="10"/>
        <v>0</v>
      </c>
      <c r="F88" s="46">
        <f t="shared" si="11"/>
        <v>25</v>
      </c>
      <c r="G88" s="46">
        <f t="shared" si="12"/>
        <v>0</v>
      </c>
      <c r="H88" s="47">
        <f t="shared" si="13"/>
        <v>0</v>
      </c>
      <c r="I88" s="47">
        <f t="shared" si="14"/>
        <v>0.33300000000000002</v>
      </c>
      <c r="J88" s="46">
        <f t="shared" si="15"/>
        <v>7380</v>
      </c>
      <c r="K88" s="46">
        <f t="shared" si="16"/>
        <v>2455</v>
      </c>
      <c r="L88" s="48">
        <f t="shared" si="17"/>
        <v>0.33265582655826559</v>
      </c>
    </row>
    <row r="89" spans="1:12">
      <c r="A89" s="43" t="s">
        <v>422</v>
      </c>
      <c r="B89" s="44">
        <v>2200</v>
      </c>
      <c r="C89" s="45" t="s">
        <v>34</v>
      </c>
      <c r="D89" s="44">
        <f t="shared" si="9"/>
        <v>25</v>
      </c>
      <c r="E89" s="46">
        <f t="shared" si="10"/>
        <v>0</v>
      </c>
      <c r="F89" s="46">
        <f t="shared" si="11"/>
        <v>25</v>
      </c>
      <c r="G89" s="46">
        <f t="shared" si="12"/>
        <v>0</v>
      </c>
      <c r="H89" s="47">
        <f t="shared" si="13"/>
        <v>0</v>
      </c>
      <c r="I89" s="47">
        <f t="shared" si="14"/>
        <v>0.33300000000000002</v>
      </c>
      <c r="J89" s="46">
        <f t="shared" si="15"/>
        <v>3340</v>
      </c>
      <c r="K89" s="46">
        <f t="shared" si="16"/>
        <v>1115</v>
      </c>
      <c r="L89" s="48">
        <f t="shared" si="17"/>
        <v>0.33383233532934131</v>
      </c>
    </row>
    <row r="90" spans="1:12">
      <c r="A90" s="43" t="s">
        <v>427</v>
      </c>
      <c r="B90" s="44">
        <v>1900</v>
      </c>
      <c r="C90" s="45" t="s">
        <v>34</v>
      </c>
      <c r="D90" s="44">
        <f t="shared" si="9"/>
        <v>25</v>
      </c>
      <c r="E90" s="46">
        <f t="shared" si="10"/>
        <v>0</v>
      </c>
      <c r="F90" s="46">
        <f t="shared" si="11"/>
        <v>25</v>
      </c>
      <c r="G90" s="46">
        <f t="shared" si="12"/>
        <v>0</v>
      </c>
      <c r="H90" s="47">
        <f t="shared" si="13"/>
        <v>0</v>
      </c>
      <c r="I90" s="47">
        <f t="shared" si="14"/>
        <v>0.33300000000000002</v>
      </c>
      <c r="J90" s="46">
        <f t="shared" si="15"/>
        <v>2890</v>
      </c>
      <c r="K90" s="46">
        <f t="shared" si="16"/>
        <v>965</v>
      </c>
      <c r="L90" s="48">
        <f t="shared" si="17"/>
        <v>0.33391003460207613</v>
      </c>
    </row>
    <row r="91" spans="1:12">
      <c r="A91" s="43" t="s">
        <v>434</v>
      </c>
      <c r="B91" s="44">
        <v>800</v>
      </c>
      <c r="C91" s="45" t="s">
        <v>34</v>
      </c>
      <c r="D91" s="44">
        <f t="shared" si="9"/>
        <v>25</v>
      </c>
      <c r="E91" s="46">
        <f t="shared" si="10"/>
        <v>0</v>
      </c>
      <c r="F91" s="46">
        <f t="shared" si="11"/>
        <v>25</v>
      </c>
      <c r="G91" s="46">
        <f t="shared" si="12"/>
        <v>0</v>
      </c>
      <c r="H91" s="47">
        <f t="shared" si="13"/>
        <v>0</v>
      </c>
      <c r="I91" s="47">
        <f t="shared" si="14"/>
        <v>0.33300000000000002</v>
      </c>
      <c r="J91" s="46">
        <f t="shared" si="15"/>
        <v>1240</v>
      </c>
      <c r="K91" s="46">
        <f t="shared" si="16"/>
        <v>415</v>
      </c>
      <c r="L91" s="48">
        <f t="shared" si="17"/>
        <v>0.33467741935483869</v>
      </c>
    </row>
    <row r="92" spans="1:12">
      <c r="A92" s="43" t="s">
        <v>440</v>
      </c>
      <c r="B92" s="44">
        <v>5000</v>
      </c>
      <c r="C92" s="45" t="s">
        <v>1351</v>
      </c>
      <c r="D92" s="44">
        <v>1000</v>
      </c>
      <c r="E92" s="46">
        <f t="shared" si="10"/>
        <v>1000</v>
      </c>
      <c r="F92" s="46">
        <f t="shared" si="11"/>
        <v>25</v>
      </c>
      <c r="G92" s="46">
        <f t="shared" si="12"/>
        <v>0</v>
      </c>
      <c r="H92" s="47">
        <f t="shared" si="13"/>
        <v>0</v>
      </c>
      <c r="I92" s="47">
        <f t="shared" si="14"/>
        <v>0.33300000000000002</v>
      </c>
      <c r="J92" s="46">
        <f t="shared" si="15"/>
        <v>9030</v>
      </c>
      <c r="K92" s="46">
        <f t="shared" si="16"/>
        <v>3005</v>
      </c>
      <c r="L92" s="48">
        <f t="shared" si="17"/>
        <v>0.33277962347729789</v>
      </c>
    </row>
    <row r="93" spans="1:12">
      <c r="A93" s="43" t="s">
        <v>446</v>
      </c>
      <c r="B93" s="44">
        <v>4100</v>
      </c>
      <c r="C93" s="45" t="s">
        <v>34</v>
      </c>
      <c r="D93" s="44">
        <f t="shared" si="9"/>
        <v>25</v>
      </c>
      <c r="E93" s="46">
        <f t="shared" si="10"/>
        <v>0</v>
      </c>
      <c r="F93" s="46">
        <f t="shared" si="11"/>
        <v>25</v>
      </c>
      <c r="G93" s="46">
        <f t="shared" si="12"/>
        <v>0</v>
      </c>
      <c r="H93" s="47">
        <f t="shared" si="13"/>
        <v>0</v>
      </c>
      <c r="I93" s="47">
        <f t="shared" si="14"/>
        <v>0.33300000000000002</v>
      </c>
      <c r="J93" s="46">
        <f t="shared" si="15"/>
        <v>6180</v>
      </c>
      <c r="K93" s="46">
        <f t="shared" si="16"/>
        <v>2055</v>
      </c>
      <c r="L93" s="48">
        <f t="shared" si="17"/>
        <v>0.33252427184466021</v>
      </c>
    </row>
    <row r="94" spans="1:12">
      <c r="A94" s="43" t="s">
        <v>455</v>
      </c>
      <c r="B94" s="44">
        <v>4100</v>
      </c>
      <c r="C94" s="45" t="s">
        <v>34</v>
      </c>
      <c r="D94" s="44">
        <f t="shared" si="9"/>
        <v>25</v>
      </c>
      <c r="E94" s="46">
        <f t="shared" si="10"/>
        <v>0</v>
      </c>
      <c r="F94" s="46">
        <f t="shared" si="11"/>
        <v>25</v>
      </c>
      <c r="G94" s="46">
        <f t="shared" si="12"/>
        <v>0</v>
      </c>
      <c r="H94" s="47">
        <f t="shared" si="13"/>
        <v>0</v>
      </c>
      <c r="I94" s="47">
        <f t="shared" si="14"/>
        <v>0.33300000000000002</v>
      </c>
      <c r="J94" s="46">
        <f t="shared" si="15"/>
        <v>6180</v>
      </c>
      <c r="K94" s="46">
        <f t="shared" si="16"/>
        <v>2055</v>
      </c>
      <c r="L94" s="48">
        <f t="shared" si="17"/>
        <v>0.33252427184466021</v>
      </c>
    </row>
    <row r="95" spans="1:12">
      <c r="A95" s="43" t="s">
        <v>460</v>
      </c>
      <c r="B95" s="44">
        <v>4100</v>
      </c>
      <c r="C95" s="45" t="s">
        <v>34</v>
      </c>
      <c r="D95" s="44">
        <f t="shared" si="9"/>
        <v>25</v>
      </c>
      <c r="E95" s="46">
        <f t="shared" si="10"/>
        <v>0</v>
      </c>
      <c r="F95" s="46">
        <f t="shared" si="11"/>
        <v>25</v>
      </c>
      <c r="G95" s="46">
        <f t="shared" si="12"/>
        <v>0</v>
      </c>
      <c r="H95" s="47">
        <f t="shared" si="13"/>
        <v>0</v>
      </c>
      <c r="I95" s="47">
        <f t="shared" si="14"/>
        <v>0.33300000000000002</v>
      </c>
      <c r="J95" s="46">
        <f t="shared" si="15"/>
        <v>6180</v>
      </c>
      <c r="K95" s="46">
        <f t="shared" si="16"/>
        <v>2055</v>
      </c>
      <c r="L95" s="48">
        <f t="shared" si="17"/>
        <v>0.33252427184466021</v>
      </c>
    </row>
    <row r="96" spans="1:12">
      <c r="A96" s="43" t="s">
        <v>465</v>
      </c>
      <c r="B96" s="44">
        <v>4100</v>
      </c>
      <c r="C96" s="45" t="s">
        <v>34</v>
      </c>
      <c r="D96" s="44">
        <f t="shared" si="9"/>
        <v>25</v>
      </c>
      <c r="E96" s="46">
        <f t="shared" si="10"/>
        <v>0</v>
      </c>
      <c r="F96" s="46">
        <f t="shared" si="11"/>
        <v>25</v>
      </c>
      <c r="G96" s="46">
        <f t="shared" si="12"/>
        <v>0</v>
      </c>
      <c r="H96" s="47">
        <f t="shared" si="13"/>
        <v>0</v>
      </c>
      <c r="I96" s="47">
        <f t="shared" si="14"/>
        <v>0.33300000000000002</v>
      </c>
      <c r="J96" s="46">
        <f t="shared" si="15"/>
        <v>6180</v>
      </c>
      <c r="K96" s="46">
        <f t="shared" si="16"/>
        <v>2055</v>
      </c>
      <c r="L96" s="48">
        <f t="shared" si="17"/>
        <v>0.33252427184466021</v>
      </c>
    </row>
    <row r="97" spans="1:12">
      <c r="A97" s="43" t="s">
        <v>470</v>
      </c>
      <c r="B97" s="44">
        <v>4100</v>
      </c>
      <c r="C97" s="45" t="s">
        <v>34</v>
      </c>
      <c r="D97" s="44">
        <f t="shared" si="9"/>
        <v>25</v>
      </c>
      <c r="E97" s="46">
        <f t="shared" si="10"/>
        <v>0</v>
      </c>
      <c r="F97" s="46">
        <f t="shared" si="11"/>
        <v>25</v>
      </c>
      <c r="G97" s="46">
        <f t="shared" si="12"/>
        <v>0</v>
      </c>
      <c r="H97" s="47">
        <f t="shared" si="13"/>
        <v>0</v>
      </c>
      <c r="I97" s="47">
        <f t="shared" si="14"/>
        <v>0.33300000000000002</v>
      </c>
      <c r="J97" s="46">
        <f t="shared" si="15"/>
        <v>6180</v>
      </c>
      <c r="K97" s="46">
        <f t="shared" si="16"/>
        <v>2055</v>
      </c>
      <c r="L97" s="48">
        <f t="shared" si="17"/>
        <v>0.33252427184466021</v>
      </c>
    </row>
    <row r="98" spans="1:12">
      <c r="A98" s="43" t="s">
        <v>475</v>
      </c>
      <c r="B98" s="44">
        <v>4100</v>
      </c>
      <c r="C98" s="45" t="s">
        <v>34</v>
      </c>
      <c r="D98" s="44">
        <f t="shared" si="9"/>
        <v>25</v>
      </c>
      <c r="E98" s="46">
        <f t="shared" si="10"/>
        <v>0</v>
      </c>
      <c r="F98" s="46">
        <f t="shared" si="11"/>
        <v>25</v>
      </c>
      <c r="G98" s="46">
        <f t="shared" si="12"/>
        <v>0</v>
      </c>
      <c r="H98" s="47">
        <f t="shared" si="13"/>
        <v>0</v>
      </c>
      <c r="I98" s="47">
        <f t="shared" si="14"/>
        <v>0.33300000000000002</v>
      </c>
      <c r="J98" s="46">
        <f t="shared" si="15"/>
        <v>6180</v>
      </c>
      <c r="K98" s="46">
        <f t="shared" si="16"/>
        <v>2055</v>
      </c>
      <c r="L98" s="48">
        <f t="shared" si="17"/>
        <v>0.33252427184466021</v>
      </c>
    </row>
    <row r="99" spans="1:12">
      <c r="A99" s="43" t="s">
        <v>480</v>
      </c>
      <c r="B99" s="44">
        <v>4100</v>
      </c>
      <c r="C99" s="45" t="s">
        <v>34</v>
      </c>
      <c r="D99" s="44">
        <f t="shared" si="9"/>
        <v>25</v>
      </c>
      <c r="E99" s="46">
        <f t="shared" si="10"/>
        <v>0</v>
      </c>
      <c r="F99" s="46">
        <f t="shared" si="11"/>
        <v>25</v>
      </c>
      <c r="G99" s="46">
        <f t="shared" si="12"/>
        <v>0</v>
      </c>
      <c r="H99" s="47">
        <f t="shared" si="13"/>
        <v>0</v>
      </c>
      <c r="I99" s="47">
        <f t="shared" si="14"/>
        <v>0.33300000000000002</v>
      </c>
      <c r="J99" s="46">
        <f t="shared" si="15"/>
        <v>6180</v>
      </c>
      <c r="K99" s="46">
        <f t="shared" si="16"/>
        <v>2055</v>
      </c>
      <c r="L99" s="48">
        <f t="shared" si="17"/>
        <v>0.33252427184466021</v>
      </c>
    </row>
    <row r="100" spans="1:12">
      <c r="A100" s="43" t="s">
        <v>485</v>
      </c>
      <c r="B100" s="44">
        <v>4100</v>
      </c>
      <c r="C100" s="45" t="s">
        <v>34</v>
      </c>
      <c r="D100" s="44">
        <f t="shared" si="9"/>
        <v>25</v>
      </c>
      <c r="E100" s="46">
        <f t="shared" si="10"/>
        <v>0</v>
      </c>
      <c r="F100" s="46">
        <f t="shared" si="11"/>
        <v>25</v>
      </c>
      <c r="G100" s="46">
        <f t="shared" si="12"/>
        <v>0</v>
      </c>
      <c r="H100" s="47">
        <f t="shared" si="13"/>
        <v>0</v>
      </c>
      <c r="I100" s="47">
        <f t="shared" si="14"/>
        <v>0.33300000000000002</v>
      </c>
      <c r="J100" s="46">
        <f t="shared" si="15"/>
        <v>6180</v>
      </c>
      <c r="K100" s="46">
        <f t="shared" si="16"/>
        <v>2055</v>
      </c>
      <c r="L100" s="48">
        <f t="shared" si="17"/>
        <v>0.33252427184466021</v>
      </c>
    </row>
    <row r="101" spans="1:12">
      <c r="A101" s="43" t="s">
        <v>490</v>
      </c>
      <c r="B101" s="44">
        <v>4100</v>
      </c>
      <c r="C101" s="45" t="s">
        <v>34</v>
      </c>
      <c r="D101" s="44">
        <f t="shared" si="9"/>
        <v>25</v>
      </c>
      <c r="E101" s="46">
        <f t="shared" si="10"/>
        <v>0</v>
      </c>
      <c r="F101" s="46">
        <f t="shared" si="11"/>
        <v>25</v>
      </c>
      <c r="G101" s="46">
        <f t="shared" si="12"/>
        <v>0</v>
      </c>
      <c r="H101" s="47">
        <f t="shared" si="13"/>
        <v>0</v>
      </c>
      <c r="I101" s="47">
        <f t="shared" si="14"/>
        <v>0.33300000000000002</v>
      </c>
      <c r="J101" s="46">
        <f t="shared" si="15"/>
        <v>6180</v>
      </c>
      <c r="K101" s="46">
        <f t="shared" si="16"/>
        <v>2055</v>
      </c>
      <c r="L101" s="48">
        <f t="shared" si="17"/>
        <v>0.33252427184466021</v>
      </c>
    </row>
    <row r="102" spans="1:12">
      <c r="A102" s="43" t="s">
        <v>495</v>
      </c>
      <c r="B102" s="44">
        <v>3000</v>
      </c>
      <c r="C102" s="45" t="s">
        <v>1351</v>
      </c>
      <c r="D102" s="44">
        <v>1000</v>
      </c>
      <c r="E102" s="46">
        <f t="shared" si="10"/>
        <v>1000</v>
      </c>
      <c r="F102" s="46">
        <f t="shared" si="11"/>
        <v>25</v>
      </c>
      <c r="G102" s="46">
        <f t="shared" si="12"/>
        <v>0</v>
      </c>
      <c r="H102" s="47">
        <f t="shared" si="13"/>
        <v>0</v>
      </c>
      <c r="I102" s="47">
        <f t="shared" si="14"/>
        <v>0.33300000000000002</v>
      </c>
      <c r="J102" s="46">
        <f t="shared" si="15"/>
        <v>6030</v>
      </c>
      <c r="K102" s="46">
        <f t="shared" si="16"/>
        <v>2005</v>
      </c>
      <c r="L102" s="48">
        <f t="shared" si="17"/>
        <v>0.33250414593698174</v>
      </c>
    </row>
    <row r="103" spans="1:12">
      <c r="A103" s="43" t="s">
        <v>501</v>
      </c>
      <c r="B103" s="44">
        <v>4300</v>
      </c>
      <c r="C103" s="45" t="s">
        <v>34</v>
      </c>
      <c r="D103" s="44">
        <f t="shared" si="9"/>
        <v>25</v>
      </c>
      <c r="E103" s="46">
        <f t="shared" si="10"/>
        <v>0</v>
      </c>
      <c r="F103" s="46">
        <f t="shared" si="11"/>
        <v>25</v>
      </c>
      <c r="G103" s="46">
        <f t="shared" si="12"/>
        <v>0</v>
      </c>
      <c r="H103" s="47">
        <f t="shared" si="13"/>
        <v>0</v>
      </c>
      <c r="I103" s="47">
        <f t="shared" si="14"/>
        <v>0.33300000000000002</v>
      </c>
      <c r="J103" s="46">
        <f t="shared" si="15"/>
        <v>6480</v>
      </c>
      <c r="K103" s="46">
        <f t="shared" si="16"/>
        <v>2155</v>
      </c>
      <c r="L103" s="48">
        <f t="shared" si="17"/>
        <v>0.33256172839506171</v>
      </c>
    </row>
    <row r="104" spans="1:12">
      <c r="A104" s="43" t="s">
        <v>508</v>
      </c>
      <c r="B104" s="44">
        <v>6500</v>
      </c>
      <c r="C104" s="45" t="s">
        <v>34</v>
      </c>
      <c r="D104" s="44">
        <f t="shared" si="9"/>
        <v>25</v>
      </c>
      <c r="E104" s="46">
        <f t="shared" si="10"/>
        <v>0</v>
      </c>
      <c r="F104" s="46">
        <f t="shared" si="11"/>
        <v>25</v>
      </c>
      <c r="G104" s="46">
        <f t="shared" si="12"/>
        <v>0</v>
      </c>
      <c r="H104" s="47">
        <f t="shared" si="13"/>
        <v>0</v>
      </c>
      <c r="I104" s="47">
        <f t="shared" si="14"/>
        <v>0.33300000000000002</v>
      </c>
      <c r="J104" s="46">
        <f t="shared" si="15"/>
        <v>9780</v>
      </c>
      <c r="K104" s="46">
        <f t="shared" si="16"/>
        <v>3255</v>
      </c>
      <c r="L104" s="48">
        <f t="shared" si="17"/>
        <v>0.33282208588957057</v>
      </c>
    </row>
    <row r="105" spans="1:12">
      <c r="A105" s="43" t="s">
        <v>515</v>
      </c>
      <c r="B105" s="44">
        <v>6500</v>
      </c>
      <c r="C105" s="45" t="s">
        <v>34</v>
      </c>
      <c r="D105" s="44">
        <f t="shared" si="9"/>
        <v>25</v>
      </c>
      <c r="E105" s="46">
        <f t="shared" si="10"/>
        <v>0</v>
      </c>
      <c r="F105" s="46">
        <f t="shared" si="11"/>
        <v>25</v>
      </c>
      <c r="G105" s="46">
        <f t="shared" si="12"/>
        <v>0</v>
      </c>
      <c r="H105" s="47">
        <f t="shared" si="13"/>
        <v>0</v>
      </c>
      <c r="I105" s="47">
        <f t="shared" si="14"/>
        <v>0.33300000000000002</v>
      </c>
      <c r="J105" s="46">
        <f t="shared" si="15"/>
        <v>9780</v>
      </c>
      <c r="K105" s="46">
        <f t="shared" si="16"/>
        <v>3255</v>
      </c>
      <c r="L105" s="48">
        <f t="shared" si="17"/>
        <v>0.33282208588957057</v>
      </c>
    </row>
    <row r="106" spans="1:12">
      <c r="A106" s="43" t="s">
        <v>519</v>
      </c>
      <c r="B106" s="44">
        <v>6500</v>
      </c>
      <c r="C106" s="45" t="s">
        <v>34</v>
      </c>
      <c r="D106" s="44">
        <f t="shared" si="9"/>
        <v>25</v>
      </c>
      <c r="E106" s="46">
        <f t="shared" si="10"/>
        <v>0</v>
      </c>
      <c r="F106" s="46">
        <f t="shared" si="11"/>
        <v>25</v>
      </c>
      <c r="G106" s="46">
        <f t="shared" si="12"/>
        <v>0</v>
      </c>
      <c r="H106" s="47">
        <f t="shared" si="13"/>
        <v>0</v>
      </c>
      <c r="I106" s="47">
        <f t="shared" si="14"/>
        <v>0.33300000000000002</v>
      </c>
      <c r="J106" s="46">
        <f t="shared" si="15"/>
        <v>9780</v>
      </c>
      <c r="K106" s="46">
        <f t="shared" si="16"/>
        <v>3255</v>
      </c>
      <c r="L106" s="48">
        <f t="shared" si="17"/>
        <v>0.33282208588957057</v>
      </c>
    </row>
    <row r="107" spans="1:12">
      <c r="A107" s="43" t="s">
        <v>524</v>
      </c>
      <c r="B107" s="44">
        <v>6500</v>
      </c>
      <c r="C107" s="45" t="s">
        <v>34</v>
      </c>
      <c r="D107" s="44">
        <f t="shared" si="9"/>
        <v>25</v>
      </c>
      <c r="E107" s="46">
        <f t="shared" si="10"/>
        <v>0</v>
      </c>
      <c r="F107" s="46">
        <f t="shared" si="11"/>
        <v>25</v>
      </c>
      <c r="G107" s="46">
        <f t="shared" si="12"/>
        <v>0</v>
      </c>
      <c r="H107" s="47">
        <f t="shared" si="13"/>
        <v>0</v>
      </c>
      <c r="I107" s="47">
        <f t="shared" si="14"/>
        <v>0.33300000000000002</v>
      </c>
      <c r="J107" s="46">
        <f t="shared" si="15"/>
        <v>9780</v>
      </c>
      <c r="K107" s="46">
        <f t="shared" si="16"/>
        <v>3255</v>
      </c>
      <c r="L107" s="48">
        <f t="shared" si="17"/>
        <v>0.33282208588957057</v>
      </c>
    </row>
    <row r="108" spans="1:12">
      <c r="A108" s="43" t="s">
        <v>528</v>
      </c>
      <c r="B108" s="44">
        <v>6500</v>
      </c>
      <c r="C108" s="45" t="s">
        <v>34</v>
      </c>
      <c r="D108" s="44">
        <f t="shared" si="9"/>
        <v>25</v>
      </c>
      <c r="E108" s="46">
        <f t="shared" si="10"/>
        <v>0</v>
      </c>
      <c r="F108" s="46">
        <f t="shared" si="11"/>
        <v>25</v>
      </c>
      <c r="G108" s="46">
        <f t="shared" si="12"/>
        <v>0</v>
      </c>
      <c r="H108" s="47">
        <f t="shared" si="13"/>
        <v>0</v>
      </c>
      <c r="I108" s="47">
        <f t="shared" si="14"/>
        <v>0.33300000000000002</v>
      </c>
      <c r="J108" s="46">
        <f t="shared" si="15"/>
        <v>9780</v>
      </c>
      <c r="K108" s="46">
        <f t="shared" si="16"/>
        <v>3255</v>
      </c>
      <c r="L108" s="48">
        <f t="shared" si="17"/>
        <v>0.33282208588957057</v>
      </c>
    </row>
    <row r="109" spans="1:12">
      <c r="A109" s="43" t="s">
        <v>533</v>
      </c>
      <c r="B109" s="44">
        <v>2500</v>
      </c>
      <c r="C109" s="45" t="s">
        <v>1351</v>
      </c>
      <c r="D109" s="44">
        <v>1000</v>
      </c>
      <c r="E109" s="46">
        <f t="shared" si="10"/>
        <v>1000</v>
      </c>
      <c r="F109" s="46">
        <f t="shared" si="11"/>
        <v>25</v>
      </c>
      <c r="G109" s="46">
        <f t="shared" si="12"/>
        <v>0</v>
      </c>
      <c r="H109" s="47">
        <f t="shared" si="13"/>
        <v>0</v>
      </c>
      <c r="I109" s="47">
        <f t="shared" si="14"/>
        <v>0.33300000000000002</v>
      </c>
      <c r="J109" s="46">
        <f t="shared" si="15"/>
        <v>5280</v>
      </c>
      <c r="K109" s="46">
        <f t="shared" si="16"/>
        <v>1755</v>
      </c>
      <c r="L109" s="48">
        <f t="shared" si="17"/>
        <v>0.33238636363636365</v>
      </c>
    </row>
    <row r="110" spans="1:12">
      <c r="A110" s="43" t="s">
        <v>539</v>
      </c>
      <c r="B110" s="44">
        <v>3400</v>
      </c>
      <c r="C110" s="45" t="s">
        <v>1351</v>
      </c>
      <c r="D110" s="44">
        <v>1000</v>
      </c>
      <c r="E110" s="46">
        <f t="shared" si="10"/>
        <v>1000</v>
      </c>
      <c r="F110" s="46">
        <f t="shared" si="11"/>
        <v>25</v>
      </c>
      <c r="G110" s="46">
        <f t="shared" si="12"/>
        <v>0</v>
      </c>
      <c r="H110" s="47">
        <f t="shared" si="13"/>
        <v>0</v>
      </c>
      <c r="I110" s="47">
        <f t="shared" si="14"/>
        <v>0.33300000000000002</v>
      </c>
      <c r="J110" s="46">
        <f t="shared" si="15"/>
        <v>6630</v>
      </c>
      <c r="K110" s="46">
        <f t="shared" si="16"/>
        <v>2205</v>
      </c>
      <c r="L110" s="48">
        <f t="shared" si="17"/>
        <v>0.33257918552036198</v>
      </c>
    </row>
    <row r="111" spans="1:12">
      <c r="A111" s="43" t="s">
        <v>545</v>
      </c>
      <c r="B111" s="44">
        <v>4300</v>
      </c>
      <c r="C111" s="45" t="s">
        <v>1351</v>
      </c>
      <c r="D111" s="44">
        <v>1000</v>
      </c>
      <c r="E111" s="46">
        <f t="shared" si="10"/>
        <v>1000</v>
      </c>
      <c r="F111" s="46">
        <f t="shared" si="11"/>
        <v>25</v>
      </c>
      <c r="G111" s="46">
        <f t="shared" si="12"/>
        <v>0</v>
      </c>
      <c r="H111" s="47">
        <f t="shared" si="13"/>
        <v>0</v>
      </c>
      <c r="I111" s="47">
        <f t="shared" si="14"/>
        <v>0.33300000000000002</v>
      </c>
      <c r="J111" s="46">
        <f t="shared" si="15"/>
        <v>7980</v>
      </c>
      <c r="K111" s="46">
        <f t="shared" si="16"/>
        <v>2655</v>
      </c>
      <c r="L111" s="48">
        <f t="shared" si="17"/>
        <v>0.33270676691729323</v>
      </c>
    </row>
    <row r="112" spans="1:12">
      <c r="A112" s="43" t="s">
        <v>551</v>
      </c>
      <c r="B112" s="44">
        <v>4300</v>
      </c>
      <c r="C112" s="45" t="s">
        <v>1351</v>
      </c>
      <c r="D112" s="44">
        <v>1000</v>
      </c>
      <c r="E112" s="46">
        <f t="shared" si="10"/>
        <v>1000</v>
      </c>
      <c r="F112" s="46">
        <f t="shared" si="11"/>
        <v>25</v>
      </c>
      <c r="G112" s="46">
        <f t="shared" si="12"/>
        <v>0</v>
      </c>
      <c r="H112" s="47">
        <f t="shared" si="13"/>
        <v>0</v>
      </c>
      <c r="I112" s="47">
        <f t="shared" si="14"/>
        <v>0.33300000000000002</v>
      </c>
      <c r="J112" s="46">
        <f t="shared" si="15"/>
        <v>7980</v>
      </c>
      <c r="K112" s="46">
        <f t="shared" si="16"/>
        <v>2655</v>
      </c>
      <c r="L112" s="48">
        <f t="shared" si="17"/>
        <v>0.33270676691729323</v>
      </c>
    </row>
    <row r="113" spans="1:12">
      <c r="A113" s="43" t="s">
        <v>557</v>
      </c>
      <c r="B113" s="44">
        <v>4300</v>
      </c>
      <c r="C113" s="45" t="s">
        <v>1351</v>
      </c>
      <c r="D113" s="44">
        <v>1000</v>
      </c>
      <c r="E113" s="46">
        <f t="shared" si="10"/>
        <v>1000</v>
      </c>
      <c r="F113" s="46">
        <f t="shared" si="11"/>
        <v>25</v>
      </c>
      <c r="G113" s="46">
        <f t="shared" si="12"/>
        <v>0</v>
      </c>
      <c r="H113" s="47">
        <f t="shared" si="13"/>
        <v>0</v>
      </c>
      <c r="I113" s="47">
        <f t="shared" si="14"/>
        <v>0.33300000000000002</v>
      </c>
      <c r="J113" s="46">
        <f t="shared" si="15"/>
        <v>7980</v>
      </c>
      <c r="K113" s="46">
        <f t="shared" si="16"/>
        <v>2655</v>
      </c>
      <c r="L113" s="48">
        <f t="shared" si="17"/>
        <v>0.33270676691729323</v>
      </c>
    </row>
    <row r="114" spans="1:12">
      <c r="A114" s="43" t="s">
        <v>562</v>
      </c>
      <c r="B114" s="44">
        <v>4300</v>
      </c>
      <c r="C114" s="45" t="s">
        <v>1351</v>
      </c>
      <c r="D114" s="44">
        <v>1000</v>
      </c>
      <c r="E114" s="46">
        <f t="shared" si="10"/>
        <v>1000</v>
      </c>
      <c r="F114" s="46">
        <f t="shared" si="11"/>
        <v>25</v>
      </c>
      <c r="G114" s="46">
        <f t="shared" si="12"/>
        <v>0</v>
      </c>
      <c r="H114" s="47">
        <f t="shared" si="13"/>
        <v>0</v>
      </c>
      <c r="I114" s="47">
        <f t="shared" si="14"/>
        <v>0.33300000000000002</v>
      </c>
      <c r="J114" s="46">
        <f t="shared" si="15"/>
        <v>7980</v>
      </c>
      <c r="K114" s="46">
        <f t="shared" si="16"/>
        <v>2655</v>
      </c>
      <c r="L114" s="48">
        <f t="shared" si="17"/>
        <v>0.33270676691729323</v>
      </c>
    </row>
    <row r="115" spans="1:12">
      <c r="A115" s="43" t="s">
        <v>567</v>
      </c>
      <c r="B115" s="44">
        <v>4300</v>
      </c>
      <c r="C115" s="45" t="s">
        <v>1351</v>
      </c>
      <c r="D115" s="44">
        <v>1000</v>
      </c>
      <c r="E115" s="46">
        <f t="shared" si="10"/>
        <v>1000</v>
      </c>
      <c r="F115" s="46">
        <f t="shared" si="11"/>
        <v>25</v>
      </c>
      <c r="G115" s="46">
        <f t="shared" si="12"/>
        <v>0</v>
      </c>
      <c r="H115" s="47">
        <f t="shared" si="13"/>
        <v>0</v>
      </c>
      <c r="I115" s="47">
        <f t="shared" si="14"/>
        <v>0.33300000000000002</v>
      </c>
      <c r="J115" s="46">
        <f t="shared" si="15"/>
        <v>7980</v>
      </c>
      <c r="K115" s="46">
        <f t="shared" si="16"/>
        <v>2655</v>
      </c>
      <c r="L115" s="48">
        <f t="shared" si="17"/>
        <v>0.33270676691729323</v>
      </c>
    </row>
    <row r="116" spans="1:12">
      <c r="A116" s="43" t="s">
        <v>572</v>
      </c>
      <c r="B116" s="44">
        <v>4300</v>
      </c>
      <c r="C116" s="45" t="s">
        <v>1351</v>
      </c>
      <c r="D116" s="44">
        <v>1000</v>
      </c>
      <c r="E116" s="46">
        <f t="shared" si="10"/>
        <v>1000</v>
      </c>
      <c r="F116" s="46">
        <f t="shared" si="11"/>
        <v>25</v>
      </c>
      <c r="G116" s="46">
        <f t="shared" si="12"/>
        <v>0</v>
      </c>
      <c r="H116" s="47">
        <f t="shared" si="13"/>
        <v>0</v>
      </c>
      <c r="I116" s="47">
        <f t="shared" si="14"/>
        <v>0.33300000000000002</v>
      </c>
      <c r="J116" s="46">
        <f t="shared" si="15"/>
        <v>7980</v>
      </c>
      <c r="K116" s="46">
        <f t="shared" si="16"/>
        <v>2655</v>
      </c>
      <c r="L116" s="48">
        <f t="shared" si="17"/>
        <v>0.33270676691729323</v>
      </c>
    </row>
    <row r="117" spans="1:12">
      <c r="A117" s="43" t="s">
        <v>577</v>
      </c>
      <c r="B117" s="44">
        <v>1600</v>
      </c>
      <c r="C117" s="45" t="s">
        <v>34</v>
      </c>
      <c r="D117" s="44">
        <f t="shared" si="9"/>
        <v>25</v>
      </c>
      <c r="E117" s="46">
        <f t="shared" si="10"/>
        <v>0</v>
      </c>
      <c r="F117" s="46">
        <f t="shared" si="11"/>
        <v>25</v>
      </c>
      <c r="G117" s="46">
        <f t="shared" si="12"/>
        <v>0</v>
      </c>
      <c r="H117" s="47">
        <f t="shared" si="13"/>
        <v>0</v>
      </c>
      <c r="I117" s="47">
        <f t="shared" si="14"/>
        <v>0.33300000000000002</v>
      </c>
      <c r="J117" s="46">
        <f t="shared" si="15"/>
        <v>2440</v>
      </c>
      <c r="K117" s="46">
        <f t="shared" si="16"/>
        <v>815</v>
      </c>
      <c r="L117" s="48">
        <f t="shared" si="17"/>
        <v>0.33401639344262296</v>
      </c>
    </row>
    <row r="118" spans="1:12">
      <c r="A118" s="43" t="s">
        <v>586</v>
      </c>
      <c r="B118" s="44">
        <v>1600</v>
      </c>
      <c r="C118" s="45" t="s">
        <v>34</v>
      </c>
      <c r="D118" s="44">
        <f t="shared" si="9"/>
        <v>25</v>
      </c>
      <c r="E118" s="46">
        <f t="shared" si="10"/>
        <v>0</v>
      </c>
      <c r="F118" s="46">
        <f t="shared" si="11"/>
        <v>25</v>
      </c>
      <c r="G118" s="46">
        <f t="shared" si="12"/>
        <v>0</v>
      </c>
      <c r="H118" s="47">
        <f t="shared" si="13"/>
        <v>0</v>
      </c>
      <c r="I118" s="47">
        <f t="shared" si="14"/>
        <v>0.33300000000000002</v>
      </c>
      <c r="J118" s="46">
        <f t="shared" si="15"/>
        <v>2440</v>
      </c>
      <c r="K118" s="46">
        <f t="shared" si="16"/>
        <v>815</v>
      </c>
      <c r="L118" s="48">
        <f t="shared" si="17"/>
        <v>0.33401639344262296</v>
      </c>
    </row>
    <row r="119" spans="1:12">
      <c r="A119" s="43" t="s">
        <v>591</v>
      </c>
      <c r="B119" s="44">
        <v>1600</v>
      </c>
      <c r="C119" s="45" t="s">
        <v>34</v>
      </c>
      <c r="D119" s="44">
        <f t="shared" si="9"/>
        <v>25</v>
      </c>
      <c r="E119" s="46">
        <f t="shared" si="10"/>
        <v>0</v>
      </c>
      <c r="F119" s="46">
        <f t="shared" si="11"/>
        <v>25</v>
      </c>
      <c r="G119" s="46">
        <f t="shared" si="12"/>
        <v>0</v>
      </c>
      <c r="H119" s="47">
        <f t="shared" si="13"/>
        <v>0</v>
      </c>
      <c r="I119" s="47">
        <f t="shared" si="14"/>
        <v>0.33300000000000002</v>
      </c>
      <c r="J119" s="46">
        <f t="shared" si="15"/>
        <v>2440</v>
      </c>
      <c r="K119" s="46">
        <f t="shared" si="16"/>
        <v>815</v>
      </c>
      <c r="L119" s="48">
        <f t="shared" si="17"/>
        <v>0.33401639344262296</v>
      </c>
    </row>
    <row r="120" spans="1:12">
      <c r="A120" s="43" t="s">
        <v>595</v>
      </c>
      <c r="B120" s="44">
        <v>1600</v>
      </c>
      <c r="C120" s="45" t="s">
        <v>34</v>
      </c>
      <c r="D120" s="44">
        <f t="shared" si="9"/>
        <v>25</v>
      </c>
      <c r="E120" s="46">
        <f t="shared" si="10"/>
        <v>0</v>
      </c>
      <c r="F120" s="46">
        <f t="shared" si="11"/>
        <v>25</v>
      </c>
      <c r="G120" s="46">
        <f t="shared" si="12"/>
        <v>0</v>
      </c>
      <c r="H120" s="47">
        <f t="shared" si="13"/>
        <v>0</v>
      </c>
      <c r="I120" s="47">
        <f t="shared" si="14"/>
        <v>0.33300000000000002</v>
      </c>
      <c r="J120" s="46">
        <f t="shared" si="15"/>
        <v>2440</v>
      </c>
      <c r="K120" s="46">
        <f t="shared" si="16"/>
        <v>815</v>
      </c>
      <c r="L120" s="48">
        <f t="shared" si="17"/>
        <v>0.33401639344262296</v>
      </c>
    </row>
    <row r="121" spans="1:12">
      <c r="A121" s="43" t="s">
        <v>600</v>
      </c>
      <c r="B121" s="44">
        <v>1600</v>
      </c>
      <c r="C121" s="45" t="s">
        <v>34</v>
      </c>
      <c r="D121" s="44">
        <f t="shared" si="9"/>
        <v>25</v>
      </c>
      <c r="E121" s="46">
        <f t="shared" si="10"/>
        <v>0</v>
      </c>
      <c r="F121" s="46">
        <f t="shared" si="11"/>
        <v>25</v>
      </c>
      <c r="G121" s="46">
        <f t="shared" si="12"/>
        <v>0</v>
      </c>
      <c r="H121" s="47">
        <f t="shared" si="13"/>
        <v>0</v>
      </c>
      <c r="I121" s="47">
        <f t="shared" si="14"/>
        <v>0.33300000000000002</v>
      </c>
      <c r="J121" s="46">
        <f t="shared" si="15"/>
        <v>2440</v>
      </c>
      <c r="K121" s="46">
        <f t="shared" si="16"/>
        <v>815</v>
      </c>
      <c r="L121" s="48">
        <f t="shared" si="17"/>
        <v>0.33401639344262296</v>
      </c>
    </row>
    <row r="122" spans="1:12">
      <c r="A122" s="43" t="s">
        <v>604</v>
      </c>
      <c r="B122" s="44">
        <v>1600</v>
      </c>
      <c r="C122" s="45" t="s">
        <v>34</v>
      </c>
      <c r="D122" s="44">
        <f t="shared" si="9"/>
        <v>25</v>
      </c>
      <c r="E122" s="46">
        <f t="shared" si="10"/>
        <v>0</v>
      </c>
      <c r="F122" s="46">
        <f t="shared" si="11"/>
        <v>25</v>
      </c>
      <c r="G122" s="46">
        <f t="shared" si="12"/>
        <v>0</v>
      </c>
      <c r="H122" s="47">
        <f t="shared" si="13"/>
        <v>0</v>
      </c>
      <c r="I122" s="47">
        <f t="shared" si="14"/>
        <v>0.33300000000000002</v>
      </c>
      <c r="J122" s="46">
        <f t="shared" si="15"/>
        <v>2440</v>
      </c>
      <c r="K122" s="46">
        <f t="shared" si="16"/>
        <v>815</v>
      </c>
      <c r="L122" s="48">
        <f t="shared" si="17"/>
        <v>0.33401639344262296</v>
      </c>
    </row>
    <row r="123" spans="1:12">
      <c r="A123" s="43" t="s">
        <v>609</v>
      </c>
      <c r="B123" s="44">
        <v>1600</v>
      </c>
      <c r="C123" s="45" t="s">
        <v>34</v>
      </c>
      <c r="D123" s="44">
        <f t="shared" si="9"/>
        <v>25</v>
      </c>
      <c r="E123" s="46">
        <f t="shared" si="10"/>
        <v>0</v>
      </c>
      <c r="F123" s="46">
        <f t="shared" si="11"/>
        <v>25</v>
      </c>
      <c r="G123" s="46">
        <f t="shared" si="12"/>
        <v>0</v>
      </c>
      <c r="H123" s="47">
        <f t="shared" si="13"/>
        <v>0</v>
      </c>
      <c r="I123" s="47">
        <f t="shared" si="14"/>
        <v>0.33300000000000002</v>
      </c>
      <c r="J123" s="46">
        <f t="shared" si="15"/>
        <v>2440</v>
      </c>
      <c r="K123" s="46">
        <f t="shared" si="16"/>
        <v>815</v>
      </c>
      <c r="L123" s="48">
        <f t="shared" si="17"/>
        <v>0.33401639344262296</v>
      </c>
    </row>
    <row r="124" spans="1:12">
      <c r="A124" s="43" t="s">
        <v>614</v>
      </c>
      <c r="B124" s="44">
        <v>1600</v>
      </c>
      <c r="C124" s="45" t="s">
        <v>34</v>
      </c>
      <c r="D124" s="44">
        <f t="shared" si="9"/>
        <v>25</v>
      </c>
      <c r="E124" s="46">
        <f t="shared" si="10"/>
        <v>0</v>
      </c>
      <c r="F124" s="46">
        <f t="shared" si="11"/>
        <v>25</v>
      </c>
      <c r="G124" s="46">
        <f t="shared" si="12"/>
        <v>0</v>
      </c>
      <c r="H124" s="47">
        <f t="shared" si="13"/>
        <v>0</v>
      </c>
      <c r="I124" s="47">
        <f t="shared" si="14"/>
        <v>0.33300000000000002</v>
      </c>
      <c r="J124" s="46">
        <f t="shared" si="15"/>
        <v>2440</v>
      </c>
      <c r="K124" s="46">
        <f t="shared" si="16"/>
        <v>815</v>
      </c>
      <c r="L124" s="48">
        <f t="shared" si="17"/>
        <v>0.33401639344262296</v>
      </c>
    </row>
    <row r="125" spans="1:12">
      <c r="A125" s="43" t="s">
        <v>619</v>
      </c>
      <c r="B125" s="44">
        <v>1600</v>
      </c>
      <c r="C125" s="45" t="s">
        <v>34</v>
      </c>
      <c r="D125" s="44">
        <f t="shared" si="9"/>
        <v>25</v>
      </c>
      <c r="E125" s="46">
        <f t="shared" si="10"/>
        <v>0</v>
      </c>
      <c r="F125" s="46">
        <f t="shared" si="11"/>
        <v>25</v>
      </c>
      <c r="G125" s="46">
        <f t="shared" si="12"/>
        <v>0</v>
      </c>
      <c r="H125" s="47">
        <f t="shared" si="13"/>
        <v>0</v>
      </c>
      <c r="I125" s="47">
        <f t="shared" si="14"/>
        <v>0.33300000000000002</v>
      </c>
      <c r="J125" s="46">
        <f t="shared" si="15"/>
        <v>2440</v>
      </c>
      <c r="K125" s="46">
        <f t="shared" si="16"/>
        <v>815</v>
      </c>
      <c r="L125" s="48">
        <f t="shared" si="17"/>
        <v>0.33401639344262296</v>
      </c>
    </row>
    <row r="126" spans="1:12">
      <c r="A126" s="43" t="s">
        <v>624</v>
      </c>
      <c r="B126" s="44">
        <v>1600</v>
      </c>
      <c r="C126" s="45" t="s">
        <v>34</v>
      </c>
      <c r="D126" s="44">
        <f t="shared" si="9"/>
        <v>25</v>
      </c>
      <c r="E126" s="46">
        <f t="shared" si="10"/>
        <v>0</v>
      </c>
      <c r="F126" s="46">
        <f t="shared" si="11"/>
        <v>25</v>
      </c>
      <c r="G126" s="46">
        <f t="shared" si="12"/>
        <v>0</v>
      </c>
      <c r="H126" s="47">
        <f t="shared" si="13"/>
        <v>0</v>
      </c>
      <c r="I126" s="47">
        <f t="shared" si="14"/>
        <v>0.33300000000000002</v>
      </c>
      <c r="J126" s="46">
        <f t="shared" si="15"/>
        <v>2440</v>
      </c>
      <c r="K126" s="46">
        <f t="shared" si="16"/>
        <v>815</v>
      </c>
      <c r="L126" s="48">
        <f t="shared" si="17"/>
        <v>0.33401639344262296</v>
      </c>
    </row>
    <row r="127" spans="1:12">
      <c r="A127" s="43" t="s">
        <v>629</v>
      </c>
      <c r="B127" s="44">
        <v>1600</v>
      </c>
      <c r="C127" s="45" t="s">
        <v>34</v>
      </c>
      <c r="D127" s="44">
        <f t="shared" si="9"/>
        <v>25</v>
      </c>
      <c r="E127" s="46">
        <f t="shared" si="10"/>
        <v>0</v>
      </c>
      <c r="F127" s="46">
        <f t="shared" si="11"/>
        <v>25</v>
      </c>
      <c r="G127" s="46">
        <f t="shared" si="12"/>
        <v>0</v>
      </c>
      <c r="H127" s="47">
        <f t="shared" si="13"/>
        <v>0</v>
      </c>
      <c r="I127" s="47">
        <f t="shared" si="14"/>
        <v>0.33300000000000002</v>
      </c>
      <c r="J127" s="46">
        <f t="shared" si="15"/>
        <v>2440</v>
      </c>
      <c r="K127" s="46">
        <f t="shared" si="16"/>
        <v>815</v>
      </c>
      <c r="L127" s="48">
        <f t="shared" si="17"/>
        <v>0.33401639344262296</v>
      </c>
    </row>
    <row r="128" spans="1:12">
      <c r="A128" s="43" t="s">
        <v>634</v>
      </c>
      <c r="B128" s="44">
        <v>1600</v>
      </c>
      <c r="C128" s="45" t="s">
        <v>34</v>
      </c>
      <c r="D128" s="44">
        <f t="shared" si="9"/>
        <v>25</v>
      </c>
      <c r="E128" s="46">
        <f t="shared" si="10"/>
        <v>0</v>
      </c>
      <c r="F128" s="46">
        <f t="shared" si="11"/>
        <v>25</v>
      </c>
      <c r="G128" s="46">
        <f t="shared" si="12"/>
        <v>0</v>
      </c>
      <c r="H128" s="47">
        <f t="shared" si="13"/>
        <v>0</v>
      </c>
      <c r="I128" s="47">
        <f t="shared" si="14"/>
        <v>0.33300000000000002</v>
      </c>
      <c r="J128" s="46">
        <f t="shared" si="15"/>
        <v>2440</v>
      </c>
      <c r="K128" s="46">
        <f t="shared" si="16"/>
        <v>815</v>
      </c>
      <c r="L128" s="48">
        <f t="shared" si="17"/>
        <v>0.33401639344262296</v>
      </c>
    </row>
    <row r="129" spans="1:12">
      <c r="A129" s="43" t="s">
        <v>639</v>
      </c>
      <c r="B129" s="44">
        <v>1600</v>
      </c>
      <c r="C129" s="45" t="s">
        <v>34</v>
      </c>
      <c r="D129" s="44">
        <f t="shared" si="9"/>
        <v>25</v>
      </c>
      <c r="E129" s="46">
        <f t="shared" si="10"/>
        <v>0</v>
      </c>
      <c r="F129" s="46">
        <f t="shared" si="11"/>
        <v>25</v>
      </c>
      <c r="G129" s="46">
        <f t="shared" si="12"/>
        <v>0</v>
      </c>
      <c r="H129" s="47">
        <f t="shared" si="13"/>
        <v>0</v>
      </c>
      <c r="I129" s="47">
        <f t="shared" si="14"/>
        <v>0.33300000000000002</v>
      </c>
      <c r="J129" s="46">
        <f t="shared" si="15"/>
        <v>2440</v>
      </c>
      <c r="K129" s="46">
        <f t="shared" si="16"/>
        <v>815</v>
      </c>
      <c r="L129" s="48">
        <f t="shared" si="17"/>
        <v>0.33401639344262296</v>
      </c>
    </row>
    <row r="130" spans="1:12">
      <c r="A130" s="43" t="s">
        <v>644</v>
      </c>
      <c r="B130" s="44">
        <v>1600</v>
      </c>
      <c r="C130" s="45" t="s">
        <v>34</v>
      </c>
      <c r="D130" s="44">
        <f t="shared" si="9"/>
        <v>25</v>
      </c>
      <c r="E130" s="46">
        <f t="shared" si="10"/>
        <v>0</v>
      </c>
      <c r="F130" s="46">
        <f t="shared" si="11"/>
        <v>25</v>
      </c>
      <c r="G130" s="46">
        <f t="shared" si="12"/>
        <v>0</v>
      </c>
      <c r="H130" s="47">
        <f t="shared" si="13"/>
        <v>0</v>
      </c>
      <c r="I130" s="47">
        <f t="shared" si="14"/>
        <v>0.33300000000000002</v>
      </c>
      <c r="J130" s="46">
        <f t="shared" si="15"/>
        <v>2440</v>
      </c>
      <c r="K130" s="46">
        <f t="shared" si="16"/>
        <v>815</v>
      </c>
      <c r="L130" s="48">
        <f t="shared" si="17"/>
        <v>0.33401639344262296</v>
      </c>
    </row>
    <row r="131" spans="1:12">
      <c r="A131" s="43" t="s">
        <v>649</v>
      </c>
      <c r="B131" s="44">
        <v>2000</v>
      </c>
      <c r="C131" s="45" t="s">
        <v>34</v>
      </c>
      <c r="D131" s="44">
        <f t="shared" si="9"/>
        <v>25</v>
      </c>
      <c r="E131" s="46">
        <f t="shared" si="10"/>
        <v>0</v>
      </c>
      <c r="F131" s="46">
        <f t="shared" si="11"/>
        <v>25</v>
      </c>
      <c r="G131" s="46">
        <f t="shared" si="12"/>
        <v>0</v>
      </c>
      <c r="H131" s="47">
        <f t="shared" si="13"/>
        <v>0</v>
      </c>
      <c r="I131" s="47">
        <f t="shared" si="14"/>
        <v>0.33300000000000002</v>
      </c>
      <c r="J131" s="46">
        <f t="shared" si="15"/>
        <v>3040</v>
      </c>
      <c r="K131" s="46">
        <f t="shared" si="16"/>
        <v>1015</v>
      </c>
      <c r="L131" s="48">
        <f t="shared" si="17"/>
        <v>0.33388157894736842</v>
      </c>
    </row>
    <row r="132" spans="1:12">
      <c r="A132" s="43" t="s">
        <v>654</v>
      </c>
      <c r="B132" s="44">
        <v>2000</v>
      </c>
      <c r="C132" s="45" t="s">
        <v>34</v>
      </c>
      <c r="D132" s="44">
        <f t="shared" si="9"/>
        <v>25</v>
      </c>
      <c r="E132" s="46">
        <f t="shared" si="10"/>
        <v>0</v>
      </c>
      <c r="F132" s="46">
        <f t="shared" si="11"/>
        <v>25</v>
      </c>
      <c r="G132" s="46">
        <f t="shared" si="12"/>
        <v>0</v>
      </c>
      <c r="H132" s="47">
        <f t="shared" si="13"/>
        <v>0</v>
      </c>
      <c r="I132" s="47">
        <f t="shared" si="14"/>
        <v>0.33300000000000002</v>
      </c>
      <c r="J132" s="46">
        <f t="shared" si="15"/>
        <v>3040</v>
      </c>
      <c r="K132" s="46">
        <f t="shared" si="16"/>
        <v>1015</v>
      </c>
      <c r="L132" s="48">
        <f t="shared" si="17"/>
        <v>0.33388157894736842</v>
      </c>
    </row>
    <row r="133" spans="1:12">
      <c r="A133" s="43" t="s">
        <v>658</v>
      </c>
      <c r="B133" s="44">
        <v>2000</v>
      </c>
      <c r="C133" s="45" t="s">
        <v>34</v>
      </c>
      <c r="D133" s="44">
        <f t="shared" si="9"/>
        <v>25</v>
      </c>
      <c r="E133" s="46">
        <f t="shared" si="10"/>
        <v>0</v>
      </c>
      <c r="F133" s="46">
        <f t="shared" si="11"/>
        <v>25</v>
      </c>
      <c r="G133" s="46">
        <f t="shared" si="12"/>
        <v>0</v>
      </c>
      <c r="H133" s="47">
        <f t="shared" si="13"/>
        <v>0</v>
      </c>
      <c r="I133" s="47">
        <f t="shared" si="14"/>
        <v>0.33300000000000002</v>
      </c>
      <c r="J133" s="46">
        <f t="shared" si="15"/>
        <v>3040</v>
      </c>
      <c r="K133" s="46">
        <f t="shared" si="16"/>
        <v>1015</v>
      </c>
      <c r="L133" s="48">
        <f t="shared" si="17"/>
        <v>0.33388157894736842</v>
      </c>
    </row>
    <row r="134" spans="1:12">
      <c r="A134" s="43" t="s">
        <v>662</v>
      </c>
      <c r="B134" s="44">
        <v>2000</v>
      </c>
      <c r="C134" s="45" t="s">
        <v>34</v>
      </c>
      <c r="D134" s="44">
        <f t="shared" si="9"/>
        <v>25</v>
      </c>
      <c r="E134" s="46">
        <f t="shared" si="10"/>
        <v>0</v>
      </c>
      <c r="F134" s="46">
        <f t="shared" si="11"/>
        <v>25</v>
      </c>
      <c r="G134" s="46">
        <f t="shared" si="12"/>
        <v>0</v>
      </c>
      <c r="H134" s="47">
        <f t="shared" si="13"/>
        <v>0</v>
      </c>
      <c r="I134" s="47">
        <f t="shared" si="14"/>
        <v>0.33300000000000002</v>
      </c>
      <c r="J134" s="46">
        <f t="shared" si="15"/>
        <v>3040</v>
      </c>
      <c r="K134" s="46">
        <f t="shared" si="16"/>
        <v>1015</v>
      </c>
      <c r="L134" s="48">
        <f t="shared" si="17"/>
        <v>0.33388157894736842</v>
      </c>
    </row>
    <row r="135" spans="1:12">
      <c r="A135" s="43" t="s">
        <v>667</v>
      </c>
      <c r="B135" s="44">
        <v>2000</v>
      </c>
      <c r="C135" s="45" t="s">
        <v>34</v>
      </c>
      <c r="D135" s="44">
        <f t="shared" si="9"/>
        <v>25</v>
      </c>
      <c r="E135" s="46">
        <f t="shared" si="10"/>
        <v>0</v>
      </c>
      <c r="F135" s="46">
        <f t="shared" si="11"/>
        <v>25</v>
      </c>
      <c r="G135" s="46">
        <f t="shared" si="12"/>
        <v>0</v>
      </c>
      <c r="H135" s="47">
        <f t="shared" si="13"/>
        <v>0</v>
      </c>
      <c r="I135" s="47">
        <f t="shared" si="14"/>
        <v>0.33300000000000002</v>
      </c>
      <c r="J135" s="46">
        <f t="shared" si="15"/>
        <v>3040</v>
      </c>
      <c r="K135" s="46">
        <f t="shared" si="16"/>
        <v>1015</v>
      </c>
      <c r="L135" s="48">
        <f t="shared" si="17"/>
        <v>0.33388157894736842</v>
      </c>
    </row>
    <row r="136" spans="1:12">
      <c r="A136" s="43" t="s">
        <v>672</v>
      </c>
      <c r="B136" s="44">
        <v>2000</v>
      </c>
      <c r="C136" s="45" t="s">
        <v>34</v>
      </c>
      <c r="D136" s="44">
        <f t="shared" si="9"/>
        <v>25</v>
      </c>
      <c r="E136" s="46">
        <f t="shared" si="10"/>
        <v>0</v>
      </c>
      <c r="F136" s="46">
        <f t="shared" si="11"/>
        <v>25</v>
      </c>
      <c r="G136" s="46">
        <f t="shared" si="12"/>
        <v>0</v>
      </c>
      <c r="H136" s="47">
        <f t="shared" si="13"/>
        <v>0</v>
      </c>
      <c r="I136" s="47">
        <f t="shared" si="14"/>
        <v>0.33300000000000002</v>
      </c>
      <c r="J136" s="46">
        <f t="shared" si="15"/>
        <v>3040</v>
      </c>
      <c r="K136" s="46">
        <f t="shared" si="16"/>
        <v>1015</v>
      </c>
      <c r="L136" s="48">
        <f t="shared" si="17"/>
        <v>0.33388157894736842</v>
      </c>
    </row>
    <row r="137" spans="1:12">
      <c r="A137" s="43" t="s">
        <v>677</v>
      </c>
      <c r="B137" s="44">
        <v>2000</v>
      </c>
      <c r="C137" s="45" t="s">
        <v>34</v>
      </c>
      <c r="D137" s="44">
        <f t="shared" si="9"/>
        <v>25</v>
      </c>
      <c r="E137" s="46">
        <f t="shared" si="10"/>
        <v>0</v>
      </c>
      <c r="F137" s="46">
        <f t="shared" si="11"/>
        <v>25</v>
      </c>
      <c r="G137" s="46">
        <f t="shared" si="12"/>
        <v>0</v>
      </c>
      <c r="H137" s="47">
        <f t="shared" si="13"/>
        <v>0</v>
      </c>
      <c r="I137" s="47">
        <f t="shared" si="14"/>
        <v>0.33300000000000002</v>
      </c>
      <c r="J137" s="46">
        <f t="shared" si="15"/>
        <v>3040</v>
      </c>
      <c r="K137" s="46">
        <f t="shared" si="16"/>
        <v>1015</v>
      </c>
      <c r="L137" s="48">
        <f t="shared" si="17"/>
        <v>0.33388157894736842</v>
      </c>
    </row>
    <row r="138" spans="1:12">
      <c r="A138" s="43" t="s">
        <v>681</v>
      </c>
      <c r="B138" s="44">
        <v>2000</v>
      </c>
      <c r="C138" s="45" t="s">
        <v>34</v>
      </c>
      <c r="D138" s="44">
        <f t="shared" si="9"/>
        <v>25</v>
      </c>
      <c r="E138" s="46">
        <f t="shared" si="10"/>
        <v>0</v>
      </c>
      <c r="F138" s="46">
        <f t="shared" si="11"/>
        <v>25</v>
      </c>
      <c r="G138" s="46">
        <f t="shared" si="12"/>
        <v>0</v>
      </c>
      <c r="H138" s="47">
        <f t="shared" si="13"/>
        <v>0</v>
      </c>
      <c r="I138" s="47">
        <f t="shared" si="14"/>
        <v>0.33300000000000002</v>
      </c>
      <c r="J138" s="46">
        <f t="shared" si="15"/>
        <v>3040</v>
      </c>
      <c r="K138" s="46">
        <f t="shared" si="16"/>
        <v>1015</v>
      </c>
      <c r="L138" s="48">
        <f t="shared" si="17"/>
        <v>0.33388157894736842</v>
      </c>
    </row>
    <row r="139" spans="1:12">
      <c r="A139" s="43" t="s">
        <v>686</v>
      </c>
      <c r="B139" s="44">
        <v>2000</v>
      </c>
      <c r="C139" s="45" t="s">
        <v>34</v>
      </c>
      <c r="D139" s="44">
        <f t="shared" si="9"/>
        <v>25</v>
      </c>
      <c r="E139" s="46">
        <f t="shared" si="10"/>
        <v>0</v>
      </c>
      <c r="F139" s="46">
        <f t="shared" si="11"/>
        <v>25</v>
      </c>
      <c r="G139" s="46">
        <f t="shared" si="12"/>
        <v>0</v>
      </c>
      <c r="H139" s="47">
        <f t="shared" si="13"/>
        <v>0</v>
      </c>
      <c r="I139" s="47">
        <f t="shared" si="14"/>
        <v>0.33300000000000002</v>
      </c>
      <c r="J139" s="46">
        <f t="shared" si="15"/>
        <v>3040</v>
      </c>
      <c r="K139" s="46">
        <f t="shared" si="16"/>
        <v>1015</v>
      </c>
      <c r="L139" s="48">
        <f t="shared" si="17"/>
        <v>0.33388157894736842</v>
      </c>
    </row>
    <row r="140" spans="1:12">
      <c r="A140" s="43" t="s">
        <v>693</v>
      </c>
      <c r="B140" s="44">
        <v>2000</v>
      </c>
      <c r="C140" s="45" t="s">
        <v>34</v>
      </c>
      <c r="D140" s="44">
        <f t="shared" si="9"/>
        <v>25</v>
      </c>
      <c r="E140" s="46">
        <f t="shared" si="10"/>
        <v>0</v>
      </c>
      <c r="F140" s="46">
        <f t="shared" si="11"/>
        <v>25</v>
      </c>
      <c r="G140" s="46">
        <f t="shared" si="12"/>
        <v>0</v>
      </c>
      <c r="H140" s="47">
        <f t="shared" si="13"/>
        <v>0</v>
      </c>
      <c r="I140" s="47">
        <f t="shared" si="14"/>
        <v>0.33300000000000002</v>
      </c>
      <c r="J140" s="46">
        <f t="shared" si="15"/>
        <v>3040</v>
      </c>
      <c r="K140" s="46">
        <f t="shared" si="16"/>
        <v>1015</v>
      </c>
      <c r="L140" s="48">
        <f t="shared" si="17"/>
        <v>0.33388157894736842</v>
      </c>
    </row>
    <row r="141" spans="1:12">
      <c r="A141" s="43" t="s">
        <v>698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</v>
      </c>
      <c r="G141" s="46">
        <f t="shared" si="12"/>
        <v>0</v>
      </c>
      <c r="H141" s="47">
        <f t="shared" si="13"/>
        <v>0</v>
      </c>
      <c r="I141" s="47">
        <f t="shared" si="14"/>
        <v>0.33300000000000002</v>
      </c>
      <c r="J141" s="46">
        <f t="shared" si="15"/>
        <v>3040</v>
      </c>
      <c r="K141" s="46">
        <f t="shared" si="16"/>
        <v>1015</v>
      </c>
      <c r="L141" s="48">
        <f t="shared" si="17"/>
        <v>0.33388157894736842</v>
      </c>
    </row>
    <row r="142" spans="1:12">
      <c r="A142" s="43" t="s">
        <v>703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</v>
      </c>
      <c r="G142" s="46">
        <f t="shared" si="12"/>
        <v>0</v>
      </c>
      <c r="H142" s="47">
        <f t="shared" si="13"/>
        <v>0</v>
      </c>
      <c r="I142" s="47">
        <f t="shared" si="14"/>
        <v>0.33300000000000002</v>
      </c>
      <c r="J142" s="46">
        <f t="shared" si="15"/>
        <v>3040</v>
      </c>
      <c r="K142" s="46">
        <f t="shared" si="16"/>
        <v>1015</v>
      </c>
      <c r="L142" s="48">
        <f t="shared" si="17"/>
        <v>0.33388157894736842</v>
      </c>
    </row>
    <row r="143" spans="1:12">
      <c r="A143" s="43" t="s">
        <v>708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</v>
      </c>
      <c r="G143" s="46">
        <f t="shared" ref="G143:G206" si="20">IF(A143="","",($B$8-$B$9)/$B$6)</f>
        <v>0</v>
      </c>
      <c r="H143" s="47">
        <f t="shared" ref="H143:H206" si="21">IF(A143="","",$B$10)</f>
        <v>0</v>
      </c>
      <c r="I143" s="47">
        <f t="shared" ref="I143:I206" si="22">IF(A143="","",$B$5)</f>
        <v>0.33300000000000002</v>
      </c>
      <c r="J143" s="46">
        <f t="shared" ref="J143:J206" si="23">IF(OR(A143="",B143=""),"",ROUND((B143+E143+F143+G143)/(1-H143-I143),-1))</f>
        <v>3040</v>
      </c>
      <c r="K143" s="46">
        <f t="shared" ref="K143:K206" si="24">IF(J143="","",J143-B143-E143-F143-G143-(J143*H143))</f>
        <v>1015</v>
      </c>
      <c r="L143" s="48">
        <f t="shared" ref="L143:L206" si="25">IF(J143="","",K143/J143)</f>
        <v>0.33388157894736842</v>
      </c>
    </row>
    <row r="144" spans="1:12">
      <c r="A144" s="43" t="s">
        <v>713</v>
      </c>
      <c r="B144" s="44">
        <v>20000</v>
      </c>
      <c r="C144" s="45" t="s">
        <v>736</v>
      </c>
      <c r="D144" s="44">
        <v>3000</v>
      </c>
      <c r="E144" s="46">
        <f t="shared" si="18"/>
        <v>3000</v>
      </c>
      <c r="F144" s="46">
        <f t="shared" si="19"/>
        <v>25</v>
      </c>
      <c r="G144" s="46">
        <f t="shared" si="20"/>
        <v>0</v>
      </c>
      <c r="H144" s="47">
        <f t="shared" si="21"/>
        <v>0</v>
      </c>
      <c r="I144" s="47">
        <f t="shared" si="22"/>
        <v>0.33300000000000002</v>
      </c>
      <c r="J144" s="46">
        <f t="shared" si="23"/>
        <v>34520</v>
      </c>
      <c r="K144" s="46">
        <f t="shared" si="24"/>
        <v>11495</v>
      </c>
      <c r="L144" s="48">
        <f t="shared" si="25"/>
        <v>0.33299536500579374</v>
      </c>
    </row>
    <row r="145" spans="1:12">
      <c r="A145" s="43" t="s">
        <v>720</v>
      </c>
      <c r="B145" s="44">
        <v>6500</v>
      </c>
      <c r="C145" s="45" t="s">
        <v>736</v>
      </c>
      <c r="D145" s="44">
        <v>3000</v>
      </c>
      <c r="E145" s="46">
        <f t="shared" si="18"/>
        <v>3000</v>
      </c>
      <c r="F145" s="46">
        <f t="shared" si="19"/>
        <v>25</v>
      </c>
      <c r="G145" s="46">
        <f t="shared" si="20"/>
        <v>0</v>
      </c>
      <c r="H145" s="47">
        <f t="shared" si="21"/>
        <v>0</v>
      </c>
      <c r="I145" s="47">
        <f t="shared" si="22"/>
        <v>0.33300000000000002</v>
      </c>
      <c r="J145" s="46">
        <f t="shared" si="23"/>
        <v>14280</v>
      </c>
      <c r="K145" s="46">
        <f t="shared" si="24"/>
        <v>4755</v>
      </c>
      <c r="L145" s="48">
        <f t="shared" si="25"/>
        <v>0.33298319327731091</v>
      </c>
    </row>
    <row r="146" spans="1:12">
      <c r="A146" s="43" t="s">
        <v>725</v>
      </c>
      <c r="B146" s="44">
        <v>9000</v>
      </c>
      <c r="C146" s="45" t="s">
        <v>736</v>
      </c>
      <c r="D146" s="44">
        <v>2000</v>
      </c>
      <c r="E146" s="46">
        <f t="shared" si="18"/>
        <v>2000</v>
      </c>
      <c r="F146" s="46">
        <f t="shared" si="19"/>
        <v>25</v>
      </c>
      <c r="G146" s="46">
        <f t="shared" si="20"/>
        <v>0</v>
      </c>
      <c r="H146" s="47">
        <f t="shared" si="21"/>
        <v>0</v>
      </c>
      <c r="I146" s="47">
        <f t="shared" si="22"/>
        <v>0.33300000000000002</v>
      </c>
      <c r="J146" s="46">
        <f t="shared" si="23"/>
        <v>16530</v>
      </c>
      <c r="K146" s="46">
        <f t="shared" si="24"/>
        <v>5505</v>
      </c>
      <c r="L146" s="48">
        <f t="shared" si="25"/>
        <v>0.33303085299455537</v>
      </c>
    </row>
    <row r="147" spans="1:12">
      <c r="A147" s="43" t="s">
        <v>730</v>
      </c>
      <c r="B147" s="44">
        <v>1660</v>
      </c>
      <c r="C147" s="45" t="s">
        <v>1351</v>
      </c>
      <c r="D147" s="44">
        <v>1000</v>
      </c>
      <c r="E147" s="46">
        <f t="shared" si="18"/>
        <v>1000</v>
      </c>
      <c r="F147" s="46">
        <f t="shared" si="19"/>
        <v>25</v>
      </c>
      <c r="G147" s="46">
        <f t="shared" si="20"/>
        <v>0</v>
      </c>
      <c r="H147" s="47">
        <f t="shared" si="21"/>
        <v>0</v>
      </c>
      <c r="I147" s="47">
        <f t="shared" si="22"/>
        <v>0.33300000000000002</v>
      </c>
      <c r="J147" s="46">
        <f t="shared" si="23"/>
        <v>4030</v>
      </c>
      <c r="K147" s="46">
        <f t="shared" si="24"/>
        <v>1345</v>
      </c>
      <c r="L147" s="48">
        <f t="shared" si="25"/>
        <v>0.33374689826302728</v>
      </c>
    </row>
    <row r="148" spans="1:12">
      <c r="A148" s="43" t="s">
        <v>738</v>
      </c>
      <c r="B148" s="44">
        <v>9960</v>
      </c>
      <c r="C148" s="45" t="s">
        <v>1351</v>
      </c>
      <c r="D148" s="44">
        <v>1000</v>
      </c>
      <c r="E148" s="46">
        <f t="shared" si="18"/>
        <v>1000</v>
      </c>
      <c r="F148" s="46">
        <f t="shared" si="19"/>
        <v>25</v>
      </c>
      <c r="G148" s="46">
        <f t="shared" si="20"/>
        <v>0</v>
      </c>
      <c r="H148" s="47">
        <f t="shared" si="21"/>
        <v>0</v>
      </c>
      <c r="I148" s="47">
        <f t="shared" si="22"/>
        <v>0.33300000000000002</v>
      </c>
      <c r="J148" s="46">
        <f t="shared" si="23"/>
        <v>16470</v>
      </c>
      <c r="K148" s="46">
        <f t="shared" si="24"/>
        <v>5485</v>
      </c>
      <c r="L148" s="48">
        <f t="shared" si="25"/>
        <v>0.33302975106253796</v>
      </c>
    </row>
    <row r="149" spans="1:12">
      <c r="A149" s="43" t="s">
        <v>744</v>
      </c>
      <c r="B149" s="44">
        <v>1800</v>
      </c>
      <c r="C149" s="45" t="s">
        <v>1351</v>
      </c>
      <c r="D149" s="44">
        <v>1000</v>
      </c>
      <c r="E149" s="46">
        <f t="shared" si="18"/>
        <v>1000</v>
      </c>
      <c r="F149" s="46">
        <f t="shared" si="19"/>
        <v>25</v>
      </c>
      <c r="G149" s="46">
        <f t="shared" si="20"/>
        <v>0</v>
      </c>
      <c r="H149" s="47">
        <f t="shared" si="21"/>
        <v>0</v>
      </c>
      <c r="I149" s="47">
        <f t="shared" si="22"/>
        <v>0.33300000000000002</v>
      </c>
      <c r="J149" s="46">
        <f t="shared" si="23"/>
        <v>4240</v>
      </c>
      <c r="K149" s="46">
        <f t="shared" si="24"/>
        <v>1415</v>
      </c>
      <c r="L149" s="48">
        <f t="shared" si="25"/>
        <v>0.33372641509433965</v>
      </c>
    </row>
    <row r="150" spans="1:12">
      <c r="A150" s="43" t="s">
        <v>748</v>
      </c>
      <c r="B150" s="44">
        <v>10800</v>
      </c>
      <c r="C150" s="45" t="s">
        <v>1351</v>
      </c>
      <c r="D150" s="44">
        <v>6000</v>
      </c>
      <c r="E150" s="46">
        <f t="shared" si="18"/>
        <v>6000</v>
      </c>
      <c r="F150" s="46">
        <f t="shared" si="19"/>
        <v>25</v>
      </c>
      <c r="G150" s="46">
        <f t="shared" si="20"/>
        <v>0</v>
      </c>
      <c r="H150" s="47">
        <f t="shared" si="21"/>
        <v>0</v>
      </c>
      <c r="I150" s="47">
        <f t="shared" si="22"/>
        <v>0.33300000000000002</v>
      </c>
      <c r="J150" s="46">
        <f t="shared" si="23"/>
        <v>25220</v>
      </c>
      <c r="K150" s="46">
        <f t="shared" si="24"/>
        <v>8395</v>
      </c>
      <c r="L150" s="48">
        <f t="shared" si="25"/>
        <v>0.33287073750991275</v>
      </c>
    </row>
    <row r="151" spans="1:12">
      <c r="A151" s="43" t="s">
        <v>753</v>
      </c>
      <c r="B151" s="44">
        <v>1550</v>
      </c>
      <c r="C151" s="45" t="s">
        <v>1351</v>
      </c>
      <c r="D151" s="44">
        <v>1000</v>
      </c>
      <c r="E151" s="46">
        <f t="shared" si="18"/>
        <v>1000</v>
      </c>
      <c r="F151" s="46">
        <f t="shared" si="19"/>
        <v>25</v>
      </c>
      <c r="G151" s="46">
        <f t="shared" si="20"/>
        <v>0</v>
      </c>
      <c r="H151" s="47">
        <f t="shared" si="21"/>
        <v>0</v>
      </c>
      <c r="I151" s="47">
        <f t="shared" si="22"/>
        <v>0.33300000000000002</v>
      </c>
      <c r="J151" s="46">
        <f t="shared" si="23"/>
        <v>3860</v>
      </c>
      <c r="K151" s="46">
        <f t="shared" si="24"/>
        <v>1285</v>
      </c>
      <c r="L151" s="48">
        <f t="shared" si="25"/>
        <v>0.33290155440414509</v>
      </c>
    </row>
    <row r="152" spans="1:12">
      <c r="A152" s="43" t="s">
        <v>758</v>
      </c>
      <c r="B152" s="44">
        <v>9300</v>
      </c>
      <c r="C152" s="45" t="s">
        <v>1351</v>
      </c>
      <c r="D152" s="44">
        <v>1000</v>
      </c>
      <c r="E152" s="46">
        <f t="shared" si="18"/>
        <v>1000</v>
      </c>
      <c r="F152" s="46">
        <f t="shared" si="19"/>
        <v>25</v>
      </c>
      <c r="G152" s="46">
        <f t="shared" si="20"/>
        <v>0</v>
      </c>
      <c r="H152" s="47">
        <f t="shared" si="21"/>
        <v>0</v>
      </c>
      <c r="I152" s="47">
        <f t="shared" si="22"/>
        <v>0.33300000000000002</v>
      </c>
      <c r="J152" s="46">
        <f t="shared" si="23"/>
        <v>15480</v>
      </c>
      <c r="K152" s="46">
        <f t="shared" si="24"/>
        <v>5155</v>
      </c>
      <c r="L152" s="48">
        <f t="shared" si="25"/>
        <v>0.33301033591731266</v>
      </c>
    </row>
    <row r="153" spans="1:12">
      <c r="A153" s="43" t="s">
        <v>763</v>
      </c>
      <c r="B153" s="44">
        <v>1650</v>
      </c>
      <c r="C153" s="45" t="s">
        <v>1351</v>
      </c>
      <c r="D153" s="44">
        <v>1000</v>
      </c>
      <c r="E153" s="46">
        <f t="shared" si="18"/>
        <v>1000</v>
      </c>
      <c r="F153" s="46">
        <f t="shared" si="19"/>
        <v>25</v>
      </c>
      <c r="G153" s="46">
        <f t="shared" si="20"/>
        <v>0</v>
      </c>
      <c r="H153" s="47">
        <f t="shared" si="21"/>
        <v>0</v>
      </c>
      <c r="I153" s="47">
        <f t="shared" si="22"/>
        <v>0.33300000000000002</v>
      </c>
      <c r="J153" s="46">
        <f t="shared" si="23"/>
        <v>4010</v>
      </c>
      <c r="K153" s="46">
        <f t="shared" si="24"/>
        <v>1335</v>
      </c>
      <c r="L153" s="48">
        <f t="shared" si="25"/>
        <v>0.33291770573566087</v>
      </c>
    </row>
    <row r="154" spans="1:12">
      <c r="A154" s="43" t="s">
        <v>768</v>
      </c>
      <c r="B154" s="44">
        <v>9900</v>
      </c>
      <c r="C154" s="45" t="s">
        <v>1351</v>
      </c>
      <c r="D154" s="44">
        <v>1000</v>
      </c>
      <c r="E154" s="46">
        <f t="shared" si="18"/>
        <v>1000</v>
      </c>
      <c r="F154" s="46">
        <f t="shared" si="19"/>
        <v>25</v>
      </c>
      <c r="G154" s="46">
        <f t="shared" si="20"/>
        <v>0</v>
      </c>
      <c r="H154" s="47">
        <f t="shared" si="21"/>
        <v>0</v>
      </c>
      <c r="I154" s="47">
        <f t="shared" si="22"/>
        <v>0.33300000000000002</v>
      </c>
      <c r="J154" s="46">
        <f t="shared" si="23"/>
        <v>16380</v>
      </c>
      <c r="K154" s="46">
        <f t="shared" si="24"/>
        <v>5455</v>
      </c>
      <c r="L154" s="48">
        <f t="shared" si="25"/>
        <v>0.33302808302808301</v>
      </c>
    </row>
    <row r="155" spans="1:12">
      <c r="A155" s="43" t="s">
        <v>773</v>
      </c>
      <c r="B155" s="44">
        <v>450</v>
      </c>
      <c r="C155" s="45" t="s">
        <v>1351</v>
      </c>
      <c r="D155" s="44">
        <v>2000</v>
      </c>
      <c r="E155" s="46">
        <f t="shared" si="18"/>
        <v>2000</v>
      </c>
      <c r="F155" s="46">
        <f t="shared" si="19"/>
        <v>25</v>
      </c>
      <c r="G155" s="46">
        <f t="shared" si="20"/>
        <v>0</v>
      </c>
      <c r="H155" s="47">
        <f t="shared" si="21"/>
        <v>0</v>
      </c>
      <c r="I155" s="47">
        <f t="shared" si="22"/>
        <v>0.33300000000000002</v>
      </c>
      <c r="J155" s="46">
        <f t="shared" si="23"/>
        <v>3710</v>
      </c>
      <c r="K155" s="46">
        <f t="shared" si="24"/>
        <v>1235</v>
      </c>
      <c r="L155" s="48">
        <f t="shared" si="25"/>
        <v>0.3328840970350404</v>
      </c>
    </row>
    <row r="156" spans="1:12">
      <c r="A156" s="43" t="s">
        <v>778</v>
      </c>
      <c r="B156" s="44">
        <v>2700</v>
      </c>
      <c r="C156" s="45" t="s">
        <v>1351</v>
      </c>
      <c r="D156" s="44">
        <v>6000</v>
      </c>
      <c r="E156" s="46">
        <f t="shared" si="18"/>
        <v>6000</v>
      </c>
      <c r="F156" s="46">
        <f t="shared" si="19"/>
        <v>25</v>
      </c>
      <c r="G156" s="46">
        <f t="shared" si="20"/>
        <v>0</v>
      </c>
      <c r="H156" s="47">
        <f t="shared" si="21"/>
        <v>0</v>
      </c>
      <c r="I156" s="47">
        <f t="shared" si="22"/>
        <v>0.33300000000000002</v>
      </c>
      <c r="J156" s="46">
        <f t="shared" si="23"/>
        <v>13080</v>
      </c>
      <c r="K156" s="46">
        <f t="shared" si="24"/>
        <v>4355</v>
      </c>
      <c r="L156" s="48">
        <f t="shared" si="25"/>
        <v>0.33295107033639143</v>
      </c>
    </row>
    <row r="157" spans="1:12">
      <c r="A157" s="43" t="s">
        <v>783</v>
      </c>
      <c r="B157" s="44">
        <v>330</v>
      </c>
      <c r="C157" s="45" t="s">
        <v>1351</v>
      </c>
      <c r="D157" s="44">
        <v>2000</v>
      </c>
      <c r="E157" s="46">
        <f t="shared" si="18"/>
        <v>2000</v>
      </c>
      <c r="F157" s="46">
        <f t="shared" si="19"/>
        <v>25</v>
      </c>
      <c r="G157" s="46">
        <f t="shared" si="20"/>
        <v>0</v>
      </c>
      <c r="H157" s="47">
        <f t="shared" si="21"/>
        <v>0</v>
      </c>
      <c r="I157" s="47">
        <f t="shared" si="22"/>
        <v>0.33300000000000002</v>
      </c>
      <c r="J157" s="46">
        <f t="shared" si="23"/>
        <v>3530</v>
      </c>
      <c r="K157" s="46">
        <f t="shared" si="24"/>
        <v>1175</v>
      </c>
      <c r="L157" s="48">
        <f t="shared" si="25"/>
        <v>0.33286118980169971</v>
      </c>
    </row>
    <row r="158" spans="1:12">
      <c r="A158" s="43" t="s">
        <v>788</v>
      </c>
      <c r="B158" s="44">
        <v>1980</v>
      </c>
      <c r="C158" s="45" t="s">
        <v>1351</v>
      </c>
      <c r="D158" s="44">
        <v>6000</v>
      </c>
      <c r="E158" s="46">
        <f t="shared" si="18"/>
        <v>6000</v>
      </c>
      <c r="F158" s="46">
        <f t="shared" si="19"/>
        <v>25</v>
      </c>
      <c r="G158" s="46">
        <f t="shared" si="20"/>
        <v>0</v>
      </c>
      <c r="H158" s="47">
        <f t="shared" si="21"/>
        <v>0</v>
      </c>
      <c r="I158" s="47">
        <f t="shared" si="22"/>
        <v>0.33300000000000002</v>
      </c>
      <c r="J158" s="46">
        <f t="shared" si="23"/>
        <v>12000</v>
      </c>
      <c r="K158" s="46">
        <f t="shared" si="24"/>
        <v>3995</v>
      </c>
      <c r="L158" s="48">
        <f t="shared" si="25"/>
        <v>0.33291666666666669</v>
      </c>
    </row>
    <row r="159" spans="1:12">
      <c r="A159" s="43" t="s">
        <v>793</v>
      </c>
      <c r="B159" s="44">
        <v>1700</v>
      </c>
      <c r="C159" s="45" t="s">
        <v>1351</v>
      </c>
      <c r="D159" s="44">
        <v>1000</v>
      </c>
      <c r="E159" s="46">
        <f t="shared" si="18"/>
        <v>1000</v>
      </c>
      <c r="F159" s="46">
        <f t="shared" si="19"/>
        <v>25</v>
      </c>
      <c r="G159" s="46">
        <f t="shared" si="20"/>
        <v>0</v>
      </c>
      <c r="H159" s="47">
        <f t="shared" si="21"/>
        <v>0</v>
      </c>
      <c r="I159" s="47">
        <f t="shared" si="22"/>
        <v>0.33300000000000002</v>
      </c>
      <c r="J159" s="46">
        <f t="shared" si="23"/>
        <v>4090</v>
      </c>
      <c r="K159" s="46">
        <f t="shared" si="24"/>
        <v>1365</v>
      </c>
      <c r="L159" s="48">
        <f t="shared" si="25"/>
        <v>0.33374083129584353</v>
      </c>
    </row>
    <row r="160" spans="1:12">
      <c r="A160" s="43" t="s">
        <v>802</v>
      </c>
      <c r="B160" s="44">
        <v>340</v>
      </c>
      <c r="C160" s="45" t="s">
        <v>1351</v>
      </c>
      <c r="D160" s="44">
        <v>1000</v>
      </c>
      <c r="E160" s="46">
        <f t="shared" si="18"/>
        <v>1000</v>
      </c>
      <c r="F160" s="46">
        <f t="shared" si="19"/>
        <v>25</v>
      </c>
      <c r="G160" s="46">
        <f t="shared" si="20"/>
        <v>0</v>
      </c>
      <c r="H160" s="47">
        <f t="shared" si="21"/>
        <v>0</v>
      </c>
      <c r="I160" s="47">
        <f t="shared" si="22"/>
        <v>0.33300000000000002</v>
      </c>
      <c r="J160" s="46">
        <f t="shared" si="23"/>
        <v>2050</v>
      </c>
      <c r="K160" s="46">
        <f t="shared" si="24"/>
        <v>685</v>
      </c>
      <c r="L160" s="48">
        <f t="shared" si="25"/>
        <v>0.33414634146341465</v>
      </c>
    </row>
    <row r="161" spans="1:12">
      <c r="A161" s="43" t="s">
        <v>808</v>
      </c>
      <c r="B161" s="44">
        <v>2040</v>
      </c>
      <c r="C161" s="45" t="s">
        <v>1351</v>
      </c>
      <c r="D161" s="44">
        <v>6000</v>
      </c>
      <c r="E161" s="46">
        <f t="shared" si="18"/>
        <v>6000</v>
      </c>
      <c r="F161" s="46">
        <f t="shared" si="19"/>
        <v>25</v>
      </c>
      <c r="G161" s="46">
        <f t="shared" si="20"/>
        <v>0</v>
      </c>
      <c r="H161" s="47">
        <f t="shared" si="21"/>
        <v>0</v>
      </c>
      <c r="I161" s="47">
        <f t="shared" si="22"/>
        <v>0.33300000000000002</v>
      </c>
      <c r="J161" s="46">
        <f t="shared" si="23"/>
        <v>12090</v>
      </c>
      <c r="K161" s="46">
        <f t="shared" si="24"/>
        <v>4025</v>
      </c>
      <c r="L161" s="48">
        <f t="shared" si="25"/>
        <v>0.33291976840363935</v>
      </c>
    </row>
    <row r="162" spans="1:12">
      <c r="A162" s="43" t="s">
        <v>815</v>
      </c>
      <c r="B162" s="44">
        <v>1700</v>
      </c>
      <c r="C162" s="45" t="s">
        <v>1351</v>
      </c>
      <c r="D162" s="44">
        <v>1000</v>
      </c>
      <c r="E162" s="46">
        <f t="shared" si="18"/>
        <v>1000</v>
      </c>
      <c r="F162" s="46">
        <f t="shared" si="19"/>
        <v>25</v>
      </c>
      <c r="G162" s="46">
        <f t="shared" si="20"/>
        <v>0</v>
      </c>
      <c r="H162" s="47">
        <f t="shared" si="21"/>
        <v>0</v>
      </c>
      <c r="I162" s="47">
        <f t="shared" si="22"/>
        <v>0.33300000000000002</v>
      </c>
      <c r="J162" s="46">
        <f t="shared" si="23"/>
        <v>4090</v>
      </c>
      <c r="K162" s="46">
        <f t="shared" si="24"/>
        <v>1365</v>
      </c>
      <c r="L162" s="48">
        <f t="shared" si="25"/>
        <v>0.33374083129584353</v>
      </c>
    </row>
    <row r="163" spans="1:12">
      <c r="A163" s="43" t="s">
        <v>821</v>
      </c>
      <c r="B163" s="44">
        <v>340</v>
      </c>
      <c r="C163" s="45" t="s">
        <v>1351</v>
      </c>
      <c r="D163" s="44">
        <v>1000</v>
      </c>
      <c r="E163" s="46">
        <f t="shared" si="18"/>
        <v>1000</v>
      </c>
      <c r="F163" s="46">
        <f t="shared" si="19"/>
        <v>25</v>
      </c>
      <c r="G163" s="46">
        <f t="shared" si="20"/>
        <v>0</v>
      </c>
      <c r="H163" s="47">
        <f t="shared" si="21"/>
        <v>0</v>
      </c>
      <c r="I163" s="47">
        <f t="shared" si="22"/>
        <v>0.33300000000000002</v>
      </c>
      <c r="J163" s="46">
        <f t="shared" si="23"/>
        <v>2050</v>
      </c>
      <c r="K163" s="46">
        <f t="shared" si="24"/>
        <v>685</v>
      </c>
      <c r="L163" s="48">
        <f t="shared" si="25"/>
        <v>0.33414634146341465</v>
      </c>
    </row>
    <row r="164" spans="1:12">
      <c r="A164" s="43" t="s">
        <v>825</v>
      </c>
      <c r="B164" s="44">
        <v>2040</v>
      </c>
      <c r="C164" s="45" t="s">
        <v>1351</v>
      </c>
      <c r="D164" s="44">
        <v>6000</v>
      </c>
      <c r="E164" s="46">
        <f t="shared" si="18"/>
        <v>6000</v>
      </c>
      <c r="F164" s="46">
        <f t="shared" si="19"/>
        <v>25</v>
      </c>
      <c r="G164" s="46">
        <f t="shared" si="20"/>
        <v>0</v>
      </c>
      <c r="H164" s="47">
        <f t="shared" si="21"/>
        <v>0</v>
      </c>
      <c r="I164" s="47">
        <f t="shared" si="22"/>
        <v>0.33300000000000002</v>
      </c>
      <c r="J164" s="46">
        <f t="shared" si="23"/>
        <v>12090</v>
      </c>
      <c r="K164" s="46">
        <f t="shared" si="24"/>
        <v>4025</v>
      </c>
      <c r="L164" s="48">
        <f t="shared" si="25"/>
        <v>0.33291976840363935</v>
      </c>
    </row>
    <row r="165" spans="1:12">
      <c r="A165" s="43" t="s">
        <v>829</v>
      </c>
      <c r="B165" s="44">
        <v>1700</v>
      </c>
      <c r="C165" s="45" t="s">
        <v>1351</v>
      </c>
      <c r="D165" s="44">
        <v>1000</v>
      </c>
      <c r="E165" s="46">
        <f t="shared" si="18"/>
        <v>1000</v>
      </c>
      <c r="F165" s="46">
        <f t="shared" si="19"/>
        <v>25</v>
      </c>
      <c r="G165" s="46">
        <f t="shared" si="20"/>
        <v>0</v>
      </c>
      <c r="H165" s="47">
        <f t="shared" si="21"/>
        <v>0</v>
      </c>
      <c r="I165" s="47">
        <f t="shared" si="22"/>
        <v>0.33300000000000002</v>
      </c>
      <c r="J165" s="46">
        <f t="shared" si="23"/>
        <v>4090</v>
      </c>
      <c r="K165" s="46">
        <f t="shared" si="24"/>
        <v>1365</v>
      </c>
      <c r="L165" s="48">
        <f t="shared" si="25"/>
        <v>0.33374083129584353</v>
      </c>
    </row>
    <row r="166" spans="1:12">
      <c r="A166" s="43" t="s">
        <v>835</v>
      </c>
      <c r="B166" s="44">
        <v>340</v>
      </c>
      <c r="C166" s="45" t="s">
        <v>1351</v>
      </c>
      <c r="D166" s="44">
        <v>1000</v>
      </c>
      <c r="E166" s="46">
        <f t="shared" si="18"/>
        <v>1000</v>
      </c>
      <c r="F166" s="46">
        <f t="shared" si="19"/>
        <v>25</v>
      </c>
      <c r="G166" s="46">
        <f t="shared" si="20"/>
        <v>0</v>
      </c>
      <c r="H166" s="47">
        <f t="shared" si="21"/>
        <v>0</v>
      </c>
      <c r="I166" s="47">
        <f t="shared" si="22"/>
        <v>0.33300000000000002</v>
      </c>
      <c r="J166" s="46">
        <f t="shared" si="23"/>
        <v>2050</v>
      </c>
      <c r="K166" s="46">
        <f t="shared" si="24"/>
        <v>685</v>
      </c>
      <c r="L166" s="48">
        <f t="shared" si="25"/>
        <v>0.33414634146341465</v>
      </c>
    </row>
    <row r="167" spans="1:12">
      <c r="A167" s="43" t="s">
        <v>839</v>
      </c>
      <c r="B167" s="44">
        <v>2040</v>
      </c>
      <c r="C167" s="45" t="s">
        <v>1351</v>
      </c>
      <c r="D167" s="44">
        <v>6000</v>
      </c>
      <c r="E167" s="46">
        <f t="shared" si="18"/>
        <v>6000</v>
      </c>
      <c r="F167" s="46">
        <f t="shared" si="19"/>
        <v>25</v>
      </c>
      <c r="G167" s="46">
        <f t="shared" si="20"/>
        <v>0</v>
      </c>
      <c r="H167" s="47">
        <f t="shared" si="21"/>
        <v>0</v>
      </c>
      <c r="I167" s="47">
        <f t="shared" si="22"/>
        <v>0.33300000000000002</v>
      </c>
      <c r="J167" s="46">
        <f t="shared" si="23"/>
        <v>12090</v>
      </c>
      <c r="K167" s="46">
        <f t="shared" si="24"/>
        <v>4025</v>
      </c>
      <c r="L167" s="48">
        <f t="shared" si="25"/>
        <v>0.33291976840363935</v>
      </c>
    </row>
    <row r="168" spans="1:12">
      <c r="A168" s="43" t="s">
        <v>843</v>
      </c>
      <c r="B168" s="44">
        <v>1700</v>
      </c>
      <c r="C168" s="45" t="s">
        <v>1351</v>
      </c>
      <c r="D168" s="44">
        <v>1000</v>
      </c>
      <c r="E168" s="46">
        <f t="shared" si="18"/>
        <v>1000</v>
      </c>
      <c r="F168" s="46">
        <f t="shared" si="19"/>
        <v>25</v>
      </c>
      <c r="G168" s="46">
        <f t="shared" si="20"/>
        <v>0</v>
      </c>
      <c r="H168" s="47">
        <f t="shared" si="21"/>
        <v>0</v>
      </c>
      <c r="I168" s="47">
        <f t="shared" si="22"/>
        <v>0.33300000000000002</v>
      </c>
      <c r="J168" s="46">
        <f t="shared" si="23"/>
        <v>4090</v>
      </c>
      <c r="K168" s="46">
        <f t="shared" si="24"/>
        <v>1365</v>
      </c>
      <c r="L168" s="48">
        <f t="shared" si="25"/>
        <v>0.33374083129584353</v>
      </c>
    </row>
    <row r="169" spans="1:12">
      <c r="A169" s="43" t="s">
        <v>848</v>
      </c>
      <c r="B169" s="44">
        <v>340</v>
      </c>
      <c r="C169" s="45" t="s">
        <v>1351</v>
      </c>
      <c r="D169" s="44">
        <v>1000</v>
      </c>
      <c r="E169" s="46">
        <f t="shared" si="18"/>
        <v>1000</v>
      </c>
      <c r="F169" s="46">
        <f t="shared" si="19"/>
        <v>25</v>
      </c>
      <c r="G169" s="46">
        <f t="shared" si="20"/>
        <v>0</v>
      </c>
      <c r="H169" s="47">
        <f t="shared" si="21"/>
        <v>0</v>
      </c>
      <c r="I169" s="47">
        <f t="shared" si="22"/>
        <v>0.33300000000000002</v>
      </c>
      <c r="J169" s="46">
        <f t="shared" si="23"/>
        <v>2050</v>
      </c>
      <c r="K169" s="46">
        <f t="shared" si="24"/>
        <v>685</v>
      </c>
      <c r="L169" s="48">
        <f t="shared" si="25"/>
        <v>0.33414634146341465</v>
      </c>
    </row>
    <row r="170" spans="1:12">
      <c r="A170" s="43" t="s">
        <v>852</v>
      </c>
      <c r="B170" s="44">
        <v>2040</v>
      </c>
      <c r="C170" s="45" t="s">
        <v>1351</v>
      </c>
      <c r="D170" s="44">
        <v>6000</v>
      </c>
      <c r="E170" s="46">
        <f t="shared" si="18"/>
        <v>6000</v>
      </c>
      <c r="F170" s="46">
        <f t="shared" si="19"/>
        <v>25</v>
      </c>
      <c r="G170" s="46">
        <f t="shared" si="20"/>
        <v>0</v>
      </c>
      <c r="H170" s="47">
        <f t="shared" si="21"/>
        <v>0</v>
      </c>
      <c r="I170" s="47">
        <f t="shared" si="22"/>
        <v>0.33300000000000002</v>
      </c>
      <c r="J170" s="46">
        <f t="shared" si="23"/>
        <v>12090</v>
      </c>
      <c r="K170" s="46">
        <f t="shared" si="24"/>
        <v>4025</v>
      </c>
      <c r="L170" s="48">
        <f t="shared" si="25"/>
        <v>0.33291976840363935</v>
      </c>
    </row>
    <row r="171" spans="1:12">
      <c r="A171" s="43" t="s">
        <v>856</v>
      </c>
      <c r="B171" s="44">
        <v>1000</v>
      </c>
      <c r="C171" s="45" t="s">
        <v>34</v>
      </c>
      <c r="D171" s="44">
        <f t="shared" ref="D171:D206" si="26">IF(A171="","",$B$7/$B$6)</f>
        <v>25</v>
      </c>
      <c r="E171" s="46">
        <f t="shared" si="18"/>
        <v>0</v>
      </c>
      <c r="F171" s="46">
        <f t="shared" si="19"/>
        <v>25</v>
      </c>
      <c r="G171" s="46">
        <f t="shared" si="20"/>
        <v>0</v>
      </c>
      <c r="H171" s="47">
        <f t="shared" si="21"/>
        <v>0</v>
      </c>
      <c r="I171" s="47">
        <f t="shared" si="22"/>
        <v>0.33300000000000002</v>
      </c>
      <c r="J171" s="46">
        <f t="shared" si="23"/>
        <v>1540</v>
      </c>
      <c r="K171" s="46">
        <f t="shared" si="24"/>
        <v>515</v>
      </c>
      <c r="L171" s="48">
        <f t="shared" si="25"/>
        <v>0.33441558441558439</v>
      </c>
    </row>
    <row r="172" spans="1:12">
      <c r="A172" s="43" t="s">
        <v>865</v>
      </c>
      <c r="B172" s="44">
        <v>1200</v>
      </c>
      <c r="C172" s="45" t="s">
        <v>34</v>
      </c>
      <c r="D172" s="44">
        <f t="shared" si="26"/>
        <v>25</v>
      </c>
      <c r="E172" s="46">
        <f t="shared" si="18"/>
        <v>0</v>
      </c>
      <c r="F172" s="46">
        <f t="shared" si="19"/>
        <v>25</v>
      </c>
      <c r="G172" s="46">
        <f t="shared" si="20"/>
        <v>0</v>
      </c>
      <c r="H172" s="47">
        <f t="shared" si="21"/>
        <v>0</v>
      </c>
      <c r="I172" s="47">
        <f t="shared" si="22"/>
        <v>0.33300000000000002</v>
      </c>
      <c r="J172" s="46">
        <f t="shared" si="23"/>
        <v>1840</v>
      </c>
      <c r="K172" s="46">
        <f t="shared" si="24"/>
        <v>615</v>
      </c>
      <c r="L172" s="48">
        <f t="shared" si="25"/>
        <v>0.33423913043478259</v>
      </c>
    </row>
    <row r="173" spans="1:12">
      <c r="A173" s="43" t="s">
        <v>872</v>
      </c>
      <c r="B173" s="44">
        <v>1400</v>
      </c>
      <c r="C173" s="45" t="s">
        <v>34</v>
      </c>
      <c r="D173" s="44">
        <f t="shared" si="26"/>
        <v>25</v>
      </c>
      <c r="E173" s="46">
        <f t="shared" si="18"/>
        <v>0</v>
      </c>
      <c r="F173" s="46">
        <f t="shared" si="19"/>
        <v>25</v>
      </c>
      <c r="G173" s="46">
        <f t="shared" si="20"/>
        <v>0</v>
      </c>
      <c r="H173" s="47">
        <f t="shared" si="21"/>
        <v>0</v>
      </c>
      <c r="I173" s="47">
        <f t="shared" si="22"/>
        <v>0.33300000000000002</v>
      </c>
      <c r="J173" s="46">
        <f t="shared" si="23"/>
        <v>2140</v>
      </c>
      <c r="K173" s="46">
        <f t="shared" si="24"/>
        <v>715</v>
      </c>
      <c r="L173" s="48">
        <f t="shared" si="25"/>
        <v>0.33411214953271029</v>
      </c>
    </row>
    <row r="174" spans="1:12">
      <c r="A174" s="43" t="s">
        <v>879</v>
      </c>
      <c r="B174" s="44">
        <v>2000</v>
      </c>
      <c r="C174" s="45" t="s">
        <v>34</v>
      </c>
      <c r="D174" s="44">
        <f t="shared" si="26"/>
        <v>25</v>
      </c>
      <c r="E174" s="46">
        <f t="shared" si="18"/>
        <v>0</v>
      </c>
      <c r="F174" s="46">
        <f t="shared" si="19"/>
        <v>25</v>
      </c>
      <c r="G174" s="46">
        <f t="shared" si="20"/>
        <v>0</v>
      </c>
      <c r="H174" s="47">
        <f t="shared" si="21"/>
        <v>0</v>
      </c>
      <c r="I174" s="47">
        <f t="shared" si="22"/>
        <v>0.33300000000000002</v>
      </c>
      <c r="J174" s="46">
        <f t="shared" si="23"/>
        <v>3040</v>
      </c>
      <c r="K174" s="46">
        <f t="shared" si="24"/>
        <v>1015</v>
      </c>
      <c r="L174" s="48">
        <f t="shared" si="25"/>
        <v>0.33388157894736842</v>
      </c>
    </row>
    <row r="175" spans="1:12">
      <c r="A175" s="43" t="s">
        <v>884</v>
      </c>
      <c r="B175" s="44">
        <v>4400</v>
      </c>
      <c r="C175" s="45" t="s">
        <v>34</v>
      </c>
      <c r="D175" s="44">
        <f t="shared" si="26"/>
        <v>25</v>
      </c>
      <c r="E175" s="46">
        <f t="shared" si="18"/>
        <v>0</v>
      </c>
      <c r="F175" s="46">
        <f t="shared" si="19"/>
        <v>25</v>
      </c>
      <c r="G175" s="46">
        <f t="shared" si="20"/>
        <v>0</v>
      </c>
      <c r="H175" s="47">
        <f t="shared" si="21"/>
        <v>0</v>
      </c>
      <c r="I175" s="47">
        <f t="shared" si="22"/>
        <v>0.33300000000000002</v>
      </c>
      <c r="J175" s="46">
        <f t="shared" si="23"/>
        <v>6630</v>
      </c>
      <c r="K175" s="46">
        <f t="shared" si="24"/>
        <v>2205</v>
      </c>
      <c r="L175" s="48">
        <f t="shared" si="25"/>
        <v>0.33257918552036198</v>
      </c>
    </row>
    <row r="176" spans="1:12">
      <c r="A176" s="43" t="s">
        <v>889</v>
      </c>
      <c r="B176" s="44">
        <v>7000</v>
      </c>
      <c r="C176" s="45" t="s">
        <v>34</v>
      </c>
      <c r="D176" s="44">
        <f t="shared" si="26"/>
        <v>25</v>
      </c>
      <c r="E176" s="46">
        <f t="shared" si="18"/>
        <v>0</v>
      </c>
      <c r="F176" s="46">
        <f t="shared" si="19"/>
        <v>25</v>
      </c>
      <c r="G176" s="46">
        <f t="shared" si="20"/>
        <v>0</v>
      </c>
      <c r="H176" s="47">
        <f t="shared" si="21"/>
        <v>0</v>
      </c>
      <c r="I176" s="47">
        <f t="shared" si="22"/>
        <v>0.33300000000000002</v>
      </c>
      <c r="J176" s="46">
        <f t="shared" si="23"/>
        <v>10530</v>
      </c>
      <c r="K176" s="46">
        <f t="shared" si="24"/>
        <v>3505</v>
      </c>
      <c r="L176" s="48">
        <f t="shared" si="25"/>
        <v>0.33285849952516622</v>
      </c>
    </row>
    <row r="177" spans="1:12">
      <c r="A177" s="43" t="s">
        <v>894</v>
      </c>
      <c r="B177" s="44">
        <v>8800</v>
      </c>
      <c r="C177" s="45" t="s">
        <v>34</v>
      </c>
      <c r="D177" s="44">
        <f t="shared" si="26"/>
        <v>25</v>
      </c>
      <c r="E177" s="46">
        <f t="shared" si="18"/>
        <v>0</v>
      </c>
      <c r="F177" s="46">
        <f t="shared" si="19"/>
        <v>25</v>
      </c>
      <c r="G177" s="46">
        <f t="shared" si="20"/>
        <v>0</v>
      </c>
      <c r="H177" s="47">
        <f t="shared" si="21"/>
        <v>0</v>
      </c>
      <c r="I177" s="47">
        <f t="shared" si="22"/>
        <v>0.33300000000000002</v>
      </c>
      <c r="J177" s="46">
        <f t="shared" si="23"/>
        <v>13230</v>
      </c>
      <c r="K177" s="46">
        <f t="shared" si="24"/>
        <v>4405</v>
      </c>
      <c r="L177" s="48">
        <f t="shared" si="25"/>
        <v>0.33295540438397581</v>
      </c>
    </row>
    <row r="178" spans="1:12">
      <c r="A178" s="43" t="s">
        <v>899</v>
      </c>
      <c r="B178" s="44">
        <v>300</v>
      </c>
      <c r="C178" s="45" t="s">
        <v>34</v>
      </c>
      <c r="D178" s="44">
        <f t="shared" si="26"/>
        <v>25</v>
      </c>
      <c r="E178" s="46">
        <f t="shared" si="18"/>
        <v>0</v>
      </c>
      <c r="F178" s="46">
        <f t="shared" si="19"/>
        <v>25</v>
      </c>
      <c r="G178" s="46">
        <f t="shared" si="20"/>
        <v>0</v>
      </c>
      <c r="H178" s="47">
        <f t="shared" si="21"/>
        <v>0</v>
      </c>
      <c r="I178" s="47">
        <f t="shared" si="22"/>
        <v>0.33300000000000002</v>
      </c>
      <c r="J178" s="46">
        <f t="shared" si="23"/>
        <v>490</v>
      </c>
      <c r="K178" s="46">
        <f t="shared" si="24"/>
        <v>165</v>
      </c>
      <c r="L178" s="48">
        <f t="shared" si="25"/>
        <v>0.33673469387755101</v>
      </c>
    </row>
    <row r="179" spans="1:12">
      <c r="A179" s="43" t="s">
        <v>906</v>
      </c>
      <c r="B179" s="44">
        <v>1400</v>
      </c>
      <c r="C179" s="45" t="s">
        <v>34</v>
      </c>
      <c r="D179" s="44">
        <f t="shared" si="26"/>
        <v>25</v>
      </c>
      <c r="E179" s="46">
        <f t="shared" si="18"/>
        <v>0</v>
      </c>
      <c r="F179" s="46">
        <f t="shared" si="19"/>
        <v>25</v>
      </c>
      <c r="G179" s="46">
        <f t="shared" si="20"/>
        <v>0</v>
      </c>
      <c r="H179" s="47">
        <f t="shared" si="21"/>
        <v>0</v>
      </c>
      <c r="I179" s="47">
        <f t="shared" si="22"/>
        <v>0.33300000000000002</v>
      </c>
      <c r="J179" s="46">
        <f t="shared" si="23"/>
        <v>2140</v>
      </c>
      <c r="K179" s="46">
        <f t="shared" si="24"/>
        <v>715</v>
      </c>
      <c r="L179" s="48">
        <f t="shared" si="25"/>
        <v>0.33411214953271029</v>
      </c>
    </row>
    <row r="180" spans="1:12">
      <c r="A180" s="43" t="s">
        <v>911</v>
      </c>
      <c r="B180" s="44">
        <v>400</v>
      </c>
      <c r="C180" s="45" t="s">
        <v>34</v>
      </c>
      <c r="D180" s="44">
        <f t="shared" si="26"/>
        <v>25</v>
      </c>
      <c r="E180" s="46">
        <f t="shared" si="18"/>
        <v>0</v>
      </c>
      <c r="F180" s="46">
        <f t="shared" si="19"/>
        <v>25</v>
      </c>
      <c r="G180" s="46">
        <f t="shared" si="20"/>
        <v>0</v>
      </c>
      <c r="H180" s="47">
        <f t="shared" si="21"/>
        <v>0</v>
      </c>
      <c r="I180" s="47">
        <f t="shared" si="22"/>
        <v>0.33300000000000002</v>
      </c>
      <c r="J180" s="46">
        <f t="shared" si="23"/>
        <v>640</v>
      </c>
      <c r="K180" s="46">
        <f t="shared" si="24"/>
        <v>215</v>
      </c>
      <c r="L180" s="48">
        <f t="shared" si="25"/>
        <v>0.3359375</v>
      </c>
    </row>
    <row r="181" spans="1:12">
      <c r="A181" s="43" t="s">
        <v>916</v>
      </c>
      <c r="B181" s="44">
        <v>2280</v>
      </c>
      <c r="C181" s="45" t="s">
        <v>34</v>
      </c>
      <c r="D181" s="44">
        <f t="shared" si="26"/>
        <v>25</v>
      </c>
      <c r="E181" s="46">
        <f t="shared" si="18"/>
        <v>0</v>
      </c>
      <c r="F181" s="46">
        <f t="shared" si="19"/>
        <v>25</v>
      </c>
      <c r="G181" s="46">
        <f t="shared" si="20"/>
        <v>0</v>
      </c>
      <c r="H181" s="47">
        <f t="shared" si="21"/>
        <v>0</v>
      </c>
      <c r="I181" s="47">
        <f t="shared" si="22"/>
        <v>0.33300000000000002</v>
      </c>
      <c r="J181" s="46">
        <f t="shared" si="23"/>
        <v>3460</v>
      </c>
      <c r="K181" s="46">
        <f t="shared" si="24"/>
        <v>1155</v>
      </c>
      <c r="L181" s="48">
        <f t="shared" si="25"/>
        <v>0.33381502890173409</v>
      </c>
    </row>
    <row r="182" spans="1:12">
      <c r="A182" s="43" t="s">
        <v>921</v>
      </c>
      <c r="B182" s="44">
        <v>14000</v>
      </c>
      <c r="C182" s="45" t="s">
        <v>34</v>
      </c>
      <c r="D182" s="44">
        <f t="shared" si="26"/>
        <v>25</v>
      </c>
      <c r="E182" s="46">
        <f t="shared" si="18"/>
        <v>0</v>
      </c>
      <c r="F182" s="46">
        <f t="shared" si="19"/>
        <v>25</v>
      </c>
      <c r="G182" s="46">
        <f t="shared" si="20"/>
        <v>0</v>
      </c>
      <c r="H182" s="47">
        <f t="shared" si="21"/>
        <v>0</v>
      </c>
      <c r="I182" s="47">
        <f t="shared" si="22"/>
        <v>0.33300000000000002</v>
      </c>
      <c r="J182" s="46">
        <f t="shared" si="23"/>
        <v>21030</v>
      </c>
      <c r="K182" s="46">
        <f t="shared" si="24"/>
        <v>7005</v>
      </c>
      <c r="L182" s="48">
        <f t="shared" si="25"/>
        <v>0.33309557774607701</v>
      </c>
    </row>
    <row r="183" spans="1:12">
      <c r="A183" s="43" t="s">
        <v>926</v>
      </c>
      <c r="B183" s="44">
        <v>650</v>
      </c>
      <c r="C183" s="45" t="s">
        <v>34</v>
      </c>
      <c r="D183" s="44">
        <f t="shared" si="26"/>
        <v>25</v>
      </c>
      <c r="E183" s="46">
        <f t="shared" si="18"/>
        <v>0</v>
      </c>
      <c r="F183" s="46">
        <f t="shared" si="19"/>
        <v>25</v>
      </c>
      <c r="G183" s="46">
        <f t="shared" si="20"/>
        <v>0</v>
      </c>
      <c r="H183" s="47">
        <f t="shared" si="21"/>
        <v>0</v>
      </c>
      <c r="I183" s="47">
        <f t="shared" si="22"/>
        <v>0.33300000000000002</v>
      </c>
      <c r="J183" s="46">
        <f t="shared" si="23"/>
        <v>1010</v>
      </c>
      <c r="K183" s="46">
        <f t="shared" si="24"/>
        <v>335</v>
      </c>
      <c r="L183" s="48">
        <f t="shared" si="25"/>
        <v>0.3316831683168317</v>
      </c>
    </row>
    <row r="184" spans="1:12">
      <c r="A184" s="43" t="s">
        <v>931</v>
      </c>
      <c r="B184" s="44">
        <v>1700</v>
      </c>
      <c r="C184" s="45" t="s">
        <v>34</v>
      </c>
      <c r="D184" s="44">
        <f t="shared" si="26"/>
        <v>25</v>
      </c>
      <c r="E184" s="46">
        <f t="shared" si="18"/>
        <v>0</v>
      </c>
      <c r="F184" s="46">
        <f t="shared" si="19"/>
        <v>25</v>
      </c>
      <c r="G184" s="46">
        <f t="shared" si="20"/>
        <v>0</v>
      </c>
      <c r="H184" s="47">
        <f t="shared" si="21"/>
        <v>0</v>
      </c>
      <c r="I184" s="47">
        <f t="shared" si="22"/>
        <v>0.33300000000000002</v>
      </c>
      <c r="J184" s="46">
        <f t="shared" si="23"/>
        <v>2590</v>
      </c>
      <c r="K184" s="46">
        <f t="shared" si="24"/>
        <v>865</v>
      </c>
      <c r="L184" s="48">
        <f t="shared" si="25"/>
        <v>0.33397683397683398</v>
      </c>
    </row>
    <row r="185" spans="1:12">
      <c r="A185" s="43" t="s">
        <v>936</v>
      </c>
      <c r="B185" s="44">
        <v>20000</v>
      </c>
      <c r="C185" s="45" t="s">
        <v>34</v>
      </c>
      <c r="D185" s="44">
        <f t="shared" si="26"/>
        <v>25</v>
      </c>
      <c r="E185" s="46">
        <f t="shared" si="18"/>
        <v>0</v>
      </c>
      <c r="F185" s="46">
        <f t="shared" si="19"/>
        <v>25</v>
      </c>
      <c r="G185" s="46">
        <f t="shared" si="20"/>
        <v>0</v>
      </c>
      <c r="H185" s="47">
        <f t="shared" si="21"/>
        <v>0</v>
      </c>
      <c r="I185" s="47">
        <f t="shared" si="22"/>
        <v>0.33300000000000002</v>
      </c>
      <c r="J185" s="46">
        <f t="shared" si="23"/>
        <v>30020</v>
      </c>
      <c r="K185" s="46">
        <f t="shared" si="24"/>
        <v>9995</v>
      </c>
      <c r="L185" s="48">
        <f t="shared" si="25"/>
        <v>0.33294470353097932</v>
      </c>
    </row>
    <row r="186" spans="1:12">
      <c r="A186" s="43" t="s">
        <v>942</v>
      </c>
      <c r="B186" s="44">
        <v>4000</v>
      </c>
      <c r="C186" s="45" t="s">
        <v>34</v>
      </c>
      <c r="D186" s="44">
        <f t="shared" si="26"/>
        <v>25</v>
      </c>
      <c r="E186" s="46">
        <f t="shared" si="18"/>
        <v>0</v>
      </c>
      <c r="F186" s="46">
        <f t="shared" si="19"/>
        <v>25</v>
      </c>
      <c r="G186" s="46">
        <f t="shared" si="20"/>
        <v>0</v>
      </c>
      <c r="H186" s="47">
        <f t="shared" si="21"/>
        <v>0</v>
      </c>
      <c r="I186" s="47">
        <f t="shared" si="22"/>
        <v>0.33300000000000002</v>
      </c>
      <c r="J186" s="46">
        <f t="shared" si="23"/>
        <v>6030</v>
      </c>
      <c r="K186" s="46">
        <f t="shared" si="24"/>
        <v>2005</v>
      </c>
      <c r="L186" s="48">
        <f t="shared" si="25"/>
        <v>0.33250414593698174</v>
      </c>
    </row>
    <row r="187" spans="1:12">
      <c r="A187" s="43" t="s">
        <v>947</v>
      </c>
      <c r="B187" s="44">
        <v>27000</v>
      </c>
      <c r="C187" s="45" t="s">
        <v>34</v>
      </c>
      <c r="D187" s="44">
        <f t="shared" si="26"/>
        <v>25</v>
      </c>
      <c r="E187" s="46">
        <f t="shared" si="18"/>
        <v>0</v>
      </c>
      <c r="F187" s="46">
        <f t="shared" si="19"/>
        <v>25</v>
      </c>
      <c r="G187" s="46">
        <f t="shared" si="20"/>
        <v>0</v>
      </c>
      <c r="H187" s="47">
        <f t="shared" si="21"/>
        <v>0</v>
      </c>
      <c r="I187" s="47">
        <f t="shared" si="22"/>
        <v>0.33300000000000002</v>
      </c>
      <c r="J187" s="46">
        <f t="shared" si="23"/>
        <v>40520</v>
      </c>
      <c r="K187" s="46">
        <f t="shared" si="24"/>
        <v>13495</v>
      </c>
      <c r="L187" s="48">
        <f t="shared" si="25"/>
        <v>0.33304540967423496</v>
      </c>
    </row>
    <row r="188" spans="1:12">
      <c r="A188" s="43" t="s">
        <v>952</v>
      </c>
      <c r="B188" s="44">
        <v>700</v>
      </c>
      <c r="C188" s="45" t="s">
        <v>34</v>
      </c>
      <c r="D188" s="44">
        <f t="shared" si="26"/>
        <v>25</v>
      </c>
      <c r="E188" s="46">
        <f t="shared" si="18"/>
        <v>0</v>
      </c>
      <c r="F188" s="46">
        <f t="shared" si="19"/>
        <v>25</v>
      </c>
      <c r="G188" s="46">
        <f t="shared" si="20"/>
        <v>0</v>
      </c>
      <c r="H188" s="47">
        <f t="shared" si="21"/>
        <v>0</v>
      </c>
      <c r="I188" s="47">
        <f t="shared" si="22"/>
        <v>0.33300000000000002</v>
      </c>
      <c r="J188" s="46">
        <f t="shared" si="23"/>
        <v>1090</v>
      </c>
      <c r="K188" s="46">
        <f t="shared" si="24"/>
        <v>365</v>
      </c>
      <c r="L188" s="48">
        <f t="shared" si="25"/>
        <v>0.33486238532110091</v>
      </c>
    </row>
    <row r="189" spans="1:12">
      <c r="A189" s="43" t="s">
        <v>957</v>
      </c>
      <c r="B189" s="44">
        <v>800</v>
      </c>
      <c r="C189" s="45" t="s">
        <v>34</v>
      </c>
      <c r="D189" s="44">
        <f t="shared" si="26"/>
        <v>25</v>
      </c>
      <c r="E189" s="46">
        <f t="shared" si="18"/>
        <v>0</v>
      </c>
      <c r="F189" s="46">
        <f t="shared" si="19"/>
        <v>25</v>
      </c>
      <c r="G189" s="46">
        <f t="shared" si="20"/>
        <v>0</v>
      </c>
      <c r="H189" s="47">
        <f t="shared" si="21"/>
        <v>0</v>
      </c>
      <c r="I189" s="47">
        <f t="shared" si="22"/>
        <v>0.33300000000000002</v>
      </c>
      <c r="J189" s="46">
        <f t="shared" si="23"/>
        <v>1240</v>
      </c>
      <c r="K189" s="46">
        <f t="shared" si="24"/>
        <v>415</v>
      </c>
      <c r="L189" s="48">
        <f t="shared" si="25"/>
        <v>0.33467741935483869</v>
      </c>
    </row>
    <row r="190" spans="1:12">
      <c r="A190" s="43" t="s">
        <v>962</v>
      </c>
      <c r="B190" s="44">
        <v>1400</v>
      </c>
      <c r="C190" s="45" t="s">
        <v>34</v>
      </c>
      <c r="D190" s="44">
        <f t="shared" si="26"/>
        <v>25</v>
      </c>
      <c r="E190" s="46">
        <f t="shared" si="18"/>
        <v>0</v>
      </c>
      <c r="F190" s="46">
        <f t="shared" si="19"/>
        <v>25</v>
      </c>
      <c r="G190" s="46">
        <f t="shared" si="20"/>
        <v>0</v>
      </c>
      <c r="H190" s="47">
        <f t="shared" si="21"/>
        <v>0</v>
      </c>
      <c r="I190" s="47">
        <f t="shared" si="22"/>
        <v>0.33300000000000002</v>
      </c>
      <c r="J190" s="46">
        <f t="shared" si="23"/>
        <v>2140</v>
      </c>
      <c r="K190" s="46">
        <f t="shared" si="24"/>
        <v>715</v>
      </c>
      <c r="L190" s="48">
        <f t="shared" si="25"/>
        <v>0.33411214953271029</v>
      </c>
    </row>
    <row r="191" spans="1:12">
      <c r="A191" s="43" t="s">
        <v>968</v>
      </c>
      <c r="B191" s="44">
        <v>700</v>
      </c>
      <c r="C191" s="45" t="s">
        <v>34</v>
      </c>
      <c r="D191" s="44">
        <f t="shared" si="26"/>
        <v>25</v>
      </c>
      <c r="E191" s="46">
        <f t="shared" si="18"/>
        <v>0</v>
      </c>
      <c r="F191" s="46">
        <f t="shared" si="19"/>
        <v>25</v>
      </c>
      <c r="G191" s="46">
        <f t="shared" si="20"/>
        <v>0</v>
      </c>
      <c r="H191" s="47">
        <f t="shared" si="21"/>
        <v>0</v>
      </c>
      <c r="I191" s="47">
        <f t="shared" si="22"/>
        <v>0.33300000000000002</v>
      </c>
      <c r="J191" s="46">
        <f t="shared" si="23"/>
        <v>1090</v>
      </c>
      <c r="K191" s="46">
        <f t="shared" si="24"/>
        <v>365</v>
      </c>
      <c r="L191" s="48">
        <f t="shared" si="25"/>
        <v>0.33486238532110091</v>
      </c>
    </row>
    <row r="192" spans="1:12">
      <c r="A192" s="43" t="s">
        <v>973</v>
      </c>
      <c r="B192" s="44">
        <v>1800</v>
      </c>
      <c r="C192" s="45" t="s">
        <v>34</v>
      </c>
      <c r="D192" s="44">
        <f t="shared" si="26"/>
        <v>25</v>
      </c>
      <c r="E192" s="46">
        <f t="shared" si="18"/>
        <v>0</v>
      </c>
      <c r="F192" s="46">
        <f t="shared" si="19"/>
        <v>25</v>
      </c>
      <c r="G192" s="46">
        <f t="shared" si="20"/>
        <v>0</v>
      </c>
      <c r="H192" s="47">
        <f t="shared" si="21"/>
        <v>0</v>
      </c>
      <c r="I192" s="47">
        <f t="shared" si="22"/>
        <v>0.33300000000000002</v>
      </c>
      <c r="J192" s="46">
        <f t="shared" si="23"/>
        <v>2740</v>
      </c>
      <c r="K192" s="46">
        <f t="shared" si="24"/>
        <v>915</v>
      </c>
      <c r="L192" s="48">
        <f t="shared" si="25"/>
        <v>0.33394160583941607</v>
      </c>
    </row>
    <row r="193" spans="1:12">
      <c r="A193" s="43" t="s">
        <v>979</v>
      </c>
      <c r="B193" s="44">
        <v>1400</v>
      </c>
      <c r="C193" s="45" t="s">
        <v>34</v>
      </c>
      <c r="D193" s="44">
        <f t="shared" si="26"/>
        <v>25</v>
      </c>
      <c r="E193" s="46">
        <f t="shared" si="18"/>
        <v>0</v>
      </c>
      <c r="F193" s="46">
        <f t="shared" si="19"/>
        <v>25</v>
      </c>
      <c r="G193" s="46">
        <f t="shared" si="20"/>
        <v>0</v>
      </c>
      <c r="H193" s="47">
        <f t="shared" si="21"/>
        <v>0</v>
      </c>
      <c r="I193" s="47">
        <f t="shared" si="22"/>
        <v>0.33300000000000002</v>
      </c>
      <c r="J193" s="46">
        <f t="shared" si="23"/>
        <v>2140</v>
      </c>
      <c r="K193" s="46">
        <f t="shared" si="24"/>
        <v>715</v>
      </c>
      <c r="L193" s="48">
        <f t="shared" si="25"/>
        <v>0.33411214953271029</v>
      </c>
    </row>
    <row r="194" spans="1:12">
      <c r="A194" s="43" t="s">
        <v>985</v>
      </c>
      <c r="B194" s="44">
        <v>2600</v>
      </c>
      <c r="C194" s="45" t="s">
        <v>34</v>
      </c>
      <c r="D194" s="44">
        <f t="shared" si="26"/>
        <v>25</v>
      </c>
      <c r="E194" s="46">
        <f t="shared" si="18"/>
        <v>0</v>
      </c>
      <c r="F194" s="46">
        <f t="shared" si="19"/>
        <v>25</v>
      </c>
      <c r="G194" s="46">
        <f t="shared" si="20"/>
        <v>0</v>
      </c>
      <c r="H194" s="47">
        <f t="shared" si="21"/>
        <v>0</v>
      </c>
      <c r="I194" s="47">
        <f t="shared" si="22"/>
        <v>0.33300000000000002</v>
      </c>
      <c r="J194" s="46">
        <f t="shared" si="23"/>
        <v>3940</v>
      </c>
      <c r="K194" s="46">
        <f t="shared" si="24"/>
        <v>1315</v>
      </c>
      <c r="L194" s="48">
        <f t="shared" si="25"/>
        <v>0.33375634517766495</v>
      </c>
    </row>
    <row r="195" spans="1:12">
      <c r="A195" s="43" t="s">
        <v>990</v>
      </c>
      <c r="B195" s="44">
        <v>2600</v>
      </c>
      <c r="C195" s="45" t="s">
        <v>34</v>
      </c>
      <c r="D195" s="44">
        <f t="shared" si="26"/>
        <v>25</v>
      </c>
      <c r="E195" s="46">
        <f t="shared" si="18"/>
        <v>0</v>
      </c>
      <c r="F195" s="46">
        <f t="shared" si="19"/>
        <v>25</v>
      </c>
      <c r="G195" s="46">
        <f t="shared" si="20"/>
        <v>0</v>
      </c>
      <c r="H195" s="47">
        <f t="shared" si="21"/>
        <v>0</v>
      </c>
      <c r="I195" s="47">
        <f t="shared" si="22"/>
        <v>0.33300000000000002</v>
      </c>
      <c r="J195" s="46">
        <f t="shared" si="23"/>
        <v>3940</v>
      </c>
      <c r="K195" s="46">
        <f t="shared" si="24"/>
        <v>1315</v>
      </c>
      <c r="L195" s="48">
        <f t="shared" si="25"/>
        <v>0.33375634517766495</v>
      </c>
    </row>
    <row r="196" spans="1:12">
      <c r="A196" s="43" t="s">
        <v>997</v>
      </c>
      <c r="B196" s="44">
        <v>3200</v>
      </c>
      <c r="C196" s="45" t="s">
        <v>34</v>
      </c>
      <c r="D196" s="44">
        <f t="shared" si="26"/>
        <v>25</v>
      </c>
      <c r="E196" s="46">
        <f t="shared" si="18"/>
        <v>0</v>
      </c>
      <c r="F196" s="46">
        <f t="shared" si="19"/>
        <v>25</v>
      </c>
      <c r="G196" s="46">
        <f t="shared" si="20"/>
        <v>0</v>
      </c>
      <c r="H196" s="47">
        <f t="shared" si="21"/>
        <v>0</v>
      </c>
      <c r="I196" s="47">
        <f t="shared" si="22"/>
        <v>0.33300000000000002</v>
      </c>
      <c r="J196" s="46">
        <f t="shared" si="23"/>
        <v>4840</v>
      </c>
      <c r="K196" s="46">
        <f t="shared" si="24"/>
        <v>1615</v>
      </c>
      <c r="L196" s="48">
        <f t="shared" si="25"/>
        <v>0.33367768595041325</v>
      </c>
    </row>
    <row r="197" spans="1:12">
      <c r="A197" s="43" t="s">
        <v>1004</v>
      </c>
      <c r="B197" s="44">
        <v>4600</v>
      </c>
      <c r="C197" s="45" t="s">
        <v>34</v>
      </c>
      <c r="D197" s="44">
        <f t="shared" si="26"/>
        <v>25</v>
      </c>
      <c r="E197" s="46">
        <f t="shared" si="18"/>
        <v>0</v>
      </c>
      <c r="F197" s="46">
        <f t="shared" si="19"/>
        <v>25</v>
      </c>
      <c r="G197" s="46">
        <f t="shared" si="20"/>
        <v>0</v>
      </c>
      <c r="H197" s="47">
        <f t="shared" si="21"/>
        <v>0</v>
      </c>
      <c r="I197" s="47">
        <f t="shared" si="22"/>
        <v>0.33300000000000002</v>
      </c>
      <c r="J197" s="46">
        <f t="shared" si="23"/>
        <v>6930</v>
      </c>
      <c r="K197" s="46">
        <f t="shared" si="24"/>
        <v>2305</v>
      </c>
      <c r="L197" s="48">
        <f t="shared" si="25"/>
        <v>0.33261183261183264</v>
      </c>
    </row>
    <row r="198" spans="1:12">
      <c r="A198" s="43" t="s">
        <v>1012</v>
      </c>
      <c r="B198" s="44">
        <v>2600</v>
      </c>
      <c r="C198" s="45" t="s">
        <v>34</v>
      </c>
      <c r="D198" s="44">
        <f t="shared" si="26"/>
        <v>25</v>
      </c>
      <c r="E198" s="46">
        <f t="shared" si="18"/>
        <v>0</v>
      </c>
      <c r="F198" s="46">
        <f t="shared" si="19"/>
        <v>25</v>
      </c>
      <c r="G198" s="46">
        <f t="shared" si="20"/>
        <v>0</v>
      </c>
      <c r="H198" s="47">
        <f t="shared" si="21"/>
        <v>0</v>
      </c>
      <c r="I198" s="47">
        <f t="shared" si="22"/>
        <v>0.33300000000000002</v>
      </c>
      <c r="J198" s="46">
        <f t="shared" si="23"/>
        <v>3940</v>
      </c>
      <c r="K198" s="46">
        <f t="shared" si="24"/>
        <v>1315</v>
      </c>
      <c r="L198" s="48">
        <f t="shared" si="25"/>
        <v>0.33375634517766495</v>
      </c>
    </row>
    <row r="199" spans="1:12">
      <c r="A199" s="43" t="s">
        <v>1019</v>
      </c>
      <c r="B199" s="44">
        <v>2900</v>
      </c>
      <c r="C199" s="45" t="s">
        <v>34</v>
      </c>
      <c r="D199" s="44">
        <f t="shared" si="26"/>
        <v>25</v>
      </c>
      <c r="E199" s="46">
        <f t="shared" si="18"/>
        <v>0</v>
      </c>
      <c r="F199" s="46">
        <f t="shared" si="19"/>
        <v>25</v>
      </c>
      <c r="G199" s="46">
        <f t="shared" si="20"/>
        <v>0</v>
      </c>
      <c r="H199" s="47">
        <f t="shared" si="21"/>
        <v>0</v>
      </c>
      <c r="I199" s="47">
        <f t="shared" si="22"/>
        <v>0.33300000000000002</v>
      </c>
      <c r="J199" s="46">
        <f t="shared" si="23"/>
        <v>4390</v>
      </c>
      <c r="K199" s="46">
        <f t="shared" si="24"/>
        <v>1465</v>
      </c>
      <c r="L199" s="48">
        <f t="shared" si="25"/>
        <v>0.3337129840546697</v>
      </c>
    </row>
    <row r="200" spans="1:12">
      <c r="A200" s="43" t="s">
        <v>1025</v>
      </c>
      <c r="B200" s="44">
        <v>4200</v>
      </c>
      <c r="C200" s="45" t="s">
        <v>34</v>
      </c>
      <c r="D200" s="44">
        <f t="shared" si="26"/>
        <v>25</v>
      </c>
      <c r="E200" s="46">
        <f t="shared" si="18"/>
        <v>0</v>
      </c>
      <c r="F200" s="46">
        <f t="shared" si="19"/>
        <v>25</v>
      </c>
      <c r="G200" s="46">
        <f t="shared" si="20"/>
        <v>0</v>
      </c>
      <c r="H200" s="47">
        <f t="shared" si="21"/>
        <v>0</v>
      </c>
      <c r="I200" s="47">
        <f t="shared" si="22"/>
        <v>0.33300000000000002</v>
      </c>
      <c r="J200" s="46">
        <f t="shared" si="23"/>
        <v>6330</v>
      </c>
      <c r="K200" s="46">
        <f t="shared" si="24"/>
        <v>2105</v>
      </c>
      <c r="L200" s="48">
        <f t="shared" si="25"/>
        <v>0.33254344391785151</v>
      </c>
    </row>
    <row r="201" spans="1:12">
      <c r="A201" s="43" t="s">
        <v>1032</v>
      </c>
      <c r="B201" s="44">
        <v>6000</v>
      </c>
      <c r="C201" s="45" t="s">
        <v>34</v>
      </c>
      <c r="D201" s="44">
        <f t="shared" si="26"/>
        <v>25</v>
      </c>
      <c r="E201" s="46">
        <f t="shared" si="18"/>
        <v>0</v>
      </c>
      <c r="F201" s="46">
        <f t="shared" si="19"/>
        <v>25</v>
      </c>
      <c r="G201" s="46">
        <f t="shared" si="20"/>
        <v>0</v>
      </c>
      <c r="H201" s="47">
        <f t="shared" si="21"/>
        <v>0</v>
      </c>
      <c r="I201" s="47">
        <f t="shared" si="22"/>
        <v>0.33300000000000002</v>
      </c>
      <c r="J201" s="46">
        <f t="shared" si="23"/>
        <v>9030</v>
      </c>
      <c r="K201" s="46">
        <f t="shared" si="24"/>
        <v>3005</v>
      </c>
      <c r="L201" s="48">
        <f t="shared" si="25"/>
        <v>0.33277962347729789</v>
      </c>
    </row>
    <row r="202" spans="1:12">
      <c r="A202" s="43" t="s">
        <v>1038</v>
      </c>
      <c r="B202" s="44">
        <v>5000</v>
      </c>
      <c r="C202" s="45" t="s">
        <v>34</v>
      </c>
      <c r="D202" s="44">
        <f t="shared" si="26"/>
        <v>25</v>
      </c>
      <c r="E202" s="46">
        <f t="shared" si="18"/>
        <v>0</v>
      </c>
      <c r="F202" s="46">
        <f t="shared" si="19"/>
        <v>25</v>
      </c>
      <c r="G202" s="46">
        <f t="shared" si="20"/>
        <v>0</v>
      </c>
      <c r="H202" s="47">
        <f t="shared" si="21"/>
        <v>0</v>
      </c>
      <c r="I202" s="47">
        <f t="shared" si="22"/>
        <v>0.33300000000000002</v>
      </c>
      <c r="J202" s="46">
        <f t="shared" si="23"/>
        <v>7530</v>
      </c>
      <c r="K202" s="46">
        <f t="shared" si="24"/>
        <v>2505</v>
      </c>
      <c r="L202" s="48">
        <f t="shared" si="25"/>
        <v>0.33266932270916333</v>
      </c>
    </row>
    <row r="203" spans="1:12">
      <c r="A203" s="43" t="s">
        <v>1043</v>
      </c>
      <c r="B203" s="44">
        <v>1300</v>
      </c>
      <c r="C203" s="45" t="s">
        <v>34</v>
      </c>
      <c r="D203" s="44">
        <f t="shared" si="26"/>
        <v>25</v>
      </c>
      <c r="E203" s="46">
        <f t="shared" si="18"/>
        <v>0</v>
      </c>
      <c r="F203" s="46">
        <f t="shared" si="19"/>
        <v>25</v>
      </c>
      <c r="G203" s="46">
        <f t="shared" si="20"/>
        <v>0</v>
      </c>
      <c r="H203" s="47">
        <f t="shared" si="21"/>
        <v>0</v>
      </c>
      <c r="I203" s="47">
        <f t="shared" si="22"/>
        <v>0.33300000000000002</v>
      </c>
      <c r="J203" s="46">
        <f t="shared" si="23"/>
        <v>1990</v>
      </c>
      <c r="K203" s="46">
        <f t="shared" si="24"/>
        <v>665</v>
      </c>
      <c r="L203" s="48">
        <f t="shared" si="25"/>
        <v>0.33417085427135679</v>
      </c>
    </row>
    <row r="204" spans="1:12">
      <c r="A204" s="43" t="s">
        <v>1052</v>
      </c>
      <c r="B204" s="44">
        <v>1300</v>
      </c>
      <c r="C204" s="45" t="s">
        <v>34</v>
      </c>
      <c r="D204" s="44">
        <f t="shared" si="26"/>
        <v>25</v>
      </c>
      <c r="E204" s="46">
        <f t="shared" si="18"/>
        <v>0</v>
      </c>
      <c r="F204" s="46">
        <f t="shared" si="19"/>
        <v>25</v>
      </c>
      <c r="G204" s="46">
        <f t="shared" si="20"/>
        <v>0</v>
      </c>
      <c r="H204" s="47">
        <f t="shared" si="21"/>
        <v>0</v>
      </c>
      <c r="I204" s="47">
        <f t="shared" si="22"/>
        <v>0.33300000000000002</v>
      </c>
      <c r="J204" s="46">
        <f t="shared" si="23"/>
        <v>1990</v>
      </c>
      <c r="K204" s="46">
        <f t="shared" si="24"/>
        <v>665</v>
      </c>
      <c r="L204" s="48">
        <f t="shared" si="25"/>
        <v>0.33417085427135679</v>
      </c>
    </row>
    <row r="205" spans="1:12">
      <c r="A205" s="43" t="s">
        <v>1058</v>
      </c>
      <c r="B205" s="44">
        <v>1300</v>
      </c>
      <c r="C205" s="45" t="s">
        <v>34</v>
      </c>
      <c r="D205" s="44">
        <f t="shared" si="26"/>
        <v>25</v>
      </c>
      <c r="E205" s="46">
        <f t="shared" si="18"/>
        <v>0</v>
      </c>
      <c r="F205" s="46">
        <f t="shared" si="19"/>
        <v>25</v>
      </c>
      <c r="G205" s="46">
        <f t="shared" si="20"/>
        <v>0</v>
      </c>
      <c r="H205" s="47">
        <f t="shared" si="21"/>
        <v>0</v>
      </c>
      <c r="I205" s="47">
        <f t="shared" si="22"/>
        <v>0.33300000000000002</v>
      </c>
      <c r="J205" s="46">
        <f t="shared" si="23"/>
        <v>1990</v>
      </c>
      <c r="K205" s="46">
        <f t="shared" si="24"/>
        <v>665</v>
      </c>
      <c r="L205" s="48">
        <f t="shared" si="25"/>
        <v>0.33417085427135679</v>
      </c>
    </row>
    <row r="206" spans="1:12">
      <c r="A206" s="43" t="s">
        <v>1064</v>
      </c>
      <c r="B206" s="44">
        <v>1300</v>
      </c>
      <c r="C206" s="45" t="s">
        <v>34</v>
      </c>
      <c r="D206" s="44">
        <f t="shared" si="26"/>
        <v>25</v>
      </c>
      <c r="E206" s="46">
        <f t="shared" si="18"/>
        <v>0</v>
      </c>
      <c r="F206" s="46">
        <f t="shared" si="19"/>
        <v>25</v>
      </c>
      <c r="G206" s="46">
        <f t="shared" si="20"/>
        <v>0</v>
      </c>
      <c r="H206" s="47">
        <f t="shared" si="21"/>
        <v>0</v>
      </c>
      <c r="I206" s="47">
        <f t="shared" si="22"/>
        <v>0.33300000000000002</v>
      </c>
      <c r="J206" s="46">
        <f t="shared" si="23"/>
        <v>1990</v>
      </c>
      <c r="K206" s="46">
        <f t="shared" si="24"/>
        <v>665</v>
      </c>
      <c r="L206" s="48">
        <f t="shared" si="25"/>
        <v>0.33417085427135679</v>
      </c>
    </row>
    <row r="207" spans="1:12">
      <c r="A207" s="43" t="s">
        <v>1070</v>
      </c>
      <c r="B207" s="44">
        <v>7000</v>
      </c>
      <c r="C207" s="45" t="s">
        <v>34</v>
      </c>
      <c r="D207" s="44">
        <f t="shared" ref="D207:D250" si="27">IF(A207="","",$B$7/$B$6)</f>
        <v>25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</v>
      </c>
      <c r="G207" s="46">
        <f t="shared" ref="G207:G250" si="30">IF(A207="","",($B$8-$B$9)/$B$6)</f>
        <v>0</v>
      </c>
      <c r="H207" s="47">
        <f t="shared" ref="H207:H250" si="31">IF(A207="","",$B$10)</f>
        <v>0</v>
      </c>
      <c r="I207" s="47">
        <f t="shared" ref="I207:I250" si="32">IF(A207="","",$B$5)</f>
        <v>0.33300000000000002</v>
      </c>
      <c r="J207" s="46">
        <f t="shared" ref="J207:J250" si="33">IF(OR(A207="",B207=""),"",ROUND((B207+E207+F207+G207)/(1-H207-I207),-1))</f>
        <v>10530</v>
      </c>
      <c r="K207" s="46">
        <f t="shared" ref="K207:K250" si="34">IF(J207="","",J207-B207-E207-F207-G207-(J207*H207))</f>
        <v>3505</v>
      </c>
      <c r="L207" s="48">
        <f t="shared" ref="L207:L250" si="35">IF(J207="","",K207/J207)</f>
        <v>0.33285849952516622</v>
      </c>
    </row>
    <row r="208" spans="1:12">
      <c r="A208" s="43" t="s">
        <v>1075</v>
      </c>
      <c r="B208" s="44">
        <v>8000</v>
      </c>
      <c r="C208" s="45" t="s">
        <v>34</v>
      </c>
      <c r="D208" s="44">
        <f t="shared" si="27"/>
        <v>25</v>
      </c>
      <c r="E208" s="46">
        <f t="shared" si="28"/>
        <v>0</v>
      </c>
      <c r="F208" s="46">
        <f t="shared" si="29"/>
        <v>25</v>
      </c>
      <c r="G208" s="46">
        <f t="shared" si="30"/>
        <v>0</v>
      </c>
      <c r="H208" s="47">
        <f t="shared" si="31"/>
        <v>0</v>
      </c>
      <c r="I208" s="47">
        <f t="shared" si="32"/>
        <v>0.33300000000000002</v>
      </c>
      <c r="J208" s="46">
        <f t="shared" si="33"/>
        <v>12030</v>
      </c>
      <c r="K208" s="46">
        <f t="shared" si="34"/>
        <v>4005</v>
      </c>
      <c r="L208" s="48">
        <f t="shared" si="35"/>
        <v>0.33291770573566087</v>
      </c>
    </row>
    <row r="209" spans="1:12">
      <c r="A209" s="43" t="s">
        <v>1080</v>
      </c>
      <c r="B209" s="44">
        <v>7000</v>
      </c>
      <c r="C209" s="45" t="s">
        <v>34</v>
      </c>
      <c r="D209" s="44">
        <f t="shared" si="27"/>
        <v>25</v>
      </c>
      <c r="E209" s="46">
        <f t="shared" si="28"/>
        <v>0</v>
      </c>
      <c r="F209" s="46">
        <f t="shared" si="29"/>
        <v>25</v>
      </c>
      <c r="G209" s="46">
        <f t="shared" si="30"/>
        <v>0</v>
      </c>
      <c r="H209" s="47">
        <f t="shared" si="31"/>
        <v>0</v>
      </c>
      <c r="I209" s="47">
        <f t="shared" si="32"/>
        <v>0.33300000000000002</v>
      </c>
      <c r="J209" s="46">
        <f t="shared" si="33"/>
        <v>10530</v>
      </c>
      <c r="K209" s="46">
        <f t="shared" si="34"/>
        <v>3505</v>
      </c>
      <c r="L209" s="48">
        <f t="shared" si="35"/>
        <v>0.33285849952516622</v>
      </c>
    </row>
    <row r="210" spans="1:12">
      <c r="A210" s="43" t="s">
        <v>1087</v>
      </c>
      <c r="B210" s="44">
        <v>1300</v>
      </c>
      <c r="C210" s="45" t="s">
        <v>34</v>
      </c>
      <c r="D210" s="44">
        <f t="shared" si="27"/>
        <v>25</v>
      </c>
      <c r="E210" s="46">
        <f t="shared" si="28"/>
        <v>0</v>
      </c>
      <c r="F210" s="46">
        <f t="shared" si="29"/>
        <v>25</v>
      </c>
      <c r="G210" s="46">
        <f t="shared" si="30"/>
        <v>0</v>
      </c>
      <c r="H210" s="47">
        <f t="shared" si="31"/>
        <v>0</v>
      </c>
      <c r="I210" s="47">
        <f t="shared" si="32"/>
        <v>0.33300000000000002</v>
      </c>
      <c r="J210" s="46">
        <f t="shared" si="33"/>
        <v>1990</v>
      </c>
      <c r="K210" s="46">
        <f t="shared" si="34"/>
        <v>665</v>
      </c>
      <c r="L210" s="48">
        <f t="shared" si="35"/>
        <v>0.33417085427135679</v>
      </c>
    </row>
    <row r="211" spans="1:12">
      <c r="A211" s="43" t="s">
        <v>1093</v>
      </c>
      <c r="B211" s="44">
        <v>2100</v>
      </c>
      <c r="C211" s="45" t="s">
        <v>34</v>
      </c>
      <c r="D211" s="44">
        <f t="shared" si="27"/>
        <v>25</v>
      </c>
      <c r="E211" s="46">
        <f t="shared" si="28"/>
        <v>0</v>
      </c>
      <c r="F211" s="46">
        <f t="shared" si="29"/>
        <v>25</v>
      </c>
      <c r="G211" s="46">
        <f t="shared" si="30"/>
        <v>0</v>
      </c>
      <c r="H211" s="47">
        <f t="shared" si="31"/>
        <v>0</v>
      </c>
      <c r="I211" s="47">
        <f t="shared" si="32"/>
        <v>0.33300000000000002</v>
      </c>
      <c r="J211" s="46">
        <f t="shared" si="33"/>
        <v>3190</v>
      </c>
      <c r="K211" s="46">
        <f t="shared" si="34"/>
        <v>1065</v>
      </c>
      <c r="L211" s="48">
        <f t="shared" si="35"/>
        <v>0.33385579937304077</v>
      </c>
    </row>
    <row r="212" spans="1:12">
      <c r="A212" s="43" t="s">
        <v>1099</v>
      </c>
      <c r="B212" s="44">
        <v>2000</v>
      </c>
      <c r="C212" s="45" t="s">
        <v>34</v>
      </c>
      <c r="D212" s="44">
        <f t="shared" si="27"/>
        <v>25</v>
      </c>
      <c r="E212" s="46">
        <f t="shared" si="28"/>
        <v>0</v>
      </c>
      <c r="F212" s="46">
        <f t="shared" si="29"/>
        <v>25</v>
      </c>
      <c r="G212" s="46">
        <f t="shared" si="30"/>
        <v>0</v>
      </c>
      <c r="H212" s="47">
        <f t="shared" si="31"/>
        <v>0</v>
      </c>
      <c r="I212" s="47">
        <f t="shared" si="32"/>
        <v>0.33300000000000002</v>
      </c>
      <c r="J212" s="46">
        <f t="shared" si="33"/>
        <v>3040</v>
      </c>
      <c r="K212" s="46">
        <f t="shared" si="34"/>
        <v>1015</v>
      </c>
      <c r="L212" s="48">
        <f t="shared" si="35"/>
        <v>0.33388157894736842</v>
      </c>
    </row>
    <row r="213" spans="1:12">
      <c r="A213" s="43" t="s">
        <v>1105</v>
      </c>
      <c r="B213" s="44">
        <v>6600</v>
      </c>
      <c r="C213" s="45" t="s">
        <v>34</v>
      </c>
      <c r="D213" s="44">
        <f t="shared" si="27"/>
        <v>25</v>
      </c>
      <c r="E213" s="46">
        <f t="shared" si="28"/>
        <v>0</v>
      </c>
      <c r="F213" s="46">
        <f t="shared" si="29"/>
        <v>25</v>
      </c>
      <c r="G213" s="46">
        <f t="shared" si="30"/>
        <v>0</v>
      </c>
      <c r="H213" s="47">
        <f t="shared" si="31"/>
        <v>0</v>
      </c>
      <c r="I213" s="47">
        <f t="shared" si="32"/>
        <v>0.33300000000000002</v>
      </c>
      <c r="J213" s="46">
        <f t="shared" si="33"/>
        <v>9930</v>
      </c>
      <c r="K213" s="46">
        <f t="shared" si="34"/>
        <v>3305</v>
      </c>
      <c r="L213" s="48">
        <f t="shared" si="35"/>
        <v>0.33282980866062439</v>
      </c>
    </row>
    <row r="214" spans="1:12">
      <c r="A214" s="43" t="s">
        <v>1110</v>
      </c>
      <c r="B214" s="44">
        <v>1000</v>
      </c>
      <c r="C214" s="45" t="s">
        <v>34</v>
      </c>
      <c r="D214" s="44">
        <f t="shared" si="27"/>
        <v>25</v>
      </c>
      <c r="E214" s="46">
        <f t="shared" si="28"/>
        <v>0</v>
      </c>
      <c r="F214" s="46">
        <f t="shared" si="29"/>
        <v>25</v>
      </c>
      <c r="G214" s="46">
        <f t="shared" si="30"/>
        <v>0</v>
      </c>
      <c r="H214" s="47">
        <f t="shared" si="31"/>
        <v>0</v>
      </c>
      <c r="I214" s="47">
        <f t="shared" si="32"/>
        <v>0.33300000000000002</v>
      </c>
      <c r="J214" s="46">
        <f t="shared" si="33"/>
        <v>1540</v>
      </c>
      <c r="K214" s="46">
        <f t="shared" si="34"/>
        <v>515</v>
      </c>
      <c r="L214" s="48">
        <f t="shared" si="35"/>
        <v>0.33441558441558439</v>
      </c>
    </row>
    <row r="215" spans="1:12">
      <c r="A215" s="43" t="s">
        <v>1117</v>
      </c>
      <c r="B215" s="44">
        <v>6600</v>
      </c>
      <c r="C215" s="45" t="s">
        <v>34</v>
      </c>
      <c r="D215" s="44">
        <f t="shared" si="27"/>
        <v>25</v>
      </c>
      <c r="E215" s="46">
        <f t="shared" si="28"/>
        <v>0</v>
      </c>
      <c r="F215" s="46">
        <f t="shared" si="29"/>
        <v>25</v>
      </c>
      <c r="G215" s="46">
        <f t="shared" si="30"/>
        <v>0</v>
      </c>
      <c r="H215" s="47">
        <f t="shared" si="31"/>
        <v>0</v>
      </c>
      <c r="I215" s="47">
        <f t="shared" si="32"/>
        <v>0.33300000000000002</v>
      </c>
      <c r="J215" s="46">
        <f t="shared" si="33"/>
        <v>9930</v>
      </c>
      <c r="K215" s="46">
        <f t="shared" si="34"/>
        <v>3305</v>
      </c>
      <c r="L215" s="48">
        <f t="shared" si="35"/>
        <v>0.33282980866062439</v>
      </c>
    </row>
    <row r="216" spans="1:12">
      <c r="A216" s="43" t="s">
        <v>1123</v>
      </c>
      <c r="B216" s="44">
        <v>6400</v>
      </c>
      <c r="C216" s="45" t="s">
        <v>34</v>
      </c>
      <c r="D216" s="44">
        <f t="shared" si="27"/>
        <v>25</v>
      </c>
      <c r="E216" s="46">
        <f t="shared" si="28"/>
        <v>0</v>
      </c>
      <c r="F216" s="46">
        <f t="shared" si="29"/>
        <v>25</v>
      </c>
      <c r="G216" s="46">
        <f t="shared" si="30"/>
        <v>0</v>
      </c>
      <c r="H216" s="47">
        <f t="shared" si="31"/>
        <v>0</v>
      </c>
      <c r="I216" s="47">
        <f t="shared" si="32"/>
        <v>0.33300000000000002</v>
      </c>
      <c r="J216" s="46">
        <f t="shared" si="33"/>
        <v>9630</v>
      </c>
      <c r="K216" s="46">
        <f t="shared" si="34"/>
        <v>3205</v>
      </c>
      <c r="L216" s="48">
        <f t="shared" si="35"/>
        <v>0.3328141225337487</v>
      </c>
    </row>
    <row r="217" spans="1:12">
      <c r="A217" s="43" t="s">
        <v>1130</v>
      </c>
      <c r="B217" s="44">
        <v>10000</v>
      </c>
      <c r="C217" s="45" t="s">
        <v>34</v>
      </c>
      <c r="D217" s="44">
        <f t="shared" si="27"/>
        <v>25</v>
      </c>
      <c r="E217" s="46">
        <f t="shared" si="28"/>
        <v>0</v>
      </c>
      <c r="F217" s="46">
        <f t="shared" si="29"/>
        <v>25</v>
      </c>
      <c r="G217" s="46">
        <f t="shared" si="30"/>
        <v>0</v>
      </c>
      <c r="H217" s="47">
        <f t="shared" si="31"/>
        <v>0</v>
      </c>
      <c r="I217" s="47">
        <f t="shared" si="32"/>
        <v>0.33300000000000002</v>
      </c>
      <c r="J217" s="46">
        <f t="shared" si="33"/>
        <v>15030</v>
      </c>
      <c r="K217" s="46">
        <f t="shared" si="34"/>
        <v>5005</v>
      </c>
      <c r="L217" s="48">
        <f t="shared" si="35"/>
        <v>0.33300066533599465</v>
      </c>
    </row>
    <row r="218" spans="1:12">
      <c r="A218" s="43" t="s">
        <v>1135</v>
      </c>
      <c r="B218" s="44">
        <v>2400</v>
      </c>
      <c r="C218" s="45" t="s">
        <v>34</v>
      </c>
      <c r="D218" s="44">
        <f t="shared" si="27"/>
        <v>25</v>
      </c>
      <c r="E218" s="46">
        <f t="shared" si="28"/>
        <v>0</v>
      </c>
      <c r="F218" s="46">
        <f t="shared" si="29"/>
        <v>25</v>
      </c>
      <c r="G218" s="46">
        <f t="shared" si="30"/>
        <v>0</v>
      </c>
      <c r="H218" s="47">
        <f t="shared" si="31"/>
        <v>0</v>
      </c>
      <c r="I218" s="47">
        <f t="shared" si="32"/>
        <v>0.33300000000000002</v>
      </c>
      <c r="J218" s="46">
        <f t="shared" si="33"/>
        <v>3640</v>
      </c>
      <c r="K218" s="46">
        <f t="shared" si="34"/>
        <v>1215</v>
      </c>
      <c r="L218" s="48">
        <f t="shared" si="35"/>
        <v>0.33379120879120877</v>
      </c>
    </row>
    <row r="219" spans="1:12">
      <c r="A219" s="43" t="s">
        <v>1140</v>
      </c>
      <c r="B219" s="44">
        <v>3200</v>
      </c>
      <c r="C219" s="45" t="s">
        <v>34</v>
      </c>
      <c r="D219" s="44">
        <f t="shared" si="27"/>
        <v>25</v>
      </c>
      <c r="E219" s="46">
        <f t="shared" si="28"/>
        <v>0</v>
      </c>
      <c r="F219" s="46">
        <f t="shared" si="29"/>
        <v>25</v>
      </c>
      <c r="G219" s="46">
        <f t="shared" si="30"/>
        <v>0</v>
      </c>
      <c r="H219" s="47">
        <f t="shared" si="31"/>
        <v>0</v>
      </c>
      <c r="I219" s="47">
        <f t="shared" si="32"/>
        <v>0.33300000000000002</v>
      </c>
      <c r="J219" s="46">
        <f t="shared" si="33"/>
        <v>4840</v>
      </c>
      <c r="K219" s="46">
        <f t="shared" si="34"/>
        <v>1615</v>
      </c>
      <c r="L219" s="48">
        <f t="shared" si="35"/>
        <v>0.33367768595041325</v>
      </c>
    </row>
    <row r="220" spans="1:12">
      <c r="A220" s="43" t="s">
        <v>1145</v>
      </c>
      <c r="B220" s="44">
        <v>11800</v>
      </c>
      <c r="C220" s="45" t="s">
        <v>34</v>
      </c>
      <c r="D220" s="44">
        <f t="shared" si="27"/>
        <v>25</v>
      </c>
      <c r="E220" s="46">
        <f t="shared" si="28"/>
        <v>0</v>
      </c>
      <c r="F220" s="46">
        <f t="shared" si="29"/>
        <v>25</v>
      </c>
      <c r="G220" s="46">
        <f t="shared" si="30"/>
        <v>0</v>
      </c>
      <c r="H220" s="47">
        <f t="shared" si="31"/>
        <v>0</v>
      </c>
      <c r="I220" s="47">
        <f t="shared" si="32"/>
        <v>0.33300000000000002</v>
      </c>
      <c r="J220" s="46">
        <f t="shared" si="33"/>
        <v>17730</v>
      </c>
      <c r="K220" s="46">
        <f t="shared" si="34"/>
        <v>5905</v>
      </c>
      <c r="L220" s="48">
        <f t="shared" si="35"/>
        <v>0.33305132543711224</v>
      </c>
    </row>
    <row r="221" spans="1:12">
      <c r="A221" s="43" t="s">
        <v>1150</v>
      </c>
      <c r="B221" s="44">
        <v>11000</v>
      </c>
      <c r="C221" s="45" t="s">
        <v>34</v>
      </c>
      <c r="D221" s="44">
        <f t="shared" si="27"/>
        <v>25</v>
      </c>
      <c r="E221" s="46">
        <f t="shared" si="28"/>
        <v>0</v>
      </c>
      <c r="F221" s="46">
        <f t="shared" si="29"/>
        <v>25</v>
      </c>
      <c r="G221" s="46">
        <f t="shared" si="30"/>
        <v>0</v>
      </c>
      <c r="H221" s="47">
        <f t="shared" si="31"/>
        <v>0</v>
      </c>
      <c r="I221" s="47">
        <f t="shared" si="32"/>
        <v>0.33300000000000002</v>
      </c>
      <c r="J221" s="46">
        <f t="shared" si="33"/>
        <v>16530</v>
      </c>
      <c r="K221" s="46">
        <f t="shared" si="34"/>
        <v>5505</v>
      </c>
      <c r="L221" s="48">
        <f t="shared" si="35"/>
        <v>0.33303085299455537</v>
      </c>
    </row>
    <row r="222" spans="1:12">
      <c r="A222" s="43" t="s">
        <v>1155</v>
      </c>
      <c r="B222" s="44">
        <v>5000</v>
      </c>
      <c r="C222" s="45" t="s">
        <v>34</v>
      </c>
      <c r="D222" s="44">
        <f t="shared" si="27"/>
        <v>25</v>
      </c>
      <c r="E222" s="46">
        <f t="shared" si="28"/>
        <v>0</v>
      </c>
      <c r="F222" s="46">
        <f t="shared" si="29"/>
        <v>25</v>
      </c>
      <c r="G222" s="46">
        <f t="shared" si="30"/>
        <v>0</v>
      </c>
      <c r="H222" s="47">
        <f t="shared" si="31"/>
        <v>0</v>
      </c>
      <c r="I222" s="47">
        <f t="shared" si="32"/>
        <v>0.33300000000000002</v>
      </c>
      <c r="J222" s="46">
        <f t="shared" si="33"/>
        <v>7530</v>
      </c>
      <c r="K222" s="46">
        <f t="shared" si="34"/>
        <v>2505</v>
      </c>
      <c r="L222" s="48">
        <f t="shared" si="35"/>
        <v>0.33266932270916333</v>
      </c>
    </row>
    <row r="223" spans="1:12">
      <c r="A223" s="43" t="s">
        <v>1163</v>
      </c>
      <c r="B223" s="44">
        <v>4500</v>
      </c>
      <c r="C223" s="45" t="s">
        <v>34</v>
      </c>
      <c r="D223" s="44">
        <f t="shared" si="27"/>
        <v>25</v>
      </c>
      <c r="E223" s="46">
        <f t="shared" si="28"/>
        <v>0</v>
      </c>
      <c r="F223" s="46">
        <f t="shared" si="29"/>
        <v>25</v>
      </c>
      <c r="G223" s="46">
        <f t="shared" si="30"/>
        <v>0</v>
      </c>
      <c r="H223" s="47">
        <f t="shared" si="31"/>
        <v>0</v>
      </c>
      <c r="I223" s="47">
        <f t="shared" si="32"/>
        <v>0.33300000000000002</v>
      </c>
      <c r="J223" s="46">
        <f t="shared" si="33"/>
        <v>6780</v>
      </c>
      <c r="K223" s="46">
        <f t="shared" si="34"/>
        <v>2255</v>
      </c>
      <c r="L223" s="48">
        <f t="shared" si="35"/>
        <v>0.33259587020648967</v>
      </c>
    </row>
    <row r="224" spans="1:12">
      <c r="A224" s="43" t="s">
        <v>1168</v>
      </c>
      <c r="B224" s="44">
        <v>5800</v>
      </c>
      <c r="C224" s="45" t="s">
        <v>34</v>
      </c>
      <c r="D224" s="44">
        <f t="shared" si="27"/>
        <v>25</v>
      </c>
      <c r="E224" s="46">
        <f t="shared" si="28"/>
        <v>0</v>
      </c>
      <c r="F224" s="46">
        <f t="shared" si="29"/>
        <v>25</v>
      </c>
      <c r="G224" s="46">
        <f t="shared" si="30"/>
        <v>0</v>
      </c>
      <c r="H224" s="47">
        <f t="shared" si="31"/>
        <v>0</v>
      </c>
      <c r="I224" s="47">
        <f t="shared" si="32"/>
        <v>0.33300000000000002</v>
      </c>
      <c r="J224" s="46">
        <f t="shared" si="33"/>
        <v>8730</v>
      </c>
      <c r="K224" s="46">
        <f t="shared" si="34"/>
        <v>2905</v>
      </c>
      <c r="L224" s="48">
        <f t="shared" si="35"/>
        <v>0.33276059564719357</v>
      </c>
    </row>
    <row r="225" spans="1:12">
      <c r="A225" s="43" t="s">
        <v>1173</v>
      </c>
      <c r="B225" s="44">
        <v>185000</v>
      </c>
      <c r="C225" s="45" t="s">
        <v>34</v>
      </c>
      <c r="D225" s="44">
        <f t="shared" si="27"/>
        <v>25</v>
      </c>
      <c r="E225" s="46">
        <f t="shared" si="28"/>
        <v>0</v>
      </c>
      <c r="F225" s="46">
        <f t="shared" si="29"/>
        <v>25</v>
      </c>
      <c r="G225" s="46">
        <f t="shared" si="30"/>
        <v>0</v>
      </c>
      <c r="H225" s="47">
        <f t="shared" si="31"/>
        <v>0</v>
      </c>
      <c r="I225" s="47">
        <f t="shared" si="32"/>
        <v>0.33300000000000002</v>
      </c>
      <c r="J225" s="46">
        <f t="shared" si="33"/>
        <v>277400</v>
      </c>
      <c r="K225" s="46">
        <f t="shared" si="34"/>
        <v>92375</v>
      </c>
      <c r="L225" s="48">
        <f t="shared" si="35"/>
        <v>0.33300288392213412</v>
      </c>
    </row>
    <row r="226" spans="1:12">
      <c r="A226" s="43" t="s">
        <v>1180</v>
      </c>
      <c r="B226" s="44">
        <v>4800</v>
      </c>
      <c r="C226" s="45" t="s">
        <v>34</v>
      </c>
      <c r="D226" s="44">
        <f t="shared" si="27"/>
        <v>25</v>
      </c>
      <c r="E226" s="46">
        <f t="shared" si="28"/>
        <v>0</v>
      </c>
      <c r="F226" s="46">
        <f t="shared" si="29"/>
        <v>25</v>
      </c>
      <c r="G226" s="46">
        <f t="shared" si="30"/>
        <v>0</v>
      </c>
      <c r="H226" s="47">
        <f t="shared" si="31"/>
        <v>0</v>
      </c>
      <c r="I226" s="47">
        <f t="shared" si="32"/>
        <v>0.33300000000000002</v>
      </c>
      <c r="J226" s="46">
        <f t="shared" si="33"/>
        <v>7230</v>
      </c>
      <c r="K226" s="46">
        <f t="shared" si="34"/>
        <v>2405</v>
      </c>
      <c r="L226" s="48">
        <f t="shared" si="35"/>
        <v>0.33264177040110648</v>
      </c>
    </row>
    <row r="227" spans="1:12">
      <c r="A227" s="43" t="s">
        <v>1187</v>
      </c>
      <c r="B227" s="44">
        <v>4400</v>
      </c>
      <c r="C227" s="45" t="s">
        <v>34</v>
      </c>
      <c r="D227" s="44">
        <f t="shared" si="27"/>
        <v>25</v>
      </c>
      <c r="E227" s="46">
        <f t="shared" si="28"/>
        <v>0</v>
      </c>
      <c r="F227" s="46">
        <f t="shared" si="29"/>
        <v>25</v>
      </c>
      <c r="G227" s="46">
        <f t="shared" si="30"/>
        <v>0</v>
      </c>
      <c r="H227" s="47">
        <f t="shared" si="31"/>
        <v>0</v>
      </c>
      <c r="I227" s="47">
        <f t="shared" si="32"/>
        <v>0.33300000000000002</v>
      </c>
      <c r="J227" s="46">
        <f t="shared" si="33"/>
        <v>6630</v>
      </c>
      <c r="K227" s="46">
        <f t="shared" si="34"/>
        <v>2205</v>
      </c>
      <c r="L227" s="48">
        <f t="shared" si="35"/>
        <v>0.33257918552036198</v>
      </c>
    </row>
    <row r="228" spans="1:12">
      <c r="A228" s="43" t="s">
        <v>1192</v>
      </c>
      <c r="B228" s="44">
        <v>26000</v>
      </c>
      <c r="C228" s="45" t="s">
        <v>34</v>
      </c>
      <c r="D228" s="44">
        <f t="shared" si="27"/>
        <v>25</v>
      </c>
      <c r="E228" s="46">
        <f t="shared" si="28"/>
        <v>0</v>
      </c>
      <c r="F228" s="46">
        <f t="shared" si="29"/>
        <v>25</v>
      </c>
      <c r="G228" s="46">
        <f t="shared" si="30"/>
        <v>0</v>
      </c>
      <c r="H228" s="47">
        <f t="shared" si="31"/>
        <v>0</v>
      </c>
      <c r="I228" s="47">
        <f t="shared" si="32"/>
        <v>0.33300000000000002</v>
      </c>
      <c r="J228" s="46">
        <f t="shared" si="33"/>
        <v>39020</v>
      </c>
      <c r="K228" s="46">
        <f t="shared" si="34"/>
        <v>12995</v>
      </c>
      <c r="L228" s="48">
        <f t="shared" si="35"/>
        <v>0.33303434136340337</v>
      </c>
    </row>
    <row r="229" spans="1:12">
      <c r="A229" s="43" t="s">
        <v>1197</v>
      </c>
      <c r="B229" s="44">
        <v>7000</v>
      </c>
      <c r="C229" s="45" t="s">
        <v>34</v>
      </c>
      <c r="D229" s="44">
        <f t="shared" si="27"/>
        <v>25</v>
      </c>
      <c r="E229" s="46">
        <f t="shared" si="28"/>
        <v>0</v>
      </c>
      <c r="F229" s="46">
        <f t="shared" si="29"/>
        <v>25</v>
      </c>
      <c r="G229" s="46">
        <f t="shared" si="30"/>
        <v>0</v>
      </c>
      <c r="H229" s="47">
        <f t="shared" si="31"/>
        <v>0</v>
      </c>
      <c r="I229" s="47">
        <f t="shared" si="32"/>
        <v>0.33300000000000002</v>
      </c>
      <c r="J229" s="46">
        <f t="shared" si="33"/>
        <v>10530</v>
      </c>
      <c r="K229" s="46">
        <f t="shared" si="34"/>
        <v>3505</v>
      </c>
      <c r="L229" s="48">
        <f t="shared" si="35"/>
        <v>0.33285849952516622</v>
      </c>
    </row>
    <row r="230" spans="1:12">
      <c r="A230" s="43" t="s">
        <v>1202</v>
      </c>
      <c r="B230" s="44">
        <v>12700</v>
      </c>
      <c r="C230" s="45" t="s">
        <v>34</v>
      </c>
      <c r="D230" s="44">
        <f t="shared" si="27"/>
        <v>25</v>
      </c>
      <c r="E230" s="46">
        <f t="shared" si="28"/>
        <v>0</v>
      </c>
      <c r="F230" s="46">
        <f t="shared" si="29"/>
        <v>25</v>
      </c>
      <c r="G230" s="46">
        <f t="shared" si="30"/>
        <v>0</v>
      </c>
      <c r="H230" s="47">
        <f t="shared" si="31"/>
        <v>0</v>
      </c>
      <c r="I230" s="47">
        <f t="shared" si="32"/>
        <v>0.33300000000000002</v>
      </c>
      <c r="J230" s="46">
        <f t="shared" si="33"/>
        <v>19080</v>
      </c>
      <c r="K230" s="46">
        <f t="shared" si="34"/>
        <v>6355</v>
      </c>
      <c r="L230" s="48">
        <f t="shared" si="35"/>
        <v>0.3330712788259958</v>
      </c>
    </row>
    <row r="231" spans="1:12">
      <c r="A231" s="43" t="s">
        <v>1208</v>
      </c>
      <c r="B231" s="44">
        <v>9000</v>
      </c>
      <c r="C231" s="45" t="s">
        <v>34</v>
      </c>
      <c r="D231" s="44">
        <f t="shared" si="27"/>
        <v>25</v>
      </c>
      <c r="E231" s="46">
        <f t="shared" si="28"/>
        <v>0</v>
      </c>
      <c r="F231" s="46">
        <f t="shared" si="29"/>
        <v>25</v>
      </c>
      <c r="G231" s="46">
        <f t="shared" si="30"/>
        <v>0</v>
      </c>
      <c r="H231" s="47">
        <f t="shared" si="31"/>
        <v>0</v>
      </c>
      <c r="I231" s="47">
        <f t="shared" si="32"/>
        <v>0.33300000000000002</v>
      </c>
      <c r="J231" s="46">
        <f t="shared" si="33"/>
        <v>13530</v>
      </c>
      <c r="K231" s="46">
        <f t="shared" si="34"/>
        <v>4505</v>
      </c>
      <c r="L231" s="48">
        <f t="shared" si="35"/>
        <v>0.33296378418329636</v>
      </c>
    </row>
    <row r="232" spans="1:12">
      <c r="A232" s="43" t="s">
        <v>1213</v>
      </c>
      <c r="B232" s="44">
        <v>4500</v>
      </c>
      <c r="C232" s="45" t="s">
        <v>34</v>
      </c>
      <c r="D232" s="44">
        <f t="shared" si="27"/>
        <v>25</v>
      </c>
      <c r="E232" s="46">
        <f t="shared" si="28"/>
        <v>0</v>
      </c>
      <c r="F232" s="46">
        <f t="shared" si="29"/>
        <v>25</v>
      </c>
      <c r="G232" s="46">
        <f t="shared" si="30"/>
        <v>0</v>
      </c>
      <c r="H232" s="47">
        <f t="shared" si="31"/>
        <v>0</v>
      </c>
      <c r="I232" s="47">
        <f t="shared" si="32"/>
        <v>0.33300000000000002</v>
      </c>
      <c r="J232" s="46">
        <f t="shared" si="33"/>
        <v>6780</v>
      </c>
      <c r="K232" s="46">
        <f t="shared" si="34"/>
        <v>2255</v>
      </c>
      <c r="L232" s="48">
        <f t="shared" si="35"/>
        <v>0.33259587020648967</v>
      </c>
    </row>
    <row r="233" spans="1:12">
      <c r="A233" s="43" t="s">
        <v>1218</v>
      </c>
      <c r="B233" s="44">
        <v>19000</v>
      </c>
      <c r="C233" s="45" t="s">
        <v>34</v>
      </c>
      <c r="D233" s="44">
        <f t="shared" si="27"/>
        <v>25</v>
      </c>
      <c r="E233" s="46">
        <f t="shared" si="28"/>
        <v>0</v>
      </c>
      <c r="F233" s="46">
        <f t="shared" si="29"/>
        <v>25</v>
      </c>
      <c r="G233" s="46">
        <f t="shared" si="30"/>
        <v>0</v>
      </c>
      <c r="H233" s="47">
        <f t="shared" si="31"/>
        <v>0</v>
      </c>
      <c r="I233" s="47">
        <f t="shared" si="32"/>
        <v>0.33300000000000002</v>
      </c>
      <c r="J233" s="46">
        <f t="shared" si="33"/>
        <v>28520</v>
      </c>
      <c r="K233" s="46">
        <f t="shared" si="34"/>
        <v>9495</v>
      </c>
      <c r="L233" s="48">
        <f t="shared" si="35"/>
        <v>0.33292426367461431</v>
      </c>
    </row>
    <row r="234" spans="1:12">
      <c r="A234" s="43" t="s">
        <v>1223</v>
      </c>
      <c r="B234" s="44">
        <v>1000</v>
      </c>
      <c r="C234" s="45" t="s">
        <v>34</v>
      </c>
      <c r="D234" s="44">
        <f t="shared" si="27"/>
        <v>25</v>
      </c>
      <c r="E234" s="46">
        <f t="shared" si="28"/>
        <v>0</v>
      </c>
      <c r="F234" s="46">
        <f t="shared" si="29"/>
        <v>25</v>
      </c>
      <c r="G234" s="46">
        <f t="shared" si="30"/>
        <v>0</v>
      </c>
      <c r="H234" s="47">
        <f t="shared" si="31"/>
        <v>0</v>
      </c>
      <c r="I234" s="47">
        <f t="shared" si="32"/>
        <v>0.33300000000000002</v>
      </c>
      <c r="J234" s="46">
        <f t="shared" si="33"/>
        <v>1540</v>
      </c>
      <c r="K234" s="46">
        <f t="shared" si="34"/>
        <v>515</v>
      </c>
      <c r="L234" s="48">
        <f t="shared" si="35"/>
        <v>0.33441558441558439</v>
      </c>
    </row>
    <row r="235" spans="1:12">
      <c r="A235" s="43" t="s">
        <v>1229</v>
      </c>
      <c r="B235" s="44">
        <v>14000</v>
      </c>
      <c r="C235" s="45" t="s">
        <v>34</v>
      </c>
      <c r="D235" s="44">
        <f t="shared" si="27"/>
        <v>25</v>
      </c>
      <c r="E235" s="46">
        <f t="shared" si="28"/>
        <v>0</v>
      </c>
      <c r="F235" s="46">
        <f t="shared" si="29"/>
        <v>25</v>
      </c>
      <c r="G235" s="46">
        <f t="shared" si="30"/>
        <v>0</v>
      </c>
      <c r="H235" s="47">
        <f t="shared" si="31"/>
        <v>0</v>
      </c>
      <c r="I235" s="47">
        <f t="shared" si="32"/>
        <v>0.33300000000000002</v>
      </c>
      <c r="J235" s="46">
        <f t="shared" si="33"/>
        <v>21030</v>
      </c>
      <c r="K235" s="46">
        <f t="shared" si="34"/>
        <v>7005</v>
      </c>
      <c r="L235" s="48">
        <f t="shared" si="35"/>
        <v>0.33309557774607701</v>
      </c>
    </row>
    <row r="236" spans="1:12">
      <c r="A236" s="43" t="s">
        <v>1234</v>
      </c>
      <c r="B236" s="44">
        <v>11000</v>
      </c>
      <c r="C236" s="45" t="s">
        <v>34</v>
      </c>
      <c r="D236" s="44">
        <f t="shared" si="27"/>
        <v>25</v>
      </c>
      <c r="E236" s="46">
        <f t="shared" si="28"/>
        <v>0</v>
      </c>
      <c r="F236" s="46">
        <f t="shared" si="29"/>
        <v>25</v>
      </c>
      <c r="G236" s="46">
        <f t="shared" si="30"/>
        <v>0</v>
      </c>
      <c r="H236" s="47">
        <f t="shared" si="31"/>
        <v>0</v>
      </c>
      <c r="I236" s="47">
        <f t="shared" si="32"/>
        <v>0.33300000000000002</v>
      </c>
      <c r="J236" s="46">
        <f t="shared" si="33"/>
        <v>16530</v>
      </c>
      <c r="K236" s="46">
        <f t="shared" si="34"/>
        <v>5505</v>
      </c>
      <c r="L236" s="48">
        <f t="shared" si="35"/>
        <v>0.33303085299455537</v>
      </c>
    </row>
    <row r="237" spans="1:12">
      <c r="A237" s="43" t="s">
        <v>1239</v>
      </c>
      <c r="B237" s="44">
        <v>2000</v>
      </c>
      <c r="C237" s="45" t="s">
        <v>34</v>
      </c>
      <c r="D237" s="44">
        <f t="shared" si="27"/>
        <v>25</v>
      </c>
      <c r="E237" s="46">
        <f t="shared" si="28"/>
        <v>0</v>
      </c>
      <c r="F237" s="46">
        <f t="shared" si="29"/>
        <v>25</v>
      </c>
      <c r="G237" s="46">
        <f t="shared" si="30"/>
        <v>0</v>
      </c>
      <c r="H237" s="47">
        <f t="shared" si="31"/>
        <v>0</v>
      </c>
      <c r="I237" s="47">
        <f t="shared" si="32"/>
        <v>0.33300000000000002</v>
      </c>
      <c r="J237" s="46">
        <f t="shared" si="33"/>
        <v>3040</v>
      </c>
      <c r="K237" s="46">
        <f t="shared" si="34"/>
        <v>1015</v>
      </c>
      <c r="L237" s="48">
        <f t="shared" si="35"/>
        <v>0.33388157894736842</v>
      </c>
    </row>
    <row r="238" spans="1:12">
      <c r="A238" s="43" t="s">
        <v>1244</v>
      </c>
      <c r="B238" s="44">
        <v>2400</v>
      </c>
      <c r="C238" s="45" t="s">
        <v>34</v>
      </c>
      <c r="D238" s="44">
        <f t="shared" si="27"/>
        <v>25</v>
      </c>
      <c r="E238" s="46">
        <f t="shared" si="28"/>
        <v>0</v>
      </c>
      <c r="F238" s="46">
        <f t="shared" si="29"/>
        <v>25</v>
      </c>
      <c r="G238" s="46">
        <f t="shared" si="30"/>
        <v>0</v>
      </c>
      <c r="H238" s="47">
        <f t="shared" si="31"/>
        <v>0</v>
      </c>
      <c r="I238" s="47">
        <f t="shared" si="32"/>
        <v>0.33300000000000002</v>
      </c>
      <c r="J238" s="46">
        <f t="shared" si="33"/>
        <v>3640</v>
      </c>
      <c r="K238" s="46">
        <f t="shared" si="34"/>
        <v>1215</v>
      </c>
      <c r="L238" s="48">
        <f t="shared" si="35"/>
        <v>0.33379120879120877</v>
      </c>
    </row>
    <row r="239" spans="1:12">
      <c r="A239" s="43" t="s">
        <v>1249</v>
      </c>
      <c r="B239" s="44">
        <v>1050</v>
      </c>
      <c r="C239" s="45" t="s">
        <v>34</v>
      </c>
      <c r="D239" s="44">
        <f t="shared" si="27"/>
        <v>25</v>
      </c>
      <c r="E239" s="46">
        <f t="shared" si="28"/>
        <v>0</v>
      </c>
      <c r="F239" s="46">
        <f t="shared" si="29"/>
        <v>25</v>
      </c>
      <c r="G239" s="46">
        <f t="shared" si="30"/>
        <v>0</v>
      </c>
      <c r="H239" s="47">
        <f t="shared" si="31"/>
        <v>0</v>
      </c>
      <c r="I239" s="47">
        <f t="shared" si="32"/>
        <v>0.33300000000000002</v>
      </c>
      <c r="J239" s="46">
        <f t="shared" si="33"/>
        <v>1610</v>
      </c>
      <c r="K239" s="46">
        <f t="shared" si="34"/>
        <v>535</v>
      </c>
      <c r="L239" s="48">
        <f t="shared" si="35"/>
        <v>0.33229813664596275</v>
      </c>
    </row>
    <row r="240" spans="1:12">
      <c r="A240" s="43" t="s">
        <v>1255</v>
      </c>
      <c r="B240" s="44">
        <v>2500</v>
      </c>
      <c r="C240" s="45" t="s">
        <v>34</v>
      </c>
      <c r="D240" s="44">
        <f t="shared" si="27"/>
        <v>25</v>
      </c>
      <c r="E240" s="46">
        <f t="shared" si="28"/>
        <v>0</v>
      </c>
      <c r="F240" s="46">
        <f t="shared" si="29"/>
        <v>25</v>
      </c>
      <c r="G240" s="46">
        <f t="shared" si="30"/>
        <v>0</v>
      </c>
      <c r="H240" s="47">
        <f t="shared" si="31"/>
        <v>0</v>
      </c>
      <c r="I240" s="47">
        <f t="shared" si="32"/>
        <v>0.33300000000000002</v>
      </c>
      <c r="J240" s="46">
        <f t="shared" si="33"/>
        <v>3790</v>
      </c>
      <c r="K240" s="46">
        <f t="shared" si="34"/>
        <v>1265</v>
      </c>
      <c r="L240" s="48">
        <f t="shared" si="35"/>
        <v>0.33377308707124009</v>
      </c>
    </row>
    <row r="241" spans="1:12">
      <c r="A241" s="43" t="s">
        <v>1260</v>
      </c>
      <c r="B241" s="44">
        <v>1250</v>
      </c>
      <c r="C241" s="45" t="s">
        <v>34</v>
      </c>
      <c r="D241" s="44">
        <f t="shared" si="27"/>
        <v>25</v>
      </c>
      <c r="E241" s="46">
        <f t="shared" si="28"/>
        <v>0</v>
      </c>
      <c r="F241" s="46">
        <f t="shared" si="29"/>
        <v>25</v>
      </c>
      <c r="G241" s="46">
        <f t="shared" si="30"/>
        <v>0</v>
      </c>
      <c r="H241" s="47">
        <f t="shared" si="31"/>
        <v>0</v>
      </c>
      <c r="I241" s="47">
        <f t="shared" si="32"/>
        <v>0.33300000000000002</v>
      </c>
      <c r="J241" s="46">
        <f t="shared" si="33"/>
        <v>1910</v>
      </c>
      <c r="K241" s="46">
        <f t="shared" si="34"/>
        <v>635</v>
      </c>
      <c r="L241" s="48">
        <f t="shared" si="35"/>
        <v>0.33246073298429318</v>
      </c>
    </row>
    <row r="242" spans="1:12">
      <c r="A242" s="43" t="s">
        <v>1266</v>
      </c>
      <c r="B242" s="44">
        <v>1200</v>
      </c>
      <c r="C242" s="45" t="s">
        <v>34</v>
      </c>
      <c r="D242" s="44">
        <f t="shared" si="27"/>
        <v>25</v>
      </c>
      <c r="E242" s="46">
        <f t="shared" si="28"/>
        <v>0</v>
      </c>
      <c r="F242" s="46">
        <f t="shared" si="29"/>
        <v>25</v>
      </c>
      <c r="G242" s="46">
        <f t="shared" si="30"/>
        <v>0</v>
      </c>
      <c r="H242" s="47">
        <f t="shared" si="31"/>
        <v>0</v>
      </c>
      <c r="I242" s="47">
        <f t="shared" si="32"/>
        <v>0.33300000000000002</v>
      </c>
      <c r="J242" s="46">
        <f t="shared" si="33"/>
        <v>1840</v>
      </c>
      <c r="K242" s="46">
        <f t="shared" si="34"/>
        <v>615</v>
      </c>
      <c r="L242" s="48">
        <f t="shared" si="35"/>
        <v>0.33423913043478259</v>
      </c>
    </row>
    <row r="243" spans="1:12">
      <c r="A243" s="43" t="s">
        <v>1271</v>
      </c>
      <c r="B243" s="44">
        <v>1500</v>
      </c>
      <c r="C243" s="45" t="s">
        <v>34</v>
      </c>
      <c r="D243" s="44">
        <f t="shared" si="27"/>
        <v>25</v>
      </c>
      <c r="E243" s="46">
        <f t="shared" si="28"/>
        <v>0</v>
      </c>
      <c r="F243" s="46">
        <f t="shared" si="29"/>
        <v>25</v>
      </c>
      <c r="G243" s="46">
        <f t="shared" si="30"/>
        <v>0</v>
      </c>
      <c r="H243" s="47">
        <f t="shared" si="31"/>
        <v>0</v>
      </c>
      <c r="I243" s="47">
        <f t="shared" si="32"/>
        <v>0.33300000000000002</v>
      </c>
      <c r="J243" s="46">
        <f t="shared" si="33"/>
        <v>2290</v>
      </c>
      <c r="K243" s="46">
        <f t="shared" si="34"/>
        <v>765</v>
      </c>
      <c r="L243" s="48">
        <f t="shared" si="35"/>
        <v>0.33406113537117904</v>
      </c>
    </row>
    <row r="244" spans="1:12">
      <c r="A244" s="43" t="s">
        <v>1276</v>
      </c>
      <c r="B244" s="44">
        <v>2800</v>
      </c>
      <c r="C244" s="45" t="s">
        <v>34</v>
      </c>
      <c r="D244" s="44">
        <f t="shared" si="27"/>
        <v>25</v>
      </c>
      <c r="E244" s="46">
        <f t="shared" si="28"/>
        <v>0</v>
      </c>
      <c r="F244" s="46">
        <f t="shared" si="29"/>
        <v>25</v>
      </c>
      <c r="G244" s="46">
        <f t="shared" si="30"/>
        <v>0</v>
      </c>
      <c r="H244" s="47">
        <f t="shared" si="31"/>
        <v>0</v>
      </c>
      <c r="I244" s="47">
        <f t="shared" si="32"/>
        <v>0.33300000000000002</v>
      </c>
      <c r="J244" s="46">
        <f t="shared" si="33"/>
        <v>4240</v>
      </c>
      <c r="K244" s="46">
        <f t="shared" si="34"/>
        <v>1415</v>
      </c>
      <c r="L244" s="48">
        <f t="shared" si="35"/>
        <v>0.33372641509433965</v>
      </c>
    </row>
    <row r="245" spans="1:12">
      <c r="A245" s="43" t="s">
        <v>1282</v>
      </c>
      <c r="B245" s="44">
        <v>2500</v>
      </c>
      <c r="C245" s="45" t="s">
        <v>34</v>
      </c>
      <c r="D245" s="44">
        <f t="shared" si="27"/>
        <v>25</v>
      </c>
      <c r="E245" s="46">
        <f t="shared" si="28"/>
        <v>0</v>
      </c>
      <c r="F245" s="46">
        <f t="shared" si="29"/>
        <v>25</v>
      </c>
      <c r="G245" s="46">
        <f t="shared" si="30"/>
        <v>0</v>
      </c>
      <c r="H245" s="47">
        <f t="shared" si="31"/>
        <v>0</v>
      </c>
      <c r="I245" s="47">
        <f t="shared" si="32"/>
        <v>0.33300000000000002</v>
      </c>
      <c r="J245" s="46">
        <f t="shared" si="33"/>
        <v>3790</v>
      </c>
      <c r="K245" s="46">
        <f t="shared" si="34"/>
        <v>1265</v>
      </c>
      <c r="L245" s="48">
        <f t="shared" si="35"/>
        <v>0.33377308707124009</v>
      </c>
    </row>
    <row r="246" spans="1:12">
      <c r="A246" s="43" t="s">
        <v>1288</v>
      </c>
      <c r="B246" s="44">
        <v>500</v>
      </c>
      <c r="C246" s="45" t="s">
        <v>34</v>
      </c>
      <c r="D246" s="44">
        <f t="shared" si="27"/>
        <v>25</v>
      </c>
      <c r="E246" s="46">
        <f t="shared" si="28"/>
        <v>0</v>
      </c>
      <c r="F246" s="46">
        <f t="shared" si="29"/>
        <v>25</v>
      </c>
      <c r="G246" s="46">
        <f t="shared" si="30"/>
        <v>0</v>
      </c>
      <c r="H246" s="47">
        <f t="shared" si="31"/>
        <v>0</v>
      </c>
      <c r="I246" s="47">
        <f t="shared" si="32"/>
        <v>0.33300000000000002</v>
      </c>
      <c r="J246" s="46">
        <f t="shared" si="33"/>
        <v>790</v>
      </c>
      <c r="K246" s="46">
        <f t="shared" si="34"/>
        <v>265</v>
      </c>
      <c r="L246" s="48">
        <f t="shared" si="35"/>
        <v>0.33544303797468356</v>
      </c>
    </row>
    <row r="247" spans="1:12">
      <c r="A247" s="43" t="s">
        <v>1294</v>
      </c>
      <c r="B247" s="44">
        <v>5000</v>
      </c>
      <c r="C247" s="45" t="s">
        <v>34</v>
      </c>
      <c r="D247" s="44">
        <f t="shared" si="27"/>
        <v>25</v>
      </c>
      <c r="E247" s="46">
        <f t="shared" si="28"/>
        <v>0</v>
      </c>
      <c r="F247" s="46">
        <f t="shared" si="29"/>
        <v>25</v>
      </c>
      <c r="G247" s="46">
        <f t="shared" si="30"/>
        <v>0</v>
      </c>
      <c r="H247" s="47">
        <f t="shared" si="31"/>
        <v>0</v>
      </c>
      <c r="I247" s="47">
        <f t="shared" si="32"/>
        <v>0.33300000000000002</v>
      </c>
      <c r="J247" s="46">
        <f t="shared" si="33"/>
        <v>7530</v>
      </c>
      <c r="K247" s="46">
        <f t="shared" si="34"/>
        <v>2505</v>
      </c>
      <c r="L247" s="48">
        <f t="shared" si="35"/>
        <v>0.33266932270916333</v>
      </c>
    </row>
    <row r="248" spans="1:12">
      <c r="A248" s="43" t="s">
        <v>1300</v>
      </c>
      <c r="B248" s="44">
        <v>8000</v>
      </c>
      <c r="C248" s="45" t="s">
        <v>1351</v>
      </c>
      <c r="D248" s="44">
        <v>1000</v>
      </c>
      <c r="E248" s="46">
        <f t="shared" si="28"/>
        <v>1000</v>
      </c>
      <c r="F248" s="46">
        <f t="shared" si="29"/>
        <v>25</v>
      </c>
      <c r="G248" s="46">
        <f t="shared" si="30"/>
        <v>0</v>
      </c>
      <c r="H248" s="47">
        <f t="shared" si="31"/>
        <v>0</v>
      </c>
      <c r="I248" s="47">
        <f t="shared" si="32"/>
        <v>0.33300000000000002</v>
      </c>
      <c r="J248" s="46">
        <f t="shared" si="33"/>
        <v>13530</v>
      </c>
      <c r="K248" s="46">
        <f t="shared" si="34"/>
        <v>4505</v>
      </c>
      <c r="L248" s="48">
        <f t="shared" si="35"/>
        <v>0.33296378418329636</v>
      </c>
    </row>
    <row r="249" spans="1:12">
      <c r="A249" s="43" t="s">
        <v>1307</v>
      </c>
      <c r="B249" s="44">
        <v>1600</v>
      </c>
      <c r="C249" s="45" t="s">
        <v>1351</v>
      </c>
      <c r="D249" s="44">
        <v>1000</v>
      </c>
      <c r="E249" s="46">
        <f t="shared" si="28"/>
        <v>1000</v>
      </c>
      <c r="F249" s="46">
        <f t="shared" si="29"/>
        <v>25</v>
      </c>
      <c r="G249" s="46">
        <f t="shared" si="30"/>
        <v>0</v>
      </c>
      <c r="H249" s="47">
        <f t="shared" si="31"/>
        <v>0</v>
      </c>
      <c r="I249" s="47">
        <f t="shared" si="32"/>
        <v>0.33300000000000002</v>
      </c>
      <c r="J249" s="46">
        <f t="shared" si="33"/>
        <v>3940</v>
      </c>
      <c r="K249" s="46">
        <f t="shared" si="34"/>
        <v>1315</v>
      </c>
      <c r="L249" s="48">
        <f t="shared" si="35"/>
        <v>0.33375634517766495</v>
      </c>
    </row>
    <row r="250" spans="1:12">
      <c r="A250" s="43" t="s">
        <v>1311</v>
      </c>
      <c r="B250" s="44">
        <v>800</v>
      </c>
      <c r="C250" s="45" t="s">
        <v>34</v>
      </c>
      <c r="D250" s="44">
        <f t="shared" si="27"/>
        <v>25</v>
      </c>
      <c r="E250" s="46">
        <f t="shared" si="28"/>
        <v>0</v>
      </c>
      <c r="F250" s="46">
        <f t="shared" si="29"/>
        <v>25</v>
      </c>
      <c r="G250" s="46">
        <f t="shared" si="30"/>
        <v>0</v>
      </c>
      <c r="H250" s="47">
        <f t="shared" si="31"/>
        <v>0</v>
      </c>
      <c r="I250" s="47">
        <f t="shared" si="32"/>
        <v>0.33300000000000002</v>
      </c>
      <c r="J250" s="46">
        <f t="shared" si="33"/>
        <v>1240</v>
      </c>
      <c r="K250" s="46">
        <f t="shared" si="34"/>
        <v>415</v>
      </c>
      <c r="L250" s="48">
        <f t="shared" si="35"/>
        <v>0.33467741935483869</v>
      </c>
    </row>
    <row r="251" spans="1:12">
      <c r="A251" s="55" t="s">
        <v>1311</v>
      </c>
      <c r="B251" s="56">
        <v>800</v>
      </c>
      <c r="C251" s="57" t="s">
        <v>34</v>
      </c>
      <c r="D251" s="56">
        <f t="shared" ref="D251" si="36">IF(A251="","",$B$7/$B$6)</f>
        <v>25</v>
      </c>
      <c r="E251" s="58">
        <f t="shared" ref="E251" si="37">IF(A251="","",IF(C251="NO",0,IF(D251&lt;&gt;"",D251,$B$11)))</f>
        <v>0</v>
      </c>
      <c r="F251" s="58">
        <f t="shared" ref="F251" si="38">IF(A251="","",$B$7/$B$6)</f>
        <v>25</v>
      </c>
      <c r="G251" s="58">
        <f t="shared" ref="G251" si="39">IF(A251="","",($B$8-$B$9)/$B$6)</f>
        <v>0</v>
      </c>
      <c r="H251" s="59">
        <f t="shared" ref="H251" si="40">IF(A251="","",$B$10)</f>
        <v>0</v>
      </c>
      <c r="I251" s="59">
        <f t="shared" ref="I251" si="41">IF(A251="","",$B$5)</f>
        <v>0.33300000000000002</v>
      </c>
      <c r="J251" s="58">
        <f t="shared" ref="J251" si="42">IF(OR(A251="",B251=""),"",ROUND((B251+E251+F251+G251)/(1-H251-I251),-1))</f>
        <v>1240</v>
      </c>
      <c r="K251" s="58">
        <f t="shared" ref="K251" si="43">IF(J251="","",J251-B251-E251-F251-G251-(J251*H251))</f>
        <v>415</v>
      </c>
      <c r="L251" s="60">
        <f t="shared" ref="L251" si="44">IF(J251="","",K251/J251)</f>
        <v>0.33467741935483869</v>
      </c>
    </row>
    <row r="252" spans="1:12">
      <c r="A252" s="55"/>
      <c r="B252" s="56"/>
      <c r="C252" s="57"/>
      <c r="D252" s="56"/>
      <c r="E252" s="58"/>
      <c r="F252" s="58"/>
      <c r="G252" s="58"/>
      <c r="H252" s="59"/>
      <c r="I252" s="59"/>
      <c r="J252" s="58"/>
      <c r="K252" s="58"/>
      <c r="L252" s="60"/>
    </row>
    <row r="253" spans="1:12">
      <c r="A253" s="55" t="s">
        <v>1795</v>
      </c>
      <c r="B253" s="56">
        <v>230</v>
      </c>
      <c r="C253" s="57" t="s">
        <v>736</v>
      </c>
      <c r="D253" s="56"/>
      <c r="E253" s="58">
        <f t="shared" ref="E253" si="45">IF(A253="","",IF(C253="NO",0,IF(D253&lt;&gt;"",D253,$B$11)))</f>
        <v>1000</v>
      </c>
      <c r="F253" s="58">
        <f t="shared" ref="F253" si="46">IF(A253="","",$B$7/$B$6)</f>
        <v>25</v>
      </c>
      <c r="G253" s="58">
        <f t="shared" ref="G253" si="47">IF(A253="","",($B$8-$B$9)/$B$6)</f>
        <v>0</v>
      </c>
      <c r="H253" s="59">
        <f t="shared" ref="H253" si="48">IF(A253="","",$B$10)</f>
        <v>0</v>
      </c>
      <c r="I253" s="59">
        <f t="shared" ref="I253" si="49">IF(A253="","",$B$5)</f>
        <v>0.33300000000000002</v>
      </c>
      <c r="J253" s="58">
        <f t="shared" ref="J253" si="50">IF(OR(A253="",B253=""),"",ROUND((B253+E253+F253+G253)/(1-H253-I253),-1))</f>
        <v>1880</v>
      </c>
      <c r="K253" s="58">
        <f t="shared" ref="K253" si="51">IF(J253="","",J253-B253-E253-F253-G253-(J253*H253))</f>
        <v>625</v>
      </c>
      <c r="L253" s="60">
        <f t="shared" ref="L253" si="52">IF(J253="","",K253/J253)</f>
        <v>0.33244680851063829</v>
      </c>
    </row>
    <row r="254" spans="1:12">
      <c r="A254" s="55" t="s">
        <v>1801</v>
      </c>
      <c r="B254" s="56">
        <v>19800</v>
      </c>
      <c r="C254" s="57" t="s">
        <v>34</v>
      </c>
      <c r="D254" s="56"/>
      <c r="E254" s="58">
        <f t="shared" ref="E254" si="53">IF(A254="","",IF(C254="NO",0,IF(D254&lt;&gt;"",D254,$B$11)))</f>
        <v>0</v>
      </c>
      <c r="F254" s="58">
        <f t="shared" ref="F254" si="54">IF(A254="","",$B$7/$B$6)</f>
        <v>25</v>
      </c>
      <c r="G254" s="58">
        <f t="shared" ref="G254" si="55">IF(A254="","",($B$8-$B$9)/$B$6)</f>
        <v>0</v>
      </c>
      <c r="H254" s="59">
        <f t="shared" ref="H254" si="56">IF(A254="","",$B$10)</f>
        <v>0</v>
      </c>
      <c r="I254" s="59">
        <f t="shared" ref="I254" si="57">IF(A254="","",$B$5)</f>
        <v>0.33300000000000002</v>
      </c>
      <c r="J254" s="58">
        <f t="shared" ref="J254" si="58">IF(OR(A254="",B254=""),"",ROUND((B254+E254+F254+G254)/(1-H254-I254),-1))</f>
        <v>29720</v>
      </c>
      <c r="K254" s="58">
        <f t="shared" ref="K254" si="59">IF(J254="","",J254-B254-E254-F254-G254-(J254*H254))</f>
        <v>9895</v>
      </c>
      <c r="L254" s="60">
        <f t="shared" ref="L254" si="60">IF(J254="","",K254/J254)</f>
        <v>0.3329407806191117</v>
      </c>
    </row>
    <row r="255" spans="1:12">
      <c r="A255" s="55" t="s">
        <v>1804</v>
      </c>
      <c r="B255" s="56">
        <v>10200</v>
      </c>
      <c r="C255" s="57" t="s">
        <v>34</v>
      </c>
      <c r="D255" s="56"/>
      <c r="E255" s="58">
        <f t="shared" ref="E255" si="61">IF(A255="","",IF(C255="NO",0,IF(D255&lt;&gt;"",D255,$B$11)))</f>
        <v>0</v>
      </c>
      <c r="F255" s="58">
        <f t="shared" ref="F255" si="62">IF(A255="","",$B$7/$B$6)</f>
        <v>25</v>
      </c>
      <c r="G255" s="58">
        <f t="shared" ref="G255" si="63">IF(A255="","",($B$8-$B$9)/$B$6)</f>
        <v>0</v>
      </c>
      <c r="H255" s="59">
        <f t="shared" ref="H255" si="64">IF(A255="","",$B$10)</f>
        <v>0</v>
      </c>
      <c r="I255" s="59">
        <f t="shared" ref="I255" si="65">IF(A255="","",$B$5)</f>
        <v>0.33300000000000002</v>
      </c>
      <c r="J255" s="58">
        <f t="shared" ref="J255" si="66">IF(OR(A255="",B255=""),"",ROUND((B255+E255+F255+G255)/(1-H255-I255),-1))</f>
        <v>15330</v>
      </c>
      <c r="K255" s="58">
        <f t="shared" ref="K255" si="67">IF(J255="","",J255-B255-E255-F255-G255-(J255*H255))</f>
        <v>5105</v>
      </c>
      <c r="L255" s="60">
        <f t="shared" ref="L255" si="68">IF(J255="","",K255/J255)</f>
        <v>0.33300717547292891</v>
      </c>
    </row>
    <row r="256" spans="1:12">
      <c r="A256" s="55" t="s">
        <v>1807</v>
      </c>
      <c r="B256" s="56">
        <v>7100</v>
      </c>
      <c r="C256" s="57" t="s">
        <v>34</v>
      </c>
      <c r="D256" s="56"/>
      <c r="E256" s="58">
        <f t="shared" ref="E256" si="69">IF(A256="","",IF(C256="NO",0,IF(D256&lt;&gt;"",D256,$B$11)))</f>
        <v>0</v>
      </c>
      <c r="F256" s="58">
        <f t="shared" ref="F256" si="70">IF(A256="","",$B$7/$B$6)</f>
        <v>25</v>
      </c>
      <c r="G256" s="58">
        <f t="shared" ref="G256" si="71">IF(A256="","",($B$8-$B$9)/$B$6)</f>
        <v>0</v>
      </c>
      <c r="H256" s="59">
        <f t="shared" ref="H256" si="72">IF(A256="","",$B$10)</f>
        <v>0</v>
      </c>
      <c r="I256" s="59">
        <f t="shared" ref="I256" si="73">IF(A256="","",$B$5)</f>
        <v>0.33300000000000002</v>
      </c>
      <c r="J256" s="58">
        <f t="shared" ref="J256" si="74">IF(OR(A256="",B256=""),"",ROUND((B256+E256+F256+G256)/(1-H256-I256),-1))</f>
        <v>10680</v>
      </c>
      <c r="K256" s="58">
        <f t="shared" ref="K256" si="75">IF(J256="","",J256-B256-E256-F256-G256-(J256*H256))</f>
        <v>3555</v>
      </c>
      <c r="L256" s="60">
        <f t="shared" ref="L256" si="76">IF(J256="","",K256/J256)</f>
        <v>0.33286516853932585</v>
      </c>
    </row>
    <row r="257" spans="1:12">
      <c r="A257" s="55" t="s">
        <v>1810</v>
      </c>
      <c r="B257" s="56">
        <v>17200</v>
      </c>
      <c r="C257" s="57" t="s">
        <v>34</v>
      </c>
      <c r="D257" s="56"/>
      <c r="E257" s="58">
        <f t="shared" ref="E257" si="77">IF(A257="","",IF(C257="NO",0,IF(D257&lt;&gt;"",D257,$B$11)))</f>
        <v>0</v>
      </c>
      <c r="F257" s="58">
        <f t="shared" ref="F257" si="78">IF(A257="","",$B$7/$B$6)</f>
        <v>25</v>
      </c>
      <c r="G257" s="58">
        <f t="shared" ref="G257" si="79">IF(A257="","",($B$8-$B$9)/$B$6)</f>
        <v>0</v>
      </c>
      <c r="H257" s="59">
        <f t="shared" ref="H257" si="80">IF(A257="","",$B$10)</f>
        <v>0</v>
      </c>
      <c r="I257" s="59">
        <f t="shared" ref="I257" si="81">IF(A257="","",$B$5)</f>
        <v>0.33300000000000002</v>
      </c>
      <c r="J257" s="58">
        <f t="shared" ref="J257" si="82">IF(OR(A257="",B257=""),"",ROUND((B257+E257+F257+G257)/(1-H257-I257),-1))</f>
        <v>25820</v>
      </c>
      <c r="K257" s="58">
        <f t="shared" ref="K257" si="83">IF(J257="","",J257-B257-E257-F257-G257-(J257*H257))</f>
        <v>8595</v>
      </c>
      <c r="L257" s="60">
        <f t="shared" ref="L257" si="84">IF(J257="","",K257/J257)</f>
        <v>0.3328814872192099</v>
      </c>
    </row>
    <row r="258" spans="1:12">
      <c r="A258" s="55" t="s">
        <v>1813</v>
      </c>
      <c r="B258" s="56">
        <v>9300</v>
      </c>
      <c r="C258" s="57" t="s">
        <v>34</v>
      </c>
      <c r="D258" s="56"/>
      <c r="E258" s="58">
        <f t="shared" ref="E258" si="85">IF(A258="","",IF(C258="NO",0,IF(D258&lt;&gt;"",D258,$B$11)))</f>
        <v>0</v>
      </c>
      <c r="F258" s="58">
        <f t="shared" ref="F258" si="86">IF(A258="","",$B$7/$B$6)</f>
        <v>25</v>
      </c>
      <c r="G258" s="58">
        <f t="shared" ref="G258" si="87">IF(A258="","",($B$8-$B$9)/$B$6)</f>
        <v>0</v>
      </c>
      <c r="H258" s="59">
        <f t="shared" ref="H258" si="88">IF(A258="","",$B$10)</f>
        <v>0</v>
      </c>
      <c r="I258" s="59">
        <f t="shared" ref="I258" si="89">IF(A258="","",$B$5)</f>
        <v>0.33300000000000002</v>
      </c>
      <c r="J258" s="58">
        <f t="shared" ref="J258" si="90">IF(OR(A258="",B258=""),"",ROUND((B258+E258+F258+G258)/(1-H258-I258),-1))</f>
        <v>13980</v>
      </c>
      <c r="K258" s="58">
        <f t="shared" ref="K258" si="91">IF(J258="","",J258-B258-E258-F258-G258-(J258*H258))</f>
        <v>4655</v>
      </c>
      <c r="L258" s="60">
        <f t="shared" ref="L258" si="92">IF(J258="","",K258/J258)</f>
        <v>0.33297567954220314</v>
      </c>
    </row>
    <row r="259" spans="1:12">
      <c r="A259" s="55" t="s">
        <v>1817</v>
      </c>
      <c r="B259" s="56">
        <v>20000</v>
      </c>
      <c r="C259" s="57" t="s">
        <v>34</v>
      </c>
      <c r="D259" s="56"/>
      <c r="E259" s="58">
        <f t="shared" ref="E259" si="93">IF(A259="","",IF(C259="NO",0,IF(D259&lt;&gt;"",D259,$B$11)))</f>
        <v>0</v>
      </c>
      <c r="F259" s="58">
        <f t="shared" ref="F259" si="94">IF(A259="","",$B$7/$B$6)</f>
        <v>25</v>
      </c>
      <c r="G259" s="58">
        <f t="shared" ref="G259" si="95">IF(A259="","",($B$8-$B$9)/$B$6)</f>
        <v>0</v>
      </c>
      <c r="H259" s="59">
        <f t="shared" ref="H259" si="96">IF(A259="","",$B$10)</f>
        <v>0</v>
      </c>
      <c r="I259" s="59">
        <f t="shared" ref="I259" si="97">IF(A259="","",$B$5)</f>
        <v>0.33300000000000002</v>
      </c>
      <c r="J259" s="58">
        <f t="shared" ref="J259" si="98">IF(OR(A259="",B259=""),"",ROUND((B259+E259+F259+G259)/(1-H259-I259),-1))</f>
        <v>30020</v>
      </c>
      <c r="K259" s="58">
        <f t="shared" ref="K259" si="99">IF(J259="","",J259-B259-E259-F259-G259-(J259*H259))</f>
        <v>9995</v>
      </c>
      <c r="L259" s="60">
        <f t="shared" ref="L259" si="100">IF(J259="","",K259/J259)</f>
        <v>0.33294470353097932</v>
      </c>
    </row>
    <row r="260" spans="1:12">
      <c r="A260" s="55" t="s">
        <v>1820</v>
      </c>
      <c r="B260" s="56">
        <v>15800</v>
      </c>
      <c r="C260" s="57" t="s">
        <v>34</v>
      </c>
      <c r="D260" s="56"/>
      <c r="E260" s="58">
        <f t="shared" ref="E260" si="101">IF(A260="","",IF(C260="NO",0,IF(D260&lt;&gt;"",D260,$B$11)))</f>
        <v>0</v>
      </c>
      <c r="F260" s="58">
        <f t="shared" ref="F260" si="102">IF(A260="","",$B$7/$B$6)</f>
        <v>25</v>
      </c>
      <c r="G260" s="58">
        <f t="shared" ref="G260" si="103">IF(A260="","",($B$8-$B$9)/$B$6)</f>
        <v>0</v>
      </c>
      <c r="H260" s="59">
        <f t="shared" ref="H260" si="104">IF(A260="","",$B$10)</f>
        <v>0</v>
      </c>
      <c r="I260" s="59">
        <f t="shared" ref="I260" si="105">IF(A260="","",$B$5)</f>
        <v>0.33300000000000002</v>
      </c>
      <c r="J260" s="58">
        <f t="shared" ref="J260" si="106">IF(OR(A260="",B260=""),"",ROUND((B260+E260+F260+G260)/(1-H260-I260),-1))</f>
        <v>23730</v>
      </c>
      <c r="K260" s="58">
        <f t="shared" ref="K260" si="107">IF(J260="","",J260-B260-E260-F260-G260-(J260*H260))</f>
        <v>7905</v>
      </c>
      <c r="L260" s="60">
        <f t="shared" ref="L260" si="108">IF(J260="","",K260/J260)</f>
        <v>0.33312262958280658</v>
      </c>
    </row>
    <row r="261" spans="1:12">
      <c r="A261" s="55" t="s">
        <v>1823</v>
      </c>
      <c r="B261" s="56">
        <v>10000</v>
      </c>
      <c r="C261" s="57" t="s">
        <v>34</v>
      </c>
      <c r="D261" s="56"/>
      <c r="E261" s="58">
        <f t="shared" ref="E261" si="109">IF(A261="","",IF(C261="NO",0,IF(D261&lt;&gt;"",D261,$B$11)))</f>
        <v>0</v>
      </c>
      <c r="F261" s="58">
        <f t="shared" ref="F261" si="110">IF(A261="","",$B$7/$B$6)</f>
        <v>25</v>
      </c>
      <c r="G261" s="58">
        <f t="shared" ref="G261" si="111">IF(A261="","",($B$8-$B$9)/$B$6)</f>
        <v>0</v>
      </c>
      <c r="H261" s="59">
        <f t="shared" ref="H261" si="112">IF(A261="","",$B$10)</f>
        <v>0</v>
      </c>
      <c r="I261" s="59">
        <f t="shared" ref="I261" si="113">IF(A261="","",$B$5)</f>
        <v>0.33300000000000002</v>
      </c>
      <c r="J261" s="58">
        <f t="shared" ref="J261" si="114">IF(OR(A261="",B261=""),"",ROUND((B261+E261+F261+G261)/(1-H261-I261),-1))</f>
        <v>15030</v>
      </c>
      <c r="K261" s="58">
        <f t="shared" ref="K261" si="115">IF(J261="","",J261-B261-E261-F261-G261-(J261*H261))</f>
        <v>5005</v>
      </c>
      <c r="L261" s="60">
        <f t="shared" ref="L261" si="116">IF(J261="","",K261/J261)</f>
        <v>0.33300066533599465</v>
      </c>
    </row>
    <row r="262" spans="1:12">
      <c r="A262" s="55" t="s">
        <v>1827</v>
      </c>
      <c r="B262" s="56">
        <v>1850</v>
      </c>
      <c r="C262" s="57" t="s">
        <v>34</v>
      </c>
      <c r="D262" s="56"/>
      <c r="E262" s="58">
        <f t="shared" ref="E262" si="117">IF(A262="","",IF(C262="NO",0,IF(D262&lt;&gt;"",D262,$B$11)))</f>
        <v>0</v>
      </c>
      <c r="F262" s="58">
        <f t="shared" ref="F262" si="118">IF(A262="","",$B$7/$B$6)</f>
        <v>25</v>
      </c>
      <c r="G262" s="58">
        <f t="shared" ref="G262" si="119">IF(A262="","",($B$8-$B$9)/$B$6)</f>
        <v>0</v>
      </c>
      <c r="H262" s="59">
        <f t="shared" ref="H262" si="120">IF(A262="","",$B$10)</f>
        <v>0</v>
      </c>
      <c r="I262" s="59">
        <f t="shared" ref="I262" si="121">IF(A262="","",$B$5)</f>
        <v>0.33300000000000002</v>
      </c>
      <c r="J262" s="58">
        <f t="shared" ref="J262" si="122">IF(OR(A262="",B262=""),"",ROUND((B262+E262+F262+G262)/(1-H262-I262),-1))</f>
        <v>2810</v>
      </c>
      <c r="K262" s="58">
        <f t="shared" ref="K262" si="123">IF(J262="","",J262-B262-E262-F262-G262-(J262*H262))</f>
        <v>935</v>
      </c>
      <c r="L262" s="60">
        <f t="shared" ref="L262" si="124">IF(J262="","",K262/J262)</f>
        <v>0.33274021352313166</v>
      </c>
    </row>
    <row r="263" spans="1:12">
      <c r="A263" s="55" t="s">
        <v>1830</v>
      </c>
      <c r="B263" s="56">
        <v>2050</v>
      </c>
      <c r="C263" s="57" t="s">
        <v>34</v>
      </c>
      <c r="D263" s="56"/>
      <c r="E263" s="58">
        <f t="shared" ref="E263" si="125">IF(A263="","",IF(C263="NO",0,IF(D263&lt;&gt;"",D263,$B$11)))</f>
        <v>0</v>
      </c>
      <c r="F263" s="58">
        <f t="shared" ref="F263" si="126">IF(A263="","",$B$7/$B$6)</f>
        <v>25</v>
      </c>
      <c r="G263" s="58">
        <f t="shared" ref="G263" si="127">IF(A263="","",($B$8-$B$9)/$B$6)</f>
        <v>0</v>
      </c>
      <c r="H263" s="59">
        <f t="shared" ref="H263" si="128">IF(A263="","",$B$10)</f>
        <v>0</v>
      </c>
      <c r="I263" s="59">
        <f t="shared" ref="I263" si="129">IF(A263="","",$B$5)</f>
        <v>0.33300000000000002</v>
      </c>
      <c r="J263" s="58">
        <f t="shared" ref="J263" si="130">IF(OR(A263="",B263=""),"",ROUND((B263+E263+F263+G263)/(1-H263-I263),-1))</f>
        <v>3110</v>
      </c>
      <c r="K263" s="58">
        <f t="shared" ref="K263" si="131">IF(J263="","",J263-B263-E263-F263-G263-(J263*H263))</f>
        <v>1035</v>
      </c>
      <c r="L263" s="60">
        <f t="shared" ref="L263" si="132">IF(J263="","",K263/J263)</f>
        <v>0.33279742765273312</v>
      </c>
    </row>
    <row r="264" spans="1:12">
      <c r="A264" s="55" t="s">
        <v>1833</v>
      </c>
      <c r="B264" s="56">
        <v>2600</v>
      </c>
      <c r="C264" s="57" t="s">
        <v>34</v>
      </c>
      <c r="D264" s="56"/>
      <c r="E264" s="58">
        <f t="shared" ref="E264" si="133">IF(A264="","",IF(C264="NO",0,IF(D264&lt;&gt;"",D264,$B$11)))</f>
        <v>0</v>
      </c>
      <c r="F264" s="58">
        <f t="shared" ref="F264" si="134">IF(A264="","",$B$7/$B$6)</f>
        <v>25</v>
      </c>
      <c r="G264" s="58">
        <f t="shared" ref="G264" si="135">IF(A264="","",($B$8-$B$9)/$B$6)</f>
        <v>0</v>
      </c>
      <c r="H264" s="59">
        <f t="shared" ref="H264" si="136">IF(A264="","",$B$10)</f>
        <v>0</v>
      </c>
      <c r="I264" s="59">
        <f t="shared" ref="I264" si="137">IF(A264="","",$B$5)</f>
        <v>0.33300000000000002</v>
      </c>
      <c r="J264" s="58">
        <f t="shared" ref="J264" si="138">IF(OR(A264="",B264=""),"",ROUND((B264+E264+F264+G264)/(1-H264-I264),-1))</f>
        <v>3940</v>
      </c>
      <c r="K264" s="58">
        <f t="shared" ref="K264" si="139">IF(J264="","",J264-B264-E264-F264-G264-(J264*H264))</f>
        <v>1315</v>
      </c>
      <c r="L264" s="60">
        <f t="shared" ref="L264" si="140">IF(J264="","",K264/J264)</f>
        <v>0.33375634517766495</v>
      </c>
    </row>
    <row r="265" spans="1:12">
      <c r="A265" s="55" t="s">
        <v>1837</v>
      </c>
      <c r="B265" s="56">
        <v>8500</v>
      </c>
      <c r="C265" s="57" t="s">
        <v>34</v>
      </c>
      <c r="D265" s="56"/>
      <c r="E265" s="58">
        <f t="shared" ref="E265" si="141">IF(A265="","",IF(C265="NO",0,IF(D265&lt;&gt;"",D265,$B$11)))</f>
        <v>0</v>
      </c>
      <c r="F265" s="58">
        <f t="shared" ref="F265" si="142">IF(A265="","",$B$7/$B$6)</f>
        <v>25</v>
      </c>
      <c r="G265" s="58">
        <f t="shared" ref="G265" si="143">IF(A265="","",($B$8-$B$9)/$B$6)</f>
        <v>0</v>
      </c>
      <c r="H265" s="59">
        <f t="shared" ref="H265" si="144">IF(A265="","",$B$10)</f>
        <v>0</v>
      </c>
      <c r="I265" s="59">
        <f t="shared" ref="I265" si="145">IF(A265="","",$B$5)</f>
        <v>0.33300000000000002</v>
      </c>
      <c r="J265" s="58">
        <f t="shared" ref="J265" si="146">IF(OR(A265="",B265=""),"",ROUND((B265+E265+F265+G265)/(1-H265-I265),-1))</f>
        <v>12780</v>
      </c>
      <c r="K265" s="58">
        <f t="shared" ref="K265" si="147">IF(J265="","",J265-B265-E265-F265-G265-(J265*H265))</f>
        <v>4255</v>
      </c>
      <c r="L265" s="60">
        <f t="shared" ref="L265" si="148">IF(J265="","",K265/J265)</f>
        <v>0.33294209702660404</v>
      </c>
    </row>
    <row r="266" spans="1:12">
      <c r="A266" s="55" t="s">
        <v>1840</v>
      </c>
      <c r="B266" s="56">
        <v>1250</v>
      </c>
      <c r="C266" s="57" t="s">
        <v>34</v>
      </c>
      <c r="D266" s="56"/>
      <c r="E266" s="58">
        <f t="shared" ref="E266" si="149">IF(A266="","",IF(C266="NO",0,IF(D266&lt;&gt;"",D266,$B$11)))</f>
        <v>0</v>
      </c>
      <c r="F266" s="58">
        <f t="shared" ref="F266" si="150">IF(A266="","",$B$7/$B$6)</f>
        <v>25</v>
      </c>
      <c r="G266" s="58">
        <f t="shared" ref="G266" si="151">IF(A266="","",($B$8-$B$9)/$B$6)</f>
        <v>0</v>
      </c>
      <c r="H266" s="59">
        <f t="shared" ref="H266" si="152">IF(A266="","",$B$10)</f>
        <v>0</v>
      </c>
      <c r="I266" s="59">
        <f t="shared" ref="I266" si="153">IF(A266="","",$B$5)</f>
        <v>0.33300000000000002</v>
      </c>
      <c r="J266" s="58">
        <f t="shared" ref="J266" si="154">IF(OR(A266="",B266=""),"",ROUND((B266+E266+F266+G266)/(1-H266-I266),-1))</f>
        <v>1910</v>
      </c>
      <c r="K266" s="58">
        <f t="shared" ref="K266" si="155">IF(J266="","",J266-B266-E266-F266-G266-(J266*H266))</f>
        <v>635</v>
      </c>
      <c r="L266" s="60">
        <f t="shared" ref="L266" si="156">IF(J266="","",K266/J266)</f>
        <v>0.33246073298429318</v>
      </c>
    </row>
    <row r="267" spans="1:12">
      <c r="A267" s="55" t="s">
        <v>1843</v>
      </c>
      <c r="B267" s="56">
        <v>1550</v>
      </c>
      <c r="C267" s="57" t="s">
        <v>34</v>
      </c>
      <c r="D267" s="56"/>
      <c r="E267" s="58">
        <f t="shared" ref="E267" si="157">IF(A267="","",IF(C267="NO",0,IF(D267&lt;&gt;"",D267,$B$11)))</f>
        <v>0</v>
      </c>
      <c r="F267" s="58">
        <f t="shared" ref="F267" si="158">IF(A267="","",$B$7/$B$6)</f>
        <v>25</v>
      </c>
      <c r="G267" s="58">
        <f t="shared" ref="G267" si="159">IF(A267="","",($B$8-$B$9)/$B$6)</f>
        <v>0</v>
      </c>
      <c r="H267" s="59">
        <f t="shared" ref="H267" si="160">IF(A267="","",$B$10)</f>
        <v>0</v>
      </c>
      <c r="I267" s="59">
        <f t="shared" ref="I267" si="161">IF(A267="","",$B$5)</f>
        <v>0.33300000000000002</v>
      </c>
      <c r="J267" s="58">
        <f t="shared" ref="J267" si="162">IF(OR(A267="",B267=""),"",ROUND((B267+E267+F267+G267)/(1-H267-I267),-1))</f>
        <v>2360</v>
      </c>
      <c r="K267" s="58">
        <f t="shared" ref="K267" si="163">IF(J267="","",J267-B267-E267-F267-G267-(J267*H267))</f>
        <v>785</v>
      </c>
      <c r="L267" s="60">
        <f t="shared" ref="L267" si="164">IF(J267="","",K267/J267)</f>
        <v>0.3326271186440678</v>
      </c>
    </row>
    <row r="268" spans="1:12">
      <c r="A268" s="55" t="s">
        <v>1849</v>
      </c>
      <c r="B268" s="56">
        <v>4500</v>
      </c>
      <c r="C268" s="57" t="s">
        <v>736</v>
      </c>
      <c r="D268" s="56">
        <v>3000</v>
      </c>
      <c r="E268" s="58">
        <f t="shared" ref="E268" si="165">IF(A268="","",IF(C268="NO",0,IF(D268&lt;&gt;"",D268,$B$11)))</f>
        <v>3000</v>
      </c>
      <c r="F268" s="58">
        <f t="shared" ref="F268" si="166">IF(A268="","",$B$7/$B$6)</f>
        <v>25</v>
      </c>
      <c r="G268" s="58">
        <f t="shared" ref="G268" si="167">IF(A268="","",($B$8-$B$9)/$B$6)</f>
        <v>0</v>
      </c>
      <c r="H268" s="59">
        <f t="shared" ref="H268" si="168">IF(A268="","",$B$10)</f>
        <v>0</v>
      </c>
      <c r="I268" s="59">
        <f t="shared" ref="I268" si="169">IF(A268="","",$B$5)</f>
        <v>0.33300000000000002</v>
      </c>
      <c r="J268" s="58">
        <f t="shared" ref="J268" si="170">IF(OR(A268="",B268=""),"",ROUND((B268+E268+F268+G268)/(1-H268-I268),-1))</f>
        <v>11280</v>
      </c>
      <c r="K268" s="58">
        <f t="shared" ref="K268" si="171">IF(J268="","",J268-B268-E268-F268-G268-(J268*H268))</f>
        <v>3755</v>
      </c>
      <c r="L268" s="60">
        <f t="shared" ref="L268" si="172">IF(J268="","",K268/J268)</f>
        <v>0.3328900709219858</v>
      </c>
    </row>
    <row r="269" spans="1:12">
      <c r="A269" s="55" t="s">
        <v>1882</v>
      </c>
      <c r="B269" s="56">
        <v>4350</v>
      </c>
      <c r="C269" s="57" t="s">
        <v>736</v>
      </c>
      <c r="D269" s="56">
        <v>3000</v>
      </c>
      <c r="E269" s="58">
        <f t="shared" ref="E269" si="173">IF(A269="","",IF(C269="NO",0,IF(D269&lt;&gt;"",D269,$B$11)))</f>
        <v>3000</v>
      </c>
      <c r="F269" s="58">
        <f t="shared" ref="F269" si="174">IF(A269="","",$B$7/$B$6)</f>
        <v>25</v>
      </c>
      <c r="G269" s="58">
        <f t="shared" ref="G269" si="175">IF(A269="","",($B$8-$B$9)/$B$6)</f>
        <v>0</v>
      </c>
      <c r="H269" s="59">
        <f t="shared" ref="H269" si="176">IF(A269="","",$B$10)</f>
        <v>0</v>
      </c>
      <c r="I269" s="59">
        <f t="shared" ref="I269" si="177">IF(A269="","",$B$5)</f>
        <v>0.33300000000000002</v>
      </c>
      <c r="J269" s="58">
        <f t="shared" ref="J269" si="178">IF(OR(A269="",B269=""),"",ROUND((B269+E269+F269+G269)/(1-H269-I269),-1))</f>
        <v>11060</v>
      </c>
      <c r="K269" s="58">
        <f t="shared" ref="K269" si="179">IF(J269="","",J269-B269-E269-F269-G269-(J269*H269))</f>
        <v>3685</v>
      </c>
      <c r="L269" s="60">
        <f t="shared" ref="L269" si="180">IF(J269="","",K269/J269)</f>
        <v>0.33318264014466548</v>
      </c>
    </row>
    <row r="270" spans="1:12">
      <c r="A270" s="55" t="s">
        <v>1888</v>
      </c>
      <c r="B270" s="56">
        <v>7250</v>
      </c>
      <c r="C270" s="57" t="s">
        <v>736</v>
      </c>
      <c r="D270" s="56">
        <v>4000</v>
      </c>
      <c r="E270" s="58">
        <f t="shared" ref="E270" si="181">IF(A270="","",IF(C270="NO",0,IF(D270&lt;&gt;"",D270,$B$11)))</f>
        <v>4000</v>
      </c>
      <c r="F270" s="58">
        <f t="shared" ref="F270" si="182">IF(A270="","",$B$7/$B$6)</f>
        <v>25</v>
      </c>
      <c r="G270" s="58">
        <f t="shared" ref="G270" si="183">IF(A270="","",($B$8-$B$9)/$B$6)</f>
        <v>0</v>
      </c>
      <c r="H270" s="59">
        <f t="shared" ref="H270" si="184">IF(A270="","",$B$10)</f>
        <v>0</v>
      </c>
      <c r="I270" s="59">
        <f t="shared" ref="I270" si="185">IF(A270="","",$B$5)</f>
        <v>0.33300000000000002</v>
      </c>
      <c r="J270" s="58">
        <f t="shared" ref="J270" si="186">IF(OR(A270="",B270=""),"",ROUND((B270+E270+F270+G270)/(1-H270-I270),-1))</f>
        <v>16900</v>
      </c>
      <c r="K270" s="58">
        <f t="shared" ref="K270" si="187">IF(J270="","",J270-B270-E270-F270-G270-(J270*H270))</f>
        <v>5625</v>
      </c>
      <c r="L270" s="60">
        <f t="shared" ref="L270" si="188">IF(J270="","",K270/J270)</f>
        <v>0.33284023668639051</v>
      </c>
    </row>
    <row r="271" spans="1:12">
      <c r="A271" s="55" t="s">
        <v>1895</v>
      </c>
      <c r="B271" s="56">
        <v>1800</v>
      </c>
      <c r="C271" s="57" t="s">
        <v>736</v>
      </c>
      <c r="D271" s="56">
        <v>2000</v>
      </c>
      <c r="E271" s="58">
        <f t="shared" ref="E271" si="189">IF(A271="","",IF(C271="NO",0,IF(D271&lt;&gt;"",D271,$B$11)))</f>
        <v>2000</v>
      </c>
      <c r="F271" s="58">
        <f t="shared" ref="F271" si="190">IF(A271="","",$B$7/$B$6)</f>
        <v>25</v>
      </c>
      <c r="G271" s="58">
        <f t="shared" ref="G271" si="191">IF(A271="","",($B$8-$B$9)/$B$6)</f>
        <v>0</v>
      </c>
      <c r="H271" s="59">
        <f t="shared" ref="H271" si="192">IF(A271="","",$B$10)</f>
        <v>0</v>
      </c>
      <c r="I271" s="59">
        <f t="shared" ref="I271" si="193">IF(A271="","",$B$5)</f>
        <v>0.33300000000000002</v>
      </c>
      <c r="J271" s="58">
        <f t="shared" ref="J271" si="194">IF(OR(A271="",B271=""),"",ROUND((B271+E271+F271+G271)/(1-H271-I271),-1))</f>
        <v>5730</v>
      </c>
      <c r="K271" s="58">
        <f t="shared" ref="K271" si="195">IF(J271="","",J271-B271-E271-F271-G271-(J271*H271))</f>
        <v>1905</v>
      </c>
      <c r="L271" s="60">
        <f t="shared" ref="L271" si="196">IF(J271="","",K271/J271)</f>
        <v>0.33246073298429318</v>
      </c>
    </row>
    <row r="272" spans="1:12">
      <c r="A272" s="55" t="s">
        <v>1901</v>
      </c>
      <c r="B272" s="56">
        <v>1600</v>
      </c>
      <c r="C272" s="57" t="s">
        <v>736</v>
      </c>
      <c r="D272" s="56">
        <v>2000</v>
      </c>
      <c r="E272" s="58">
        <f t="shared" ref="E272" si="197">IF(A272="","",IF(C272="NO",0,IF(D272&lt;&gt;"",D272,$B$11)))</f>
        <v>2000</v>
      </c>
      <c r="F272" s="58">
        <f t="shared" ref="F272" si="198">IF(A272="","",$B$7/$B$6)</f>
        <v>25</v>
      </c>
      <c r="G272" s="58">
        <f t="shared" ref="G272" si="199">IF(A272="","",($B$8-$B$9)/$B$6)</f>
        <v>0</v>
      </c>
      <c r="H272" s="59">
        <f t="shared" ref="H272" si="200">IF(A272="","",$B$10)</f>
        <v>0</v>
      </c>
      <c r="I272" s="59">
        <f t="shared" ref="I272" si="201">IF(A272="","",$B$5)</f>
        <v>0.33300000000000002</v>
      </c>
      <c r="J272" s="58">
        <f t="shared" ref="J272" si="202">IF(OR(A272="",B272=""),"",ROUND((B272+E272+F272+G272)/(1-H272-I272),-1))</f>
        <v>5430</v>
      </c>
      <c r="K272" s="58">
        <f t="shared" ref="K272" si="203">IF(J272="","",J272-B272-E272-F272-G272-(J272*H272))</f>
        <v>1805</v>
      </c>
      <c r="L272" s="60">
        <f t="shared" ref="L272" si="204">IF(J272="","",K272/J272)</f>
        <v>0.33241252302025781</v>
      </c>
    </row>
    <row r="273" spans="1:12">
      <c r="A273" s="55" t="s">
        <v>1907</v>
      </c>
      <c r="B273" s="56">
        <v>3400</v>
      </c>
      <c r="C273" s="57" t="s">
        <v>736</v>
      </c>
      <c r="D273" s="56">
        <v>4000</v>
      </c>
      <c r="E273" s="58">
        <f t="shared" ref="E273" si="205">IF(A273="","",IF(C273="NO",0,IF(D273&lt;&gt;"",D273,$B$11)))</f>
        <v>4000</v>
      </c>
      <c r="F273" s="58">
        <f t="shared" ref="F273" si="206">IF(A273="","",$B$7/$B$6)</f>
        <v>25</v>
      </c>
      <c r="G273" s="58">
        <f t="shared" ref="G273" si="207">IF(A273="","",($B$8-$B$9)/$B$6)</f>
        <v>0</v>
      </c>
      <c r="H273" s="59">
        <f t="shared" ref="H273" si="208">IF(A273="","",$B$10)</f>
        <v>0</v>
      </c>
      <c r="I273" s="59">
        <f t="shared" ref="I273" si="209">IF(A273="","",$B$5)</f>
        <v>0.33300000000000002</v>
      </c>
      <c r="J273" s="58">
        <f t="shared" ref="J273" si="210">IF(OR(A273="",B273=""),"",ROUND((B273+E273+F273+G273)/(1-H273-I273),-1))</f>
        <v>11130</v>
      </c>
      <c r="K273" s="58">
        <f t="shared" ref="K273" si="211">IF(J273="","",J273-B273-E273-F273-G273-(J273*H273))</f>
        <v>3705</v>
      </c>
      <c r="L273" s="60">
        <f t="shared" ref="L273" si="212">IF(J273="","",K273/J273)</f>
        <v>0.3328840970350404</v>
      </c>
    </row>
    <row r="274" spans="1:12">
      <c r="A274" s="55" t="s">
        <v>1914</v>
      </c>
      <c r="B274" s="56">
        <v>6250</v>
      </c>
      <c r="C274" s="57" t="s">
        <v>736</v>
      </c>
      <c r="D274" s="56">
        <v>4000</v>
      </c>
      <c r="E274" s="58">
        <f t="shared" ref="E274" si="213">IF(A274="","",IF(C274="NO",0,IF(D274&lt;&gt;"",D274,$B$11)))</f>
        <v>4000</v>
      </c>
      <c r="F274" s="58">
        <f t="shared" ref="F274" si="214">IF(A274="","",$B$7/$B$6)</f>
        <v>25</v>
      </c>
      <c r="G274" s="58">
        <f t="shared" ref="G274" si="215">IF(A274="","",($B$8-$B$9)/$B$6)</f>
        <v>0</v>
      </c>
      <c r="H274" s="59">
        <f t="shared" ref="H274" si="216">IF(A274="","",$B$10)</f>
        <v>0</v>
      </c>
      <c r="I274" s="59">
        <f t="shared" ref="I274" si="217">IF(A274="","",$B$5)</f>
        <v>0.33300000000000002</v>
      </c>
      <c r="J274" s="58">
        <f t="shared" ref="J274" si="218">IF(OR(A274="",B274=""),"",ROUND((B274+E274+F274+G274)/(1-H274-I274),-1))</f>
        <v>15400</v>
      </c>
      <c r="K274" s="58">
        <f t="shared" ref="K274" si="219">IF(J274="","",J274-B274-E274-F274-G274-(J274*H274))</f>
        <v>5125</v>
      </c>
      <c r="L274" s="60">
        <f t="shared" ref="L274" si="220">IF(J274="","",K274/J274)</f>
        <v>0.33279220779220781</v>
      </c>
    </row>
    <row r="275" spans="1:12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2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2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2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2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2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2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2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2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2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2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2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2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2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74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H231" zoomScale="70" zoomScaleNormal="70" workbookViewId="0">
      <selection activeCell="N132" sqref="N132"/>
    </sheetView>
  </sheetViews>
  <sheetFormatPr defaultRowHeight="13.8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70" t="s">
        <v>1352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31.95" customHeight="1">
      <c r="A2" s="75" t="s">
        <v>1353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</row>
    <row r="4" spans="1:15">
      <c r="A4" s="76" t="s">
        <v>1354</v>
      </c>
      <c r="B4" s="76"/>
      <c r="C4" s="76"/>
      <c r="D4" s="76"/>
      <c r="F4" s="76" t="s">
        <v>1355</v>
      </c>
      <c r="G4" s="76"/>
      <c r="H4" s="76"/>
      <c r="I4" s="76"/>
      <c r="J4" s="76"/>
      <c r="L4" s="76" t="s">
        <v>1356</v>
      </c>
      <c r="M4" s="76"/>
      <c r="N4" s="76"/>
      <c r="O4" s="76"/>
    </row>
    <row r="5" spans="1:15" ht="27.6">
      <c r="A5" s="2" t="s">
        <v>7</v>
      </c>
      <c r="B5" s="2" t="s">
        <v>8</v>
      </c>
      <c r="C5" s="2" t="s">
        <v>21</v>
      </c>
      <c r="D5" s="2" t="s">
        <v>1357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1357</v>
      </c>
      <c r="L5" s="2" t="s">
        <v>16</v>
      </c>
      <c r="M5" s="2" t="s">
        <v>21</v>
      </c>
      <c r="N5" s="2" t="s">
        <v>1358</v>
      </c>
      <c r="O5" s="2" t="s">
        <v>1359</v>
      </c>
    </row>
    <row r="6" spans="1:15">
      <c r="A6" s="29" t="str">
        <f t="shared" ref="A6:A37" si="0">IF(B6="","","CAT-"&amp;TEXT(ROW()-5,"000"))</f>
        <v>CAT-001</v>
      </c>
      <c r="B6" s="4" t="s">
        <v>1360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1361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1362</v>
      </c>
      <c r="O6" s="9" t="s">
        <v>1363</v>
      </c>
    </row>
    <row r="7" spans="1:15">
      <c r="A7" s="30" t="str">
        <f t="shared" si="0"/>
        <v>CAT-002</v>
      </c>
      <c r="B7" s="6" t="s">
        <v>1364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1890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1365</v>
      </c>
      <c r="O7" s="10" t="s">
        <v>1366</v>
      </c>
    </row>
    <row r="8" spans="1:15">
      <c r="A8" s="30" t="str">
        <f t="shared" si="0"/>
        <v>CAT-003</v>
      </c>
      <c r="B8" s="6" t="s">
        <v>1367</v>
      </c>
      <c r="C8" s="6" t="s">
        <v>33</v>
      </c>
      <c r="D8" s="19" t="str">
        <f t="shared" si="1"/>
        <v>OK</v>
      </c>
      <c r="F8" s="30" t="str">
        <f t="shared" si="2"/>
        <v/>
      </c>
      <c r="G8" s="6"/>
      <c r="H8" s="6"/>
      <c r="I8" s="6" t="s">
        <v>222</v>
      </c>
      <c r="J8" s="19" t="str">
        <f t="shared" si="3"/>
        <v/>
      </c>
      <c r="L8" s="30" t="s">
        <v>46</v>
      </c>
      <c r="M8" s="6" t="s">
        <v>33</v>
      </c>
      <c r="N8" s="6" t="s">
        <v>1368</v>
      </c>
      <c r="O8" s="10" t="s">
        <v>1369</v>
      </c>
    </row>
    <row r="9" spans="1:15">
      <c r="A9" s="30" t="str">
        <f t="shared" si="0"/>
        <v>CAT-004</v>
      </c>
      <c r="B9" s="6" t="s">
        <v>1370</v>
      </c>
      <c r="C9" s="6" t="s">
        <v>33</v>
      </c>
      <c r="D9" s="19" t="str">
        <f t="shared" si="1"/>
        <v>OK</v>
      </c>
      <c r="F9" s="30" t="str">
        <f t="shared" si="2"/>
        <v/>
      </c>
      <c r="G9" s="6"/>
      <c r="H9" s="6"/>
      <c r="I9" s="6" t="s">
        <v>222</v>
      </c>
      <c r="J9" s="19" t="str">
        <f t="shared" si="3"/>
        <v/>
      </c>
      <c r="L9" s="30" t="s">
        <v>51</v>
      </c>
      <c r="M9" s="6" t="s">
        <v>33</v>
      </c>
      <c r="N9" s="6" t="s">
        <v>1371</v>
      </c>
      <c r="O9" s="10" t="s">
        <v>1372</v>
      </c>
    </row>
    <row r="10" spans="1:15">
      <c r="A10" s="30" t="str">
        <f t="shared" si="0"/>
        <v>CAT-005</v>
      </c>
      <c r="B10" s="6" t="s">
        <v>1373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54</v>
      </c>
      <c r="H10" s="6" t="s">
        <v>1374</v>
      </c>
      <c r="I10" s="6" t="s">
        <v>33</v>
      </c>
      <c r="J10" s="19" t="str">
        <f t="shared" si="3"/>
        <v>OK</v>
      </c>
      <c r="L10" s="30" t="s">
        <v>59</v>
      </c>
      <c r="M10" s="6" t="s">
        <v>33</v>
      </c>
      <c r="N10" s="6" t="s">
        <v>1375</v>
      </c>
      <c r="O10" s="10" t="s">
        <v>1376</v>
      </c>
    </row>
    <row r="11" spans="1:15">
      <c r="A11" s="30" t="str">
        <f t="shared" si="0"/>
        <v>CAT-006</v>
      </c>
      <c r="B11" s="6" t="s">
        <v>1377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54</v>
      </c>
      <c r="H11" s="6" t="s">
        <v>1378</v>
      </c>
      <c r="I11" s="6" t="s">
        <v>33</v>
      </c>
      <c r="J11" s="19" t="str">
        <f t="shared" si="3"/>
        <v>OK</v>
      </c>
      <c r="L11" s="30" t="s">
        <v>66</v>
      </c>
      <c r="M11" s="6" t="s">
        <v>33</v>
      </c>
      <c r="N11" s="6" t="s">
        <v>1379</v>
      </c>
      <c r="O11" s="10" t="s">
        <v>1380</v>
      </c>
    </row>
    <row r="12" spans="1:15">
      <c r="A12" s="30" t="str">
        <f t="shared" si="0"/>
        <v>CAT-007</v>
      </c>
      <c r="B12" s="6" t="s">
        <v>1381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76</v>
      </c>
      <c r="H12" s="6" t="s">
        <v>1382</v>
      </c>
      <c r="I12" s="6" t="s">
        <v>33</v>
      </c>
      <c r="J12" s="19" t="str">
        <f t="shared" si="3"/>
        <v>OK</v>
      </c>
      <c r="L12" s="30" t="s">
        <v>73</v>
      </c>
      <c r="M12" s="6" t="s">
        <v>33</v>
      </c>
      <c r="N12" s="6" t="s">
        <v>1383</v>
      </c>
      <c r="O12" s="10" t="s">
        <v>1380</v>
      </c>
    </row>
    <row r="13" spans="1:15">
      <c r="A13" s="30" t="str">
        <f t="shared" si="0"/>
        <v>CAT-008</v>
      </c>
      <c r="B13" s="6" t="s">
        <v>1384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90</v>
      </c>
      <c r="H13" s="6" t="s">
        <v>1385</v>
      </c>
      <c r="I13" s="6" t="s">
        <v>33</v>
      </c>
      <c r="J13" s="19" t="str">
        <f t="shared" si="3"/>
        <v>OK</v>
      </c>
      <c r="L13" s="30" t="s">
        <v>82</v>
      </c>
      <c r="M13" s="6" t="s">
        <v>33</v>
      </c>
      <c r="N13" s="6" t="s">
        <v>1386</v>
      </c>
      <c r="O13" s="10" t="s">
        <v>1387</v>
      </c>
    </row>
    <row r="14" spans="1:15">
      <c r="A14" s="30" t="str">
        <f t="shared" si="0"/>
        <v>CAT-009</v>
      </c>
      <c r="B14" s="6" t="s">
        <v>1388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117</v>
      </c>
      <c r="H14" s="6" t="s">
        <v>1389</v>
      </c>
      <c r="I14" s="6" t="s">
        <v>33</v>
      </c>
      <c r="J14" s="19" t="str">
        <f t="shared" si="3"/>
        <v>OK</v>
      </c>
      <c r="L14" s="30" t="s">
        <v>87</v>
      </c>
      <c r="M14" s="6" t="s">
        <v>33</v>
      </c>
      <c r="N14" s="6" t="s">
        <v>1390</v>
      </c>
      <c r="O14" s="10" t="s">
        <v>1387</v>
      </c>
    </row>
    <row r="15" spans="1:15">
      <c r="A15" s="30" t="str">
        <f t="shared" si="0"/>
        <v>CAT-010</v>
      </c>
      <c r="B15" s="6" t="s">
        <v>1391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117</v>
      </c>
      <c r="H15" s="6" t="s">
        <v>1392</v>
      </c>
      <c r="I15" s="6" t="s">
        <v>33</v>
      </c>
      <c r="J15" s="19" t="str">
        <f t="shared" si="3"/>
        <v>OK</v>
      </c>
      <c r="L15" s="30" t="s">
        <v>94</v>
      </c>
      <c r="M15" s="6" t="s">
        <v>33</v>
      </c>
      <c r="N15" s="6" t="s">
        <v>1393</v>
      </c>
      <c r="O15" s="10" t="s">
        <v>1394</v>
      </c>
    </row>
    <row r="16" spans="1:15">
      <c r="A16" s="30" t="str">
        <f t="shared" si="0"/>
        <v>CAT-011</v>
      </c>
      <c r="B16" s="6" t="s">
        <v>1395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117</v>
      </c>
      <c r="H16" s="6" t="s">
        <v>1396</v>
      </c>
      <c r="I16" s="6" t="s">
        <v>33</v>
      </c>
      <c r="J16" s="19" t="str">
        <f t="shared" si="3"/>
        <v>OK</v>
      </c>
      <c r="L16" s="30" t="s">
        <v>99</v>
      </c>
      <c r="M16" s="6" t="s">
        <v>33</v>
      </c>
      <c r="N16" s="6" t="s">
        <v>1397</v>
      </c>
      <c r="O16" s="10" t="s">
        <v>1394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428</v>
      </c>
      <c r="H17" s="6" t="s">
        <v>1398</v>
      </c>
      <c r="I17" s="6" t="s">
        <v>33</v>
      </c>
      <c r="J17" s="19" t="str">
        <f t="shared" si="3"/>
        <v>OK</v>
      </c>
      <c r="L17" s="30" t="s">
        <v>104</v>
      </c>
      <c r="M17" s="6" t="s">
        <v>33</v>
      </c>
      <c r="N17" s="6" t="s">
        <v>1399</v>
      </c>
      <c r="O17" s="10" t="s">
        <v>1394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428</v>
      </c>
      <c r="H18" s="6" t="s">
        <v>1400</v>
      </c>
      <c r="I18" s="6" t="s">
        <v>33</v>
      </c>
      <c r="J18" s="19" t="str">
        <f t="shared" si="3"/>
        <v>OK</v>
      </c>
      <c r="L18" s="30" t="s">
        <v>109</v>
      </c>
      <c r="M18" s="6" t="s">
        <v>33</v>
      </c>
      <c r="N18" s="6" t="s">
        <v>1401</v>
      </c>
      <c r="O18" s="10" t="s">
        <v>1394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428</v>
      </c>
      <c r="H19" s="6" t="s">
        <v>1402</v>
      </c>
      <c r="I19" s="6" t="s">
        <v>33</v>
      </c>
      <c r="J19" s="19" t="str">
        <f t="shared" si="3"/>
        <v>OK</v>
      </c>
      <c r="L19" s="30" t="s">
        <v>114</v>
      </c>
      <c r="M19" s="6" t="s">
        <v>33</v>
      </c>
      <c r="N19" s="6" t="s">
        <v>1403</v>
      </c>
      <c r="O19" s="10" t="s">
        <v>1394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428</v>
      </c>
      <c r="H20" s="6" t="s">
        <v>451</v>
      </c>
      <c r="I20" s="6" t="s">
        <v>33</v>
      </c>
      <c r="J20" s="19" t="str">
        <f t="shared" si="3"/>
        <v>OK</v>
      </c>
      <c r="L20" s="30" t="s">
        <v>122</v>
      </c>
      <c r="M20" s="6" t="s">
        <v>33</v>
      </c>
      <c r="N20" s="6" t="s">
        <v>1404</v>
      </c>
      <c r="O20" s="10" t="s">
        <v>1405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428</v>
      </c>
      <c r="H21" s="6" t="s">
        <v>1406</v>
      </c>
      <c r="I21" s="6" t="s">
        <v>33</v>
      </c>
      <c r="J21" s="19" t="str">
        <f t="shared" si="3"/>
        <v>OK</v>
      </c>
      <c r="L21" s="30" t="s">
        <v>127</v>
      </c>
      <c r="M21" s="6" t="s">
        <v>33</v>
      </c>
      <c r="N21" s="6" t="s">
        <v>1407</v>
      </c>
      <c r="O21" s="10" t="s">
        <v>1405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428</v>
      </c>
      <c r="H22" s="6" t="s">
        <v>1408</v>
      </c>
      <c r="I22" s="6" t="s">
        <v>33</v>
      </c>
      <c r="J22" s="19" t="str">
        <f t="shared" si="3"/>
        <v>OK</v>
      </c>
      <c r="L22" s="30" t="s">
        <v>132</v>
      </c>
      <c r="M22" s="6" t="s">
        <v>33</v>
      </c>
      <c r="N22" s="6" t="s">
        <v>1409</v>
      </c>
      <c r="O22" s="10" t="s">
        <v>1405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428</v>
      </c>
      <c r="H23" s="6" t="s">
        <v>511</v>
      </c>
      <c r="I23" s="6" t="s">
        <v>33</v>
      </c>
      <c r="J23" s="19" t="str">
        <f t="shared" si="3"/>
        <v>OK</v>
      </c>
      <c r="L23" s="30" t="s">
        <v>139</v>
      </c>
      <c r="M23" s="6" t="s">
        <v>33</v>
      </c>
      <c r="N23" s="6" t="s">
        <v>1410</v>
      </c>
      <c r="O23" s="10" t="s">
        <v>1405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428</v>
      </c>
      <c r="H24" s="6" t="s">
        <v>1411</v>
      </c>
      <c r="I24" s="6" t="s">
        <v>33</v>
      </c>
      <c r="J24" s="19" t="str">
        <f t="shared" si="3"/>
        <v>OK</v>
      </c>
      <c r="L24" s="30" t="s">
        <v>144</v>
      </c>
      <c r="M24" s="6" t="s">
        <v>33</v>
      </c>
      <c r="N24" s="6" t="s">
        <v>1412</v>
      </c>
      <c r="O24" s="10" t="s">
        <v>1405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428</v>
      </c>
      <c r="H25" s="6" t="s">
        <v>541</v>
      </c>
      <c r="I25" s="6" t="s">
        <v>33</v>
      </c>
      <c r="J25" s="19" t="str">
        <f t="shared" si="3"/>
        <v>OK</v>
      </c>
      <c r="L25" s="30" t="s">
        <v>158</v>
      </c>
      <c r="M25" s="6" t="s">
        <v>33</v>
      </c>
      <c r="N25" s="6" t="s">
        <v>1413</v>
      </c>
      <c r="O25" s="10" t="s">
        <v>1405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1414</v>
      </c>
      <c r="I26" s="6" t="s">
        <v>33</v>
      </c>
      <c r="J26" s="19" t="str">
        <f t="shared" si="3"/>
        <v>OK</v>
      </c>
      <c r="L26" s="30" t="s">
        <v>163</v>
      </c>
      <c r="M26" s="6" t="s">
        <v>33</v>
      </c>
      <c r="N26" s="6" t="s">
        <v>1415</v>
      </c>
      <c r="O26" s="10" t="s">
        <v>1405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76</v>
      </c>
      <c r="H27" s="6" t="s">
        <v>1416</v>
      </c>
      <c r="I27" s="6" t="s">
        <v>33</v>
      </c>
      <c r="J27" s="19" t="str">
        <f t="shared" si="3"/>
        <v>OK</v>
      </c>
      <c r="L27" s="30" t="s">
        <v>169</v>
      </c>
      <c r="M27" s="6" t="s">
        <v>33</v>
      </c>
      <c r="N27" s="6" t="s">
        <v>1417</v>
      </c>
      <c r="O27" s="10" t="s">
        <v>1405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714</v>
      </c>
      <c r="H28" s="6" t="s">
        <v>1845</v>
      </c>
      <c r="I28" s="6" t="s">
        <v>33</v>
      </c>
      <c r="J28" s="19" t="str">
        <f t="shared" si="3"/>
        <v>OK</v>
      </c>
      <c r="L28" s="30" t="s">
        <v>180</v>
      </c>
      <c r="M28" s="6" t="s">
        <v>33</v>
      </c>
      <c r="N28" s="6" t="s">
        <v>1418</v>
      </c>
      <c r="O28" s="10" t="s">
        <v>1405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/>
      </c>
      <c r="J29" s="19" t="str">
        <f t="shared" si="3"/>
        <v/>
      </c>
      <c r="L29" s="30" t="s">
        <v>188</v>
      </c>
      <c r="M29" s="6" t="s">
        <v>33</v>
      </c>
      <c r="N29" s="6" t="s">
        <v>1419</v>
      </c>
      <c r="O29" s="10" t="s">
        <v>1405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/>
      </c>
      <c r="J30" s="19" t="str">
        <f t="shared" si="3"/>
        <v/>
      </c>
      <c r="L30" s="30" t="s">
        <v>194</v>
      </c>
      <c r="M30" s="6" t="s">
        <v>33</v>
      </c>
      <c r="N30" s="6" t="s">
        <v>1420</v>
      </c>
      <c r="O30" s="10" t="s">
        <v>1421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90</v>
      </c>
      <c r="H31" s="6" t="s">
        <v>1422</v>
      </c>
      <c r="I31" s="6" t="s">
        <v>33</v>
      </c>
      <c r="J31" s="19" t="str">
        <f t="shared" si="3"/>
        <v>OK</v>
      </c>
      <c r="L31" s="30" t="s">
        <v>199</v>
      </c>
      <c r="M31" s="6" t="s">
        <v>33</v>
      </c>
      <c r="N31" s="6" t="s">
        <v>1423</v>
      </c>
      <c r="O31" s="10" t="s">
        <v>1421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/>
      </c>
      <c r="G32" s="6"/>
      <c r="H32" s="6"/>
      <c r="I32" s="6" t="s">
        <v>222</v>
      </c>
      <c r="J32" s="19" t="str">
        <f t="shared" si="3"/>
        <v/>
      </c>
      <c r="L32" s="30" t="s">
        <v>206</v>
      </c>
      <c r="M32" s="6" t="s">
        <v>33</v>
      </c>
      <c r="N32" s="6" t="s">
        <v>1424</v>
      </c>
      <c r="O32" s="10" t="s">
        <v>1421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/>
      </c>
      <c r="G33" s="6"/>
      <c r="H33" s="6"/>
      <c r="I33" s="6" t="s">
        <v>222</v>
      </c>
      <c r="J33" s="19" t="str">
        <f t="shared" si="3"/>
        <v/>
      </c>
      <c r="L33" s="30" t="s">
        <v>211</v>
      </c>
      <c r="M33" s="6" t="s">
        <v>33</v>
      </c>
      <c r="N33" s="6" t="s">
        <v>1425</v>
      </c>
      <c r="O33" s="10" t="s">
        <v>1421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796</v>
      </c>
      <c r="H34" s="6" t="s">
        <v>1426</v>
      </c>
      <c r="I34" s="6" t="s">
        <v>33</v>
      </c>
      <c r="J34" s="19" t="str">
        <f t="shared" si="3"/>
        <v>OK</v>
      </c>
      <c r="L34" s="30" t="s">
        <v>216</v>
      </c>
      <c r="M34" s="6" t="s">
        <v>33</v>
      </c>
      <c r="N34" s="6" t="s">
        <v>1427</v>
      </c>
      <c r="O34" s="10" t="s">
        <v>1421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117</v>
      </c>
      <c r="H35" s="6" t="s">
        <v>1428</v>
      </c>
      <c r="I35" s="6" t="s">
        <v>33</v>
      </c>
      <c r="J35" s="19" t="str">
        <f t="shared" si="3"/>
        <v>OK</v>
      </c>
      <c r="L35" s="30" t="s">
        <v>221</v>
      </c>
      <c r="M35" s="6" t="s">
        <v>33</v>
      </c>
      <c r="N35" s="6" t="s">
        <v>1429</v>
      </c>
      <c r="O35" s="10" t="s">
        <v>1421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117</v>
      </c>
      <c r="H36" s="6" t="s">
        <v>1430</v>
      </c>
      <c r="I36" s="6" t="s">
        <v>33</v>
      </c>
      <c r="J36" s="19" t="str">
        <f t="shared" si="3"/>
        <v>OK</v>
      </c>
      <c r="L36" s="30" t="s">
        <v>228</v>
      </c>
      <c r="M36" s="6" t="s">
        <v>33</v>
      </c>
      <c r="N36" s="6" t="s">
        <v>1431</v>
      </c>
      <c r="O36" s="10" t="s">
        <v>1421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117</v>
      </c>
      <c r="H37" s="6" t="s">
        <v>1432</v>
      </c>
      <c r="I37" s="6" t="s">
        <v>33</v>
      </c>
      <c r="J37" s="19" t="str">
        <f t="shared" si="3"/>
        <v>OK</v>
      </c>
      <c r="L37" s="30" t="s">
        <v>232</v>
      </c>
      <c r="M37" s="6" t="s">
        <v>33</v>
      </c>
      <c r="N37" s="6" t="s">
        <v>1433</v>
      </c>
      <c r="O37" s="10" t="s">
        <v>1421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1434</v>
      </c>
      <c r="I38" s="6" t="s">
        <v>33</v>
      </c>
      <c r="J38" s="19" t="str">
        <f t="shared" si="3"/>
        <v>OK</v>
      </c>
      <c r="L38" s="30" t="s">
        <v>240</v>
      </c>
      <c r="M38" s="6" t="s">
        <v>33</v>
      </c>
      <c r="N38" s="6" t="s">
        <v>1435</v>
      </c>
      <c r="O38" s="10" t="s">
        <v>1436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76</v>
      </c>
      <c r="H39" s="6" t="s">
        <v>1437</v>
      </c>
      <c r="I39" s="6" t="s">
        <v>33</v>
      </c>
      <c r="J39" s="19" t="str">
        <f t="shared" si="3"/>
        <v>OK</v>
      </c>
      <c r="L39" s="30" t="s">
        <v>246</v>
      </c>
      <c r="M39" s="6" t="s">
        <v>33</v>
      </c>
      <c r="N39" s="6" t="s">
        <v>1438</v>
      </c>
      <c r="O39" s="10" t="s">
        <v>1436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90</v>
      </c>
      <c r="H40" s="6" t="s">
        <v>1439</v>
      </c>
      <c r="I40" s="6" t="s">
        <v>33</v>
      </c>
      <c r="J40" s="19" t="str">
        <f t="shared" si="3"/>
        <v>OK</v>
      </c>
      <c r="L40" s="30" t="s">
        <v>252</v>
      </c>
      <c r="M40" s="6" t="s">
        <v>33</v>
      </c>
      <c r="N40" s="6" t="s">
        <v>1440</v>
      </c>
      <c r="O40" s="10" t="s">
        <v>1436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1005</v>
      </c>
      <c r="H41" s="6" t="s">
        <v>1441</v>
      </c>
      <c r="I41" s="6" t="s">
        <v>33</v>
      </c>
      <c r="J41" s="19" t="str">
        <f t="shared" si="3"/>
        <v>OK</v>
      </c>
      <c r="L41" s="30" t="s">
        <v>258</v>
      </c>
      <c r="M41" s="6" t="s">
        <v>33</v>
      </c>
      <c r="N41" s="6" t="s">
        <v>1442</v>
      </c>
      <c r="O41" s="10" t="s">
        <v>1436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1443</v>
      </c>
      <c r="I42" s="6" t="s">
        <v>33</v>
      </c>
      <c r="J42" s="19" t="str">
        <f t="shared" si="3"/>
        <v>OK</v>
      </c>
      <c r="L42" s="30" t="s">
        <v>263</v>
      </c>
      <c r="M42" s="6" t="s">
        <v>33</v>
      </c>
      <c r="N42" s="6" t="s">
        <v>1444</v>
      </c>
      <c r="O42" s="10" t="s">
        <v>1436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54</v>
      </c>
      <c r="H43" s="6" t="s">
        <v>1445</v>
      </c>
      <c r="I43" s="6" t="s">
        <v>33</v>
      </c>
      <c r="J43" s="19" t="str">
        <f t="shared" si="3"/>
        <v>OK</v>
      </c>
      <c r="L43" s="30" t="s">
        <v>268</v>
      </c>
      <c r="M43" s="6" t="s">
        <v>33</v>
      </c>
      <c r="N43" s="6" t="s">
        <v>1446</v>
      </c>
      <c r="O43" s="10" t="s">
        <v>1436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1005</v>
      </c>
      <c r="H44" s="6" t="s">
        <v>1447</v>
      </c>
      <c r="I44" s="6" t="s">
        <v>33</v>
      </c>
      <c r="J44" s="19" t="str">
        <f t="shared" si="3"/>
        <v>OK</v>
      </c>
      <c r="L44" s="30" t="s">
        <v>275</v>
      </c>
      <c r="M44" s="6" t="s">
        <v>33</v>
      </c>
      <c r="N44" s="6" t="s">
        <v>1448</v>
      </c>
      <c r="O44" s="10" t="s">
        <v>1436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117</v>
      </c>
      <c r="H45" s="6" t="s">
        <v>1449</v>
      </c>
      <c r="I45" s="6" t="s">
        <v>33</v>
      </c>
      <c r="J45" s="19" t="str">
        <f t="shared" si="3"/>
        <v>OK</v>
      </c>
      <c r="L45" s="30" t="s">
        <v>280</v>
      </c>
      <c r="M45" s="6" t="s">
        <v>33</v>
      </c>
      <c r="N45" s="6" t="s">
        <v>1450</v>
      </c>
      <c r="O45" s="10" t="s">
        <v>1436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117</v>
      </c>
      <c r="H46" s="6" t="s">
        <v>1451</v>
      </c>
      <c r="I46" s="6" t="s">
        <v>33</v>
      </c>
      <c r="J46" s="19" t="str">
        <f t="shared" si="3"/>
        <v>OK</v>
      </c>
      <c r="L46" s="30" t="s">
        <v>285</v>
      </c>
      <c r="M46" s="6" t="s">
        <v>33</v>
      </c>
      <c r="N46" s="6" t="s">
        <v>1452</v>
      </c>
      <c r="O46" s="10" t="s">
        <v>1436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117</v>
      </c>
      <c r="H47" s="6" t="s">
        <v>1453</v>
      </c>
      <c r="I47" s="6" t="s">
        <v>33</v>
      </c>
      <c r="J47" s="19" t="str">
        <f t="shared" si="3"/>
        <v>OK</v>
      </c>
      <c r="L47" s="30" t="s">
        <v>290</v>
      </c>
      <c r="M47" s="6" t="s">
        <v>33</v>
      </c>
      <c r="N47" s="6" t="s">
        <v>1454</v>
      </c>
      <c r="O47" s="10" t="s">
        <v>1436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117</v>
      </c>
      <c r="H48" s="6" t="s">
        <v>1455</v>
      </c>
      <c r="I48" s="6" t="s">
        <v>33</v>
      </c>
      <c r="J48" s="19" t="str">
        <f t="shared" si="3"/>
        <v>OK</v>
      </c>
      <c r="L48" s="30" t="s">
        <v>295</v>
      </c>
      <c r="M48" s="6" t="s">
        <v>33</v>
      </c>
      <c r="N48" s="6" t="s">
        <v>1456</v>
      </c>
      <c r="O48" s="10" t="s">
        <v>1436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1156</v>
      </c>
      <c r="H49" s="6" t="s">
        <v>1457</v>
      </c>
      <c r="I49" s="6" t="s">
        <v>33</v>
      </c>
      <c r="J49" s="19" t="str">
        <f t="shared" si="3"/>
        <v>OK</v>
      </c>
      <c r="L49" s="30" t="s">
        <v>300</v>
      </c>
      <c r="M49" s="6" t="s">
        <v>33</v>
      </c>
      <c r="N49" s="6" t="s">
        <v>1458</v>
      </c>
      <c r="O49" s="10" t="s">
        <v>1436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1156</v>
      </c>
      <c r="H50" s="6" t="s">
        <v>1459</v>
      </c>
      <c r="I50" s="6" t="s">
        <v>33</v>
      </c>
      <c r="J50" s="19" t="str">
        <f t="shared" si="3"/>
        <v>OK</v>
      </c>
      <c r="L50" s="30" t="s">
        <v>305</v>
      </c>
      <c r="M50" s="6" t="s">
        <v>33</v>
      </c>
      <c r="N50" s="6" t="s">
        <v>1460</v>
      </c>
      <c r="O50" s="10" t="s">
        <v>1436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1156</v>
      </c>
      <c r="H51" s="6" t="s">
        <v>1461</v>
      </c>
      <c r="I51" s="6" t="s">
        <v>33</v>
      </c>
      <c r="J51" s="19" t="str">
        <f t="shared" si="3"/>
        <v>OK</v>
      </c>
      <c r="L51" s="30" t="s">
        <v>310</v>
      </c>
      <c r="M51" s="6" t="s">
        <v>33</v>
      </c>
      <c r="N51" s="6" t="s">
        <v>1462</v>
      </c>
      <c r="O51" s="10" t="s">
        <v>1436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1156</v>
      </c>
      <c r="H52" s="6" t="s">
        <v>1463</v>
      </c>
      <c r="I52" s="6" t="s">
        <v>33</v>
      </c>
      <c r="J52" s="19" t="str">
        <f t="shared" si="3"/>
        <v>OK</v>
      </c>
      <c r="L52" s="30" t="s">
        <v>315</v>
      </c>
      <c r="M52" s="6" t="s">
        <v>33</v>
      </c>
      <c r="N52" s="6" t="s">
        <v>1464</v>
      </c>
      <c r="O52" s="10" t="s">
        <v>1436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1005</v>
      </c>
      <c r="H53" s="6" t="s">
        <v>1465</v>
      </c>
      <c r="I53" s="6" t="s">
        <v>33</v>
      </c>
      <c r="J53" s="19" t="str">
        <f t="shared" si="3"/>
        <v>OK</v>
      </c>
      <c r="L53" s="30" t="s">
        <v>320</v>
      </c>
      <c r="M53" s="6" t="s">
        <v>33</v>
      </c>
      <c r="N53" s="6" t="s">
        <v>1466</v>
      </c>
      <c r="O53" s="10" t="s">
        <v>1436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1005</v>
      </c>
      <c r="H54" s="6" t="s">
        <v>1467</v>
      </c>
      <c r="I54" s="6" t="s">
        <v>33</v>
      </c>
      <c r="J54" s="19" t="str">
        <f t="shared" si="3"/>
        <v>OK</v>
      </c>
      <c r="L54" s="30" t="s">
        <v>325</v>
      </c>
      <c r="M54" s="6" t="s">
        <v>33</v>
      </c>
      <c r="N54" s="6" t="s">
        <v>1468</v>
      </c>
      <c r="O54" s="10" t="s">
        <v>1436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1005</v>
      </c>
      <c r="H55" s="6" t="s">
        <v>1469</v>
      </c>
      <c r="I55" s="6" t="s">
        <v>33</v>
      </c>
      <c r="J55" s="19" t="str">
        <f t="shared" si="3"/>
        <v>OK</v>
      </c>
      <c r="L55" s="30" t="s">
        <v>330</v>
      </c>
      <c r="M55" s="6" t="s">
        <v>33</v>
      </c>
      <c r="N55" s="6" t="s">
        <v>1470</v>
      </c>
      <c r="O55" s="10" t="s">
        <v>1436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1005</v>
      </c>
      <c r="H56" s="6" t="s">
        <v>1471</v>
      </c>
      <c r="I56" s="6" t="s">
        <v>33</v>
      </c>
      <c r="J56" s="19" t="str">
        <f t="shared" si="3"/>
        <v>OK</v>
      </c>
      <c r="L56" s="30" t="s">
        <v>336</v>
      </c>
      <c r="M56" s="6" t="s">
        <v>33</v>
      </c>
      <c r="N56" s="6" t="s">
        <v>1472</v>
      </c>
      <c r="O56" s="10" t="s">
        <v>1436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1473</v>
      </c>
      <c r="I57" s="6" t="s">
        <v>33</v>
      </c>
      <c r="J57" s="19" t="str">
        <f t="shared" si="3"/>
        <v>OK</v>
      </c>
      <c r="L57" s="30" t="s">
        <v>341</v>
      </c>
      <c r="M57" s="6" t="s">
        <v>33</v>
      </c>
      <c r="N57" s="6" t="s">
        <v>1474</v>
      </c>
      <c r="O57" s="10" t="s">
        <v>1436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>IF(H58="","","SUB-"&amp;TEXT(ROW()-5,"000"))</f>
        <v/>
      </c>
      <c r="G58" s="6"/>
      <c r="H58" s="6"/>
      <c r="I58" s="6"/>
      <c r="J58" s="19" t="str">
        <f t="shared" si="3"/>
        <v/>
      </c>
      <c r="L58" s="30" t="s">
        <v>346</v>
      </c>
      <c r="M58" s="6" t="s">
        <v>33</v>
      </c>
      <c r="N58" s="6" t="s">
        <v>1475</v>
      </c>
      <c r="O58" s="10" t="s">
        <v>1436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351</v>
      </c>
      <c r="M59" s="6" t="s">
        <v>33</v>
      </c>
      <c r="N59" s="6" t="s">
        <v>1476</v>
      </c>
      <c r="O59" s="10" t="s">
        <v>1436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356</v>
      </c>
      <c r="M60" s="6" t="s">
        <v>33</v>
      </c>
      <c r="N60" s="6" t="s">
        <v>1477</v>
      </c>
      <c r="O60" s="10" t="s">
        <v>1436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361</v>
      </c>
      <c r="M61" s="6" t="s">
        <v>33</v>
      </c>
      <c r="N61" s="6" t="s">
        <v>1478</v>
      </c>
      <c r="O61" s="10" t="s">
        <v>1436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366</v>
      </c>
      <c r="M62" s="6" t="s">
        <v>33</v>
      </c>
      <c r="N62" s="6" t="s">
        <v>1479</v>
      </c>
      <c r="O62" s="10" t="s">
        <v>1436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371</v>
      </c>
      <c r="M63" s="6" t="s">
        <v>33</v>
      </c>
      <c r="N63" s="6" t="s">
        <v>1480</v>
      </c>
      <c r="O63" s="10" t="s">
        <v>1436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376</v>
      </c>
      <c r="M64" s="6" t="s">
        <v>33</v>
      </c>
      <c r="N64" s="6" t="s">
        <v>1481</v>
      </c>
      <c r="O64" s="10" t="s">
        <v>1436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381</v>
      </c>
      <c r="M65" s="6" t="s">
        <v>33</v>
      </c>
      <c r="N65" s="6" t="s">
        <v>1482</v>
      </c>
      <c r="O65" s="10" t="s">
        <v>1436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386</v>
      </c>
      <c r="M66" s="6" t="s">
        <v>33</v>
      </c>
      <c r="N66" s="6" t="s">
        <v>1483</v>
      </c>
      <c r="O66" s="10" t="s">
        <v>1436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391</v>
      </c>
      <c r="M67" s="6" t="s">
        <v>33</v>
      </c>
      <c r="N67" s="6" t="s">
        <v>1484</v>
      </c>
      <c r="O67" s="10" t="s">
        <v>1436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396</v>
      </c>
      <c r="M68" s="6" t="s">
        <v>33</v>
      </c>
      <c r="N68" s="6" t="s">
        <v>1485</v>
      </c>
      <c r="O68" s="10" t="s">
        <v>1436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401</v>
      </c>
      <c r="M69" s="6" t="s">
        <v>33</v>
      </c>
      <c r="N69" s="6" t="s">
        <v>1486</v>
      </c>
      <c r="O69" s="10" t="s">
        <v>1436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406</v>
      </c>
      <c r="M70" s="6" t="s">
        <v>33</v>
      </c>
      <c r="N70" s="6" t="s">
        <v>1487</v>
      </c>
      <c r="O70" s="10" t="s">
        <v>1436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411</v>
      </c>
      <c r="M71" s="6" t="s">
        <v>33</v>
      </c>
      <c r="N71" s="6" t="s">
        <v>1488</v>
      </c>
      <c r="O71" s="10" t="s">
        <v>1436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425</v>
      </c>
      <c r="M72" s="6" t="s">
        <v>33</v>
      </c>
      <c r="N72" s="6" t="s">
        <v>1489</v>
      </c>
      <c r="O72" s="10" t="s">
        <v>1436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432</v>
      </c>
      <c r="M73" s="6" t="s">
        <v>33</v>
      </c>
      <c r="N73" s="6" t="s">
        <v>1490</v>
      </c>
      <c r="O73" s="10" t="s">
        <v>1491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438</v>
      </c>
      <c r="M74" s="6" t="s">
        <v>33</v>
      </c>
      <c r="N74" s="6" t="s">
        <v>1492</v>
      </c>
      <c r="O74" s="10" t="s">
        <v>1493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444</v>
      </c>
      <c r="M75" s="6" t="s">
        <v>33</v>
      </c>
      <c r="N75" s="6" t="s">
        <v>1494</v>
      </c>
      <c r="O75" s="10" t="s">
        <v>1495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453</v>
      </c>
      <c r="M76" s="6" t="s">
        <v>33</v>
      </c>
      <c r="N76" s="6" t="s">
        <v>1496</v>
      </c>
      <c r="O76" s="10" t="s">
        <v>1497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458</v>
      </c>
      <c r="M77" s="6" t="s">
        <v>33</v>
      </c>
      <c r="N77" s="6" t="s">
        <v>1498</v>
      </c>
      <c r="O77" s="10" t="s">
        <v>1497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463</v>
      </c>
      <c r="M78" s="6" t="s">
        <v>33</v>
      </c>
      <c r="N78" s="6" t="s">
        <v>1499</v>
      </c>
      <c r="O78" s="10" t="s">
        <v>1497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468</v>
      </c>
      <c r="M79" s="6" t="s">
        <v>33</v>
      </c>
      <c r="N79" s="6" t="s">
        <v>1500</v>
      </c>
      <c r="O79" s="10" t="s">
        <v>1497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473</v>
      </c>
      <c r="M80" s="6" t="s">
        <v>33</v>
      </c>
      <c r="N80" s="6" t="s">
        <v>1501</v>
      </c>
      <c r="O80" s="10" t="s">
        <v>1497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478</v>
      </c>
      <c r="M81" s="6" t="s">
        <v>33</v>
      </c>
      <c r="N81" s="6" t="s">
        <v>1502</v>
      </c>
      <c r="O81" s="10" t="s">
        <v>1497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483</v>
      </c>
      <c r="M82" s="6" t="s">
        <v>33</v>
      </c>
      <c r="N82" s="6" t="s">
        <v>1503</v>
      </c>
      <c r="O82" s="10" t="s">
        <v>1497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488</v>
      </c>
      <c r="M83" s="6" t="s">
        <v>33</v>
      </c>
      <c r="N83" s="6" t="s">
        <v>1504</v>
      </c>
      <c r="O83" s="10" t="s">
        <v>1497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493</v>
      </c>
      <c r="M84" s="6" t="s">
        <v>33</v>
      </c>
      <c r="N84" s="6" t="s">
        <v>1505</v>
      </c>
      <c r="O84" s="10" t="s">
        <v>1497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499</v>
      </c>
      <c r="M85" s="6" t="s">
        <v>33</v>
      </c>
      <c r="N85" s="6" t="s">
        <v>1506</v>
      </c>
      <c r="O85" s="10" t="s">
        <v>1507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506</v>
      </c>
      <c r="M86" s="6" t="s">
        <v>33</v>
      </c>
      <c r="N86" s="6" t="s">
        <v>1508</v>
      </c>
      <c r="O86" s="10" t="s">
        <v>1509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513</v>
      </c>
      <c r="M87" s="6" t="s">
        <v>33</v>
      </c>
      <c r="N87" s="6" t="s">
        <v>1510</v>
      </c>
      <c r="O87" s="10" t="s">
        <v>1511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517</v>
      </c>
      <c r="M88" s="6" t="s">
        <v>33</v>
      </c>
      <c r="N88" s="6" t="s">
        <v>1512</v>
      </c>
      <c r="O88" s="10" t="s">
        <v>1511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522</v>
      </c>
      <c r="M89" s="6" t="s">
        <v>33</v>
      </c>
      <c r="N89" s="6" t="s">
        <v>1513</v>
      </c>
      <c r="O89" s="10" t="s">
        <v>1511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526</v>
      </c>
      <c r="M90" s="6" t="s">
        <v>33</v>
      </c>
      <c r="N90" s="6" t="s">
        <v>1514</v>
      </c>
      <c r="O90" s="10" t="s">
        <v>1511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531</v>
      </c>
      <c r="M91" s="6" t="s">
        <v>33</v>
      </c>
      <c r="N91" s="6" t="s">
        <v>1515</v>
      </c>
      <c r="O91" s="10" t="s">
        <v>1511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537</v>
      </c>
      <c r="M92" s="6" t="s">
        <v>33</v>
      </c>
      <c r="N92" s="6" t="s">
        <v>1516</v>
      </c>
      <c r="O92" s="10" t="s">
        <v>1517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543</v>
      </c>
      <c r="M93" s="6" t="s">
        <v>33</v>
      </c>
      <c r="N93" s="6" t="s">
        <v>1518</v>
      </c>
      <c r="O93" s="10" t="s">
        <v>1519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549</v>
      </c>
      <c r="M94" s="6" t="s">
        <v>33</v>
      </c>
      <c r="N94" s="6" t="s">
        <v>1520</v>
      </c>
      <c r="O94" s="10" t="s">
        <v>1521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555</v>
      </c>
      <c r="M95" s="6" t="s">
        <v>33</v>
      </c>
      <c r="N95" s="6" t="s">
        <v>1522</v>
      </c>
      <c r="O95" s="10" t="s">
        <v>1521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560</v>
      </c>
      <c r="M96" s="6" t="s">
        <v>33</v>
      </c>
      <c r="N96" s="6" t="s">
        <v>1523</v>
      </c>
      <c r="O96" s="10" t="s">
        <v>1521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565</v>
      </c>
      <c r="M97" s="6" t="s">
        <v>33</v>
      </c>
      <c r="N97" s="6" t="s">
        <v>1524</v>
      </c>
      <c r="O97" s="10" t="s">
        <v>1521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570</v>
      </c>
      <c r="M98" s="6" t="s">
        <v>33</v>
      </c>
      <c r="N98" s="6" t="s">
        <v>1525</v>
      </c>
      <c r="O98" s="10" t="s">
        <v>1521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575</v>
      </c>
      <c r="M99" s="6" t="s">
        <v>33</v>
      </c>
      <c r="N99" s="6" t="s">
        <v>1526</v>
      </c>
      <c r="O99" s="10" t="s">
        <v>1521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584</v>
      </c>
      <c r="M100" s="6" t="s">
        <v>33</v>
      </c>
      <c r="N100" s="6" t="s">
        <v>1527</v>
      </c>
      <c r="O100" s="10" t="s">
        <v>1528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589</v>
      </c>
      <c r="M101" s="6" t="s">
        <v>33</v>
      </c>
      <c r="N101" s="6" t="s">
        <v>1529</v>
      </c>
      <c r="O101" s="10" t="s">
        <v>1528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593</v>
      </c>
      <c r="M102" s="6" t="s">
        <v>33</v>
      </c>
      <c r="N102" s="6" t="s">
        <v>1530</v>
      </c>
      <c r="O102" s="10" t="s">
        <v>1528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598</v>
      </c>
      <c r="M103" s="6" t="s">
        <v>33</v>
      </c>
      <c r="N103" s="6" t="s">
        <v>1531</v>
      </c>
      <c r="O103" s="10" t="s">
        <v>1528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602</v>
      </c>
      <c r="M104" s="6" t="s">
        <v>33</v>
      </c>
      <c r="N104" s="6" t="s">
        <v>1532</v>
      </c>
      <c r="O104" s="10" t="s">
        <v>1528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607</v>
      </c>
      <c r="M105" s="6" t="s">
        <v>33</v>
      </c>
      <c r="N105" s="6" t="s">
        <v>1533</v>
      </c>
      <c r="O105" s="10" t="s">
        <v>1528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612</v>
      </c>
      <c r="M106" s="6" t="s">
        <v>33</v>
      </c>
      <c r="N106" s="6" t="s">
        <v>1534</v>
      </c>
      <c r="O106" s="10" t="s">
        <v>1528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617</v>
      </c>
      <c r="M107" s="6" t="s">
        <v>33</v>
      </c>
      <c r="N107" s="6" t="s">
        <v>1535</v>
      </c>
      <c r="O107" s="10" t="s">
        <v>1528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622</v>
      </c>
      <c r="M108" s="6" t="s">
        <v>33</v>
      </c>
      <c r="N108" s="6" t="s">
        <v>1536</v>
      </c>
      <c r="O108" s="10" t="s">
        <v>1528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627</v>
      </c>
      <c r="M109" s="6" t="s">
        <v>33</v>
      </c>
      <c r="N109" s="6" t="s">
        <v>1537</v>
      </c>
      <c r="O109" s="10" t="s">
        <v>1528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632</v>
      </c>
      <c r="M110" s="6" t="s">
        <v>33</v>
      </c>
      <c r="N110" s="6" t="s">
        <v>1538</v>
      </c>
      <c r="O110" s="10" t="s">
        <v>1528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637</v>
      </c>
      <c r="M111" s="6" t="s">
        <v>33</v>
      </c>
      <c r="N111" s="6" t="s">
        <v>1539</v>
      </c>
      <c r="O111" s="10" t="s">
        <v>1528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642</v>
      </c>
      <c r="M112" s="6" t="s">
        <v>33</v>
      </c>
      <c r="N112" s="6" t="s">
        <v>1540</v>
      </c>
      <c r="O112" s="10" t="s">
        <v>1528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647</v>
      </c>
      <c r="M113" s="6" t="s">
        <v>33</v>
      </c>
      <c r="N113" s="6" t="s">
        <v>1541</v>
      </c>
      <c r="O113" s="10" t="s">
        <v>1528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652</v>
      </c>
      <c r="M114" s="6" t="s">
        <v>33</v>
      </c>
      <c r="N114" s="6" t="s">
        <v>1542</v>
      </c>
      <c r="O114" s="10" t="s">
        <v>1528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656</v>
      </c>
      <c r="M115" s="6" t="s">
        <v>33</v>
      </c>
      <c r="N115" s="6" t="s">
        <v>1543</v>
      </c>
      <c r="O115" s="10" t="s">
        <v>1528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660</v>
      </c>
      <c r="M116" s="6" t="s">
        <v>33</v>
      </c>
      <c r="N116" s="6" t="s">
        <v>1544</v>
      </c>
      <c r="O116" s="10" t="s">
        <v>1528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665</v>
      </c>
      <c r="M117" s="6" t="s">
        <v>33</v>
      </c>
      <c r="N117" s="6" t="s">
        <v>1545</v>
      </c>
      <c r="O117" s="10" t="s">
        <v>1528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670</v>
      </c>
      <c r="M118" s="6" t="s">
        <v>33</v>
      </c>
      <c r="N118" s="6" t="s">
        <v>1546</v>
      </c>
      <c r="O118" s="10" t="s">
        <v>1528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675</v>
      </c>
      <c r="M119" s="6" t="s">
        <v>33</v>
      </c>
      <c r="N119" s="6" t="s">
        <v>1547</v>
      </c>
      <c r="O119" s="10" t="s">
        <v>1528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679</v>
      </c>
      <c r="M120" s="6" t="s">
        <v>33</v>
      </c>
      <c r="N120" s="6" t="s">
        <v>1548</v>
      </c>
      <c r="O120" s="10" t="s">
        <v>1528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684</v>
      </c>
      <c r="M121" s="6" t="s">
        <v>33</v>
      </c>
      <c r="N121" s="6" t="s">
        <v>1549</v>
      </c>
      <c r="O121" s="10" t="s">
        <v>1528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691</v>
      </c>
      <c r="M122" s="6" t="s">
        <v>33</v>
      </c>
      <c r="N122" s="6" t="s">
        <v>1550</v>
      </c>
      <c r="O122" s="10" t="s">
        <v>1528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696</v>
      </c>
      <c r="M123" s="6" t="s">
        <v>33</v>
      </c>
      <c r="N123" s="6" t="s">
        <v>1551</v>
      </c>
      <c r="O123" s="10" t="s">
        <v>1528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701</v>
      </c>
      <c r="M124" s="6" t="s">
        <v>33</v>
      </c>
      <c r="N124" s="6" t="s">
        <v>1552</v>
      </c>
      <c r="O124" s="10" t="s">
        <v>1528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706</v>
      </c>
      <c r="M125" s="6" t="s">
        <v>33</v>
      </c>
      <c r="N125" s="6" t="s">
        <v>1553</v>
      </c>
      <c r="O125" s="10" t="s">
        <v>1528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711</v>
      </c>
      <c r="M126" s="6" t="s">
        <v>33</v>
      </c>
      <c r="N126" s="6" t="s">
        <v>1554</v>
      </c>
      <c r="O126" s="10" t="s">
        <v>1528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718</v>
      </c>
      <c r="M127" s="6" t="s">
        <v>33</v>
      </c>
      <c r="N127" s="6" t="s">
        <v>1555</v>
      </c>
      <c r="O127" s="10" t="s">
        <v>1556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723</v>
      </c>
      <c r="M128" s="6" t="s">
        <v>33</v>
      </c>
      <c r="N128" s="6" t="s">
        <v>1557</v>
      </c>
      <c r="O128" s="10" t="s">
        <v>1558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728</v>
      </c>
      <c r="M129" s="6" t="s">
        <v>33</v>
      </c>
      <c r="N129" s="6" t="s">
        <v>1559</v>
      </c>
      <c r="O129" s="10" t="s">
        <v>1560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735</v>
      </c>
      <c r="M130" s="6" t="s">
        <v>33</v>
      </c>
      <c r="N130" s="6" t="s">
        <v>1561</v>
      </c>
      <c r="O130" s="10" t="s">
        <v>1562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742</v>
      </c>
      <c r="M131" s="6" t="s">
        <v>33</v>
      </c>
      <c r="N131" s="6" t="s">
        <v>1563</v>
      </c>
      <c r="O131" s="10" t="s">
        <v>1562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746</v>
      </c>
      <c r="M132" s="6" t="s">
        <v>33</v>
      </c>
      <c r="N132" s="6" t="s">
        <v>1564</v>
      </c>
      <c r="O132" s="10" t="s">
        <v>1366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751</v>
      </c>
      <c r="M133" s="6" t="s">
        <v>33</v>
      </c>
      <c r="N133" s="6" t="s">
        <v>1565</v>
      </c>
      <c r="O133" s="10" t="s">
        <v>1366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756</v>
      </c>
      <c r="M134" s="6" t="s">
        <v>33</v>
      </c>
      <c r="N134" s="6" t="s">
        <v>1566</v>
      </c>
      <c r="O134" s="10" t="s">
        <v>1567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761</v>
      </c>
      <c r="M135" s="6" t="s">
        <v>33</v>
      </c>
      <c r="N135" s="6" t="s">
        <v>1568</v>
      </c>
      <c r="O135" s="10" t="s">
        <v>1567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766</v>
      </c>
      <c r="M136" s="6" t="s">
        <v>33</v>
      </c>
      <c r="N136" s="6" t="s">
        <v>1569</v>
      </c>
      <c r="O136" s="10" t="s">
        <v>1570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771</v>
      </c>
      <c r="M137" s="6" t="s">
        <v>33</v>
      </c>
      <c r="N137" s="6" t="s">
        <v>1571</v>
      </c>
      <c r="O137" s="10" t="s">
        <v>1570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776</v>
      </c>
      <c r="M138" s="6" t="s">
        <v>33</v>
      </c>
      <c r="N138" s="6" t="s">
        <v>1572</v>
      </c>
      <c r="O138" s="10" t="s">
        <v>1376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781</v>
      </c>
      <c r="M139" s="6" t="s">
        <v>33</v>
      </c>
      <c r="N139" s="6" t="s">
        <v>1573</v>
      </c>
      <c r="O139" s="10" t="s">
        <v>1376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786</v>
      </c>
      <c r="M140" s="6" t="s">
        <v>33</v>
      </c>
      <c r="N140" s="6" t="s">
        <v>1574</v>
      </c>
      <c r="O140" s="10" t="s">
        <v>1376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791</v>
      </c>
      <c r="M141" s="6" t="s">
        <v>33</v>
      </c>
      <c r="N141" s="6" t="s">
        <v>1575</v>
      </c>
      <c r="O141" s="10" t="s">
        <v>1376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800</v>
      </c>
      <c r="M142" s="6" t="s">
        <v>33</v>
      </c>
      <c r="N142" s="6" t="s">
        <v>1576</v>
      </c>
      <c r="O142" s="10" t="s">
        <v>1577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806</v>
      </c>
      <c r="M143" s="6" t="s">
        <v>33</v>
      </c>
      <c r="N143" s="6" t="s">
        <v>1578</v>
      </c>
      <c r="O143" s="10" t="s">
        <v>1577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813</v>
      </c>
      <c r="M144" s="6" t="s">
        <v>33</v>
      </c>
      <c r="N144" s="6" t="s">
        <v>1579</v>
      </c>
      <c r="O144" s="10" t="s">
        <v>1577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819</v>
      </c>
      <c r="M145" s="6" t="s">
        <v>33</v>
      </c>
      <c r="N145" s="6" t="s">
        <v>1580</v>
      </c>
      <c r="O145" s="10" t="s">
        <v>1577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823</v>
      </c>
      <c r="M146" s="6" t="s">
        <v>33</v>
      </c>
      <c r="N146" s="6" t="s">
        <v>1581</v>
      </c>
      <c r="O146" s="10" t="s">
        <v>1577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827</v>
      </c>
      <c r="M147" s="6" t="s">
        <v>33</v>
      </c>
      <c r="N147" s="6" t="s">
        <v>1582</v>
      </c>
      <c r="O147" s="10" t="s">
        <v>1577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833</v>
      </c>
      <c r="M148" s="6" t="s">
        <v>33</v>
      </c>
      <c r="N148" s="6" t="s">
        <v>1583</v>
      </c>
      <c r="O148" s="10" t="s">
        <v>1577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837</v>
      </c>
      <c r="M149" s="6" t="s">
        <v>33</v>
      </c>
      <c r="N149" s="6" t="s">
        <v>1584</v>
      </c>
      <c r="O149" s="10" t="s">
        <v>1577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841</v>
      </c>
      <c r="M150" s="6" t="s">
        <v>33</v>
      </c>
      <c r="N150" s="6" t="s">
        <v>1585</v>
      </c>
      <c r="O150" s="10" t="s">
        <v>1577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846</v>
      </c>
      <c r="M151" s="6" t="s">
        <v>33</v>
      </c>
      <c r="N151" s="6" t="s">
        <v>1586</v>
      </c>
      <c r="O151" s="10" t="s">
        <v>1577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850</v>
      </c>
      <c r="M152" s="6" t="s">
        <v>33</v>
      </c>
      <c r="N152" s="6" t="s">
        <v>1587</v>
      </c>
      <c r="O152" s="10" t="s">
        <v>1577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854</v>
      </c>
      <c r="M153" s="6" t="s">
        <v>33</v>
      </c>
      <c r="N153" s="6" t="s">
        <v>1588</v>
      </c>
      <c r="O153" s="10" t="s">
        <v>1577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863</v>
      </c>
      <c r="M154" s="6" t="s">
        <v>33</v>
      </c>
      <c r="N154" s="6" t="s">
        <v>1589</v>
      </c>
      <c r="O154" s="10" t="s">
        <v>1590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870</v>
      </c>
      <c r="M155" s="6" t="s">
        <v>33</v>
      </c>
      <c r="N155" s="6" t="s">
        <v>1591</v>
      </c>
      <c r="O155" s="10" t="s">
        <v>1590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877</v>
      </c>
      <c r="M156" s="6" t="s">
        <v>33</v>
      </c>
      <c r="N156" s="6" t="s">
        <v>1592</v>
      </c>
      <c r="O156" s="10" t="s">
        <v>1593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882</v>
      </c>
      <c r="M157" s="6" t="s">
        <v>33</v>
      </c>
      <c r="N157" s="6" t="s">
        <v>1594</v>
      </c>
      <c r="O157" s="10" t="s">
        <v>1593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887</v>
      </c>
      <c r="M158" s="6" t="s">
        <v>33</v>
      </c>
      <c r="N158" s="6" t="s">
        <v>1595</v>
      </c>
      <c r="O158" s="10" t="s">
        <v>1593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892</v>
      </c>
      <c r="M159" s="6" t="s">
        <v>33</v>
      </c>
      <c r="N159" s="6" t="s">
        <v>1596</v>
      </c>
      <c r="O159" s="10" t="s">
        <v>1593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897</v>
      </c>
      <c r="M160" s="6" t="s">
        <v>33</v>
      </c>
      <c r="N160" s="6" t="s">
        <v>1597</v>
      </c>
      <c r="O160" s="10" t="s">
        <v>1593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904</v>
      </c>
      <c r="M161" s="6" t="s">
        <v>33</v>
      </c>
      <c r="N161" s="6" t="s">
        <v>1598</v>
      </c>
      <c r="O161" s="10" t="s">
        <v>1599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909</v>
      </c>
      <c r="M162" s="6" t="s">
        <v>33</v>
      </c>
      <c r="N162" s="6" t="s">
        <v>1600</v>
      </c>
      <c r="O162" s="10" t="s">
        <v>1599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914</v>
      </c>
      <c r="M163" s="6" t="s">
        <v>33</v>
      </c>
      <c r="N163" s="6" t="s">
        <v>1601</v>
      </c>
      <c r="O163" s="10" t="s">
        <v>1599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919</v>
      </c>
      <c r="M164" s="6" t="s">
        <v>33</v>
      </c>
      <c r="N164" s="6" t="s">
        <v>1602</v>
      </c>
      <c r="O164" s="10" t="s">
        <v>1599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924</v>
      </c>
      <c r="M165" s="6" t="s">
        <v>33</v>
      </c>
      <c r="N165" s="6" t="s">
        <v>1603</v>
      </c>
      <c r="O165" s="10" t="s">
        <v>1599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929</v>
      </c>
      <c r="M166" s="6" t="s">
        <v>33</v>
      </c>
      <c r="N166" s="6" t="s">
        <v>1604</v>
      </c>
      <c r="O166" s="10" t="s">
        <v>1599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934</v>
      </c>
      <c r="M167" s="6" t="s">
        <v>33</v>
      </c>
      <c r="N167" s="6" t="s">
        <v>1605</v>
      </c>
      <c r="O167" s="10" t="s">
        <v>1599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940</v>
      </c>
      <c r="M168" s="6" t="s">
        <v>33</v>
      </c>
      <c r="N168" s="6" t="s">
        <v>1606</v>
      </c>
      <c r="O168" s="10" t="s">
        <v>1607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945</v>
      </c>
      <c r="M169" s="6" t="s">
        <v>33</v>
      </c>
      <c r="N169" s="6" t="s">
        <v>1608</v>
      </c>
      <c r="O169" s="10" t="s">
        <v>1607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950</v>
      </c>
      <c r="M170" s="6" t="s">
        <v>33</v>
      </c>
      <c r="N170" s="6" t="s">
        <v>1609</v>
      </c>
      <c r="O170" s="10" t="s">
        <v>1607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955</v>
      </c>
      <c r="M171" s="6" t="s">
        <v>33</v>
      </c>
      <c r="N171" s="6" t="s">
        <v>1610</v>
      </c>
      <c r="O171" s="10" t="s">
        <v>1607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960</v>
      </c>
      <c r="M172" s="6" t="s">
        <v>33</v>
      </c>
      <c r="N172" s="6" t="s">
        <v>1611</v>
      </c>
      <c r="O172" s="10" t="s">
        <v>1607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966</v>
      </c>
      <c r="M173" s="6" t="s">
        <v>33</v>
      </c>
      <c r="N173" s="6" t="s">
        <v>1612</v>
      </c>
      <c r="O173" s="10" t="s">
        <v>1613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971</v>
      </c>
      <c r="M174" s="6" t="s">
        <v>33</v>
      </c>
      <c r="N174" s="6" t="s">
        <v>1614</v>
      </c>
      <c r="O174" s="10" t="s">
        <v>1613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977</v>
      </c>
      <c r="M175" s="6" t="s">
        <v>33</v>
      </c>
      <c r="N175" s="6" t="s">
        <v>1615</v>
      </c>
      <c r="O175" s="10" t="s">
        <v>1613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983</v>
      </c>
      <c r="M176" s="6" t="s">
        <v>33</v>
      </c>
      <c r="N176" s="6" t="s">
        <v>1616</v>
      </c>
      <c r="O176" s="10" t="s">
        <v>1613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988</v>
      </c>
      <c r="M177" s="6" t="s">
        <v>33</v>
      </c>
      <c r="N177" s="6" t="s">
        <v>1617</v>
      </c>
      <c r="O177" s="10" t="s">
        <v>1613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995</v>
      </c>
      <c r="M178" s="6" t="s">
        <v>33</v>
      </c>
      <c r="N178" s="6" t="s">
        <v>1618</v>
      </c>
      <c r="O178" s="10" t="s">
        <v>1619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1002</v>
      </c>
      <c r="M179" s="6" t="s">
        <v>33</v>
      </c>
      <c r="N179" s="6" t="s">
        <v>1620</v>
      </c>
      <c r="O179" s="10" t="s">
        <v>1621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1010</v>
      </c>
      <c r="M180" s="6" t="s">
        <v>33</v>
      </c>
      <c r="N180" s="6" t="s">
        <v>1622</v>
      </c>
      <c r="O180" s="10" t="s">
        <v>1623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1017</v>
      </c>
      <c r="M181" s="6" t="s">
        <v>33</v>
      </c>
      <c r="N181" s="6" t="s">
        <v>1624</v>
      </c>
      <c r="O181" s="10" t="s">
        <v>1625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1023</v>
      </c>
      <c r="M182" s="6" t="s">
        <v>33</v>
      </c>
      <c r="N182" s="6" t="s">
        <v>1626</v>
      </c>
      <c r="O182" s="10" t="s">
        <v>1627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1030</v>
      </c>
      <c r="M183" s="6" t="s">
        <v>33</v>
      </c>
      <c r="N183" s="6" t="s">
        <v>1628</v>
      </c>
      <c r="O183" s="10" t="s">
        <v>1629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1036</v>
      </c>
      <c r="M184" s="6" t="s">
        <v>33</v>
      </c>
      <c r="N184" s="6" t="s">
        <v>1630</v>
      </c>
      <c r="O184" s="10" t="s">
        <v>1629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1041</v>
      </c>
      <c r="M185" s="6" t="s">
        <v>33</v>
      </c>
      <c r="N185" s="6" t="s">
        <v>1631</v>
      </c>
      <c r="O185" s="10" t="s">
        <v>1629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1050</v>
      </c>
      <c r="M186" s="6" t="s">
        <v>33</v>
      </c>
      <c r="N186" s="6" t="s">
        <v>1632</v>
      </c>
      <c r="O186" s="10" t="s">
        <v>1633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1056</v>
      </c>
      <c r="M187" s="6" t="s">
        <v>33</v>
      </c>
      <c r="N187" s="6" t="s">
        <v>1634</v>
      </c>
      <c r="O187" s="10" t="s">
        <v>1633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1062</v>
      </c>
      <c r="M188" s="6" t="s">
        <v>33</v>
      </c>
      <c r="N188" s="6" t="s">
        <v>1635</v>
      </c>
      <c r="O188" s="10" t="s">
        <v>1633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1068</v>
      </c>
      <c r="M189" s="6" t="s">
        <v>33</v>
      </c>
      <c r="N189" s="6" t="s">
        <v>1636</v>
      </c>
      <c r="O189" s="10" t="s">
        <v>1633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1073</v>
      </c>
      <c r="M190" s="6" t="s">
        <v>33</v>
      </c>
      <c r="N190" s="6" t="s">
        <v>1637</v>
      </c>
      <c r="O190" s="10" t="s">
        <v>1633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1078</v>
      </c>
      <c r="M191" s="6" t="s">
        <v>33</v>
      </c>
      <c r="N191" s="6" t="s">
        <v>1638</v>
      </c>
      <c r="O191" s="10" t="s">
        <v>1633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1085</v>
      </c>
      <c r="M192" s="6" t="s">
        <v>33</v>
      </c>
      <c r="N192" s="6" t="s">
        <v>1639</v>
      </c>
      <c r="O192" s="10" t="s">
        <v>1640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1091</v>
      </c>
      <c r="M193" s="6" t="s">
        <v>33</v>
      </c>
      <c r="N193" s="6" t="s">
        <v>1641</v>
      </c>
      <c r="O193" s="10" t="s">
        <v>1640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1097</v>
      </c>
      <c r="M194" s="6" t="s">
        <v>33</v>
      </c>
      <c r="N194" s="6" t="s">
        <v>1642</v>
      </c>
      <c r="O194" s="10" t="s">
        <v>1640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1103</v>
      </c>
      <c r="M195" s="6" t="s">
        <v>33</v>
      </c>
      <c r="N195" s="6" t="s">
        <v>1643</v>
      </c>
      <c r="O195" s="10" t="s">
        <v>1640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1108</v>
      </c>
      <c r="M196" s="6" t="s">
        <v>33</v>
      </c>
      <c r="N196" s="6" t="s">
        <v>1644</v>
      </c>
      <c r="O196" s="10" t="s">
        <v>1640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1115</v>
      </c>
      <c r="M197" s="6" t="s">
        <v>33</v>
      </c>
      <c r="N197" s="6" t="s">
        <v>1645</v>
      </c>
      <c r="O197" s="10" t="s">
        <v>1646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1121</v>
      </c>
      <c r="M198" s="6" t="s">
        <v>33</v>
      </c>
      <c r="N198" s="6" t="s">
        <v>1647</v>
      </c>
      <c r="O198" s="10" t="s">
        <v>1646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1128</v>
      </c>
      <c r="M199" s="6" t="s">
        <v>33</v>
      </c>
      <c r="N199" s="6" t="s">
        <v>1648</v>
      </c>
      <c r="O199" s="10" t="s">
        <v>1649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1133</v>
      </c>
      <c r="M200" s="6" t="s">
        <v>33</v>
      </c>
      <c r="N200" s="6" t="s">
        <v>1650</v>
      </c>
      <c r="O200" s="10" t="s">
        <v>1649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1138</v>
      </c>
      <c r="M201" s="6" t="s">
        <v>33</v>
      </c>
      <c r="N201" s="6" t="s">
        <v>1651</v>
      </c>
      <c r="O201" s="10" t="s">
        <v>1649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1143</v>
      </c>
      <c r="M202" s="6" t="s">
        <v>33</v>
      </c>
      <c r="N202" s="6" t="s">
        <v>1652</v>
      </c>
      <c r="O202" s="10" t="s">
        <v>1649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1148</v>
      </c>
      <c r="M203" s="6" t="s">
        <v>33</v>
      </c>
      <c r="N203" s="6" t="s">
        <v>1653</v>
      </c>
      <c r="O203" s="10" t="s">
        <v>1649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1153</v>
      </c>
      <c r="M204" s="6" t="s">
        <v>33</v>
      </c>
      <c r="N204" s="6" t="s">
        <v>1654</v>
      </c>
      <c r="O204" s="10" t="s">
        <v>1649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1161</v>
      </c>
      <c r="M205" s="6" t="s">
        <v>33</v>
      </c>
      <c r="N205" s="6" t="s">
        <v>1655</v>
      </c>
      <c r="O205" s="10" t="s">
        <v>1656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1166</v>
      </c>
      <c r="M206" s="6" t="s">
        <v>33</v>
      </c>
      <c r="N206" s="6" t="s">
        <v>1657</v>
      </c>
      <c r="O206" s="10" t="s">
        <v>1656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1171</v>
      </c>
      <c r="M207" s="6" t="s">
        <v>33</v>
      </c>
      <c r="N207" s="6" t="s">
        <v>1658</v>
      </c>
      <c r="O207" s="10" t="s">
        <v>1656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1178</v>
      </c>
      <c r="M208" s="6" t="s">
        <v>33</v>
      </c>
      <c r="N208" s="6" t="s">
        <v>1659</v>
      </c>
      <c r="O208" s="10" t="s">
        <v>1660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1185</v>
      </c>
      <c r="M209" s="6" t="s">
        <v>33</v>
      </c>
      <c r="N209" s="6" t="s">
        <v>1661</v>
      </c>
      <c r="O209" s="10" t="s">
        <v>1660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1190</v>
      </c>
      <c r="M210" s="6" t="s">
        <v>33</v>
      </c>
      <c r="N210" s="6" t="s">
        <v>1662</v>
      </c>
      <c r="O210" s="10" t="s">
        <v>1660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1195</v>
      </c>
      <c r="M211" s="6" t="s">
        <v>33</v>
      </c>
      <c r="N211" s="6" t="s">
        <v>1663</v>
      </c>
      <c r="O211" s="10" t="s">
        <v>1660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1200</v>
      </c>
      <c r="M212" s="6" t="s">
        <v>33</v>
      </c>
      <c r="N212" s="6" t="s">
        <v>1664</v>
      </c>
      <c r="O212" s="10" t="s">
        <v>1660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1206</v>
      </c>
      <c r="M213" s="6" t="s">
        <v>33</v>
      </c>
      <c r="N213" s="6" t="s">
        <v>1665</v>
      </c>
      <c r="O213" s="10" t="s">
        <v>1666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1211</v>
      </c>
      <c r="M214" s="6" t="s">
        <v>33</v>
      </c>
      <c r="N214" s="6" t="s">
        <v>1667</v>
      </c>
      <c r="O214" s="10" t="s">
        <v>1666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1216</v>
      </c>
      <c r="M215" s="6" t="s">
        <v>33</v>
      </c>
      <c r="N215" s="6" t="s">
        <v>1668</v>
      </c>
      <c r="O215" s="10" t="s">
        <v>1666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1221</v>
      </c>
      <c r="M216" s="6" t="s">
        <v>33</v>
      </c>
      <c r="N216" s="6" t="s">
        <v>1669</v>
      </c>
      <c r="O216" s="10" t="s">
        <v>1666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1227</v>
      </c>
      <c r="M217" s="6" t="s">
        <v>33</v>
      </c>
      <c r="N217" s="6" t="s">
        <v>1670</v>
      </c>
      <c r="O217" s="10" t="s">
        <v>1671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1232</v>
      </c>
      <c r="M218" s="6" t="s">
        <v>33</v>
      </c>
      <c r="N218" s="6" t="s">
        <v>1672</v>
      </c>
      <c r="O218" s="10" t="s">
        <v>1671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1237</v>
      </c>
      <c r="M219" s="6" t="s">
        <v>33</v>
      </c>
      <c r="N219" s="6" t="s">
        <v>1673</v>
      </c>
      <c r="O219" s="10" t="s">
        <v>1671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1242</v>
      </c>
      <c r="M220" s="6" t="s">
        <v>33</v>
      </c>
      <c r="N220" s="6" t="s">
        <v>1674</v>
      </c>
      <c r="O220" s="10" t="s">
        <v>1671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1247</v>
      </c>
      <c r="M221" s="6" t="s">
        <v>33</v>
      </c>
      <c r="N221" s="6" t="s">
        <v>1675</v>
      </c>
      <c r="O221" s="10" t="s">
        <v>1671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1253</v>
      </c>
      <c r="M222" s="6" t="s">
        <v>33</v>
      </c>
      <c r="N222" s="6" t="s">
        <v>1676</v>
      </c>
      <c r="O222" s="10" t="s">
        <v>1677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1258</v>
      </c>
      <c r="M223" s="6" t="s">
        <v>33</v>
      </c>
      <c r="N223" s="6" t="s">
        <v>1678</v>
      </c>
      <c r="O223" s="10" t="s">
        <v>1677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1264</v>
      </c>
      <c r="M224" s="6" t="s">
        <v>33</v>
      </c>
      <c r="N224" s="6" t="s">
        <v>1679</v>
      </c>
      <c r="O224" s="10" t="s">
        <v>1680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1269</v>
      </c>
      <c r="M225" s="6" t="s">
        <v>33</v>
      </c>
      <c r="N225" s="6" t="s">
        <v>1681</v>
      </c>
      <c r="O225" s="10" t="s">
        <v>1680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1274</v>
      </c>
      <c r="M226" s="6" t="s">
        <v>33</v>
      </c>
      <c r="N226" s="6" t="s">
        <v>1682</v>
      </c>
      <c r="O226" s="10" t="s">
        <v>1680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1280</v>
      </c>
      <c r="M227" s="6" t="s">
        <v>33</v>
      </c>
      <c r="N227" s="6" t="s">
        <v>1683</v>
      </c>
      <c r="O227" s="10" t="s">
        <v>1684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1286</v>
      </c>
      <c r="M228" s="6" t="s">
        <v>33</v>
      </c>
      <c r="N228" s="6" t="s">
        <v>1685</v>
      </c>
      <c r="O228" s="10" t="s">
        <v>1684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1292</v>
      </c>
      <c r="M229" s="6" t="s">
        <v>33</v>
      </c>
      <c r="N229" s="6" t="s">
        <v>1686</v>
      </c>
      <c r="O229" s="10" t="s">
        <v>1687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1298</v>
      </c>
      <c r="M230" s="6" t="s">
        <v>33</v>
      </c>
      <c r="N230" s="6" t="s">
        <v>1688</v>
      </c>
      <c r="O230" s="10" t="s">
        <v>1629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1305</v>
      </c>
      <c r="M231" s="6" t="s">
        <v>33</v>
      </c>
      <c r="N231" s="6" t="s">
        <v>1689</v>
      </c>
      <c r="O231" s="10" t="s">
        <v>1689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1314</v>
      </c>
      <c r="M232" s="6" t="s">
        <v>33</v>
      </c>
      <c r="N232" s="6" t="s">
        <v>1690</v>
      </c>
      <c r="O232" s="10" t="s">
        <v>1599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 t="s">
        <v>1800</v>
      </c>
      <c r="M233" s="6" t="s">
        <v>33</v>
      </c>
      <c r="N233" s="6" t="s">
        <v>1864</v>
      </c>
      <c r="O233" s="10" t="s">
        <v>1865</v>
      </c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 t="s">
        <v>1851</v>
      </c>
      <c r="M234" s="6" t="s">
        <v>33</v>
      </c>
      <c r="N234" s="6" t="s">
        <v>1866</v>
      </c>
      <c r="O234" s="10" t="s">
        <v>1867</v>
      </c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 t="s">
        <v>1852</v>
      </c>
      <c r="M235" s="6" t="s">
        <v>33</v>
      </c>
      <c r="N235" s="6" t="s">
        <v>1868</v>
      </c>
      <c r="O235" s="10" t="s">
        <v>1869</v>
      </c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 t="s">
        <v>1853</v>
      </c>
      <c r="M236" s="6" t="s">
        <v>33</v>
      </c>
      <c r="N236" s="6" t="s">
        <v>1870</v>
      </c>
      <c r="O236" s="10" t="s">
        <v>1869</v>
      </c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 t="s">
        <v>1854</v>
      </c>
      <c r="M237" s="6" t="s">
        <v>33</v>
      </c>
      <c r="N237" s="6" t="s">
        <v>1871</v>
      </c>
      <c r="O237" s="10" t="s">
        <v>1872</v>
      </c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 t="s">
        <v>1855</v>
      </c>
      <c r="M238" s="6" t="s">
        <v>33</v>
      </c>
      <c r="N238" s="6" t="s">
        <v>1814</v>
      </c>
      <c r="O238" s="10" t="s">
        <v>1873</v>
      </c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 t="s">
        <v>1856</v>
      </c>
      <c r="M239" s="6" t="s">
        <v>33</v>
      </c>
      <c r="N239" s="6" t="s">
        <v>1818</v>
      </c>
      <c r="O239" s="10" t="s">
        <v>1874</v>
      </c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 t="s">
        <v>1857</v>
      </c>
      <c r="M240" s="6" t="s">
        <v>33</v>
      </c>
      <c r="N240" s="6" t="s">
        <v>1821</v>
      </c>
      <c r="O240" s="10" t="s">
        <v>1875</v>
      </c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 t="s">
        <v>1858</v>
      </c>
      <c r="M241" s="6" t="s">
        <v>33</v>
      </c>
      <c r="N241" s="6" t="s">
        <v>1824</v>
      </c>
      <c r="O241" s="10" t="s">
        <v>1876</v>
      </c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 t="s">
        <v>1859</v>
      </c>
      <c r="M242" s="6" t="s">
        <v>33</v>
      </c>
      <c r="N242" s="6" t="s">
        <v>1828</v>
      </c>
      <c r="O242" s="10" t="s">
        <v>1876</v>
      </c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 t="s">
        <v>1860</v>
      </c>
      <c r="M243" s="6" t="s">
        <v>33</v>
      </c>
      <c r="N243" s="6" t="s">
        <v>1831</v>
      </c>
      <c r="O243" s="10" t="s">
        <v>1876</v>
      </c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 t="s">
        <v>1861</v>
      </c>
      <c r="M244" s="6" t="s">
        <v>33</v>
      </c>
      <c r="N244" s="6" t="s">
        <v>1835</v>
      </c>
      <c r="O244" s="10" t="s">
        <v>1876</v>
      </c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 t="s">
        <v>1862</v>
      </c>
      <c r="M245" s="6" t="s">
        <v>33</v>
      </c>
      <c r="N245" s="6" t="s">
        <v>1838</v>
      </c>
      <c r="O245" s="10" t="s">
        <v>1876</v>
      </c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 t="s">
        <v>1863</v>
      </c>
      <c r="M246" s="6" t="s">
        <v>33</v>
      </c>
      <c r="N246" s="6" t="s">
        <v>1841</v>
      </c>
      <c r="O246" s="10" t="s">
        <v>1876</v>
      </c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 t="s">
        <v>1850</v>
      </c>
      <c r="M247" s="6" t="s">
        <v>33</v>
      </c>
      <c r="N247" s="6" t="s">
        <v>1847</v>
      </c>
      <c r="O247" s="10" t="s">
        <v>1847</v>
      </c>
    </row>
    <row r="248" spans="6:15" ht="41.4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 t="s">
        <v>1878</v>
      </c>
      <c r="M248" s="6" t="s">
        <v>33</v>
      </c>
      <c r="N248" s="6" t="s">
        <v>1879</v>
      </c>
      <c r="O248" s="62" t="s">
        <v>1880</v>
      </c>
    </row>
    <row r="249" spans="6:15" ht="41.4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 t="s">
        <v>1884</v>
      </c>
      <c r="M249" s="6" t="s">
        <v>33</v>
      </c>
      <c r="N249" s="6" t="s">
        <v>1885</v>
      </c>
      <c r="O249" s="62" t="s">
        <v>1886</v>
      </c>
    </row>
    <row r="250" spans="6:15" ht="27.6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 t="s">
        <v>1892</v>
      </c>
      <c r="M250" s="6" t="s">
        <v>33</v>
      </c>
      <c r="N250" s="6" t="s">
        <v>1893</v>
      </c>
      <c r="O250" s="62" t="s">
        <v>1891</v>
      </c>
    </row>
    <row r="251" spans="6:15" ht="27.6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 t="s">
        <v>1899</v>
      </c>
      <c r="M251" s="6" t="s">
        <v>33</v>
      </c>
      <c r="N251" s="6" t="s">
        <v>1689</v>
      </c>
      <c r="O251" s="62" t="s">
        <v>1898</v>
      </c>
    </row>
    <row r="252" spans="6:15" ht="27.6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 t="s">
        <v>1904</v>
      </c>
      <c r="M252" s="6" t="s">
        <v>33</v>
      </c>
      <c r="N252" s="6" t="s">
        <v>1905</v>
      </c>
      <c r="O252" s="62" t="s">
        <v>1903</v>
      </c>
    </row>
    <row r="253" spans="6:15" ht="55.2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 t="s">
        <v>1911</v>
      </c>
      <c r="M253" s="6" t="s">
        <v>33</v>
      </c>
      <c r="N253" s="6" t="s">
        <v>1912</v>
      </c>
      <c r="O253" s="62" t="s">
        <v>1910</v>
      </c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I6:I305 M6:M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9"/>
  <sheetViews>
    <sheetView showGridLines="0" workbookViewId="0">
      <selection activeCell="G5" sqref="G5"/>
    </sheetView>
  </sheetViews>
  <sheetFormatPr defaultRowHeight="13.8"/>
  <sheetData>
    <row r="1" spans="1:8" ht="21">
      <c r="A1" s="1" t="s">
        <v>1691</v>
      </c>
      <c r="B1" s="1"/>
      <c r="C1" s="1"/>
      <c r="D1" s="1"/>
      <c r="E1" s="1"/>
      <c r="F1" s="1"/>
      <c r="G1" s="1"/>
      <c r="H1" s="1"/>
    </row>
    <row r="2" spans="1:8">
      <c r="A2" t="s">
        <v>1692</v>
      </c>
    </row>
    <row r="4" spans="1:8" ht="41.4">
      <c r="A4" s="2" t="s">
        <v>1693</v>
      </c>
      <c r="B4" s="2" t="s">
        <v>12</v>
      </c>
      <c r="C4" s="2" t="s">
        <v>1694</v>
      </c>
      <c r="D4" s="2" t="s">
        <v>1695</v>
      </c>
      <c r="E4" s="2" t="s">
        <v>1696</v>
      </c>
      <c r="F4" s="2" t="s">
        <v>1697</v>
      </c>
      <c r="G4" s="2" t="s">
        <v>1698</v>
      </c>
      <c r="H4" s="2" t="s">
        <v>1699</v>
      </c>
    </row>
    <row r="5" spans="1:8">
      <c r="A5" t="s">
        <v>24</v>
      </c>
      <c r="B5" t="s">
        <v>28</v>
      </c>
      <c r="C5" t="s">
        <v>31</v>
      </c>
      <c r="D5" t="s">
        <v>1700</v>
      </c>
      <c r="E5" t="s">
        <v>1701</v>
      </c>
      <c r="F5" t="s">
        <v>1702</v>
      </c>
      <c r="G5" t="s">
        <v>1700</v>
      </c>
    </row>
    <row r="6" spans="1:8">
      <c r="A6" t="s">
        <v>36</v>
      </c>
      <c r="B6" t="s">
        <v>1703</v>
      </c>
      <c r="C6" t="s">
        <v>40</v>
      </c>
      <c r="D6" t="s">
        <v>1700</v>
      </c>
      <c r="E6" t="s">
        <v>1701</v>
      </c>
      <c r="F6" t="s">
        <v>1702</v>
      </c>
      <c r="G6" t="s">
        <v>1700</v>
      </c>
    </row>
    <row r="7" spans="1:8">
      <c r="A7" t="s">
        <v>43</v>
      </c>
      <c r="B7" t="s">
        <v>44</v>
      </c>
      <c r="C7" t="s">
        <v>45</v>
      </c>
      <c r="D7" t="s">
        <v>1700</v>
      </c>
      <c r="E7" t="s">
        <v>1701</v>
      </c>
      <c r="F7" t="s">
        <v>1702</v>
      </c>
      <c r="G7" t="s">
        <v>1700</v>
      </c>
    </row>
    <row r="8" spans="1:8">
      <c r="A8" t="s">
        <v>48</v>
      </c>
      <c r="B8" t="s">
        <v>49</v>
      </c>
      <c r="C8" t="s">
        <v>50</v>
      </c>
      <c r="D8" t="s">
        <v>1700</v>
      </c>
      <c r="E8" t="s">
        <v>1701</v>
      </c>
      <c r="F8" t="s">
        <v>1702</v>
      </c>
      <c r="G8" t="s">
        <v>1700</v>
      </c>
    </row>
    <row r="9" spans="1:8">
      <c r="A9" t="s">
        <v>53</v>
      </c>
      <c r="B9" t="s">
        <v>56</v>
      </c>
      <c r="C9" t="s">
        <v>58</v>
      </c>
      <c r="D9" t="s">
        <v>1700</v>
      </c>
      <c r="E9" t="s">
        <v>1701</v>
      </c>
      <c r="F9" t="s">
        <v>1702</v>
      </c>
      <c r="G9" t="s">
        <v>1700</v>
      </c>
    </row>
    <row r="10" spans="1:8">
      <c r="A10" t="s">
        <v>61</v>
      </c>
      <c r="B10" t="s">
        <v>63</v>
      </c>
      <c r="C10" t="s">
        <v>65</v>
      </c>
      <c r="D10" t="s">
        <v>1700</v>
      </c>
      <c r="E10" t="s">
        <v>1701</v>
      </c>
      <c r="F10" t="s">
        <v>1702</v>
      </c>
      <c r="G10" t="s">
        <v>1700</v>
      </c>
    </row>
    <row r="11" spans="1:8">
      <c r="A11" t="s">
        <v>68</v>
      </c>
      <c r="B11" t="s">
        <v>70</v>
      </c>
      <c r="C11" t="s">
        <v>72</v>
      </c>
      <c r="D11" t="s">
        <v>1700</v>
      </c>
      <c r="E11" t="s">
        <v>1701</v>
      </c>
      <c r="F11" t="s">
        <v>1702</v>
      </c>
      <c r="G11" t="s">
        <v>1700</v>
      </c>
    </row>
    <row r="12" spans="1:8">
      <c r="A12" t="s">
        <v>75</v>
      </c>
      <c r="B12" t="s">
        <v>78</v>
      </c>
      <c r="C12" t="s">
        <v>81</v>
      </c>
      <c r="D12" t="s">
        <v>1700</v>
      </c>
      <c r="E12" t="s">
        <v>1701</v>
      </c>
      <c r="F12" t="s">
        <v>1702</v>
      </c>
      <c r="G12" t="s">
        <v>1700</v>
      </c>
    </row>
    <row r="13" spans="1:8">
      <c r="A13" t="s">
        <v>84</v>
      </c>
      <c r="B13" t="s">
        <v>85</v>
      </c>
      <c r="C13" t="s">
        <v>86</v>
      </c>
      <c r="D13" t="s">
        <v>1700</v>
      </c>
      <c r="E13" t="s">
        <v>1701</v>
      </c>
      <c r="F13" t="s">
        <v>1702</v>
      </c>
      <c r="G13" t="s">
        <v>1700</v>
      </c>
    </row>
    <row r="14" spans="1:8">
      <c r="A14" t="s">
        <v>89</v>
      </c>
      <c r="B14" t="s">
        <v>92</v>
      </c>
      <c r="C14" t="s">
        <v>93</v>
      </c>
      <c r="D14" t="s">
        <v>1700</v>
      </c>
      <c r="E14" t="s">
        <v>1701</v>
      </c>
      <c r="F14" t="s">
        <v>1702</v>
      </c>
      <c r="G14" t="s">
        <v>1700</v>
      </c>
    </row>
    <row r="15" spans="1:8">
      <c r="A15" t="s">
        <v>96</v>
      </c>
      <c r="B15" t="s">
        <v>97</v>
      </c>
      <c r="C15" t="s">
        <v>98</v>
      </c>
      <c r="D15" t="s">
        <v>1700</v>
      </c>
      <c r="E15" t="s">
        <v>1701</v>
      </c>
      <c r="F15" t="s">
        <v>1702</v>
      </c>
      <c r="G15" t="s">
        <v>1700</v>
      </c>
    </row>
    <row r="16" spans="1:8">
      <c r="A16" t="s">
        <v>101</v>
      </c>
      <c r="B16" t="s">
        <v>102</v>
      </c>
      <c r="C16" t="s">
        <v>103</v>
      </c>
      <c r="D16" t="s">
        <v>1700</v>
      </c>
      <c r="E16" t="s">
        <v>1701</v>
      </c>
      <c r="F16" t="s">
        <v>1702</v>
      </c>
      <c r="G16" t="s">
        <v>1700</v>
      </c>
    </row>
    <row r="17" spans="1:7">
      <c r="A17" t="s">
        <v>106</v>
      </c>
      <c r="B17" t="s">
        <v>107</v>
      </c>
      <c r="C17" t="s">
        <v>108</v>
      </c>
      <c r="D17" t="s">
        <v>1700</v>
      </c>
      <c r="E17" t="s">
        <v>1701</v>
      </c>
      <c r="F17" t="s">
        <v>1702</v>
      </c>
      <c r="G17" t="s">
        <v>1700</v>
      </c>
    </row>
    <row r="18" spans="1:7">
      <c r="A18" t="s">
        <v>111</v>
      </c>
      <c r="B18" t="s">
        <v>112</v>
      </c>
      <c r="C18" t="s">
        <v>113</v>
      </c>
      <c r="D18" t="s">
        <v>1700</v>
      </c>
      <c r="E18" t="s">
        <v>1701</v>
      </c>
      <c r="F18" t="s">
        <v>1702</v>
      </c>
      <c r="G18" t="s">
        <v>1700</v>
      </c>
    </row>
    <row r="19" spans="1:7">
      <c r="A19" t="s">
        <v>116</v>
      </c>
      <c r="B19" t="s">
        <v>119</v>
      </c>
      <c r="C19" t="s">
        <v>121</v>
      </c>
      <c r="D19" t="s">
        <v>1700</v>
      </c>
      <c r="E19" t="s">
        <v>1701</v>
      </c>
      <c r="F19" t="s">
        <v>1702</v>
      </c>
      <c r="G19" t="s">
        <v>1700</v>
      </c>
    </row>
    <row r="20" spans="1:7">
      <c r="A20" t="s">
        <v>124</v>
      </c>
      <c r="B20" t="s">
        <v>125</v>
      </c>
      <c r="C20" t="s">
        <v>126</v>
      </c>
      <c r="D20" t="s">
        <v>1700</v>
      </c>
      <c r="E20" t="s">
        <v>1701</v>
      </c>
      <c r="F20" t="s">
        <v>1702</v>
      </c>
      <c r="G20" t="s">
        <v>1700</v>
      </c>
    </row>
    <row r="21" spans="1:7">
      <c r="A21" t="s">
        <v>129</v>
      </c>
      <c r="B21" t="s">
        <v>130</v>
      </c>
      <c r="C21" t="s">
        <v>131</v>
      </c>
      <c r="D21" t="s">
        <v>1700</v>
      </c>
      <c r="E21" t="s">
        <v>1701</v>
      </c>
      <c r="F21" t="s">
        <v>1702</v>
      </c>
      <c r="G21" t="s">
        <v>1700</v>
      </c>
    </row>
    <row r="22" spans="1:7">
      <c r="A22" t="s">
        <v>134</v>
      </c>
      <c r="B22" t="s">
        <v>137</v>
      </c>
      <c r="C22" t="s">
        <v>138</v>
      </c>
      <c r="D22" t="s">
        <v>1700</v>
      </c>
      <c r="E22" t="s">
        <v>1701</v>
      </c>
      <c r="F22" t="s">
        <v>1702</v>
      </c>
      <c r="G22" t="s">
        <v>1700</v>
      </c>
    </row>
    <row r="23" spans="1:7">
      <c r="A23" t="s">
        <v>141</v>
      </c>
      <c r="B23" t="s">
        <v>142</v>
      </c>
      <c r="C23" t="s">
        <v>143</v>
      </c>
      <c r="D23" t="s">
        <v>1700</v>
      </c>
      <c r="E23" t="s">
        <v>1701</v>
      </c>
      <c r="F23" t="s">
        <v>1702</v>
      </c>
      <c r="G23" t="s">
        <v>1700</v>
      </c>
    </row>
    <row r="24" spans="1:7">
      <c r="A24" t="s">
        <v>146</v>
      </c>
      <c r="B24" t="s">
        <v>137</v>
      </c>
      <c r="C24" t="s">
        <v>148</v>
      </c>
      <c r="D24" t="s">
        <v>1700</v>
      </c>
      <c r="E24" t="s">
        <v>1701</v>
      </c>
      <c r="F24" t="s">
        <v>1702</v>
      </c>
      <c r="G24" t="s">
        <v>1700</v>
      </c>
    </row>
    <row r="25" spans="1:7">
      <c r="A25" t="s">
        <v>150</v>
      </c>
      <c r="B25" t="s">
        <v>137</v>
      </c>
      <c r="C25" t="s">
        <v>152</v>
      </c>
      <c r="D25" t="s">
        <v>1700</v>
      </c>
      <c r="E25" t="s">
        <v>1701</v>
      </c>
      <c r="F25" t="s">
        <v>1702</v>
      </c>
      <c r="G25" t="s">
        <v>1700</v>
      </c>
    </row>
    <row r="26" spans="1:7">
      <c r="A26" t="s">
        <v>154</v>
      </c>
      <c r="B26" t="s">
        <v>156</v>
      </c>
      <c r="C26" t="s">
        <v>157</v>
      </c>
      <c r="D26" t="s">
        <v>1700</v>
      </c>
      <c r="E26" t="s">
        <v>1701</v>
      </c>
      <c r="F26" t="s">
        <v>1702</v>
      </c>
      <c r="G26" t="s">
        <v>1700</v>
      </c>
    </row>
    <row r="27" spans="1:7">
      <c r="A27" t="s">
        <v>160</v>
      </c>
      <c r="B27" t="s">
        <v>156</v>
      </c>
      <c r="C27" t="s">
        <v>162</v>
      </c>
      <c r="D27" t="s">
        <v>1700</v>
      </c>
      <c r="E27" t="s">
        <v>1701</v>
      </c>
      <c r="F27" t="s">
        <v>1702</v>
      </c>
      <c r="G27" t="s">
        <v>1700</v>
      </c>
    </row>
    <row r="28" spans="1:7">
      <c r="A28" t="s">
        <v>166</v>
      </c>
      <c r="B28" t="s">
        <v>167</v>
      </c>
      <c r="C28" t="s">
        <v>168</v>
      </c>
      <c r="D28" t="s">
        <v>1700</v>
      </c>
      <c r="E28" t="s">
        <v>1701</v>
      </c>
      <c r="F28" t="s">
        <v>1702</v>
      </c>
      <c r="G28" t="s">
        <v>1700</v>
      </c>
    </row>
    <row r="29" spans="1:7">
      <c r="A29" t="s">
        <v>171</v>
      </c>
      <c r="B29" t="s">
        <v>167</v>
      </c>
      <c r="C29" t="s">
        <v>172</v>
      </c>
      <c r="D29" t="s">
        <v>1700</v>
      </c>
      <c r="E29" t="s">
        <v>1701</v>
      </c>
      <c r="F29" t="s">
        <v>1702</v>
      </c>
      <c r="G29" t="s">
        <v>1700</v>
      </c>
    </row>
    <row r="30" spans="1:7">
      <c r="A30" t="s">
        <v>174</v>
      </c>
      <c r="B30" t="s">
        <v>156</v>
      </c>
      <c r="C30" t="s">
        <v>175</v>
      </c>
      <c r="D30" t="s">
        <v>1700</v>
      </c>
      <c r="E30" t="s">
        <v>1701</v>
      </c>
      <c r="F30" t="s">
        <v>1702</v>
      </c>
      <c r="G30" t="s">
        <v>1700</v>
      </c>
    </row>
    <row r="31" spans="1:7">
      <c r="A31" t="s">
        <v>177</v>
      </c>
      <c r="B31" t="s">
        <v>178</v>
      </c>
      <c r="C31" t="s">
        <v>179</v>
      </c>
      <c r="D31" t="s">
        <v>1700</v>
      </c>
      <c r="E31" t="s">
        <v>1701</v>
      </c>
      <c r="F31" t="s">
        <v>1702</v>
      </c>
      <c r="G31" t="s">
        <v>1700</v>
      </c>
    </row>
    <row r="32" spans="1:7">
      <c r="A32" t="s">
        <v>185</v>
      </c>
      <c r="B32" t="s">
        <v>178</v>
      </c>
      <c r="C32" t="s">
        <v>183</v>
      </c>
      <c r="D32" t="s">
        <v>1700</v>
      </c>
      <c r="E32" t="s">
        <v>1701</v>
      </c>
      <c r="F32" t="s">
        <v>1702</v>
      </c>
      <c r="G32" t="s">
        <v>1700</v>
      </c>
    </row>
    <row r="33" spans="1:7">
      <c r="A33" t="s">
        <v>185</v>
      </c>
      <c r="B33" t="s">
        <v>186</v>
      </c>
      <c r="C33" t="s">
        <v>187</v>
      </c>
      <c r="D33" t="s">
        <v>1700</v>
      </c>
      <c r="E33" t="s">
        <v>1701</v>
      </c>
      <c r="F33" t="s">
        <v>1702</v>
      </c>
      <c r="G33" t="s">
        <v>1700</v>
      </c>
    </row>
    <row r="34" spans="1:7">
      <c r="A34" t="s">
        <v>190</v>
      </c>
      <c r="B34" t="s">
        <v>192</v>
      </c>
      <c r="C34" t="s">
        <v>193</v>
      </c>
      <c r="D34" t="s">
        <v>1700</v>
      </c>
      <c r="E34" t="s">
        <v>1701</v>
      </c>
      <c r="F34" t="s">
        <v>1702</v>
      </c>
      <c r="G34" t="s">
        <v>1700</v>
      </c>
    </row>
    <row r="35" spans="1:7">
      <c r="A35" t="s">
        <v>196</v>
      </c>
      <c r="B35" t="s">
        <v>197</v>
      </c>
      <c r="C35" t="s">
        <v>198</v>
      </c>
      <c r="D35" t="s">
        <v>1700</v>
      </c>
      <c r="E35" t="s">
        <v>1701</v>
      </c>
      <c r="F35" t="s">
        <v>1702</v>
      </c>
      <c r="G35" t="s">
        <v>1700</v>
      </c>
    </row>
    <row r="36" spans="1:7">
      <c r="A36" t="s">
        <v>201</v>
      </c>
      <c r="B36" t="s">
        <v>204</v>
      </c>
      <c r="C36" t="s">
        <v>205</v>
      </c>
      <c r="D36" t="s">
        <v>1700</v>
      </c>
      <c r="E36" t="s">
        <v>1701</v>
      </c>
      <c r="F36" t="s">
        <v>1702</v>
      </c>
      <c r="G36" t="s">
        <v>1700</v>
      </c>
    </row>
    <row r="37" spans="1:7">
      <c r="A37" t="s">
        <v>208</v>
      </c>
      <c r="B37" t="s">
        <v>204</v>
      </c>
      <c r="C37" t="s">
        <v>210</v>
      </c>
      <c r="D37" t="s">
        <v>1700</v>
      </c>
      <c r="E37" t="s">
        <v>1701</v>
      </c>
      <c r="F37" t="s">
        <v>1702</v>
      </c>
      <c r="G37" t="s">
        <v>1700</v>
      </c>
    </row>
    <row r="38" spans="1:7">
      <c r="A38" t="s">
        <v>213</v>
      </c>
      <c r="B38" t="s">
        <v>214</v>
      </c>
      <c r="C38" t="s">
        <v>215</v>
      </c>
      <c r="D38" t="s">
        <v>1700</v>
      </c>
      <c r="E38" t="s">
        <v>1701</v>
      </c>
      <c r="F38" t="s">
        <v>1702</v>
      </c>
      <c r="G38" t="s">
        <v>1700</v>
      </c>
    </row>
    <row r="39" spans="1:7">
      <c r="A39" t="s">
        <v>218</v>
      </c>
      <c r="B39" t="s">
        <v>219</v>
      </c>
      <c r="C39" t="s">
        <v>220</v>
      </c>
      <c r="D39" t="s">
        <v>1700</v>
      </c>
      <c r="E39" t="s">
        <v>1701</v>
      </c>
      <c r="F39" t="s">
        <v>1702</v>
      </c>
      <c r="G39" t="s">
        <v>1700</v>
      </c>
    </row>
    <row r="40" spans="1:7">
      <c r="A40" t="s">
        <v>224</v>
      </c>
      <c r="B40" t="s">
        <v>226</v>
      </c>
      <c r="C40" t="s">
        <v>227</v>
      </c>
      <c r="D40" t="s">
        <v>1700</v>
      </c>
      <c r="E40" t="s">
        <v>1701</v>
      </c>
      <c r="F40" t="s">
        <v>1702</v>
      </c>
      <c r="G40" t="s">
        <v>1700</v>
      </c>
    </row>
    <row r="41" spans="1:7">
      <c r="A41" t="s">
        <v>230</v>
      </c>
      <c r="B41" t="s">
        <v>226</v>
      </c>
      <c r="C41" t="s">
        <v>231</v>
      </c>
      <c r="D41" t="s">
        <v>1700</v>
      </c>
      <c r="E41" t="s">
        <v>1701</v>
      </c>
      <c r="F41" t="s">
        <v>1702</v>
      </c>
      <c r="G41" t="s">
        <v>1700</v>
      </c>
    </row>
    <row r="42" spans="1:7">
      <c r="A42" t="s">
        <v>234</v>
      </c>
      <c r="B42" t="s">
        <v>238</v>
      </c>
      <c r="C42" t="s">
        <v>239</v>
      </c>
      <c r="D42" t="s">
        <v>1700</v>
      </c>
      <c r="E42" t="s">
        <v>1701</v>
      </c>
      <c r="F42" t="s">
        <v>1702</v>
      </c>
      <c r="G42" t="s">
        <v>1700</v>
      </c>
    </row>
    <row r="43" spans="1:7">
      <c r="A43" t="s">
        <v>242</v>
      </c>
      <c r="B43" t="s">
        <v>244</v>
      </c>
      <c r="C43" t="s">
        <v>245</v>
      </c>
      <c r="D43" t="s">
        <v>1700</v>
      </c>
      <c r="E43" t="s">
        <v>1701</v>
      </c>
      <c r="F43" t="s">
        <v>1702</v>
      </c>
      <c r="G43" t="s">
        <v>1700</v>
      </c>
    </row>
    <row r="44" spans="1:7">
      <c r="A44" t="s">
        <v>248</v>
      </c>
      <c r="B44" t="s">
        <v>250</v>
      </c>
      <c r="C44" t="s">
        <v>251</v>
      </c>
      <c r="D44" t="s">
        <v>1700</v>
      </c>
      <c r="E44" t="s">
        <v>1701</v>
      </c>
      <c r="F44" t="s">
        <v>1702</v>
      </c>
      <c r="G44" t="s">
        <v>1700</v>
      </c>
    </row>
    <row r="45" spans="1:7">
      <c r="A45" t="s">
        <v>254</v>
      </c>
      <c r="B45" t="s">
        <v>256</v>
      </c>
      <c r="C45" t="s">
        <v>257</v>
      </c>
      <c r="D45" t="s">
        <v>1700</v>
      </c>
      <c r="E45" t="s">
        <v>1701</v>
      </c>
      <c r="F45" t="s">
        <v>1702</v>
      </c>
      <c r="G45" t="s">
        <v>1700</v>
      </c>
    </row>
    <row r="46" spans="1:7">
      <c r="A46" t="s">
        <v>260</v>
      </c>
      <c r="B46" t="s">
        <v>261</v>
      </c>
      <c r="C46" t="s">
        <v>262</v>
      </c>
      <c r="D46" t="s">
        <v>1700</v>
      </c>
      <c r="E46" t="s">
        <v>1701</v>
      </c>
      <c r="F46" t="s">
        <v>1702</v>
      </c>
      <c r="G46" t="s">
        <v>1700</v>
      </c>
    </row>
    <row r="47" spans="1:7">
      <c r="A47" t="s">
        <v>265</v>
      </c>
      <c r="B47" t="s">
        <v>266</v>
      </c>
      <c r="C47" t="s">
        <v>267</v>
      </c>
      <c r="D47" t="s">
        <v>1700</v>
      </c>
      <c r="E47" t="s">
        <v>1701</v>
      </c>
      <c r="F47" t="s">
        <v>1702</v>
      </c>
      <c r="G47" t="s">
        <v>1700</v>
      </c>
    </row>
    <row r="48" spans="1:7">
      <c r="A48" t="s">
        <v>270</v>
      </c>
      <c r="B48" t="s">
        <v>273</v>
      </c>
      <c r="C48" t="s">
        <v>274</v>
      </c>
      <c r="D48" t="s">
        <v>1700</v>
      </c>
      <c r="E48" t="s">
        <v>1701</v>
      </c>
      <c r="F48" t="s">
        <v>1702</v>
      </c>
      <c r="G48" t="s">
        <v>1700</v>
      </c>
    </row>
    <row r="49" spans="1:7">
      <c r="A49" t="s">
        <v>277</v>
      </c>
      <c r="B49" t="s">
        <v>278</v>
      </c>
      <c r="C49" t="s">
        <v>279</v>
      </c>
      <c r="D49" t="s">
        <v>1700</v>
      </c>
      <c r="E49" t="s">
        <v>1701</v>
      </c>
      <c r="F49" t="s">
        <v>1702</v>
      </c>
      <c r="G49" t="s">
        <v>1700</v>
      </c>
    </row>
    <row r="50" spans="1:7">
      <c r="A50" t="s">
        <v>282</v>
      </c>
      <c r="B50" t="s">
        <v>283</v>
      </c>
      <c r="C50" t="s">
        <v>284</v>
      </c>
      <c r="D50" t="s">
        <v>1700</v>
      </c>
      <c r="E50" t="s">
        <v>1701</v>
      </c>
      <c r="F50" t="s">
        <v>1702</v>
      </c>
      <c r="G50" t="s">
        <v>1700</v>
      </c>
    </row>
    <row r="51" spans="1:7">
      <c r="A51" t="s">
        <v>287</v>
      </c>
      <c r="B51" t="s">
        <v>288</v>
      </c>
      <c r="C51" t="s">
        <v>289</v>
      </c>
      <c r="D51" t="s">
        <v>1700</v>
      </c>
      <c r="E51" t="s">
        <v>1701</v>
      </c>
      <c r="F51" t="s">
        <v>1702</v>
      </c>
      <c r="G51" t="s">
        <v>1700</v>
      </c>
    </row>
    <row r="52" spans="1:7">
      <c r="A52" t="s">
        <v>292</v>
      </c>
      <c r="B52" t="s">
        <v>293</v>
      </c>
      <c r="C52" t="s">
        <v>294</v>
      </c>
      <c r="D52" t="s">
        <v>1700</v>
      </c>
      <c r="E52" t="s">
        <v>1701</v>
      </c>
      <c r="F52" t="s">
        <v>1702</v>
      </c>
      <c r="G52" t="s">
        <v>1700</v>
      </c>
    </row>
    <row r="53" spans="1:7">
      <c r="A53" t="s">
        <v>297</v>
      </c>
      <c r="B53" t="s">
        <v>298</v>
      </c>
      <c r="C53" t="s">
        <v>299</v>
      </c>
      <c r="D53" t="s">
        <v>1700</v>
      </c>
      <c r="E53" t="s">
        <v>1701</v>
      </c>
      <c r="F53" t="s">
        <v>1702</v>
      </c>
      <c r="G53" t="s">
        <v>1700</v>
      </c>
    </row>
    <row r="54" spans="1:7">
      <c r="A54" t="s">
        <v>302</v>
      </c>
      <c r="B54" t="s">
        <v>303</v>
      </c>
      <c r="C54" t="s">
        <v>304</v>
      </c>
      <c r="D54" t="s">
        <v>1700</v>
      </c>
      <c r="E54" t="s">
        <v>1701</v>
      </c>
      <c r="F54" t="s">
        <v>1702</v>
      </c>
      <c r="G54" t="s">
        <v>1700</v>
      </c>
    </row>
    <row r="55" spans="1:7">
      <c r="A55" t="s">
        <v>307</v>
      </c>
      <c r="B55" t="s">
        <v>308</v>
      </c>
      <c r="C55" t="s">
        <v>309</v>
      </c>
      <c r="D55" t="s">
        <v>1700</v>
      </c>
      <c r="E55" t="s">
        <v>1701</v>
      </c>
      <c r="F55" t="s">
        <v>1702</v>
      </c>
      <c r="G55" t="s">
        <v>1700</v>
      </c>
    </row>
    <row r="56" spans="1:7">
      <c r="A56" t="s">
        <v>312</v>
      </c>
      <c r="B56" t="s">
        <v>313</v>
      </c>
      <c r="C56" t="s">
        <v>314</v>
      </c>
      <c r="D56" t="s">
        <v>1700</v>
      </c>
      <c r="E56" t="s">
        <v>1701</v>
      </c>
      <c r="F56" t="s">
        <v>1702</v>
      </c>
      <c r="G56" t="s">
        <v>1700</v>
      </c>
    </row>
    <row r="57" spans="1:7">
      <c r="A57" t="s">
        <v>317</v>
      </c>
      <c r="B57" t="s">
        <v>318</v>
      </c>
      <c r="C57" t="s">
        <v>319</v>
      </c>
      <c r="D57" t="s">
        <v>1700</v>
      </c>
      <c r="E57" t="s">
        <v>1701</v>
      </c>
      <c r="F57" t="s">
        <v>1702</v>
      </c>
      <c r="G57" t="s">
        <v>1700</v>
      </c>
    </row>
    <row r="58" spans="1:7">
      <c r="A58" t="s">
        <v>322</v>
      </c>
      <c r="B58" t="s">
        <v>323</v>
      </c>
      <c r="C58" t="s">
        <v>324</v>
      </c>
      <c r="D58" t="s">
        <v>1700</v>
      </c>
      <c r="E58" t="s">
        <v>1701</v>
      </c>
      <c r="F58" t="s">
        <v>1702</v>
      </c>
      <c r="G58" t="s">
        <v>1700</v>
      </c>
    </row>
    <row r="59" spans="1:7">
      <c r="A59" t="s">
        <v>327</v>
      </c>
      <c r="B59" t="s">
        <v>328</v>
      </c>
      <c r="C59" t="s">
        <v>329</v>
      </c>
      <c r="D59" t="s">
        <v>1700</v>
      </c>
      <c r="E59" t="s">
        <v>1701</v>
      </c>
      <c r="F59" t="s">
        <v>1702</v>
      </c>
      <c r="G59" t="s">
        <v>1700</v>
      </c>
    </row>
    <row r="60" spans="1:7">
      <c r="A60" t="s">
        <v>332</v>
      </c>
      <c r="B60" t="s">
        <v>334</v>
      </c>
      <c r="C60" t="s">
        <v>335</v>
      </c>
      <c r="D60" t="s">
        <v>1700</v>
      </c>
      <c r="E60" t="s">
        <v>1701</v>
      </c>
      <c r="F60" t="s">
        <v>1702</v>
      </c>
      <c r="G60" t="s">
        <v>1700</v>
      </c>
    </row>
    <row r="61" spans="1:7">
      <c r="A61" t="s">
        <v>338</v>
      </c>
      <c r="B61" t="s">
        <v>339</v>
      </c>
      <c r="C61" t="s">
        <v>340</v>
      </c>
      <c r="D61" t="s">
        <v>1700</v>
      </c>
      <c r="E61" t="s">
        <v>1701</v>
      </c>
      <c r="F61" t="s">
        <v>1702</v>
      </c>
      <c r="G61" t="s">
        <v>1700</v>
      </c>
    </row>
    <row r="62" spans="1:7">
      <c r="A62" t="s">
        <v>343</v>
      </c>
      <c r="B62" t="s">
        <v>344</v>
      </c>
      <c r="C62" t="s">
        <v>345</v>
      </c>
      <c r="D62" t="s">
        <v>1700</v>
      </c>
      <c r="E62" t="s">
        <v>1701</v>
      </c>
      <c r="F62" t="s">
        <v>1702</v>
      </c>
      <c r="G62" t="s">
        <v>1700</v>
      </c>
    </row>
    <row r="63" spans="1:7">
      <c r="A63" t="s">
        <v>348</v>
      </c>
      <c r="B63" t="s">
        <v>349</v>
      </c>
      <c r="C63" t="s">
        <v>350</v>
      </c>
      <c r="D63" t="s">
        <v>1700</v>
      </c>
      <c r="E63" t="s">
        <v>1701</v>
      </c>
      <c r="F63" t="s">
        <v>1702</v>
      </c>
      <c r="G63" t="s">
        <v>1700</v>
      </c>
    </row>
    <row r="64" spans="1:7">
      <c r="A64" t="s">
        <v>353</v>
      </c>
      <c r="B64" t="s">
        <v>354</v>
      </c>
      <c r="C64" t="s">
        <v>355</v>
      </c>
      <c r="D64" t="s">
        <v>1700</v>
      </c>
      <c r="E64" t="s">
        <v>1701</v>
      </c>
      <c r="F64" t="s">
        <v>1702</v>
      </c>
      <c r="G64" t="s">
        <v>1700</v>
      </c>
    </row>
    <row r="65" spans="1:7">
      <c r="A65" t="s">
        <v>358</v>
      </c>
      <c r="B65" t="s">
        <v>359</v>
      </c>
      <c r="C65" t="s">
        <v>360</v>
      </c>
      <c r="D65" t="s">
        <v>1700</v>
      </c>
      <c r="E65" t="s">
        <v>1701</v>
      </c>
      <c r="F65" t="s">
        <v>1702</v>
      </c>
      <c r="G65" t="s">
        <v>1700</v>
      </c>
    </row>
    <row r="66" spans="1:7">
      <c r="A66" t="s">
        <v>363</v>
      </c>
      <c r="B66" t="s">
        <v>364</v>
      </c>
      <c r="C66" t="s">
        <v>365</v>
      </c>
      <c r="D66" t="s">
        <v>1700</v>
      </c>
      <c r="E66" t="s">
        <v>1701</v>
      </c>
      <c r="F66" t="s">
        <v>1702</v>
      </c>
      <c r="G66" t="s">
        <v>1700</v>
      </c>
    </row>
    <row r="67" spans="1:7">
      <c r="A67" t="s">
        <v>368</v>
      </c>
      <c r="B67" t="s">
        <v>369</v>
      </c>
      <c r="C67" t="s">
        <v>370</v>
      </c>
      <c r="D67" t="s">
        <v>1700</v>
      </c>
      <c r="E67" t="s">
        <v>1701</v>
      </c>
      <c r="F67" t="s">
        <v>1702</v>
      </c>
      <c r="G67" t="s">
        <v>1700</v>
      </c>
    </row>
    <row r="68" spans="1:7">
      <c r="A68" t="s">
        <v>373</v>
      </c>
      <c r="B68" t="s">
        <v>374</v>
      </c>
      <c r="C68" t="s">
        <v>375</v>
      </c>
      <c r="D68" t="s">
        <v>1700</v>
      </c>
      <c r="E68" t="s">
        <v>1701</v>
      </c>
      <c r="F68" t="s">
        <v>1702</v>
      </c>
      <c r="G68" t="s">
        <v>1700</v>
      </c>
    </row>
    <row r="69" spans="1:7">
      <c r="A69" t="s">
        <v>378</v>
      </c>
      <c r="B69" t="s">
        <v>379</v>
      </c>
      <c r="C69" t="s">
        <v>380</v>
      </c>
      <c r="D69" t="s">
        <v>1700</v>
      </c>
      <c r="E69" t="s">
        <v>1701</v>
      </c>
      <c r="F69" t="s">
        <v>1702</v>
      </c>
      <c r="G69" t="s">
        <v>1700</v>
      </c>
    </row>
    <row r="70" spans="1:7">
      <c r="A70" t="s">
        <v>383</v>
      </c>
      <c r="B70" t="s">
        <v>384</v>
      </c>
      <c r="C70" t="s">
        <v>385</v>
      </c>
      <c r="D70" t="s">
        <v>1700</v>
      </c>
      <c r="E70" t="s">
        <v>1701</v>
      </c>
      <c r="F70" t="s">
        <v>1702</v>
      </c>
      <c r="G70" t="s">
        <v>1700</v>
      </c>
    </row>
    <row r="71" spans="1:7">
      <c r="A71" t="s">
        <v>388</v>
      </c>
      <c r="B71" t="s">
        <v>389</v>
      </c>
      <c r="C71" t="s">
        <v>390</v>
      </c>
      <c r="D71" t="s">
        <v>1700</v>
      </c>
      <c r="E71" t="s">
        <v>1701</v>
      </c>
      <c r="F71" t="s">
        <v>1702</v>
      </c>
      <c r="G71" t="s">
        <v>1700</v>
      </c>
    </row>
    <row r="72" spans="1:7">
      <c r="A72" t="s">
        <v>393</v>
      </c>
      <c r="B72" t="s">
        <v>394</v>
      </c>
      <c r="C72" t="s">
        <v>395</v>
      </c>
      <c r="D72" t="s">
        <v>1700</v>
      </c>
      <c r="E72" t="s">
        <v>1701</v>
      </c>
      <c r="F72" t="s">
        <v>1702</v>
      </c>
      <c r="G72" t="s">
        <v>1700</v>
      </c>
    </row>
    <row r="73" spans="1:7">
      <c r="A73" t="s">
        <v>398</v>
      </c>
      <c r="B73" t="s">
        <v>399</v>
      </c>
      <c r="C73" t="s">
        <v>400</v>
      </c>
      <c r="D73" t="s">
        <v>1700</v>
      </c>
      <c r="E73" t="s">
        <v>1701</v>
      </c>
      <c r="F73" t="s">
        <v>1702</v>
      </c>
      <c r="G73" t="s">
        <v>1700</v>
      </c>
    </row>
    <row r="74" spans="1:7">
      <c r="A74" t="s">
        <v>403</v>
      </c>
      <c r="B74" t="s">
        <v>404</v>
      </c>
      <c r="C74" t="s">
        <v>405</v>
      </c>
      <c r="D74" t="s">
        <v>1700</v>
      </c>
      <c r="E74" t="s">
        <v>1701</v>
      </c>
      <c r="F74" t="s">
        <v>1702</v>
      </c>
      <c r="G74" t="s">
        <v>1700</v>
      </c>
    </row>
    <row r="75" spans="1:7">
      <c r="A75" t="s">
        <v>408</v>
      </c>
      <c r="B75" t="s">
        <v>409</v>
      </c>
      <c r="C75" t="s">
        <v>410</v>
      </c>
      <c r="D75" t="s">
        <v>1700</v>
      </c>
      <c r="E75" t="s">
        <v>1701</v>
      </c>
      <c r="F75" t="s">
        <v>1702</v>
      </c>
      <c r="G75" t="s">
        <v>1700</v>
      </c>
    </row>
    <row r="76" spans="1:7">
      <c r="A76" t="s">
        <v>413</v>
      </c>
      <c r="B76" t="s">
        <v>409</v>
      </c>
      <c r="C76" t="s">
        <v>414</v>
      </c>
      <c r="D76" t="s">
        <v>1700</v>
      </c>
      <c r="E76" t="s">
        <v>1701</v>
      </c>
      <c r="F76" t="s">
        <v>1702</v>
      </c>
      <c r="G76" t="s">
        <v>1700</v>
      </c>
    </row>
    <row r="77" spans="1:7">
      <c r="A77" t="s">
        <v>416</v>
      </c>
      <c r="B77" t="s">
        <v>409</v>
      </c>
      <c r="C77" t="s">
        <v>417</v>
      </c>
      <c r="D77" t="s">
        <v>1700</v>
      </c>
      <c r="E77" t="s">
        <v>1701</v>
      </c>
      <c r="F77" t="s">
        <v>1702</v>
      </c>
      <c r="G77" t="s">
        <v>1700</v>
      </c>
    </row>
    <row r="78" spans="1:7">
      <c r="A78" t="s">
        <v>419</v>
      </c>
      <c r="B78" t="s">
        <v>409</v>
      </c>
      <c r="C78" t="s">
        <v>420</v>
      </c>
      <c r="D78" t="s">
        <v>1700</v>
      </c>
      <c r="E78" t="s">
        <v>1701</v>
      </c>
      <c r="F78" t="s">
        <v>1702</v>
      </c>
      <c r="G78" t="s">
        <v>1700</v>
      </c>
    </row>
    <row r="79" spans="1:7">
      <c r="A79" t="s">
        <v>422</v>
      </c>
      <c r="B79" t="s">
        <v>423</v>
      </c>
      <c r="C79" t="s">
        <v>424</v>
      </c>
      <c r="D79" t="s">
        <v>1700</v>
      </c>
      <c r="E79" t="s">
        <v>1701</v>
      </c>
      <c r="F79" t="s">
        <v>1702</v>
      </c>
      <c r="G79" t="s">
        <v>1700</v>
      </c>
    </row>
    <row r="80" spans="1:7">
      <c r="A80" t="s">
        <v>427</v>
      </c>
      <c r="B80" t="s">
        <v>430</v>
      </c>
      <c r="C80" t="s">
        <v>431</v>
      </c>
      <c r="D80" t="s">
        <v>1700</v>
      </c>
      <c r="E80" t="s">
        <v>1701</v>
      </c>
      <c r="F80" t="s">
        <v>1702</v>
      </c>
      <c r="G80" t="s">
        <v>1700</v>
      </c>
    </row>
    <row r="81" spans="1:7">
      <c r="A81" t="s">
        <v>434</v>
      </c>
      <c r="B81" t="s">
        <v>436</v>
      </c>
      <c r="C81" t="s">
        <v>437</v>
      </c>
      <c r="D81" t="s">
        <v>1700</v>
      </c>
      <c r="E81" t="s">
        <v>1701</v>
      </c>
      <c r="F81" t="s">
        <v>1702</v>
      </c>
      <c r="G81" t="s">
        <v>1700</v>
      </c>
    </row>
    <row r="82" spans="1:7">
      <c r="A82" t="s">
        <v>440</v>
      </c>
      <c r="B82" t="s">
        <v>442</v>
      </c>
      <c r="C82" t="s">
        <v>443</v>
      </c>
      <c r="D82" t="s">
        <v>1700</v>
      </c>
      <c r="E82" t="s">
        <v>1701</v>
      </c>
      <c r="F82" t="s">
        <v>1702</v>
      </c>
      <c r="G82" t="s">
        <v>1700</v>
      </c>
    </row>
    <row r="83" spans="1:7">
      <c r="A83" t="s">
        <v>446</v>
      </c>
      <c r="B83" t="s">
        <v>451</v>
      </c>
      <c r="C83" t="s">
        <v>452</v>
      </c>
      <c r="D83" t="s">
        <v>1700</v>
      </c>
      <c r="E83" t="s">
        <v>1701</v>
      </c>
      <c r="F83" t="s">
        <v>1702</v>
      </c>
      <c r="G83" t="s">
        <v>1700</v>
      </c>
    </row>
    <row r="84" spans="1:7">
      <c r="A84" t="s">
        <v>455</v>
      </c>
      <c r="B84" t="s">
        <v>451</v>
      </c>
      <c r="C84" t="s">
        <v>457</v>
      </c>
      <c r="D84" t="s">
        <v>1700</v>
      </c>
      <c r="E84" t="s">
        <v>1701</v>
      </c>
      <c r="F84" t="s">
        <v>1702</v>
      </c>
      <c r="G84" t="s">
        <v>1700</v>
      </c>
    </row>
    <row r="85" spans="1:7">
      <c r="A85" t="s">
        <v>460</v>
      </c>
      <c r="B85" t="s">
        <v>451</v>
      </c>
      <c r="C85" t="s">
        <v>462</v>
      </c>
      <c r="D85" t="s">
        <v>1700</v>
      </c>
      <c r="E85" t="s">
        <v>1701</v>
      </c>
      <c r="F85" t="s">
        <v>1702</v>
      </c>
      <c r="G85" t="s">
        <v>1700</v>
      </c>
    </row>
    <row r="86" spans="1:7">
      <c r="A86" t="s">
        <v>465</v>
      </c>
      <c r="B86" t="s">
        <v>451</v>
      </c>
      <c r="C86" t="s">
        <v>467</v>
      </c>
      <c r="D86" t="s">
        <v>1700</v>
      </c>
      <c r="E86" t="s">
        <v>1701</v>
      </c>
      <c r="F86" t="s">
        <v>1702</v>
      </c>
      <c r="G86" t="s">
        <v>1700</v>
      </c>
    </row>
    <row r="87" spans="1:7">
      <c r="A87" t="s">
        <v>470</v>
      </c>
      <c r="B87" t="s">
        <v>451</v>
      </c>
      <c r="C87" t="s">
        <v>472</v>
      </c>
      <c r="D87" t="s">
        <v>1700</v>
      </c>
      <c r="E87" t="s">
        <v>1701</v>
      </c>
      <c r="F87" t="s">
        <v>1702</v>
      </c>
      <c r="G87" t="s">
        <v>1700</v>
      </c>
    </row>
    <row r="88" spans="1:7">
      <c r="A88" t="s">
        <v>475</v>
      </c>
      <c r="B88" t="s">
        <v>451</v>
      </c>
      <c r="C88" t="s">
        <v>477</v>
      </c>
      <c r="D88" t="s">
        <v>1700</v>
      </c>
      <c r="E88" t="s">
        <v>1701</v>
      </c>
      <c r="F88" t="s">
        <v>1702</v>
      </c>
      <c r="G88" t="s">
        <v>1700</v>
      </c>
    </row>
    <row r="89" spans="1:7">
      <c r="A89" t="s">
        <v>480</v>
      </c>
      <c r="B89" t="s">
        <v>451</v>
      </c>
      <c r="C89" t="s">
        <v>482</v>
      </c>
      <c r="D89" t="s">
        <v>1700</v>
      </c>
      <c r="E89" t="s">
        <v>1701</v>
      </c>
      <c r="F89" t="s">
        <v>1702</v>
      </c>
      <c r="G89" t="s">
        <v>1700</v>
      </c>
    </row>
    <row r="90" spans="1:7">
      <c r="A90" t="s">
        <v>485</v>
      </c>
      <c r="B90" t="s">
        <v>451</v>
      </c>
      <c r="C90" t="s">
        <v>487</v>
      </c>
      <c r="D90" t="s">
        <v>1700</v>
      </c>
      <c r="E90" t="s">
        <v>1701</v>
      </c>
      <c r="F90" t="s">
        <v>1702</v>
      </c>
      <c r="G90" t="s">
        <v>1700</v>
      </c>
    </row>
    <row r="91" spans="1:7">
      <c r="A91" t="s">
        <v>490</v>
      </c>
      <c r="B91" t="s">
        <v>451</v>
      </c>
      <c r="C91" t="s">
        <v>492</v>
      </c>
      <c r="D91" t="s">
        <v>1700</v>
      </c>
      <c r="E91" t="s">
        <v>1701</v>
      </c>
      <c r="F91" t="s">
        <v>1702</v>
      </c>
      <c r="G91" t="s">
        <v>1700</v>
      </c>
    </row>
    <row r="92" spans="1:7">
      <c r="A92" t="s">
        <v>495</v>
      </c>
      <c r="B92" t="s">
        <v>497</v>
      </c>
      <c r="C92" t="s">
        <v>498</v>
      </c>
      <c r="D92" t="s">
        <v>1700</v>
      </c>
      <c r="E92" t="s">
        <v>1701</v>
      </c>
      <c r="F92" t="s">
        <v>1702</v>
      </c>
      <c r="G92" t="s">
        <v>1700</v>
      </c>
    </row>
    <row r="93" spans="1:7">
      <c r="A93" t="s">
        <v>501</v>
      </c>
      <c r="B93" t="s">
        <v>503</v>
      </c>
      <c r="C93" t="s">
        <v>505</v>
      </c>
      <c r="D93" t="s">
        <v>1700</v>
      </c>
      <c r="E93" t="s">
        <v>1701</v>
      </c>
      <c r="F93" t="s">
        <v>1702</v>
      </c>
      <c r="G93" t="s">
        <v>1700</v>
      </c>
    </row>
    <row r="94" spans="1:7">
      <c r="A94" t="s">
        <v>508</v>
      </c>
      <c r="B94" t="s">
        <v>511</v>
      </c>
      <c r="C94" t="s">
        <v>512</v>
      </c>
      <c r="D94" t="s">
        <v>1700</v>
      </c>
      <c r="E94" t="s">
        <v>1701</v>
      </c>
      <c r="F94" t="s">
        <v>1702</v>
      </c>
      <c r="G94" t="s">
        <v>1700</v>
      </c>
    </row>
    <row r="95" spans="1:7">
      <c r="A95" t="s">
        <v>515</v>
      </c>
      <c r="B95" t="s">
        <v>511</v>
      </c>
      <c r="C95" t="s">
        <v>516</v>
      </c>
      <c r="D95" t="s">
        <v>1700</v>
      </c>
      <c r="E95" t="s">
        <v>1701</v>
      </c>
      <c r="F95" t="s">
        <v>1702</v>
      </c>
      <c r="G95" t="s">
        <v>1700</v>
      </c>
    </row>
    <row r="96" spans="1:7">
      <c r="A96" t="s">
        <v>519</v>
      </c>
      <c r="B96" t="s">
        <v>511</v>
      </c>
      <c r="C96" t="s">
        <v>521</v>
      </c>
      <c r="D96" t="s">
        <v>1700</v>
      </c>
      <c r="E96" t="s">
        <v>1701</v>
      </c>
      <c r="F96" t="s">
        <v>1702</v>
      </c>
      <c r="G96" t="s">
        <v>1700</v>
      </c>
    </row>
    <row r="97" spans="1:7">
      <c r="A97" t="s">
        <v>524</v>
      </c>
      <c r="B97" t="s">
        <v>511</v>
      </c>
      <c r="C97" t="s">
        <v>525</v>
      </c>
      <c r="D97" t="s">
        <v>1700</v>
      </c>
      <c r="E97" t="s">
        <v>1701</v>
      </c>
      <c r="F97" t="s">
        <v>1702</v>
      </c>
      <c r="G97" t="s">
        <v>1700</v>
      </c>
    </row>
    <row r="98" spans="1:7">
      <c r="A98" t="s">
        <v>528</v>
      </c>
      <c r="B98" t="s">
        <v>511</v>
      </c>
      <c r="C98" t="s">
        <v>530</v>
      </c>
      <c r="D98" t="s">
        <v>1700</v>
      </c>
      <c r="E98" t="s">
        <v>1701</v>
      </c>
      <c r="F98" t="s">
        <v>1702</v>
      </c>
      <c r="G98" t="s">
        <v>1700</v>
      </c>
    </row>
    <row r="99" spans="1:7">
      <c r="A99" t="s">
        <v>533</v>
      </c>
      <c r="B99" t="s">
        <v>535</v>
      </c>
      <c r="C99" t="s">
        <v>536</v>
      </c>
      <c r="D99" t="s">
        <v>1700</v>
      </c>
      <c r="E99" t="s">
        <v>1701</v>
      </c>
      <c r="F99" t="s">
        <v>1702</v>
      </c>
      <c r="G99" t="s">
        <v>1700</v>
      </c>
    </row>
    <row r="100" spans="1:7">
      <c r="A100" t="s">
        <v>539</v>
      </c>
      <c r="B100" t="s">
        <v>541</v>
      </c>
      <c r="C100" t="s">
        <v>542</v>
      </c>
      <c r="D100" t="s">
        <v>1700</v>
      </c>
      <c r="E100" t="s">
        <v>1701</v>
      </c>
      <c r="F100" t="s">
        <v>1702</v>
      </c>
      <c r="G100" t="s">
        <v>1700</v>
      </c>
    </row>
    <row r="101" spans="1:7">
      <c r="A101" t="s">
        <v>545</v>
      </c>
      <c r="B101" t="s">
        <v>547</v>
      </c>
      <c r="C101" t="s">
        <v>548</v>
      </c>
      <c r="D101" t="s">
        <v>1700</v>
      </c>
      <c r="E101" t="s">
        <v>1701</v>
      </c>
      <c r="F101" t="s">
        <v>1702</v>
      </c>
      <c r="G101" t="s">
        <v>1700</v>
      </c>
    </row>
    <row r="102" spans="1:7">
      <c r="A102" t="s">
        <v>551</v>
      </c>
      <c r="B102" t="s">
        <v>552</v>
      </c>
      <c r="C102" t="s">
        <v>554</v>
      </c>
      <c r="D102" t="s">
        <v>1700</v>
      </c>
      <c r="E102" t="s">
        <v>1701</v>
      </c>
      <c r="F102" t="s">
        <v>1702</v>
      </c>
      <c r="G102" t="s">
        <v>1700</v>
      </c>
    </row>
    <row r="103" spans="1:7">
      <c r="A103" t="s">
        <v>557</v>
      </c>
      <c r="B103" t="s">
        <v>552</v>
      </c>
      <c r="C103" t="s">
        <v>559</v>
      </c>
      <c r="D103" t="s">
        <v>1700</v>
      </c>
      <c r="E103" t="s">
        <v>1701</v>
      </c>
      <c r="F103" t="s">
        <v>1702</v>
      </c>
      <c r="G103" t="s">
        <v>1700</v>
      </c>
    </row>
    <row r="104" spans="1:7">
      <c r="A104" t="s">
        <v>562</v>
      </c>
      <c r="B104" t="s">
        <v>552</v>
      </c>
      <c r="C104" t="s">
        <v>564</v>
      </c>
      <c r="D104" t="s">
        <v>1700</v>
      </c>
      <c r="E104" t="s">
        <v>1701</v>
      </c>
      <c r="F104" t="s">
        <v>1702</v>
      </c>
      <c r="G104" t="s">
        <v>1700</v>
      </c>
    </row>
    <row r="105" spans="1:7">
      <c r="A105" t="s">
        <v>567</v>
      </c>
      <c r="B105" t="s">
        <v>552</v>
      </c>
      <c r="C105" t="s">
        <v>569</v>
      </c>
      <c r="D105" t="s">
        <v>1700</v>
      </c>
      <c r="E105" t="s">
        <v>1701</v>
      </c>
      <c r="F105" t="s">
        <v>1702</v>
      </c>
      <c r="G105" t="s">
        <v>1700</v>
      </c>
    </row>
    <row r="106" spans="1:7">
      <c r="A106" t="s">
        <v>572</v>
      </c>
      <c r="B106" t="s">
        <v>552</v>
      </c>
      <c r="C106" t="s">
        <v>574</v>
      </c>
      <c r="D106" t="s">
        <v>1700</v>
      </c>
      <c r="E106" t="s">
        <v>1701</v>
      </c>
      <c r="F106" t="s">
        <v>1702</v>
      </c>
      <c r="G106" t="s">
        <v>1700</v>
      </c>
    </row>
    <row r="107" spans="1:7">
      <c r="A107" t="s">
        <v>577</v>
      </c>
      <c r="B107" t="s">
        <v>582</v>
      </c>
      <c r="C107" t="s">
        <v>583</v>
      </c>
      <c r="D107" t="s">
        <v>1700</v>
      </c>
      <c r="E107" t="s">
        <v>1701</v>
      </c>
      <c r="F107" t="s">
        <v>1702</v>
      </c>
      <c r="G107" t="s">
        <v>1700</v>
      </c>
    </row>
    <row r="108" spans="1:7">
      <c r="A108" t="s">
        <v>586</v>
      </c>
      <c r="B108" t="s">
        <v>582</v>
      </c>
      <c r="C108" t="s">
        <v>588</v>
      </c>
      <c r="D108" t="s">
        <v>1700</v>
      </c>
      <c r="E108" t="s">
        <v>1701</v>
      </c>
      <c r="F108" t="s">
        <v>1702</v>
      </c>
      <c r="G108" t="s">
        <v>1700</v>
      </c>
    </row>
    <row r="109" spans="1:7">
      <c r="A109" t="s">
        <v>591</v>
      </c>
      <c r="B109" t="s">
        <v>582</v>
      </c>
      <c r="C109" t="s">
        <v>592</v>
      </c>
      <c r="D109" t="s">
        <v>1700</v>
      </c>
      <c r="E109" t="s">
        <v>1701</v>
      </c>
      <c r="F109" t="s">
        <v>1702</v>
      </c>
      <c r="G109" t="s">
        <v>1700</v>
      </c>
    </row>
    <row r="110" spans="1:7">
      <c r="A110" t="s">
        <v>595</v>
      </c>
      <c r="B110" t="s">
        <v>582</v>
      </c>
      <c r="C110" t="s">
        <v>597</v>
      </c>
      <c r="D110" t="s">
        <v>1700</v>
      </c>
      <c r="E110" t="s">
        <v>1701</v>
      </c>
      <c r="F110" t="s">
        <v>1702</v>
      </c>
      <c r="G110" t="s">
        <v>1700</v>
      </c>
    </row>
    <row r="111" spans="1:7">
      <c r="A111" t="s">
        <v>600</v>
      </c>
      <c r="B111" t="s">
        <v>582</v>
      </c>
      <c r="C111" t="s">
        <v>601</v>
      </c>
      <c r="D111" t="s">
        <v>1700</v>
      </c>
      <c r="E111" t="s">
        <v>1701</v>
      </c>
      <c r="F111" t="s">
        <v>1702</v>
      </c>
      <c r="G111" t="s">
        <v>1700</v>
      </c>
    </row>
    <row r="112" spans="1:7">
      <c r="A112" t="s">
        <v>604</v>
      </c>
      <c r="B112" t="s">
        <v>582</v>
      </c>
      <c r="C112" t="s">
        <v>606</v>
      </c>
      <c r="D112" t="s">
        <v>1700</v>
      </c>
      <c r="E112" t="s">
        <v>1701</v>
      </c>
      <c r="F112" t="s">
        <v>1702</v>
      </c>
      <c r="G112" t="s">
        <v>1700</v>
      </c>
    </row>
    <row r="113" spans="1:7">
      <c r="A113" t="s">
        <v>609</v>
      </c>
      <c r="B113" t="s">
        <v>582</v>
      </c>
      <c r="C113" t="s">
        <v>611</v>
      </c>
      <c r="D113" t="s">
        <v>1700</v>
      </c>
      <c r="E113" t="s">
        <v>1701</v>
      </c>
      <c r="F113" t="s">
        <v>1702</v>
      </c>
      <c r="G113" t="s">
        <v>1700</v>
      </c>
    </row>
    <row r="114" spans="1:7">
      <c r="A114" t="s">
        <v>614</v>
      </c>
      <c r="B114" t="s">
        <v>582</v>
      </c>
      <c r="C114" t="s">
        <v>616</v>
      </c>
      <c r="D114" t="s">
        <v>1700</v>
      </c>
      <c r="E114" t="s">
        <v>1701</v>
      </c>
      <c r="F114" t="s">
        <v>1702</v>
      </c>
      <c r="G114" t="s">
        <v>1700</v>
      </c>
    </row>
    <row r="115" spans="1:7">
      <c r="A115" t="s">
        <v>619</v>
      </c>
      <c r="B115" t="s">
        <v>582</v>
      </c>
      <c r="C115" t="s">
        <v>621</v>
      </c>
      <c r="D115" t="s">
        <v>1700</v>
      </c>
      <c r="E115" t="s">
        <v>1701</v>
      </c>
      <c r="F115" t="s">
        <v>1702</v>
      </c>
      <c r="G115" t="s">
        <v>1700</v>
      </c>
    </row>
    <row r="116" spans="1:7">
      <c r="A116" t="s">
        <v>624</v>
      </c>
      <c r="B116" t="s">
        <v>582</v>
      </c>
      <c r="C116" t="s">
        <v>626</v>
      </c>
      <c r="D116" t="s">
        <v>1700</v>
      </c>
      <c r="E116" t="s">
        <v>1701</v>
      </c>
      <c r="F116" t="s">
        <v>1702</v>
      </c>
      <c r="G116" t="s">
        <v>1700</v>
      </c>
    </row>
    <row r="117" spans="1:7">
      <c r="A117" t="s">
        <v>629</v>
      </c>
      <c r="B117" t="s">
        <v>582</v>
      </c>
      <c r="C117" t="s">
        <v>631</v>
      </c>
      <c r="D117" t="s">
        <v>1700</v>
      </c>
      <c r="E117" t="s">
        <v>1701</v>
      </c>
      <c r="F117" t="s">
        <v>1702</v>
      </c>
      <c r="G117" t="s">
        <v>1700</v>
      </c>
    </row>
    <row r="118" spans="1:7">
      <c r="A118" t="s">
        <v>634</v>
      </c>
      <c r="B118" t="s">
        <v>582</v>
      </c>
      <c r="C118" t="s">
        <v>636</v>
      </c>
      <c r="D118" t="s">
        <v>1700</v>
      </c>
      <c r="E118" t="s">
        <v>1701</v>
      </c>
      <c r="F118" t="s">
        <v>1702</v>
      </c>
      <c r="G118" t="s">
        <v>1700</v>
      </c>
    </row>
    <row r="119" spans="1:7">
      <c r="A119" t="s">
        <v>639</v>
      </c>
      <c r="B119" t="s">
        <v>582</v>
      </c>
      <c r="C119" t="s">
        <v>641</v>
      </c>
      <c r="D119" t="s">
        <v>1700</v>
      </c>
      <c r="E119" t="s">
        <v>1701</v>
      </c>
      <c r="F119" t="s">
        <v>1702</v>
      </c>
      <c r="G119" t="s">
        <v>1700</v>
      </c>
    </row>
    <row r="120" spans="1:7">
      <c r="A120" t="s">
        <v>644</v>
      </c>
      <c r="B120" t="s">
        <v>582</v>
      </c>
      <c r="C120" t="s">
        <v>646</v>
      </c>
      <c r="D120" t="s">
        <v>1700</v>
      </c>
      <c r="E120" t="s">
        <v>1701</v>
      </c>
      <c r="F120" t="s">
        <v>1702</v>
      </c>
      <c r="G120" t="s">
        <v>1700</v>
      </c>
    </row>
    <row r="121" spans="1:7">
      <c r="A121" t="s">
        <v>649</v>
      </c>
      <c r="B121" t="s">
        <v>650</v>
      </c>
      <c r="C121" t="s">
        <v>651</v>
      </c>
      <c r="D121" t="s">
        <v>1700</v>
      </c>
      <c r="E121" t="s">
        <v>1701</v>
      </c>
      <c r="F121" t="s">
        <v>1702</v>
      </c>
      <c r="G121" t="s">
        <v>1700</v>
      </c>
    </row>
    <row r="122" spans="1:7">
      <c r="A122" t="s">
        <v>654</v>
      </c>
      <c r="B122" t="s">
        <v>650</v>
      </c>
      <c r="C122" t="s">
        <v>655</v>
      </c>
      <c r="D122" t="s">
        <v>1700</v>
      </c>
      <c r="E122" t="s">
        <v>1701</v>
      </c>
      <c r="F122" t="s">
        <v>1702</v>
      </c>
      <c r="G122" t="s">
        <v>1700</v>
      </c>
    </row>
    <row r="123" spans="1:7">
      <c r="A123" t="s">
        <v>658</v>
      </c>
      <c r="B123" t="s">
        <v>650</v>
      </c>
      <c r="C123" t="s">
        <v>659</v>
      </c>
      <c r="D123" t="s">
        <v>1700</v>
      </c>
      <c r="E123" t="s">
        <v>1701</v>
      </c>
      <c r="F123" t="s">
        <v>1702</v>
      </c>
      <c r="G123" t="s">
        <v>1700</v>
      </c>
    </row>
    <row r="124" spans="1:7">
      <c r="A124" t="s">
        <v>662</v>
      </c>
      <c r="B124" t="s">
        <v>650</v>
      </c>
      <c r="C124" t="s">
        <v>664</v>
      </c>
      <c r="D124" t="s">
        <v>1700</v>
      </c>
      <c r="E124" t="s">
        <v>1701</v>
      </c>
      <c r="F124" t="s">
        <v>1702</v>
      </c>
      <c r="G124" t="s">
        <v>1700</v>
      </c>
    </row>
    <row r="125" spans="1:7">
      <c r="A125" t="s">
        <v>667</v>
      </c>
      <c r="B125" t="s">
        <v>650</v>
      </c>
      <c r="C125" t="s">
        <v>669</v>
      </c>
      <c r="D125" t="s">
        <v>1700</v>
      </c>
      <c r="E125" t="s">
        <v>1701</v>
      </c>
      <c r="F125" t="s">
        <v>1702</v>
      </c>
      <c r="G125" t="s">
        <v>1700</v>
      </c>
    </row>
    <row r="126" spans="1:7">
      <c r="A126" t="s">
        <v>672</v>
      </c>
      <c r="B126" t="s">
        <v>650</v>
      </c>
      <c r="C126" t="s">
        <v>674</v>
      </c>
      <c r="D126" t="s">
        <v>1700</v>
      </c>
      <c r="E126" t="s">
        <v>1701</v>
      </c>
      <c r="F126" t="s">
        <v>1702</v>
      </c>
      <c r="G126" t="s">
        <v>1700</v>
      </c>
    </row>
    <row r="127" spans="1:7">
      <c r="A127" t="s">
        <v>677</v>
      </c>
      <c r="B127" t="s">
        <v>650</v>
      </c>
      <c r="C127" t="s">
        <v>678</v>
      </c>
      <c r="D127" t="s">
        <v>1700</v>
      </c>
      <c r="E127" t="s">
        <v>1701</v>
      </c>
      <c r="F127" t="s">
        <v>1702</v>
      </c>
      <c r="G127" t="s">
        <v>1700</v>
      </c>
    </row>
    <row r="128" spans="1:7">
      <c r="A128" t="s">
        <v>681</v>
      </c>
      <c r="B128" t="s">
        <v>650</v>
      </c>
      <c r="C128" t="s">
        <v>683</v>
      </c>
      <c r="D128" t="s">
        <v>1700</v>
      </c>
      <c r="E128" t="s">
        <v>1701</v>
      </c>
      <c r="F128" t="s">
        <v>1702</v>
      </c>
      <c r="G128" t="s">
        <v>1700</v>
      </c>
    </row>
    <row r="129" spans="1:7">
      <c r="A129" t="s">
        <v>686</v>
      </c>
      <c r="B129" t="s">
        <v>689</v>
      </c>
      <c r="C129" t="s">
        <v>690</v>
      </c>
      <c r="D129" t="s">
        <v>1700</v>
      </c>
      <c r="E129" t="s">
        <v>1701</v>
      </c>
      <c r="F129" t="s">
        <v>1702</v>
      </c>
      <c r="G129" t="s">
        <v>1700</v>
      </c>
    </row>
    <row r="130" spans="1:7">
      <c r="A130" t="s">
        <v>693</v>
      </c>
      <c r="B130" t="s">
        <v>689</v>
      </c>
      <c r="C130" t="s">
        <v>695</v>
      </c>
      <c r="D130" t="s">
        <v>1700</v>
      </c>
      <c r="E130" t="s">
        <v>1701</v>
      </c>
      <c r="F130" t="s">
        <v>1702</v>
      </c>
      <c r="G130" t="s">
        <v>1700</v>
      </c>
    </row>
    <row r="131" spans="1:7">
      <c r="A131" t="s">
        <v>698</v>
      </c>
      <c r="B131" t="s">
        <v>689</v>
      </c>
      <c r="C131" t="s">
        <v>700</v>
      </c>
      <c r="D131" t="s">
        <v>1700</v>
      </c>
      <c r="E131" t="s">
        <v>1701</v>
      </c>
      <c r="F131" t="s">
        <v>1702</v>
      </c>
      <c r="G131" t="s">
        <v>1700</v>
      </c>
    </row>
    <row r="132" spans="1:7">
      <c r="A132" t="s">
        <v>703</v>
      </c>
      <c r="B132" t="s">
        <v>689</v>
      </c>
      <c r="C132" t="s">
        <v>705</v>
      </c>
      <c r="D132" t="s">
        <v>1700</v>
      </c>
      <c r="E132" t="s">
        <v>1701</v>
      </c>
      <c r="F132" t="s">
        <v>1702</v>
      </c>
      <c r="G132" t="s">
        <v>1700</v>
      </c>
    </row>
    <row r="133" spans="1:7">
      <c r="A133" t="s">
        <v>708</v>
      </c>
      <c r="B133" t="s">
        <v>689</v>
      </c>
      <c r="C133" t="s">
        <v>710</v>
      </c>
      <c r="D133" t="s">
        <v>1700</v>
      </c>
      <c r="E133" t="s">
        <v>1701</v>
      </c>
      <c r="F133" t="s">
        <v>1702</v>
      </c>
      <c r="G133" t="s">
        <v>1700</v>
      </c>
    </row>
    <row r="134" spans="1:7">
      <c r="A134" t="s">
        <v>713</v>
      </c>
      <c r="B134" t="s">
        <v>716</v>
      </c>
      <c r="C134" t="s">
        <v>717</v>
      </c>
      <c r="D134" t="s">
        <v>1704</v>
      </c>
      <c r="E134" t="s">
        <v>1705</v>
      </c>
      <c r="F134" t="s">
        <v>1706</v>
      </c>
      <c r="G134" t="s">
        <v>1700</v>
      </c>
    </row>
    <row r="135" spans="1:7">
      <c r="A135" t="s">
        <v>720</v>
      </c>
      <c r="B135" t="s">
        <v>721</v>
      </c>
      <c r="C135" t="s">
        <v>722</v>
      </c>
      <c r="D135" t="s">
        <v>1704</v>
      </c>
      <c r="E135" t="s">
        <v>1705</v>
      </c>
      <c r="F135" t="s">
        <v>1706</v>
      </c>
      <c r="G135" t="s">
        <v>1700</v>
      </c>
    </row>
    <row r="136" spans="1:7">
      <c r="A136" t="s">
        <v>725</v>
      </c>
      <c r="B136" t="s">
        <v>726</v>
      </c>
      <c r="C136" t="s">
        <v>727</v>
      </c>
      <c r="D136" t="s">
        <v>1704</v>
      </c>
      <c r="E136" t="s">
        <v>1705</v>
      </c>
      <c r="F136" t="s">
        <v>1706</v>
      </c>
      <c r="G136" t="s">
        <v>1700</v>
      </c>
    </row>
    <row r="137" spans="1:7">
      <c r="A137" t="s">
        <v>730</v>
      </c>
      <c r="B137" t="s">
        <v>732</v>
      </c>
      <c r="C137" t="s">
        <v>734</v>
      </c>
      <c r="D137" t="s">
        <v>1700</v>
      </c>
      <c r="E137" t="s">
        <v>1701</v>
      </c>
      <c r="F137" t="s">
        <v>1702</v>
      </c>
      <c r="G137" t="s">
        <v>1700</v>
      </c>
    </row>
    <row r="138" spans="1:7">
      <c r="A138" t="s">
        <v>738</v>
      </c>
      <c r="B138" t="s">
        <v>739</v>
      </c>
      <c r="C138" t="s">
        <v>741</v>
      </c>
      <c r="D138" t="s">
        <v>1704</v>
      </c>
      <c r="E138" t="s">
        <v>1707</v>
      </c>
      <c r="F138" t="s">
        <v>1708</v>
      </c>
      <c r="G138" t="s">
        <v>1700</v>
      </c>
    </row>
    <row r="139" spans="1:7">
      <c r="A139" t="s">
        <v>744</v>
      </c>
      <c r="B139" t="s">
        <v>1709</v>
      </c>
      <c r="C139" t="s">
        <v>745</v>
      </c>
      <c r="D139" t="s">
        <v>1700</v>
      </c>
      <c r="E139" t="s">
        <v>1701</v>
      </c>
      <c r="F139" t="s">
        <v>1702</v>
      </c>
      <c r="G139" t="s">
        <v>1700</v>
      </c>
    </row>
    <row r="140" spans="1:7">
      <c r="A140" t="s">
        <v>748</v>
      </c>
      <c r="B140" t="s">
        <v>749</v>
      </c>
      <c r="C140" t="s">
        <v>750</v>
      </c>
      <c r="D140" t="s">
        <v>1700</v>
      </c>
      <c r="E140" t="s">
        <v>1701</v>
      </c>
      <c r="F140" t="s">
        <v>1702</v>
      </c>
      <c r="G140" t="s">
        <v>1700</v>
      </c>
    </row>
    <row r="141" spans="1:7">
      <c r="A141" t="s">
        <v>753</v>
      </c>
      <c r="B141" t="s">
        <v>754</v>
      </c>
      <c r="C141" t="s">
        <v>755</v>
      </c>
      <c r="D141" t="s">
        <v>1700</v>
      </c>
      <c r="E141" t="s">
        <v>1701</v>
      </c>
      <c r="F141" t="s">
        <v>1702</v>
      </c>
      <c r="G141" t="s">
        <v>1700</v>
      </c>
    </row>
    <row r="142" spans="1:7">
      <c r="A142" t="s">
        <v>758</v>
      </c>
      <c r="B142" t="s">
        <v>759</v>
      </c>
      <c r="C142" t="s">
        <v>760</v>
      </c>
      <c r="D142" t="s">
        <v>1704</v>
      </c>
      <c r="E142" t="s">
        <v>1707</v>
      </c>
      <c r="F142" t="s">
        <v>1708</v>
      </c>
      <c r="G142" t="s">
        <v>1700</v>
      </c>
    </row>
    <row r="143" spans="1:7">
      <c r="A143" t="s">
        <v>763</v>
      </c>
      <c r="B143" t="s">
        <v>764</v>
      </c>
      <c r="C143" t="s">
        <v>765</v>
      </c>
      <c r="D143" t="s">
        <v>1700</v>
      </c>
      <c r="E143" t="s">
        <v>1701</v>
      </c>
      <c r="F143" t="s">
        <v>1702</v>
      </c>
      <c r="G143" t="s">
        <v>1700</v>
      </c>
    </row>
    <row r="144" spans="1:7">
      <c r="A144" t="s">
        <v>768</v>
      </c>
      <c r="B144" t="s">
        <v>769</v>
      </c>
      <c r="C144" t="s">
        <v>770</v>
      </c>
      <c r="D144" t="s">
        <v>1704</v>
      </c>
      <c r="E144" t="s">
        <v>1707</v>
      </c>
      <c r="F144" t="s">
        <v>1708</v>
      </c>
      <c r="G144" t="s">
        <v>1700</v>
      </c>
    </row>
    <row r="145" spans="1:7">
      <c r="A145" t="s">
        <v>773</v>
      </c>
      <c r="B145" t="s">
        <v>774</v>
      </c>
      <c r="C145" t="s">
        <v>775</v>
      </c>
      <c r="D145" t="s">
        <v>1700</v>
      </c>
      <c r="E145" t="s">
        <v>1701</v>
      </c>
      <c r="F145" t="s">
        <v>1702</v>
      </c>
      <c r="G145" t="s">
        <v>1700</v>
      </c>
    </row>
    <row r="146" spans="1:7">
      <c r="A146" t="s">
        <v>778</v>
      </c>
      <c r="B146" t="s">
        <v>779</v>
      </c>
      <c r="C146" t="s">
        <v>780</v>
      </c>
      <c r="D146" t="s">
        <v>1704</v>
      </c>
      <c r="E146" t="s">
        <v>1707</v>
      </c>
      <c r="F146" t="s">
        <v>1708</v>
      </c>
      <c r="G146" t="s">
        <v>1700</v>
      </c>
    </row>
    <row r="147" spans="1:7">
      <c r="A147" t="s">
        <v>783</v>
      </c>
      <c r="B147" t="s">
        <v>784</v>
      </c>
      <c r="C147" t="s">
        <v>785</v>
      </c>
      <c r="D147" t="s">
        <v>1700</v>
      </c>
      <c r="E147" t="s">
        <v>1701</v>
      </c>
      <c r="F147" t="s">
        <v>1702</v>
      </c>
      <c r="G147" t="s">
        <v>1700</v>
      </c>
    </row>
    <row r="148" spans="1:7">
      <c r="A148" t="s">
        <v>788</v>
      </c>
      <c r="B148" t="s">
        <v>789</v>
      </c>
      <c r="C148" t="s">
        <v>790</v>
      </c>
      <c r="D148" t="s">
        <v>1704</v>
      </c>
      <c r="E148" t="s">
        <v>1707</v>
      </c>
      <c r="F148" t="s">
        <v>1708</v>
      </c>
      <c r="G148" t="s">
        <v>1700</v>
      </c>
    </row>
    <row r="149" spans="1:7">
      <c r="A149" t="s">
        <v>793</v>
      </c>
      <c r="B149" t="s">
        <v>798</v>
      </c>
      <c r="C149" t="s">
        <v>799</v>
      </c>
      <c r="D149" t="s">
        <v>1700</v>
      </c>
      <c r="E149" t="s">
        <v>1701</v>
      </c>
      <c r="F149" t="s">
        <v>1702</v>
      </c>
      <c r="G149" t="s">
        <v>1700</v>
      </c>
    </row>
    <row r="150" spans="1:7">
      <c r="A150" t="s">
        <v>802</v>
      </c>
      <c r="B150" t="s">
        <v>804</v>
      </c>
      <c r="C150" t="s">
        <v>805</v>
      </c>
      <c r="D150" t="s">
        <v>1700</v>
      </c>
      <c r="E150" t="s">
        <v>1701</v>
      </c>
      <c r="F150" t="s">
        <v>1702</v>
      </c>
      <c r="G150" t="s">
        <v>1700</v>
      </c>
    </row>
    <row r="151" spans="1:7">
      <c r="A151" t="s">
        <v>808</v>
      </c>
      <c r="B151" t="s">
        <v>810</v>
      </c>
      <c r="C151" t="s">
        <v>812</v>
      </c>
      <c r="D151" t="s">
        <v>1704</v>
      </c>
      <c r="E151" t="s">
        <v>1707</v>
      </c>
      <c r="F151" t="s">
        <v>1708</v>
      </c>
      <c r="G151" t="s">
        <v>1700</v>
      </c>
    </row>
    <row r="152" spans="1:7">
      <c r="A152" t="s">
        <v>815</v>
      </c>
      <c r="B152" t="s">
        <v>798</v>
      </c>
      <c r="C152" t="s">
        <v>818</v>
      </c>
      <c r="D152" t="s">
        <v>1700</v>
      </c>
      <c r="E152" t="s">
        <v>1701</v>
      </c>
      <c r="F152" t="s">
        <v>1702</v>
      </c>
      <c r="G152" t="s">
        <v>1700</v>
      </c>
    </row>
    <row r="153" spans="1:7">
      <c r="A153" t="s">
        <v>821</v>
      </c>
      <c r="B153" t="s">
        <v>804</v>
      </c>
      <c r="C153" t="s">
        <v>822</v>
      </c>
      <c r="D153" t="s">
        <v>1700</v>
      </c>
      <c r="E153" t="s">
        <v>1701</v>
      </c>
      <c r="F153" t="s">
        <v>1702</v>
      </c>
      <c r="G153" t="s">
        <v>1700</v>
      </c>
    </row>
    <row r="154" spans="1:7">
      <c r="A154" t="s">
        <v>825</v>
      </c>
      <c r="B154" t="s">
        <v>810</v>
      </c>
      <c r="C154" t="s">
        <v>826</v>
      </c>
      <c r="D154" t="s">
        <v>1704</v>
      </c>
      <c r="E154" t="s">
        <v>1707</v>
      </c>
      <c r="F154" t="s">
        <v>1708</v>
      </c>
      <c r="G154" t="s">
        <v>1700</v>
      </c>
    </row>
    <row r="155" spans="1:7">
      <c r="A155" t="s">
        <v>829</v>
      </c>
      <c r="B155" t="s">
        <v>798</v>
      </c>
      <c r="C155" t="s">
        <v>832</v>
      </c>
      <c r="D155" t="s">
        <v>1700</v>
      </c>
      <c r="E155" t="s">
        <v>1701</v>
      </c>
      <c r="F155" t="s">
        <v>1702</v>
      </c>
      <c r="G155" t="s">
        <v>1700</v>
      </c>
    </row>
    <row r="156" spans="1:7">
      <c r="A156" t="s">
        <v>835</v>
      </c>
      <c r="B156" t="s">
        <v>804</v>
      </c>
      <c r="C156" t="s">
        <v>836</v>
      </c>
      <c r="D156" t="s">
        <v>1700</v>
      </c>
      <c r="E156" t="s">
        <v>1701</v>
      </c>
      <c r="F156" t="s">
        <v>1702</v>
      </c>
      <c r="G156" t="s">
        <v>1700</v>
      </c>
    </row>
    <row r="157" spans="1:7">
      <c r="A157" t="s">
        <v>839</v>
      </c>
      <c r="B157" t="s">
        <v>810</v>
      </c>
      <c r="C157" t="s">
        <v>840</v>
      </c>
      <c r="D157" t="s">
        <v>1704</v>
      </c>
      <c r="E157" t="s">
        <v>1707</v>
      </c>
      <c r="F157" t="s">
        <v>1708</v>
      </c>
      <c r="G157" t="s">
        <v>1700</v>
      </c>
    </row>
    <row r="158" spans="1:7">
      <c r="A158" t="s">
        <v>843</v>
      </c>
      <c r="B158" t="s">
        <v>798</v>
      </c>
      <c r="C158" t="s">
        <v>845</v>
      </c>
      <c r="D158" t="s">
        <v>1700</v>
      </c>
      <c r="E158" t="s">
        <v>1701</v>
      </c>
      <c r="F158" t="s">
        <v>1702</v>
      </c>
      <c r="G158" t="s">
        <v>1700</v>
      </c>
    </row>
    <row r="159" spans="1:7">
      <c r="A159" t="s">
        <v>848</v>
      </c>
      <c r="B159" t="s">
        <v>804</v>
      </c>
      <c r="C159" t="s">
        <v>849</v>
      </c>
      <c r="D159" t="s">
        <v>1700</v>
      </c>
      <c r="E159" t="s">
        <v>1701</v>
      </c>
      <c r="F159" t="s">
        <v>1702</v>
      </c>
      <c r="G159" t="s">
        <v>1700</v>
      </c>
    </row>
    <row r="160" spans="1:7">
      <c r="A160" t="s">
        <v>852</v>
      </c>
      <c r="B160" t="s">
        <v>810</v>
      </c>
      <c r="C160" t="s">
        <v>853</v>
      </c>
      <c r="D160" t="s">
        <v>1704</v>
      </c>
      <c r="E160" t="s">
        <v>1707</v>
      </c>
      <c r="F160" t="s">
        <v>1708</v>
      </c>
      <c r="G160" t="s">
        <v>1700</v>
      </c>
    </row>
    <row r="161" spans="1:7">
      <c r="A161" t="s">
        <v>856</v>
      </c>
      <c r="B161" t="s">
        <v>860</v>
      </c>
      <c r="C161" t="s">
        <v>862</v>
      </c>
      <c r="D161" t="s">
        <v>1700</v>
      </c>
      <c r="E161" t="s">
        <v>1701</v>
      </c>
      <c r="F161" t="s">
        <v>1702</v>
      </c>
      <c r="G161" t="s">
        <v>1700</v>
      </c>
    </row>
    <row r="162" spans="1:7">
      <c r="A162" t="s">
        <v>865</v>
      </c>
      <c r="B162" t="s">
        <v>867</v>
      </c>
      <c r="C162" t="s">
        <v>869</v>
      </c>
      <c r="D162" t="s">
        <v>1700</v>
      </c>
      <c r="E162" t="s">
        <v>1701</v>
      </c>
      <c r="F162" t="s">
        <v>1702</v>
      </c>
      <c r="G162" t="s">
        <v>1700</v>
      </c>
    </row>
    <row r="163" spans="1:7">
      <c r="A163" t="s">
        <v>872</v>
      </c>
      <c r="B163" t="s">
        <v>874</v>
      </c>
      <c r="C163" t="s">
        <v>876</v>
      </c>
      <c r="D163" t="s">
        <v>1700</v>
      </c>
      <c r="E163" t="s">
        <v>1701</v>
      </c>
      <c r="F163" t="s">
        <v>1702</v>
      </c>
      <c r="G163" t="s">
        <v>1700</v>
      </c>
    </row>
    <row r="164" spans="1:7">
      <c r="A164" t="s">
        <v>879</v>
      </c>
      <c r="B164" t="s">
        <v>880</v>
      </c>
      <c r="C164" t="s">
        <v>881</v>
      </c>
      <c r="D164" t="s">
        <v>1700</v>
      </c>
      <c r="E164" t="s">
        <v>1701</v>
      </c>
      <c r="F164" t="s">
        <v>1702</v>
      </c>
      <c r="G164" t="s">
        <v>1700</v>
      </c>
    </row>
    <row r="165" spans="1:7">
      <c r="A165" t="s">
        <v>884</v>
      </c>
      <c r="B165" t="s">
        <v>885</v>
      </c>
      <c r="C165" t="s">
        <v>886</v>
      </c>
      <c r="D165" t="s">
        <v>1700</v>
      </c>
      <c r="E165" t="s">
        <v>1701</v>
      </c>
      <c r="F165" t="s">
        <v>1702</v>
      </c>
      <c r="G165" t="s">
        <v>1700</v>
      </c>
    </row>
    <row r="166" spans="1:7">
      <c r="A166" t="s">
        <v>889</v>
      </c>
      <c r="B166" t="s">
        <v>890</v>
      </c>
      <c r="C166" t="s">
        <v>891</v>
      </c>
      <c r="D166" t="s">
        <v>1700</v>
      </c>
      <c r="E166" t="s">
        <v>1701</v>
      </c>
      <c r="F166" t="s">
        <v>1702</v>
      </c>
      <c r="G166" t="s">
        <v>1700</v>
      </c>
    </row>
    <row r="167" spans="1:7">
      <c r="A167" t="s">
        <v>894</v>
      </c>
      <c r="B167" t="s">
        <v>895</v>
      </c>
      <c r="C167" t="s">
        <v>896</v>
      </c>
      <c r="D167" t="s">
        <v>1700</v>
      </c>
      <c r="E167" t="s">
        <v>1701</v>
      </c>
      <c r="F167" t="s">
        <v>1702</v>
      </c>
      <c r="G167" t="s">
        <v>1700</v>
      </c>
    </row>
    <row r="168" spans="1:7">
      <c r="A168" t="s">
        <v>899</v>
      </c>
      <c r="B168" t="s">
        <v>902</v>
      </c>
      <c r="C168" t="s">
        <v>903</v>
      </c>
      <c r="D168" t="s">
        <v>1700</v>
      </c>
      <c r="E168" t="s">
        <v>1701</v>
      </c>
      <c r="F168" t="s">
        <v>1702</v>
      </c>
      <c r="G168" t="s">
        <v>1700</v>
      </c>
    </row>
    <row r="169" spans="1:7">
      <c r="A169" t="s">
        <v>906</v>
      </c>
      <c r="B169" t="s">
        <v>907</v>
      </c>
      <c r="C169" t="s">
        <v>908</v>
      </c>
      <c r="D169" t="s">
        <v>1700</v>
      </c>
      <c r="E169" t="s">
        <v>1701</v>
      </c>
      <c r="F169" t="s">
        <v>1702</v>
      </c>
      <c r="G169" t="s">
        <v>1700</v>
      </c>
    </row>
    <row r="170" spans="1:7">
      <c r="A170" t="s">
        <v>911</v>
      </c>
      <c r="B170" t="s">
        <v>912</v>
      </c>
      <c r="C170" t="s">
        <v>913</v>
      </c>
      <c r="D170" t="s">
        <v>1700</v>
      </c>
      <c r="E170" t="s">
        <v>1701</v>
      </c>
      <c r="F170" t="s">
        <v>1702</v>
      </c>
      <c r="G170" t="s">
        <v>1700</v>
      </c>
    </row>
    <row r="171" spans="1:7">
      <c r="A171" t="s">
        <v>916</v>
      </c>
      <c r="B171" t="s">
        <v>917</v>
      </c>
      <c r="C171" t="s">
        <v>918</v>
      </c>
      <c r="D171" t="s">
        <v>1700</v>
      </c>
      <c r="E171" t="s">
        <v>1701</v>
      </c>
      <c r="F171" t="s">
        <v>1702</v>
      </c>
      <c r="G171" t="s">
        <v>1700</v>
      </c>
    </row>
    <row r="172" spans="1:7">
      <c r="A172" t="s">
        <v>921</v>
      </c>
      <c r="B172" t="s">
        <v>922</v>
      </c>
      <c r="C172" t="s">
        <v>923</v>
      </c>
      <c r="D172" t="s">
        <v>1700</v>
      </c>
      <c r="E172" t="s">
        <v>1701</v>
      </c>
      <c r="F172" t="s">
        <v>1702</v>
      </c>
      <c r="G172" t="s">
        <v>1700</v>
      </c>
    </row>
    <row r="173" spans="1:7">
      <c r="A173" t="s">
        <v>926</v>
      </c>
      <c r="B173" t="s">
        <v>927</v>
      </c>
      <c r="C173" t="s">
        <v>928</v>
      </c>
      <c r="D173" t="s">
        <v>1700</v>
      </c>
      <c r="E173" t="s">
        <v>1701</v>
      </c>
      <c r="F173" t="s">
        <v>1702</v>
      </c>
      <c r="G173" t="s">
        <v>1700</v>
      </c>
    </row>
    <row r="174" spans="1:7">
      <c r="A174" t="s">
        <v>931</v>
      </c>
      <c r="B174" t="s">
        <v>932</v>
      </c>
      <c r="C174" t="s">
        <v>933</v>
      </c>
      <c r="D174" t="s">
        <v>1700</v>
      </c>
      <c r="E174" t="s">
        <v>1701</v>
      </c>
      <c r="F174" t="s">
        <v>1702</v>
      </c>
      <c r="G174" t="s">
        <v>1700</v>
      </c>
    </row>
    <row r="175" spans="1:7">
      <c r="A175" t="s">
        <v>936</v>
      </c>
      <c r="B175" t="s">
        <v>938</v>
      </c>
      <c r="C175" t="s">
        <v>939</v>
      </c>
      <c r="D175" t="s">
        <v>1700</v>
      </c>
      <c r="E175" t="s">
        <v>1701</v>
      </c>
      <c r="F175" t="s">
        <v>1702</v>
      </c>
      <c r="G175" t="s">
        <v>1700</v>
      </c>
    </row>
    <row r="176" spans="1:7">
      <c r="A176" t="s">
        <v>942</v>
      </c>
      <c r="B176" t="s">
        <v>943</v>
      </c>
      <c r="C176" t="s">
        <v>944</v>
      </c>
      <c r="D176" t="s">
        <v>1700</v>
      </c>
      <c r="E176" t="s">
        <v>1701</v>
      </c>
      <c r="F176" t="s">
        <v>1702</v>
      </c>
      <c r="G176" t="s">
        <v>1700</v>
      </c>
    </row>
    <row r="177" spans="1:7">
      <c r="A177" t="s">
        <v>947</v>
      </c>
      <c r="B177" t="s">
        <v>948</v>
      </c>
      <c r="C177" t="s">
        <v>949</v>
      </c>
      <c r="D177" t="s">
        <v>1700</v>
      </c>
      <c r="E177" t="s">
        <v>1701</v>
      </c>
      <c r="F177" t="s">
        <v>1702</v>
      </c>
      <c r="G177" t="s">
        <v>1700</v>
      </c>
    </row>
    <row r="178" spans="1:7">
      <c r="A178" t="s">
        <v>952</v>
      </c>
      <c r="B178" t="s">
        <v>953</v>
      </c>
      <c r="C178" t="s">
        <v>954</v>
      </c>
      <c r="D178" t="s">
        <v>1700</v>
      </c>
      <c r="E178" t="s">
        <v>1701</v>
      </c>
      <c r="F178" t="s">
        <v>1702</v>
      </c>
      <c r="G178" t="s">
        <v>1700</v>
      </c>
    </row>
    <row r="179" spans="1:7">
      <c r="A179" t="s">
        <v>957</v>
      </c>
      <c r="B179" t="s">
        <v>958</v>
      </c>
      <c r="C179" t="s">
        <v>959</v>
      </c>
      <c r="D179" t="s">
        <v>1700</v>
      </c>
      <c r="E179" t="s">
        <v>1701</v>
      </c>
      <c r="F179" t="s">
        <v>1702</v>
      </c>
      <c r="G179" t="s">
        <v>1700</v>
      </c>
    </row>
    <row r="180" spans="1:7">
      <c r="A180" t="s">
        <v>962</v>
      </c>
      <c r="B180" t="s">
        <v>964</v>
      </c>
      <c r="C180" t="s">
        <v>965</v>
      </c>
      <c r="D180" t="s">
        <v>1700</v>
      </c>
      <c r="E180" t="s">
        <v>1701</v>
      </c>
      <c r="F180" t="s">
        <v>1702</v>
      </c>
      <c r="G180" t="s">
        <v>1700</v>
      </c>
    </row>
    <row r="181" spans="1:7">
      <c r="A181" t="s">
        <v>968</v>
      </c>
      <c r="B181" t="s">
        <v>969</v>
      </c>
      <c r="C181" t="s">
        <v>970</v>
      </c>
      <c r="D181" t="s">
        <v>1700</v>
      </c>
      <c r="E181" t="s">
        <v>1701</v>
      </c>
      <c r="F181" t="s">
        <v>1702</v>
      </c>
      <c r="G181" t="s">
        <v>1700</v>
      </c>
    </row>
    <row r="182" spans="1:7">
      <c r="A182" t="s">
        <v>973</v>
      </c>
      <c r="B182" t="s">
        <v>975</v>
      </c>
      <c r="C182" t="s">
        <v>976</v>
      </c>
      <c r="D182" t="s">
        <v>1700</v>
      </c>
      <c r="E182" t="s">
        <v>1701</v>
      </c>
      <c r="F182" t="s">
        <v>1702</v>
      </c>
      <c r="G182" t="s">
        <v>1700</v>
      </c>
    </row>
    <row r="183" spans="1:7">
      <c r="A183" t="s">
        <v>979</v>
      </c>
      <c r="B183" t="s">
        <v>981</v>
      </c>
      <c r="C183" t="s">
        <v>982</v>
      </c>
      <c r="D183" t="s">
        <v>1700</v>
      </c>
      <c r="E183" t="s">
        <v>1701</v>
      </c>
      <c r="F183" t="s">
        <v>1702</v>
      </c>
      <c r="G183" t="s">
        <v>1700</v>
      </c>
    </row>
    <row r="184" spans="1:7">
      <c r="A184" t="s">
        <v>985</v>
      </c>
      <c r="B184" t="s">
        <v>986</v>
      </c>
      <c r="C184" t="s">
        <v>987</v>
      </c>
      <c r="D184" t="s">
        <v>1700</v>
      </c>
      <c r="E184" t="s">
        <v>1701</v>
      </c>
      <c r="F184" t="s">
        <v>1702</v>
      </c>
      <c r="G184" t="s">
        <v>1700</v>
      </c>
    </row>
    <row r="185" spans="1:7">
      <c r="A185" t="s">
        <v>990</v>
      </c>
      <c r="B185" t="s">
        <v>993</v>
      </c>
      <c r="C185" t="s">
        <v>994</v>
      </c>
      <c r="D185" t="s">
        <v>1700</v>
      </c>
      <c r="E185" t="s">
        <v>1701</v>
      </c>
      <c r="F185" t="s">
        <v>1702</v>
      </c>
      <c r="G185" t="s">
        <v>1700</v>
      </c>
    </row>
    <row r="186" spans="1:7">
      <c r="A186" t="s">
        <v>997</v>
      </c>
      <c r="B186" t="s">
        <v>1000</v>
      </c>
      <c r="C186" t="s">
        <v>1001</v>
      </c>
      <c r="D186" t="s">
        <v>1700</v>
      </c>
      <c r="E186" t="s">
        <v>1701</v>
      </c>
      <c r="F186" t="s">
        <v>1702</v>
      </c>
      <c r="G186" t="s">
        <v>1700</v>
      </c>
    </row>
    <row r="187" spans="1:7">
      <c r="A187" t="s">
        <v>1004</v>
      </c>
      <c r="B187" t="s">
        <v>1008</v>
      </c>
      <c r="C187" t="s">
        <v>1009</v>
      </c>
      <c r="D187" t="s">
        <v>1700</v>
      </c>
      <c r="E187" t="s">
        <v>1701</v>
      </c>
      <c r="F187" t="s">
        <v>1702</v>
      </c>
      <c r="G187" t="s">
        <v>1700</v>
      </c>
    </row>
    <row r="188" spans="1:7">
      <c r="A188" t="s">
        <v>1012</v>
      </c>
      <c r="B188" t="s">
        <v>1015</v>
      </c>
      <c r="C188" t="s">
        <v>1016</v>
      </c>
      <c r="D188" t="s">
        <v>1700</v>
      </c>
      <c r="E188" t="s">
        <v>1701</v>
      </c>
      <c r="F188" t="s">
        <v>1702</v>
      </c>
      <c r="G188" t="s">
        <v>1700</v>
      </c>
    </row>
    <row r="189" spans="1:7">
      <c r="A189" t="s">
        <v>1019</v>
      </c>
      <c r="B189" t="s">
        <v>1021</v>
      </c>
      <c r="C189" t="s">
        <v>1022</v>
      </c>
      <c r="D189" t="s">
        <v>1700</v>
      </c>
      <c r="E189" t="s">
        <v>1701</v>
      </c>
      <c r="F189" t="s">
        <v>1702</v>
      </c>
      <c r="G189" t="s">
        <v>1700</v>
      </c>
    </row>
    <row r="190" spans="1:7">
      <c r="A190" t="s">
        <v>1025</v>
      </c>
      <c r="B190" t="s">
        <v>1028</v>
      </c>
      <c r="C190" t="s">
        <v>1029</v>
      </c>
      <c r="D190" t="s">
        <v>1700</v>
      </c>
      <c r="E190" t="s">
        <v>1701</v>
      </c>
      <c r="F190" t="s">
        <v>1702</v>
      </c>
      <c r="G190" t="s">
        <v>1700</v>
      </c>
    </row>
    <row r="191" spans="1:7">
      <c r="A191" t="s">
        <v>1032</v>
      </c>
      <c r="B191" t="s">
        <v>1034</v>
      </c>
      <c r="C191" t="s">
        <v>1035</v>
      </c>
      <c r="D191" t="s">
        <v>1700</v>
      </c>
      <c r="E191" t="s">
        <v>1701</v>
      </c>
      <c r="F191" t="s">
        <v>1702</v>
      </c>
      <c r="G191" t="s">
        <v>1700</v>
      </c>
    </row>
    <row r="192" spans="1:7">
      <c r="A192" t="s">
        <v>1038</v>
      </c>
      <c r="B192" t="s">
        <v>1039</v>
      </c>
      <c r="C192" t="s">
        <v>1040</v>
      </c>
      <c r="D192" t="s">
        <v>1700</v>
      </c>
      <c r="E192" t="s">
        <v>1701</v>
      </c>
      <c r="F192" t="s">
        <v>1702</v>
      </c>
      <c r="G192" t="s">
        <v>1700</v>
      </c>
    </row>
    <row r="193" spans="1:7">
      <c r="A193" t="s">
        <v>1043</v>
      </c>
      <c r="B193" t="s">
        <v>1047</v>
      </c>
      <c r="C193" t="s">
        <v>1049</v>
      </c>
      <c r="D193" t="s">
        <v>1700</v>
      </c>
      <c r="E193" t="s">
        <v>1701</v>
      </c>
      <c r="F193" t="s">
        <v>1702</v>
      </c>
      <c r="G193" t="s">
        <v>1700</v>
      </c>
    </row>
    <row r="194" spans="1:7">
      <c r="A194" t="s">
        <v>1052</v>
      </c>
      <c r="B194" t="s">
        <v>1047</v>
      </c>
      <c r="C194" t="s">
        <v>1055</v>
      </c>
      <c r="D194" t="s">
        <v>1700</v>
      </c>
      <c r="E194" t="s">
        <v>1701</v>
      </c>
      <c r="F194" t="s">
        <v>1702</v>
      </c>
      <c r="G194" t="s">
        <v>1700</v>
      </c>
    </row>
    <row r="195" spans="1:7">
      <c r="A195" t="s">
        <v>1058</v>
      </c>
      <c r="B195" t="s">
        <v>1047</v>
      </c>
      <c r="C195" t="s">
        <v>1061</v>
      </c>
      <c r="D195" t="s">
        <v>1700</v>
      </c>
      <c r="E195" t="s">
        <v>1701</v>
      </c>
      <c r="F195" t="s">
        <v>1702</v>
      </c>
      <c r="G195" t="s">
        <v>1700</v>
      </c>
    </row>
    <row r="196" spans="1:7">
      <c r="A196" t="s">
        <v>1064</v>
      </c>
      <c r="B196" t="s">
        <v>1047</v>
      </c>
      <c r="C196" t="s">
        <v>1067</v>
      </c>
      <c r="D196" t="s">
        <v>1700</v>
      </c>
      <c r="E196" t="s">
        <v>1701</v>
      </c>
      <c r="F196" t="s">
        <v>1702</v>
      </c>
      <c r="G196" t="s">
        <v>1700</v>
      </c>
    </row>
    <row r="197" spans="1:7">
      <c r="A197" t="s">
        <v>1070</v>
      </c>
      <c r="B197" t="s">
        <v>1071</v>
      </c>
      <c r="C197" t="s">
        <v>1072</v>
      </c>
      <c r="D197" t="s">
        <v>1700</v>
      </c>
      <c r="E197" t="s">
        <v>1701</v>
      </c>
      <c r="F197" t="s">
        <v>1702</v>
      </c>
      <c r="G197" t="s">
        <v>1700</v>
      </c>
    </row>
    <row r="198" spans="1:7">
      <c r="A198" t="s">
        <v>1075</v>
      </c>
      <c r="B198" t="s">
        <v>1076</v>
      </c>
      <c r="C198" t="s">
        <v>1077</v>
      </c>
      <c r="D198" t="s">
        <v>1700</v>
      </c>
      <c r="E198" t="s">
        <v>1701</v>
      </c>
      <c r="F198" t="s">
        <v>1702</v>
      </c>
      <c r="G198" t="s">
        <v>1700</v>
      </c>
    </row>
    <row r="199" spans="1:7">
      <c r="A199" t="s">
        <v>1080</v>
      </c>
      <c r="B199" t="s">
        <v>1083</v>
      </c>
      <c r="C199" t="s">
        <v>1084</v>
      </c>
      <c r="D199" t="s">
        <v>1700</v>
      </c>
      <c r="E199" t="s">
        <v>1701</v>
      </c>
      <c r="F199" t="s">
        <v>1702</v>
      </c>
      <c r="G199" t="s">
        <v>1700</v>
      </c>
    </row>
    <row r="200" spans="1:7">
      <c r="A200" t="s">
        <v>1087</v>
      </c>
      <c r="B200" t="s">
        <v>1089</v>
      </c>
      <c r="C200" t="s">
        <v>1090</v>
      </c>
      <c r="D200" t="s">
        <v>1700</v>
      </c>
      <c r="E200" t="s">
        <v>1701</v>
      </c>
      <c r="F200" t="s">
        <v>1702</v>
      </c>
      <c r="G200" t="s">
        <v>1700</v>
      </c>
    </row>
    <row r="201" spans="1:7">
      <c r="A201" t="s">
        <v>1093</v>
      </c>
      <c r="B201" t="s">
        <v>1095</v>
      </c>
      <c r="C201" t="s">
        <v>1096</v>
      </c>
      <c r="D201" t="s">
        <v>1700</v>
      </c>
      <c r="E201" t="s">
        <v>1701</v>
      </c>
      <c r="F201" t="s">
        <v>1702</v>
      </c>
      <c r="G201" t="s">
        <v>1700</v>
      </c>
    </row>
    <row r="202" spans="1:7">
      <c r="A202" t="s">
        <v>1099</v>
      </c>
      <c r="B202" t="s">
        <v>1101</v>
      </c>
      <c r="C202" t="s">
        <v>1102</v>
      </c>
      <c r="D202" t="s">
        <v>1700</v>
      </c>
      <c r="E202" t="s">
        <v>1701</v>
      </c>
      <c r="F202" t="s">
        <v>1702</v>
      </c>
      <c r="G202" t="s">
        <v>1700</v>
      </c>
    </row>
    <row r="203" spans="1:7">
      <c r="A203" t="s">
        <v>1105</v>
      </c>
      <c r="B203" t="s">
        <v>1106</v>
      </c>
      <c r="C203" t="s">
        <v>1107</v>
      </c>
      <c r="D203" t="s">
        <v>1700</v>
      </c>
      <c r="E203" t="s">
        <v>1701</v>
      </c>
      <c r="F203" t="s">
        <v>1702</v>
      </c>
      <c r="G203" t="s">
        <v>1700</v>
      </c>
    </row>
    <row r="204" spans="1:7">
      <c r="A204" t="s">
        <v>1110</v>
      </c>
      <c r="B204" t="s">
        <v>1113</v>
      </c>
      <c r="C204" t="s">
        <v>1114</v>
      </c>
      <c r="D204" t="s">
        <v>1700</v>
      </c>
      <c r="E204" t="s">
        <v>1701</v>
      </c>
      <c r="F204" t="s">
        <v>1702</v>
      </c>
      <c r="G204" t="s">
        <v>1700</v>
      </c>
    </row>
    <row r="205" spans="1:7">
      <c r="A205" t="s">
        <v>1117</v>
      </c>
      <c r="B205" t="s">
        <v>1119</v>
      </c>
      <c r="C205" t="s">
        <v>1120</v>
      </c>
      <c r="D205" t="s">
        <v>1700</v>
      </c>
      <c r="E205" t="s">
        <v>1701</v>
      </c>
      <c r="F205" t="s">
        <v>1702</v>
      </c>
      <c r="G205" t="s">
        <v>1700</v>
      </c>
    </row>
    <row r="206" spans="1:7">
      <c r="A206" t="s">
        <v>1123</v>
      </c>
      <c r="B206" t="s">
        <v>1126</v>
      </c>
      <c r="C206" t="s">
        <v>1127</v>
      </c>
      <c r="D206" t="s">
        <v>1700</v>
      </c>
      <c r="E206" t="s">
        <v>1701</v>
      </c>
      <c r="F206" t="s">
        <v>1702</v>
      </c>
      <c r="G206" t="s">
        <v>1700</v>
      </c>
    </row>
    <row r="207" spans="1:7">
      <c r="A207" t="s">
        <v>1130</v>
      </c>
      <c r="B207" t="s">
        <v>1131</v>
      </c>
      <c r="C207" t="s">
        <v>1132</v>
      </c>
      <c r="D207" t="s">
        <v>1700</v>
      </c>
      <c r="E207" t="s">
        <v>1701</v>
      </c>
      <c r="F207" t="s">
        <v>1702</v>
      </c>
      <c r="G207" t="s">
        <v>1700</v>
      </c>
    </row>
    <row r="208" spans="1:7">
      <c r="A208" t="s">
        <v>1135</v>
      </c>
      <c r="B208" t="s">
        <v>1136</v>
      </c>
      <c r="C208" t="s">
        <v>1137</v>
      </c>
      <c r="D208" t="s">
        <v>1700</v>
      </c>
      <c r="E208" t="s">
        <v>1701</v>
      </c>
      <c r="F208" t="s">
        <v>1702</v>
      </c>
      <c r="G208" t="s">
        <v>1700</v>
      </c>
    </row>
    <row r="209" spans="1:7">
      <c r="A209" t="s">
        <v>1140</v>
      </c>
      <c r="B209" t="s">
        <v>1141</v>
      </c>
      <c r="C209" t="s">
        <v>1142</v>
      </c>
      <c r="D209" t="s">
        <v>1700</v>
      </c>
      <c r="E209" t="s">
        <v>1701</v>
      </c>
      <c r="F209" t="s">
        <v>1702</v>
      </c>
      <c r="G209" t="s">
        <v>1700</v>
      </c>
    </row>
    <row r="210" spans="1:7">
      <c r="A210" t="s">
        <v>1145</v>
      </c>
      <c r="B210" t="s">
        <v>1146</v>
      </c>
      <c r="C210" t="s">
        <v>1147</v>
      </c>
      <c r="D210" t="s">
        <v>1700</v>
      </c>
      <c r="E210" t="s">
        <v>1701</v>
      </c>
      <c r="F210" t="s">
        <v>1702</v>
      </c>
      <c r="G210" t="s">
        <v>1700</v>
      </c>
    </row>
    <row r="211" spans="1:7">
      <c r="A211" t="s">
        <v>1150</v>
      </c>
      <c r="B211" t="s">
        <v>1151</v>
      </c>
      <c r="C211" t="s">
        <v>1152</v>
      </c>
      <c r="D211" t="s">
        <v>1700</v>
      </c>
      <c r="E211" t="s">
        <v>1701</v>
      </c>
      <c r="F211" t="s">
        <v>1702</v>
      </c>
      <c r="G211" t="s">
        <v>1700</v>
      </c>
    </row>
    <row r="212" spans="1:7">
      <c r="A212" t="s">
        <v>1155</v>
      </c>
      <c r="B212" t="s">
        <v>1159</v>
      </c>
      <c r="C212" t="s">
        <v>1160</v>
      </c>
      <c r="D212" t="s">
        <v>1700</v>
      </c>
      <c r="E212" t="s">
        <v>1701</v>
      </c>
      <c r="F212" t="s">
        <v>1702</v>
      </c>
      <c r="G212" t="s">
        <v>1700</v>
      </c>
    </row>
    <row r="213" spans="1:7">
      <c r="A213" t="s">
        <v>1163</v>
      </c>
      <c r="B213" t="s">
        <v>1164</v>
      </c>
      <c r="C213" t="s">
        <v>1165</v>
      </c>
      <c r="D213" t="s">
        <v>1700</v>
      </c>
      <c r="E213" t="s">
        <v>1701</v>
      </c>
      <c r="F213" t="s">
        <v>1702</v>
      </c>
      <c r="G213" t="s">
        <v>1700</v>
      </c>
    </row>
    <row r="214" spans="1:7">
      <c r="A214" t="s">
        <v>1168</v>
      </c>
      <c r="B214" t="s">
        <v>1169</v>
      </c>
      <c r="C214" t="s">
        <v>1170</v>
      </c>
      <c r="D214" t="s">
        <v>1700</v>
      </c>
      <c r="E214" t="s">
        <v>1701</v>
      </c>
      <c r="F214" t="s">
        <v>1702</v>
      </c>
      <c r="G214" t="s">
        <v>1700</v>
      </c>
    </row>
    <row r="215" spans="1:7">
      <c r="A215" t="s">
        <v>1173</v>
      </c>
      <c r="B215" t="s">
        <v>1175</v>
      </c>
      <c r="C215" t="s">
        <v>1177</v>
      </c>
      <c r="D215" t="s">
        <v>1700</v>
      </c>
      <c r="E215" t="s">
        <v>1701</v>
      </c>
      <c r="F215" t="s">
        <v>1702</v>
      </c>
      <c r="G215" t="s">
        <v>1700</v>
      </c>
    </row>
    <row r="216" spans="1:7">
      <c r="A216" t="s">
        <v>1180</v>
      </c>
      <c r="B216" t="s">
        <v>1182</v>
      </c>
      <c r="C216" t="s">
        <v>1184</v>
      </c>
      <c r="D216" t="s">
        <v>1700</v>
      </c>
      <c r="E216" t="s">
        <v>1701</v>
      </c>
      <c r="F216" t="s">
        <v>1702</v>
      </c>
      <c r="G216" t="s">
        <v>1700</v>
      </c>
    </row>
    <row r="217" spans="1:7">
      <c r="A217" t="s">
        <v>1187</v>
      </c>
      <c r="B217" t="s">
        <v>1188</v>
      </c>
      <c r="C217" t="s">
        <v>1189</v>
      </c>
      <c r="D217" t="s">
        <v>1700</v>
      </c>
      <c r="E217" t="s">
        <v>1701</v>
      </c>
      <c r="F217" t="s">
        <v>1702</v>
      </c>
      <c r="G217" t="s">
        <v>1700</v>
      </c>
    </row>
    <row r="218" spans="1:7">
      <c r="A218" t="s">
        <v>1192</v>
      </c>
      <c r="B218" t="s">
        <v>1193</v>
      </c>
      <c r="C218" t="s">
        <v>1194</v>
      </c>
      <c r="D218" t="s">
        <v>1700</v>
      </c>
      <c r="E218" t="s">
        <v>1701</v>
      </c>
      <c r="F218" t="s">
        <v>1702</v>
      </c>
      <c r="G218" t="s">
        <v>1700</v>
      </c>
    </row>
    <row r="219" spans="1:7">
      <c r="A219" t="s">
        <v>1197</v>
      </c>
      <c r="B219" t="s">
        <v>1198</v>
      </c>
      <c r="C219" t="s">
        <v>1199</v>
      </c>
      <c r="D219" t="s">
        <v>1700</v>
      </c>
      <c r="E219" t="s">
        <v>1701</v>
      </c>
      <c r="F219" t="s">
        <v>1702</v>
      </c>
      <c r="G219" t="s">
        <v>1700</v>
      </c>
    </row>
    <row r="220" spans="1:7">
      <c r="A220" t="s">
        <v>1202</v>
      </c>
      <c r="B220" t="s">
        <v>1204</v>
      </c>
      <c r="C220" t="s">
        <v>1205</v>
      </c>
      <c r="D220" t="s">
        <v>1700</v>
      </c>
      <c r="E220" t="s">
        <v>1701</v>
      </c>
      <c r="F220" t="s">
        <v>1702</v>
      </c>
      <c r="G220" t="s">
        <v>1700</v>
      </c>
    </row>
    <row r="221" spans="1:7">
      <c r="A221" t="s">
        <v>1208</v>
      </c>
      <c r="B221" t="s">
        <v>1209</v>
      </c>
      <c r="C221" t="s">
        <v>1210</v>
      </c>
      <c r="D221" t="s">
        <v>1700</v>
      </c>
      <c r="E221" t="s">
        <v>1701</v>
      </c>
      <c r="F221" t="s">
        <v>1702</v>
      </c>
      <c r="G221" t="s">
        <v>1700</v>
      </c>
    </row>
    <row r="222" spans="1:7">
      <c r="A222" t="s">
        <v>1213</v>
      </c>
      <c r="B222" t="s">
        <v>1214</v>
      </c>
      <c r="C222" t="s">
        <v>1215</v>
      </c>
      <c r="D222" t="s">
        <v>1700</v>
      </c>
      <c r="E222" t="s">
        <v>1701</v>
      </c>
      <c r="F222" t="s">
        <v>1702</v>
      </c>
      <c r="G222" t="s">
        <v>1700</v>
      </c>
    </row>
    <row r="223" spans="1:7">
      <c r="A223" t="s">
        <v>1218</v>
      </c>
      <c r="B223" t="s">
        <v>1219</v>
      </c>
      <c r="C223" t="s">
        <v>1220</v>
      </c>
      <c r="D223" t="s">
        <v>1700</v>
      </c>
      <c r="E223" t="s">
        <v>1701</v>
      </c>
      <c r="F223" t="s">
        <v>1702</v>
      </c>
      <c r="G223" t="s">
        <v>1700</v>
      </c>
    </row>
    <row r="224" spans="1:7">
      <c r="A224" t="s">
        <v>1223</v>
      </c>
      <c r="B224" t="s">
        <v>1225</v>
      </c>
      <c r="C224" t="s">
        <v>1226</v>
      </c>
      <c r="D224" t="s">
        <v>1700</v>
      </c>
      <c r="E224" t="s">
        <v>1701</v>
      </c>
      <c r="F224" t="s">
        <v>1702</v>
      </c>
      <c r="G224" t="s">
        <v>1700</v>
      </c>
    </row>
    <row r="225" spans="1:7">
      <c r="A225" t="s">
        <v>1229</v>
      </c>
      <c r="B225" t="s">
        <v>1230</v>
      </c>
      <c r="C225" t="s">
        <v>1231</v>
      </c>
      <c r="D225" t="s">
        <v>1700</v>
      </c>
      <c r="E225" t="s">
        <v>1701</v>
      </c>
      <c r="F225" t="s">
        <v>1702</v>
      </c>
      <c r="G225" t="s">
        <v>1700</v>
      </c>
    </row>
    <row r="226" spans="1:7">
      <c r="A226" t="s">
        <v>1234</v>
      </c>
      <c r="B226" t="s">
        <v>1235</v>
      </c>
      <c r="C226" t="s">
        <v>1236</v>
      </c>
      <c r="D226" t="s">
        <v>1700</v>
      </c>
      <c r="E226" t="s">
        <v>1701</v>
      </c>
      <c r="F226" t="s">
        <v>1702</v>
      </c>
      <c r="G226" t="s">
        <v>1700</v>
      </c>
    </row>
    <row r="227" spans="1:7">
      <c r="A227" t="s">
        <v>1239</v>
      </c>
      <c r="B227" t="s">
        <v>1240</v>
      </c>
      <c r="C227" t="s">
        <v>1241</v>
      </c>
      <c r="D227" t="s">
        <v>1700</v>
      </c>
      <c r="E227" t="s">
        <v>1701</v>
      </c>
      <c r="F227" t="s">
        <v>1702</v>
      </c>
      <c r="G227" t="s">
        <v>1700</v>
      </c>
    </row>
    <row r="228" spans="1:7">
      <c r="A228" t="s">
        <v>1244</v>
      </c>
      <c r="B228" t="s">
        <v>1245</v>
      </c>
      <c r="C228" t="s">
        <v>1246</v>
      </c>
      <c r="D228" t="s">
        <v>1700</v>
      </c>
      <c r="E228" t="s">
        <v>1701</v>
      </c>
      <c r="F228" t="s">
        <v>1702</v>
      </c>
      <c r="G228" t="s">
        <v>1700</v>
      </c>
    </row>
    <row r="229" spans="1:7">
      <c r="A229" t="s">
        <v>1249</v>
      </c>
      <c r="B229" t="s">
        <v>1251</v>
      </c>
      <c r="C229" t="s">
        <v>1252</v>
      </c>
      <c r="D229" t="s">
        <v>1700</v>
      </c>
      <c r="E229" t="s">
        <v>1701</v>
      </c>
      <c r="F229" t="s">
        <v>1702</v>
      </c>
      <c r="G229" t="s">
        <v>1700</v>
      </c>
    </row>
    <row r="230" spans="1:7">
      <c r="A230" t="s">
        <v>1255</v>
      </c>
      <c r="B230" t="s">
        <v>1256</v>
      </c>
      <c r="C230" t="s">
        <v>1257</v>
      </c>
      <c r="D230" t="s">
        <v>1700</v>
      </c>
      <c r="E230" t="s">
        <v>1701</v>
      </c>
      <c r="F230" t="s">
        <v>1702</v>
      </c>
      <c r="G230" t="s">
        <v>1700</v>
      </c>
    </row>
    <row r="231" spans="1:7">
      <c r="A231" t="s">
        <v>1260</v>
      </c>
      <c r="B231" t="s">
        <v>1262</v>
      </c>
      <c r="C231" t="s">
        <v>1263</v>
      </c>
      <c r="D231" t="s">
        <v>1700</v>
      </c>
      <c r="E231" t="s">
        <v>1701</v>
      </c>
      <c r="F231" t="s">
        <v>1702</v>
      </c>
      <c r="G231" t="s">
        <v>1700</v>
      </c>
    </row>
    <row r="232" spans="1:7">
      <c r="A232" t="s">
        <v>1266</v>
      </c>
      <c r="B232" t="s">
        <v>1267</v>
      </c>
      <c r="C232" t="s">
        <v>1268</v>
      </c>
      <c r="D232" t="s">
        <v>1700</v>
      </c>
      <c r="E232" t="s">
        <v>1701</v>
      </c>
      <c r="F232" t="s">
        <v>1702</v>
      </c>
      <c r="G232" t="s">
        <v>1700</v>
      </c>
    </row>
    <row r="233" spans="1:7">
      <c r="A233" t="s">
        <v>1271</v>
      </c>
      <c r="B233" t="s">
        <v>1272</v>
      </c>
      <c r="C233" t="s">
        <v>1273</v>
      </c>
      <c r="D233" t="s">
        <v>1700</v>
      </c>
      <c r="E233" t="s">
        <v>1701</v>
      </c>
      <c r="F233" t="s">
        <v>1702</v>
      </c>
      <c r="G233" t="s">
        <v>1700</v>
      </c>
    </row>
    <row r="234" spans="1:7">
      <c r="A234" t="s">
        <v>1276</v>
      </c>
      <c r="B234" t="s">
        <v>1278</v>
      </c>
      <c r="C234" t="s">
        <v>1279</v>
      </c>
      <c r="D234" t="s">
        <v>1700</v>
      </c>
      <c r="E234" t="s">
        <v>1701</v>
      </c>
      <c r="F234" t="s">
        <v>1702</v>
      </c>
      <c r="G234" t="s">
        <v>1700</v>
      </c>
    </row>
    <row r="235" spans="1:7">
      <c r="A235" t="s">
        <v>1282</v>
      </c>
      <c r="B235" t="s">
        <v>1284</v>
      </c>
      <c r="C235" t="s">
        <v>1285</v>
      </c>
      <c r="D235" t="s">
        <v>1700</v>
      </c>
      <c r="E235" t="s">
        <v>1701</v>
      </c>
      <c r="F235" t="s">
        <v>1702</v>
      </c>
      <c r="G235" t="s">
        <v>1700</v>
      </c>
    </row>
    <row r="236" spans="1:7">
      <c r="A236" t="s">
        <v>1288</v>
      </c>
      <c r="B236" t="s">
        <v>1290</v>
      </c>
      <c r="C236" t="s">
        <v>1291</v>
      </c>
      <c r="D236" t="s">
        <v>1700</v>
      </c>
      <c r="E236" t="s">
        <v>1701</v>
      </c>
      <c r="F236" t="s">
        <v>1702</v>
      </c>
      <c r="G236" t="s">
        <v>1700</v>
      </c>
    </row>
    <row r="237" spans="1:7">
      <c r="A237" t="s">
        <v>1294</v>
      </c>
      <c r="B237" t="s">
        <v>1296</v>
      </c>
      <c r="C237" t="s">
        <v>1297</v>
      </c>
      <c r="D237" t="s">
        <v>1700</v>
      </c>
      <c r="E237" t="s">
        <v>1701</v>
      </c>
      <c r="F237" t="s">
        <v>1702</v>
      </c>
      <c r="G237" t="s">
        <v>1700</v>
      </c>
    </row>
    <row r="238" spans="1:7">
      <c r="A238" t="s">
        <v>1795</v>
      </c>
      <c r="B238" t="s">
        <v>1793</v>
      </c>
      <c r="C238" t="s">
        <v>1794</v>
      </c>
      <c r="D238" t="s">
        <v>1700</v>
      </c>
      <c r="G238" t="s">
        <v>1700</v>
      </c>
    </row>
    <row r="239" spans="1:7">
      <c r="A239" t="s">
        <v>1801</v>
      </c>
      <c r="B239" t="s">
        <v>1797</v>
      </c>
      <c r="C239" t="s">
        <v>1799</v>
      </c>
      <c r="D239" t="s">
        <v>1700</v>
      </c>
      <c r="G239" t="s">
        <v>1700</v>
      </c>
    </row>
    <row r="240" spans="1:7">
      <c r="A240" t="s">
        <v>1804</v>
      </c>
      <c r="B240" t="s">
        <v>1802</v>
      </c>
      <c r="C240" t="s">
        <v>1803</v>
      </c>
      <c r="D240" t="s">
        <v>1700</v>
      </c>
      <c r="G240" t="s">
        <v>1700</v>
      </c>
    </row>
    <row r="241" spans="1:7">
      <c r="A241" t="s">
        <v>1807</v>
      </c>
      <c r="B241" t="s">
        <v>1805</v>
      </c>
      <c r="C241" t="s">
        <v>1806</v>
      </c>
      <c r="D241" t="s">
        <v>1700</v>
      </c>
      <c r="G241" t="s">
        <v>1700</v>
      </c>
    </row>
    <row r="242" spans="1:7">
      <c r="A242" t="s">
        <v>1810</v>
      </c>
      <c r="B242" t="s">
        <v>1808</v>
      </c>
      <c r="C242" t="s">
        <v>1809</v>
      </c>
      <c r="D242" t="s">
        <v>1700</v>
      </c>
      <c r="G242" t="s">
        <v>1700</v>
      </c>
    </row>
    <row r="243" spans="1:7">
      <c r="A243" t="s">
        <v>1813</v>
      </c>
      <c r="B243" t="s">
        <v>1811</v>
      </c>
      <c r="C243" t="s">
        <v>1812</v>
      </c>
      <c r="D243" t="s">
        <v>1700</v>
      </c>
      <c r="G243" t="s">
        <v>1700</v>
      </c>
    </row>
    <row r="244" spans="1:7">
      <c r="A244" t="s">
        <v>1817</v>
      </c>
      <c r="B244" t="s">
        <v>1814</v>
      </c>
      <c r="C244" t="s">
        <v>1816</v>
      </c>
      <c r="D244" t="s">
        <v>1700</v>
      </c>
      <c r="G244" t="s">
        <v>1700</v>
      </c>
    </row>
    <row r="245" spans="1:7">
      <c r="A245" t="s">
        <v>1820</v>
      </c>
      <c r="B245" t="s">
        <v>1818</v>
      </c>
      <c r="C245" t="s">
        <v>1819</v>
      </c>
      <c r="D245" t="s">
        <v>1700</v>
      </c>
      <c r="G245" t="s">
        <v>1700</v>
      </c>
    </row>
    <row r="246" spans="1:7">
      <c r="A246" t="s">
        <v>1823</v>
      </c>
      <c r="B246" t="s">
        <v>1821</v>
      </c>
      <c r="C246" t="s">
        <v>1822</v>
      </c>
      <c r="D246" t="s">
        <v>1700</v>
      </c>
      <c r="G246" t="s">
        <v>1700</v>
      </c>
    </row>
    <row r="247" spans="1:7">
      <c r="A247" t="s">
        <v>1827</v>
      </c>
      <c r="B247" t="s">
        <v>1824</v>
      </c>
      <c r="C247" t="s">
        <v>1826</v>
      </c>
      <c r="D247" t="s">
        <v>1700</v>
      </c>
      <c r="G247" t="s">
        <v>1700</v>
      </c>
    </row>
    <row r="248" spans="1:7">
      <c r="A248" t="s">
        <v>1830</v>
      </c>
      <c r="B248" t="s">
        <v>1828</v>
      </c>
      <c r="C248" t="s">
        <v>1829</v>
      </c>
      <c r="D248" t="s">
        <v>1700</v>
      </c>
      <c r="G248" t="s">
        <v>1700</v>
      </c>
    </row>
    <row r="249" spans="1:7">
      <c r="A249" t="s">
        <v>1833</v>
      </c>
      <c r="B249" t="s">
        <v>1831</v>
      </c>
      <c r="C249" t="s">
        <v>1832</v>
      </c>
      <c r="D249" t="s">
        <v>1700</v>
      </c>
      <c r="G249" t="s">
        <v>1700</v>
      </c>
    </row>
    <row r="250" spans="1:7">
      <c r="A250" t="s">
        <v>1837</v>
      </c>
      <c r="B250" t="s">
        <v>1835</v>
      </c>
      <c r="C250" t="s">
        <v>1836</v>
      </c>
      <c r="D250" t="s">
        <v>1700</v>
      </c>
      <c r="G250" t="s">
        <v>1700</v>
      </c>
    </row>
    <row r="251" spans="1:7">
      <c r="A251" t="s">
        <v>1840</v>
      </c>
      <c r="B251" t="s">
        <v>1838</v>
      </c>
      <c r="C251" t="s">
        <v>1839</v>
      </c>
      <c r="D251" t="s">
        <v>1700</v>
      </c>
      <c r="G251" t="s">
        <v>1700</v>
      </c>
    </row>
    <row r="252" spans="1:7">
      <c r="A252" t="s">
        <v>1843</v>
      </c>
      <c r="B252" t="s">
        <v>1841</v>
      </c>
      <c r="C252" t="s">
        <v>1842</v>
      </c>
      <c r="D252" t="s">
        <v>1700</v>
      </c>
      <c r="G252" t="s">
        <v>1700</v>
      </c>
    </row>
    <row r="253" spans="1:7">
      <c r="A253" t="s">
        <v>1849</v>
      </c>
      <c r="B253" t="s">
        <v>1844</v>
      </c>
      <c r="C253" t="s">
        <v>1848</v>
      </c>
      <c r="D253" t="s">
        <v>1700</v>
      </c>
      <c r="G253" t="s">
        <v>1700</v>
      </c>
    </row>
    <row r="254" spans="1:7">
      <c r="A254" t="s">
        <v>1882</v>
      </c>
      <c r="B254" t="s">
        <v>1877</v>
      </c>
      <c r="C254" t="s">
        <v>1881</v>
      </c>
      <c r="D254" t="s">
        <v>1700</v>
      </c>
      <c r="G254" t="s">
        <v>1700</v>
      </c>
    </row>
    <row r="255" spans="1:7">
      <c r="A255" t="s">
        <v>1888</v>
      </c>
      <c r="B255" t="s">
        <v>1883</v>
      </c>
      <c r="C255" t="s">
        <v>1887</v>
      </c>
      <c r="D255" t="s">
        <v>1700</v>
      </c>
      <c r="G255" t="s">
        <v>1700</v>
      </c>
    </row>
    <row r="256" spans="1:7">
      <c r="A256" t="s">
        <v>1895</v>
      </c>
      <c r="B256" t="s">
        <v>1889</v>
      </c>
      <c r="C256" t="s">
        <v>1894</v>
      </c>
      <c r="D256" t="s">
        <v>1700</v>
      </c>
      <c r="G256" t="s">
        <v>1700</v>
      </c>
    </row>
    <row r="257" spans="1:7">
      <c r="A257" t="s">
        <v>1901</v>
      </c>
      <c r="B257" t="s">
        <v>1897</v>
      </c>
      <c r="C257" t="s">
        <v>1900</v>
      </c>
      <c r="D257" t="s">
        <v>1700</v>
      </c>
      <c r="G257" t="s">
        <v>1700</v>
      </c>
    </row>
    <row r="258" spans="1:7">
      <c r="A258" t="s">
        <v>1907</v>
      </c>
      <c r="B258" t="s">
        <v>1902</v>
      </c>
      <c r="C258" t="s">
        <v>1906</v>
      </c>
      <c r="D258" t="s">
        <v>1700</v>
      </c>
      <c r="G258" t="s">
        <v>1700</v>
      </c>
    </row>
    <row r="259" spans="1:7">
      <c r="A259" t="s">
        <v>1914</v>
      </c>
      <c r="B259" t="s">
        <v>1908</v>
      </c>
      <c r="C259" t="s">
        <v>1913</v>
      </c>
      <c r="D259" t="s">
        <v>1700</v>
      </c>
      <c r="G259" t="s">
        <v>1700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showGridLines="0" workbookViewId="0">
      <selection activeCell="E7" sqref="E7"/>
    </sheetView>
  </sheetViews>
  <sheetFormatPr defaultRowHeight="13.8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1710</v>
      </c>
      <c r="B1" s="2" t="s">
        <v>3</v>
      </c>
      <c r="C1" s="2" t="s">
        <v>1711</v>
      </c>
      <c r="D1" s="2" t="s">
        <v>1712</v>
      </c>
      <c r="E1" s="2" t="s">
        <v>1713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defaultRowHeight="13.8"/>
  <sheetData>
    <row r="1" spans="1:5" ht="21">
      <c r="A1" s="1" t="s">
        <v>1714</v>
      </c>
      <c r="B1" s="1"/>
      <c r="C1" s="1"/>
      <c r="D1" s="1"/>
      <c r="E1" s="1"/>
    </row>
    <row r="3" spans="1:5" ht="55.2">
      <c r="A3" s="2" t="s">
        <v>1715</v>
      </c>
      <c r="B3" s="2" t="s">
        <v>1716</v>
      </c>
      <c r="C3" s="2" t="s">
        <v>1717</v>
      </c>
      <c r="D3" s="2" t="s">
        <v>1718</v>
      </c>
      <c r="E3" s="2" t="s">
        <v>1719</v>
      </c>
    </row>
    <row r="4" spans="1:5">
      <c r="A4" t="s">
        <v>1720</v>
      </c>
      <c r="B4" s="32">
        <v>3000</v>
      </c>
      <c r="C4" s="32">
        <v>0</v>
      </c>
      <c r="D4" s="32">
        <v>0</v>
      </c>
      <c r="E4" t="s">
        <v>1721</v>
      </c>
    </row>
    <row r="5" spans="1:5">
      <c r="A5" t="s">
        <v>1722</v>
      </c>
      <c r="B5" s="32">
        <v>3000</v>
      </c>
      <c r="C5" s="32">
        <v>0</v>
      </c>
      <c r="D5" s="32">
        <v>0</v>
      </c>
      <c r="E5" t="s">
        <v>1721</v>
      </c>
    </row>
    <row r="6" spans="1:5">
      <c r="A6" t="s">
        <v>1723</v>
      </c>
      <c r="B6" s="32">
        <v>0</v>
      </c>
      <c r="C6" s="32">
        <v>0</v>
      </c>
      <c r="D6" s="32">
        <v>0</v>
      </c>
      <c r="E6" t="s">
        <v>1724</v>
      </c>
    </row>
    <row r="8" spans="1:5">
      <c r="A8" t="s">
        <v>1725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4B183"/>
  </sheetPr>
  <dimension ref="A1:P304"/>
  <sheetViews>
    <sheetView showGridLines="0" tabSelected="1" zoomScale="70" zoomScaleNormal="70" workbookViewId="0">
      <pane ySplit="4" topLeftCell="A8" activePane="bottomLeft" state="frozen"/>
      <selection pane="bottomLeft" activeCell="D18" sqref="D18"/>
    </sheetView>
  </sheetViews>
  <sheetFormatPr defaultRowHeight="13.8"/>
  <cols>
    <col min="1" max="1" width="27" customWidth="1"/>
    <col min="2" max="2" width="28" customWidth="1"/>
    <col min="3" max="3" width="17" customWidth="1"/>
    <col min="4" max="4" width="20" customWidth="1"/>
    <col min="5" max="5" width="17" customWidth="1"/>
    <col min="6" max="6" width="2" customWidth="1"/>
    <col min="7" max="7" width="3" customWidth="1"/>
    <col min="8" max="8" width="29" customWidth="1"/>
    <col min="9" max="9" width="28" customWidth="1"/>
    <col min="10" max="12" width="2" customWidth="1"/>
    <col min="14" max="15" width="28" customWidth="1"/>
    <col min="16" max="16" width="12" customWidth="1"/>
  </cols>
  <sheetData>
    <row r="1" spans="1:16" ht="28.05" customHeight="1">
      <c r="A1" s="66" t="s">
        <v>1726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N1" s="54" t="s">
        <v>1727</v>
      </c>
      <c r="O1" s="54"/>
      <c r="P1" s="54"/>
    </row>
    <row r="2" spans="1:16" ht="30" customHeight="1">
      <c r="A2" s="67" t="s">
        <v>1728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N2" s="54" t="s">
        <v>1729</v>
      </c>
      <c r="O2" s="54" t="s">
        <v>1730</v>
      </c>
      <c r="P2" s="54" t="s">
        <v>1731</v>
      </c>
    </row>
    <row r="3" spans="1:16">
      <c r="N3" t="str">
        <f>CATÁLOGOS!B6</f>
        <v>🚽 Baño</v>
      </c>
      <c r="O3" t="str">
        <f>CATÁLOGOS!H6</f>
        <v>Lavandina</v>
      </c>
      <c r="P3" t="s">
        <v>1732</v>
      </c>
    </row>
    <row r="4" spans="1:16">
      <c r="A4" s="68" t="s">
        <v>1733</v>
      </c>
      <c r="B4" s="68"/>
      <c r="C4" s="68"/>
      <c r="D4" s="68"/>
      <c r="E4" s="68"/>
      <c r="F4" s="68"/>
      <c r="H4" s="68" t="s">
        <v>1734</v>
      </c>
      <c r="I4" s="68"/>
      <c r="J4" s="68"/>
      <c r="K4" s="68"/>
      <c r="L4" s="68"/>
      <c r="N4" t="str">
        <f>CATÁLOGOS!B7</f>
        <v>🍽️ Cocina</v>
      </c>
      <c r="O4" t="str">
        <f>CATÁLOGOS!H7</f>
        <v>Detergentes y Lavavajillas</v>
      </c>
      <c r="P4" t="s">
        <v>1735</v>
      </c>
    </row>
    <row r="5" spans="1:16">
      <c r="A5" s="49" t="s">
        <v>1736</v>
      </c>
      <c r="B5" s="50" t="s">
        <v>1908</v>
      </c>
      <c r="H5" s="49" t="s">
        <v>1736</v>
      </c>
      <c r="I5" s="50"/>
      <c r="N5" t="str">
        <f>CATÁLOGOS!B8</f>
        <v>👕 Ropa y lavado</v>
      </c>
      <c r="O5">
        <f>CATÁLOGOS!H8</f>
        <v>0</v>
      </c>
      <c r="P5" t="s">
        <v>1737</v>
      </c>
    </row>
    <row r="6" spans="1:16">
      <c r="A6" s="49" t="s">
        <v>1738</v>
      </c>
      <c r="B6" s="50" t="s">
        <v>1384</v>
      </c>
      <c r="H6" s="49" t="s">
        <v>1739</v>
      </c>
      <c r="I6" s="50"/>
      <c r="N6" t="str">
        <f>CATÁLOGOS!B9</f>
        <v>🌸 Aromas y fragancias</v>
      </c>
      <c r="O6">
        <f>CATÁLOGOS!H9</f>
        <v>0</v>
      </c>
      <c r="P6" t="s">
        <v>1740</v>
      </c>
    </row>
    <row r="7" spans="1:16">
      <c r="A7" s="49" t="s">
        <v>1741</v>
      </c>
      <c r="B7" s="50" t="s">
        <v>1845</v>
      </c>
      <c r="H7" s="49" t="s">
        <v>1742</v>
      </c>
      <c r="I7" s="50"/>
      <c r="N7" t="str">
        <f>CATÁLOGOS!B10</f>
        <v>🦠 Desinfección y limpieza</v>
      </c>
      <c r="O7" t="str">
        <f>CATÁLOGOS!H10</f>
        <v>Suavizante</v>
      </c>
      <c r="P7" t="s">
        <v>1743</v>
      </c>
    </row>
    <row r="8" spans="1:16">
      <c r="A8" s="49" t="s">
        <v>1744</v>
      </c>
      <c r="B8" s="50" t="s">
        <v>120</v>
      </c>
      <c r="H8" s="49" t="s">
        <v>1744</v>
      </c>
      <c r="I8" s="50"/>
      <c r="N8" t="str">
        <f>CATÁLOGOS!B11</f>
        <v>🧰 Accesorios y equipamiento</v>
      </c>
      <c r="O8" t="str">
        <f>CATÁLOGOS!H11</f>
        <v>Tradicional</v>
      </c>
      <c r="P8" t="s">
        <v>1473</v>
      </c>
    </row>
    <row r="9" spans="1:16">
      <c r="A9" s="49" t="s">
        <v>1745</v>
      </c>
      <c r="B9" s="50" t="s">
        <v>1834</v>
      </c>
      <c r="H9" s="49" t="s">
        <v>1745</v>
      </c>
      <c r="I9" s="50"/>
      <c r="N9" t="str">
        <f>CATÁLOGOS!B12</f>
        <v>🚗 Automotor</v>
      </c>
      <c r="O9" t="str">
        <f>CATÁLOGOS!H12</f>
        <v>Perfumes para ropa</v>
      </c>
      <c r="P9" t="s">
        <v>1746</v>
      </c>
    </row>
    <row r="10" spans="1:16" ht="42" customHeight="1">
      <c r="A10" s="49" t="s">
        <v>1747</v>
      </c>
      <c r="B10" s="50"/>
      <c r="H10" s="49" t="s">
        <v>1747</v>
      </c>
      <c r="I10" s="50"/>
      <c r="N10" t="str">
        <f>CATÁLOGOS!B13</f>
        <v>📦 Packs y ofertas</v>
      </c>
      <c r="O10" t="str">
        <f>CATÁLOGOS!H13</f>
        <v>Desengrasantes</v>
      </c>
      <c r="P10" t="s">
        <v>1748</v>
      </c>
    </row>
    <row r="11" spans="1:16" ht="42" customHeight="1">
      <c r="A11" s="49" t="s">
        <v>1749</v>
      </c>
      <c r="B11" s="50" t="s">
        <v>1846</v>
      </c>
      <c r="H11" s="49" t="s">
        <v>1749</v>
      </c>
      <c r="I11" s="50"/>
      <c r="N11" t="str">
        <f>CATÁLOGOS!B14</f>
        <v>🧹 Pisos y superficies</v>
      </c>
      <c r="O11" t="str">
        <f>CATÁLOGOS!H14</f>
        <v>Rejillas y repasadores</v>
      </c>
      <c r="P11" t="s">
        <v>1750</v>
      </c>
    </row>
    <row r="12" spans="1:16">
      <c r="A12" s="49" t="s">
        <v>1751</v>
      </c>
      <c r="B12" s="50"/>
      <c r="H12" s="49" t="s">
        <v>1752</v>
      </c>
      <c r="I12" s="50"/>
      <c r="N12" t="str">
        <f>CATÁLOGOS!B15</f>
        <v>🏠 Hogar y varios</v>
      </c>
      <c r="O12" t="str">
        <f>CATÁLOGOS!H15</f>
        <v>Trapos de piso</v>
      </c>
      <c r="P12" t="s">
        <v>1753</v>
      </c>
    </row>
    <row r="13" spans="1:16">
      <c r="A13" s="49" t="s">
        <v>1754</v>
      </c>
      <c r="B13" s="50"/>
      <c r="H13" s="49" t="s">
        <v>1754</v>
      </c>
      <c r="I13" s="50"/>
      <c r="N13" t="str">
        <f>CATÁLOGOS!B16</f>
        <v>🏊 Piletas</v>
      </c>
      <c r="O13" t="str">
        <f>CATÁLOGOS!H16</f>
        <v>Escobas y escobillones</v>
      </c>
      <c r="P13" t="s">
        <v>1755</v>
      </c>
    </row>
    <row r="14" spans="1:16" ht="42" customHeight="1">
      <c r="A14" s="49" t="s">
        <v>1756</v>
      </c>
      <c r="B14" s="50"/>
      <c r="H14" s="49" t="s">
        <v>1757</v>
      </c>
      <c r="I14" s="50"/>
      <c r="N14">
        <f>CATÁLOGOS!B17</f>
        <v>0</v>
      </c>
      <c r="O14" t="str">
        <f>CATÁLOGOS!H17</f>
        <v>Bruja</v>
      </c>
      <c r="P14" t="s">
        <v>1758</v>
      </c>
    </row>
    <row r="15" spans="1:16" ht="42" customHeight="1">
      <c r="A15" s="49" t="s">
        <v>1759</v>
      </c>
      <c r="B15" s="50" t="s">
        <v>1909</v>
      </c>
      <c r="H15" s="49" t="s">
        <v>1760</v>
      </c>
      <c r="I15" s="50"/>
      <c r="N15">
        <f>CATÁLOGOS!B18</f>
        <v>0</v>
      </c>
      <c r="O15" t="str">
        <f>CATÁLOGOS!H18</f>
        <v>Esponja</v>
      </c>
      <c r="P15" t="s">
        <v>1761</v>
      </c>
    </row>
    <row r="16" spans="1:16" ht="79.2">
      <c r="A16" s="49" t="s">
        <v>1762</v>
      </c>
      <c r="B16" s="50" t="s">
        <v>1910</v>
      </c>
      <c r="H16" s="49" t="s">
        <v>1763</v>
      </c>
      <c r="I16" s="50"/>
      <c r="N16">
        <f>CATÁLOGOS!B19</f>
        <v>0</v>
      </c>
      <c r="O16" t="str">
        <f>CATÁLOGOS!H19</f>
        <v>Silicona</v>
      </c>
      <c r="P16" t="s">
        <v>1764</v>
      </c>
    </row>
    <row r="17" spans="1:16">
      <c r="A17" s="49" t="s">
        <v>1763</v>
      </c>
      <c r="B17" s="50">
        <v>6250</v>
      </c>
      <c r="H17" s="49" t="s">
        <v>1765</v>
      </c>
      <c r="I17" s="50"/>
      <c r="N17">
        <f>CATÁLOGOS!B20</f>
        <v>0</v>
      </c>
      <c r="O17" t="str">
        <f>CATÁLOGOS!H20</f>
        <v>Silicona en Aerosol</v>
      </c>
      <c r="P17" t="s">
        <v>1766</v>
      </c>
    </row>
    <row r="18" spans="1:16">
      <c r="A18" s="49" t="s">
        <v>1765</v>
      </c>
      <c r="B18" s="50" t="s">
        <v>1351</v>
      </c>
      <c r="H18" s="49" t="s">
        <v>1767</v>
      </c>
      <c r="I18" s="50"/>
      <c r="N18">
        <f>CATÁLOGOS!B21</f>
        <v>0</v>
      </c>
      <c r="O18" t="str">
        <f>CATÁLOGOS!H21</f>
        <v>Shampoo Siliconado</v>
      </c>
      <c r="P18" t="s">
        <v>1768</v>
      </c>
    </row>
    <row r="19" spans="1:16">
      <c r="A19" s="49" t="s">
        <v>1767</v>
      </c>
      <c r="B19" s="50">
        <v>4000</v>
      </c>
      <c r="H19" s="49" t="s">
        <v>1769</v>
      </c>
      <c r="I19" s="50" t="s">
        <v>33</v>
      </c>
      <c r="N19">
        <f>CATÁLOGOS!B22</f>
        <v>0</v>
      </c>
      <c r="O19" t="str">
        <f>CATÁLOGOS!H22</f>
        <v>Mini Lata Walker</v>
      </c>
      <c r="P19" t="s">
        <v>1770</v>
      </c>
    </row>
    <row r="20" spans="1:16">
      <c r="A20" s="49" t="s">
        <v>1769</v>
      </c>
      <c r="B20" s="50" t="s">
        <v>33</v>
      </c>
      <c r="H20" s="49" t="s">
        <v>1771</v>
      </c>
      <c r="I20" s="50" t="s">
        <v>34</v>
      </c>
      <c r="N20">
        <f>CATÁLOGOS!B23</f>
        <v>0</v>
      </c>
      <c r="O20" t="str">
        <f>CATÁLOGOS!H23</f>
        <v>Perfume en Lata Walker</v>
      </c>
      <c r="P20" t="s">
        <v>1846</v>
      </c>
    </row>
    <row r="21" spans="1:16">
      <c r="A21" s="49" t="s">
        <v>1771</v>
      </c>
      <c r="B21" s="50" t="s">
        <v>736</v>
      </c>
      <c r="N21">
        <f>CATÁLOGOS!B24</f>
        <v>0</v>
      </c>
      <c r="O21" t="str">
        <f>CATÁLOGOS!H24</f>
        <v>Cera</v>
      </c>
      <c r="P21" t="s">
        <v>1772</v>
      </c>
    </row>
    <row r="22" spans="1:16">
      <c r="N22">
        <f>CATÁLOGOS!B25</f>
        <v>0</v>
      </c>
      <c r="O22" t="str">
        <f>CATÁLOGOS!H25</f>
        <v>Limpia Tapizado en Aerosol</v>
      </c>
      <c r="P22" t="s">
        <v>1773</v>
      </c>
    </row>
    <row r="23" spans="1:16">
      <c r="A23" s="69" t="s">
        <v>1775</v>
      </c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N23">
        <f>CATÁLOGOS!B26</f>
        <v>0</v>
      </c>
      <c r="O23" t="str">
        <f>CATÁLOGOS!H26</f>
        <v>Jabón líquido de manos</v>
      </c>
      <c r="P23" t="s">
        <v>1774</v>
      </c>
    </row>
    <row r="24" spans="1:16">
      <c r="A24" s="51" t="s">
        <v>2</v>
      </c>
      <c r="B24" s="52">
        <v>257</v>
      </c>
      <c r="C24" s="51" t="s">
        <v>1769</v>
      </c>
      <c r="D24" s="52" t="s">
        <v>33</v>
      </c>
      <c r="N24">
        <f>CATÁLOGOS!B27</f>
        <v>0</v>
      </c>
      <c r="O24" t="str">
        <f>CATÁLOGOS!H27</f>
        <v>Difusores aromáticos</v>
      </c>
      <c r="P24" t="s">
        <v>1776</v>
      </c>
    </row>
    <row r="25" spans="1:16">
      <c r="A25" s="51" t="s">
        <v>1778</v>
      </c>
      <c r="B25" s="52" t="s">
        <v>1914</v>
      </c>
      <c r="C25" s="51" t="s">
        <v>1779</v>
      </c>
      <c r="D25" s="52" t="s">
        <v>1796</v>
      </c>
      <c r="N25">
        <f>CATÁLOGOS!B28</f>
        <v>0</v>
      </c>
      <c r="O25" t="str">
        <f>CATÁLOGOS!H28</f>
        <v>Promociones</v>
      </c>
      <c r="P25" t="s">
        <v>1777</v>
      </c>
    </row>
    <row r="26" spans="1:16">
      <c r="A26" s="51" t="s">
        <v>1781</v>
      </c>
      <c r="B26" s="52" t="s">
        <v>714</v>
      </c>
      <c r="C26" s="51" t="s">
        <v>1782</v>
      </c>
      <c r="D26" s="52"/>
      <c r="N26">
        <f>CATÁLOGOS!B29</f>
        <v>0</v>
      </c>
      <c r="O26">
        <f>CATÁLOGOS!H29</f>
        <v>0</v>
      </c>
      <c r="P26" t="s">
        <v>1780</v>
      </c>
    </row>
    <row r="27" spans="1:16">
      <c r="A27" s="51" t="s">
        <v>1784</v>
      </c>
      <c r="B27" s="52" t="s">
        <v>715</v>
      </c>
      <c r="C27" s="51" t="s">
        <v>1754</v>
      </c>
      <c r="D27" s="52"/>
      <c r="N27">
        <f>CATÁLOGOS!B30</f>
        <v>0</v>
      </c>
      <c r="O27">
        <f>CATÁLOGOS!H30</f>
        <v>0</v>
      </c>
      <c r="P27" t="s">
        <v>1783</v>
      </c>
    </row>
    <row r="28" spans="1:16">
      <c r="A28" s="51" t="s">
        <v>1785</v>
      </c>
      <c r="B28" s="52" t="s">
        <v>1911</v>
      </c>
      <c r="C28" s="51" t="s">
        <v>1786</v>
      </c>
      <c r="D28" s="52"/>
      <c r="N28">
        <f>CATÁLOGOS!B31</f>
        <v>0</v>
      </c>
      <c r="O28" t="str">
        <f>CATÁLOGOS!H31</f>
        <v>Cloro</v>
      </c>
    </row>
    <row r="29" spans="1:16">
      <c r="A29" s="51" t="s">
        <v>1787</v>
      </c>
      <c r="B29" s="53" t="s">
        <v>1913</v>
      </c>
      <c r="C29" s="51" t="s">
        <v>1788</v>
      </c>
      <c r="D29" s="61" t="s">
        <v>1915</v>
      </c>
      <c r="N29">
        <f>CATÁLOGOS!B32</f>
        <v>0</v>
      </c>
      <c r="O29">
        <f>CATÁLOGOS!H32</f>
        <v>0</v>
      </c>
    </row>
    <row r="30" spans="1:16">
      <c r="N30">
        <f>CATÁLOGOS!B33</f>
        <v>0</v>
      </c>
      <c r="O30">
        <f>CATÁLOGOS!H33</f>
        <v>0</v>
      </c>
    </row>
    <row r="31" spans="1:16">
      <c r="A31" s="63" t="s">
        <v>1789</v>
      </c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N31">
        <f>CATÁLOGOS!B34</f>
        <v>0</v>
      </c>
      <c r="O31" t="str">
        <f>CATÁLOGOS!H34</f>
        <v>Desodorante para piso</v>
      </c>
    </row>
    <row r="32" spans="1:16" ht="24" customHeight="1">
      <c r="A32" s="65" t="s">
        <v>1790</v>
      </c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N32">
        <f>CATÁLOGOS!B35</f>
        <v>0</v>
      </c>
      <c r="O32" t="str">
        <f>CATÁLOGOS!H35</f>
        <v>Cabos y mangos</v>
      </c>
    </row>
    <row r="33" spans="1:15" ht="24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N33">
        <f>CATÁLOGOS!B36</f>
        <v>0</v>
      </c>
      <c r="O33" t="str">
        <f>CATÁLOGOS!H36</f>
        <v>Esponjas</v>
      </c>
    </row>
    <row r="34" spans="1:15" ht="24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N34">
        <f>CATÁLOGOS!B37</f>
        <v>0</v>
      </c>
      <c r="O34" t="str">
        <f>CATÁLOGOS!H37</f>
        <v>Artículos para tender</v>
      </c>
    </row>
    <row r="35" spans="1:15" ht="24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N35">
        <f>CATÁLOGOS!B38</f>
        <v>0</v>
      </c>
      <c r="O35" t="str">
        <f>CATÁLOGOS!H38</f>
        <v>Accesorios de baño</v>
      </c>
    </row>
    <row r="36" spans="1:15">
      <c r="N36">
        <f>CATÁLOGOS!B39</f>
        <v>0</v>
      </c>
      <c r="O36" t="str">
        <f>CATÁLOGOS!H39</f>
        <v>Aerosol ambiental</v>
      </c>
    </row>
    <row r="37" spans="1:15">
      <c r="N37">
        <f>CATÁLOGOS!B40</f>
        <v>0</v>
      </c>
      <c r="O37" t="str">
        <f>CATÁLOGOS!H40</f>
        <v>Aerosol desinfectante</v>
      </c>
    </row>
    <row r="38" spans="1:15">
      <c r="N38">
        <f>CATÁLOGOS!B41</f>
        <v>0</v>
      </c>
      <c r="O38" t="str">
        <f>CATÁLOGOS!H41</f>
        <v>Lustramuebles</v>
      </c>
    </row>
    <row r="39" spans="1:15">
      <c r="N39">
        <f>CATÁLOGOS!B42</f>
        <v>0</v>
      </c>
      <c r="O39" t="str">
        <f>CATÁLOGOS!H42</f>
        <v>Limpiador de horno</v>
      </c>
    </row>
    <row r="40" spans="1:15">
      <c r="N40">
        <f>CATÁLOGOS!B43</f>
        <v>0</v>
      </c>
      <c r="O40" t="str">
        <f>CATÁLOGOS!H43</f>
        <v>Apresto para ropa</v>
      </c>
    </row>
    <row r="41" spans="1:15">
      <c r="N41">
        <f>CATÁLOGOS!B44</f>
        <v>0</v>
      </c>
      <c r="O41" t="str">
        <f>CATÁLOGOS!H44</f>
        <v>Insecticidas</v>
      </c>
    </row>
    <row r="42" spans="1:15">
      <c r="N42">
        <f>CATÁLOGOS!B45</f>
        <v>0</v>
      </c>
      <c r="O42" t="str">
        <f>CATÁLOGOS!H45</f>
        <v>Guantes</v>
      </c>
    </row>
    <row r="43" spans="1:15">
      <c r="N43">
        <f>CATÁLOGOS!B46</f>
        <v>0</v>
      </c>
      <c r="O43" t="str">
        <f>CATÁLOGOS!H46</f>
        <v>Mopas</v>
      </c>
    </row>
    <row r="44" spans="1:15">
      <c r="N44">
        <f>CATÁLOGOS!B47</f>
        <v>0</v>
      </c>
      <c r="O44" t="str">
        <f>CATÁLOGOS!H47</f>
        <v>Repuestos</v>
      </c>
    </row>
    <row r="45" spans="1:15">
      <c r="N45">
        <f>CATÁLOGOS!B48</f>
        <v>0</v>
      </c>
      <c r="O45" t="str">
        <f>CATÁLOGOS!H48</f>
        <v>Baldes y recipientes</v>
      </c>
    </row>
    <row r="46" spans="1:15">
      <c r="N46">
        <f>CATÁLOGOS!B49</f>
        <v>0</v>
      </c>
      <c r="O46" t="str">
        <f>CATÁLOGOS!H49</f>
        <v>Líquidos</v>
      </c>
    </row>
    <row r="47" spans="1:15">
      <c r="N47">
        <f>CATÁLOGOS!B50</f>
        <v>0</v>
      </c>
      <c r="O47" t="str">
        <f>CATÁLOGOS!H50</f>
        <v>Químicos</v>
      </c>
    </row>
    <row r="48" spans="1:15">
      <c r="N48">
        <f>CATÁLOGOS!B51</f>
        <v>0</v>
      </c>
      <c r="O48" t="str">
        <f>CATÁLOGOS!H51</f>
        <v>Mangueras</v>
      </c>
    </row>
    <row r="49" spans="14:15">
      <c r="N49">
        <f>CATÁLOGOS!B52</f>
        <v>0</v>
      </c>
      <c r="O49" t="str">
        <f>CATÁLOGOS!H52</f>
        <v>Accesorios de pileta</v>
      </c>
    </row>
    <row r="50" spans="14:15">
      <c r="N50">
        <f>CATÁLOGOS!B53</f>
        <v>0</v>
      </c>
      <c r="O50" t="str">
        <f>CATÁLOGOS!H53</f>
        <v>Velas</v>
      </c>
    </row>
    <row r="51" spans="14:15">
      <c r="N51">
        <f>CATÁLOGOS!B54</f>
        <v>0</v>
      </c>
      <c r="O51" t="str">
        <f>CATÁLOGOS!H54</f>
        <v>Papel y film</v>
      </c>
    </row>
    <row r="52" spans="14:15">
      <c r="N52">
        <f>CATÁLOGOS!B55</f>
        <v>0</v>
      </c>
      <c r="O52" t="str">
        <f>CATÁLOGOS!H55</f>
        <v>Bolsas y freezer</v>
      </c>
    </row>
    <row r="53" spans="14:15">
      <c r="N53">
        <f>CATÁLOGOS!B56</f>
        <v>0</v>
      </c>
      <c r="O53" t="str">
        <f>CATÁLOGOS!H56</f>
        <v>Varios</v>
      </c>
    </row>
    <row r="54" spans="14:15">
      <c r="N54">
        <f>CATÁLOGOS!B57</f>
        <v>0</v>
      </c>
      <c r="O54" t="str">
        <f>CATÁLOGOS!H57</f>
        <v>CIF</v>
      </c>
    </row>
    <row r="55" spans="14:15">
      <c r="N55">
        <f>CATÁLOGOS!B58</f>
        <v>0</v>
      </c>
      <c r="O55">
        <f>CATÁLOGOS!H58</f>
        <v>0</v>
      </c>
    </row>
    <row r="56" spans="14:15">
      <c r="N56">
        <f>CATÁLOGOS!B59</f>
        <v>0</v>
      </c>
      <c r="O56">
        <f>CATÁLOGOS!H59</f>
        <v>0</v>
      </c>
    </row>
    <row r="57" spans="14:15">
      <c r="N57">
        <f>CATÁLOGOS!B60</f>
        <v>0</v>
      </c>
      <c r="O57">
        <f>CATÁLOGOS!H60</f>
        <v>0</v>
      </c>
    </row>
    <row r="58" spans="14:15">
      <c r="N58">
        <f>CATÁLOGOS!B61</f>
        <v>0</v>
      </c>
      <c r="O58">
        <f>CATÁLOGOS!H61</f>
        <v>0</v>
      </c>
    </row>
    <row r="59" spans="14:15">
      <c r="N59">
        <f>CATÁLOGOS!B62</f>
        <v>0</v>
      </c>
      <c r="O59">
        <f>CATÁLOGOS!H62</f>
        <v>0</v>
      </c>
    </row>
    <row r="60" spans="14:15">
      <c r="N60">
        <f>CATÁLOGOS!B63</f>
        <v>0</v>
      </c>
      <c r="O60">
        <f>CATÁLOGOS!H63</f>
        <v>0</v>
      </c>
    </row>
    <row r="61" spans="14:15">
      <c r="N61">
        <f>CATÁLOGOS!B64</f>
        <v>0</v>
      </c>
      <c r="O61">
        <f>CATÁLOGOS!H64</f>
        <v>0</v>
      </c>
    </row>
    <row r="62" spans="14:15">
      <c r="N62">
        <f>CATÁLOGOS!B65</f>
        <v>0</v>
      </c>
      <c r="O62">
        <f>CATÁLOGOS!H65</f>
        <v>0</v>
      </c>
    </row>
    <row r="63" spans="14:15">
      <c r="N63">
        <f>CATÁLOGOS!B66</f>
        <v>0</v>
      </c>
      <c r="O63">
        <f>CATÁLOGOS!H66</f>
        <v>0</v>
      </c>
    </row>
    <row r="64" spans="14:15">
      <c r="N64">
        <f>CATÁLOGOS!B67</f>
        <v>0</v>
      </c>
      <c r="O64">
        <f>CATÁLOGOS!H67</f>
        <v>0</v>
      </c>
    </row>
    <row r="65" spans="14:15">
      <c r="N65">
        <f>CATÁLOGOS!B68</f>
        <v>0</v>
      </c>
      <c r="O65">
        <f>CATÁLOGOS!H68</f>
        <v>0</v>
      </c>
    </row>
    <row r="66" spans="14:15">
      <c r="N66">
        <f>CATÁLOGOS!B69</f>
        <v>0</v>
      </c>
      <c r="O66">
        <f>CATÁLOGOS!H69</f>
        <v>0</v>
      </c>
    </row>
    <row r="67" spans="14:15">
      <c r="N67">
        <f>CATÁLOGOS!B70</f>
        <v>0</v>
      </c>
      <c r="O67">
        <f>CATÁLOGOS!H70</f>
        <v>0</v>
      </c>
    </row>
    <row r="68" spans="14:15">
      <c r="N68">
        <f>CATÁLOGOS!B71</f>
        <v>0</v>
      </c>
      <c r="O68">
        <f>CATÁLOGOS!H71</f>
        <v>0</v>
      </c>
    </row>
    <row r="69" spans="14:15">
      <c r="N69">
        <f>CATÁLOGOS!B72</f>
        <v>0</v>
      </c>
      <c r="O69">
        <f>CATÁLOGOS!H72</f>
        <v>0</v>
      </c>
    </row>
    <row r="70" spans="14:15">
      <c r="N70">
        <f>CATÁLOGOS!B73</f>
        <v>0</v>
      </c>
      <c r="O70">
        <f>CATÁLOGOS!H73</f>
        <v>0</v>
      </c>
    </row>
    <row r="71" spans="14:15">
      <c r="N71">
        <f>CATÁLOGOS!B74</f>
        <v>0</v>
      </c>
      <c r="O71">
        <f>CATÁLOGOS!H74</f>
        <v>0</v>
      </c>
    </row>
    <row r="72" spans="14:15">
      <c r="N72">
        <f>CATÁLOGOS!B75</f>
        <v>0</v>
      </c>
      <c r="O72">
        <f>CATÁLOGOS!H75</f>
        <v>0</v>
      </c>
    </row>
    <row r="73" spans="14:15">
      <c r="N73">
        <f>CATÁLOGOS!B76</f>
        <v>0</v>
      </c>
      <c r="O73">
        <f>CATÁLOGOS!H76</f>
        <v>0</v>
      </c>
    </row>
    <row r="74" spans="14:15">
      <c r="N74">
        <f>CATÁLOGOS!B77</f>
        <v>0</v>
      </c>
      <c r="O74">
        <f>CATÁLOGOS!H77</f>
        <v>0</v>
      </c>
    </row>
    <row r="75" spans="14:15">
      <c r="N75">
        <f>CATÁLOGOS!B78</f>
        <v>0</v>
      </c>
      <c r="O75">
        <f>CATÁLOGOS!H78</f>
        <v>0</v>
      </c>
    </row>
    <row r="76" spans="14:15">
      <c r="N76">
        <f>CATÁLOGOS!B79</f>
        <v>0</v>
      </c>
      <c r="O76">
        <f>CATÁLOGOS!H79</f>
        <v>0</v>
      </c>
    </row>
    <row r="77" spans="14:15">
      <c r="N77">
        <f>CATÁLOGOS!B80</f>
        <v>0</v>
      </c>
      <c r="O77">
        <f>CATÁLOGOS!H80</f>
        <v>0</v>
      </c>
    </row>
    <row r="78" spans="14:15">
      <c r="N78">
        <f>CATÁLOGOS!B81</f>
        <v>0</v>
      </c>
      <c r="O78">
        <f>CATÁLOGOS!H81</f>
        <v>0</v>
      </c>
    </row>
    <row r="79" spans="14:15">
      <c r="N79">
        <f>CATÁLOGOS!B82</f>
        <v>0</v>
      </c>
      <c r="O79">
        <f>CATÁLOGOS!H82</f>
        <v>0</v>
      </c>
    </row>
    <row r="80" spans="14:15">
      <c r="N80">
        <f>CATÁLOGOS!B83</f>
        <v>0</v>
      </c>
      <c r="O80">
        <f>CATÁLOGOS!H83</f>
        <v>0</v>
      </c>
    </row>
    <row r="81" spans="14:15">
      <c r="N81">
        <f>CATÁLOGOS!B84</f>
        <v>0</v>
      </c>
      <c r="O81">
        <f>CATÁLOGOS!H84</f>
        <v>0</v>
      </c>
    </row>
    <row r="82" spans="14:15">
      <c r="N82">
        <f>CATÁLOGOS!B85</f>
        <v>0</v>
      </c>
      <c r="O82">
        <f>CATÁLOGOS!H85</f>
        <v>0</v>
      </c>
    </row>
    <row r="83" spans="14:15">
      <c r="N83">
        <f>CATÁLOGOS!B86</f>
        <v>0</v>
      </c>
      <c r="O83">
        <f>CATÁLOGOS!H86</f>
        <v>0</v>
      </c>
    </row>
    <row r="84" spans="14:15">
      <c r="N84">
        <f>CATÁLOGOS!B87</f>
        <v>0</v>
      </c>
      <c r="O84">
        <f>CATÁLOGOS!H87</f>
        <v>0</v>
      </c>
    </row>
    <row r="85" spans="14:15">
      <c r="N85">
        <f>CATÁLOGOS!B88</f>
        <v>0</v>
      </c>
      <c r="O85">
        <f>CATÁLOGOS!H88</f>
        <v>0</v>
      </c>
    </row>
    <row r="86" spans="14:15">
      <c r="N86">
        <f>CATÁLOGOS!B89</f>
        <v>0</v>
      </c>
      <c r="O86">
        <f>CATÁLOGOS!H89</f>
        <v>0</v>
      </c>
    </row>
    <row r="87" spans="14:15">
      <c r="N87">
        <f>CATÁLOGOS!B90</f>
        <v>0</v>
      </c>
      <c r="O87">
        <f>CATÁLOGOS!H90</f>
        <v>0</v>
      </c>
    </row>
    <row r="88" spans="14:15">
      <c r="N88">
        <f>CATÁLOGOS!B91</f>
        <v>0</v>
      </c>
      <c r="O88">
        <f>CATÁLOGOS!H91</f>
        <v>0</v>
      </c>
    </row>
    <row r="89" spans="14:15">
      <c r="N89">
        <f>CATÁLOGOS!B92</f>
        <v>0</v>
      </c>
      <c r="O89">
        <f>CATÁLOGOS!H92</f>
        <v>0</v>
      </c>
    </row>
    <row r="90" spans="14:15">
      <c r="N90">
        <f>CATÁLOGOS!B93</f>
        <v>0</v>
      </c>
      <c r="O90">
        <f>CATÁLOGOS!H93</f>
        <v>0</v>
      </c>
    </row>
    <row r="91" spans="14:15">
      <c r="N91">
        <f>CATÁLOGOS!B94</f>
        <v>0</v>
      </c>
      <c r="O91">
        <f>CATÁLOGOS!H94</f>
        <v>0</v>
      </c>
    </row>
    <row r="92" spans="14:15">
      <c r="N92">
        <f>CATÁLOGOS!B95</f>
        <v>0</v>
      </c>
      <c r="O92">
        <f>CATÁLOGOS!H95</f>
        <v>0</v>
      </c>
    </row>
    <row r="93" spans="14:15">
      <c r="N93">
        <f>CATÁLOGOS!B96</f>
        <v>0</v>
      </c>
      <c r="O93">
        <f>CATÁLOGOS!H96</f>
        <v>0</v>
      </c>
    </row>
    <row r="94" spans="14:15">
      <c r="N94">
        <f>CATÁLOGOS!B97</f>
        <v>0</v>
      </c>
      <c r="O94">
        <f>CATÁLOGOS!H97</f>
        <v>0</v>
      </c>
    </row>
    <row r="95" spans="14:15">
      <c r="N95">
        <f>CATÁLOGOS!B98</f>
        <v>0</v>
      </c>
      <c r="O95">
        <f>CATÁLOGOS!H98</f>
        <v>0</v>
      </c>
    </row>
    <row r="96" spans="14:15">
      <c r="N96">
        <f>CATÁLOGOS!B99</f>
        <v>0</v>
      </c>
      <c r="O96">
        <f>CATÁLOGOS!H99</f>
        <v>0</v>
      </c>
    </row>
    <row r="97" spans="14:15">
      <c r="N97">
        <f>CATÁLOGOS!B100</f>
        <v>0</v>
      </c>
      <c r="O97">
        <f>CATÁLOGOS!H100</f>
        <v>0</v>
      </c>
    </row>
    <row r="98" spans="14:15">
      <c r="N98">
        <f>CATÁLOGOS!B101</f>
        <v>0</v>
      </c>
      <c r="O98">
        <f>CATÁLOGOS!H101</f>
        <v>0</v>
      </c>
    </row>
    <row r="99" spans="14:15">
      <c r="N99">
        <f>CATÁLOGOS!B102</f>
        <v>0</v>
      </c>
      <c r="O99">
        <f>CATÁLOGOS!H102</f>
        <v>0</v>
      </c>
    </row>
    <row r="100" spans="14:15">
      <c r="N100">
        <f>CATÁLOGOS!B103</f>
        <v>0</v>
      </c>
      <c r="O100">
        <f>CATÁLOGOS!H103</f>
        <v>0</v>
      </c>
    </row>
    <row r="101" spans="14:15">
      <c r="N101">
        <f>CATÁLOGOS!B104</f>
        <v>0</v>
      </c>
      <c r="O101">
        <f>CATÁLOGOS!H104</f>
        <v>0</v>
      </c>
    </row>
    <row r="102" spans="14:15">
      <c r="N102">
        <f>CATÁLOGOS!B105</f>
        <v>0</v>
      </c>
      <c r="O102">
        <f>CATÁLOGOS!H105</f>
        <v>0</v>
      </c>
    </row>
    <row r="103" spans="14:15">
      <c r="N103">
        <f>CATÁLOGOS!B106</f>
        <v>0</v>
      </c>
      <c r="O103">
        <f>CATÁLOGOS!H106</f>
        <v>0</v>
      </c>
    </row>
    <row r="104" spans="14:15">
      <c r="N104">
        <f>CATÁLOGOS!B107</f>
        <v>0</v>
      </c>
      <c r="O104">
        <f>CATÁLOGOS!H107</f>
        <v>0</v>
      </c>
    </row>
    <row r="105" spans="14:15">
      <c r="O105">
        <f>CATÁLOGOS!H108</f>
        <v>0</v>
      </c>
    </row>
    <row r="106" spans="14:15">
      <c r="O106">
        <f>CATÁLOGOS!H109</f>
        <v>0</v>
      </c>
    </row>
    <row r="107" spans="14:15">
      <c r="O107">
        <f>CATÁLOGOS!H110</f>
        <v>0</v>
      </c>
    </row>
    <row r="108" spans="14:15">
      <c r="O108">
        <f>CATÁLOGOS!H111</f>
        <v>0</v>
      </c>
    </row>
    <row r="109" spans="14:15">
      <c r="O109">
        <f>CATÁLOGOS!H112</f>
        <v>0</v>
      </c>
    </row>
    <row r="110" spans="14:15">
      <c r="O110">
        <f>CATÁLOGOS!H113</f>
        <v>0</v>
      </c>
    </row>
    <row r="111" spans="14:15">
      <c r="O111">
        <f>CATÁLOGOS!H114</f>
        <v>0</v>
      </c>
    </row>
    <row r="112" spans="14:15">
      <c r="O112">
        <f>CATÁLOGOS!H115</f>
        <v>0</v>
      </c>
    </row>
    <row r="113" spans="15:15">
      <c r="O113">
        <f>CATÁLOGOS!H116</f>
        <v>0</v>
      </c>
    </row>
    <row r="114" spans="15:15">
      <c r="O114">
        <f>CATÁLOGOS!H117</f>
        <v>0</v>
      </c>
    </row>
    <row r="115" spans="15:15">
      <c r="O115">
        <f>CATÁLOGOS!H118</f>
        <v>0</v>
      </c>
    </row>
    <row r="116" spans="15:15">
      <c r="O116">
        <f>CATÁLOGOS!H119</f>
        <v>0</v>
      </c>
    </row>
    <row r="117" spans="15:15">
      <c r="O117">
        <f>CATÁLOGOS!H120</f>
        <v>0</v>
      </c>
    </row>
    <row r="118" spans="15:15">
      <c r="O118">
        <f>CATÁLOGOS!H121</f>
        <v>0</v>
      </c>
    </row>
    <row r="119" spans="15:15">
      <c r="O119">
        <f>CATÁLOGOS!H122</f>
        <v>0</v>
      </c>
    </row>
    <row r="120" spans="15:15">
      <c r="O120">
        <f>CATÁLOGOS!H123</f>
        <v>0</v>
      </c>
    </row>
    <row r="121" spans="15:15">
      <c r="O121">
        <f>CATÁLOGOS!H124</f>
        <v>0</v>
      </c>
    </row>
    <row r="122" spans="15:15">
      <c r="O122">
        <f>CATÁLOGOS!H125</f>
        <v>0</v>
      </c>
    </row>
    <row r="123" spans="15:15">
      <c r="O123">
        <f>CATÁLOGOS!H126</f>
        <v>0</v>
      </c>
    </row>
    <row r="124" spans="15:15">
      <c r="O124">
        <f>CATÁLOGOS!H127</f>
        <v>0</v>
      </c>
    </row>
    <row r="125" spans="15:15">
      <c r="O125">
        <f>CATÁLOGOS!H128</f>
        <v>0</v>
      </c>
    </row>
    <row r="126" spans="15:15">
      <c r="O126">
        <f>CATÁLOGOS!H129</f>
        <v>0</v>
      </c>
    </row>
    <row r="127" spans="15:15">
      <c r="O127">
        <f>CATÁLOGOS!H130</f>
        <v>0</v>
      </c>
    </row>
    <row r="128" spans="15:15">
      <c r="O128">
        <f>CATÁLOGOS!H131</f>
        <v>0</v>
      </c>
    </row>
    <row r="129" spans="15:15">
      <c r="O129">
        <f>CATÁLOGOS!H132</f>
        <v>0</v>
      </c>
    </row>
    <row r="130" spans="15:15">
      <c r="O130">
        <f>CATÁLOGOS!H133</f>
        <v>0</v>
      </c>
    </row>
    <row r="131" spans="15:15">
      <c r="O131">
        <f>CATÁLOGOS!H134</f>
        <v>0</v>
      </c>
    </row>
    <row r="132" spans="15:15">
      <c r="O132">
        <f>CATÁLOGOS!H135</f>
        <v>0</v>
      </c>
    </row>
    <row r="133" spans="15:15">
      <c r="O133">
        <f>CATÁLOGOS!H136</f>
        <v>0</v>
      </c>
    </row>
    <row r="134" spans="15:15">
      <c r="O134">
        <f>CATÁLOGOS!H137</f>
        <v>0</v>
      </c>
    </row>
    <row r="135" spans="15:15">
      <c r="O135">
        <f>CATÁLOGOS!H138</f>
        <v>0</v>
      </c>
    </row>
    <row r="136" spans="15:15">
      <c r="O136">
        <f>CATÁLOGOS!H139</f>
        <v>0</v>
      </c>
    </row>
    <row r="137" spans="15:15">
      <c r="O137">
        <f>CATÁLOGOS!H140</f>
        <v>0</v>
      </c>
    </row>
    <row r="138" spans="15:15">
      <c r="O138">
        <f>CATÁLOGOS!H141</f>
        <v>0</v>
      </c>
    </row>
    <row r="139" spans="15:15">
      <c r="O139">
        <f>CATÁLOGOS!H142</f>
        <v>0</v>
      </c>
    </row>
    <row r="140" spans="15:15">
      <c r="O140">
        <f>CATÁLOGOS!H143</f>
        <v>0</v>
      </c>
    </row>
    <row r="141" spans="15:15">
      <c r="O141">
        <f>CATÁLOGOS!H144</f>
        <v>0</v>
      </c>
    </row>
    <row r="142" spans="15:15">
      <c r="O142">
        <f>CATÁLOGOS!H145</f>
        <v>0</v>
      </c>
    </row>
    <row r="143" spans="15:15">
      <c r="O143">
        <f>CATÁLOGOS!H146</f>
        <v>0</v>
      </c>
    </row>
    <row r="144" spans="15:15">
      <c r="O144">
        <f>CATÁLOGOS!H147</f>
        <v>0</v>
      </c>
    </row>
    <row r="145" spans="15:15">
      <c r="O145">
        <f>CATÁLOGOS!H148</f>
        <v>0</v>
      </c>
    </row>
    <row r="146" spans="15:15">
      <c r="O146">
        <f>CATÁLOGOS!H149</f>
        <v>0</v>
      </c>
    </row>
    <row r="147" spans="15:15">
      <c r="O147">
        <f>CATÁLOGOS!H150</f>
        <v>0</v>
      </c>
    </row>
    <row r="148" spans="15:15">
      <c r="O148">
        <f>CATÁLOGOS!H151</f>
        <v>0</v>
      </c>
    </row>
    <row r="149" spans="15:15">
      <c r="O149">
        <f>CATÁLOGOS!H152</f>
        <v>0</v>
      </c>
    </row>
    <row r="150" spans="15:15">
      <c r="O150">
        <f>CATÁLOGOS!H153</f>
        <v>0</v>
      </c>
    </row>
    <row r="151" spans="15:15">
      <c r="O151">
        <f>CATÁLOGOS!H154</f>
        <v>0</v>
      </c>
    </row>
    <row r="152" spans="15:15">
      <c r="O152">
        <f>CATÁLOGOS!H155</f>
        <v>0</v>
      </c>
    </row>
    <row r="153" spans="15:15">
      <c r="O153">
        <f>CATÁLOGOS!H156</f>
        <v>0</v>
      </c>
    </row>
    <row r="154" spans="15:15">
      <c r="O154">
        <f>CATÁLOGOS!H157</f>
        <v>0</v>
      </c>
    </row>
    <row r="155" spans="15:15">
      <c r="O155">
        <f>CATÁLOGOS!H158</f>
        <v>0</v>
      </c>
    </row>
    <row r="156" spans="15:15">
      <c r="O156">
        <f>CATÁLOGOS!H159</f>
        <v>0</v>
      </c>
    </row>
    <row r="157" spans="15:15">
      <c r="O157">
        <f>CATÁLOGOS!H160</f>
        <v>0</v>
      </c>
    </row>
    <row r="158" spans="15:15">
      <c r="O158">
        <f>CATÁLOGOS!H161</f>
        <v>0</v>
      </c>
    </row>
    <row r="159" spans="15:15">
      <c r="O159">
        <f>CATÁLOGOS!H162</f>
        <v>0</v>
      </c>
    </row>
    <row r="160" spans="15:15">
      <c r="O160">
        <f>CATÁLOGOS!H163</f>
        <v>0</v>
      </c>
    </row>
    <row r="161" spans="15:15">
      <c r="O161">
        <f>CATÁLOGOS!H164</f>
        <v>0</v>
      </c>
    </row>
    <row r="162" spans="15:15">
      <c r="O162">
        <f>CATÁLOGOS!H165</f>
        <v>0</v>
      </c>
    </row>
    <row r="163" spans="15:15">
      <c r="O163">
        <f>CATÁLOGOS!H166</f>
        <v>0</v>
      </c>
    </row>
    <row r="164" spans="15:15">
      <c r="O164">
        <f>CATÁLOGOS!H167</f>
        <v>0</v>
      </c>
    </row>
    <row r="165" spans="15:15">
      <c r="O165">
        <f>CATÁLOGOS!H168</f>
        <v>0</v>
      </c>
    </row>
    <row r="166" spans="15:15">
      <c r="O166">
        <f>CATÁLOGOS!H169</f>
        <v>0</v>
      </c>
    </row>
    <row r="167" spans="15:15">
      <c r="O167">
        <f>CATÁLOGOS!H170</f>
        <v>0</v>
      </c>
    </row>
    <row r="168" spans="15:15">
      <c r="O168">
        <f>CATÁLOGOS!H171</f>
        <v>0</v>
      </c>
    </row>
    <row r="169" spans="15:15">
      <c r="O169">
        <f>CATÁLOGOS!H172</f>
        <v>0</v>
      </c>
    </row>
    <row r="170" spans="15:15">
      <c r="O170">
        <f>CATÁLOGOS!H173</f>
        <v>0</v>
      </c>
    </row>
    <row r="171" spans="15:15">
      <c r="O171">
        <f>CATÁLOGOS!H174</f>
        <v>0</v>
      </c>
    </row>
    <row r="172" spans="15:15">
      <c r="O172">
        <f>CATÁLOGOS!H175</f>
        <v>0</v>
      </c>
    </row>
    <row r="173" spans="15:15">
      <c r="O173">
        <f>CATÁLOGOS!H176</f>
        <v>0</v>
      </c>
    </row>
    <row r="174" spans="15:15">
      <c r="O174">
        <f>CATÁLOGOS!H177</f>
        <v>0</v>
      </c>
    </row>
    <row r="175" spans="15:15">
      <c r="O175">
        <f>CATÁLOGOS!H178</f>
        <v>0</v>
      </c>
    </row>
    <row r="176" spans="15:15">
      <c r="O176">
        <f>CATÁLOGOS!H179</f>
        <v>0</v>
      </c>
    </row>
    <row r="177" spans="15:15">
      <c r="O177">
        <f>CATÁLOGOS!H180</f>
        <v>0</v>
      </c>
    </row>
    <row r="178" spans="15:15">
      <c r="O178">
        <f>CATÁLOGOS!H181</f>
        <v>0</v>
      </c>
    </row>
    <row r="179" spans="15:15">
      <c r="O179">
        <f>CATÁLOGOS!H182</f>
        <v>0</v>
      </c>
    </row>
    <row r="180" spans="15:15">
      <c r="O180">
        <f>CATÁLOGOS!H183</f>
        <v>0</v>
      </c>
    </row>
    <row r="181" spans="15:15">
      <c r="O181">
        <f>CATÁLOGOS!H184</f>
        <v>0</v>
      </c>
    </row>
    <row r="182" spans="15:15">
      <c r="O182">
        <f>CATÁLOGOS!H185</f>
        <v>0</v>
      </c>
    </row>
    <row r="183" spans="15:15">
      <c r="O183">
        <f>CATÁLOGOS!H186</f>
        <v>0</v>
      </c>
    </row>
    <row r="184" spans="15:15">
      <c r="O184">
        <f>CATÁLOGOS!H187</f>
        <v>0</v>
      </c>
    </row>
    <row r="185" spans="15:15">
      <c r="O185">
        <f>CATÁLOGOS!H188</f>
        <v>0</v>
      </c>
    </row>
    <row r="186" spans="15:15">
      <c r="O186">
        <f>CATÁLOGOS!H189</f>
        <v>0</v>
      </c>
    </row>
    <row r="187" spans="15:15">
      <c r="O187">
        <f>CATÁLOGOS!H190</f>
        <v>0</v>
      </c>
    </row>
    <row r="188" spans="15:15">
      <c r="O188">
        <f>CATÁLOGOS!H191</f>
        <v>0</v>
      </c>
    </row>
    <row r="189" spans="15:15">
      <c r="O189">
        <f>CATÁLOGOS!H192</f>
        <v>0</v>
      </c>
    </row>
    <row r="190" spans="15:15">
      <c r="O190">
        <f>CATÁLOGOS!H193</f>
        <v>0</v>
      </c>
    </row>
    <row r="191" spans="15:15">
      <c r="O191">
        <f>CATÁLOGOS!H194</f>
        <v>0</v>
      </c>
    </row>
    <row r="192" spans="15:15">
      <c r="O192">
        <f>CATÁLOGOS!H195</f>
        <v>0</v>
      </c>
    </row>
    <row r="193" spans="15:15">
      <c r="O193">
        <f>CATÁLOGOS!H196</f>
        <v>0</v>
      </c>
    </row>
    <row r="194" spans="15:15">
      <c r="O194">
        <f>CATÁLOGOS!H197</f>
        <v>0</v>
      </c>
    </row>
    <row r="195" spans="15:15">
      <c r="O195">
        <f>CATÁLOGOS!H198</f>
        <v>0</v>
      </c>
    </row>
    <row r="196" spans="15:15">
      <c r="O196">
        <f>CATÁLOGOS!H199</f>
        <v>0</v>
      </c>
    </row>
    <row r="197" spans="15:15">
      <c r="O197">
        <f>CATÁLOGOS!H200</f>
        <v>0</v>
      </c>
    </row>
    <row r="198" spans="15:15">
      <c r="O198">
        <f>CATÁLOGOS!H201</f>
        <v>0</v>
      </c>
    </row>
    <row r="199" spans="15:15">
      <c r="O199">
        <f>CATÁLOGOS!H202</f>
        <v>0</v>
      </c>
    </row>
    <row r="200" spans="15:15">
      <c r="O200">
        <f>CATÁLOGOS!H203</f>
        <v>0</v>
      </c>
    </row>
    <row r="201" spans="15:15">
      <c r="O201">
        <f>CATÁLOGOS!H204</f>
        <v>0</v>
      </c>
    </row>
    <row r="202" spans="15:15">
      <c r="O202">
        <f>CATÁLOGOS!H205</f>
        <v>0</v>
      </c>
    </row>
    <row r="203" spans="15:15">
      <c r="O203">
        <f>CATÁLOGOS!H206</f>
        <v>0</v>
      </c>
    </row>
    <row r="204" spans="15:15">
      <c r="O204">
        <f>CATÁLOGOS!H207</f>
        <v>0</v>
      </c>
    </row>
    <row r="205" spans="15:15">
      <c r="O205">
        <f>CATÁLOGOS!H208</f>
        <v>0</v>
      </c>
    </row>
    <row r="206" spans="15:15">
      <c r="O206">
        <f>CATÁLOGOS!H209</f>
        <v>0</v>
      </c>
    </row>
    <row r="207" spans="15:15">
      <c r="O207">
        <f>CATÁLOGOS!H210</f>
        <v>0</v>
      </c>
    </row>
    <row r="208" spans="15:15">
      <c r="O208">
        <f>CATÁLOGOS!H211</f>
        <v>0</v>
      </c>
    </row>
    <row r="209" spans="15:15">
      <c r="O209">
        <f>CATÁLOGOS!H212</f>
        <v>0</v>
      </c>
    </row>
    <row r="210" spans="15:15">
      <c r="O210">
        <f>CATÁLOGOS!H213</f>
        <v>0</v>
      </c>
    </row>
    <row r="211" spans="15:15">
      <c r="O211">
        <f>CATÁLOGOS!H214</f>
        <v>0</v>
      </c>
    </row>
    <row r="212" spans="15:15">
      <c r="O212">
        <f>CATÁLOGOS!H215</f>
        <v>0</v>
      </c>
    </row>
    <row r="213" spans="15:15">
      <c r="O213">
        <f>CATÁLOGOS!H216</f>
        <v>0</v>
      </c>
    </row>
    <row r="214" spans="15:15">
      <c r="O214">
        <f>CATÁLOGOS!H217</f>
        <v>0</v>
      </c>
    </row>
    <row r="215" spans="15:15">
      <c r="O215">
        <f>CATÁLOGOS!H218</f>
        <v>0</v>
      </c>
    </row>
    <row r="216" spans="15:15">
      <c r="O216">
        <f>CATÁLOGOS!H219</f>
        <v>0</v>
      </c>
    </row>
    <row r="217" spans="15:15">
      <c r="O217">
        <f>CATÁLOGOS!H220</f>
        <v>0</v>
      </c>
    </row>
    <row r="218" spans="15:15">
      <c r="O218">
        <f>CATÁLOGOS!H221</f>
        <v>0</v>
      </c>
    </row>
    <row r="219" spans="15:15">
      <c r="O219">
        <f>CATÁLOGOS!H222</f>
        <v>0</v>
      </c>
    </row>
    <row r="220" spans="15:15">
      <c r="O220">
        <f>CATÁLOGOS!H223</f>
        <v>0</v>
      </c>
    </row>
    <row r="221" spans="15:15">
      <c r="O221">
        <f>CATÁLOGOS!H224</f>
        <v>0</v>
      </c>
    </row>
    <row r="222" spans="15:15">
      <c r="O222">
        <f>CATÁLOGOS!H225</f>
        <v>0</v>
      </c>
    </row>
    <row r="223" spans="15:15">
      <c r="O223">
        <f>CATÁLOGOS!H226</f>
        <v>0</v>
      </c>
    </row>
    <row r="224" spans="15:15">
      <c r="O224">
        <f>CATÁLOGOS!H227</f>
        <v>0</v>
      </c>
    </row>
    <row r="225" spans="15:15">
      <c r="O225">
        <f>CATÁLOGOS!H228</f>
        <v>0</v>
      </c>
    </row>
    <row r="226" spans="15:15">
      <c r="O226">
        <f>CATÁLOGOS!H229</f>
        <v>0</v>
      </c>
    </row>
    <row r="227" spans="15:15">
      <c r="O227">
        <f>CATÁLOGOS!H230</f>
        <v>0</v>
      </c>
    </row>
    <row r="228" spans="15:15">
      <c r="O228">
        <f>CATÁLOGOS!H231</f>
        <v>0</v>
      </c>
    </row>
    <row r="229" spans="15:15">
      <c r="O229">
        <f>CATÁLOGOS!H232</f>
        <v>0</v>
      </c>
    </row>
    <row r="230" spans="15:15">
      <c r="O230">
        <f>CATÁLOGOS!H233</f>
        <v>0</v>
      </c>
    </row>
    <row r="231" spans="15:15">
      <c r="O231">
        <f>CATÁLOGOS!H234</f>
        <v>0</v>
      </c>
    </row>
    <row r="232" spans="15:15">
      <c r="O232">
        <f>CATÁLOGOS!H235</f>
        <v>0</v>
      </c>
    </row>
    <row r="233" spans="15:15">
      <c r="O233">
        <f>CATÁLOGOS!H236</f>
        <v>0</v>
      </c>
    </row>
    <row r="234" spans="15:15">
      <c r="O234">
        <f>CATÁLOGOS!H237</f>
        <v>0</v>
      </c>
    </row>
    <row r="235" spans="15:15">
      <c r="O235">
        <f>CATÁLOGOS!H238</f>
        <v>0</v>
      </c>
    </row>
    <row r="236" spans="15:15">
      <c r="O236">
        <f>CATÁLOGOS!H239</f>
        <v>0</v>
      </c>
    </row>
    <row r="237" spans="15:15">
      <c r="O237">
        <f>CATÁLOGOS!H240</f>
        <v>0</v>
      </c>
    </row>
    <row r="238" spans="15:15">
      <c r="O238">
        <f>CATÁLOGOS!H241</f>
        <v>0</v>
      </c>
    </row>
    <row r="239" spans="15:15">
      <c r="O239">
        <f>CATÁLOGOS!H242</f>
        <v>0</v>
      </c>
    </row>
    <row r="240" spans="15:15">
      <c r="O240">
        <f>CATÁLOGOS!H243</f>
        <v>0</v>
      </c>
    </row>
    <row r="241" spans="15:15">
      <c r="O241">
        <f>CATÁLOGOS!H244</f>
        <v>0</v>
      </c>
    </row>
    <row r="242" spans="15:15">
      <c r="O242">
        <f>CATÁLOGOS!H245</f>
        <v>0</v>
      </c>
    </row>
    <row r="243" spans="15:15">
      <c r="O243">
        <f>CATÁLOGOS!H246</f>
        <v>0</v>
      </c>
    </row>
    <row r="244" spans="15:15">
      <c r="O244">
        <f>CATÁLOGOS!H247</f>
        <v>0</v>
      </c>
    </row>
    <row r="245" spans="15:15">
      <c r="O245">
        <f>CATÁLOGOS!H248</f>
        <v>0</v>
      </c>
    </row>
    <row r="246" spans="15:15">
      <c r="O246">
        <f>CATÁLOGOS!H249</f>
        <v>0</v>
      </c>
    </row>
    <row r="247" spans="15:15">
      <c r="O247">
        <f>CATÁLOGOS!H250</f>
        <v>0</v>
      </c>
    </row>
    <row r="248" spans="15:15">
      <c r="O248">
        <f>CATÁLOGOS!H251</f>
        <v>0</v>
      </c>
    </row>
    <row r="249" spans="15:15">
      <c r="O249">
        <f>CATÁLOGOS!H252</f>
        <v>0</v>
      </c>
    </row>
    <row r="250" spans="15:15">
      <c r="O250">
        <f>CATÁLOGOS!H253</f>
        <v>0</v>
      </c>
    </row>
    <row r="251" spans="15:15">
      <c r="O251">
        <f>CATÁLOGOS!H254</f>
        <v>0</v>
      </c>
    </row>
    <row r="252" spans="15:15">
      <c r="O252">
        <f>CATÁLOGOS!H255</f>
        <v>0</v>
      </c>
    </row>
    <row r="253" spans="15:15">
      <c r="O253">
        <f>CATÁLOGOS!H256</f>
        <v>0</v>
      </c>
    </row>
    <row r="254" spans="15:15">
      <c r="O254">
        <f>CATÁLOGOS!H257</f>
        <v>0</v>
      </c>
    </row>
    <row r="255" spans="15:15">
      <c r="O255">
        <f>CATÁLOGOS!H258</f>
        <v>0</v>
      </c>
    </row>
    <row r="256" spans="15:15">
      <c r="O256">
        <f>CATÁLOGOS!H259</f>
        <v>0</v>
      </c>
    </row>
    <row r="257" spans="15:15">
      <c r="O257">
        <f>CATÁLOGOS!H260</f>
        <v>0</v>
      </c>
    </row>
    <row r="258" spans="15:15">
      <c r="O258">
        <f>CATÁLOGOS!H261</f>
        <v>0</v>
      </c>
    </row>
    <row r="259" spans="15:15">
      <c r="O259">
        <f>CATÁLOGOS!H262</f>
        <v>0</v>
      </c>
    </row>
    <row r="260" spans="15:15">
      <c r="O260">
        <f>CATÁLOGOS!H263</f>
        <v>0</v>
      </c>
    </row>
    <row r="261" spans="15:15">
      <c r="O261">
        <f>CATÁLOGOS!H264</f>
        <v>0</v>
      </c>
    </row>
    <row r="262" spans="15:15">
      <c r="O262">
        <f>CATÁLOGOS!H265</f>
        <v>0</v>
      </c>
    </row>
    <row r="263" spans="15:15">
      <c r="O263">
        <f>CATÁLOGOS!H266</f>
        <v>0</v>
      </c>
    </row>
    <row r="264" spans="15:15">
      <c r="O264">
        <f>CATÁLOGOS!H267</f>
        <v>0</v>
      </c>
    </row>
    <row r="265" spans="15:15">
      <c r="O265">
        <f>CATÁLOGOS!H268</f>
        <v>0</v>
      </c>
    </row>
    <row r="266" spans="15:15">
      <c r="O266">
        <f>CATÁLOGOS!H269</f>
        <v>0</v>
      </c>
    </row>
    <row r="267" spans="15:15">
      <c r="O267">
        <f>CATÁLOGOS!H270</f>
        <v>0</v>
      </c>
    </row>
    <row r="268" spans="15:15">
      <c r="O268">
        <f>CATÁLOGOS!H271</f>
        <v>0</v>
      </c>
    </row>
    <row r="269" spans="15:15">
      <c r="O269">
        <f>CATÁLOGOS!H272</f>
        <v>0</v>
      </c>
    </row>
    <row r="270" spans="15:15">
      <c r="O270">
        <f>CATÁLOGOS!H273</f>
        <v>0</v>
      </c>
    </row>
    <row r="271" spans="15:15">
      <c r="O271">
        <f>CATÁLOGOS!H274</f>
        <v>0</v>
      </c>
    </row>
    <row r="272" spans="15:15">
      <c r="O272">
        <f>CATÁLOGOS!H275</f>
        <v>0</v>
      </c>
    </row>
    <row r="273" spans="15:15">
      <c r="O273">
        <f>CATÁLOGOS!H276</f>
        <v>0</v>
      </c>
    </row>
    <row r="274" spans="15:15">
      <c r="O274">
        <f>CATÁLOGOS!H277</f>
        <v>0</v>
      </c>
    </row>
    <row r="275" spans="15:15">
      <c r="O275">
        <f>CATÁLOGOS!H278</f>
        <v>0</v>
      </c>
    </row>
    <row r="276" spans="15:15">
      <c r="O276">
        <f>CATÁLOGOS!H279</f>
        <v>0</v>
      </c>
    </row>
    <row r="277" spans="15:15">
      <c r="O277">
        <f>CATÁLOGOS!H280</f>
        <v>0</v>
      </c>
    </row>
    <row r="278" spans="15:15">
      <c r="O278">
        <f>CATÁLOGOS!H281</f>
        <v>0</v>
      </c>
    </row>
    <row r="279" spans="15:15">
      <c r="O279">
        <f>CATÁLOGOS!H282</f>
        <v>0</v>
      </c>
    </row>
    <row r="280" spans="15:15">
      <c r="O280">
        <f>CATÁLOGOS!H283</f>
        <v>0</v>
      </c>
    </row>
    <row r="281" spans="15:15">
      <c r="O281">
        <f>CATÁLOGOS!H284</f>
        <v>0</v>
      </c>
    </row>
    <row r="282" spans="15:15">
      <c r="O282">
        <f>CATÁLOGOS!H285</f>
        <v>0</v>
      </c>
    </row>
    <row r="283" spans="15:15">
      <c r="O283">
        <f>CATÁLOGOS!H286</f>
        <v>0</v>
      </c>
    </row>
    <row r="284" spans="15:15">
      <c r="O284">
        <f>CATÁLOGOS!H287</f>
        <v>0</v>
      </c>
    </row>
    <row r="285" spans="15:15">
      <c r="O285">
        <f>CATÁLOGOS!H288</f>
        <v>0</v>
      </c>
    </row>
    <row r="286" spans="15:15">
      <c r="O286">
        <f>CATÁLOGOS!H289</f>
        <v>0</v>
      </c>
    </row>
    <row r="287" spans="15:15">
      <c r="O287">
        <f>CATÁLOGOS!H290</f>
        <v>0</v>
      </c>
    </row>
    <row r="288" spans="15:15">
      <c r="O288">
        <f>CATÁLOGOS!H291</f>
        <v>0</v>
      </c>
    </row>
    <row r="289" spans="15:15">
      <c r="O289">
        <f>CATÁLOGOS!H292</f>
        <v>0</v>
      </c>
    </row>
    <row r="290" spans="15:15">
      <c r="O290">
        <f>CATÁLOGOS!H293</f>
        <v>0</v>
      </c>
    </row>
    <row r="291" spans="15:15">
      <c r="O291">
        <f>CATÁLOGOS!H294</f>
        <v>0</v>
      </c>
    </row>
    <row r="292" spans="15:15">
      <c r="O292">
        <f>CATÁLOGOS!H295</f>
        <v>0</v>
      </c>
    </row>
    <row r="293" spans="15:15">
      <c r="O293">
        <f>CATÁLOGOS!H296</f>
        <v>0</v>
      </c>
    </row>
    <row r="294" spans="15:15">
      <c r="O294">
        <f>CATÁLOGOS!H297</f>
        <v>0</v>
      </c>
    </row>
    <row r="295" spans="15:15">
      <c r="O295">
        <f>CATÁLOGOS!H298</f>
        <v>0</v>
      </c>
    </row>
    <row r="296" spans="15:15">
      <c r="O296">
        <f>CATÁLOGOS!H299</f>
        <v>0</v>
      </c>
    </row>
    <row r="297" spans="15:15">
      <c r="O297">
        <f>CATÁLOGOS!H300</f>
        <v>0</v>
      </c>
    </row>
    <row r="298" spans="15:15">
      <c r="O298">
        <f>CATÁLOGOS!H301</f>
        <v>0</v>
      </c>
    </row>
    <row r="299" spans="15:15">
      <c r="O299">
        <f>CATÁLOGOS!H302</f>
        <v>0</v>
      </c>
    </row>
    <row r="300" spans="15:15">
      <c r="O300">
        <f>CATÁLOGOS!H303</f>
        <v>0</v>
      </c>
    </row>
    <row r="301" spans="15:15">
      <c r="O301">
        <f>CATÁLOGOS!H304</f>
        <v>0</v>
      </c>
    </row>
    <row r="302" spans="15:15">
      <c r="O302">
        <f>CATÁLOGOS!H305</f>
        <v>0</v>
      </c>
    </row>
    <row r="303" spans="15:15">
      <c r="O303">
        <f>CATÁLOGOS!H306</f>
        <v>0</v>
      </c>
    </row>
    <row r="304" spans="15:15">
      <c r="O304">
        <f>CATÁLOGOS!H307</f>
        <v>0</v>
      </c>
    </row>
  </sheetData>
  <mergeCells count="7">
    <mergeCell ref="A31:L31"/>
    <mergeCell ref="A32:L35"/>
    <mergeCell ref="A1:L1"/>
    <mergeCell ref="A2:L2"/>
    <mergeCell ref="A4:F4"/>
    <mergeCell ref="H4:L4"/>
    <mergeCell ref="A23:L23"/>
  </mergeCells>
  <dataValidations count="6">
    <dataValidation type="list" sqref="B6" xr:uid="{00000000-0002-0000-0600-000000000000}">
      <formula1>$N$3:$N$104</formula1>
    </dataValidation>
    <dataValidation type="list" sqref="B7" xr:uid="{00000000-0002-0000-0600-000001000000}">
      <formula1>$O$3:$O$304</formula1>
    </dataValidation>
    <dataValidation type="list" sqref="B11 I11" xr:uid="{00000000-0002-0000-0600-000002000000}">
      <formula1>$P$3:$P$100</formula1>
    </dataValidation>
    <dataValidation type="list" sqref="B18 I17" xr:uid="{00000000-0002-0000-0600-000004000000}">
      <formula1>"SÍ,NO"</formula1>
    </dataValidation>
    <dataValidation type="list" sqref="B20 I19" xr:uid="{00000000-0002-0000-0600-000006000000}">
      <formula1>"Activo,Inactivo"</formula1>
    </dataValidation>
    <dataValidation type="list" sqref="B21 I20" xr:uid="{00000000-0002-0000-0600-000008000000}">
      <formula1>"SI,NO"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PRECIOS</vt:lpstr>
      <vt:lpstr>CATÁLOGOS</vt:lpstr>
      <vt:lpstr>CONTROL_FOTOS</vt:lpstr>
      <vt:lpstr>MOVIMIENTOS_STOCK</vt:lpstr>
      <vt:lpstr>TARIFAS ENVÍO</vt:lpstr>
      <vt:lpstr>ALTA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2026-10-23T13:34:44Z</dcterms:modified>
</cp:coreProperties>
</file>