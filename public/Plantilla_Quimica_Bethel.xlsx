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facun\Desktop\QUIMICA - V3\public\"/>
    </mc:Choice>
  </mc:AlternateContent>
  <xr:revisionPtr revIDLastSave="0" documentId="13_ncr:1_{75574379-4B7D-4812-87D9-9D96FF4AF455}" xr6:coauthVersionLast="47" xr6:coauthVersionMax="47" xr10:uidLastSave="{00000000-0000-0000-0000-000000000000}"/>
  <bookViews>
    <workbookView xWindow="-108" yWindow="-108" windowWidth="15576" windowHeight="12504" activeTab="2" xr2:uid="{00000000-000D-0000-FFFF-FFFF00000000}"/>
  </bookViews>
  <sheets>
    <sheet name="PRODUCTOS" sheetId="1" r:id="rId1"/>
    <sheet name="PRECIOS" sheetId="2" r:id="rId2"/>
    <sheet name="CATÁLOGOS" sheetId="3" r:id="rId3"/>
    <sheet name="CONTROL_FOTOS" sheetId="4" r:id="rId4"/>
    <sheet name="MOVIMIENTOS_STOCK" sheetId="5" r:id="rId5"/>
    <sheet name="TARIFAS ENVÍO" sheetId="6" r:id="rId6"/>
    <sheet name="ALTA"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4" i="7" l="1"/>
  <c r="R304" i="7"/>
  <c r="Q304" i="7"/>
  <c r="Y303" i="7"/>
  <c r="R303" i="7"/>
  <c r="Q303" i="7"/>
  <c r="Y302" i="7"/>
  <c r="R302" i="7"/>
  <c r="Q302" i="7"/>
  <c r="O302" i="7"/>
  <c r="N302" i="7"/>
  <c r="Y301" i="7"/>
  <c r="R301" i="7"/>
  <c r="Q301" i="7"/>
  <c r="O301" i="7"/>
  <c r="N301" i="7"/>
  <c r="Y300" i="7"/>
  <c r="R300" i="7"/>
  <c r="Q300" i="7"/>
  <c r="O300" i="7"/>
  <c r="N300" i="7"/>
  <c r="Y299" i="7"/>
  <c r="R299" i="7"/>
  <c r="Q299" i="7"/>
  <c r="O299" i="7"/>
  <c r="N299" i="7"/>
  <c r="Y298" i="7"/>
  <c r="R298" i="7"/>
  <c r="Q298" i="7"/>
  <c r="O298" i="7"/>
  <c r="N298" i="7"/>
  <c r="Y297" i="7"/>
  <c r="R297" i="7"/>
  <c r="Q297" i="7"/>
  <c r="O297" i="7"/>
  <c r="N297" i="7"/>
  <c r="Y296" i="7"/>
  <c r="R296" i="7"/>
  <c r="Q296" i="7"/>
  <c r="O296" i="7"/>
  <c r="N296" i="7"/>
  <c r="Y295" i="7"/>
  <c r="R295" i="7"/>
  <c r="Q295" i="7"/>
  <c r="O295" i="7"/>
  <c r="N295" i="7"/>
  <c r="Y294" i="7"/>
  <c r="R294" i="7"/>
  <c r="Q294" i="7"/>
  <c r="O294" i="7"/>
  <c r="N294" i="7"/>
  <c r="Y293" i="7"/>
  <c r="R293" i="7"/>
  <c r="Q293" i="7"/>
  <c r="O293" i="7"/>
  <c r="N293" i="7"/>
  <c r="Y292" i="7"/>
  <c r="R292" i="7"/>
  <c r="Q292" i="7"/>
  <c r="O292" i="7"/>
  <c r="N292" i="7"/>
  <c r="Y291" i="7"/>
  <c r="R291" i="7"/>
  <c r="Q291" i="7"/>
  <c r="O291" i="7"/>
  <c r="N291" i="7"/>
  <c r="Y290" i="7"/>
  <c r="R290" i="7"/>
  <c r="Q290" i="7"/>
  <c r="O290" i="7"/>
  <c r="N290" i="7"/>
  <c r="Y289" i="7"/>
  <c r="R289" i="7"/>
  <c r="Q289" i="7"/>
  <c r="O289" i="7"/>
  <c r="N289" i="7"/>
  <c r="Y288" i="7"/>
  <c r="R288" i="7"/>
  <c r="Q288" i="7"/>
  <c r="O288" i="7"/>
  <c r="N288" i="7"/>
  <c r="Y287" i="7"/>
  <c r="R287" i="7"/>
  <c r="Q287" i="7"/>
  <c r="O287" i="7"/>
  <c r="N287" i="7"/>
  <c r="Y286" i="7"/>
  <c r="R286" i="7"/>
  <c r="Q286" i="7"/>
  <c r="O286" i="7"/>
  <c r="N286" i="7"/>
  <c r="Y285" i="7"/>
  <c r="R285" i="7"/>
  <c r="Q285" i="7"/>
  <c r="O285" i="7"/>
  <c r="N285" i="7"/>
  <c r="Y284" i="7"/>
  <c r="R284" i="7"/>
  <c r="Q284" i="7"/>
  <c r="O284" i="7"/>
  <c r="N284" i="7"/>
  <c r="Y283" i="7"/>
  <c r="R283" i="7"/>
  <c r="Q283" i="7"/>
  <c r="O283" i="7"/>
  <c r="N283" i="7"/>
  <c r="Y282" i="7"/>
  <c r="R282" i="7"/>
  <c r="Q282" i="7"/>
  <c r="O282" i="7"/>
  <c r="N282" i="7"/>
  <c r="Y281" i="7"/>
  <c r="R281" i="7"/>
  <c r="Q281" i="7"/>
  <c r="O281" i="7"/>
  <c r="N281" i="7"/>
  <c r="Y280" i="7"/>
  <c r="R280" i="7"/>
  <c r="Q280" i="7"/>
  <c r="O280" i="7"/>
  <c r="N280" i="7"/>
  <c r="Y279" i="7"/>
  <c r="R279" i="7"/>
  <c r="Q279" i="7"/>
  <c r="O279" i="7"/>
  <c r="N279" i="7"/>
  <c r="Y278" i="7"/>
  <c r="R278" i="7"/>
  <c r="Q278" i="7"/>
  <c r="O278" i="7"/>
  <c r="N278" i="7"/>
  <c r="Y277" i="7"/>
  <c r="R277" i="7"/>
  <c r="Q277" i="7"/>
  <c r="O277" i="7"/>
  <c r="N277" i="7"/>
  <c r="Y276" i="7"/>
  <c r="R276" i="7"/>
  <c r="Q276" i="7"/>
  <c r="O276" i="7"/>
  <c r="N276" i="7"/>
  <c r="Y275" i="7"/>
  <c r="R275" i="7"/>
  <c r="Q275" i="7"/>
  <c r="O275" i="7"/>
  <c r="N275" i="7"/>
  <c r="Y274" i="7"/>
  <c r="R274" i="7"/>
  <c r="Q274" i="7"/>
  <c r="O274" i="7"/>
  <c r="N274" i="7"/>
  <c r="Y273" i="7"/>
  <c r="R273" i="7"/>
  <c r="Q273" i="7"/>
  <c r="O273" i="7"/>
  <c r="N273" i="7"/>
  <c r="Y272" i="7"/>
  <c r="R272" i="7"/>
  <c r="Q272" i="7"/>
  <c r="O272" i="7"/>
  <c r="N272" i="7"/>
  <c r="Y271" i="7"/>
  <c r="R271" i="7"/>
  <c r="Q271" i="7"/>
  <c r="O271" i="7"/>
  <c r="N271" i="7"/>
  <c r="Y270" i="7"/>
  <c r="R270" i="7"/>
  <c r="Q270" i="7"/>
  <c r="O270" i="7"/>
  <c r="N270" i="7"/>
  <c r="Y269" i="7"/>
  <c r="R269" i="7"/>
  <c r="Q269" i="7"/>
  <c r="O269" i="7"/>
  <c r="N269" i="7"/>
  <c r="Y268" i="7"/>
  <c r="R268" i="7"/>
  <c r="Q268" i="7"/>
  <c r="O268" i="7"/>
  <c r="N268" i="7"/>
  <c r="Y267" i="7"/>
  <c r="R267" i="7"/>
  <c r="Q267" i="7"/>
  <c r="O267" i="7"/>
  <c r="N267" i="7"/>
  <c r="Y266" i="7"/>
  <c r="R266" i="7"/>
  <c r="Q266" i="7"/>
  <c r="O266" i="7"/>
  <c r="N266" i="7"/>
  <c r="Y265" i="7"/>
  <c r="R265" i="7"/>
  <c r="Q265" i="7"/>
  <c r="O265" i="7"/>
  <c r="N265" i="7"/>
  <c r="Y264" i="7"/>
  <c r="R264" i="7"/>
  <c r="Q264" i="7"/>
  <c r="O264" i="7"/>
  <c r="N264" i="7"/>
  <c r="Y263" i="7"/>
  <c r="R263" i="7"/>
  <c r="Q263" i="7"/>
  <c r="O263" i="7"/>
  <c r="N263" i="7"/>
  <c r="Y262" i="7"/>
  <c r="R262" i="7"/>
  <c r="Q262" i="7"/>
  <c r="O262" i="7"/>
  <c r="N262" i="7"/>
  <c r="Y261" i="7"/>
  <c r="R261" i="7"/>
  <c r="Q261" i="7"/>
  <c r="O261" i="7"/>
  <c r="N261" i="7"/>
  <c r="Y260" i="7"/>
  <c r="R260" i="7"/>
  <c r="Q260" i="7"/>
  <c r="O260" i="7"/>
  <c r="N260" i="7"/>
  <c r="Y259" i="7"/>
  <c r="R259" i="7"/>
  <c r="Q259" i="7"/>
  <c r="O259" i="7"/>
  <c r="N259" i="7"/>
  <c r="Y258" i="7"/>
  <c r="R258" i="7"/>
  <c r="Q258" i="7"/>
  <c r="O258" i="7"/>
  <c r="N258" i="7"/>
  <c r="Y257" i="7"/>
  <c r="R257" i="7"/>
  <c r="Q257" i="7"/>
  <c r="O257" i="7"/>
  <c r="N257" i="7"/>
  <c r="Y256" i="7"/>
  <c r="R256" i="7"/>
  <c r="Q256" i="7"/>
  <c r="O256" i="7"/>
  <c r="N256" i="7"/>
  <c r="Y255" i="7"/>
  <c r="R255" i="7"/>
  <c r="Q255" i="7"/>
  <c r="O255" i="7"/>
  <c r="N255" i="7"/>
  <c r="Y254" i="7"/>
  <c r="R254" i="7"/>
  <c r="Q254" i="7"/>
  <c r="O254" i="7"/>
  <c r="N254" i="7"/>
  <c r="Y253" i="7"/>
  <c r="R253" i="7"/>
  <c r="Q253" i="7"/>
  <c r="O253" i="7"/>
  <c r="N253" i="7"/>
  <c r="Y252" i="7"/>
  <c r="R252" i="7"/>
  <c r="Q252" i="7"/>
  <c r="O252" i="7"/>
  <c r="N252" i="7"/>
  <c r="Y251" i="7"/>
  <c r="R251" i="7"/>
  <c r="Q251" i="7"/>
  <c r="O251" i="7"/>
  <c r="N251" i="7"/>
  <c r="Y250" i="7"/>
  <c r="R250" i="7"/>
  <c r="Q250" i="7"/>
  <c r="O250" i="7"/>
  <c r="N250" i="7"/>
  <c r="Y249" i="7"/>
  <c r="R249" i="7"/>
  <c r="Q249" i="7"/>
  <c r="O249" i="7"/>
  <c r="N249" i="7"/>
  <c r="Y248" i="7"/>
  <c r="R248" i="7"/>
  <c r="Q248" i="7"/>
  <c r="O248" i="7"/>
  <c r="N248" i="7"/>
  <c r="Y247" i="7"/>
  <c r="R247" i="7"/>
  <c r="Q247" i="7"/>
  <c r="O247" i="7"/>
  <c r="N247" i="7"/>
  <c r="Y246" i="7"/>
  <c r="R246" i="7"/>
  <c r="Q246" i="7"/>
  <c r="O246" i="7"/>
  <c r="N246" i="7"/>
  <c r="Y245" i="7"/>
  <c r="R245" i="7"/>
  <c r="Q245" i="7"/>
  <c r="O245" i="7"/>
  <c r="N245" i="7"/>
  <c r="Y244" i="7"/>
  <c r="R244" i="7"/>
  <c r="Q244" i="7"/>
  <c r="O244" i="7"/>
  <c r="N244" i="7"/>
  <c r="Y243" i="7"/>
  <c r="R243" i="7"/>
  <c r="Q243" i="7"/>
  <c r="O243" i="7"/>
  <c r="N243" i="7"/>
  <c r="Y242" i="7"/>
  <c r="R242" i="7"/>
  <c r="Q242" i="7"/>
  <c r="O242" i="7"/>
  <c r="N242" i="7"/>
  <c r="Y241" i="7"/>
  <c r="R241" i="7"/>
  <c r="Q241" i="7"/>
  <c r="O241" i="7"/>
  <c r="N241" i="7"/>
  <c r="Y240" i="7"/>
  <c r="R240" i="7"/>
  <c r="Q240" i="7"/>
  <c r="O240" i="7"/>
  <c r="N240" i="7"/>
  <c r="Y239" i="7"/>
  <c r="R239" i="7"/>
  <c r="Q239" i="7"/>
  <c r="O239" i="7"/>
  <c r="N239" i="7"/>
  <c r="Y238" i="7"/>
  <c r="R238" i="7"/>
  <c r="Q238" i="7"/>
  <c r="O238" i="7"/>
  <c r="N238" i="7"/>
  <c r="Y237" i="7"/>
  <c r="R237" i="7"/>
  <c r="Q237" i="7"/>
  <c r="O237" i="7"/>
  <c r="N237" i="7"/>
  <c r="Y236" i="7"/>
  <c r="R236" i="7"/>
  <c r="Q236" i="7"/>
  <c r="O236" i="7"/>
  <c r="N236" i="7"/>
  <c r="Y235" i="7"/>
  <c r="R235" i="7"/>
  <c r="Q235" i="7"/>
  <c r="O235" i="7"/>
  <c r="N235" i="7"/>
  <c r="Y234" i="7"/>
  <c r="R234" i="7"/>
  <c r="Q234" i="7"/>
  <c r="O234" i="7"/>
  <c r="N234" i="7"/>
  <c r="Y233" i="7"/>
  <c r="R233" i="7"/>
  <c r="Q233" i="7"/>
  <c r="O233" i="7"/>
  <c r="N233" i="7"/>
  <c r="Y232" i="7"/>
  <c r="R232" i="7"/>
  <c r="Q232" i="7"/>
  <c r="O232" i="7"/>
  <c r="N232" i="7"/>
  <c r="Y231" i="7"/>
  <c r="R231" i="7"/>
  <c r="Q231" i="7"/>
  <c r="O231" i="7"/>
  <c r="N231" i="7"/>
  <c r="Y230" i="7"/>
  <c r="R230" i="7"/>
  <c r="Q230" i="7"/>
  <c r="O230" i="7"/>
  <c r="N230" i="7"/>
  <c r="Y229" i="7"/>
  <c r="R229" i="7"/>
  <c r="Q229" i="7"/>
  <c r="O229" i="7"/>
  <c r="N229" i="7"/>
  <c r="Y228" i="7"/>
  <c r="R228" i="7"/>
  <c r="Q228" i="7"/>
  <c r="O228" i="7"/>
  <c r="N228" i="7"/>
  <c r="Y227" i="7"/>
  <c r="R227" i="7"/>
  <c r="Q227" i="7"/>
  <c r="O227" i="7"/>
  <c r="N227" i="7"/>
  <c r="Y226" i="7"/>
  <c r="R226" i="7"/>
  <c r="Q226" i="7"/>
  <c r="O226" i="7"/>
  <c r="N226" i="7"/>
  <c r="Y225" i="7"/>
  <c r="R225" i="7"/>
  <c r="Q225" i="7"/>
  <c r="O225" i="7"/>
  <c r="N225" i="7"/>
  <c r="Y224" i="7"/>
  <c r="R224" i="7"/>
  <c r="Q224" i="7"/>
  <c r="O224" i="7"/>
  <c r="N224" i="7"/>
  <c r="Y223" i="7"/>
  <c r="R223" i="7"/>
  <c r="Q223" i="7"/>
  <c r="O223" i="7"/>
  <c r="N223" i="7"/>
  <c r="Y222" i="7"/>
  <c r="R222" i="7"/>
  <c r="Q222" i="7"/>
  <c r="O222" i="7"/>
  <c r="N222" i="7"/>
  <c r="Y221" i="7"/>
  <c r="R221" i="7"/>
  <c r="Q221" i="7"/>
  <c r="O221" i="7"/>
  <c r="N221" i="7"/>
  <c r="Y220" i="7"/>
  <c r="R220" i="7"/>
  <c r="Q220" i="7"/>
  <c r="O220" i="7"/>
  <c r="N220" i="7"/>
  <c r="Y219" i="7"/>
  <c r="R219" i="7"/>
  <c r="Q219" i="7"/>
  <c r="O219" i="7"/>
  <c r="N219" i="7"/>
  <c r="Y218" i="7"/>
  <c r="R218" i="7"/>
  <c r="Q218" i="7"/>
  <c r="O218" i="7"/>
  <c r="N218" i="7"/>
  <c r="Y217" i="7"/>
  <c r="R217" i="7"/>
  <c r="Q217" i="7"/>
  <c r="O217" i="7"/>
  <c r="N217" i="7"/>
  <c r="Y216" i="7"/>
  <c r="R216" i="7"/>
  <c r="Q216" i="7"/>
  <c r="O216" i="7"/>
  <c r="N216" i="7"/>
  <c r="Y215" i="7"/>
  <c r="R215" i="7"/>
  <c r="Q215" i="7"/>
  <c r="O215" i="7"/>
  <c r="N215" i="7"/>
  <c r="Y214" i="7"/>
  <c r="R214" i="7"/>
  <c r="Q214" i="7"/>
  <c r="O214" i="7"/>
  <c r="N214" i="7"/>
  <c r="Y213" i="7"/>
  <c r="R213" i="7"/>
  <c r="Q213" i="7"/>
  <c r="O213" i="7"/>
  <c r="N213" i="7"/>
  <c r="Y212" i="7"/>
  <c r="R212" i="7"/>
  <c r="Q212" i="7"/>
  <c r="O212" i="7"/>
  <c r="N212" i="7"/>
  <c r="Y211" i="7"/>
  <c r="R211" i="7"/>
  <c r="Q211" i="7"/>
  <c r="O211" i="7"/>
  <c r="N211" i="7"/>
  <c r="Y210" i="7"/>
  <c r="R210" i="7"/>
  <c r="Q210" i="7"/>
  <c r="O210" i="7"/>
  <c r="N210" i="7"/>
  <c r="Y209" i="7"/>
  <c r="R209" i="7"/>
  <c r="Q209" i="7"/>
  <c r="O209" i="7"/>
  <c r="N209" i="7"/>
  <c r="Y208" i="7"/>
  <c r="R208" i="7"/>
  <c r="Q208" i="7"/>
  <c r="O208" i="7"/>
  <c r="N208" i="7"/>
  <c r="Y207" i="7"/>
  <c r="R207" i="7"/>
  <c r="Q207" i="7"/>
  <c r="O207" i="7"/>
  <c r="N207" i="7"/>
  <c r="Y206" i="7"/>
  <c r="R206" i="7"/>
  <c r="Q206" i="7"/>
  <c r="O206" i="7"/>
  <c r="N206" i="7"/>
  <c r="Y205" i="7"/>
  <c r="R205" i="7"/>
  <c r="Q205" i="7"/>
  <c r="O205" i="7"/>
  <c r="N205" i="7"/>
  <c r="Y204" i="7"/>
  <c r="R204" i="7"/>
  <c r="Q204" i="7"/>
  <c r="O204" i="7"/>
  <c r="N204" i="7"/>
  <c r="Y203" i="7"/>
  <c r="R203" i="7"/>
  <c r="Q203" i="7"/>
  <c r="O203" i="7"/>
  <c r="N203" i="7"/>
  <c r="Y202" i="7"/>
  <c r="R202" i="7"/>
  <c r="Q202" i="7"/>
  <c r="O202" i="7"/>
  <c r="N202" i="7"/>
  <c r="Y201" i="7"/>
  <c r="R201" i="7"/>
  <c r="Q201" i="7"/>
  <c r="O201" i="7"/>
  <c r="N201" i="7"/>
  <c r="Y200" i="7"/>
  <c r="R200" i="7"/>
  <c r="Q200" i="7"/>
  <c r="O200" i="7"/>
  <c r="N200" i="7"/>
  <c r="Y199" i="7"/>
  <c r="R199" i="7"/>
  <c r="Q199" i="7"/>
  <c r="O199" i="7"/>
  <c r="N199" i="7"/>
  <c r="Y198" i="7"/>
  <c r="R198" i="7"/>
  <c r="Q198" i="7"/>
  <c r="O198" i="7"/>
  <c r="N198" i="7"/>
  <c r="Y197" i="7"/>
  <c r="R197" i="7"/>
  <c r="Q197" i="7"/>
  <c r="O197" i="7"/>
  <c r="N197" i="7"/>
  <c r="Y196" i="7"/>
  <c r="R196" i="7"/>
  <c r="Q196" i="7"/>
  <c r="O196" i="7"/>
  <c r="N196" i="7"/>
  <c r="Y195" i="7"/>
  <c r="R195" i="7"/>
  <c r="Q195" i="7"/>
  <c r="O195" i="7"/>
  <c r="N195" i="7"/>
  <c r="Y194" i="7"/>
  <c r="R194" i="7"/>
  <c r="Q194" i="7"/>
  <c r="O194" i="7"/>
  <c r="N194" i="7"/>
  <c r="Y193" i="7"/>
  <c r="R193" i="7"/>
  <c r="Q193" i="7"/>
  <c r="O193" i="7"/>
  <c r="N193" i="7"/>
  <c r="Y192" i="7"/>
  <c r="R192" i="7"/>
  <c r="Q192" i="7"/>
  <c r="O192" i="7"/>
  <c r="N192" i="7"/>
  <c r="Y191" i="7"/>
  <c r="R191" i="7"/>
  <c r="Q191" i="7"/>
  <c r="O191" i="7"/>
  <c r="N191" i="7"/>
  <c r="Y190" i="7"/>
  <c r="R190" i="7"/>
  <c r="Q190" i="7"/>
  <c r="O190" i="7"/>
  <c r="N190" i="7"/>
  <c r="Y189" i="7"/>
  <c r="R189" i="7"/>
  <c r="Q189" i="7"/>
  <c r="O189" i="7"/>
  <c r="N189" i="7"/>
  <c r="Y188" i="7"/>
  <c r="R188" i="7"/>
  <c r="Q188" i="7"/>
  <c r="O188" i="7"/>
  <c r="N188" i="7"/>
  <c r="Y187" i="7"/>
  <c r="R187" i="7"/>
  <c r="Q187" i="7"/>
  <c r="O187" i="7"/>
  <c r="N187" i="7"/>
  <c r="Y186" i="7"/>
  <c r="R186" i="7"/>
  <c r="Q186" i="7"/>
  <c r="O186" i="7"/>
  <c r="N186" i="7"/>
  <c r="Y185" i="7"/>
  <c r="R185" i="7"/>
  <c r="Q185" i="7"/>
  <c r="O185" i="7"/>
  <c r="N185" i="7"/>
  <c r="Y184" i="7"/>
  <c r="R184" i="7"/>
  <c r="Q184" i="7"/>
  <c r="O184" i="7"/>
  <c r="N184" i="7"/>
  <c r="Y183" i="7"/>
  <c r="R183" i="7"/>
  <c r="Q183" i="7"/>
  <c r="O183" i="7"/>
  <c r="N183" i="7"/>
  <c r="Y182" i="7"/>
  <c r="R182" i="7"/>
  <c r="Q182" i="7"/>
  <c r="O182" i="7"/>
  <c r="N182" i="7"/>
  <c r="Y181" i="7"/>
  <c r="R181" i="7"/>
  <c r="Q181" i="7"/>
  <c r="O181" i="7"/>
  <c r="N181" i="7"/>
  <c r="Y180" i="7"/>
  <c r="R180" i="7"/>
  <c r="Q180" i="7"/>
  <c r="O180" i="7"/>
  <c r="N180" i="7"/>
  <c r="Y179" i="7"/>
  <c r="R179" i="7"/>
  <c r="Q179" i="7"/>
  <c r="O179" i="7"/>
  <c r="N179" i="7"/>
  <c r="Y178" i="7"/>
  <c r="R178" i="7"/>
  <c r="Q178" i="7"/>
  <c r="O178" i="7"/>
  <c r="N178" i="7"/>
  <c r="Y177" i="7"/>
  <c r="R177" i="7"/>
  <c r="Q177" i="7"/>
  <c r="O177" i="7"/>
  <c r="N177" i="7"/>
  <c r="Y176" i="7"/>
  <c r="R176" i="7"/>
  <c r="Q176" i="7"/>
  <c r="O176" i="7"/>
  <c r="N176" i="7"/>
  <c r="Y175" i="7"/>
  <c r="R175" i="7"/>
  <c r="Q175" i="7"/>
  <c r="O175" i="7"/>
  <c r="N175" i="7"/>
  <c r="Y174" i="7"/>
  <c r="R174" i="7"/>
  <c r="Q174" i="7"/>
  <c r="O174" i="7"/>
  <c r="N174" i="7"/>
  <c r="Y173" i="7"/>
  <c r="R173" i="7"/>
  <c r="Q173" i="7"/>
  <c r="O173" i="7"/>
  <c r="N173" i="7"/>
  <c r="Y172" i="7"/>
  <c r="R172" i="7"/>
  <c r="Q172" i="7"/>
  <c r="O172" i="7"/>
  <c r="N172" i="7"/>
  <c r="Y171" i="7"/>
  <c r="R171" i="7"/>
  <c r="Q171" i="7"/>
  <c r="O171" i="7"/>
  <c r="N171" i="7"/>
  <c r="Y170" i="7"/>
  <c r="R170" i="7"/>
  <c r="Q170" i="7"/>
  <c r="O170" i="7"/>
  <c r="N170" i="7"/>
  <c r="Y169" i="7"/>
  <c r="R169" i="7"/>
  <c r="Q169" i="7"/>
  <c r="O169" i="7"/>
  <c r="N169" i="7"/>
  <c r="Y168" i="7"/>
  <c r="R168" i="7"/>
  <c r="Q168" i="7"/>
  <c r="O168" i="7"/>
  <c r="N168" i="7"/>
  <c r="Y167" i="7"/>
  <c r="R167" i="7"/>
  <c r="Q167" i="7"/>
  <c r="O167" i="7"/>
  <c r="N167" i="7"/>
  <c r="Y166" i="7"/>
  <c r="R166" i="7"/>
  <c r="Q166" i="7"/>
  <c r="O166" i="7"/>
  <c r="N166" i="7"/>
  <c r="Y165" i="7"/>
  <c r="R165" i="7"/>
  <c r="Q165" i="7"/>
  <c r="O165" i="7"/>
  <c r="N165" i="7"/>
  <c r="Y164" i="7"/>
  <c r="R164" i="7"/>
  <c r="Q164" i="7"/>
  <c r="O164" i="7"/>
  <c r="N164" i="7"/>
  <c r="Y163" i="7"/>
  <c r="R163" i="7"/>
  <c r="Q163" i="7"/>
  <c r="O163" i="7"/>
  <c r="N163" i="7"/>
  <c r="Y162" i="7"/>
  <c r="R162" i="7"/>
  <c r="Q162" i="7"/>
  <c r="O162" i="7"/>
  <c r="N162" i="7"/>
  <c r="Y161" i="7"/>
  <c r="R161" i="7"/>
  <c r="Q161" i="7"/>
  <c r="O161" i="7"/>
  <c r="N161" i="7"/>
  <c r="Y160" i="7"/>
  <c r="R160" i="7"/>
  <c r="Q160" i="7"/>
  <c r="O160" i="7"/>
  <c r="N160" i="7"/>
  <c r="Y159" i="7"/>
  <c r="R159" i="7"/>
  <c r="Q159" i="7"/>
  <c r="O159" i="7"/>
  <c r="N159" i="7"/>
  <c r="Y158" i="7"/>
  <c r="R158" i="7"/>
  <c r="Q158" i="7"/>
  <c r="O158" i="7"/>
  <c r="N158" i="7"/>
  <c r="Y157" i="7"/>
  <c r="R157" i="7"/>
  <c r="Q157" i="7"/>
  <c r="O157" i="7"/>
  <c r="N157" i="7"/>
  <c r="Y156" i="7"/>
  <c r="R156" i="7"/>
  <c r="Q156" i="7"/>
  <c r="O156" i="7"/>
  <c r="N156" i="7"/>
  <c r="Y155" i="7"/>
  <c r="R155" i="7"/>
  <c r="Q155" i="7"/>
  <c r="O155" i="7"/>
  <c r="N155" i="7"/>
  <c r="Y154" i="7"/>
  <c r="R154" i="7"/>
  <c r="Q154" i="7"/>
  <c r="O154" i="7"/>
  <c r="N154" i="7"/>
  <c r="Y153" i="7"/>
  <c r="R153" i="7"/>
  <c r="Q153" i="7"/>
  <c r="O153" i="7"/>
  <c r="N153" i="7"/>
  <c r="Y152" i="7"/>
  <c r="R152" i="7"/>
  <c r="Q152" i="7"/>
  <c r="O152" i="7"/>
  <c r="N152" i="7"/>
  <c r="Y151" i="7"/>
  <c r="R151" i="7"/>
  <c r="Q151" i="7"/>
  <c r="O151" i="7"/>
  <c r="N151" i="7"/>
  <c r="Y150" i="7"/>
  <c r="R150" i="7"/>
  <c r="Q150" i="7"/>
  <c r="O150" i="7"/>
  <c r="N150" i="7"/>
  <c r="Y149" i="7"/>
  <c r="R149" i="7"/>
  <c r="Q149" i="7"/>
  <c r="O149" i="7"/>
  <c r="N149" i="7"/>
  <c r="Y148" i="7"/>
  <c r="R148" i="7"/>
  <c r="Q148" i="7"/>
  <c r="O148" i="7"/>
  <c r="N148" i="7"/>
  <c r="Y147" i="7"/>
  <c r="R147" i="7"/>
  <c r="Q147" i="7"/>
  <c r="O147" i="7"/>
  <c r="N147" i="7"/>
  <c r="Y146" i="7"/>
  <c r="R146" i="7"/>
  <c r="Q146" i="7"/>
  <c r="O146" i="7"/>
  <c r="N146" i="7"/>
  <c r="Y145" i="7"/>
  <c r="R145" i="7"/>
  <c r="Q145" i="7"/>
  <c r="O145" i="7"/>
  <c r="N145" i="7"/>
  <c r="Y144" i="7"/>
  <c r="R144" i="7"/>
  <c r="Q144" i="7"/>
  <c r="O144" i="7"/>
  <c r="N144" i="7"/>
  <c r="Y143" i="7"/>
  <c r="R143" i="7"/>
  <c r="Q143" i="7"/>
  <c r="O143" i="7"/>
  <c r="N143" i="7"/>
  <c r="Y142" i="7"/>
  <c r="R142" i="7"/>
  <c r="Q142" i="7"/>
  <c r="O142" i="7"/>
  <c r="N142" i="7"/>
  <c r="Y141" i="7"/>
  <c r="R141" i="7"/>
  <c r="Q141" i="7"/>
  <c r="O141" i="7"/>
  <c r="N141" i="7"/>
  <c r="Y140" i="7"/>
  <c r="R140" i="7"/>
  <c r="Q140" i="7"/>
  <c r="O140" i="7"/>
  <c r="N140" i="7"/>
  <c r="Y139" i="7"/>
  <c r="R139" i="7"/>
  <c r="Q139" i="7"/>
  <c r="O139" i="7"/>
  <c r="N139" i="7"/>
  <c r="Y138" i="7"/>
  <c r="R138" i="7"/>
  <c r="Q138" i="7"/>
  <c r="O138" i="7"/>
  <c r="N138" i="7"/>
  <c r="Y137" i="7"/>
  <c r="R137" i="7"/>
  <c r="Q137" i="7"/>
  <c r="O137" i="7"/>
  <c r="N137" i="7"/>
  <c r="Y136" i="7"/>
  <c r="R136" i="7"/>
  <c r="Q136" i="7"/>
  <c r="O136" i="7"/>
  <c r="N136" i="7"/>
  <c r="Y135" i="7"/>
  <c r="R135" i="7"/>
  <c r="Q135" i="7"/>
  <c r="O135" i="7"/>
  <c r="N135" i="7"/>
  <c r="Y134" i="7"/>
  <c r="R134" i="7"/>
  <c r="Q134" i="7"/>
  <c r="O134" i="7"/>
  <c r="N134" i="7"/>
  <c r="Y133" i="7"/>
  <c r="R133" i="7"/>
  <c r="Q133" i="7"/>
  <c r="O133" i="7"/>
  <c r="N133" i="7"/>
  <c r="Y132" i="7"/>
  <c r="R132" i="7"/>
  <c r="Q132" i="7"/>
  <c r="O132" i="7"/>
  <c r="N132" i="7"/>
  <c r="Y131" i="7"/>
  <c r="R131" i="7"/>
  <c r="Q131" i="7"/>
  <c r="O131" i="7"/>
  <c r="N131" i="7"/>
  <c r="Y130" i="7"/>
  <c r="R130" i="7"/>
  <c r="Q130" i="7"/>
  <c r="O130" i="7"/>
  <c r="N130" i="7"/>
  <c r="Y129" i="7"/>
  <c r="R129" i="7"/>
  <c r="Q129" i="7"/>
  <c r="O129" i="7"/>
  <c r="N129" i="7"/>
  <c r="Y128" i="7"/>
  <c r="R128" i="7"/>
  <c r="Q128" i="7"/>
  <c r="O128" i="7"/>
  <c r="N128" i="7"/>
  <c r="Y127" i="7"/>
  <c r="R127" i="7"/>
  <c r="Q127" i="7"/>
  <c r="O127" i="7"/>
  <c r="N127" i="7"/>
  <c r="Y126" i="7"/>
  <c r="R126" i="7"/>
  <c r="Q126" i="7"/>
  <c r="O126" i="7"/>
  <c r="N126" i="7"/>
  <c r="Y125" i="7"/>
  <c r="R125" i="7"/>
  <c r="Q125" i="7"/>
  <c r="O125" i="7"/>
  <c r="N125" i="7"/>
  <c r="Y124" i="7"/>
  <c r="R124" i="7"/>
  <c r="Q124" i="7"/>
  <c r="O124" i="7"/>
  <c r="N124" i="7"/>
  <c r="Y123" i="7"/>
  <c r="R123" i="7"/>
  <c r="Q123" i="7"/>
  <c r="O123" i="7"/>
  <c r="N123" i="7"/>
  <c r="Y122" i="7"/>
  <c r="R122" i="7"/>
  <c r="Q122" i="7"/>
  <c r="O122" i="7"/>
  <c r="N122" i="7"/>
  <c r="Y121" i="7"/>
  <c r="R121" i="7"/>
  <c r="Q121" i="7"/>
  <c r="O121" i="7"/>
  <c r="N121" i="7"/>
  <c r="Y120" i="7"/>
  <c r="R120" i="7"/>
  <c r="Q120" i="7"/>
  <c r="O120" i="7"/>
  <c r="N120" i="7"/>
  <c r="Y119" i="7"/>
  <c r="R119" i="7"/>
  <c r="Q119" i="7"/>
  <c r="O119" i="7"/>
  <c r="N119" i="7"/>
  <c r="Y118" i="7"/>
  <c r="R118" i="7"/>
  <c r="Q118" i="7"/>
  <c r="O118" i="7"/>
  <c r="N118" i="7"/>
  <c r="Y117" i="7"/>
  <c r="R117" i="7"/>
  <c r="Q117" i="7"/>
  <c r="O117" i="7"/>
  <c r="N117" i="7"/>
  <c r="Y116" i="7"/>
  <c r="R116" i="7"/>
  <c r="Q116" i="7"/>
  <c r="O116" i="7"/>
  <c r="N116" i="7"/>
  <c r="Y115" i="7"/>
  <c r="R115" i="7"/>
  <c r="Q115" i="7"/>
  <c r="O115" i="7"/>
  <c r="N115" i="7"/>
  <c r="Y114" i="7"/>
  <c r="R114" i="7"/>
  <c r="Q114" i="7"/>
  <c r="O114" i="7"/>
  <c r="N114" i="7"/>
  <c r="Y113" i="7"/>
  <c r="R113" i="7"/>
  <c r="Q113" i="7"/>
  <c r="O113" i="7"/>
  <c r="N113" i="7"/>
  <c r="Y112" i="7"/>
  <c r="R112" i="7"/>
  <c r="Q112" i="7"/>
  <c r="O112" i="7"/>
  <c r="N112" i="7"/>
  <c r="Y111" i="7"/>
  <c r="R111" i="7"/>
  <c r="Q111" i="7"/>
  <c r="O111" i="7"/>
  <c r="N111" i="7"/>
  <c r="Y110" i="7"/>
  <c r="R110" i="7"/>
  <c r="Q110" i="7"/>
  <c r="O110" i="7"/>
  <c r="N110" i="7"/>
  <c r="Y109" i="7"/>
  <c r="R109" i="7"/>
  <c r="Q109" i="7"/>
  <c r="O109" i="7"/>
  <c r="N109" i="7"/>
  <c r="Y108" i="7"/>
  <c r="R108" i="7"/>
  <c r="Q108" i="7"/>
  <c r="O108" i="7"/>
  <c r="N108" i="7"/>
  <c r="Y107" i="7"/>
  <c r="R107" i="7"/>
  <c r="Q107" i="7"/>
  <c r="O107" i="7"/>
  <c r="N107" i="7"/>
  <c r="Y106" i="7"/>
  <c r="R106" i="7"/>
  <c r="Q106" i="7"/>
  <c r="O106" i="7"/>
  <c r="N106" i="7"/>
  <c r="Y105" i="7"/>
  <c r="R105" i="7"/>
  <c r="Q105" i="7"/>
  <c r="O105" i="7"/>
  <c r="N105" i="7"/>
  <c r="Y104" i="7"/>
  <c r="X104" i="7"/>
  <c r="R104" i="7"/>
  <c r="Q104" i="7"/>
  <c r="O104" i="7"/>
  <c r="N104" i="7"/>
  <c r="Y103" i="7"/>
  <c r="X103" i="7"/>
  <c r="R103" i="7"/>
  <c r="Q103" i="7"/>
  <c r="O103" i="7"/>
  <c r="N103" i="7"/>
  <c r="Y102" i="7"/>
  <c r="X102" i="7"/>
  <c r="R102" i="7"/>
  <c r="Q102" i="7"/>
  <c r="O102" i="7"/>
  <c r="N102" i="7"/>
  <c r="Y101" i="7"/>
  <c r="X101" i="7"/>
  <c r="R101" i="7"/>
  <c r="Q101" i="7"/>
  <c r="O101" i="7"/>
  <c r="N101" i="7"/>
  <c r="Y100" i="7"/>
  <c r="X100" i="7"/>
  <c r="U100" i="7"/>
  <c r="T100" i="7"/>
  <c r="R100" i="7"/>
  <c r="Q100" i="7"/>
  <c r="O100" i="7"/>
  <c r="N100" i="7"/>
  <c r="Y99" i="7"/>
  <c r="X99" i="7"/>
  <c r="U99" i="7"/>
  <c r="T99" i="7"/>
  <c r="R99" i="7"/>
  <c r="Q99" i="7"/>
  <c r="O99" i="7"/>
  <c r="N99" i="7"/>
  <c r="Y98" i="7"/>
  <c r="X98" i="7"/>
  <c r="U98" i="7"/>
  <c r="T98" i="7"/>
  <c r="R98" i="7"/>
  <c r="Q98" i="7"/>
  <c r="O98" i="7"/>
  <c r="N98" i="7"/>
  <c r="Y97" i="7"/>
  <c r="X97" i="7"/>
  <c r="U97" i="7"/>
  <c r="T97" i="7"/>
  <c r="R97" i="7"/>
  <c r="Q97" i="7"/>
  <c r="O97" i="7"/>
  <c r="N97" i="7"/>
  <c r="Y96" i="7"/>
  <c r="X96" i="7"/>
  <c r="U96" i="7"/>
  <c r="T96" i="7"/>
  <c r="R96" i="7"/>
  <c r="Q96" i="7"/>
  <c r="O96" i="7"/>
  <c r="N96" i="7"/>
  <c r="Y95" i="7"/>
  <c r="X95" i="7"/>
  <c r="U95" i="7"/>
  <c r="T95" i="7"/>
  <c r="R95" i="7"/>
  <c r="Q95" i="7"/>
  <c r="O95" i="7"/>
  <c r="N95" i="7"/>
  <c r="Y94" i="7"/>
  <c r="X94" i="7"/>
  <c r="U94" i="7"/>
  <c r="T94" i="7"/>
  <c r="R94" i="7"/>
  <c r="Q94" i="7"/>
  <c r="O94" i="7"/>
  <c r="N94" i="7"/>
  <c r="Y93" i="7"/>
  <c r="X93" i="7"/>
  <c r="U93" i="7"/>
  <c r="T93" i="7"/>
  <c r="R93" i="7"/>
  <c r="Q93" i="7"/>
  <c r="O93" i="7"/>
  <c r="N93" i="7"/>
  <c r="Y92" i="7"/>
  <c r="X92" i="7"/>
  <c r="U92" i="7"/>
  <c r="T92" i="7"/>
  <c r="R92" i="7"/>
  <c r="Q92" i="7"/>
  <c r="O92" i="7"/>
  <c r="N92" i="7"/>
  <c r="Y91" i="7"/>
  <c r="X91" i="7"/>
  <c r="U91" i="7"/>
  <c r="T91" i="7"/>
  <c r="R91" i="7"/>
  <c r="Q91" i="7"/>
  <c r="O91" i="7"/>
  <c r="N91" i="7"/>
  <c r="Y90" i="7"/>
  <c r="X90" i="7"/>
  <c r="U90" i="7"/>
  <c r="T90" i="7"/>
  <c r="R90" i="7"/>
  <c r="Q90" i="7"/>
  <c r="O90" i="7"/>
  <c r="N90" i="7"/>
  <c r="Y89" i="7"/>
  <c r="X89" i="7"/>
  <c r="U89" i="7"/>
  <c r="T89" i="7"/>
  <c r="R89" i="7"/>
  <c r="Q89" i="7"/>
  <c r="O89" i="7"/>
  <c r="N89" i="7"/>
  <c r="Y88" i="7"/>
  <c r="X88" i="7"/>
  <c r="U88" i="7"/>
  <c r="T88" i="7"/>
  <c r="R88" i="7"/>
  <c r="Q88" i="7"/>
  <c r="O88" i="7"/>
  <c r="N88" i="7"/>
  <c r="Y87" i="7"/>
  <c r="X87" i="7"/>
  <c r="U87" i="7"/>
  <c r="T87" i="7"/>
  <c r="R87" i="7"/>
  <c r="Q87" i="7"/>
  <c r="O87" i="7"/>
  <c r="N87" i="7"/>
  <c r="Y86" i="7"/>
  <c r="X86" i="7"/>
  <c r="U86" i="7"/>
  <c r="T86" i="7"/>
  <c r="R86" i="7"/>
  <c r="Q86" i="7"/>
  <c r="O86" i="7"/>
  <c r="N86" i="7"/>
  <c r="Y85" i="7"/>
  <c r="X85" i="7"/>
  <c r="U85" i="7"/>
  <c r="T85" i="7"/>
  <c r="R85" i="7"/>
  <c r="Q85" i="7"/>
  <c r="O85" i="7"/>
  <c r="N85" i="7"/>
  <c r="Y84" i="7"/>
  <c r="X84" i="7"/>
  <c r="U84" i="7"/>
  <c r="T84" i="7"/>
  <c r="R84" i="7"/>
  <c r="Q84" i="7"/>
  <c r="O84" i="7"/>
  <c r="N84" i="7"/>
  <c r="Y83" i="7"/>
  <c r="X83" i="7"/>
  <c r="U83" i="7"/>
  <c r="T83" i="7"/>
  <c r="R83" i="7"/>
  <c r="Q83" i="7"/>
  <c r="O83" i="7"/>
  <c r="N83" i="7"/>
  <c r="Y82" i="7"/>
  <c r="X82" i="7"/>
  <c r="U82" i="7"/>
  <c r="T82" i="7"/>
  <c r="R82" i="7"/>
  <c r="Q82" i="7"/>
  <c r="Y81" i="7"/>
  <c r="X81" i="7"/>
  <c r="U81" i="7"/>
  <c r="T81" i="7"/>
  <c r="Y80" i="7"/>
  <c r="X80" i="7"/>
  <c r="U80" i="7"/>
  <c r="T80" i="7"/>
  <c r="Y79" i="7"/>
  <c r="X79" i="7"/>
  <c r="U79" i="7"/>
  <c r="T79" i="7"/>
  <c r="R79" i="7"/>
  <c r="Q79" i="7"/>
  <c r="O79" i="7"/>
  <c r="N79" i="7"/>
  <c r="Y78" i="7"/>
  <c r="X78" i="7"/>
  <c r="U78" i="7"/>
  <c r="T78" i="7"/>
  <c r="R78" i="7"/>
  <c r="Q78" i="7"/>
  <c r="Y77" i="7"/>
  <c r="X77" i="7"/>
  <c r="U77" i="7"/>
  <c r="T77" i="7"/>
  <c r="Y76" i="7"/>
  <c r="X76" i="7"/>
  <c r="U76" i="7"/>
  <c r="T76" i="7"/>
  <c r="Y75" i="7"/>
  <c r="X75" i="7"/>
  <c r="U75" i="7"/>
  <c r="T75" i="7"/>
  <c r="R75" i="7"/>
  <c r="Q75" i="7"/>
  <c r="O75" i="7"/>
  <c r="N75" i="7"/>
  <c r="Y74" i="7"/>
  <c r="X74" i="7"/>
  <c r="U74" i="7"/>
  <c r="T74" i="7"/>
  <c r="R74" i="7"/>
  <c r="Q74" i="7"/>
  <c r="O74" i="7"/>
  <c r="N74" i="7"/>
  <c r="Y73" i="7"/>
  <c r="X73" i="7"/>
  <c r="U73" i="7"/>
  <c r="T73" i="7"/>
  <c r="R73" i="7"/>
  <c r="Q73" i="7"/>
  <c r="O73" i="7"/>
  <c r="N73" i="7"/>
  <c r="Y72" i="7"/>
  <c r="X72" i="7"/>
  <c r="U72" i="7"/>
  <c r="T72" i="7"/>
  <c r="R72" i="7"/>
  <c r="Q72" i="7"/>
  <c r="O72" i="7"/>
  <c r="N72" i="7"/>
  <c r="Y71" i="7"/>
  <c r="X71" i="7"/>
  <c r="U71" i="7"/>
  <c r="T71" i="7"/>
  <c r="R71" i="7"/>
  <c r="Q71" i="7"/>
  <c r="O71" i="7"/>
  <c r="N71" i="7"/>
  <c r="Y70" i="7"/>
  <c r="X70" i="7"/>
  <c r="U70" i="7"/>
  <c r="T70" i="7"/>
  <c r="R70" i="7"/>
  <c r="Q70" i="7"/>
  <c r="O70" i="7"/>
  <c r="N70" i="7"/>
  <c r="Y69" i="7"/>
  <c r="X69" i="7"/>
  <c r="U69" i="7"/>
  <c r="T69" i="7"/>
  <c r="R69" i="7"/>
  <c r="Q69" i="7"/>
  <c r="O69" i="7"/>
  <c r="N69" i="7"/>
  <c r="Y68" i="7"/>
  <c r="X68" i="7"/>
  <c r="U68" i="7"/>
  <c r="T68" i="7"/>
  <c r="R68" i="7"/>
  <c r="Q68" i="7"/>
  <c r="Y67" i="7"/>
  <c r="X67" i="7"/>
  <c r="U67" i="7"/>
  <c r="T67" i="7"/>
  <c r="R67" i="7"/>
  <c r="Q67" i="7"/>
  <c r="O67" i="7"/>
  <c r="N67" i="7"/>
  <c r="Y66" i="7"/>
  <c r="X66" i="7"/>
  <c r="U66" i="7"/>
  <c r="T66" i="7"/>
  <c r="R66" i="7"/>
  <c r="Q66" i="7"/>
  <c r="O66" i="7"/>
  <c r="N66" i="7"/>
  <c r="Y65" i="7"/>
  <c r="X65" i="7"/>
  <c r="U65" i="7"/>
  <c r="T65" i="7"/>
  <c r="R65" i="7"/>
  <c r="Q65" i="7"/>
  <c r="O65" i="7"/>
  <c r="N65" i="7"/>
  <c r="Y64" i="7"/>
  <c r="X64" i="7"/>
  <c r="U64" i="7"/>
  <c r="T64" i="7"/>
  <c r="R64" i="7"/>
  <c r="Q64" i="7"/>
  <c r="O64" i="7"/>
  <c r="N64" i="7"/>
  <c r="Y63" i="7"/>
  <c r="X63" i="7"/>
  <c r="U63" i="7"/>
  <c r="T63" i="7"/>
  <c r="R63" i="7"/>
  <c r="Q63" i="7"/>
  <c r="O63" i="7"/>
  <c r="N63" i="7"/>
  <c r="Y62" i="7"/>
  <c r="X62" i="7"/>
  <c r="U62" i="7"/>
  <c r="T62" i="7"/>
  <c r="R62" i="7"/>
  <c r="Q62" i="7"/>
  <c r="O62" i="7"/>
  <c r="N62" i="7"/>
  <c r="Y61" i="7"/>
  <c r="X61" i="7"/>
  <c r="U61" i="7"/>
  <c r="T61" i="7"/>
  <c r="R61" i="7"/>
  <c r="Q61" i="7"/>
  <c r="O61" i="7"/>
  <c r="N61" i="7"/>
  <c r="Y60" i="7"/>
  <c r="X60" i="7"/>
  <c r="U60" i="7"/>
  <c r="T60" i="7"/>
  <c r="R60" i="7"/>
  <c r="Y59" i="7"/>
  <c r="X59" i="7"/>
  <c r="U59" i="7"/>
  <c r="T59" i="7"/>
  <c r="R59" i="7"/>
  <c r="Y58" i="7"/>
  <c r="X58" i="7"/>
  <c r="U58" i="7"/>
  <c r="T58" i="7"/>
  <c r="R58" i="7"/>
  <c r="Y57" i="7"/>
  <c r="X57" i="7"/>
  <c r="U57" i="7"/>
  <c r="T57" i="7"/>
  <c r="Y56" i="7"/>
  <c r="X56" i="7"/>
  <c r="U56" i="7"/>
  <c r="T56" i="7"/>
  <c r="Y55" i="7"/>
  <c r="X55" i="7"/>
  <c r="U55" i="7"/>
  <c r="T55" i="7"/>
  <c r="Y54" i="7"/>
  <c r="X54" i="7"/>
  <c r="U54" i="7"/>
  <c r="T54" i="7"/>
  <c r="R54" i="7"/>
  <c r="Y53" i="7"/>
  <c r="X53" i="7"/>
  <c r="U53" i="7"/>
  <c r="T53" i="7"/>
  <c r="Y52" i="7"/>
  <c r="X52" i="7"/>
  <c r="U52" i="7"/>
  <c r="T52" i="7"/>
  <c r="Y51" i="7"/>
  <c r="X51" i="7"/>
  <c r="U51" i="7"/>
  <c r="T51" i="7"/>
  <c r="Y50" i="7"/>
  <c r="X50" i="7"/>
  <c r="U50" i="7"/>
  <c r="T50" i="7"/>
  <c r="Y49" i="7"/>
  <c r="X49" i="7"/>
  <c r="U49" i="7"/>
  <c r="T49" i="7"/>
  <c r="Y48" i="7"/>
  <c r="X48" i="7"/>
  <c r="U48" i="7"/>
  <c r="T48" i="7"/>
  <c r="Y47" i="7"/>
  <c r="X47" i="7"/>
  <c r="U47" i="7"/>
  <c r="T47" i="7"/>
  <c r="Y46" i="7"/>
  <c r="X46" i="7"/>
  <c r="U46" i="7"/>
  <c r="T46" i="7"/>
  <c r="Y45" i="7"/>
  <c r="X45" i="7"/>
  <c r="U45" i="7"/>
  <c r="T45" i="7"/>
  <c r="Z44" i="7"/>
  <c r="Y44" i="7"/>
  <c r="X44" i="7"/>
  <c r="U44" i="7"/>
  <c r="T44" i="7"/>
  <c r="Q44" i="7"/>
  <c r="Z43" i="7"/>
  <c r="Y43" i="7"/>
  <c r="X43" i="7"/>
  <c r="U43" i="7"/>
  <c r="T43" i="7"/>
  <c r="Q43" i="7"/>
  <c r="Z42" i="7"/>
  <c r="Y42" i="7"/>
  <c r="X42" i="7"/>
  <c r="U42" i="7"/>
  <c r="T42" i="7"/>
  <c r="Q42" i="7"/>
  <c r="Z41" i="7"/>
  <c r="Y41" i="7"/>
  <c r="X41" i="7"/>
  <c r="U41" i="7"/>
  <c r="T41" i="7"/>
  <c r="Q41" i="7"/>
  <c r="Z40" i="7"/>
  <c r="Y40" i="7"/>
  <c r="X40" i="7"/>
  <c r="U40" i="7"/>
  <c r="T40" i="7"/>
  <c r="Q40" i="7"/>
  <c r="Z39" i="7"/>
  <c r="Y39" i="7"/>
  <c r="X39" i="7"/>
  <c r="U39" i="7"/>
  <c r="T39" i="7"/>
  <c r="R39" i="7"/>
  <c r="Q39" i="7"/>
  <c r="Z38" i="7"/>
  <c r="Y38" i="7"/>
  <c r="X38" i="7"/>
  <c r="U38" i="7"/>
  <c r="T38" i="7"/>
  <c r="Q38" i="7"/>
  <c r="Z37" i="7"/>
  <c r="Y37" i="7"/>
  <c r="X37" i="7"/>
  <c r="U37" i="7"/>
  <c r="T37" i="7"/>
  <c r="R37" i="7"/>
  <c r="Q37" i="7"/>
  <c r="Z36" i="7"/>
  <c r="Y36" i="7"/>
  <c r="X36" i="7"/>
  <c r="U36" i="7"/>
  <c r="T36" i="7"/>
  <c r="R36" i="7"/>
  <c r="Q36" i="7"/>
  <c r="Z35" i="7"/>
  <c r="Y35" i="7"/>
  <c r="X35" i="7"/>
  <c r="U35" i="7"/>
  <c r="T35" i="7"/>
  <c r="Q35" i="7"/>
  <c r="Z34" i="7"/>
  <c r="Y34" i="7"/>
  <c r="X34" i="7"/>
  <c r="U34" i="7"/>
  <c r="T34" i="7"/>
  <c r="Q34" i="7"/>
  <c r="Z33" i="7"/>
  <c r="Y33" i="7"/>
  <c r="X33" i="7"/>
  <c r="U33" i="7"/>
  <c r="T33" i="7"/>
  <c r="Q33" i="7"/>
  <c r="Z32" i="7"/>
  <c r="Y32" i="7"/>
  <c r="X32" i="7"/>
  <c r="U32" i="7"/>
  <c r="T32" i="7"/>
  <c r="Q32" i="7"/>
  <c r="Z31" i="7"/>
  <c r="Y31" i="7"/>
  <c r="X31" i="7"/>
  <c r="U31" i="7"/>
  <c r="T31" i="7"/>
  <c r="Q31" i="7"/>
  <c r="Z30" i="7"/>
  <c r="Y30" i="7"/>
  <c r="X30" i="7"/>
  <c r="U30" i="7"/>
  <c r="T30" i="7"/>
  <c r="R30" i="7"/>
  <c r="Q30" i="7"/>
  <c r="Z29" i="7"/>
  <c r="Y29" i="7"/>
  <c r="X29" i="7"/>
  <c r="U29" i="7"/>
  <c r="T29" i="7"/>
  <c r="R29" i="7"/>
  <c r="Q29" i="7"/>
  <c r="Z28" i="7"/>
  <c r="Y28" i="7"/>
  <c r="X28" i="7"/>
  <c r="U28" i="7"/>
  <c r="T28" i="7"/>
  <c r="R28" i="7"/>
  <c r="Q28" i="7"/>
  <c r="Z27" i="7"/>
  <c r="Y27" i="7"/>
  <c r="X27" i="7"/>
  <c r="U27" i="7"/>
  <c r="T27" i="7"/>
  <c r="R27" i="7"/>
  <c r="Q27" i="7"/>
  <c r="Z26" i="7"/>
  <c r="Y26" i="7"/>
  <c r="X26" i="7"/>
  <c r="U26" i="7"/>
  <c r="T26" i="7"/>
  <c r="R26" i="7"/>
  <c r="Q26" i="7"/>
  <c r="Z25" i="7"/>
  <c r="Y25" i="7"/>
  <c r="X25" i="7"/>
  <c r="U25" i="7"/>
  <c r="T25" i="7"/>
  <c r="Q25" i="7"/>
  <c r="Z24" i="7"/>
  <c r="Y24" i="7"/>
  <c r="X24" i="7"/>
  <c r="U24" i="7"/>
  <c r="T24" i="7"/>
  <c r="Q24" i="7"/>
  <c r="Z23" i="7"/>
  <c r="Y23" i="7"/>
  <c r="X23" i="7"/>
  <c r="U23" i="7"/>
  <c r="T23" i="7"/>
  <c r="R23" i="7"/>
  <c r="Q23" i="7"/>
  <c r="Z22" i="7"/>
  <c r="Y22" i="7"/>
  <c r="X22" i="7"/>
  <c r="U22" i="7"/>
  <c r="T22" i="7"/>
  <c r="Q22" i="7"/>
  <c r="Z21" i="7"/>
  <c r="Y21" i="7"/>
  <c r="X21" i="7"/>
  <c r="U21" i="7"/>
  <c r="T21" i="7"/>
  <c r="Q21" i="7"/>
  <c r="Z20" i="7"/>
  <c r="Y20" i="7"/>
  <c r="X20" i="7"/>
  <c r="U20" i="7"/>
  <c r="T20" i="7"/>
  <c r="Q20" i="7"/>
  <c r="Z19" i="7"/>
  <c r="Y19" i="7"/>
  <c r="X19" i="7"/>
  <c r="U19" i="7"/>
  <c r="T19" i="7"/>
  <c r="Q19" i="7"/>
  <c r="Z18" i="7"/>
  <c r="Y18" i="7"/>
  <c r="X18" i="7"/>
  <c r="U18" i="7"/>
  <c r="T18" i="7"/>
  <c r="Q18" i="7"/>
  <c r="Z17" i="7"/>
  <c r="U17" i="7" s="1"/>
  <c r="Y17" i="7"/>
  <c r="X17" i="7"/>
  <c r="T17" i="7"/>
  <c r="Q17" i="7"/>
  <c r="Z16" i="7"/>
  <c r="Y16" i="7"/>
  <c r="X16" i="7"/>
  <c r="Q16" i="7"/>
  <c r="Z15" i="7"/>
  <c r="Y15" i="7"/>
  <c r="X15" i="7"/>
  <c r="U15" i="7"/>
  <c r="T15" i="7"/>
  <c r="Q15" i="7"/>
  <c r="AE14" i="7"/>
  <c r="AG14" i="7" s="1"/>
  <c r="Z14" i="7"/>
  <c r="Y14" i="7"/>
  <c r="X14" i="7"/>
  <c r="Q14" i="7"/>
  <c r="AE13" i="7"/>
  <c r="AG13" i="7" s="1"/>
  <c r="Z13" i="7"/>
  <c r="Y13" i="7"/>
  <c r="X13" i="7"/>
  <c r="Q13" i="7"/>
  <c r="AE12" i="7"/>
  <c r="AG12" i="7" s="1"/>
  <c r="Z12" i="7"/>
  <c r="Y12" i="7"/>
  <c r="X12" i="7"/>
  <c r="U12" i="7"/>
  <c r="T12" i="7"/>
  <c r="Q12" i="7"/>
  <c r="AE11" i="7"/>
  <c r="AG11" i="7" s="1"/>
  <c r="Z11" i="7"/>
  <c r="Y11" i="7"/>
  <c r="X11" i="7"/>
  <c r="U11" i="7"/>
  <c r="T11" i="7"/>
  <c r="Q11" i="7"/>
  <c r="AE10" i="7"/>
  <c r="AG10" i="7" s="1"/>
  <c r="Z10" i="7"/>
  <c r="Y10" i="7"/>
  <c r="X10" i="7"/>
  <c r="U10" i="7"/>
  <c r="T10" i="7"/>
  <c r="Q10" i="7"/>
  <c r="AE9" i="7"/>
  <c r="AG9" i="7" s="1"/>
  <c r="Z9" i="7"/>
  <c r="Y9" i="7"/>
  <c r="X9" i="7"/>
  <c r="U9" i="7"/>
  <c r="T9" i="7"/>
  <c r="Q9" i="7"/>
  <c r="AE8" i="7"/>
  <c r="AG8" i="7" s="1"/>
  <c r="Z8" i="7"/>
  <c r="U8" i="7" s="1"/>
  <c r="Y8" i="7"/>
  <c r="X8" i="7"/>
  <c r="T8" i="7"/>
  <c r="R8" i="7"/>
  <c r="Q8" i="7"/>
  <c r="AE7" i="7"/>
  <c r="AG7" i="7" s="1"/>
  <c r="Z7" i="7"/>
  <c r="Y7" i="7"/>
  <c r="X7" i="7"/>
  <c r="U7" i="7"/>
  <c r="T7" i="7"/>
  <c r="Q7" i="7"/>
  <c r="AE6" i="7"/>
  <c r="AG6" i="7" s="1"/>
  <c r="Z6" i="7"/>
  <c r="Y6" i="7"/>
  <c r="X6" i="7"/>
  <c r="U6" i="7"/>
  <c r="T6" i="7"/>
  <c r="R6" i="7"/>
  <c r="Q6" i="7"/>
  <c r="AE5" i="7"/>
  <c r="AG5" i="7" s="1"/>
  <c r="Z5" i="7"/>
  <c r="Y5" i="7"/>
  <c r="X5" i="7"/>
  <c r="U5" i="7"/>
  <c r="T5" i="7"/>
  <c r="R5" i="7"/>
  <c r="Q5" i="7"/>
  <c r="Z4" i="7"/>
  <c r="U4" i="7" s="1"/>
  <c r="Y4" i="7"/>
  <c r="X4" i="7"/>
  <c r="T4" i="7"/>
  <c r="Q4" i="7"/>
  <c r="Z3" i="7"/>
  <c r="Y3" i="7"/>
  <c r="X3" i="7"/>
  <c r="U3" i="7"/>
  <c r="T3" i="7"/>
  <c r="Q3" i="7"/>
  <c r="J305" i="3"/>
  <c r="F305" i="3"/>
  <c r="J304" i="3"/>
  <c r="F304" i="3"/>
  <c r="J303" i="3"/>
  <c r="F303" i="3"/>
  <c r="J302" i="3"/>
  <c r="F302" i="3"/>
  <c r="J301" i="3"/>
  <c r="F301" i="3"/>
  <c r="J300" i="3"/>
  <c r="F300" i="3"/>
  <c r="J299" i="3"/>
  <c r="F299" i="3"/>
  <c r="J298" i="3"/>
  <c r="F298" i="3"/>
  <c r="J297" i="3"/>
  <c r="F297" i="3"/>
  <c r="J296" i="3"/>
  <c r="F296" i="3"/>
  <c r="J295" i="3"/>
  <c r="F295" i="3"/>
  <c r="J294" i="3"/>
  <c r="F294" i="3"/>
  <c r="J293" i="3"/>
  <c r="F293" i="3"/>
  <c r="J292" i="3"/>
  <c r="F292" i="3"/>
  <c r="J291" i="3"/>
  <c r="F291" i="3"/>
  <c r="J290" i="3"/>
  <c r="F290" i="3"/>
  <c r="J289" i="3"/>
  <c r="F289" i="3"/>
  <c r="J288" i="3"/>
  <c r="F288" i="3"/>
  <c r="J287" i="3"/>
  <c r="F287" i="3"/>
  <c r="J286" i="3"/>
  <c r="F286" i="3"/>
  <c r="J285" i="3"/>
  <c r="F285" i="3"/>
  <c r="J284" i="3"/>
  <c r="F284" i="3"/>
  <c r="J283" i="3"/>
  <c r="F283" i="3"/>
  <c r="J282" i="3"/>
  <c r="F282" i="3"/>
  <c r="J281" i="3"/>
  <c r="F281" i="3"/>
  <c r="J280" i="3"/>
  <c r="F280" i="3"/>
  <c r="J279" i="3"/>
  <c r="F279" i="3"/>
  <c r="J278" i="3"/>
  <c r="F278" i="3"/>
  <c r="J277" i="3"/>
  <c r="F277" i="3"/>
  <c r="J276" i="3"/>
  <c r="F276" i="3"/>
  <c r="J275" i="3"/>
  <c r="F275" i="3"/>
  <c r="J274" i="3"/>
  <c r="F274" i="3"/>
  <c r="J273" i="3"/>
  <c r="F273" i="3"/>
  <c r="J272" i="3"/>
  <c r="F272" i="3"/>
  <c r="J271" i="3"/>
  <c r="F271" i="3"/>
  <c r="J270" i="3"/>
  <c r="F270" i="3"/>
  <c r="J269" i="3"/>
  <c r="F269" i="3"/>
  <c r="J268" i="3"/>
  <c r="F268" i="3"/>
  <c r="J267" i="3"/>
  <c r="F267" i="3"/>
  <c r="J266" i="3"/>
  <c r="F266" i="3"/>
  <c r="J265" i="3"/>
  <c r="F265" i="3"/>
  <c r="J264" i="3"/>
  <c r="F264" i="3"/>
  <c r="J263" i="3"/>
  <c r="F263" i="3"/>
  <c r="J262" i="3"/>
  <c r="F262" i="3"/>
  <c r="J261" i="3"/>
  <c r="F261" i="3"/>
  <c r="J260" i="3"/>
  <c r="F260" i="3"/>
  <c r="J259" i="3"/>
  <c r="F259" i="3"/>
  <c r="J258" i="3"/>
  <c r="F258" i="3"/>
  <c r="J257" i="3"/>
  <c r="F257" i="3"/>
  <c r="J256" i="3"/>
  <c r="F256" i="3"/>
  <c r="J255" i="3"/>
  <c r="F255" i="3"/>
  <c r="J254" i="3"/>
  <c r="F254" i="3"/>
  <c r="J253" i="3"/>
  <c r="F253" i="3"/>
  <c r="J252" i="3"/>
  <c r="F252" i="3"/>
  <c r="J251" i="3"/>
  <c r="F251" i="3"/>
  <c r="J250" i="3"/>
  <c r="F250" i="3"/>
  <c r="J249" i="3"/>
  <c r="F249" i="3"/>
  <c r="J248" i="3"/>
  <c r="F248" i="3"/>
  <c r="J247" i="3"/>
  <c r="F247" i="3"/>
  <c r="J246" i="3"/>
  <c r="F246" i="3"/>
  <c r="J245" i="3"/>
  <c r="F245" i="3"/>
  <c r="J244" i="3"/>
  <c r="F244" i="3"/>
  <c r="J243" i="3"/>
  <c r="F243" i="3"/>
  <c r="J242" i="3"/>
  <c r="F242" i="3"/>
  <c r="J241" i="3"/>
  <c r="F241" i="3"/>
  <c r="J240" i="3"/>
  <c r="F240" i="3"/>
  <c r="J239" i="3"/>
  <c r="F239" i="3"/>
  <c r="J238" i="3"/>
  <c r="F238" i="3"/>
  <c r="J237" i="3"/>
  <c r="F237" i="3"/>
  <c r="J236" i="3"/>
  <c r="F236" i="3"/>
  <c r="J235" i="3"/>
  <c r="F235" i="3"/>
  <c r="J234" i="3"/>
  <c r="F234" i="3"/>
  <c r="J233" i="3"/>
  <c r="F233" i="3"/>
  <c r="J232" i="3"/>
  <c r="F232" i="3"/>
  <c r="J231" i="3"/>
  <c r="F231" i="3"/>
  <c r="J230" i="3"/>
  <c r="F230" i="3"/>
  <c r="J229" i="3"/>
  <c r="F229" i="3"/>
  <c r="J228" i="3"/>
  <c r="F228" i="3"/>
  <c r="J227" i="3"/>
  <c r="F227" i="3"/>
  <c r="J226" i="3"/>
  <c r="F226" i="3"/>
  <c r="J225" i="3"/>
  <c r="F225" i="3"/>
  <c r="J224" i="3"/>
  <c r="F224" i="3"/>
  <c r="J223" i="3"/>
  <c r="F223" i="3"/>
  <c r="J222" i="3"/>
  <c r="F222" i="3"/>
  <c r="J221" i="3"/>
  <c r="F221" i="3"/>
  <c r="J220" i="3"/>
  <c r="F220" i="3"/>
  <c r="J219" i="3"/>
  <c r="F219" i="3"/>
  <c r="J218" i="3"/>
  <c r="F218" i="3"/>
  <c r="J217" i="3"/>
  <c r="F217" i="3"/>
  <c r="J216" i="3"/>
  <c r="F216" i="3"/>
  <c r="J215" i="3"/>
  <c r="F215" i="3"/>
  <c r="J214" i="3"/>
  <c r="F214" i="3"/>
  <c r="J213" i="3"/>
  <c r="F213" i="3"/>
  <c r="J212" i="3"/>
  <c r="F212" i="3"/>
  <c r="J211" i="3"/>
  <c r="F211" i="3"/>
  <c r="J210" i="3"/>
  <c r="F210" i="3"/>
  <c r="J209" i="3"/>
  <c r="F209" i="3"/>
  <c r="J208" i="3"/>
  <c r="F208" i="3"/>
  <c r="J207" i="3"/>
  <c r="F207" i="3"/>
  <c r="J206" i="3"/>
  <c r="F206" i="3"/>
  <c r="J205" i="3"/>
  <c r="F205" i="3"/>
  <c r="J204" i="3"/>
  <c r="F204" i="3"/>
  <c r="J203" i="3"/>
  <c r="F203" i="3"/>
  <c r="J202" i="3"/>
  <c r="F202" i="3"/>
  <c r="J201" i="3"/>
  <c r="F201" i="3"/>
  <c r="J200" i="3"/>
  <c r="F200" i="3"/>
  <c r="J199" i="3"/>
  <c r="F199" i="3"/>
  <c r="J198" i="3"/>
  <c r="F198" i="3"/>
  <c r="J197" i="3"/>
  <c r="F197" i="3"/>
  <c r="J196" i="3"/>
  <c r="F196" i="3"/>
  <c r="J195" i="3"/>
  <c r="F195" i="3"/>
  <c r="J194" i="3"/>
  <c r="F194" i="3"/>
  <c r="J193" i="3"/>
  <c r="F193" i="3"/>
  <c r="J192" i="3"/>
  <c r="F192" i="3"/>
  <c r="J191" i="3"/>
  <c r="F191" i="3"/>
  <c r="J190" i="3"/>
  <c r="F190" i="3"/>
  <c r="J189" i="3"/>
  <c r="F189" i="3"/>
  <c r="J188" i="3"/>
  <c r="F188" i="3"/>
  <c r="J187" i="3"/>
  <c r="F187" i="3"/>
  <c r="J186" i="3"/>
  <c r="F186" i="3"/>
  <c r="J185" i="3"/>
  <c r="F185" i="3"/>
  <c r="J184" i="3"/>
  <c r="F184" i="3"/>
  <c r="J183" i="3"/>
  <c r="F183" i="3"/>
  <c r="J182" i="3"/>
  <c r="F182" i="3"/>
  <c r="J181" i="3"/>
  <c r="F181" i="3"/>
  <c r="J180" i="3"/>
  <c r="F180" i="3"/>
  <c r="J179" i="3"/>
  <c r="F179" i="3"/>
  <c r="J178" i="3"/>
  <c r="F178" i="3"/>
  <c r="J177" i="3"/>
  <c r="F177" i="3"/>
  <c r="J176" i="3"/>
  <c r="F176" i="3"/>
  <c r="J175" i="3"/>
  <c r="F175" i="3"/>
  <c r="J174" i="3"/>
  <c r="F174" i="3"/>
  <c r="J173" i="3"/>
  <c r="F173" i="3"/>
  <c r="J172" i="3"/>
  <c r="F172" i="3"/>
  <c r="J171" i="3"/>
  <c r="F171" i="3"/>
  <c r="J170" i="3"/>
  <c r="F170" i="3"/>
  <c r="J169" i="3"/>
  <c r="F169" i="3"/>
  <c r="J168" i="3"/>
  <c r="F168" i="3"/>
  <c r="J167" i="3"/>
  <c r="F167" i="3"/>
  <c r="J166" i="3"/>
  <c r="F166" i="3"/>
  <c r="J165" i="3"/>
  <c r="F165" i="3"/>
  <c r="J164" i="3"/>
  <c r="F164" i="3"/>
  <c r="J163" i="3"/>
  <c r="F163" i="3"/>
  <c r="J162" i="3"/>
  <c r="F162" i="3"/>
  <c r="J161" i="3"/>
  <c r="F161" i="3"/>
  <c r="J160" i="3"/>
  <c r="F160" i="3"/>
  <c r="J159" i="3"/>
  <c r="F159" i="3"/>
  <c r="J158" i="3"/>
  <c r="F158" i="3"/>
  <c r="J157" i="3"/>
  <c r="F157" i="3"/>
  <c r="J156" i="3"/>
  <c r="F156" i="3"/>
  <c r="J155" i="3"/>
  <c r="F155" i="3"/>
  <c r="J154" i="3"/>
  <c r="F154" i="3"/>
  <c r="J153" i="3"/>
  <c r="F153" i="3"/>
  <c r="J152" i="3"/>
  <c r="F152" i="3"/>
  <c r="J151" i="3"/>
  <c r="F151" i="3"/>
  <c r="J150" i="3"/>
  <c r="F150" i="3"/>
  <c r="J149" i="3"/>
  <c r="F149" i="3"/>
  <c r="J148" i="3"/>
  <c r="F148" i="3"/>
  <c r="J147" i="3"/>
  <c r="F147" i="3"/>
  <c r="J146" i="3"/>
  <c r="F146" i="3"/>
  <c r="J145" i="3"/>
  <c r="F145" i="3"/>
  <c r="J144" i="3"/>
  <c r="F144" i="3"/>
  <c r="J143" i="3"/>
  <c r="F143" i="3"/>
  <c r="J142" i="3"/>
  <c r="F142" i="3"/>
  <c r="J141" i="3"/>
  <c r="F141" i="3"/>
  <c r="J140" i="3"/>
  <c r="F140" i="3"/>
  <c r="J139" i="3"/>
  <c r="F139" i="3"/>
  <c r="J138" i="3"/>
  <c r="F138" i="3"/>
  <c r="J137" i="3"/>
  <c r="F137" i="3"/>
  <c r="J136" i="3"/>
  <c r="F136" i="3"/>
  <c r="J135" i="3"/>
  <c r="F135" i="3"/>
  <c r="J134" i="3"/>
  <c r="F134" i="3"/>
  <c r="J133" i="3"/>
  <c r="F133" i="3"/>
  <c r="J132" i="3"/>
  <c r="F132" i="3"/>
  <c r="J131" i="3"/>
  <c r="F131" i="3"/>
  <c r="J130" i="3"/>
  <c r="F130" i="3"/>
  <c r="J129" i="3"/>
  <c r="F129" i="3"/>
  <c r="J128" i="3"/>
  <c r="F128" i="3"/>
  <c r="J127" i="3"/>
  <c r="F127" i="3"/>
  <c r="J126" i="3"/>
  <c r="F126" i="3"/>
  <c r="J125" i="3"/>
  <c r="F125" i="3"/>
  <c r="J124" i="3"/>
  <c r="F124" i="3"/>
  <c r="J123" i="3"/>
  <c r="F123" i="3"/>
  <c r="J122" i="3"/>
  <c r="F122" i="3"/>
  <c r="J121" i="3"/>
  <c r="F121" i="3"/>
  <c r="J120" i="3"/>
  <c r="F120" i="3"/>
  <c r="J119" i="3"/>
  <c r="F119" i="3"/>
  <c r="J118" i="3"/>
  <c r="F118" i="3"/>
  <c r="J117" i="3"/>
  <c r="F117" i="3"/>
  <c r="J116" i="3"/>
  <c r="F116" i="3"/>
  <c r="J115" i="3"/>
  <c r="F115" i="3"/>
  <c r="J114" i="3"/>
  <c r="F114" i="3"/>
  <c r="J113" i="3"/>
  <c r="F113" i="3"/>
  <c r="J112" i="3"/>
  <c r="F112" i="3"/>
  <c r="J111" i="3"/>
  <c r="F111" i="3"/>
  <c r="J110" i="3"/>
  <c r="F110" i="3"/>
  <c r="J109" i="3"/>
  <c r="F109" i="3"/>
  <c r="J108" i="3"/>
  <c r="F108" i="3"/>
  <c r="J107" i="3"/>
  <c r="F107" i="3"/>
  <c r="J106" i="3"/>
  <c r="F106" i="3"/>
  <c r="J105" i="3"/>
  <c r="F105" i="3"/>
  <c r="D105" i="3"/>
  <c r="A105" i="3"/>
  <c r="J104" i="3"/>
  <c r="F104" i="3"/>
  <c r="D104" i="3"/>
  <c r="A104" i="3"/>
  <c r="J103" i="3"/>
  <c r="F103" i="3"/>
  <c r="D103" i="3"/>
  <c r="A103" i="3"/>
  <c r="J102" i="3"/>
  <c r="F102" i="3"/>
  <c r="D102" i="3"/>
  <c r="A102" i="3"/>
  <c r="J101" i="3"/>
  <c r="F101" i="3"/>
  <c r="D101" i="3"/>
  <c r="A101" i="3"/>
  <c r="J100" i="3"/>
  <c r="F100" i="3"/>
  <c r="D100" i="3"/>
  <c r="A100" i="3"/>
  <c r="J99" i="3"/>
  <c r="F99" i="3"/>
  <c r="D99" i="3"/>
  <c r="A99" i="3"/>
  <c r="J98" i="3"/>
  <c r="F98" i="3"/>
  <c r="D98" i="3"/>
  <c r="A98" i="3"/>
  <c r="J97" i="3"/>
  <c r="F97" i="3"/>
  <c r="D97" i="3"/>
  <c r="A97" i="3"/>
  <c r="J96" i="3"/>
  <c r="F96" i="3"/>
  <c r="D96" i="3"/>
  <c r="A96" i="3"/>
  <c r="J95" i="3"/>
  <c r="F95" i="3"/>
  <c r="D95" i="3"/>
  <c r="A95" i="3"/>
  <c r="J94" i="3"/>
  <c r="F94" i="3"/>
  <c r="D94" i="3"/>
  <c r="A94" i="3"/>
  <c r="J93" i="3"/>
  <c r="F93" i="3"/>
  <c r="D93" i="3"/>
  <c r="A93" i="3"/>
  <c r="J92" i="3"/>
  <c r="F92" i="3"/>
  <c r="D92" i="3"/>
  <c r="A92" i="3"/>
  <c r="J91" i="3"/>
  <c r="F91" i="3"/>
  <c r="D91" i="3"/>
  <c r="A91" i="3"/>
  <c r="J90" i="3"/>
  <c r="F90" i="3"/>
  <c r="D90" i="3"/>
  <c r="A90" i="3"/>
  <c r="J89" i="3"/>
  <c r="F89" i="3"/>
  <c r="D89" i="3"/>
  <c r="A89" i="3"/>
  <c r="J88" i="3"/>
  <c r="F88" i="3"/>
  <c r="D88" i="3"/>
  <c r="A88" i="3"/>
  <c r="J87" i="3"/>
  <c r="F87" i="3"/>
  <c r="D87" i="3"/>
  <c r="A87" i="3"/>
  <c r="J86" i="3"/>
  <c r="F86" i="3"/>
  <c r="D86" i="3"/>
  <c r="A86" i="3"/>
  <c r="J85" i="3"/>
  <c r="F85" i="3"/>
  <c r="D85" i="3"/>
  <c r="A85" i="3"/>
  <c r="J84" i="3"/>
  <c r="F84" i="3"/>
  <c r="D84" i="3"/>
  <c r="A84" i="3"/>
  <c r="J83" i="3"/>
  <c r="F83" i="3"/>
  <c r="D83" i="3"/>
  <c r="A83" i="3"/>
  <c r="J82" i="3"/>
  <c r="F82" i="3"/>
  <c r="D82" i="3"/>
  <c r="A82" i="3"/>
  <c r="J81" i="3"/>
  <c r="F81" i="3"/>
  <c r="D81" i="3"/>
  <c r="A81" i="3"/>
  <c r="J80" i="3"/>
  <c r="F80" i="3"/>
  <c r="D80" i="3"/>
  <c r="A80" i="3"/>
  <c r="J79" i="3"/>
  <c r="F79" i="3"/>
  <c r="D79" i="3"/>
  <c r="A79" i="3"/>
  <c r="J78" i="3"/>
  <c r="F78" i="3"/>
  <c r="D78" i="3"/>
  <c r="A78" i="3"/>
  <c r="J77" i="3"/>
  <c r="F77" i="3"/>
  <c r="D77" i="3"/>
  <c r="A77" i="3"/>
  <c r="J76" i="3"/>
  <c r="F76" i="3"/>
  <c r="D76" i="3"/>
  <c r="A76" i="3"/>
  <c r="J75" i="3"/>
  <c r="F75" i="3"/>
  <c r="D75" i="3"/>
  <c r="A75" i="3"/>
  <c r="J74" i="3"/>
  <c r="F74" i="3"/>
  <c r="D74" i="3"/>
  <c r="A74" i="3"/>
  <c r="J73" i="3"/>
  <c r="F73" i="3"/>
  <c r="D73" i="3"/>
  <c r="A73" i="3"/>
  <c r="J72" i="3"/>
  <c r="F72" i="3"/>
  <c r="D72" i="3"/>
  <c r="A72" i="3"/>
  <c r="J71" i="3"/>
  <c r="F71" i="3"/>
  <c r="D71" i="3"/>
  <c r="A71" i="3"/>
  <c r="J70" i="3"/>
  <c r="F70" i="3"/>
  <c r="D70" i="3"/>
  <c r="A70" i="3"/>
  <c r="J69" i="3"/>
  <c r="F69" i="3"/>
  <c r="D69" i="3"/>
  <c r="A69" i="3"/>
  <c r="J68" i="3"/>
  <c r="F68" i="3"/>
  <c r="D68" i="3"/>
  <c r="A68" i="3"/>
  <c r="J67" i="3"/>
  <c r="F67" i="3"/>
  <c r="D67" i="3"/>
  <c r="A67" i="3"/>
  <c r="J66" i="3"/>
  <c r="F66" i="3"/>
  <c r="D66" i="3"/>
  <c r="A66" i="3"/>
  <c r="J65" i="3"/>
  <c r="F65" i="3"/>
  <c r="D65" i="3"/>
  <c r="A65" i="3"/>
  <c r="J64" i="3"/>
  <c r="F64" i="3"/>
  <c r="D64" i="3"/>
  <c r="A64" i="3"/>
  <c r="J63" i="3"/>
  <c r="F63" i="3"/>
  <c r="D63" i="3"/>
  <c r="A63" i="3"/>
  <c r="J62" i="3"/>
  <c r="F62" i="3"/>
  <c r="D62" i="3"/>
  <c r="A62" i="3"/>
  <c r="J61" i="3"/>
  <c r="F61" i="3"/>
  <c r="D61" i="3"/>
  <c r="A61" i="3"/>
  <c r="J60" i="3"/>
  <c r="F60" i="3"/>
  <c r="R57" i="7" s="1"/>
  <c r="D60" i="3"/>
  <c r="A60" i="3"/>
  <c r="J59" i="3"/>
  <c r="F59" i="3"/>
  <c r="R56" i="7" s="1"/>
  <c r="D59" i="3"/>
  <c r="A59" i="3"/>
  <c r="J58" i="3"/>
  <c r="F58" i="3"/>
  <c r="R55" i="7" s="1"/>
  <c r="D58" i="3"/>
  <c r="A58" i="3"/>
  <c r="D57" i="3"/>
  <c r="A57" i="3"/>
  <c r="J56" i="3"/>
  <c r="F56" i="3"/>
  <c r="R53" i="7" s="1"/>
  <c r="D56" i="3"/>
  <c r="A56" i="3"/>
  <c r="J55" i="3"/>
  <c r="F55" i="3"/>
  <c r="R52" i="7" s="1"/>
  <c r="D55" i="3"/>
  <c r="A55" i="3"/>
  <c r="J54" i="3"/>
  <c r="F54" i="3"/>
  <c r="R51" i="7" s="1"/>
  <c r="D54" i="3"/>
  <c r="A54" i="3"/>
  <c r="J53" i="3"/>
  <c r="F53" i="3"/>
  <c r="R50" i="7" s="1"/>
  <c r="D53" i="3"/>
  <c r="A53" i="3"/>
  <c r="J52" i="3"/>
  <c r="F52" i="3"/>
  <c r="R49" i="7" s="1"/>
  <c r="D52" i="3"/>
  <c r="A52" i="3"/>
  <c r="J51" i="3"/>
  <c r="F51" i="3"/>
  <c r="R48" i="7" s="1"/>
  <c r="D51" i="3"/>
  <c r="A51" i="3"/>
  <c r="J50" i="3"/>
  <c r="F50" i="3"/>
  <c r="R47" i="7" s="1"/>
  <c r="D50" i="3"/>
  <c r="A50" i="3"/>
  <c r="J49" i="3"/>
  <c r="F49" i="3"/>
  <c r="R46" i="7" s="1"/>
  <c r="D49" i="3"/>
  <c r="A49" i="3"/>
  <c r="J48" i="3"/>
  <c r="F48" i="3"/>
  <c r="D48" i="3"/>
  <c r="A48" i="3"/>
  <c r="J47" i="3"/>
  <c r="F47" i="3"/>
  <c r="R44" i="7" s="1"/>
  <c r="D47" i="3"/>
  <c r="A47" i="3"/>
  <c r="J46" i="3"/>
  <c r="F46" i="3"/>
  <c r="R43" i="7" s="1"/>
  <c r="D46" i="3"/>
  <c r="A46" i="3"/>
  <c r="J45" i="3"/>
  <c r="F45" i="3"/>
  <c r="R42" i="7" s="1"/>
  <c r="D45" i="3"/>
  <c r="A45" i="3"/>
  <c r="J44" i="3"/>
  <c r="F44" i="3"/>
  <c r="R41" i="7" s="1"/>
  <c r="D44" i="3"/>
  <c r="A44" i="3"/>
  <c r="J43" i="3"/>
  <c r="F43" i="3"/>
  <c r="R40" i="7" s="1"/>
  <c r="D43" i="3"/>
  <c r="A43" i="3"/>
  <c r="D42" i="3"/>
  <c r="A42" i="3"/>
  <c r="J41" i="3"/>
  <c r="F41" i="3"/>
  <c r="R38" i="7" s="1"/>
  <c r="D41" i="3"/>
  <c r="A41" i="3"/>
  <c r="D40" i="3"/>
  <c r="A40" i="3"/>
  <c r="D39" i="3"/>
  <c r="A39" i="3"/>
  <c r="J38" i="3"/>
  <c r="F38" i="3"/>
  <c r="D38" i="3"/>
  <c r="A38" i="3"/>
  <c r="J37" i="3"/>
  <c r="F37" i="3"/>
  <c r="J36" i="3"/>
  <c r="F36" i="3"/>
  <c r="J35" i="3"/>
  <c r="F35" i="3"/>
  <c r="J34" i="3"/>
  <c r="F34" i="3"/>
  <c r="J33" i="3"/>
  <c r="F33" i="3"/>
  <c r="J32" i="3"/>
  <c r="F32" i="3"/>
  <c r="J30" i="3"/>
  <c r="F30" i="3"/>
  <c r="J29" i="3"/>
  <c r="F29" i="3"/>
  <c r="J28" i="3"/>
  <c r="F28" i="3"/>
  <c r="J27" i="3"/>
  <c r="F27" i="3"/>
  <c r="J25" i="3"/>
  <c r="F25" i="3"/>
  <c r="J24" i="3"/>
  <c r="F24" i="3"/>
  <c r="J23" i="3"/>
  <c r="F23" i="3"/>
  <c r="J22" i="3"/>
  <c r="F22" i="3"/>
  <c r="J21" i="3"/>
  <c r="F21" i="3"/>
  <c r="J20" i="3"/>
  <c r="F20" i="3"/>
  <c r="J19" i="3"/>
  <c r="F19" i="3"/>
  <c r="J18" i="3"/>
  <c r="F18" i="3"/>
  <c r="D18" i="3"/>
  <c r="A18" i="3"/>
  <c r="J17" i="3"/>
  <c r="F17" i="3"/>
  <c r="D17" i="3"/>
  <c r="A17" i="3"/>
  <c r="J16" i="3"/>
  <c r="F16" i="3"/>
  <c r="J15" i="3"/>
  <c r="F15" i="3"/>
  <c r="J14" i="3"/>
  <c r="F14" i="3"/>
  <c r="D14" i="3"/>
  <c r="A14" i="3"/>
  <c r="J13" i="3"/>
  <c r="F13" i="3"/>
  <c r="J12" i="3"/>
  <c r="F12" i="3"/>
  <c r="J10" i="3"/>
  <c r="F10" i="3"/>
  <c r="J9" i="3"/>
  <c r="F9" i="3"/>
  <c r="J8" i="3"/>
  <c r="F8" i="3"/>
  <c r="D8" i="3"/>
  <c r="A8" i="3"/>
  <c r="J7" i="3"/>
  <c r="F7" i="3"/>
  <c r="J6" i="3"/>
  <c r="F6" i="3"/>
  <c r="I1026" i="1"/>
  <c r="G1026" i="1"/>
  <c r="I1025" i="1"/>
  <c r="G1025" i="1"/>
  <c r="G1021" i="1"/>
  <c r="I1007" i="1"/>
  <c r="G1007" i="1"/>
  <c r="Q240" i="1"/>
  <c r="P240" i="1"/>
  <c r="G240" i="1"/>
  <c r="Q239" i="1"/>
  <c r="P239" i="1"/>
  <c r="I239" i="1"/>
  <c r="G239" i="1"/>
  <c r="Q238" i="1"/>
  <c r="P238" i="1"/>
  <c r="I238" i="1"/>
  <c r="G238" i="1"/>
  <c r="Q237" i="1"/>
  <c r="P237" i="1"/>
  <c r="G237" i="1"/>
  <c r="Q236" i="1"/>
  <c r="P236" i="1"/>
  <c r="G236" i="1"/>
  <c r="Q235" i="1"/>
  <c r="P235" i="1"/>
  <c r="G235" i="1"/>
  <c r="Q234" i="1"/>
  <c r="P234" i="1"/>
  <c r="G234" i="1"/>
  <c r="Q233" i="1"/>
  <c r="P233" i="1"/>
  <c r="G233" i="1"/>
  <c r="Q232" i="1"/>
  <c r="P232" i="1"/>
  <c r="G232" i="1"/>
  <c r="Q231" i="1"/>
  <c r="P231" i="1"/>
  <c r="G231" i="1"/>
  <c r="Q230" i="1"/>
  <c r="P230" i="1"/>
  <c r="G230" i="1"/>
  <c r="Q229" i="1"/>
  <c r="P229" i="1"/>
  <c r="G229" i="1"/>
  <c r="Q228" i="1"/>
  <c r="P228" i="1"/>
  <c r="G228" i="1"/>
  <c r="Q227" i="1"/>
  <c r="P227" i="1"/>
  <c r="G227" i="1"/>
  <c r="Q226" i="1"/>
  <c r="P226" i="1"/>
  <c r="G226" i="1"/>
  <c r="Q225" i="1"/>
  <c r="P225" i="1"/>
  <c r="G225" i="1"/>
  <c r="Q224" i="1"/>
  <c r="P224" i="1"/>
  <c r="G224" i="1"/>
  <c r="Q223" i="1"/>
  <c r="P223" i="1"/>
  <c r="G223" i="1"/>
  <c r="Q222" i="1"/>
  <c r="P222" i="1"/>
  <c r="G222" i="1"/>
  <c r="Q221" i="1"/>
  <c r="P221" i="1"/>
  <c r="G221" i="1"/>
  <c r="Q220" i="1"/>
  <c r="P220" i="1"/>
  <c r="G220" i="1"/>
  <c r="Q219" i="1"/>
  <c r="P219" i="1"/>
  <c r="G219" i="1"/>
  <c r="Q218" i="1"/>
  <c r="P218" i="1"/>
  <c r="G218" i="1"/>
  <c r="Q217" i="1"/>
  <c r="P217" i="1"/>
  <c r="G217" i="1"/>
  <c r="Q216" i="1"/>
  <c r="P216" i="1"/>
  <c r="G216" i="1"/>
  <c r="Q215" i="1"/>
  <c r="P215" i="1"/>
  <c r="G215" i="1"/>
  <c r="Q214" i="1"/>
  <c r="P214" i="1"/>
  <c r="G214" i="1"/>
  <c r="Q213" i="1"/>
  <c r="P213" i="1"/>
  <c r="G213" i="1"/>
  <c r="Q212" i="1"/>
  <c r="P212" i="1"/>
  <c r="G212" i="1"/>
  <c r="Q211" i="1"/>
  <c r="P211" i="1"/>
  <c r="G211" i="1"/>
  <c r="Q210" i="1"/>
  <c r="P210" i="1"/>
  <c r="G210" i="1"/>
  <c r="Q209" i="1"/>
  <c r="P209" i="1"/>
  <c r="G209" i="1"/>
  <c r="Q208" i="1"/>
  <c r="P208" i="1"/>
  <c r="G208" i="1"/>
  <c r="Q207" i="1"/>
  <c r="P207" i="1"/>
  <c r="G207" i="1"/>
  <c r="Q206" i="1"/>
  <c r="P206" i="1"/>
  <c r="G206" i="1"/>
  <c r="Q205" i="1"/>
  <c r="P205" i="1"/>
  <c r="G205" i="1"/>
  <c r="Q204" i="1"/>
  <c r="P204" i="1"/>
  <c r="G204" i="1"/>
  <c r="Q203" i="1"/>
  <c r="P203" i="1"/>
  <c r="G203" i="1"/>
  <c r="Q202" i="1"/>
  <c r="P202" i="1"/>
  <c r="G202" i="1"/>
  <c r="Q201" i="1"/>
  <c r="P201" i="1"/>
  <c r="G201" i="1"/>
  <c r="Q200" i="1"/>
  <c r="P200" i="1"/>
  <c r="G200" i="1"/>
  <c r="Q199" i="1"/>
  <c r="P199" i="1"/>
  <c r="G199" i="1"/>
  <c r="Q198" i="1"/>
  <c r="P198" i="1"/>
  <c r="G198" i="1"/>
  <c r="Q197" i="1"/>
  <c r="P197" i="1"/>
  <c r="G197" i="1"/>
  <c r="Q196" i="1"/>
  <c r="P196" i="1"/>
  <c r="G196" i="1"/>
  <c r="Q195" i="1"/>
  <c r="P195" i="1"/>
  <c r="G195" i="1"/>
  <c r="Q194" i="1"/>
  <c r="P194" i="1"/>
  <c r="G194" i="1"/>
  <c r="Q193" i="1"/>
  <c r="P193" i="1"/>
  <c r="G193" i="1"/>
  <c r="Q192" i="1"/>
  <c r="P192" i="1"/>
  <c r="G192" i="1"/>
  <c r="Q191" i="1"/>
  <c r="P191" i="1"/>
  <c r="G191" i="1"/>
  <c r="Q190" i="1"/>
  <c r="P190" i="1"/>
  <c r="G190" i="1"/>
  <c r="Q189" i="1"/>
  <c r="P189" i="1"/>
  <c r="G189" i="1"/>
  <c r="Q188" i="1"/>
  <c r="P188" i="1"/>
  <c r="G188" i="1"/>
  <c r="Q187" i="1"/>
  <c r="P187" i="1"/>
  <c r="G187" i="1"/>
  <c r="Q186" i="1"/>
  <c r="P186" i="1"/>
  <c r="G186" i="1"/>
  <c r="Q185" i="1"/>
  <c r="P185" i="1"/>
  <c r="G185" i="1"/>
  <c r="Q184" i="1"/>
  <c r="P184" i="1"/>
  <c r="G184" i="1"/>
  <c r="Q183" i="1"/>
  <c r="P183" i="1"/>
  <c r="G183" i="1"/>
  <c r="Q182" i="1"/>
  <c r="P182" i="1"/>
  <c r="G182" i="1"/>
  <c r="Q181" i="1"/>
  <c r="P181" i="1"/>
  <c r="G181" i="1"/>
  <c r="Q180" i="1"/>
  <c r="P180" i="1"/>
  <c r="G180" i="1"/>
  <c r="Q179" i="1"/>
  <c r="P179" i="1"/>
  <c r="G179" i="1"/>
  <c r="Q178" i="1"/>
  <c r="P178" i="1"/>
  <c r="G178" i="1"/>
  <c r="Q177" i="1"/>
  <c r="P177" i="1"/>
  <c r="G177" i="1"/>
  <c r="Q176" i="1"/>
  <c r="P176" i="1"/>
  <c r="G176" i="1"/>
  <c r="Q175" i="1"/>
  <c r="P175" i="1"/>
  <c r="G175" i="1"/>
  <c r="Q174" i="1"/>
  <c r="P174" i="1"/>
  <c r="G174" i="1"/>
  <c r="Q173" i="1"/>
  <c r="P173" i="1"/>
  <c r="G173" i="1"/>
  <c r="Q172" i="1"/>
  <c r="P172" i="1"/>
  <c r="G172" i="1"/>
  <c r="Q171" i="1"/>
  <c r="P171" i="1"/>
  <c r="G171" i="1"/>
  <c r="Q170" i="1"/>
  <c r="P170" i="1"/>
  <c r="G170" i="1"/>
  <c r="Q169" i="1"/>
  <c r="P169" i="1"/>
  <c r="G169" i="1"/>
  <c r="Q168" i="1"/>
  <c r="P168" i="1"/>
  <c r="G168" i="1"/>
  <c r="Q167" i="1"/>
  <c r="P167" i="1"/>
  <c r="G167" i="1"/>
  <c r="Q166" i="1"/>
  <c r="P166" i="1"/>
  <c r="G166" i="1"/>
  <c r="Q165" i="1"/>
  <c r="P165" i="1"/>
  <c r="G165" i="1"/>
  <c r="Q164" i="1"/>
  <c r="P164" i="1"/>
  <c r="G164" i="1"/>
  <c r="Q163" i="1"/>
  <c r="P163" i="1"/>
  <c r="G163" i="1"/>
  <c r="Q162" i="1"/>
  <c r="P162" i="1"/>
  <c r="G162" i="1"/>
  <c r="Q161" i="1"/>
  <c r="P161" i="1"/>
  <c r="G161" i="1"/>
  <c r="Q160" i="1"/>
  <c r="P160" i="1"/>
  <c r="G160" i="1"/>
  <c r="Q159" i="1"/>
  <c r="P159" i="1"/>
  <c r="G159" i="1"/>
  <c r="Q158" i="1"/>
  <c r="P158" i="1"/>
  <c r="G158" i="1"/>
  <c r="Q157" i="1"/>
  <c r="P157" i="1"/>
  <c r="G157" i="1"/>
  <c r="Q156" i="1"/>
  <c r="P156" i="1"/>
  <c r="G156" i="1"/>
  <c r="Q155" i="1"/>
  <c r="P155" i="1"/>
  <c r="G155" i="1"/>
  <c r="Q154" i="1"/>
  <c r="P154" i="1"/>
  <c r="G154" i="1"/>
  <c r="Q153" i="1"/>
  <c r="P153" i="1"/>
  <c r="G153" i="1"/>
  <c r="Q152" i="1"/>
  <c r="P152" i="1"/>
  <c r="G152" i="1"/>
  <c r="Q151" i="1"/>
  <c r="P151" i="1"/>
  <c r="G151" i="1"/>
  <c r="Q150" i="1"/>
  <c r="P150" i="1"/>
  <c r="Q149" i="1"/>
  <c r="P149" i="1"/>
  <c r="Q148" i="1"/>
  <c r="P148" i="1"/>
  <c r="Q147" i="1"/>
  <c r="P147" i="1"/>
  <c r="Q146" i="1"/>
  <c r="P146" i="1"/>
  <c r="Q145" i="1"/>
  <c r="P145" i="1"/>
  <c r="Q144" i="1"/>
  <c r="P144" i="1"/>
  <c r="Q143" i="1"/>
  <c r="P143" i="1"/>
  <c r="Q142" i="1"/>
  <c r="P142" i="1"/>
  <c r="Q141" i="1"/>
  <c r="P141" i="1"/>
  <c r="Q140" i="1"/>
  <c r="P140" i="1"/>
  <c r="Q139" i="1"/>
  <c r="P139" i="1"/>
  <c r="Q138" i="1"/>
  <c r="P138" i="1"/>
  <c r="Q137" i="1"/>
  <c r="P137" i="1"/>
  <c r="Q136" i="1"/>
  <c r="P136" i="1"/>
  <c r="Q135" i="1"/>
  <c r="P135" i="1"/>
  <c r="Q134" i="1"/>
  <c r="P134" i="1"/>
  <c r="Q133" i="1"/>
  <c r="P133" i="1"/>
  <c r="Q132" i="1"/>
  <c r="P132" i="1"/>
  <c r="Q131" i="1"/>
  <c r="P131" i="1"/>
  <c r="Q130" i="1"/>
  <c r="P130" i="1"/>
  <c r="Q129" i="1"/>
  <c r="P129" i="1"/>
  <c r="Q128" i="1"/>
  <c r="P128" i="1"/>
  <c r="Q127" i="1"/>
  <c r="P127" i="1"/>
  <c r="Q126" i="1"/>
  <c r="P126" i="1"/>
  <c r="Q125" i="1"/>
  <c r="P125" i="1"/>
  <c r="Q124" i="1"/>
  <c r="P124" i="1"/>
  <c r="Q123" i="1"/>
  <c r="P123" i="1"/>
  <c r="Q122" i="1"/>
  <c r="P122" i="1"/>
  <c r="Q121" i="1"/>
  <c r="P121" i="1"/>
  <c r="Q120" i="1"/>
  <c r="P120" i="1"/>
  <c r="Q119" i="1"/>
  <c r="P119" i="1"/>
  <c r="Q118" i="1"/>
  <c r="P118" i="1"/>
  <c r="Q117" i="1"/>
  <c r="P117" i="1"/>
  <c r="Q116" i="1"/>
  <c r="P116" i="1"/>
  <c r="Q115" i="1"/>
  <c r="P115" i="1"/>
  <c r="Q114" i="1"/>
  <c r="P114" i="1"/>
  <c r="Q113" i="1"/>
  <c r="P113" i="1"/>
  <c r="Q112" i="1"/>
  <c r="P112" i="1"/>
  <c r="Q111" i="1"/>
  <c r="P111" i="1"/>
  <c r="Q110" i="1"/>
  <c r="P110" i="1"/>
  <c r="Q109" i="1"/>
  <c r="P109" i="1"/>
  <c r="Q108" i="1"/>
  <c r="P108" i="1"/>
  <c r="Q107" i="1"/>
  <c r="P107" i="1"/>
  <c r="Q106" i="1"/>
  <c r="P106" i="1"/>
  <c r="Q105" i="1"/>
  <c r="P105" i="1"/>
  <c r="Q104" i="1"/>
  <c r="P104" i="1"/>
  <c r="Q103" i="1"/>
  <c r="P103" i="1"/>
  <c r="Q102" i="1"/>
  <c r="P102" i="1"/>
  <c r="Q101" i="1"/>
  <c r="P101" i="1"/>
  <c r="Q100" i="1"/>
  <c r="P100" i="1"/>
  <c r="Q99" i="1"/>
  <c r="P99" i="1"/>
  <c r="Q98" i="1"/>
  <c r="P98" i="1"/>
  <c r="Q97" i="1"/>
  <c r="P97" i="1"/>
  <c r="Q96" i="1"/>
  <c r="P96" i="1"/>
  <c r="Q95" i="1"/>
  <c r="P95" i="1"/>
  <c r="Q94" i="1"/>
  <c r="P94" i="1"/>
  <c r="Q93" i="1"/>
  <c r="P93" i="1"/>
  <c r="Q92" i="1"/>
  <c r="P92" i="1"/>
  <c r="Q91" i="1"/>
  <c r="P91" i="1"/>
  <c r="Q90" i="1"/>
  <c r="P90" i="1"/>
  <c r="Q89" i="1"/>
  <c r="P89" i="1"/>
  <c r="Q88" i="1"/>
  <c r="P88" i="1"/>
  <c r="Q87" i="1"/>
  <c r="P87" i="1"/>
  <c r="Q86" i="1"/>
  <c r="P86" i="1"/>
  <c r="Q85" i="1"/>
  <c r="P85" i="1"/>
  <c r="Q84" i="1"/>
  <c r="P84" i="1"/>
  <c r="Q83" i="1"/>
  <c r="P83" i="1"/>
  <c r="Q82" i="1"/>
  <c r="P82" i="1"/>
  <c r="Q81" i="1"/>
  <c r="P81" i="1"/>
  <c r="Q80" i="1"/>
  <c r="P80" i="1"/>
  <c r="Q79" i="1"/>
  <c r="P79" i="1"/>
  <c r="Q78" i="1"/>
  <c r="P78" i="1"/>
  <c r="Q77" i="1"/>
  <c r="P77" i="1"/>
  <c r="Q76" i="1"/>
  <c r="P76" i="1"/>
  <c r="Q75" i="1"/>
  <c r="P75" i="1"/>
  <c r="Q74" i="1"/>
  <c r="P74" i="1"/>
  <c r="Q73" i="1"/>
  <c r="P73" i="1"/>
  <c r="Q72" i="1"/>
  <c r="P72" i="1"/>
  <c r="Q71" i="1"/>
  <c r="P71" i="1"/>
  <c r="Q70" i="1"/>
  <c r="P70" i="1"/>
  <c r="Q69" i="1"/>
  <c r="P69" i="1"/>
  <c r="Q68" i="1"/>
  <c r="P68" i="1"/>
  <c r="Q67" i="1"/>
  <c r="P67" i="1"/>
  <c r="Q66" i="1"/>
  <c r="P66" i="1"/>
  <c r="Q65" i="1"/>
  <c r="P65" i="1"/>
  <c r="Q64" i="1"/>
  <c r="P64" i="1"/>
  <c r="Q63" i="1"/>
  <c r="P63" i="1"/>
  <c r="Q62" i="1"/>
  <c r="P62" i="1"/>
  <c r="Q61" i="1"/>
  <c r="P61" i="1"/>
  <c r="Q60" i="1"/>
  <c r="P60" i="1"/>
  <c r="Q59" i="1"/>
  <c r="P59" i="1"/>
  <c r="Q58" i="1"/>
  <c r="P58" i="1"/>
  <c r="Q57" i="1"/>
  <c r="P57" i="1"/>
  <c r="Q56" i="1"/>
  <c r="P56" i="1"/>
  <c r="Q55" i="1"/>
  <c r="P55" i="1"/>
  <c r="Q54" i="1"/>
  <c r="P54" i="1"/>
  <c r="Q53" i="1"/>
  <c r="P53" i="1"/>
  <c r="Q52" i="1"/>
  <c r="P52" i="1"/>
  <c r="Q51" i="1"/>
  <c r="P51" i="1"/>
  <c r="Q50" i="1"/>
  <c r="P50" i="1"/>
  <c r="Q49" i="1"/>
  <c r="P49" i="1"/>
  <c r="Q48" i="1"/>
  <c r="P48" i="1"/>
  <c r="Q47" i="1"/>
  <c r="P47" i="1"/>
  <c r="Q46" i="1"/>
  <c r="P46" i="1"/>
  <c r="Q45" i="1"/>
  <c r="P45" i="1"/>
  <c r="Q44" i="1"/>
  <c r="P44" i="1"/>
  <c r="Q43" i="1"/>
  <c r="P43" i="1"/>
  <c r="Q42" i="1"/>
  <c r="P42" i="1"/>
  <c r="Q41" i="1"/>
  <c r="P41" i="1"/>
  <c r="Q40" i="1"/>
  <c r="P40" i="1"/>
  <c r="Q39" i="1"/>
  <c r="P39" i="1"/>
  <c r="Q38" i="1"/>
  <c r="P38" i="1"/>
  <c r="Q37" i="1"/>
  <c r="P37" i="1"/>
  <c r="Q36" i="1"/>
  <c r="P36" i="1"/>
  <c r="Q35" i="1"/>
  <c r="P35" i="1"/>
  <c r="Q34" i="1"/>
  <c r="P34" i="1"/>
  <c r="Q33" i="1"/>
  <c r="P33" i="1"/>
  <c r="Q32" i="1"/>
  <c r="P32" i="1"/>
  <c r="Q31" i="1"/>
  <c r="P31" i="1"/>
  <c r="Q30" i="1"/>
  <c r="P30" i="1"/>
  <c r="Q29" i="1"/>
  <c r="P29" i="1"/>
  <c r="Q28" i="1"/>
  <c r="P28" i="1"/>
  <c r="Q27" i="1"/>
  <c r="P27" i="1"/>
  <c r="Q26" i="1"/>
  <c r="P26" i="1"/>
  <c r="Q25" i="1"/>
  <c r="P25" i="1"/>
  <c r="Q24" i="1"/>
  <c r="P24" i="1"/>
  <c r="Q23" i="1"/>
  <c r="P23" i="1"/>
  <c r="Q22" i="1"/>
  <c r="P22" i="1"/>
  <c r="Q21" i="1"/>
  <c r="P21" i="1"/>
  <c r="Q20" i="1"/>
  <c r="P20" i="1"/>
  <c r="Q19" i="1"/>
  <c r="P19" i="1"/>
  <c r="Q18" i="1"/>
  <c r="P18" i="1"/>
  <c r="Q17" i="1"/>
  <c r="P17" i="1"/>
  <c r="Q16" i="1"/>
  <c r="P16" i="1"/>
  <c r="Q15" i="1"/>
  <c r="P15" i="1"/>
  <c r="Q14" i="1"/>
  <c r="P14" i="1"/>
  <c r="Q13" i="1"/>
  <c r="P13" i="1"/>
  <c r="Q12" i="1"/>
  <c r="P12" i="1"/>
  <c r="Q11" i="1"/>
  <c r="P11" i="1"/>
  <c r="Q10" i="1"/>
  <c r="P10" i="1"/>
  <c r="Q9" i="1"/>
  <c r="P9" i="1"/>
  <c r="Q8" i="1"/>
  <c r="P8" i="1"/>
  <c r="Q7" i="1"/>
  <c r="P7" i="1"/>
  <c r="Q6" i="1"/>
  <c r="P6" i="1"/>
  <c r="Q5" i="1"/>
  <c r="P5" i="1"/>
  <c r="I274" i="2"/>
  <c r="H274" i="2"/>
  <c r="G274" i="2"/>
  <c r="F274" i="2"/>
  <c r="E274" i="2"/>
  <c r="I273" i="2"/>
  <c r="H273" i="2"/>
  <c r="G273" i="2"/>
  <c r="F273" i="2"/>
  <c r="E273" i="2"/>
  <c r="J273" i="2" s="1"/>
  <c r="I272" i="2"/>
  <c r="H272" i="2"/>
  <c r="G272" i="2"/>
  <c r="F272" i="2"/>
  <c r="E272" i="2"/>
  <c r="I271" i="2"/>
  <c r="H271" i="2"/>
  <c r="G271" i="2"/>
  <c r="F271" i="2"/>
  <c r="E271" i="2"/>
  <c r="J271" i="2" s="1"/>
  <c r="I270" i="2"/>
  <c r="H270" i="2"/>
  <c r="G270" i="2"/>
  <c r="F270" i="2"/>
  <c r="E270" i="2"/>
  <c r="J270" i="2" s="1"/>
  <c r="I269" i="2"/>
  <c r="H269" i="2"/>
  <c r="G269" i="2"/>
  <c r="F269" i="2"/>
  <c r="E269" i="2"/>
  <c r="I268" i="2"/>
  <c r="H268" i="2"/>
  <c r="G268" i="2"/>
  <c r="F268" i="2"/>
  <c r="E268" i="2"/>
  <c r="I267" i="2"/>
  <c r="H267" i="2"/>
  <c r="G267" i="2"/>
  <c r="F267" i="2"/>
  <c r="E267" i="2"/>
  <c r="J267" i="2" s="1"/>
  <c r="I266" i="2"/>
  <c r="H266" i="2"/>
  <c r="G266" i="2"/>
  <c r="F266" i="2"/>
  <c r="E266" i="2"/>
  <c r="J266" i="2" s="1"/>
  <c r="I265" i="2"/>
  <c r="H265" i="2"/>
  <c r="G265" i="2"/>
  <c r="F265" i="2"/>
  <c r="E265" i="2"/>
  <c r="J265" i="2" s="1"/>
  <c r="I264" i="2"/>
  <c r="H264" i="2"/>
  <c r="G264" i="2"/>
  <c r="F264" i="2"/>
  <c r="E264" i="2"/>
  <c r="J264" i="2" s="1"/>
  <c r="I263" i="2"/>
  <c r="H263" i="2"/>
  <c r="G263" i="2"/>
  <c r="F263" i="2"/>
  <c r="E263" i="2"/>
  <c r="J263" i="2" s="1"/>
  <c r="I262" i="2"/>
  <c r="H262" i="2"/>
  <c r="G262" i="2"/>
  <c r="F262" i="2"/>
  <c r="E262" i="2"/>
  <c r="J262" i="2" s="1"/>
  <c r="I261" i="2"/>
  <c r="H261" i="2"/>
  <c r="G261" i="2"/>
  <c r="F261" i="2"/>
  <c r="E261" i="2"/>
  <c r="I260" i="2"/>
  <c r="H260" i="2"/>
  <c r="G260" i="2"/>
  <c r="F260" i="2"/>
  <c r="E260" i="2"/>
  <c r="J260" i="2" s="1"/>
  <c r="I259" i="2"/>
  <c r="H259" i="2"/>
  <c r="G259" i="2"/>
  <c r="F259" i="2"/>
  <c r="E259" i="2"/>
  <c r="J259" i="2" s="1"/>
  <c r="I258" i="2"/>
  <c r="H258" i="2"/>
  <c r="G258" i="2"/>
  <c r="F258" i="2"/>
  <c r="E258" i="2"/>
  <c r="J258" i="2" s="1"/>
  <c r="I257" i="2"/>
  <c r="H257" i="2"/>
  <c r="G257" i="2"/>
  <c r="F257" i="2"/>
  <c r="E257" i="2"/>
  <c r="J257" i="2" s="1"/>
  <c r="I256" i="2"/>
  <c r="H256" i="2"/>
  <c r="G256" i="2"/>
  <c r="F256" i="2"/>
  <c r="E256" i="2"/>
  <c r="J256" i="2" s="1"/>
  <c r="I255" i="2"/>
  <c r="H255" i="2"/>
  <c r="G255" i="2"/>
  <c r="F255" i="2"/>
  <c r="E255" i="2"/>
  <c r="J255" i="2" s="1"/>
  <c r="I254" i="2"/>
  <c r="H254" i="2"/>
  <c r="G254" i="2"/>
  <c r="F254" i="2"/>
  <c r="E254" i="2"/>
  <c r="J254" i="2" s="1"/>
  <c r="I253" i="2"/>
  <c r="H253" i="2"/>
  <c r="G253" i="2"/>
  <c r="F253" i="2"/>
  <c r="E253" i="2"/>
  <c r="J253" i="2" s="1"/>
  <c r="I251" i="2"/>
  <c r="H251" i="2"/>
  <c r="G251" i="2"/>
  <c r="F251" i="2"/>
  <c r="E251" i="2"/>
  <c r="D251" i="2"/>
  <c r="I250" i="2"/>
  <c r="H250" i="2"/>
  <c r="G250" i="2"/>
  <c r="F250" i="2"/>
  <c r="E250" i="2"/>
  <c r="J250" i="2" s="1"/>
  <c r="D250" i="2"/>
  <c r="I249" i="2"/>
  <c r="H249" i="2"/>
  <c r="G249" i="2"/>
  <c r="F249" i="2"/>
  <c r="E249" i="2"/>
  <c r="J249" i="2" s="1"/>
  <c r="I248" i="2"/>
  <c r="H248" i="2"/>
  <c r="G248" i="2"/>
  <c r="F248" i="2"/>
  <c r="E248" i="2"/>
  <c r="J248" i="2" s="1"/>
  <c r="I247" i="2"/>
  <c r="H247" i="2"/>
  <c r="G247" i="2"/>
  <c r="F247" i="2"/>
  <c r="E247" i="2"/>
  <c r="J247" i="2" s="1"/>
  <c r="D247" i="2"/>
  <c r="I246" i="2"/>
  <c r="H246" i="2"/>
  <c r="G246" i="2"/>
  <c r="F246" i="2"/>
  <c r="E246" i="2"/>
  <c r="J246" i="2" s="1"/>
  <c r="D246" i="2"/>
  <c r="I245" i="2"/>
  <c r="H245" i="2"/>
  <c r="G245" i="2"/>
  <c r="F245" i="2"/>
  <c r="E245" i="2"/>
  <c r="J245" i="2" s="1"/>
  <c r="D245" i="2"/>
  <c r="I244" i="2"/>
  <c r="H244" i="2"/>
  <c r="G244" i="2"/>
  <c r="F244" i="2"/>
  <c r="E244" i="2"/>
  <c r="J244" i="2" s="1"/>
  <c r="D244" i="2"/>
  <c r="I243" i="2"/>
  <c r="H243" i="2"/>
  <c r="G243" i="2"/>
  <c r="F243" i="2"/>
  <c r="E243" i="2"/>
  <c r="J243" i="2" s="1"/>
  <c r="D243" i="2"/>
  <c r="I242" i="2"/>
  <c r="H242" i="2"/>
  <c r="G242" i="2"/>
  <c r="F242" i="2"/>
  <c r="E242" i="2"/>
  <c r="J242" i="2" s="1"/>
  <c r="D242" i="2"/>
  <c r="I241" i="2"/>
  <c r="H241" i="2"/>
  <c r="G241" i="2"/>
  <c r="F241" i="2"/>
  <c r="E241" i="2"/>
  <c r="J241" i="2" s="1"/>
  <c r="D241" i="2"/>
  <c r="I240" i="2"/>
  <c r="H240" i="2"/>
  <c r="G240" i="2"/>
  <c r="F240" i="2"/>
  <c r="E240" i="2"/>
  <c r="D240" i="2"/>
  <c r="I239" i="2"/>
  <c r="H239" i="2"/>
  <c r="G239" i="2"/>
  <c r="F239" i="2"/>
  <c r="E239" i="2"/>
  <c r="J239" i="2" s="1"/>
  <c r="D239" i="2"/>
  <c r="I238" i="2"/>
  <c r="H238" i="2"/>
  <c r="G238" i="2"/>
  <c r="F238" i="2"/>
  <c r="E238" i="2"/>
  <c r="J238" i="2" s="1"/>
  <c r="D238" i="2"/>
  <c r="I237" i="2"/>
  <c r="H237" i="2"/>
  <c r="G237" i="2"/>
  <c r="F237" i="2"/>
  <c r="E237" i="2"/>
  <c r="D237" i="2"/>
  <c r="I236" i="2"/>
  <c r="H236" i="2"/>
  <c r="G236" i="2"/>
  <c r="F236" i="2"/>
  <c r="E236" i="2"/>
  <c r="J236" i="2" s="1"/>
  <c r="D236" i="2"/>
  <c r="I235" i="2"/>
  <c r="H235" i="2"/>
  <c r="G235" i="2"/>
  <c r="F235" i="2"/>
  <c r="E235" i="2"/>
  <c r="J235" i="2" s="1"/>
  <c r="D235" i="2"/>
  <c r="I234" i="2"/>
  <c r="H234" i="2"/>
  <c r="G234" i="2"/>
  <c r="F234" i="2"/>
  <c r="E234" i="2"/>
  <c r="J234" i="2" s="1"/>
  <c r="D234" i="2"/>
  <c r="I233" i="2"/>
  <c r="H233" i="2"/>
  <c r="G233" i="2"/>
  <c r="F233" i="2"/>
  <c r="E233" i="2"/>
  <c r="J233" i="2" s="1"/>
  <c r="D233" i="2"/>
  <c r="I232" i="2"/>
  <c r="H232" i="2"/>
  <c r="G232" i="2"/>
  <c r="F232" i="2"/>
  <c r="E232" i="2"/>
  <c r="D232" i="2"/>
  <c r="I231" i="2"/>
  <c r="H231" i="2"/>
  <c r="G231" i="2"/>
  <c r="F231" i="2"/>
  <c r="E231" i="2"/>
  <c r="J231" i="2" s="1"/>
  <c r="D231" i="2"/>
  <c r="I230" i="2"/>
  <c r="H230" i="2"/>
  <c r="G230" i="2"/>
  <c r="F230" i="2"/>
  <c r="E230" i="2"/>
  <c r="J230" i="2" s="1"/>
  <c r="D230" i="2"/>
  <c r="I229" i="2"/>
  <c r="H229" i="2"/>
  <c r="G229" i="2"/>
  <c r="F229" i="2"/>
  <c r="E229" i="2"/>
  <c r="J229" i="2" s="1"/>
  <c r="D229" i="2"/>
  <c r="I228" i="2"/>
  <c r="H228" i="2"/>
  <c r="G228" i="2"/>
  <c r="F228" i="2"/>
  <c r="E228" i="2"/>
  <c r="D228" i="2"/>
  <c r="I227" i="2"/>
  <c r="H227" i="2"/>
  <c r="G227" i="2"/>
  <c r="F227" i="2"/>
  <c r="E227" i="2"/>
  <c r="J227" i="2" s="1"/>
  <c r="D227" i="2"/>
  <c r="I226" i="2"/>
  <c r="H226" i="2"/>
  <c r="G226" i="2"/>
  <c r="F226" i="2"/>
  <c r="E226" i="2"/>
  <c r="J226" i="2" s="1"/>
  <c r="D226" i="2"/>
  <c r="I225" i="2"/>
  <c r="H225" i="2"/>
  <c r="G225" i="2"/>
  <c r="F225" i="2"/>
  <c r="E225" i="2"/>
  <c r="J225" i="2" s="1"/>
  <c r="D225" i="2"/>
  <c r="I224" i="2"/>
  <c r="H224" i="2"/>
  <c r="G224" i="2"/>
  <c r="F224" i="2"/>
  <c r="E224" i="2"/>
  <c r="J224" i="2" s="1"/>
  <c r="D224" i="2"/>
  <c r="I223" i="2"/>
  <c r="H223" i="2"/>
  <c r="G223" i="2"/>
  <c r="F223" i="2"/>
  <c r="E223" i="2"/>
  <c r="D223" i="2"/>
  <c r="I222" i="2"/>
  <c r="H222" i="2"/>
  <c r="G222" i="2"/>
  <c r="F222" i="2"/>
  <c r="E222" i="2"/>
  <c r="D222" i="2"/>
  <c r="I221" i="2"/>
  <c r="H221" i="2"/>
  <c r="G221" i="2"/>
  <c r="F221" i="2"/>
  <c r="E221" i="2"/>
  <c r="J221" i="2" s="1"/>
  <c r="D221" i="2"/>
  <c r="I220" i="2"/>
  <c r="H220" i="2"/>
  <c r="G220" i="2"/>
  <c r="F220" i="2"/>
  <c r="E220" i="2"/>
  <c r="J220" i="2" s="1"/>
  <c r="D220" i="2"/>
  <c r="I219" i="2"/>
  <c r="H219" i="2"/>
  <c r="G219" i="2"/>
  <c r="F219" i="2"/>
  <c r="E219" i="2"/>
  <c r="D219" i="2"/>
  <c r="I218" i="2"/>
  <c r="H218" i="2"/>
  <c r="G218" i="2"/>
  <c r="F218" i="2"/>
  <c r="E218" i="2"/>
  <c r="J218" i="2" s="1"/>
  <c r="D218" i="2"/>
  <c r="I217" i="2"/>
  <c r="H217" i="2"/>
  <c r="G217" i="2"/>
  <c r="F217" i="2"/>
  <c r="E217" i="2"/>
  <c r="J217" i="2" s="1"/>
  <c r="D217" i="2"/>
  <c r="I216" i="2"/>
  <c r="H216" i="2"/>
  <c r="G216" i="2"/>
  <c r="F216" i="2"/>
  <c r="E216" i="2"/>
  <c r="J216" i="2" s="1"/>
  <c r="D216" i="2"/>
  <c r="I215" i="2"/>
  <c r="H215" i="2"/>
  <c r="G215" i="2"/>
  <c r="F215" i="2"/>
  <c r="E215" i="2"/>
  <c r="J215" i="2" s="1"/>
  <c r="D215" i="2"/>
  <c r="I214" i="2"/>
  <c r="H214" i="2"/>
  <c r="G214" i="2"/>
  <c r="F214" i="2"/>
  <c r="E214" i="2"/>
  <c r="J214" i="2" s="1"/>
  <c r="D214" i="2"/>
  <c r="I213" i="2"/>
  <c r="H213" i="2"/>
  <c r="G213" i="2"/>
  <c r="F213" i="2"/>
  <c r="E213" i="2"/>
  <c r="J213" i="2" s="1"/>
  <c r="D213" i="2"/>
  <c r="I212" i="2"/>
  <c r="H212" i="2"/>
  <c r="G212" i="2"/>
  <c r="F212" i="2"/>
  <c r="E212" i="2"/>
  <c r="J212" i="2" s="1"/>
  <c r="D212" i="2"/>
  <c r="I211" i="2"/>
  <c r="H211" i="2"/>
  <c r="G211" i="2"/>
  <c r="F211" i="2"/>
  <c r="E211" i="2"/>
  <c r="J211" i="2" s="1"/>
  <c r="D211" i="2"/>
  <c r="I210" i="2"/>
  <c r="H210" i="2"/>
  <c r="G210" i="2"/>
  <c r="F210" i="2"/>
  <c r="E210" i="2"/>
  <c r="J210" i="2" s="1"/>
  <c r="D210" i="2"/>
  <c r="I209" i="2"/>
  <c r="H209" i="2"/>
  <c r="G209" i="2"/>
  <c r="F209" i="2"/>
  <c r="E209" i="2"/>
  <c r="J209" i="2" s="1"/>
  <c r="D209" i="2"/>
  <c r="I208" i="2"/>
  <c r="H208" i="2"/>
  <c r="G208" i="2"/>
  <c r="F208" i="2"/>
  <c r="E208" i="2"/>
  <c r="D208" i="2"/>
  <c r="I207" i="2"/>
  <c r="H207" i="2"/>
  <c r="G207" i="2"/>
  <c r="F207" i="2"/>
  <c r="E207" i="2"/>
  <c r="J207" i="2" s="1"/>
  <c r="D207" i="2"/>
  <c r="I206" i="2"/>
  <c r="H206" i="2"/>
  <c r="G206" i="2"/>
  <c r="F206" i="2"/>
  <c r="E206" i="2"/>
  <c r="J206" i="2" s="1"/>
  <c r="D206" i="2"/>
  <c r="I205" i="2"/>
  <c r="H205" i="2"/>
  <c r="G205" i="2"/>
  <c r="F205" i="2"/>
  <c r="E205" i="2"/>
  <c r="J205" i="2" s="1"/>
  <c r="D205" i="2"/>
  <c r="I204" i="2"/>
  <c r="H204" i="2"/>
  <c r="G204" i="2"/>
  <c r="F204" i="2"/>
  <c r="E204" i="2"/>
  <c r="J204" i="2" s="1"/>
  <c r="D204" i="2"/>
  <c r="I203" i="2"/>
  <c r="H203" i="2"/>
  <c r="G203" i="2"/>
  <c r="F203" i="2"/>
  <c r="E203" i="2"/>
  <c r="J203" i="2" s="1"/>
  <c r="D203" i="2"/>
  <c r="I202" i="2"/>
  <c r="H202" i="2"/>
  <c r="G202" i="2"/>
  <c r="F202" i="2"/>
  <c r="E202" i="2"/>
  <c r="D202" i="2"/>
  <c r="I201" i="2"/>
  <c r="H201" i="2"/>
  <c r="G201" i="2"/>
  <c r="F201" i="2"/>
  <c r="E201" i="2"/>
  <c r="J201" i="2" s="1"/>
  <c r="D201" i="2"/>
  <c r="I200" i="2"/>
  <c r="H200" i="2"/>
  <c r="G200" i="2"/>
  <c r="F200" i="2"/>
  <c r="E200" i="2"/>
  <c r="D200" i="2"/>
  <c r="I199" i="2"/>
  <c r="H199" i="2"/>
  <c r="G199" i="2"/>
  <c r="F199" i="2"/>
  <c r="E199" i="2"/>
  <c r="J199" i="2" s="1"/>
  <c r="D199" i="2"/>
  <c r="I198" i="2"/>
  <c r="H198" i="2"/>
  <c r="G198" i="2"/>
  <c r="F198" i="2"/>
  <c r="E198" i="2"/>
  <c r="J198" i="2" s="1"/>
  <c r="D198" i="2"/>
  <c r="I197" i="2"/>
  <c r="H197" i="2"/>
  <c r="G197" i="2"/>
  <c r="F197" i="2"/>
  <c r="E197" i="2"/>
  <c r="J197" i="2" s="1"/>
  <c r="D197" i="2"/>
  <c r="I196" i="2"/>
  <c r="H196" i="2"/>
  <c r="G196" i="2"/>
  <c r="F196" i="2"/>
  <c r="E196" i="2"/>
  <c r="D196" i="2"/>
  <c r="I195" i="2"/>
  <c r="H195" i="2"/>
  <c r="G195" i="2"/>
  <c r="F195" i="2"/>
  <c r="E195" i="2"/>
  <c r="D195" i="2"/>
  <c r="I194" i="2"/>
  <c r="H194" i="2"/>
  <c r="G194" i="2"/>
  <c r="F194" i="2"/>
  <c r="E194" i="2"/>
  <c r="J194" i="2" s="1"/>
  <c r="D194" i="2"/>
  <c r="I193" i="2"/>
  <c r="H193" i="2"/>
  <c r="G193" i="2"/>
  <c r="F193" i="2"/>
  <c r="E193" i="2"/>
  <c r="J193" i="2" s="1"/>
  <c r="D193" i="2"/>
  <c r="I192" i="2"/>
  <c r="H192" i="2"/>
  <c r="G192" i="2"/>
  <c r="F192" i="2"/>
  <c r="E192" i="2"/>
  <c r="D192" i="2"/>
  <c r="I191" i="2"/>
  <c r="H191" i="2"/>
  <c r="G191" i="2"/>
  <c r="F191" i="2"/>
  <c r="E191" i="2"/>
  <c r="J191" i="2" s="1"/>
  <c r="D191" i="2"/>
  <c r="I190" i="2"/>
  <c r="H190" i="2"/>
  <c r="G190" i="2"/>
  <c r="F190" i="2"/>
  <c r="E190" i="2"/>
  <c r="J190" i="2" s="1"/>
  <c r="D190" i="2"/>
  <c r="I189" i="2"/>
  <c r="H189" i="2"/>
  <c r="G189" i="2"/>
  <c r="F189" i="2"/>
  <c r="E189" i="2"/>
  <c r="J189" i="2" s="1"/>
  <c r="D189" i="2"/>
  <c r="I188" i="2"/>
  <c r="H188" i="2"/>
  <c r="G188" i="2"/>
  <c r="F188" i="2"/>
  <c r="E188" i="2"/>
  <c r="J188" i="2" s="1"/>
  <c r="D188" i="2"/>
  <c r="I187" i="2"/>
  <c r="H187" i="2"/>
  <c r="G187" i="2"/>
  <c r="F187" i="2"/>
  <c r="E187" i="2"/>
  <c r="J187" i="2" s="1"/>
  <c r="D187" i="2"/>
  <c r="I186" i="2"/>
  <c r="H186" i="2"/>
  <c r="G186" i="2"/>
  <c r="F186" i="2"/>
  <c r="E186" i="2"/>
  <c r="J186" i="2" s="1"/>
  <c r="D186" i="2"/>
  <c r="I185" i="2"/>
  <c r="H185" i="2"/>
  <c r="G185" i="2"/>
  <c r="F185" i="2"/>
  <c r="E185" i="2"/>
  <c r="J185" i="2" s="1"/>
  <c r="D185" i="2"/>
  <c r="I184" i="2"/>
  <c r="H184" i="2"/>
  <c r="G184" i="2"/>
  <c r="F184" i="2"/>
  <c r="E184" i="2"/>
  <c r="J184" i="2" s="1"/>
  <c r="D184" i="2"/>
  <c r="I183" i="2"/>
  <c r="H183" i="2"/>
  <c r="G183" i="2"/>
  <c r="F183" i="2"/>
  <c r="E183" i="2"/>
  <c r="J183" i="2" s="1"/>
  <c r="D183" i="2"/>
  <c r="I182" i="2"/>
  <c r="H182" i="2"/>
  <c r="G182" i="2"/>
  <c r="F182" i="2"/>
  <c r="E182" i="2"/>
  <c r="J182" i="2" s="1"/>
  <c r="D182" i="2"/>
  <c r="I181" i="2"/>
  <c r="H181" i="2"/>
  <c r="G181" i="2"/>
  <c r="F181" i="2"/>
  <c r="E181" i="2"/>
  <c r="J181" i="2" s="1"/>
  <c r="D181" i="2"/>
  <c r="I180" i="2"/>
  <c r="H180" i="2"/>
  <c r="G180" i="2"/>
  <c r="F180" i="2"/>
  <c r="E180" i="2"/>
  <c r="J180" i="2" s="1"/>
  <c r="D180" i="2"/>
  <c r="I179" i="2"/>
  <c r="H179" i="2"/>
  <c r="G179" i="2"/>
  <c r="F179" i="2"/>
  <c r="E179" i="2"/>
  <c r="J179" i="2" s="1"/>
  <c r="D179" i="2"/>
  <c r="I178" i="2"/>
  <c r="H178" i="2"/>
  <c r="G178" i="2"/>
  <c r="F178" i="2"/>
  <c r="E178" i="2"/>
  <c r="D178" i="2"/>
  <c r="I177" i="2"/>
  <c r="H177" i="2"/>
  <c r="G177" i="2"/>
  <c r="F177" i="2"/>
  <c r="E177" i="2"/>
  <c r="J177" i="2" s="1"/>
  <c r="D177" i="2"/>
  <c r="I176" i="2"/>
  <c r="H176" i="2"/>
  <c r="G176" i="2"/>
  <c r="F176" i="2"/>
  <c r="E176" i="2"/>
  <c r="J176" i="2" s="1"/>
  <c r="D176" i="2"/>
  <c r="I175" i="2"/>
  <c r="H175" i="2"/>
  <c r="G175" i="2"/>
  <c r="F175" i="2"/>
  <c r="E175" i="2"/>
  <c r="J175" i="2" s="1"/>
  <c r="D175" i="2"/>
  <c r="I174" i="2"/>
  <c r="H174" i="2"/>
  <c r="G174" i="2"/>
  <c r="F174" i="2"/>
  <c r="E174" i="2"/>
  <c r="J174" i="2" s="1"/>
  <c r="D174" i="2"/>
  <c r="I173" i="2"/>
  <c r="H173" i="2"/>
  <c r="G173" i="2"/>
  <c r="F173" i="2"/>
  <c r="E173" i="2"/>
  <c r="J173" i="2" s="1"/>
  <c r="D173" i="2"/>
  <c r="I172" i="2"/>
  <c r="H172" i="2"/>
  <c r="G172" i="2"/>
  <c r="F172" i="2"/>
  <c r="E172" i="2"/>
  <c r="J172" i="2" s="1"/>
  <c r="D172" i="2"/>
  <c r="I171" i="2"/>
  <c r="H171" i="2"/>
  <c r="G171" i="2"/>
  <c r="F171" i="2"/>
  <c r="E171" i="2"/>
  <c r="J171" i="2" s="1"/>
  <c r="D171" i="2"/>
  <c r="I170" i="2"/>
  <c r="H170" i="2"/>
  <c r="G170" i="2"/>
  <c r="F170" i="2"/>
  <c r="E170" i="2"/>
  <c r="J170" i="2" s="1"/>
  <c r="I169" i="2"/>
  <c r="H169" i="2"/>
  <c r="G169" i="2"/>
  <c r="F169" i="2"/>
  <c r="E169" i="2"/>
  <c r="J169" i="2" s="1"/>
  <c r="I168" i="2"/>
  <c r="H168" i="2"/>
  <c r="G168" i="2"/>
  <c r="F168" i="2"/>
  <c r="E168" i="2"/>
  <c r="J168" i="2" s="1"/>
  <c r="I167" i="2"/>
  <c r="H167" i="2"/>
  <c r="G167" i="2"/>
  <c r="F167" i="2"/>
  <c r="E167" i="2"/>
  <c r="J167" i="2" s="1"/>
  <c r="I166" i="2"/>
  <c r="H166" i="2"/>
  <c r="G166" i="2"/>
  <c r="F166" i="2"/>
  <c r="E166" i="2"/>
  <c r="J166" i="2" s="1"/>
  <c r="I165" i="2"/>
  <c r="H165" i="2"/>
  <c r="G165" i="2"/>
  <c r="F165" i="2"/>
  <c r="E165" i="2"/>
  <c r="J165" i="2" s="1"/>
  <c r="I164" i="2"/>
  <c r="H164" i="2"/>
  <c r="G164" i="2"/>
  <c r="F164" i="2"/>
  <c r="E164" i="2"/>
  <c r="J164" i="2" s="1"/>
  <c r="I163" i="2"/>
  <c r="H163" i="2"/>
  <c r="G163" i="2"/>
  <c r="F163" i="2"/>
  <c r="E163" i="2"/>
  <c r="J163" i="2" s="1"/>
  <c r="I162" i="2"/>
  <c r="H162" i="2"/>
  <c r="G162" i="2"/>
  <c r="F162" i="2"/>
  <c r="E162" i="2"/>
  <c r="J162" i="2" s="1"/>
  <c r="I161" i="2"/>
  <c r="H161" i="2"/>
  <c r="G161" i="2"/>
  <c r="F161" i="2"/>
  <c r="E161" i="2"/>
  <c r="I160" i="2"/>
  <c r="H160" i="2"/>
  <c r="G160" i="2"/>
  <c r="F160" i="2"/>
  <c r="E160" i="2"/>
  <c r="J160" i="2" s="1"/>
  <c r="I159" i="2"/>
  <c r="H159" i="2"/>
  <c r="G159" i="2"/>
  <c r="F159" i="2"/>
  <c r="E159" i="2"/>
  <c r="J159" i="2" s="1"/>
  <c r="I158" i="2"/>
  <c r="H158" i="2"/>
  <c r="G158" i="2"/>
  <c r="F158" i="2"/>
  <c r="E158" i="2"/>
  <c r="J158" i="2" s="1"/>
  <c r="I157" i="2"/>
  <c r="H157" i="2"/>
  <c r="G157" i="2"/>
  <c r="F157" i="2"/>
  <c r="E157" i="2"/>
  <c r="I156" i="2"/>
  <c r="H156" i="2"/>
  <c r="G156" i="2"/>
  <c r="F156" i="2"/>
  <c r="E156" i="2"/>
  <c r="J156" i="2" s="1"/>
  <c r="I155" i="2"/>
  <c r="H155" i="2"/>
  <c r="G155" i="2"/>
  <c r="F155" i="2"/>
  <c r="E155" i="2"/>
  <c r="J155" i="2" s="1"/>
  <c r="I154" i="2"/>
  <c r="H154" i="2"/>
  <c r="G154" i="2"/>
  <c r="F154" i="2"/>
  <c r="E154" i="2"/>
  <c r="J154" i="2" s="1"/>
  <c r="I153" i="2"/>
  <c r="H153" i="2"/>
  <c r="G153" i="2"/>
  <c r="F153" i="2"/>
  <c r="E153" i="2"/>
  <c r="J153" i="2" s="1"/>
  <c r="I152" i="2"/>
  <c r="H152" i="2"/>
  <c r="G152" i="2"/>
  <c r="F152" i="2"/>
  <c r="E152" i="2"/>
  <c r="J152" i="2" s="1"/>
  <c r="I151" i="2"/>
  <c r="H151" i="2"/>
  <c r="G151" i="2"/>
  <c r="F151" i="2"/>
  <c r="E151" i="2"/>
  <c r="J151" i="2" s="1"/>
  <c r="I150" i="2"/>
  <c r="H150" i="2"/>
  <c r="G150" i="2"/>
  <c r="F150" i="2"/>
  <c r="E150" i="2"/>
  <c r="J150" i="2" s="1"/>
  <c r="I149" i="2"/>
  <c r="H149" i="2"/>
  <c r="G149" i="2"/>
  <c r="F149" i="2"/>
  <c r="E149" i="2"/>
  <c r="J149" i="2" s="1"/>
  <c r="I148" i="2"/>
  <c r="H148" i="2"/>
  <c r="G148" i="2"/>
  <c r="F148" i="2"/>
  <c r="E148" i="2"/>
  <c r="J148" i="2" s="1"/>
  <c r="I147" i="2"/>
  <c r="H147" i="2"/>
  <c r="G147" i="2"/>
  <c r="F147" i="2"/>
  <c r="E147" i="2"/>
  <c r="J147" i="2" s="1"/>
  <c r="I146" i="2"/>
  <c r="H146" i="2"/>
  <c r="G146" i="2"/>
  <c r="F146" i="2"/>
  <c r="E146" i="2"/>
  <c r="J146" i="2" s="1"/>
  <c r="I145" i="2"/>
  <c r="H145" i="2"/>
  <c r="G145" i="2"/>
  <c r="F145" i="2"/>
  <c r="E145" i="2"/>
  <c r="J145" i="2" s="1"/>
  <c r="I144" i="2"/>
  <c r="H144" i="2"/>
  <c r="G144" i="2"/>
  <c r="F144" i="2"/>
  <c r="E144" i="2"/>
  <c r="J144" i="2" s="1"/>
  <c r="I143" i="2"/>
  <c r="H143" i="2"/>
  <c r="G143" i="2"/>
  <c r="F143" i="2"/>
  <c r="E143" i="2"/>
  <c r="J143" i="2" s="1"/>
  <c r="I142" i="2"/>
  <c r="H142" i="2"/>
  <c r="G142" i="2"/>
  <c r="F142" i="2"/>
  <c r="E142" i="2"/>
  <c r="J142" i="2" s="1"/>
  <c r="I141" i="2"/>
  <c r="H141" i="2"/>
  <c r="G141" i="2"/>
  <c r="F141" i="2"/>
  <c r="E141" i="2"/>
  <c r="J141" i="2" s="1"/>
  <c r="I140" i="2"/>
  <c r="H140" i="2"/>
  <c r="G140" i="2"/>
  <c r="F140" i="2"/>
  <c r="E140" i="2"/>
  <c r="J140" i="2" s="1"/>
  <c r="D140" i="2"/>
  <c r="I139" i="2"/>
  <c r="H139" i="2"/>
  <c r="G139" i="2"/>
  <c r="F139" i="2"/>
  <c r="E139" i="2"/>
  <c r="J139" i="2" s="1"/>
  <c r="D139" i="2"/>
  <c r="I138" i="2"/>
  <c r="H138" i="2"/>
  <c r="G138" i="2"/>
  <c r="F138" i="2"/>
  <c r="E138" i="2"/>
  <c r="J138" i="2" s="1"/>
  <c r="D138" i="2"/>
  <c r="I137" i="2"/>
  <c r="H137" i="2"/>
  <c r="G137" i="2"/>
  <c r="F137" i="2"/>
  <c r="E137" i="2"/>
  <c r="J137" i="2" s="1"/>
  <c r="D137" i="2"/>
  <c r="I136" i="2"/>
  <c r="H136" i="2"/>
  <c r="G136" i="2"/>
  <c r="F136" i="2"/>
  <c r="E136" i="2"/>
  <c r="J136" i="2" s="1"/>
  <c r="D136" i="2"/>
  <c r="I135" i="2"/>
  <c r="H135" i="2"/>
  <c r="G135" i="2"/>
  <c r="F135" i="2"/>
  <c r="E135" i="2"/>
  <c r="J135" i="2" s="1"/>
  <c r="D135" i="2"/>
  <c r="I134" i="2"/>
  <c r="H134" i="2"/>
  <c r="G134" i="2"/>
  <c r="F134" i="2"/>
  <c r="E134" i="2"/>
  <c r="J134" i="2" s="1"/>
  <c r="D134" i="2"/>
  <c r="I133" i="2"/>
  <c r="H133" i="2"/>
  <c r="G133" i="2"/>
  <c r="F133" i="2"/>
  <c r="E133" i="2"/>
  <c r="J133" i="2" s="1"/>
  <c r="D133" i="2"/>
  <c r="I132" i="2"/>
  <c r="H132" i="2"/>
  <c r="G132" i="2"/>
  <c r="F132" i="2"/>
  <c r="E132" i="2"/>
  <c r="J132" i="2" s="1"/>
  <c r="D132" i="2"/>
  <c r="I131" i="2"/>
  <c r="H131" i="2"/>
  <c r="G131" i="2"/>
  <c r="F131" i="2"/>
  <c r="E131" i="2"/>
  <c r="J131" i="2" s="1"/>
  <c r="D131" i="2"/>
  <c r="I130" i="2"/>
  <c r="H130" i="2"/>
  <c r="G130" i="2"/>
  <c r="F130" i="2"/>
  <c r="E130" i="2"/>
  <c r="J130" i="2" s="1"/>
  <c r="D130" i="2"/>
  <c r="I129" i="2"/>
  <c r="H129" i="2"/>
  <c r="G129" i="2"/>
  <c r="F129" i="2"/>
  <c r="E129" i="2"/>
  <c r="J129" i="2" s="1"/>
  <c r="D129" i="2"/>
  <c r="I128" i="2"/>
  <c r="H128" i="2"/>
  <c r="G128" i="2"/>
  <c r="F128" i="2"/>
  <c r="E128" i="2"/>
  <c r="J128" i="2" s="1"/>
  <c r="D128" i="2"/>
  <c r="I127" i="2"/>
  <c r="H127" i="2"/>
  <c r="G127" i="2"/>
  <c r="F127" i="2"/>
  <c r="E127" i="2"/>
  <c r="D127" i="2"/>
  <c r="I126" i="2"/>
  <c r="H126" i="2"/>
  <c r="G126" i="2"/>
  <c r="F126" i="2"/>
  <c r="E126" i="2"/>
  <c r="J126" i="2" s="1"/>
  <c r="D126" i="2"/>
  <c r="I125" i="2"/>
  <c r="H125" i="2"/>
  <c r="G125" i="2"/>
  <c r="F125" i="2"/>
  <c r="E125" i="2"/>
  <c r="J125" i="2" s="1"/>
  <c r="D125" i="2"/>
  <c r="I124" i="2"/>
  <c r="H124" i="2"/>
  <c r="G124" i="2"/>
  <c r="F124" i="2"/>
  <c r="E124" i="2"/>
  <c r="J124" i="2" s="1"/>
  <c r="D124" i="2"/>
  <c r="I123" i="2"/>
  <c r="H123" i="2"/>
  <c r="G123" i="2"/>
  <c r="F123" i="2"/>
  <c r="E123" i="2"/>
  <c r="D123" i="2"/>
  <c r="I122" i="2"/>
  <c r="H122" i="2"/>
  <c r="G122" i="2"/>
  <c r="F122" i="2"/>
  <c r="E122" i="2"/>
  <c r="J122" i="2" s="1"/>
  <c r="D122" i="2"/>
  <c r="I121" i="2"/>
  <c r="H121" i="2"/>
  <c r="G121" i="2"/>
  <c r="F121" i="2"/>
  <c r="E121" i="2"/>
  <c r="J121" i="2" s="1"/>
  <c r="D121" i="2"/>
  <c r="I120" i="2"/>
  <c r="H120" i="2"/>
  <c r="G120" i="2"/>
  <c r="F120" i="2"/>
  <c r="E120" i="2"/>
  <c r="J120" i="2" s="1"/>
  <c r="D120" i="2"/>
  <c r="I119" i="2"/>
  <c r="H119" i="2"/>
  <c r="G119" i="2"/>
  <c r="F119" i="2"/>
  <c r="E119" i="2"/>
  <c r="J119" i="2" s="1"/>
  <c r="D119" i="2"/>
  <c r="I118" i="2"/>
  <c r="H118" i="2"/>
  <c r="G118" i="2"/>
  <c r="F118" i="2"/>
  <c r="E118" i="2"/>
  <c r="D118" i="2"/>
  <c r="I117" i="2"/>
  <c r="H117" i="2"/>
  <c r="G117" i="2"/>
  <c r="F117" i="2"/>
  <c r="E117" i="2"/>
  <c r="D117" i="2"/>
  <c r="I116" i="2"/>
  <c r="H116" i="2"/>
  <c r="G116" i="2"/>
  <c r="F116" i="2"/>
  <c r="E116" i="2"/>
  <c r="J116" i="2" s="1"/>
  <c r="I115" i="2"/>
  <c r="H115" i="2"/>
  <c r="G115" i="2"/>
  <c r="F115" i="2"/>
  <c r="E115" i="2"/>
  <c r="J115" i="2" s="1"/>
  <c r="I114" i="2"/>
  <c r="H114" i="2"/>
  <c r="G114" i="2"/>
  <c r="F114" i="2"/>
  <c r="E114" i="2"/>
  <c r="J114" i="2" s="1"/>
  <c r="I113" i="2"/>
  <c r="H113" i="2"/>
  <c r="G113" i="2"/>
  <c r="F113" i="2"/>
  <c r="E113" i="2"/>
  <c r="I112" i="2"/>
  <c r="H112" i="2"/>
  <c r="G112" i="2"/>
  <c r="F112" i="2"/>
  <c r="E112" i="2"/>
  <c r="J112" i="2" s="1"/>
  <c r="I111" i="2"/>
  <c r="H111" i="2"/>
  <c r="G111" i="2"/>
  <c r="F111" i="2"/>
  <c r="E111" i="2"/>
  <c r="J111" i="2" s="1"/>
  <c r="I110" i="2"/>
  <c r="H110" i="2"/>
  <c r="G110" i="2"/>
  <c r="F110" i="2"/>
  <c r="E110" i="2"/>
  <c r="J110" i="2" s="1"/>
  <c r="I109" i="2"/>
  <c r="H109" i="2"/>
  <c r="G109" i="2"/>
  <c r="F109" i="2"/>
  <c r="E109" i="2"/>
  <c r="J109" i="2" s="1"/>
  <c r="I108" i="2"/>
  <c r="H108" i="2"/>
  <c r="G108" i="2"/>
  <c r="F108" i="2"/>
  <c r="E108" i="2"/>
  <c r="J108" i="2" s="1"/>
  <c r="D108" i="2"/>
  <c r="I107" i="2"/>
  <c r="H107" i="2"/>
  <c r="G107" i="2"/>
  <c r="F107" i="2"/>
  <c r="E107" i="2"/>
  <c r="J107" i="2" s="1"/>
  <c r="D107" i="2"/>
  <c r="I106" i="2"/>
  <c r="H106" i="2"/>
  <c r="G106" i="2"/>
  <c r="F106" i="2"/>
  <c r="E106" i="2"/>
  <c r="J106" i="2" s="1"/>
  <c r="D106" i="2"/>
  <c r="I105" i="2"/>
  <c r="H105" i="2"/>
  <c r="G105" i="2"/>
  <c r="F105" i="2"/>
  <c r="E105" i="2"/>
  <c r="J105" i="2" s="1"/>
  <c r="D105" i="2"/>
  <c r="I104" i="2"/>
  <c r="H104" i="2"/>
  <c r="G104" i="2"/>
  <c r="F104" i="2"/>
  <c r="E104" i="2"/>
  <c r="J104" i="2" s="1"/>
  <c r="D104" i="2"/>
  <c r="I103" i="2"/>
  <c r="H103" i="2"/>
  <c r="G103" i="2"/>
  <c r="F103" i="2"/>
  <c r="E103" i="2"/>
  <c r="J103" i="2" s="1"/>
  <c r="D103" i="2"/>
  <c r="I102" i="2"/>
  <c r="H102" i="2"/>
  <c r="G102" i="2"/>
  <c r="F102" i="2"/>
  <c r="E102" i="2"/>
  <c r="J102" i="2" s="1"/>
  <c r="I101" i="2"/>
  <c r="H101" i="2"/>
  <c r="G101" i="2"/>
  <c r="F101" i="2"/>
  <c r="E101" i="2"/>
  <c r="J101" i="2" s="1"/>
  <c r="D101" i="2"/>
  <c r="I100" i="2"/>
  <c r="H100" i="2"/>
  <c r="G100" i="2"/>
  <c r="F100" i="2"/>
  <c r="E100" i="2"/>
  <c r="J100" i="2" s="1"/>
  <c r="D100" i="2"/>
  <c r="I99" i="2"/>
  <c r="H99" i="2"/>
  <c r="G99" i="2"/>
  <c r="F99" i="2"/>
  <c r="E99" i="2"/>
  <c r="J99" i="2" s="1"/>
  <c r="D99" i="2"/>
  <c r="I98" i="2"/>
  <c r="H98" i="2"/>
  <c r="G98" i="2"/>
  <c r="F98" i="2"/>
  <c r="E98" i="2"/>
  <c r="J98" i="2" s="1"/>
  <c r="D98" i="2"/>
  <c r="I97" i="2"/>
  <c r="H97" i="2"/>
  <c r="G97" i="2"/>
  <c r="F97" i="2"/>
  <c r="E97" i="2"/>
  <c r="J97" i="2" s="1"/>
  <c r="D97" i="2"/>
  <c r="I96" i="2"/>
  <c r="H96" i="2"/>
  <c r="G96" i="2"/>
  <c r="F96" i="2"/>
  <c r="E96" i="2"/>
  <c r="J96" i="2" s="1"/>
  <c r="D96" i="2"/>
  <c r="I95" i="2"/>
  <c r="H95" i="2"/>
  <c r="G95" i="2"/>
  <c r="F95" i="2"/>
  <c r="E95" i="2"/>
  <c r="J95" i="2" s="1"/>
  <c r="D95" i="2"/>
  <c r="I94" i="2"/>
  <c r="H94" i="2"/>
  <c r="G94" i="2"/>
  <c r="F94" i="2"/>
  <c r="E94" i="2"/>
  <c r="J94" i="2" s="1"/>
  <c r="D94" i="2"/>
  <c r="I93" i="2"/>
  <c r="H93" i="2"/>
  <c r="G93" i="2"/>
  <c r="F93" i="2"/>
  <c r="E93" i="2"/>
  <c r="J93" i="2" s="1"/>
  <c r="D93" i="2"/>
  <c r="I92" i="2"/>
  <c r="H92" i="2"/>
  <c r="G92" i="2"/>
  <c r="F92" i="2"/>
  <c r="E92" i="2"/>
  <c r="J92" i="2" s="1"/>
  <c r="I91" i="2"/>
  <c r="H91" i="2"/>
  <c r="G91" i="2"/>
  <c r="F91" i="2"/>
  <c r="E91" i="2"/>
  <c r="D91" i="2"/>
  <c r="I90" i="2"/>
  <c r="H90" i="2"/>
  <c r="G90" i="2"/>
  <c r="F90" i="2"/>
  <c r="E90" i="2"/>
  <c r="J90" i="2" s="1"/>
  <c r="D90" i="2"/>
  <c r="I89" i="2"/>
  <c r="H89" i="2"/>
  <c r="G89" i="2"/>
  <c r="F89" i="2"/>
  <c r="E89" i="2"/>
  <c r="J89" i="2" s="1"/>
  <c r="D89" i="2"/>
  <c r="I88" i="2"/>
  <c r="H88" i="2"/>
  <c r="G88" i="2"/>
  <c r="F88" i="2"/>
  <c r="E88" i="2"/>
  <c r="J88" i="2" s="1"/>
  <c r="D88" i="2"/>
  <c r="I87" i="2"/>
  <c r="H87" i="2"/>
  <c r="G87" i="2"/>
  <c r="F87" i="2"/>
  <c r="E87" i="2"/>
  <c r="J87" i="2" s="1"/>
  <c r="D87" i="2"/>
  <c r="I86" i="2"/>
  <c r="H86" i="2"/>
  <c r="G86" i="2"/>
  <c r="F86" i="2"/>
  <c r="E86" i="2"/>
  <c r="D86" i="2"/>
  <c r="I85" i="2"/>
  <c r="H85" i="2"/>
  <c r="G85" i="2"/>
  <c r="F85" i="2"/>
  <c r="E85" i="2"/>
  <c r="J85" i="2" s="1"/>
  <c r="D85" i="2"/>
  <c r="I84" i="2"/>
  <c r="H84" i="2"/>
  <c r="G84" i="2"/>
  <c r="F84" i="2"/>
  <c r="E84" i="2"/>
  <c r="J84" i="2" s="1"/>
  <c r="D84" i="2"/>
  <c r="I83" i="2"/>
  <c r="H83" i="2"/>
  <c r="G83" i="2"/>
  <c r="F83" i="2"/>
  <c r="E83" i="2"/>
  <c r="J83" i="2" s="1"/>
  <c r="D83" i="2"/>
  <c r="I82" i="2"/>
  <c r="H82" i="2"/>
  <c r="G82" i="2"/>
  <c r="F82" i="2"/>
  <c r="E82" i="2"/>
  <c r="J82" i="2" s="1"/>
  <c r="D82" i="2"/>
  <c r="I81" i="2"/>
  <c r="H81" i="2"/>
  <c r="G81" i="2"/>
  <c r="F81" i="2"/>
  <c r="E81" i="2"/>
  <c r="D81" i="2"/>
  <c r="I80" i="2"/>
  <c r="H80" i="2"/>
  <c r="G80" i="2"/>
  <c r="F80" i="2"/>
  <c r="E80" i="2"/>
  <c r="J80" i="2" s="1"/>
  <c r="D80" i="2"/>
  <c r="I79" i="2"/>
  <c r="H79" i="2"/>
  <c r="G79" i="2"/>
  <c r="F79" i="2"/>
  <c r="E79" i="2"/>
  <c r="J79" i="2" s="1"/>
  <c r="D79" i="2"/>
  <c r="I78" i="2"/>
  <c r="H78" i="2"/>
  <c r="G78" i="2"/>
  <c r="F78" i="2"/>
  <c r="E78" i="2"/>
  <c r="D78" i="2"/>
  <c r="I77" i="2"/>
  <c r="H77" i="2"/>
  <c r="G77" i="2"/>
  <c r="F77" i="2"/>
  <c r="E77" i="2"/>
  <c r="J77" i="2" s="1"/>
  <c r="D77" i="2"/>
  <c r="I76" i="2"/>
  <c r="H76" i="2"/>
  <c r="G76" i="2"/>
  <c r="F76" i="2"/>
  <c r="E76" i="2"/>
  <c r="J76" i="2" s="1"/>
  <c r="D76" i="2"/>
  <c r="I75" i="2"/>
  <c r="H75" i="2"/>
  <c r="G75" i="2"/>
  <c r="F75" i="2"/>
  <c r="E75" i="2"/>
  <c r="J75" i="2" s="1"/>
  <c r="D75" i="2"/>
  <c r="I74" i="2"/>
  <c r="H74" i="2"/>
  <c r="G74" i="2"/>
  <c r="F74" i="2"/>
  <c r="E74" i="2"/>
  <c r="J74" i="2" s="1"/>
  <c r="D74" i="2"/>
  <c r="I73" i="2"/>
  <c r="H73" i="2"/>
  <c r="G73" i="2"/>
  <c r="F73" i="2"/>
  <c r="E73" i="2"/>
  <c r="D73" i="2"/>
  <c r="I72" i="2"/>
  <c r="H72" i="2"/>
  <c r="G72" i="2"/>
  <c r="F72" i="2"/>
  <c r="E72" i="2"/>
  <c r="D72" i="2"/>
  <c r="I71" i="2"/>
  <c r="H71" i="2"/>
  <c r="G71" i="2"/>
  <c r="F71" i="2"/>
  <c r="E71" i="2"/>
  <c r="J71" i="2" s="1"/>
  <c r="D71" i="2"/>
  <c r="I70" i="2"/>
  <c r="H70" i="2"/>
  <c r="G70" i="2"/>
  <c r="F70" i="2"/>
  <c r="E70" i="2"/>
  <c r="J70" i="2" s="1"/>
  <c r="D70" i="2"/>
  <c r="I69" i="2"/>
  <c r="H69" i="2"/>
  <c r="G69" i="2"/>
  <c r="F69" i="2"/>
  <c r="E69" i="2"/>
  <c r="J69" i="2" s="1"/>
  <c r="D69" i="2"/>
  <c r="I68" i="2"/>
  <c r="H68" i="2"/>
  <c r="G68" i="2"/>
  <c r="F68" i="2"/>
  <c r="E68" i="2"/>
  <c r="J68" i="2" s="1"/>
  <c r="D68" i="2"/>
  <c r="I67" i="2"/>
  <c r="H67" i="2"/>
  <c r="G67" i="2"/>
  <c r="F67" i="2"/>
  <c r="E67" i="2"/>
  <c r="J67" i="2" s="1"/>
  <c r="D67" i="2"/>
  <c r="I66" i="2"/>
  <c r="H66" i="2"/>
  <c r="G66" i="2"/>
  <c r="F66" i="2"/>
  <c r="E66" i="2"/>
  <c r="J66" i="2" s="1"/>
  <c r="D66" i="2"/>
  <c r="I65" i="2"/>
  <c r="H65" i="2"/>
  <c r="G65" i="2"/>
  <c r="F65" i="2"/>
  <c r="E65" i="2"/>
  <c r="J65" i="2" s="1"/>
  <c r="D65" i="2"/>
  <c r="I64" i="2"/>
  <c r="H64" i="2"/>
  <c r="G64" i="2"/>
  <c r="F64" i="2"/>
  <c r="E64" i="2"/>
  <c r="J64" i="2" s="1"/>
  <c r="D64" i="2"/>
  <c r="I63" i="2"/>
  <c r="H63" i="2"/>
  <c r="G63" i="2"/>
  <c r="F63" i="2"/>
  <c r="E63" i="2"/>
  <c r="J63" i="2" s="1"/>
  <c r="D63" i="2"/>
  <c r="I62" i="2"/>
  <c r="H62" i="2"/>
  <c r="G62" i="2"/>
  <c r="F62" i="2"/>
  <c r="E62" i="2"/>
  <c r="J62" i="2" s="1"/>
  <c r="D62" i="2"/>
  <c r="I61" i="2"/>
  <c r="H61" i="2"/>
  <c r="G61" i="2"/>
  <c r="F61" i="2"/>
  <c r="E61" i="2"/>
  <c r="J61" i="2" s="1"/>
  <c r="D61" i="2"/>
  <c r="I60" i="2"/>
  <c r="H60" i="2"/>
  <c r="G60" i="2"/>
  <c r="F60" i="2"/>
  <c r="E60" i="2"/>
  <c r="J60" i="2" s="1"/>
  <c r="D60" i="2"/>
  <c r="I59" i="2"/>
  <c r="H59" i="2"/>
  <c r="G59" i="2"/>
  <c r="F59" i="2"/>
  <c r="E59" i="2"/>
  <c r="J59" i="2" s="1"/>
  <c r="D59" i="2"/>
  <c r="I58" i="2"/>
  <c r="H58" i="2"/>
  <c r="G58" i="2"/>
  <c r="F58" i="2"/>
  <c r="E58" i="2"/>
  <c r="J58" i="2" s="1"/>
  <c r="D58" i="2"/>
  <c r="I57" i="2"/>
  <c r="H57" i="2"/>
  <c r="G57" i="2"/>
  <c r="F57" i="2"/>
  <c r="E57" i="2"/>
  <c r="J57" i="2" s="1"/>
  <c r="D57" i="2"/>
  <c r="I56" i="2"/>
  <c r="H56" i="2"/>
  <c r="G56" i="2"/>
  <c r="F56" i="2"/>
  <c r="E56" i="2"/>
  <c r="J56" i="2" s="1"/>
  <c r="D56" i="2"/>
  <c r="I55" i="2"/>
  <c r="H55" i="2"/>
  <c r="G55" i="2"/>
  <c r="F55" i="2"/>
  <c r="E55" i="2"/>
  <c r="J55" i="2" s="1"/>
  <c r="D55" i="2"/>
  <c r="I54" i="2"/>
  <c r="H54" i="2"/>
  <c r="G54" i="2"/>
  <c r="F54" i="2"/>
  <c r="E54" i="2"/>
  <c r="J54" i="2" s="1"/>
  <c r="D54" i="2"/>
  <c r="I53" i="2"/>
  <c r="H53" i="2"/>
  <c r="G53" i="2"/>
  <c r="F53" i="2"/>
  <c r="E53" i="2"/>
  <c r="D53" i="2"/>
  <c r="I52" i="2"/>
  <c r="H52" i="2"/>
  <c r="G52" i="2"/>
  <c r="F52" i="2"/>
  <c r="E52" i="2"/>
  <c r="J52" i="2" s="1"/>
  <c r="D52" i="2"/>
  <c r="I51" i="2"/>
  <c r="H51" i="2"/>
  <c r="G51" i="2"/>
  <c r="F51" i="2"/>
  <c r="E51" i="2"/>
  <c r="J51" i="2" s="1"/>
  <c r="D51" i="2"/>
  <c r="I50" i="2"/>
  <c r="H50" i="2"/>
  <c r="G50" i="2"/>
  <c r="F50" i="2"/>
  <c r="E50" i="2"/>
  <c r="J50" i="2" s="1"/>
  <c r="D50" i="2"/>
  <c r="J49" i="2"/>
  <c r="I49" i="2"/>
  <c r="H49" i="2"/>
  <c r="G49" i="2"/>
  <c r="F49" i="2"/>
  <c r="E49" i="2"/>
  <c r="D49" i="2"/>
  <c r="I48" i="2"/>
  <c r="H48" i="2"/>
  <c r="G48" i="2"/>
  <c r="F48" i="2"/>
  <c r="E48" i="2"/>
  <c r="J48" i="2" s="1"/>
  <c r="D48" i="2"/>
  <c r="I47" i="2"/>
  <c r="H47" i="2"/>
  <c r="G47" i="2"/>
  <c r="F47" i="2"/>
  <c r="E47" i="2"/>
  <c r="J47" i="2" s="1"/>
  <c r="D47" i="2"/>
  <c r="I46" i="2"/>
  <c r="H46" i="2"/>
  <c r="G46" i="2"/>
  <c r="F46" i="2"/>
  <c r="E46" i="2"/>
  <c r="J46" i="2" s="1"/>
  <c r="D46" i="2"/>
  <c r="I45" i="2"/>
  <c r="H45" i="2"/>
  <c r="G45" i="2"/>
  <c r="F45" i="2"/>
  <c r="E45" i="2"/>
  <c r="J45" i="2" s="1"/>
  <c r="D45" i="2"/>
  <c r="I44" i="2"/>
  <c r="H44" i="2"/>
  <c r="G44" i="2"/>
  <c r="F44" i="2"/>
  <c r="E44" i="2"/>
  <c r="J44" i="2" s="1"/>
  <c r="D44" i="2"/>
  <c r="I43" i="2"/>
  <c r="H43" i="2"/>
  <c r="G43" i="2"/>
  <c r="F43" i="2"/>
  <c r="E43" i="2"/>
  <c r="J43" i="2" s="1"/>
  <c r="D43" i="2"/>
  <c r="I42" i="2"/>
  <c r="H42" i="2"/>
  <c r="G42" i="2"/>
  <c r="F42" i="2"/>
  <c r="E42" i="2"/>
  <c r="J42" i="2" s="1"/>
  <c r="D42" i="2"/>
  <c r="I41" i="2"/>
  <c r="H41" i="2"/>
  <c r="G41" i="2"/>
  <c r="F41" i="2"/>
  <c r="E41" i="2"/>
  <c r="J41" i="2" s="1"/>
  <c r="D41" i="2"/>
  <c r="I40" i="2"/>
  <c r="H40" i="2"/>
  <c r="G40" i="2"/>
  <c r="F40" i="2"/>
  <c r="E40" i="2"/>
  <c r="J40" i="2" s="1"/>
  <c r="D40" i="2"/>
  <c r="I39" i="2"/>
  <c r="H39" i="2"/>
  <c r="G39" i="2"/>
  <c r="F39" i="2"/>
  <c r="E39" i="2"/>
  <c r="J39" i="2" s="1"/>
  <c r="D39" i="2"/>
  <c r="I38" i="2"/>
  <c r="H38" i="2"/>
  <c r="G38" i="2"/>
  <c r="F38" i="2"/>
  <c r="E38" i="2"/>
  <c r="J38" i="2" s="1"/>
  <c r="D38" i="2"/>
  <c r="I37" i="2"/>
  <c r="H37" i="2"/>
  <c r="G37" i="2"/>
  <c r="F37" i="2"/>
  <c r="E37" i="2"/>
  <c r="J37" i="2" s="1"/>
  <c r="D37" i="2"/>
  <c r="I36" i="2"/>
  <c r="H36" i="2"/>
  <c r="G36" i="2"/>
  <c r="F36" i="2"/>
  <c r="E36" i="2"/>
  <c r="J36" i="2" s="1"/>
  <c r="D36" i="2"/>
  <c r="I35" i="2"/>
  <c r="H35" i="2"/>
  <c r="G35" i="2"/>
  <c r="F35" i="2"/>
  <c r="E35" i="2"/>
  <c r="J35" i="2" s="1"/>
  <c r="D35" i="2"/>
  <c r="I34" i="2"/>
  <c r="H34" i="2"/>
  <c r="G34" i="2"/>
  <c r="F34" i="2"/>
  <c r="E34" i="2"/>
  <c r="J34" i="2" s="1"/>
  <c r="D34" i="2"/>
  <c r="I33" i="2"/>
  <c r="H33" i="2"/>
  <c r="G33" i="2"/>
  <c r="F33" i="2"/>
  <c r="E33" i="2"/>
  <c r="J33" i="2" s="1"/>
  <c r="D33" i="2"/>
  <c r="I32" i="2"/>
  <c r="H32" i="2"/>
  <c r="G32" i="2"/>
  <c r="F32" i="2"/>
  <c r="E32" i="2"/>
  <c r="J32" i="2" s="1"/>
  <c r="D32" i="2"/>
  <c r="I31" i="2"/>
  <c r="H31" i="2"/>
  <c r="G31" i="2"/>
  <c r="F31" i="2"/>
  <c r="E31" i="2"/>
  <c r="J31" i="2" s="1"/>
  <c r="D31" i="2"/>
  <c r="I30" i="2"/>
  <c r="H30" i="2"/>
  <c r="G30" i="2"/>
  <c r="F30" i="2"/>
  <c r="E30" i="2"/>
  <c r="J30" i="2" s="1"/>
  <c r="D30" i="2"/>
  <c r="I29" i="2"/>
  <c r="H29" i="2"/>
  <c r="G29" i="2"/>
  <c r="F29" i="2"/>
  <c r="E29" i="2"/>
  <c r="J29" i="2" s="1"/>
  <c r="D29" i="2"/>
  <c r="I28" i="2"/>
  <c r="H28" i="2"/>
  <c r="G28" i="2"/>
  <c r="F28" i="2"/>
  <c r="E28" i="2"/>
  <c r="I27" i="2"/>
  <c r="H27" i="2"/>
  <c r="G27" i="2"/>
  <c r="F27" i="2"/>
  <c r="E27" i="2"/>
  <c r="J27" i="2" s="1"/>
  <c r="I26" i="2"/>
  <c r="H26" i="2"/>
  <c r="G26" i="2"/>
  <c r="F26" i="2"/>
  <c r="E26" i="2"/>
  <c r="J26" i="2" s="1"/>
  <c r="I25" i="2"/>
  <c r="H25" i="2"/>
  <c r="G25" i="2"/>
  <c r="F25" i="2"/>
  <c r="E25" i="2"/>
  <c r="J25" i="2" s="1"/>
  <c r="I24" i="2"/>
  <c r="H24" i="2"/>
  <c r="G24" i="2"/>
  <c r="F24" i="2"/>
  <c r="E24" i="2"/>
  <c r="J24" i="2" s="1"/>
  <c r="I23" i="2"/>
  <c r="H23" i="2"/>
  <c r="G23" i="2"/>
  <c r="F23" i="2"/>
  <c r="E23" i="2"/>
  <c r="J23" i="2" s="1"/>
  <c r="I22" i="2"/>
  <c r="H22" i="2"/>
  <c r="G22" i="2"/>
  <c r="F22" i="2"/>
  <c r="E22" i="2"/>
  <c r="I21" i="2"/>
  <c r="H21" i="2"/>
  <c r="G21" i="2"/>
  <c r="F21" i="2"/>
  <c r="E21" i="2"/>
  <c r="I20" i="2"/>
  <c r="H20" i="2"/>
  <c r="G20" i="2"/>
  <c r="F20" i="2"/>
  <c r="E20" i="2"/>
  <c r="J20" i="2" s="1"/>
  <c r="I19" i="2"/>
  <c r="H19" i="2"/>
  <c r="G19" i="2"/>
  <c r="F19" i="2"/>
  <c r="E19" i="2"/>
  <c r="J19" i="2" s="1"/>
  <c r="I18" i="2"/>
  <c r="H18" i="2"/>
  <c r="G18" i="2"/>
  <c r="F18" i="2"/>
  <c r="E18" i="2"/>
  <c r="J18" i="2" s="1"/>
  <c r="I17" i="2"/>
  <c r="H17" i="2"/>
  <c r="G17" i="2"/>
  <c r="F17" i="2"/>
  <c r="E17" i="2"/>
  <c r="J17" i="2" s="1"/>
  <c r="I16" i="2"/>
  <c r="H16" i="2"/>
  <c r="G16" i="2"/>
  <c r="F16" i="2"/>
  <c r="E16" i="2"/>
  <c r="J16" i="2" s="1"/>
  <c r="I15" i="2"/>
  <c r="H15" i="2"/>
  <c r="G15" i="2"/>
  <c r="F15" i="2"/>
  <c r="E15" i="2"/>
  <c r="J15" i="2" s="1"/>
  <c r="J117" i="2" l="1"/>
  <c r="J157" i="2"/>
  <c r="J223" i="2"/>
  <c r="J261" i="2"/>
  <c r="J196" i="2"/>
  <c r="N82" i="7"/>
  <c r="O82" i="7"/>
  <c r="J269" i="2"/>
  <c r="J123" i="2"/>
  <c r="O68" i="7"/>
  <c r="N68" i="7"/>
  <c r="J86" i="2"/>
  <c r="R35" i="7"/>
  <c r="J200" i="2"/>
  <c r="J232" i="2"/>
  <c r="K232" i="2" s="1"/>
  <c r="L232" i="2" s="1"/>
  <c r="J219" i="2"/>
  <c r="K219" i="2" s="1"/>
  <c r="L219" i="2" s="1"/>
  <c r="J53" i="2"/>
  <c r="K53" i="2" s="1"/>
  <c r="L53" i="2" s="1"/>
  <c r="J237" i="2"/>
  <c r="K237" i="2" s="1"/>
  <c r="L237" i="2" s="1"/>
  <c r="J127" i="2"/>
  <c r="K127" i="2" s="1"/>
  <c r="L127" i="2" s="1"/>
  <c r="J21" i="2"/>
  <c r="K21" i="2" s="1"/>
  <c r="L21" i="2" s="1"/>
  <c r="J161" i="2"/>
  <c r="K161" i="2" s="1"/>
  <c r="L161" i="2" s="1"/>
  <c r="J73" i="2"/>
  <c r="K73" i="2" s="1"/>
  <c r="L73" i="2" s="1"/>
  <c r="J240" i="2"/>
  <c r="K240" i="2" s="1"/>
  <c r="L240" i="2" s="1"/>
  <c r="J222" i="2"/>
  <c r="K222" i="2" s="1"/>
  <c r="L222" i="2" s="1"/>
  <c r="T16" i="7"/>
  <c r="U16" i="7"/>
  <c r="J251" i="2"/>
  <c r="K251" i="2" s="1"/>
  <c r="L251" i="2" s="1"/>
  <c r="Q81" i="7"/>
  <c r="R81" i="7"/>
  <c r="J274" i="2"/>
  <c r="K274" i="2" s="1"/>
  <c r="L274" i="2" s="1"/>
  <c r="J268" i="2"/>
  <c r="K268" i="2" s="1"/>
  <c r="L268" i="2" s="1"/>
  <c r="J202" i="2"/>
  <c r="K202" i="2" s="1"/>
  <c r="L202" i="2" s="1"/>
  <c r="N81" i="7"/>
  <c r="O81" i="7"/>
  <c r="U14" i="7"/>
  <c r="T14" i="7"/>
  <c r="J228" i="2"/>
  <c r="K228" i="2" s="1"/>
  <c r="L228" i="2" s="1"/>
  <c r="J208" i="2"/>
  <c r="K208" i="2" s="1"/>
  <c r="L208" i="2" s="1"/>
  <c r="R34" i="7"/>
  <c r="J72" i="2"/>
  <c r="K72" i="2" s="1"/>
  <c r="L72" i="2" s="1"/>
  <c r="J118" i="2"/>
  <c r="K118" i="2" s="1"/>
  <c r="L118" i="2" s="1"/>
  <c r="J91" i="2"/>
  <c r="K91" i="2" s="1"/>
  <c r="L91" i="2" s="1"/>
  <c r="J272" i="2"/>
  <c r="K272" i="2" s="1"/>
  <c r="L272" i="2" s="1"/>
  <c r="J28" i="2"/>
  <c r="K28" i="2" s="1"/>
  <c r="L28" i="2" s="1"/>
  <c r="R33" i="7"/>
  <c r="J81" i="2"/>
  <c r="R32" i="7"/>
  <c r="R31" i="7"/>
  <c r="R25" i="7"/>
  <c r="R24" i="7"/>
  <c r="R22" i="7"/>
  <c r="R21" i="7"/>
  <c r="R20" i="7"/>
  <c r="R19" i="7"/>
  <c r="J192" i="2"/>
  <c r="K192" i="2" s="1"/>
  <c r="L192" i="2" s="1"/>
  <c r="R80" i="7"/>
  <c r="Q80" i="7"/>
  <c r="O80" i="7"/>
  <c r="N80" i="7"/>
  <c r="R18" i="7"/>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N78" i="7"/>
  <c r="O78" i="7"/>
  <c r="U13" i="7"/>
  <c r="T13" i="7"/>
  <c r="J113" i="2"/>
  <c r="J78" i="2"/>
  <c r="R17" i="7"/>
  <c r="I221" i="1"/>
  <c r="I220" i="1"/>
  <c r="I219" i="1"/>
  <c r="J22" i="2"/>
  <c r="R15" i="7"/>
  <c r="R16" i="7"/>
  <c r="I226" i="1"/>
  <c r="I225" i="1"/>
  <c r="I224" i="1"/>
  <c r="I223" i="1"/>
  <c r="I222" i="1"/>
  <c r="J195" i="2"/>
  <c r="K195" i="2" s="1"/>
  <c r="L195" i="2" s="1"/>
  <c r="R77" i="7"/>
  <c r="Q77" i="7"/>
  <c r="O77" i="7"/>
  <c r="N77" i="7"/>
  <c r="R45" i="7"/>
  <c r="R13" i="7"/>
  <c r="R12" i="7"/>
  <c r="R11" i="7"/>
  <c r="R10" i="7"/>
  <c r="R9" i="7"/>
  <c r="R7" i="7"/>
  <c r="R4" i="7"/>
  <c r="J178" i="2"/>
  <c r="R76" i="7"/>
  <c r="Q76" i="7"/>
  <c r="O76" i="7"/>
  <c r="N76" i="7"/>
  <c r="R14" i="7"/>
  <c r="I1021" i="1"/>
  <c r="I240" i="1"/>
  <c r="I237" i="1"/>
  <c r="I236" i="1"/>
  <c r="I235" i="1"/>
  <c r="I234" i="1"/>
  <c r="I233" i="1"/>
  <c r="I232" i="1"/>
  <c r="I231" i="1"/>
  <c r="I230" i="1"/>
  <c r="I229" i="1"/>
  <c r="I228" i="1"/>
  <c r="I227" i="1"/>
  <c r="G140" i="1"/>
  <c r="G45" i="1"/>
  <c r="G139" i="1"/>
  <c r="G76" i="1"/>
  <c r="G138" i="1"/>
  <c r="G22" i="1"/>
  <c r="G137" i="1"/>
  <c r="G75" i="1"/>
  <c r="G136" i="1"/>
  <c r="G44" i="1"/>
  <c r="G135" i="1"/>
  <c r="G74" i="1"/>
  <c r="G134" i="1"/>
  <c r="G29" i="1"/>
  <c r="G133" i="1"/>
  <c r="G73" i="1"/>
  <c r="G132" i="1"/>
  <c r="G43" i="1"/>
  <c r="G131" i="1"/>
  <c r="G72" i="1"/>
  <c r="G130" i="1"/>
  <c r="G18" i="1"/>
  <c r="G129" i="1"/>
  <c r="G71" i="1"/>
  <c r="G128" i="1"/>
  <c r="G90" i="1"/>
  <c r="G127" i="1"/>
  <c r="G42" i="1"/>
  <c r="G126" i="1"/>
  <c r="G70" i="1"/>
  <c r="G125" i="1"/>
  <c r="G28" i="1"/>
  <c r="G124" i="1"/>
  <c r="G69" i="1"/>
  <c r="G123" i="1"/>
  <c r="G41" i="1"/>
  <c r="G122" i="1"/>
  <c r="G68" i="1"/>
  <c r="G121" i="1"/>
  <c r="G21" i="1"/>
  <c r="G120" i="1"/>
  <c r="G67" i="1"/>
  <c r="G119" i="1"/>
  <c r="G40" i="1"/>
  <c r="G118" i="1"/>
  <c r="G66" i="1"/>
  <c r="G117" i="1"/>
  <c r="G27" i="1"/>
  <c r="G116" i="1"/>
  <c r="G65" i="1"/>
  <c r="G115" i="1"/>
  <c r="G39" i="1"/>
  <c r="G114" i="1"/>
  <c r="G64" i="1"/>
  <c r="G113" i="1"/>
  <c r="G16" i="1"/>
  <c r="G112" i="1"/>
  <c r="G63" i="1"/>
  <c r="G111" i="1"/>
  <c r="G38" i="1"/>
  <c r="G110" i="1"/>
  <c r="G62" i="1"/>
  <c r="G109" i="1"/>
  <c r="G26" i="1"/>
  <c r="G108" i="1"/>
  <c r="G61" i="1"/>
  <c r="G107" i="1"/>
  <c r="G37" i="1"/>
  <c r="G106" i="1"/>
  <c r="G60" i="1"/>
  <c r="G105" i="1"/>
  <c r="G20" i="1"/>
  <c r="G104" i="1"/>
  <c r="G59" i="1"/>
  <c r="G103" i="1"/>
  <c r="G36" i="1"/>
  <c r="G102" i="1"/>
  <c r="G58" i="1"/>
  <c r="G101" i="1"/>
  <c r="G25" i="1"/>
  <c r="G100" i="1"/>
  <c r="G57" i="1"/>
  <c r="G99" i="1"/>
  <c r="G35" i="1"/>
  <c r="G98" i="1"/>
  <c r="G56" i="1"/>
  <c r="G97" i="1"/>
  <c r="G17" i="1"/>
  <c r="G96" i="1"/>
  <c r="G55" i="1"/>
  <c r="G95" i="1"/>
  <c r="G34" i="1"/>
  <c r="G94" i="1"/>
  <c r="G54" i="1"/>
  <c r="G93" i="1"/>
  <c r="G24" i="1"/>
  <c r="G92" i="1"/>
  <c r="G53" i="1"/>
  <c r="G48" i="1"/>
  <c r="G33" i="1"/>
  <c r="G52" i="1"/>
  <c r="G14" i="1"/>
  <c r="G89" i="1"/>
  <c r="G51" i="1"/>
  <c r="G88" i="1"/>
  <c r="G19" i="1"/>
  <c r="G87" i="1"/>
  <c r="G50" i="1"/>
  <c r="G86" i="1"/>
  <c r="G32" i="1"/>
  <c r="G85" i="1"/>
  <c r="G49" i="1"/>
  <c r="G84" i="1"/>
  <c r="G23" i="1"/>
  <c r="G83" i="1"/>
  <c r="G13" i="1"/>
  <c r="G12" i="1"/>
  <c r="G11" i="1"/>
  <c r="G10" i="1"/>
  <c r="G9" i="1"/>
  <c r="G8" i="1"/>
  <c r="G7" i="1"/>
  <c r="G91" i="1"/>
  <c r="G5" i="1"/>
  <c r="G82" i="1"/>
  <c r="G150" i="1"/>
  <c r="G31" i="1"/>
  <c r="G149" i="1"/>
  <c r="G81" i="1"/>
  <c r="G148" i="1"/>
  <c r="G47" i="1"/>
  <c r="G147" i="1"/>
  <c r="G80" i="1"/>
  <c r="G146" i="1"/>
  <c r="G15" i="1"/>
  <c r="G145" i="1"/>
  <c r="G79" i="1"/>
  <c r="G144" i="1"/>
  <c r="G46" i="1"/>
  <c r="G143" i="1"/>
  <c r="G78" i="1"/>
  <c r="G142" i="1"/>
  <c r="G30" i="1"/>
  <c r="G141" i="1"/>
  <c r="G77" i="1"/>
  <c r="G6"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127"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51" i="1"/>
  <c r="I13" i="1"/>
  <c r="R3" i="7"/>
  <c r="I12" i="1"/>
  <c r="I150" i="1"/>
  <c r="I11" i="1"/>
  <c r="I149" i="1"/>
  <c r="I10" i="1"/>
  <c r="I148" i="1"/>
  <c r="I9" i="1"/>
  <c r="I147" i="1"/>
  <c r="I8" i="1"/>
  <c r="I146" i="1"/>
  <c r="I7" i="1"/>
  <c r="I145" i="1"/>
  <c r="I6" i="1"/>
  <c r="I144" i="1"/>
  <c r="I5" i="1"/>
  <c r="I143" i="1"/>
  <c r="I142" i="1"/>
  <c r="I141" i="1"/>
  <c r="I140" i="1"/>
  <c r="I139" i="1"/>
  <c r="I138" i="1"/>
  <c r="I137" i="1"/>
  <c r="I136" i="1"/>
  <c r="I135" i="1"/>
  <c r="I134" i="1"/>
  <c r="I133" i="1"/>
  <c r="I132" i="1"/>
  <c r="I131" i="1"/>
  <c r="I130" i="1"/>
  <c r="I129" i="1"/>
  <c r="I128" i="1"/>
  <c r="I126" i="1"/>
  <c r="I125" i="1"/>
  <c r="I124" i="1"/>
  <c r="I123" i="1"/>
  <c r="I122" i="1"/>
  <c r="I121" i="1"/>
  <c r="I120" i="1"/>
  <c r="I119" i="1"/>
  <c r="K273" i="2"/>
  <c r="L273" i="2" s="1"/>
  <c r="K271" i="2"/>
  <c r="L271" i="2" s="1"/>
  <c r="K270" i="2"/>
  <c r="L270" i="2" s="1"/>
  <c r="K269" i="2"/>
  <c r="L269" i="2" s="1"/>
  <c r="K267" i="2"/>
  <c r="L267" i="2" s="1"/>
  <c r="K266" i="2"/>
  <c r="L266" i="2" s="1"/>
  <c r="K265" i="2"/>
  <c r="L265" i="2" s="1"/>
  <c r="K264" i="2"/>
  <c r="L264" i="2" s="1"/>
  <c r="K263" i="2"/>
  <c r="L263" i="2" s="1"/>
  <c r="K262" i="2"/>
  <c r="L262" i="2" s="1"/>
  <c r="K261" i="2"/>
  <c r="L261" i="2" s="1"/>
  <c r="K260" i="2"/>
  <c r="L260" i="2" s="1"/>
  <c r="K259" i="2"/>
  <c r="L259" i="2" s="1"/>
  <c r="K258" i="2"/>
  <c r="L258" i="2" s="1"/>
  <c r="K257" i="2"/>
  <c r="L257" i="2" s="1"/>
  <c r="K256" i="2"/>
  <c r="L256" i="2" s="1"/>
  <c r="K255" i="2"/>
  <c r="L255" i="2" s="1"/>
  <c r="K254" i="2"/>
  <c r="L254" i="2" s="1"/>
  <c r="K253" i="2"/>
  <c r="L253" i="2" s="1"/>
  <c r="K250" i="2"/>
  <c r="L250" i="2" s="1"/>
  <c r="K249" i="2"/>
  <c r="L249" i="2" s="1"/>
  <c r="K248" i="2"/>
  <c r="L248" i="2" s="1"/>
  <c r="K247" i="2"/>
  <c r="L247" i="2" s="1"/>
  <c r="K246" i="2"/>
  <c r="L246" i="2" s="1"/>
  <c r="K245" i="2"/>
  <c r="L245" i="2" s="1"/>
  <c r="K244" i="2"/>
  <c r="L244" i="2" s="1"/>
  <c r="K243" i="2"/>
  <c r="L243" i="2" s="1"/>
  <c r="K242" i="2"/>
  <c r="L242" i="2" s="1"/>
  <c r="K241" i="2"/>
  <c r="L241" i="2" s="1"/>
  <c r="K239" i="2"/>
  <c r="L239" i="2" s="1"/>
  <c r="K238" i="2"/>
  <c r="L238" i="2" s="1"/>
  <c r="K236" i="2"/>
  <c r="L236" i="2" s="1"/>
  <c r="K235" i="2"/>
  <c r="L235" i="2" s="1"/>
  <c r="K234" i="2"/>
  <c r="L234" i="2" s="1"/>
  <c r="K233" i="2"/>
  <c r="L233" i="2" s="1"/>
  <c r="K231" i="2"/>
  <c r="L231" i="2" s="1"/>
  <c r="K230" i="2"/>
  <c r="L230" i="2" s="1"/>
  <c r="K229" i="2"/>
  <c r="L229" i="2" s="1"/>
  <c r="K227" i="2"/>
  <c r="L227" i="2" s="1"/>
  <c r="K226" i="2"/>
  <c r="L226" i="2" s="1"/>
  <c r="K225" i="2"/>
  <c r="L225" i="2" s="1"/>
  <c r="K224" i="2"/>
  <c r="L224" i="2" s="1"/>
  <c r="K223" i="2"/>
  <c r="L223" i="2" s="1"/>
  <c r="K221" i="2"/>
  <c r="L221" i="2" s="1"/>
  <c r="K220" i="2"/>
  <c r="L220" i="2" s="1"/>
  <c r="K218" i="2"/>
  <c r="L218" i="2" s="1"/>
  <c r="K217" i="2"/>
  <c r="L217" i="2" s="1"/>
  <c r="K216" i="2"/>
  <c r="L216" i="2" s="1"/>
  <c r="K215" i="2"/>
  <c r="L215" i="2" s="1"/>
  <c r="K214" i="2"/>
  <c r="L214" i="2" s="1"/>
  <c r="K213" i="2"/>
  <c r="L213" i="2" s="1"/>
  <c r="K212" i="2"/>
  <c r="L212" i="2" s="1"/>
  <c r="K211" i="2"/>
  <c r="L211" i="2" s="1"/>
  <c r="K210" i="2"/>
  <c r="L210" i="2" s="1"/>
  <c r="K209" i="2"/>
  <c r="L209" i="2" s="1"/>
  <c r="K207" i="2"/>
  <c r="L207" i="2" s="1"/>
  <c r="K206" i="2"/>
  <c r="L206" i="2" s="1"/>
  <c r="K205" i="2"/>
  <c r="L205" i="2" s="1"/>
  <c r="K204" i="2"/>
  <c r="L204" i="2" s="1"/>
  <c r="K203" i="2"/>
  <c r="L203" i="2" s="1"/>
  <c r="K201" i="2"/>
  <c r="L201" i="2" s="1"/>
  <c r="K200" i="2"/>
  <c r="L200" i="2" s="1"/>
  <c r="K199" i="2"/>
  <c r="L199" i="2" s="1"/>
  <c r="K198" i="2"/>
  <c r="L198" i="2" s="1"/>
  <c r="K197" i="2"/>
  <c r="L197" i="2" s="1"/>
  <c r="K196" i="2"/>
  <c r="L196" i="2" s="1"/>
  <c r="K194" i="2"/>
  <c r="L194" i="2" s="1"/>
  <c r="K193" i="2"/>
  <c r="L193" i="2" s="1"/>
  <c r="K191" i="2"/>
  <c r="L191" i="2" s="1"/>
  <c r="K190" i="2"/>
  <c r="L190" i="2" s="1"/>
  <c r="K189" i="2"/>
  <c r="L189" i="2" s="1"/>
  <c r="K188" i="2"/>
  <c r="L188" i="2" s="1"/>
  <c r="K187" i="2"/>
  <c r="L187" i="2" s="1"/>
  <c r="K186" i="2"/>
  <c r="L186" i="2" s="1"/>
  <c r="K185" i="2"/>
  <c r="L185" i="2" s="1"/>
  <c r="K184" i="2"/>
  <c r="L184" i="2" s="1"/>
  <c r="K183" i="2"/>
  <c r="L183" i="2" s="1"/>
  <c r="K182" i="2"/>
  <c r="L182" i="2" s="1"/>
  <c r="K181" i="2"/>
  <c r="L181" i="2" s="1"/>
  <c r="K180" i="2"/>
  <c r="L180" i="2" s="1"/>
  <c r="K179" i="2"/>
  <c r="L179" i="2" s="1"/>
  <c r="K177" i="2"/>
  <c r="L177" i="2" s="1"/>
  <c r="K176" i="2"/>
  <c r="L176" i="2" s="1"/>
  <c r="K175" i="2"/>
  <c r="L175" i="2" s="1"/>
  <c r="K174" i="2"/>
  <c r="L174" i="2" s="1"/>
  <c r="K173" i="2"/>
  <c r="L173" i="2" s="1"/>
  <c r="K172" i="2"/>
  <c r="L172" i="2" s="1"/>
  <c r="K171" i="2"/>
  <c r="L171" i="2" s="1"/>
  <c r="K170" i="2"/>
  <c r="L170" i="2" s="1"/>
  <c r="K169" i="2"/>
  <c r="L169" i="2" s="1"/>
  <c r="K168" i="2"/>
  <c r="L168" i="2" s="1"/>
  <c r="K167" i="2"/>
  <c r="L167" i="2" s="1"/>
  <c r="K166" i="2"/>
  <c r="L166" i="2" s="1"/>
  <c r="K165" i="2"/>
  <c r="L165" i="2" s="1"/>
  <c r="K164" i="2"/>
  <c r="L164" i="2" s="1"/>
  <c r="K163" i="2"/>
  <c r="L163" i="2" s="1"/>
  <c r="K162" i="2"/>
  <c r="L162" i="2" s="1"/>
  <c r="K160" i="2"/>
  <c r="L160" i="2" s="1"/>
  <c r="K159" i="2"/>
  <c r="L159" i="2" s="1"/>
  <c r="K158" i="2"/>
  <c r="L158" i="2" s="1"/>
  <c r="K157" i="2"/>
  <c r="L157" i="2" s="1"/>
  <c r="K156" i="2"/>
  <c r="L156" i="2" s="1"/>
  <c r="K155" i="2"/>
  <c r="L155" i="2" s="1"/>
  <c r="K154" i="2"/>
  <c r="L154" i="2" s="1"/>
  <c r="K153" i="2"/>
  <c r="L153" i="2" s="1"/>
  <c r="K152" i="2"/>
  <c r="L152" i="2" s="1"/>
  <c r="K151" i="2"/>
  <c r="L151" i="2" s="1"/>
  <c r="K150" i="2"/>
  <c r="L150" i="2" s="1"/>
  <c r="K149" i="2"/>
  <c r="L149" i="2" s="1"/>
  <c r="K148" i="2"/>
  <c r="L148" i="2" s="1"/>
  <c r="K147" i="2"/>
  <c r="L147" i="2" s="1"/>
  <c r="K146" i="2"/>
  <c r="L146" i="2" s="1"/>
  <c r="K145" i="2"/>
  <c r="L145" i="2" s="1"/>
  <c r="K144" i="2"/>
  <c r="L144" i="2" s="1"/>
  <c r="K143" i="2"/>
  <c r="L143" i="2" s="1"/>
  <c r="K142" i="2"/>
  <c r="L142" i="2" s="1"/>
  <c r="K141" i="2"/>
  <c r="L141" i="2" s="1"/>
  <c r="K140" i="2"/>
  <c r="L140" i="2"/>
  <c r="K139" i="2"/>
  <c r="L139" i="2" s="1"/>
  <c r="K138" i="2"/>
  <c r="L138" i="2" s="1"/>
  <c r="K137" i="2"/>
  <c r="L137" i="2" s="1"/>
  <c r="K136" i="2"/>
  <c r="L136" i="2" s="1"/>
  <c r="K135" i="2"/>
  <c r="L135" i="2" s="1"/>
  <c r="K134" i="2"/>
  <c r="L134" i="2" s="1"/>
  <c r="K133" i="2"/>
  <c r="L133" i="2" s="1"/>
  <c r="K132" i="2"/>
  <c r="L132" i="2" s="1"/>
  <c r="K131" i="2"/>
  <c r="L131" i="2" s="1"/>
  <c r="K130" i="2"/>
  <c r="L130" i="2" s="1"/>
  <c r="K129" i="2"/>
  <c r="L129" i="2" s="1"/>
  <c r="K128" i="2"/>
  <c r="L128" i="2" s="1"/>
  <c r="K126" i="2"/>
  <c r="L126" i="2" s="1"/>
  <c r="K125" i="2"/>
  <c r="L125" i="2" s="1"/>
  <c r="K124" i="2"/>
  <c r="L124" i="2" s="1"/>
  <c r="K123" i="2"/>
  <c r="L123" i="2" s="1"/>
  <c r="K122" i="2"/>
  <c r="L122" i="2" s="1"/>
  <c r="K121" i="2"/>
  <c r="L121" i="2" s="1"/>
  <c r="K120" i="2"/>
  <c r="L120" i="2" s="1"/>
  <c r="K119" i="2"/>
  <c r="L119" i="2" s="1"/>
  <c r="K117" i="2"/>
  <c r="L117" i="2" s="1"/>
  <c r="K116" i="2"/>
  <c r="L116" i="2" s="1"/>
  <c r="K115" i="2"/>
  <c r="L115" i="2" s="1"/>
  <c r="K114" i="2"/>
  <c r="L114" i="2" s="1"/>
  <c r="K112" i="2"/>
  <c r="L112" i="2" s="1"/>
  <c r="K111" i="2"/>
  <c r="L111" i="2" s="1"/>
  <c r="K110" i="2"/>
  <c r="L110" i="2" s="1"/>
  <c r="K109" i="2"/>
  <c r="L109" i="2" s="1"/>
  <c r="K108" i="2"/>
  <c r="L108" i="2" s="1"/>
  <c r="K107" i="2"/>
  <c r="L107" i="2" s="1"/>
  <c r="K106" i="2"/>
  <c r="L106" i="2" s="1"/>
  <c r="K105" i="2"/>
  <c r="L105" i="2" s="1"/>
  <c r="K104" i="2"/>
  <c r="L104" i="2" s="1"/>
  <c r="K103" i="2"/>
  <c r="L103" i="2" s="1"/>
  <c r="K102" i="2"/>
  <c r="L102" i="2" s="1"/>
  <c r="K101" i="2"/>
  <c r="L101" i="2" s="1"/>
  <c r="K100" i="2"/>
  <c r="L100" i="2" s="1"/>
  <c r="K99" i="2"/>
  <c r="L99" i="2" s="1"/>
  <c r="K98" i="2"/>
  <c r="L98" i="2" s="1"/>
  <c r="K97" i="2"/>
  <c r="L97" i="2" s="1"/>
  <c r="K96" i="2"/>
  <c r="L96" i="2" s="1"/>
  <c r="K95" i="2"/>
  <c r="L95" i="2" s="1"/>
  <c r="K94" i="2"/>
  <c r="L94" i="2" s="1"/>
  <c r="K93" i="2"/>
  <c r="L93" i="2" s="1"/>
  <c r="K92" i="2"/>
  <c r="L92" i="2" s="1"/>
  <c r="K90" i="2"/>
  <c r="L90" i="2" s="1"/>
  <c r="K89" i="2"/>
  <c r="L89" i="2" s="1"/>
  <c r="K88" i="2"/>
  <c r="L88" i="2" s="1"/>
  <c r="K87" i="2"/>
  <c r="L87" i="2" s="1"/>
  <c r="K86" i="2"/>
  <c r="L86" i="2" s="1"/>
  <c r="K85" i="2"/>
  <c r="L85" i="2" s="1"/>
  <c r="K84" i="2"/>
  <c r="L84" i="2" s="1"/>
  <c r="K83" i="2"/>
  <c r="L83" i="2" s="1"/>
  <c r="K82" i="2"/>
  <c r="L82" i="2" s="1"/>
  <c r="K80" i="2"/>
  <c r="L80" i="2" s="1"/>
  <c r="K79" i="2"/>
  <c r="L79" i="2" s="1"/>
  <c r="K77" i="2"/>
  <c r="L77" i="2" s="1"/>
  <c r="K76" i="2"/>
  <c r="L76" i="2"/>
  <c r="K75" i="2"/>
  <c r="L75" i="2" s="1"/>
  <c r="K74" i="2"/>
  <c r="L74" i="2" s="1"/>
  <c r="K71" i="2"/>
  <c r="L71" i="2" s="1"/>
  <c r="K70" i="2"/>
  <c r="L70" i="2" s="1"/>
  <c r="K69" i="2"/>
  <c r="L69" i="2" s="1"/>
  <c r="K68" i="2"/>
  <c r="L68" i="2" s="1"/>
  <c r="K67" i="2"/>
  <c r="L67" i="2" s="1"/>
  <c r="K66" i="2"/>
  <c r="L66" i="2" s="1"/>
  <c r="K65" i="2"/>
  <c r="L65" i="2" s="1"/>
  <c r="K64" i="2"/>
  <c r="L64" i="2" s="1"/>
  <c r="K63" i="2"/>
  <c r="L63" i="2" s="1"/>
  <c r="K62" i="2"/>
  <c r="L62" i="2" s="1"/>
  <c r="K61" i="2"/>
  <c r="L61" i="2" s="1"/>
  <c r="K60" i="2"/>
  <c r="L60" i="2" s="1"/>
  <c r="K59" i="2"/>
  <c r="L59" i="2" s="1"/>
  <c r="K58" i="2"/>
  <c r="L58" i="2" s="1"/>
  <c r="K57" i="2"/>
  <c r="L57" i="2" s="1"/>
  <c r="K56" i="2"/>
  <c r="L56" i="2" s="1"/>
  <c r="K55" i="2"/>
  <c r="L55" i="2" s="1"/>
  <c r="K54" i="2"/>
  <c r="L54" i="2" s="1"/>
  <c r="K52" i="2"/>
  <c r="L52" i="2" s="1"/>
  <c r="K51" i="2"/>
  <c r="L51" i="2" s="1"/>
  <c r="K50" i="2"/>
  <c r="L50" i="2" s="1"/>
  <c r="L49" i="2"/>
  <c r="K49" i="2"/>
  <c r="K48" i="2"/>
  <c r="L48" i="2" s="1"/>
  <c r="K47" i="2"/>
  <c r="L47" i="2" s="1"/>
  <c r="K46" i="2"/>
  <c r="L46" i="2" s="1"/>
  <c r="K45" i="2"/>
  <c r="L45" i="2" s="1"/>
  <c r="K44" i="2"/>
  <c r="L44" i="2" s="1"/>
  <c r="K43" i="2"/>
  <c r="L43" i="2" s="1"/>
  <c r="K42" i="2"/>
  <c r="L42" i="2" s="1"/>
  <c r="K41" i="2"/>
  <c r="L41" i="2" s="1"/>
  <c r="K40" i="2"/>
  <c r="L40" i="2" s="1"/>
  <c r="K39" i="2"/>
  <c r="L39" i="2" s="1"/>
  <c r="K38" i="2"/>
  <c r="L38" i="2" s="1"/>
  <c r="K37" i="2"/>
  <c r="L37" i="2" s="1"/>
  <c r="K36" i="2"/>
  <c r="L36" i="2" s="1"/>
  <c r="K35" i="2"/>
  <c r="L35" i="2" s="1"/>
  <c r="K34" i="2"/>
  <c r="L34" i="2" s="1"/>
  <c r="K33" i="2"/>
  <c r="L33" i="2" s="1"/>
  <c r="K32" i="2"/>
  <c r="L32" i="2" s="1"/>
  <c r="K31" i="2"/>
  <c r="L31" i="2" s="1"/>
  <c r="K30" i="2"/>
  <c r="L30" i="2" s="1"/>
  <c r="K29" i="2"/>
  <c r="L29" i="2" s="1"/>
  <c r="K27" i="2"/>
  <c r="L27" i="2" s="1"/>
  <c r="K26" i="2"/>
  <c r="L26" i="2" s="1"/>
  <c r="K25" i="2"/>
  <c r="L25" i="2" s="1"/>
  <c r="K24" i="2"/>
  <c r="L24" i="2" s="1"/>
  <c r="K23" i="2"/>
  <c r="L23" i="2" s="1"/>
  <c r="K20" i="2"/>
  <c r="L20" i="2" s="1"/>
  <c r="K19" i="2"/>
  <c r="L19" i="2" s="1"/>
  <c r="K18" i="2"/>
  <c r="L18" i="2" s="1"/>
  <c r="K17" i="2"/>
  <c r="L17" i="2" s="1"/>
  <c r="K16" i="2"/>
  <c r="L16" i="2" s="1"/>
  <c r="K15" i="2"/>
  <c r="L15" i="2" s="1"/>
  <c r="K81" i="2" l="1"/>
  <c r="L81" i="2" s="1"/>
  <c r="K113" i="2"/>
  <c r="L113" i="2" s="1"/>
  <c r="K78" i="2"/>
  <c r="L78" i="2" s="1"/>
  <c r="K22" i="2"/>
  <c r="L22" i="2" s="1"/>
  <c r="K178" i="2"/>
  <c r="L178" i="2" s="1"/>
</calcChain>
</file>

<file path=xl/sharedStrings.xml><?xml version="1.0" encoding="utf-8"?>
<sst xmlns="http://schemas.openxmlformats.org/spreadsheetml/2006/main" count="7052" uniqueCount="1977">
  <si>
    <t>PRECIOS · COSTOS Y CÁLCULO AUTOMÁTICO</t>
  </si>
  <si>
    <t>Editá las celdas amarillas. Para empaque, elegí SÍ/NO y usá un importe específico solo si corresponde. El resto se calcula solo.</t>
  </si>
  <si>
    <t>SUPUESTOS GENERALES</t>
  </si>
  <si>
    <t>VALOR</t>
  </si>
  <si>
    <t>UNIDAD</t>
  </si>
  <si>
    <t>NOTA</t>
  </si>
  <si>
    <t>FÓRMULA: (Costo + Empaque aplicado + Viático prorrateado + Subsidio prorrateado) / (1 - Comisión - Margen)</t>
  </si>
  <si>
    <t>Margen bruto objetivo</t>
  </si>
  <si>
    <t>%</t>
  </si>
  <si>
    <t>Aplicado luego de costos y comisión.</t>
  </si>
  <si>
    <t>Productos promedio por pedido</t>
  </si>
  <si>
    <t>productos</t>
  </si>
  <si>
    <t>Para prorratear costos por pedido.</t>
  </si>
  <si>
    <t>Viático de abastecimiento por pedido</t>
  </si>
  <si>
    <t>$ / pedido</t>
  </si>
  <si>
    <t>Costo operativo por pedido.</t>
  </si>
  <si>
    <t>Costo real de entrega por pedido</t>
  </si>
  <si>
    <t>Referencia para el subsidio.</t>
  </si>
  <si>
    <t>Envío cobrado de referencia</t>
  </si>
  <si>
    <t>Tramo de referencia.</t>
  </si>
  <si>
    <t>Comisión de cobro QR Mercado Pago</t>
  </si>
  <si>
    <t>Comisión sobre el precio final.</t>
  </si>
  <si>
    <t>Empaque promedio por producto</t>
  </si>
  <si>
    <t>$ / producto</t>
  </si>
  <si>
    <t>Predeterminado para SÍ; se omite al elegir NO o se reemplaza con un importe específico.</t>
  </si>
  <si>
    <t>CODIGO</t>
  </si>
  <si>
    <t>COSTO</t>
  </si>
  <si>
    <t>¿USA EMPAQUE?</t>
  </si>
  <si>
    <t>EMPAQUE ESPECÍFICO</t>
  </si>
  <si>
    <t>EMPAQUE APLICADO</t>
  </si>
  <si>
    <t>VIÁTICO PRORRATEADO</t>
  </si>
  <si>
    <t>SUBSIDIO ENVÍO PRORR.</t>
  </si>
  <si>
    <t>COMISIÓN COBRO</t>
  </si>
  <si>
    <t>MARGEN BRUTO OBJ.</t>
  </si>
  <si>
    <t>PRECIO VENTA AJUSTADO</t>
  </si>
  <si>
    <t>GANANCIA BRUTA EST.</t>
  </si>
  <si>
    <t>MARGEN BRUTO EST.</t>
  </si>
  <si>
    <t>CLO001</t>
  </si>
  <si>
    <t>SÍ</t>
  </si>
  <si>
    <t>DET001</t>
  </si>
  <si>
    <t>LVA001</t>
  </si>
  <si>
    <t>LVA002</t>
  </si>
  <si>
    <t>SUA001</t>
  </si>
  <si>
    <t>SUA002</t>
  </si>
  <si>
    <t>JBP001</t>
  </si>
  <si>
    <t>PFA001</t>
  </si>
  <si>
    <t>PFA002</t>
  </si>
  <si>
    <t>DES001</t>
  </si>
  <si>
    <t>DES002</t>
  </si>
  <si>
    <t>DES003</t>
  </si>
  <si>
    <t>DES004</t>
  </si>
  <si>
    <t>DES005</t>
  </si>
  <si>
    <t>RJR001</t>
  </si>
  <si>
    <t>NO</t>
  </si>
  <si>
    <t>RJR002</t>
  </si>
  <si>
    <t>RJR003</t>
  </si>
  <si>
    <t>RJR004</t>
  </si>
  <si>
    <t>RJR005</t>
  </si>
  <si>
    <t>RJR006</t>
  </si>
  <si>
    <t>RJR007</t>
  </si>
  <si>
    <t>RJR008</t>
  </si>
  <si>
    <t>RJR009</t>
  </si>
  <si>
    <t>RJR010</t>
  </si>
  <si>
    <t>RJR011</t>
  </si>
  <si>
    <t>RJR012</t>
  </si>
  <si>
    <t>RJR013</t>
  </si>
  <si>
    <t>RJR014</t>
  </si>
  <si>
    <t>RJR015</t>
  </si>
  <si>
    <t>TDP001</t>
  </si>
  <si>
    <t>TDP002</t>
  </si>
  <si>
    <t>TDP003</t>
  </si>
  <si>
    <t>TDP004</t>
  </si>
  <si>
    <t>TDP005</t>
  </si>
  <si>
    <t>TDP006</t>
  </si>
  <si>
    <t>TDP007</t>
  </si>
  <si>
    <t>TDP008</t>
  </si>
  <si>
    <t>EYE001</t>
  </si>
  <si>
    <t>EYE002</t>
  </si>
  <si>
    <t>EYE003</t>
  </si>
  <si>
    <t>EYE004</t>
  </si>
  <si>
    <t>EYE005</t>
  </si>
  <si>
    <t>EYE006</t>
  </si>
  <si>
    <t>EYE007</t>
  </si>
  <si>
    <t>EYE008</t>
  </si>
  <si>
    <t>EYE009</t>
  </si>
  <si>
    <t>EYE010</t>
  </si>
  <si>
    <t>EYE011</t>
  </si>
  <si>
    <t>EYE012</t>
  </si>
  <si>
    <t>EYE013</t>
  </si>
  <si>
    <t>EYE014</t>
  </si>
  <si>
    <t>EYE015</t>
  </si>
  <si>
    <t>EYE016</t>
  </si>
  <si>
    <t>EYE017</t>
  </si>
  <si>
    <t>EYE018</t>
  </si>
  <si>
    <t>EYE019</t>
  </si>
  <si>
    <t>EYE020</t>
  </si>
  <si>
    <t>EYE021</t>
  </si>
  <si>
    <t>EYE022</t>
  </si>
  <si>
    <t>EYE023</t>
  </si>
  <si>
    <t>EYE024</t>
  </si>
  <si>
    <t>EYE025</t>
  </si>
  <si>
    <t>EYE026</t>
  </si>
  <si>
    <t>EYE027</t>
  </si>
  <si>
    <t>EYE028</t>
  </si>
  <si>
    <t>EYE029</t>
  </si>
  <si>
    <t>EYE030</t>
  </si>
  <si>
    <t>EYE031</t>
  </si>
  <si>
    <t>EYE032</t>
  </si>
  <si>
    <t>EYE033</t>
  </si>
  <si>
    <t>EYE034</t>
  </si>
  <si>
    <t>EYE035</t>
  </si>
  <si>
    <t>EYE036</t>
  </si>
  <si>
    <t>EYE037</t>
  </si>
  <si>
    <t>EYE038</t>
  </si>
  <si>
    <t>AUT001</t>
  </si>
  <si>
    <t>AUT002</t>
  </si>
  <si>
    <t>AUT003</t>
  </si>
  <si>
    <t>AUT004</t>
  </si>
  <si>
    <t>AUT005</t>
  </si>
  <si>
    <t>AUT006</t>
  </si>
  <si>
    <t>AUT007</t>
  </si>
  <si>
    <t>AUT008</t>
  </si>
  <si>
    <t>AUT009</t>
  </si>
  <si>
    <t>AUT010</t>
  </si>
  <si>
    <t>AUT011</t>
  </si>
  <si>
    <t>AUT012</t>
  </si>
  <si>
    <t>AUT013</t>
  </si>
  <si>
    <t>AUT014</t>
  </si>
  <si>
    <t>AUT015</t>
  </si>
  <si>
    <t>AUT016</t>
  </si>
  <si>
    <t>AUT017</t>
  </si>
  <si>
    <t>AUT018</t>
  </si>
  <si>
    <t>AUT019</t>
  </si>
  <si>
    <t>AUT020</t>
  </si>
  <si>
    <t>AUT021</t>
  </si>
  <si>
    <t>SHA001</t>
  </si>
  <si>
    <t>SHA002</t>
  </si>
  <si>
    <t>SHA003</t>
  </si>
  <si>
    <t>SHA004</t>
  </si>
  <si>
    <t>SHA005</t>
  </si>
  <si>
    <t>SHA006</t>
  </si>
  <si>
    <t>DAV001</t>
  </si>
  <si>
    <t>DAV002</t>
  </si>
  <si>
    <t>DAV003</t>
  </si>
  <si>
    <t>DAV004</t>
  </si>
  <si>
    <t>DAV005</t>
  </si>
  <si>
    <t>DAV006</t>
  </si>
  <si>
    <t>DAV007</t>
  </si>
  <si>
    <t>DAV008</t>
  </si>
  <si>
    <t>DAV009</t>
  </si>
  <si>
    <t>DAV010</t>
  </si>
  <si>
    <t>DAV011</t>
  </si>
  <si>
    <t>DAV012</t>
  </si>
  <si>
    <t>DAV013</t>
  </si>
  <si>
    <t>DAV014</t>
  </si>
  <si>
    <t>DAV015</t>
  </si>
  <si>
    <t>DAV016</t>
  </si>
  <si>
    <t>DAV017</t>
  </si>
  <si>
    <t>DAV018</t>
  </si>
  <si>
    <t>DAV019</t>
  </si>
  <si>
    <t>DAV020</t>
  </si>
  <si>
    <t>DAV021</t>
  </si>
  <si>
    <t>DAV022</t>
  </si>
  <si>
    <t>DAV023</t>
  </si>
  <si>
    <t>DAV024</t>
  </si>
  <si>
    <t>DAV025</t>
  </si>
  <si>
    <t>DAV026</t>
  </si>
  <si>
    <t>DAV027</t>
  </si>
  <si>
    <t>PROM001</t>
  </si>
  <si>
    <t>SI</t>
  </si>
  <si>
    <t>PROM002</t>
  </si>
  <si>
    <t>PROM003</t>
  </si>
  <si>
    <t>CLO002</t>
  </si>
  <si>
    <t>CLO003</t>
  </si>
  <si>
    <t>DET002</t>
  </si>
  <si>
    <t>DET003</t>
  </si>
  <si>
    <t>LVA003</t>
  </si>
  <si>
    <t>LVA004</t>
  </si>
  <si>
    <t>LVA005</t>
  </si>
  <si>
    <t>LVA006</t>
  </si>
  <si>
    <t>SUA003</t>
  </si>
  <si>
    <t>SUA004</t>
  </si>
  <si>
    <t>SUA005</t>
  </si>
  <si>
    <t>SUA006</t>
  </si>
  <si>
    <t>DPP001</t>
  </si>
  <si>
    <t>DPP002</t>
  </si>
  <si>
    <t>DPP003</t>
  </si>
  <si>
    <t>DPP004</t>
  </si>
  <si>
    <t>DPP005</t>
  </si>
  <si>
    <t>DPP006</t>
  </si>
  <si>
    <t>DPP007</t>
  </si>
  <si>
    <t>DPP008</t>
  </si>
  <si>
    <t>DPP009</t>
  </si>
  <si>
    <t>DPP010</t>
  </si>
  <si>
    <t>DPP011</t>
  </si>
  <si>
    <t>DPP012</t>
  </si>
  <si>
    <t>CBS001</t>
  </si>
  <si>
    <t>CBS002</t>
  </si>
  <si>
    <t>CBS003</t>
  </si>
  <si>
    <t>CBS004</t>
  </si>
  <si>
    <t>CBS005</t>
  </si>
  <si>
    <t>CBS006</t>
  </si>
  <si>
    <t>CBS007</t>
  </si>
  <si>
    <t>ESP001</t>
  </si>
  <si>
    <t>ESP002</t>
  </si>
  <si>
    <t>ESP003</t>
  </si>
  <si>
    <t>ESP004</t>
  </si>
  <si>
    <t>ESP005</t>
  </si>
  <si>
    <t>ESP006</t>
  </si>
  <si>
    <t>ESP007</t>
  </si>
  <si>
    <t>APR001</t>
  </si>
  <si>
    <t>APR002</t>
  </si>
  <si>
    <t>APR003</t>
  </si>
  <si>
    <t>APR004</t>
  </si>
  <si>
    <t>APR005</t>
  </si>
  <si>
    <t>APB001</t>
  </si>
  <si>
    <t>APB002</t>
  </si>
  <si>
    <t>APB003</t>
  </si>
  <si>
    <t>APB004</t>
  </si>
  <si>
    <t>APB005</t>
  </si>
  <si>
    <t>AER001</t>
  </si>
  <si>
    <t>AER002</t>
  </si>
  <si>
    <t>AER003</t>
  </si>
  <si>
    <t>AER004</t>
  </si>
  <si>
    <t>AER005</t>
  </si>
  <si>
    <t>AER006</t>
  </si>
  <si>
    <t>AER007</t>
  </si>
  <si>
    <t>AER008</t>
  </si>
  <si>
    <t>MYG001</t>
  </si>
  <si>
    <t>MYG002</t>
  </si>
  <si>
    <t>MYG003</t>
  </si>
  <si>
    <t>MYG004</t>
  </si>
  <si>
    <t>MYG005</t>
  </si>
  <si>
    <t>MYG006</t>
  </si>
  <si>
    <t>MYG007</t>
  </si>
  <si>
    <t>MYG008</t>
  </si>
  <si>
    <t>MYG009</t>
  </si>
  <si>
    <t>MYG010</t>
  </si>
  <si>
    <t>MYG011</t>
  </si>
  <si>
    <t>MYG012</t>
  </si>
  <si>
    <t>MYG013</t>
  </si>
  <si>
    <t>RPP001</t>
  </si>
  <si>
    <t>RPP002</t>
  </si>
  <si>
    <t>RPP003</t>
  </si>
  <si>
    <t>RPP004</t>
  </si>
  <si>
    <t>RPP005</t>
  </si>
  <si>
    <t>RPP006</t>
  </si>
  <si>
    <t>PPP001</t>
  </si>
  <si>
    <t>PPP002</t>
  </si>
  <si>
    <t>PPP003</t>
  </si>
  <si>
    <t>PPP004</t>
  </si>
  <si>
    <t>PPP005</t>
  </si>
  <si>
    <t>PPP006</t>
  </si>
  <si>
    <t>PPP007</t>
  </si>
  <si>
    <t>PPP008</t>
  </si>
  <si>
    <t>PPP009</t>
  </si>
  <si>
    <t>PPP010</t>
  </si>
  <si>
    <t>PPP011</t>
  </si>
  <si>
    <t>PPP012</t>
  </si>
  <si>
    <t>PPP013</t>
  </si>
  <si>
    <t>PPP014</t>
  </si>
  <si>
    <t>PPP015</t>
  </si>
  <si>
    <t>PPP016</t>
  </si>
  <si>
    <t>PPP017</t>
  </si>
  <si>
    <t>VAR001</t>
  </si>
  <si>
    <t>VAR002</t>
  </si>
  <si>
    <t>VAR003</t>
  </si>
  <si>
    <t>VAR004</t>
  </si>
  <si>
    <t>VAR005</t>
  </si>
  <si>
    <t>VAR006</t>
  </si>
  <si>
    <t>VAR007</t>
  </si>
  <si>
    <t>VAR008</t>
  </si>
  <si>
    <t>VAR009</t>
  </si>
  <si>
    <t>CIF001</t>
  </si>
  <si>
    <t>CIF002</t>
  </si>
  <si>
    <t>ESP008</t>
  </si>
  <si>
    <t>CLO004</t>
  </si>
  <si>
    <t>VAR010</t>
  </si>
  <si>
    <t>VAR011</t>
  </si>
  <si>
    <t>VAR012</t>
  </si>
  <si>
    <t>VAR013</t>
  </si>
  <si>
    <t>VAR014</t>
  </si>
  <si>
    <t>VAR015</t>
  </si>
  <si>
    <t>VAR016</t>
  </si>
  <si>
    <t>VAR017</t>
  </si>
  <si>
    <t>TDP009</t>
  </si>
  <si>
    <t>TDP010</t>
  </si>
  <si>
    <t>TDP011</t>
  </si>
  <si>
    <t>TDP012</t>
  </si>
  <si>
    <t>TDP013</t>
  </si>
  <si>
    <t>APB006</t>
  </si>
  <si>
    <t>PROM004</t>
  </si>
  <si>
    <t>PROM005</t>
  </si>
  <si>
    <t>PROM006</t>
  </si>
  <si>
    <t>DET004</t>
  </si>
  <si>
    <t>CIF003</t>
  </si>
  <si>
    <t>PROM007</t>
  </si>
  <si>
    <t>PROM008</t>
  </si>
  <si>
    <t>CATÁLOGO DE PRODUCTOS · CARGA ADMINISTRATIVA</t>
  </si>
  <si>
    <t>Completá las celdas amarillas. Categoría, subcategoría, descripción y características se traen automáticamente desde CATÁLOGOS mediante sus códigos.</t>
  </si>
  <si>
    <t>ID</t>
  </si>
  <si>
    <t>SLUG</t>
  </si>
  <si>
    <t>GRUPO</t>
  </si>
  <si>
    <t>VARIANTE</t>
  </si>
  <si>
    <t>CÓDIGO CATEGORÍA</t>
  </si>
  <si>
    <t>CATEGORÍA</t>
  </si>
  <si>
    <t>CÓDIGO SUBCATEGORÍA</t>
  </si>
  <si>
    <t>SUBCATEGORÍA</t>
  </si>
  <si>
    <t>MARCA</t>
  </si>
  <si>
    <t>PRODUCTO</t>
  </si>
  <si>
    <t>FRAGANCIA</t>
  </si>
  <si>
    <t>PRESENTACIÓN</t>
  </si>
  <si>
    <t>NOMBRE FOTO</t>
  </si>
  <si>
    <t>CÓDIGO CONTENIDO</t>
  </si>
  <si>
    <t>DESCRIPCIÓN</t>
  </si>
  <si>
    <t>CARACTERÍSTICAS</t>
  </si>
  <si>
    <t>STOCK</t>
  </si>
  <si>
    <t>STOCK MÍNIMO</t>
  </si>
  <si>
    <t>ESTADO</t>
  </si>
  <si>
    <t>DESTACADO</t>
  </si>
  <si>
    <t>001</t>
  </si>
  <si>
    <t>CAT-009</t>
  </si>
  <si>
    <t>SUB-001</t>
  </si>
  <si>
    <t>bethel</t>
  </si>
  <si>
    <t>Lavandina x5L</t>
  </si>
  <si>
    <t>sin frangancia</t>
  </si>
  <si>
    <t>5 litros</t>
  </si>
  <si>
    <t>CLO001.jpg</t>
  </si>
  <si>
    <t>CNT-001</t>
  </si>
  <si>
    <t>Activo</t>
  </si>
  <si>
    <t>002</t>
  </si>
  <si>
    <t>SUB-002</t>
  </si>
  <si>
    <t>Detergente multiusos</t>
  </si>
  <si>
    <t>DET001.jpg</t>
  </si>
  <si>
    <t>CNT-002</t>
  </si>
  <si>
    <t>003</t>
  </si>
  <si>
    <t>Detergente Magistral</t>
  </si>
  <si>
    <t>LVA001.jpg</t>
  </si>
  <si>
    <t>CNT-003</t>
  </si>
  <si>
    <t>004</t>
  </si>
  <si>
    <t>Lavavajillas Amarillo</t>
  </si>
  <si>
    <t>LVA002.jpg</t>
  </si>
  <si>
    <t>CNT-004</t>
  </si>
  <si>
    <t>005</t>
  </si>
  <si>
    <t>SUB-005</t>
  </si>
  <si>
    <t>Suavizante premium blanco por 5 litros</t>
  </si>
  <si>
    <t>color blanco premium</t>
  </si>
  <si>
    <t>SUA001.jpg</t>
  </si>
  <si>
    <t>CNT-005</t>
  </si>
  <si>
    <t>006</t>
  </si>
  <si>
    <t>Suavizante economico</t>
  </si>
  <si>
    <t>color celeste economico</t>
  </si>
  <si>
    <t>SUA002.jpg</t>
  </si>
  <si>
    <t>CNT-006</t>
  </si>
  <si>
    <t>007</t>
  </si>
  <si>
    <t>granby</t>
  </si>
  <si>
    <t>Jabon en polvo</t>
  </si>
  <si>
    <t>20 kg</t>
  </si>
  <si>
    <t>JBP001.jpg</t>
  </si>
  <si>
    <t>CNT-007</t>
  </si>
  <si>
    <t>008</t>
  </si>
  <si>
    <t>CAT-003</t>
  </si>
  <si>
    <t>SUB-007</t>
  </si>
  <si>
    <t>Perfume aromatico de base en agua</t>
  </si>
  <si>
    <t>1056, algodón, arpege, bazzu, bebe, c.h.242 , coco, uva, flores blancas, caricias, confy, limon, melon, premium, sandia/frambuesa , softy, ultra, comiglio, vainilla, vivex, flores silvestres, chocolate</t>
  </si>
  <si>
    <t>1 litros</t>
  </si>
  <si>
    <t>PFA001.jpg</t>
  </si>
  <si>
    <t>CNT-008</t>
  </si>
  <si>
    <t>009</t>
  </si>
  <si>
    <t>Perfume aromatico de base en alcohol</t>
  </si>
  <si>
    <t>PFA002.jpg</t>
  </si>
  <si>
    <t>CNT-009</t>
  </si>
  <si>
    <t>010</t>
  </si>
  <si>
    <t>SUB-008</t>
  </si>
  <si>
    <t>Desengrasante industrial</t>
  </si>
  <si>
    <t>DES001.jpg</t>
  </si>
  <si>
    <t>CNT-010</t>
  </si>
  <si>
    <t>011</t>
  </si>
  <si>
    <t>Desengrasante lavamotor</t>
  </si>
  <si>
    <t>DES002.jpg</t>
  </si>
  <si>
    <t>CNT-011</t>
  </si>
  <si>
    <t>012</t>
  </si>
  <si>
    <t>Desengrasante multi usos</t>
  </si>
  <si>
    <t>DES003.jpg</t>
  </si>
  <si>
    <t>CNT-012</t>
  </si>
  <si>
    <t>013</t>
  </si>
  <si>
    <t>Desengrasante quima manchas</t>
  </si>
  <si>
    <t>DES004.jpg</t>
  </si>
  <si>
    <t>CNT-013</t>
  </si>
  <si>
    <t>014</t>
  </si>
  <si>
    <t>Desengrasante limpiador cremoso</t>
  </si>
  <si>
    <t>DES005.jpg</t>
  </si>
  <si>
    <t>CNT-014</t>
  </si>
  <si>
    <t>015</t>
  </si>
  <si>
    <t>CAT-006</t>
  </si>
  <si>
    <t>SUB-009</t>
  </si>
  <si>
    <t>Franela 40x50</t>
  </si>
  <si>
    <t>1 unidad</t>
  </si>
  <si>
    <t>RJR001.jpg</t>
  </si>
  <si>
    <t>CNT-015</t>
  </si>
  <si>
    <t>016</t>
  </si>
  <si>
    <t>Rejilla de cocina</t>
  </si>
  <si>
    <t>RJR002.jpg</t>
  </si>
  <si>
    <t>CNT-016</t>
  </si>
  <si>
    <t>017</t>
  </si>
  <si>
    <t>Rejilla tipo americana</t>
  </si>
  <si>
    <t>RJR003.jpg</t>
  </si>
  <si>
    <t>CNT-017</t>
  </si>
  <si>
    <t>018</t>
  </si>
  <si>
    <t>RJR-AUTO</t>
  </si>
  <si>
    <t>SIMPLE</t>
  </si>
  <si>
    <t>Rejilla de auto</t>
  </si>
  <si>
    <t>RJR004.jpg</t>
  </si>
  <si>
    <t>CNT-018</t>
  </si>
  <si>
    <t>019</t>
  </si>
  <si>
    <t>Rejilla de pabilo</t>
  </si>
  <si>
    <t>RJR005.jpg</t>
  </si>
  <si>
    <t>CNT-019</t>
  </si>
  <si>
    <t>020</t>
  </si>
  <si>
    <t>DOBLE</t>
  </si>
  <si>
    <t>RJR006.jpg</t>
  </si>
  <si>
    <t>021</t>
  </si>
  <si>
    <t>TRIPLE</t>
  </si>
  <si>
    <t>RJR007.jpg</t>
  </si>
  <si>
    <t>022</t>
  </si>
  <si>
    <t>RJR-COCINA</t>
  </si>
  <si>
    <t>Rejilla cocina</t>
  </si>
  <si>
    <t>RJR008.jpg</t>
  </si>
  <si>
    <t>CNT-020</t>
  </si>
  <si>
    <t>023</t>
  </si>
  <si>
    <t>Kide</t>
  </si>
  <si>
    <t>RJR009.jpg</t>
  </si>
  <si>
    <t>CNT-021</t>
  </si>
  <si>
    <t>024</t>
  </si>
  <si>
    <t>Rejilla pabilo</t>
  </si>
  <si>
    <t>RJR010.jpg</t>
  </si>
  <si>
    <t>CNT-022</t>
  </si>
  <si>
    <t>025</t>
  </si>
  <si>
    <t>RJR011.jpg</t>
  </si>
  <si>
    <t>026</t>
  </si>
  <si>
    <t>RJR012.jpg</t>
  </si>
  <si>
    <t>027</t>
  </si>
  <si>
    <t>Repasador</t>
  </si>
  <si>
    <t>RJR013.jpg</t>
  </si>
  <si>
    <t>CNT-023</t>
  </si>
  <si>
    <t>028</t>
  </si>
  <si>
    <t>RJR015-REPASADOR</t>
  </si>
  <si>
    <t>RJR014.jpg</t>
  </si>
  <si>
    <t>029</t>
  </si>
  <si>
    <t>Paño amarillo para piso</t>
  </si>
  <si>
    <t>RJR015.jpg</t>
  </si>
  <si>
    <t>CNT-024</t>
  </si>
  <si>
    <t>030</t>
  </si>
  <si>
    <t>SUB-010</t>
  </si>
  <si>
    <t>Trapo de piso blanco</t>
  </si>
  <si>
    <t>TDP001.jpg</t>
  </si>
  <si>
    <t>CNT-025</t>
  </si>
  <si>
    <t>031</t>
  </si>
  <si>
    <t>Trapo de piso gris</t>
  </si>
  <si>
    <t>TDP002.jpg</t>
  </si>
  <si>
    <t>CNT-026</t>
  </si>
  <si>
    <t>032</t>
  </si>
  <si>
    <t>TDP-COSTURADO</t>
  </si>
  <si>
    <t>mr trappo</t>
  </si>
  <si>
    <t>Trapo de piso costurado</t>
  </si>
  <si>
    <t>TDP003.jpg</t>
  </si>
  <si>
    <t>CNT-027</t>
  </si>
  <si>
    <t>033</t>
  </si>
  <si>
    <t>Fibran</t>
  </si>
  <si>
    <t>TDP004.jpg</t>
  </si>
  <si>
    <t>CNT-028</t>
  </si>
  <si>
    <t>034</t>
  </si>
  <si>
    <t>Trapo de piso nido de abeja</t>
  </si>
  <si>
    <t>TDP005.jpg</t>
  </si>
  <si>
    <t>CNT-029</t>
  </si>
  <si>
    <t>035</t>
  </si>
  <si>
    <t>Trapo de piso nido de abeja economico</t>
  </si>
  <si>
    <t>TDP006.jpg</t>
  </si>
  <si>
    <t>CNT-030</t>
  </si>
  <si>
    <t>Inactivo</t>
  </si>
  <si>
    <t>036</t>
  </si>
  <si>
    <t>consorcio</t>
  </si>
  <si>
    <t>Trapo de piso rayado</t>
  </si>
  <si>
    <t>TDP007.jpg</t>
  </si>
  <si>
    <t>CNT-031</t>
  </si>
  <si>
    <t>037</t>
  </si>
  <si>
    <t>TDP008.jpg</t>
  </si>
  <si>
    <t>CNT-032</t>
  </si>
  <si>
    <t>038</t>
  </si>
  <si>
    <t>EYE-ANDEN</t>
  </si>
  <si>
    <t>40 CM</t>
  </si>
  <si>
    <t>SUB-011</t>
  </si>
  <si>
    <t>Escoba Anden de 40 cm</t>
  </si>
  <si>
    <t>EYE001.jpg</t>
  </si>
  <si>
    <t>CNT-033</t>
  </si>
  <si>
    <t>039</t>
  </si>
  <si>
    <t>60 CM</t>
  </si>
  <si>
    <t>Escoba Anden de 60 cm</t>
  </si>
  <si>
    <t>EYE002.jpg</t>
  </si>
  <si>
    <t>CNT-034</t>
  </si>
  <si>
    <t>040</t>
  </si>
  <si>
    <t>80 CM</t>
  </si>
  <si>
    <t>Escoba Anden de 80 cm</t>
  </si>
  <si>
    <t>EYE003.jpg</t>
  </si>
  <si>
    <t>CNT-035</t>
  </si>
  <si>
    <t>041</t>
  </si>
  <si>
    <t>100 CM</t>
  </si>
  <si>
    <t>Escoba Anden de 100 cm</t>
  </si>
  <si>
    <t>EYE004.jpg</t>
  </si>
  <si>
    <t>CNT-036</t>
  </si>
  <si>
    <t>042</t>
  </si>
  <si>
    <t>Escoba Anden de 60 cm barregrueso</t>
  </si>
  <si>
    <t>EYE005.jpg</t>
  </si>
  <si>
    <t>CNT-037</t>
  </si>
  <si>
    <t>043</t>
  </si>
  <si>
    <t>Escobillon Barrendero Economico</t>
  </si>
  <si>
    <t>EYE006.jpg</t>
  </si>
  <si>
    <t>CNT-038</t>
  </si>
  <si>
    <t>044</t>
  </si>
  <si>
    <t>EYE-BARREDOR</t>
  </si>
  <si>
    <t>35 CM</t>
  </si>
  <si>
    <t>Escoba tipo barredor de 35 cm</t>
  </si>
  <si>
    <t>EYE007.jpg</t>
  </si>
  <si>
    <t>CNT-039</t>
  </si>
  <si>
    <t>045</t>
  </si>
  <si>
    <t>Escoba tipo barredor de 60 cm</t>
  </si>
  <si>
    <t>EYE008.jpg</t>
  </si>
  <si>
    <t>CNT-040</t>
  </si>
  <si>
    <t>046</t>
  </si>
  <si>
    <t>Escoba tipo barredor de 80 cm</t>
  </si>
  <si>
    <t>EYE009.jpg</t>
  </si>
  <si>
    <t>CNT-041</t>
  </si>
  <si>
    <t>047</t>
  </si>
  <si>
    <t>Escoba tipo barredor de 100 cm</t>
  </si>
  <si>
    <t>EYE010.jpg</t>
  </si>
  <si>
    <t>CNT-042</t>
  </si>
  <si>
    <t>048</t>
  </si>
  <si>
    <t>Barre Hojas Comun</t>
  </si>
  <si>
    <t>EYE011.jpg</t>
  </si>
  <si>
    <t>CNT-043</t>
  </si>
  <si>
    <t>049</t>
  </si>
  <si>
    <t>Barre Hojas Profesional</t>
  </si>
  <si>
    <t>EYE012.jpg</t>
  </si>
  <si>
    <t>CNT-044</t>
  </si>
  <si>
    <t>050</t>
  </si>
  <si>
    <t>Escoba de tipo 6 hilos</t>
  </si>
  <si>
    <t>EYE013.jpg</t>
  </si>
  <si>
    <t>CNT-045</t>
  </si>
  <si>
    <t>051</t>
  </si>
  <si>
    <t>Escoba de tipo Americana</t>
  </si>
  <si>
    <t>EYE014.jpg</t>
  </si>
  <si>
    <t>CNT-046</t>
  </si>
  <si>
    <t>052</t>
  </si>
  <si>
    <t>Escoba de tipo Capuchina</t>
  </si>
  <si>
    <t>EYE015.jpg</t>
  </si>
  <si>
    <t>CNT-047</t>
  </si>
  <si>
    <t>053</t>
  </si>
  <si>
    <t>Escoba de tipo Barregrueso</t>
  </si>
  <si>
    <t>EYE016.jpg</t>
  </si>
  <si>
    <t>CNT-048</t>
  </si>
  <si>
    <t>054</t>
  </si>
  <si>
    <t>Escobillon de tipo liso de Cerda</t>
  </si>
  <si>
    <t>EYE017.jpg</t>
  </si>
  <si>
    <t>CNT-049</t>
  </si>
  <si>
    <t>055</t>
  </si>
  <si>
    <t>Escoba de tipo Galponera</t>
  </si>
  <si>
    <t>EYE018.jpg</t>
  </si>
  <si>
    <t>CNT-050</t>
  </si>
  <si>
    <t>056</t>
  </si>
  <si>
    <t>Rey Laqueado</t>
  </si>
  <si>
    <t>Escobillon Rey Laqueado</t>
  </si>
  <si>
    <t>EYE019.jpg</t>
  </si>
  <si>
    <t>CNT-051</t>
  </si>
  <si>
    <t>057</t>
  </si>
  <si>
    <t>Escobillon tipo princesa laqueado</t>
  </si>
  <si>
    <t>EYE020.jpg</t>
  </si>
  <si>
    <t>CNT-052</t>
  </si>
  <si>
    <t>058</t>
  </si>
  <si>
    <t>Escobillon tipo barregrueso economico</t>
  </si>
  <si>
    <t>EYE021.jpg</t>
  </si>
  <si>
    <t>CNT-053</t>
  </si>
  <si>
    <t>059</t>
  </si>
  <si>
    <t>Escobillon tipo barregrueso salzano</t>
  </si>
  <si>
    <t>EYE022.jpg</t>
  </si>
  <si>
    <t>CNT-054</t>
  </si>
  <si>
    <t>060</t>
  </si>
  <si>
    <t>Escobillon de tipo gondola</t>
  </si>
  <si>
    <t>EYE023.jpg</t>
  </si>
  <si>
    <t>CNT-055</t>
  </si>
  <si>
    <t>061</t>
  </si>
  <si>
    <t>Escobillon de tipo Barrendero Salzano</t>
  </si>
  <si>
    <t>EYE024.jpg</t>
  </si>
  <si>
    <t>CNT-056</t>
  </si>
  <si>
    <t>062</t>
  </si>
  <si>
    <t>Escobillon bigote (cerda) Salzano</t>
  </si>
  <si>
    <t>EYE025.jpg</t>
  </si>
  <si>
    <t>CNT-057</t>
  </si>
  <si>
    <t>063</t>
  </si>
  <si>
    <t>Escobillon de tipo golf</t>
  </si>
  <si>
    <t>EYE026.jpg</t>
  </si>
  <si>
    <t>CNT-058</t>
  </si>
  <si>
    <t>064</t>
  </si>
  <si>
    <t>Escobillon Italia Salzano</t>
  </si>
  <si>
    <t>EYE027.jpg</t>
  </si>
  <si>
    <t>CNT-059</t>
  </si>
  <si>
    <t>065</t>
  </si>
  <si>
    <t>Escobillon Martina Salzano</t>
  </si>
  <si>
    <t>EYE028.jpg</t>
  </si>
  <si>
    <t>CNT-060</t>
  </si>
  <si>
    <t>066</t>
  </si>
  <si>
    <t>Escobillon Super Gondola</t>
  </si>
  <si>
    <t>EYE029.jpg</t>
  </si>
  <si>
    <t>CNT-061</t>
  </si>
  <si>
    <t>067</t>
  </si>
  <si>
    <t>Escobillon Super Panda</t>
  </si>
  <si>
    <t>EYE030.jpg</t>
  </si>
  <si>
    <t>CNT-062</t>
  </si>
  <si>
    <t>068</t>
  </si>
  <si>
    <t>Escobillon Venecia Salzano</t>
  </si>
  <si>
    <t>EYE031.jpg</t>
  </si>
  <si>
    <t>CNT-063</t>
  </si>
  <si>
    <t>069</t>
  </si>
  <si>
    <t>Globo de Techo Make</t>
  </si>
  <si>
    <t>EYE032.jpg</t>
  </si>
  <si>
    <t>CNT-064</t>
  </si>
  <si>
    <t>070</t>
  </si>
  <si>
    <t>Globo de Techo Punky</t>
  </si>
  <si>
    <t>EYE033.jpg</t>
  </si>
  <si>
    <t>CNT-065</t>
  </si>
  <si>
    <t>071</t>
  </si>
  <si>
    <t>Repuesto barredor</t>
  </si>
  <si>
    <t>EYE034.jpg</t>
  </si>
  <si>
    <t>CNT-066</t>
  </si>
  <si>
    <t>072</t>
  </si>
  <si>
    <t>EYE035.jpg</t>
  </si>
  <si>
    <t>073</t>
  </si>
  <si>
    <t>EYE036.jpg</t>
  </si>
  <si>
    <t>074</t>
  </si>
  <si>
    <t>EYE037.jpg</t>
  </si>
  <si>
    <t>075</t>
  </si>
  <si>
    <t>Quita Pelusa Make</t>
  </si>
  <si>
    <t>EYE038.jpg</t>
  </si>
  <si>
    <t>CNT-067</t>
  </si>
  <si>
    <t>076</t>
  </si>
  <si>
    <t>CAT-007</t>
  </si>
  <si>
    <t>SUB-012</t>
  </si>
  <si>
    <t>Limpiador Tipo "Bruja"</t>
  </si>
  <si>
    <t>AUT001.jpg</t>
  </si>
  <si>
    <t>CNT-068</t>
  </si>
  <si>
    <t>077</t>
  </si>
  <si>
    <t>SUB-013</t>
  </si>
  <si>
    <t>Esponja para auto</t>
  </si>
  <si>
    <t>AUT002.jpg</t>
  </si>
  <si>
    <t>CNT-069</t>
  </si>
  <si>
    <t>078</t>
  </si>
  <si>
    <t>SUB-014</t>
  </si>
  <si>
    <t>Silicona para auto por litro</t>
  </si>
  <si>
    <t>AUT003.jpg</t>
  </si>
  <si>
    <t>CNT-070</t>
  </si>
  <si>
    <t>079</t>
  </si>
  <si>
    <t>AUT-SILICONA-AEROSOL</t>
  </si>
  <si>
    <t>Black</t>
  </si>
  <si>
    <t>SUB-015</t>
  </si>
  <si>
    <t>Walker</t>
  </si>
  <si>
    <t>Silicona en Aerosol</t>
  </si>
  <si>
    <t>AUT004.jpg</t>
  </si>
  <si>
    <t>CNT-071</t>
  </si>
  <si>
    <t>080</t>
  </si>
  <si>
    <t>Carolina Herrera</t>
  </si>
  <si>
    <t>AUT005.jpg</t>
  </si>
  <si>
    <t>CNT-072</t>
  </si>
  <si>
    <t>081</t>
  </si>
  <si>
    <t>Frutilla</t>
  </si>
  <si>
    <t>AUT006.jpg</t>
  </si>
  <si>
    <t>CNT-073</t>
  </si>
  <si>
    <t>082</t>
  </si>
  <si>
    <t>Kenzo</t>
  </si>
  <si>
    <t>AUT007.jpg</t>
  </si>
  <si>
    <t>CNT-074</t>
  </si>
  <si>
    <t>083</t>
  </si>
  <si>
    <t>Lavanda</t>
  </si>
  <si>
    <t>AUT008.jpg</t>
  </si>
  <si>
    <t>CNT-075</t>
  </si>
  <si>
    <t>084</t>
  </si>
  <si>
    <t>One Million</t>
  </si>
  <si>
    <t>AUT009.jpg</t>
  </si>
  <si>
    <t>CNT-076</t>
  </si>
  <si>
    <t>085</t>
  </si>
  <si>
    <t>Paco rabanne</t>
  </si>
  <si>
    <t>AUT010.jpg</t>
  </si>
  <si>
    <t>CNT-077</t>
  </si>
  <si>
    <t>086</t>
  </si>
  <si>
    <t>Sensual</t>
  </si>
  <si>
    <t>AUT011.jpg</t>
  </si>
  <si>
    <t>CNT-078</t>
  </si>
  <si>
    <t>087</t>
  </si>
  <si>
    <t>Vainilla</t>
  </si>
  <si>
    <t>AUT012.jpg</t>
  </si>
  <si>
    <t>CNT-079</t>
  </si>
  <si>
    <t>088</t>
  </si>
  <si>
    <t>SUB-016</t>
  </si>
  <si>
    <t>Shampoo Siliconado por litro</t>
  </si>
  <si>
    <t>AUT013.jpg</t>
  </si>
  <si>
    <t>CNT-080</t>
  </si>
  <si>
    <t>089</t>
  </si>
  <si>
    <t>SUB-017</t>
  </si>
  <si>
    <t>Mini Lata Walker para auto</t>
  </si>
  <si>
    <t>universal</t>
  </si>
  <si>
    <t>AUT014.jpg</t>
  </si>
  <si>
    <t>CNT-081</t>
  </si>
  <si>
    <t>090</t>
  </si>
  <si>
    <t>AUT-PERFUME-LATA</t>
  </si>
  <si>
    <t>SUB-018</t>
  </si>
  <si>
    <t>Perfume en Lata Walker</t>
  </si>
  <si>
    <t>AUT015.jpg</t>
  </si>
  <si>
    <t>CNT-082</t>
  </si>
  <si>
    <t>091</t>
  </si>
  <si>
    <t>AUT016.jpg</t>
  </si>
  <si>
    <t>CNT-083</t>
  </si>
  <si>
    <t>092</t>
  </si>
  <si>
    <t>Limon</t>
  </si>
  <si>
    <t>AUT017.jpg</t>
  </si>
  <si>
    <t>CNT-084</t>
  </si>
  <si>
    <t>093</t>
  </si>
  <si>
    <t>AUT018.jpg</t>
  </si>
  <si>
    <t>CNT-085</t>
  </si>
  <si>
    <t>094</t>
  </si>
  <si>
    <t>Aqua</t>
  </si>
  <si>
    <t>AUT019.jpg</t>
  </si>
  <si>
    <t>CNT-086</t>
  </si>
  <si>
    <t>095</t>
  </si>
  <si>
    <t>SUB-019</t>
  </si>
  <si>
    <t>Cera para auto por litro</t>
  </si>
  <si>
    <t>AUT020.jpg</t>
  </si>
  <si>
    <t>CNT-087</t>
  </si>
  <si>
    <t>096</t>
  </si>
  <si>
    <t>SUB-020</t>
  </si>
  <si>
    <t>Limpia Tapizado en Aerosol</t>
  </si>
  <si>
    <t>AUT021.jpg</t>
  </si>
  <si>
    <t>CNT-088</t>
  </si>
  <si>
    <t>097</t>
  </si>
  <si>
    <t>SUB-055</t>
  </si>
  <si>
    <t>Shampoo para manos de Frutilla</t>
  </si>
  <si>
    <t>SHA001.png</t>
  </si>
  <si>
    <t>CNT-089</t>
  </si>
  <si>
    <t>098</t>
  </si>
  <si>
    <t>Shampoo para manos Neutro</t>
  </si>
  <si>
    <t>blanco</t>
  </si>
  <si>
    <t>SHA002.png</t>
  </si>
  <si>
    <t>CNT-090</t>
  </si>
  <si>
    <t>099</t>
  </si>
  <si>
    <t>Shampoo para manos de vaini coco</t>
  </si>
  <si>
    <t>vaini coco</t>
  </si>
  <si>
    <t>SHA003.png</t>
  </si>
  <si>
    <t>CNT-091</t>
  </si>
  <si>
    <t>100</t>
  </si>
  <si>
    <t>Shampoo para manos de manzana</t>
  </si>
  <si>
    <t>manzana</t>
  </si>
  <si>
    <t>SHA004.png</t>
  </si>
  <si>
    <t>CNT-092</t>
  </si>
  <si>
    <t>101</t>
  </si>
  <si>
    <t>Shampoo para manos de uva</t>
  </si>
  <si>
    <t>uva</t>
  </si>
  <si>
    <t>SHA005.png</t>
  </si>
  <si>
    <t>CNT-093</t>
  </si>
  <si>
    <t>102</t>
  </si>
  <si>
    <t>Shampoo para manos antibacterial</t>
  </si>
  <si>
    <t>antibacterial</t>
  </si>
  <si>
    <t>SHA006.png</t>
  </si>
  <si>
    <t>CNT-094</t>
  </si>
  <si>
    <t>103</t>
  </si>
  <si>
    <t>DAV-SIMPLE-DIFUSOR-SAPHIRUS</t>
  </si>
  <si>
    <t>vainilla</t>
  </si>
  <si>
    <t>SUB-022</t>
  </si>
  <si>
    <t>Saphirus</t>
  </si>
  <si>
    <t>Saphirus de vainilla</t>
  </si>
  <si>
    <t>DAV001.jpg</t>
  </si>
  <si>
    <t>CNT-095</t>
  </si>
  <si>
    <t>104</t>
  </si>
  <si>
    <t>lavanda</t>
  </si>
  <si>
    <t>Saphirus de lavanda</t>
  </si>
  <si>
    <t>DAV002.jpg</t>
  </si>
  <si>
    <t>CNT-096</t>
  </si>
  <si>
    <t>105</t>
  </si>
  <si>
    <t>Saphirus de uva</t>
  </si>
  <si>
    <t>DAV003.jpg</t>
  </si>
  <si>
    <t>CNT-097</t>
  </si>
  <si>
    <t>106</t>
  </si>
  <si>
    <t>palito de la selva</t>
  </si>
  <si>
    <t>Saphirus de palito de la selva</t>
  </si>
  <si>
    <t>DAV004.jpg</t>
  </si>
  <si>
    <t>CNT-098</t>
  </si>
  <si>
    <t>107</t>
  </si>
  <si>
    <t>Saphirus vaini coco</t>
  </si>
  <si>
    <t>DAV005.jpg</t>
  </si>
  <si>
    <t>CNT-099</t>
  </si>
  <si>
    <t>108</t>
  </si>
  <si>
    <t>coniglio</t>
  </si>
  <si>
    <t>Saphirus coniglio</t>
  </si>
  <si>
    <t>DAV006.jpg</t>
  </si>
  <si>
    <t>CNT-100</t>
  </si>
  <si>
    <t>109</t>
  </si>
  <si>
    <t>limon</t>
  </si>
  <si>
    <t>Saphirus limon</t>
  </si>
  <si>
    <t>DAV007.jpg</t>
  </si>
  <si>
    <t>CNT-101</t>
  </si>
  <si>
    <t>110</t>
  </si>
  <si>
    <t>coco</t>
  </si>
  <si>
    <t>Saphirus coco</t>
  </si>
  <si>
    <t>DAV008.jpg</t>
  </si>
  <si>
    <t>CNT-102</t>
  </si>
  <si>
    <t>111</t>
  </si>
  <si>
    <t>frutilla</t>
  </si>
  <si>
    <t>Saphirus frutilla</t>
  </si>
  <si>
    <t>DAV009.jpg</t>
  </si>
  <si>
    <t>CNT-103</t>
  </si>
  <si>
    <t>112</t>
  </si>
  <si>
    <t>j.baby</t>
  </si>
  <si>
    <t>Saphirus j.baby</t>
  </si>
  <si>
    <t>DAV010.jpg</t>
  </si>
  <si>
    <t>CNT-104</t>
  </si>
  <si>
    <t>113</t>
  </si>
  <si>
    <t>papaya</t>
  </si>
  <si>
    <t>Saphirus papaya</t>
  </si>
  <si>
    <t>DAV011.jpg</t>
  </si>
  <si>
    <t>CNT-105</t>
  </si>
  <si>
    <t>114</t>
  </si>
  <si>
    <t>flores blancas</t>
  </si>
  <si>
    <t>Saphirus flores blancas</t>
  </si>
  <si>
    <t>DAV012.jpg</t>
  </si>
  <si>
    <t>CNT-106</t>
  </si>
  <si>
    <t>115</t>
  </si>
  <si>
    <t>citrus</t>
  </si>
  <si>
    <t>Saphirus citrus</t>
  </si>
  <si>
    <t>DAV013.jpg</t>
  </si>
  <si>
    <t>CNT-107</t>
  </si>
  <si>
    <t>116</t>
  </si>
  <si>
    <t>jazmin</t>
  </si>
  <si>
    <t>Saphirus jazmin</t>
  </si>
  <si>
    <t>DAV014.jpg</t>
  </si>
  <si>
    <t>CNT-108</t>
  </si>
  <si>
    <t>117</t>
  </si>
  <si>
    <t>Saphirus vainilla</t>
  </si>
  <si>
    <t>DAV015.jpg</t>
  </si>
  <si>
    <t>CNT-109</t>
  </si>
  <si>
    <t>118</t>
  </si>
  <si>
    <t>Saphirus lavanda x120cc</t>
  </si>
  <si>
    <t>DAV016.jpg</t>
  </si>
  <si>
    <t>CNT-110</t>
  </si>
  <si>
    <t>119</t>
  </si>
  <si>
    <t>Saphirus limon x120cc</t>
  </si>
  <si>
    <t>DAV017.jpg</t>
  </si>
  <si>
    <t>CNT-111</t>
  </si>
  <si>
    <t>120</t>
  </si>
  <si>
    <t>vainilla madagascar</t>
  </si>
  <si>
    <t>Saphirus vainilla/madagascar  x120cc</t>
  </si>
  <si>
    <t>DAV018.jpg</t>
  </si>
  <si>
    <t>CNT-112</t>
  </si>
  <si>
    <t>121</t>
  </si>
  <si>
    <t>floral</t>
  </si>
  <si>
    <t>Saphirus floral x120cc</t>
  </si>
  <si>
    <t>DAV019.jpg</t>
  </si>
  <si>
    <t>CNT-113</t>
  </si>
  <si>
    <t>122</t>
  </si>
  <si>
    <t>chicle</t>
  </si>
  <si>
    <t>Saphirus chicle x120cc</t>
  </si>
  <si>
    <t>DAV020.jpg</t>
  </si>
  <si>
    <t>CNT-114</t>
  </si>
  <si>
    <t>123</t>
  </si>
  <si>
    <t>Saphirus palito de la selva x120cc</t>
  </si>
  <si>
    <t>DAV021.jpg</t>
  </si>
  <si>
    <t>CNT-115</t>
  </si>
  <si>
    <t>124</t>
  </si>
  <si>
    <t>nag champa</t>
  </si>
  <si>
    <t>Saphirus nag champa x120cc</t>
  </si>
  <si>
    <t>DAV022.jpg</t>
  </si>
  <si>
    <t>CNT-116</t>
  </si>
  <si>
    <t>125</t>
  </si>
  <si>
    <t>DAV-COMBINADO-DIFUSOR-SAPHIRUS</t>
  </si>
  <si>
    <t>sandia / melon</t>
  </si>
  <si>
    <t>Saphirus combinados sandia y melon x120cc</t>
  </si>
  <si>
    <t>DAV023.jpg</t>
  </si>
  <si>
    <t>CNT-117</t>
  </si>
  <si>
    <t>126</t>
  </si>
  <si>
    <t>vainilla / frambruesa</t>
  </si>
  <si>
    <t>Saphirus combinados vainilla y frambuesa x120cc</t>
  </si>
  <si>
    <t>DAV024.jpg</t>
  </si>
  <si>
    <t>CNT-118</t>
  </si>
  <si>
    <t>127</t>
  </si>
  <si>
    <t>vainilla / chocolate</t>
  </si>
  <si>
    <t>Saphirus combinados vainilla y chocolate x120cc</t>
  </si>
  <si>
    <t>DAV025.jpg</t>
  </si>
  <si>
    <t>CNT-119</t>
  </si>
  <si>
    <t>128</t>
  </si>
  <si>
    <t>vaini / coco</t>
  </si>
  <si>
    <t>Saphirus combinados vaini y coco x120cc</t>
  </si>
  <si>
    <t>DAV026.jpg</t>
  </si>
  <si>
    <t>CNT-120</t>
  </si>
  <si>
    <t>129</t>
  </si>
  <si>
    <t>flores blancas / uvas</t>
  </si>
  <si>
    <t>Saphirus combinados flores blacas y uvas x120cc</t>
  </si>
  <si>
    <t>DAV027.jpg</t>
  </si>
  <si>
    <t>CNT-121</t>
  </si>
  <si>
    <t>130</t>
  </si>
  <si>
    <t>CAT-008</t>
  </si>
  <si>
    <t>SUB-023</t>
  </si>
  <si>
    <t>Promo 15 litros</t>
  </si>
  <si>
    <t>PROM001.png</t>
  </si>
  <si>
    <t>CNT-122</t>
  </si>
  <si>
    <t>131</t>
  </si>
  <si>
    <t>Promo 12 litros + 5 de regalo</t>
  </si>
  <si>
    <t>PROM002.png</t>
  </si>
  <si>
    <t>CNT-123</t>
  </si>
  <si>
    <t>132</t>
  </si>
  <si>
    <t>Promo 10 litros</t>
  </si>
  <si>
    <t>PROM003.png</t>
  </si>
  <si>
    <t>CNT-124</t>
  </si>
  <si>
    <t>133</t>
  </si>
  <si>
    <t>Cloro liquido x 1 litro</t>
  </si>
  <si>
    <t>1 litro</t>
  </si>
  <si>
    <t>CLO002.png</t>
  </si>
  <si>
    <t>CNT-125</t>
  </si>
  <si>
    <t>134</t>
  </si>
  <si>
    <t>Cloro liquido pack x 6</t>
  </si>
  <si>
    <t>6 litros</t>
  </si>
  <si>
    <t>CLO003.png</t>
  </si>
  <si>
    <t>CNT-126</t>
  </si>
  <si>
    <t>135</t>
  </si>
  <si>
    <t>Detergente rinde x2</t>
  </si>
  <si>
    <t>DET002.png</t>
  </si>
  <si>
    <t>CNT-127</t>
  </si>
  <si>
    <t>136</t>
  </si>
  <si>
    <t>Detergente liquido concentrado pack 6 unidades</t>
  </si>
  <si>
    <t>DET003.png</t>
  </si>
  <si>
    <t>CNT-128</t>
  </si>
  <si>
    <t>137</t>
  </si>
  <si>
    <t>Lavavajillas listo para usar 1 litro</t>
  </si>
  <si>
    <t>LVA003.png</t>
  </si>
  <si>
    <t>CNT-129</t>
  </si>
  <si>
    <t>138</t>
  </si>
  <si>
    <t>Lavavajillas listo para usar pack 6 litros</t>
  </si>
  <si>
    <t>LVA004.png</t>
  </si>
  <si>
    <t>CNT-130</t>
  </si>
  <si>
    <t>139</t>
  </si>
  <si>
    <t>Lavavajillas concentrado 1 litro</t>
  </si>
  <si>
    <t>LVA005.png</t>
  </si>
  <si>
    <t>CNT-131</t>
  </si>
  <si>
    <t>140</t>
  </si>
  <si>
    <t>Lavavajillas concentrado pack 6 litros</t>
  </si>
  <si>
    <t>LVA006.png</t>
  </si>
  <si>
    <t>CNT-132</t>
  </si>
  <si>
    <t>141</t>
  </si>
  <si>
    <t>Suavizante listo para usar 1 litro</t>
  </si>
  <si>
    <t>SUA003.png</t>
  </si>
  <si>
    <t>CNT-133</t>
  </si>
  <si>
    <t>142</t>
  </si>
  <si>
    <t>Suavizante listo para usar pack 6 x 6 litros</t>
  </si>
  <si>
    <t>SUA004.png</t>
  </si>
  <si>
    <t>CNT-134</t>
  </si>
  <si>
    <t>143</t>
  </si>
  <si>
    <t>Suavizante listo para usar x 1 litro</t>
  </si>
  <si>
    <t>SUA005.png</t>
  </si>
  <si>
    <t>CNT-135</t>
  </si>
  <si>
    <t>144</t>
  </si>
  <si>
    <t>Suavizante listo para usar pack x 6 litros</t>
  </si>
  <si>
    <t>SUA006.png</t>
  </si>
  <si>
    <t>CNT-136</t>
  </si>
  <si>
    <t>145</t>
  </si>
  <si>
    <t>DPP-1056</t>
  </si>
  <si>
    <t>5 L</t>
  </si>
  <si>
    <t>SUB-029</t>
  </si>
  <si>
    <t>1056 x 5L</t>
  </si>
  <si>
    <t>DPP001.png</t>
  </si>
  <si>
    <t>CNT-137</t>
  </si>
  <si>
    <t>146</t>
  </si>
  <si>
    <t>1 L</t>
  </si>
  <si>
    <t>1056 x 1L</t>
  </si>
  <si>
    <t>DPP002.png</t>
  </si>
  <si>
    <t>CNT-138</t>
  </si>
  <si>
    <t>147</t>
  </si>
  <si>
    <t>6 L PACK</t>
  </si>
  <si>
    <t>1056 pack x6</t>
  </si>
  <si>
    <t>1 pack</t>
  </si>
  <si>
    <t>DPP003.png</t>
  </si>
  <si>
    <t>CNT-139</t>
  </si>
  <si>
    <t>148</t>
  </si>
  <si>
    <t>DPP-CHERRY</t>
  </si>
  <si>
    <t>Cherry x 5L</t>
  </si>
  <si>
    <t>Cherry</t>
  </si>
  <si>
    <t>DPP004.png</t>
  </si>
  <si>
    <t>CNT-140</t>
  </si>
  <si>
    <t>149</t>
  </si>
  <si>
    <t>Cherry x 1L</t>
  </si>
  <si>
    <t>DPP005.png</t>
  </si>
  <si>
    <t>CNT-141</t>
  </si>
  <si>
    <t>150</t>
  </si>
  <si>
    <t>Cherry pack x6</t>
  </si>
  <si>
    <t>DPP006.png</t>
  </si>
  <si>
    <t>CNT-142</t>
  </si>
  <si>
    <t>151</t>
  </si>
  <si>
    <t>DPP-PINO</t>
  </si>
  <si>
    <t>Pino x 5L</t>
  </si>
  <si>
    <t>pino</t>
  </si>
  <si>
    <t>DPP007.png</t>
  </si>
  <si>
    <t>CNT-143</t>
  </si>
  <si>
    <t>152</t>
  </si>
  <si>
    <t>Pino x 1L</t>
  </si>
  <si>
    <t>DPP008.png</t>
  </si>
  <si>
    <t>CNT-144</t>
  </si>
  <si>
    <t>153</t>
  </si>
  <si>
    <t>Pino pack x6</t>
  </si>
  <si>
    <t>DPP009.png</t>
  </si>
  <si>
    <t>CNT-145</t>
  </si>
  <si>
    <t>154</t>
  </si>
  <si>
    <t>DPP-LAVANDA</t>
  </si>
  <si>
    <t>Lavanda x 5L</t>
  </si>
  <si>
    <t>DPP010.png</t>
  </si>
  <si>
    <t>CNT-146</t>
  </si>
  <si>
    <t>155</t>
  </si>
  <si>
    <t>Lavanda x 1L</t>
  </si>
  <si>
    <t>DPP011.png</t>
  </si>
  <si>
    <t>CNT-147</t>
  </si>
  <si>
    <t>156</t>
  </si>
  <si>
    <t>Lavanda pack x6</t>
  </si>
  <si>
    <t>DPP012.png</t>
  </si>
  <si>
    <t>CNT-148</t>
  </si>
  <si>
    <t>157</t>
  </si>
  <si>
    <t>CBS-CABO-MADERA</t>
  </si>
  <si>
    <t>1.2 MTS</t>
  </si>
  <si>
    <t>SUB-030</t>
  </si>
  <si>
    <t>Cabo de madera de 1,2 Metros</t>
  </si>
  <si>
    <t>1,2 Metros</t>
  </si>
  <si>
    <t>CBS001.jpg</t>
  </si>
  <si>
    <t>CNT-149</t>
  </si>
  <si>
    <t>158</t>
  </si>
  <si>
    <t>1.5 MTS</t>
  </si>
  <si>
    <t>Cabo de madera de 1,5 Metros</t>
  </si>
  <si>
    <t>1,5 Metros</t>
  </si>
  <si>
    <t>CBS002.jpg</t>
  </si>
  <si>
    <t>CNT-150</t>
  </si>
  <si>
    <t>159</t>
  </si>
  <si>
    <t>2.0 MTS</t>
  </si>
  <si>
    <t>Cabo de madera de 2 Metros</t>
  </si>
  <si>
    <t>2 Metros</t>
  </si>
  <si>
    <t>CBS003.jpg</t>
  </si>
  <si>
    <t>CNT-151</t>
  </si>
  <si>
    <t>160</t>
  </si>
  <si>
    <t>Cabo de metal make</t>
  </si>
  <si>
    <t>CBS004.jpg</t>
  </si>
  <si>
    <t>CNT-152</t>
  </si>
  <si>
    <t>161</t>
  </si>
  <si>
    <t>Cabo Saca Hojas</t>
  </si>
  <si>
    <t>CBS005.jpg</t>
  </si>
  <si>
    <t>CNT-153</t>
  </si>
  <si>
    <t>162</t>
  </si>
  <si>
    <t>Cabo extensible 2 metros</t>
  </si>
  <si>
    <t>CBS006.jpg</t>
  </si>
  <si>
    <t>CNT-154</t>
  </si>
  <si>
    <t>163</t>
  </si>
  <si>
    <t>Cabo extensible 3 metros</t>
  </si>
  <si>
    <t>CBS007.jpg</t>
  </si>
  <si>
    <t>CNT-155</t>
  </si>
  <si>
    <t>164</t>
  </si>
  <si>
    <t>SUB-031</t>
  </si>
  <si>
    <t>Make</t>
  </si>
  <si>
    <t>Esponja de acero 10 Gr</t>
  </si>
  <si>
    <t>ESP001.jpg</t>
  </si>
  <si>
    <t>CNT-156</t>
  </si>
  <si>
    <t>165</t>
  </si>
  <si>
    <t>Esponja dorada de 30 Gr</t>
  </si>
  <si>
    <t>ESP002.jpg</t>
  </si>
  <si>
    <t>CNT-157</t>
  </si>
  <si>
    <t>166</t>
  </si>
  <si>
    <t>Esponja azul para teflon</t>
  </si>
  <si>
    <t>ESP003.jpg</t>
  </si>
  <si>
    <t>CNT-158</t>
  </si>
  <si>
    <t>167</t>
  </si>
  <si>
    <t>Esponja de acero 10 Gr pack de 12 unidades</t>
  </si>
  <si>
    <t>ESP004.jpg</t>
  </si>
  <si>
    <t>CNT-159</t>
  </si>
  <si>
    <t>168</t>
  </si>
  <si>
    <t>Esponja dorada 30 Gr pack de 12 unidades</t>
  </si>
  <si>
    <t>ESP005.jpg</t>
  </si>
  <si>
    <t>CNT-160</t>
  </si>
  <si>
    <t>169</t>
  </si>
  <si>
    <t>Lana de acero Make</t>
  </si>
  <si>
    <t>ESP006.jpg</t>
  </si>
  <si>
    <t>CNT-161</t>
  </si>
  <si>
    <t>170</t>
  </si>
  <si>
    <t>Lana de acero virulana</t>
  </si>
  <si>
    <t>ESP007.jpg</t>
  </si>
  <si>
    <t>CNT-162</t>
  </si>
  <si>
    <t>171</t>
  </si>
  <si>
    <t>SUB-032</t>
  </si>
  <si>
    <t>Tender Vertical para Ropa 3 niveles</t>
  </si>
  <si>
    <t>APR001.jpg</t>
  </si>
  <si>
    <t>CNT-163</t>
  </si>
  <si>
    <t>172</t>
  </si>
  <si>
    <t>Tender Para Medias de 18 Broches</t>
  </si>
  <si>
    <t>APR002.jpg</t>
  </si>
  <si>
    <t>CNT-164</t>
  </si>
  <si>
    <t>173</t>
  </si>
  <si>
    <t>Tender 10 varillas con Alas</t>
  </si>
  <si>
    <t>APR003.jpg</t>
  </si>
  <si>
    <t>CNT-165</t>
  </si>
  <si>
    <t>174</t>
  </si>
  <si>
    <t>Broches Plasticos x 12 unidades</t>
  </si>
  <si>
    <t>APR004.jpg</t>
  </si>
  <si>
    <t>CNT-166</t>
  </si>
  <si>
    <t>175</t>
  </si>
  <si>
    <t>Broches Madera x 12 unidades</t>
  </si>
  <si>
    <t>APR005.jpg</t>
  </si>
  <si>
    <t>CNT-167</t>
  </si>
  <si>
    <t>176</t>
  </si>
  <si>
    <t>CAT-010</t>
  </si>
  <si>
    <t>SUB-033</t>
  </si>
  <si>
    <t>Cepillo Lava Espalda Plastico</t>
  </si>
  <si>
    <t>APB001.jpg</t>
  </si>
  <si>
    <t>CNT-168</t>
  </si>
  <si>
    <t>177</t>
  </si>
  <si>
    <t>Jabonera Deseplast</t>
  </si>
  <si>
    <t>APB002.jpg</t>
  </si>
  <si>
    <t>CNT-169</t>
  </si>
  <si>
    <t>178</t>
  </si>
  <si>
    <t>Pato</t>
  </si>
  <si>
    <t>Limpiador Adhesivo inodoro</t>
  </si>
  <si>
    <t>APB003.jpg</t>
  </si>
  <si>
    <t>CNT-170</t>
  </si>
  <si>
    <t>179</t>
  </si>
  <si>
    <t>Glade</t>
  </si>
  <si>
    <t>Pastilla para inodoro</t>
  </si>
  <si>
    <t>APB004.jpg</t>
  </si>
  <si>
    <t>CNT-171</t>
  </si>
  <si>
    <t>180</t>
  </si>
  <si>
    <t>Protector cortina de baño</t>
  </si>
  <si>
    <t>APB005.jpg</t>
  </si>
  <si>
    <t>CNT-172</t>
  </si>
  <si>
    <t>181</t>
  </si>
  <si>
    <t>Poe</t>
  </si>
  <si>
    <t>Poett Desodorante de Ambiente</t>
  </si>
  <si>
    <t>AER001.jpg</t>
  </si>
  <si>
    <t>CNT-173</t>
  </si>
  <si>
    <t>182</t>
  </si>
  <si>
    <t>SUB-054</t>
  </si>
  <si>
    <t>Lysoform</t>
  </si>
  <si>
    <t>Lysoform Desisfectante</t>
  </si>
  <si>
    <t>AER002.jpg</t>
  </si>
  <si>
    <t>CNT-174</t>
  </si>
  <si>
    <t>183</t>
  </si>
  <si>
    <t>SUB-036</t>
  </si>
  <si>
    <t>Blem</t>
  </si>
  <si>
    <t>Lustra Muebles</t>
  </si>
  <si>
    <t>AER003.jpg</t>
  </si>
  <si>
    <t>CNT-175</t>
  </si>
  <si>
    <t>184</t>
  </si>
  <si>
    <t>Mr. Musculo</t>
  </si>
  <si>
    <t>Limpiador para hornos</t>
  </si>
  <si>
    <t>AER004.jpg</t>
  </si>
  <si>
    <t>CNT-176</t>
  </si>
  <si>
    <t>185</t>
  </si>
  <si>
    <t>SUB-038</t>
  </si>
  <si>
    <t>Apresto Danubio</t>
  </si>
  <si>
    <t>AER005.jpg</t>
  </si>
  <si>
    <t>CNT-177</t>
  </si>
  <si>
    <t>186</t>
  </si>
  <si>
    <t>SUB-039</t>
  </si>
  <si>
    <t>Fuyi</t>
  </si>
  <si>
    <t>Fuyi Mata Moscas y Mosquitos</t>
  </si>
  <si>
    <t>AER006.jpg</t>
  </si>
  <si>
    <t>CNT-178</t>
  </si>
  <si>
    <t>187</t>
  </si>
  <si>
    <t>Raid</t>
  </si>
  <si>
    <t>Raid Azul</t>
  </si>
  <si>
    <t>AER007.jpg</t>
  </si>
  <si>
    <t>CNT-179</t>
  </si>
  <si>
    <t>188</t>
  </si>
  <si>
    <t>Raid Negro</t>
  </si>
  <si>
    <t>AER008.jpg</t>
  </si>
  <si>
    <t>CNT-180</t>
  </si>
  <si>
    <t>189</t>
  </si>
  <si>
    <t>MYG-GUANTES</t>
  </si>
  <si>
    <t>TALLE S</t>
  </si>
  <si>
    <t>SUB-040</t>
  </si>
  <si>
    <t>Guantes de Goma Make</t>
  </si>
  <si>
    <t>Talle S</t>
  </si>
  <si>
    <t>MYG001.jpg</t>
  </si>
  <si>
    <t>CNT-181</t>
  </si>
  <si>
    <t>190</t>
  </si>
  <si>
    <t>TALLE M</t>
  </si>
  <si>
    <t>Talle M</t>
  </si>
  <si>
    <t>MYG002.jpg</t>
  </si>
  <si>
    <t>CNT-182</t>
  </si>
  <si>
    <t>191</t>
  </si>
  <si>
    <t>TALLE L</t>
  </si>
  <si>
    <t>Talle L</t>
  </si>
  <si>
    <t>MYG003.jpg</t>
  </si>
  <si>
    <t>CNT-183</t>
  </si>
  <si>
    <t>192</t>
  </si>
  <si>
    <t>TALLE XL</t>
  </si>
  <si>
    <t>Talle XL</t>
  </si>
  <si>
    <t>MYG004.jpg</t>
  </si>
  <si>
    <t>CNT-184</t>
  </si>
  <si>
    <t>193</t>
  </si>
  <si>
    <t>Guantes de Latex descartable Caja x 100 unidades</t>
  </si>
  <si>
    <t>MYG005.jpg</t>
  </si>
  <si>
    <t>CNT-185</t>
  </si>
  <si>
    <t>194</t>
  </si>
  <si>
    <t>Guantes de Nitrilo Caja x 100 unidades</t>
  </si>
  <si>
    <t>MYG006.jpg</t>
  </si>
  <si>
    <t>CNT-186</t>
  </si>
  <si>
    <t>195</t>
  </si>
  <si>
    <t>SUB-041</t>
  </si>
  <si>
    <t>Iberia</t>
  </si>
  <si>
    <t>Escurre Facil Iberia</t>
  </si>
  <si>
    <t>MYG007.jpg</t>
  </si>
  <si>
    <t>CNT-187</t>
  </si>
  <si>
    <t>196</t>
  </si>
  <si>
    <t>MrTrapo</t>
  </si>
  <si>
    <t>Mopa Algodon Amarillo MrTrapo</t>
  </si>
  <si>
    <t>MYG008.jpg</t>
  </si>
  <si>
    <t>CNT-188</t>
  </si>
  <si>
    <t>197</t>
  </si>
  <si>
    <t>Romyl</t>
  </si>
  <si>
    <t>Mopa Amarilla Romyl</t>
  </si>
  <si>
    <t>MYG009.jpg</t>
  </si>
  <si>
    <t>CNT-189</t>
  </si>
  <si>
    <t>198</t>
  </si>
  <si>
    <t>Fibran Sur</t>
  </si>
  <si>
    <t>Mopa Blanca Algodon FibranSur</t>
  </si>
  <si>
    <t>MYG010.jpg</t>
  </si>
  <si>
    <t>CNT-190</t>
  </si>
  <si>
    <t>199</t>
  </si>
  <si>
    <t>Mopa Blanca Algodon Make</t>
  </si>
  <si>
    <t>MYG011.jpg</t>
  </si>
  <si>
    <t>CNT-191</t>
  </si>
  <si>
    <t>200</t>
  </si>
  <si>
    <t>SUB-042</t>
  </si>
  <si>
    <t>Turbo Facil</t>
  </si>
  <si>
    <t>Repuesto Mopa Pelo Corto Turbo Facil</t>
  </si>
  <si>
    <t>MYG012.jpg</t>
  </si>
  <si>
    <t>CNT-192</t>
  </si>
  <si>
    <t>201</t>
  </si>
  <si>
    <t>Turbo Matic</t>
  </si>
  <si>
    <t>Repuesto Mopa Pelo Largo Turbo Matic</t>
  </si>
  <si>
    <t>MYG013.jpg</t>
  </si>
  <si>
    <t>CNT-193</t>
  </si>
  <si>
    <t>202</t>
  </si>
  <si>
    <t>SUB-043</t>
  </si>
  <si>
    <t>Matriplaster</t>
  </si>
  <si>
    <t>Balde Mopa 9 lts Matriplaster</t>
  </si>
  <si>
    <t>RPP001.jpg</t>
  </si>
  <si>
    <t>CNT-194</t>
  </si>
  <si>
    <t>203</t>
  </si>
  <si>
    <t>Balde Mopa 14 lts Matriplaster</t>
  </si>
  <si>
    <t>RPP002.jpg</t>
  </si>
  <si>
    <t>CNT-195</t>
  </si>
  <si>
    <t>204</t>
  </si>
  <si>
    <t>Balde x 10 lts</t>
  </si>
  <si>
    <t>RPP003.jpg</t>
  </si>
  <si>
    <t>CNT-196</t>
  </si>
  <si>
    <t>205</t>
  </si>
  <si>
    <t>Balde x 12 lts</t>
  </si>
  <si>
    <t>RPP004.jpg</t>
  </si>
  <si>
    <t>CNT-197</t>
  </si>
  <si>
    <t>206</t>
  </si>
  <si>
    <t>Balde Mopa Duo Matriplaster</t>
  </si>
  <si>
    <t>RPP005.jpg</t>
  </si>
  <si>
    <t>CNT-198</t>
  </si>
  <si>
    <t>207</t>
  </si>
  <si>
    <t>Balde Mopa Plana</t>
  </si>
  <si>
    <t>RPP006.jpg</t>
  </si>
  <si>
    <t>CNT-199</t>
  </si>
  <si>
    <t>208</t>
  </si>
  <si>
    <t>CAT-011</t>
  </si>
  <si>
    <t>SUB-044</t>
  </si>
  <si>
    <t>Clorotec</t>
  </si>
  <si>
    <t>Alguicida Clorotec 1 litro</t>
  </si>
  <si>
    <t>PPP001.jpg</t>
  </si>
  <si>
    <t>CNT-200</t>
  </si>
  <si>
    <t>209</t>
  </si>
  <si>
    <t>Clarificante Clorotec 1 litro</t>
  </si>
  <si>
    <t>PPP002.jpg</t>
  </si>
  <si>
    <t>CNT-201</t>
  </si>
  <si>
    <t>210</t>
  </si>
  <si>
    <t>Regulador PH 5 litros</t>
  </si>
  <si>
    <t>PPP003.jpg</t>
  </si>
  <si>
    <t>CNT-202</t>
  </si>
  <si>
    <t>211</t>
  </si>
  <si>
    <t>SUB-045</t>
  </si>
  <si>
    <t>Cloro Granulado Lento x 50 kg</t>
  </si>
  <si>
    <t>50 kilos</t>
  </si>
  <si>
    <t>PPP004.jpg</t>
  </si>
  <si>
    <t>CNT-203</t>
  </si>
  <si>
    <t>212</t>
  </si>
  <si>
    <t>KING</t>
  </si>
  <si>
    <t>Cloro Granulado Lento 1 kg</t>
  </si>
  <si>
    <t>1 kilo</t>
  </si>
  <si>
    <t>PPP005.jpg</t>
  </si>
  <si>
    <t>CNT-204</t>
  </si>
  <si>
    <t>213</t>
  </si>
  <si>
    <t>Reactivos x 2</t>
  </si>
  <si>
    <t>PPP006.jpg</t>
  </si>
  <si>
    <t>CNT-205</t>
  </si>
  <si>
    <t>214</t>
  </si>
  <si>
    <t>Pastillas de Cloro triple Accion de 200 gr pack x 5 pastillas</t>
  </si>
  <si>
    <t>PPP007.jpg</t>
  </si>
  <si>
    <t>CNT-206</t>
  </si>
  <si>
    <t>215</t>
  </si>
  <si>
    <t>Test kit</t>
  </si>
  <si>
    <t>PPP008.jpg</t>
  </si>
  <si>
    <t>CNT-207</t>
  </si>
  <si>
    <t>216</t>
  </si>
  <si>
    <t>SUB-046</t>
  </si>
  <si>
    <t>Manguera 1'' x 15 mts</t>
  </si>
  <si>
    <t>PPP009.jpg</t>
  </si>
  <si>
    <t>CNT-208</t>
  </si>
  <si>
    <t>217</t>
  </si>
  <si>
    <t>Manguera 3/4" x 15 mts</t>
  </si>
  <si>
    <t>PPP010.jpg</t>
  </si>
  <si>
    <t>CNT-209</t>
  </si>
  <si>
    <t>218</t>
  </si>
  <si>
    <t>Manguera 1/2" x 15 mts</t>
  </si>
  <si>
    <t>PPP011.jpg</t>
  </si>
  <si>
    <t>CNT-210</t>
  </si>
  <si>
    <t>219</t>
  </si>
  <si>
    <t>Manguera Corrugada 1 1/2" x 10 mts</t>
  </si>
  <si>
    <t>PPP012.jpg</t>
  </si>
  <si>
    <t>CNT-211</t>
  </si>
  <si>
    <t>220</t>
  </si>
  <si>
    <t>SUB-047</t>
  </si>
  <si>
    <t>Flota Flota</t>
  </si>
  <si>
    <t>PPP013.jpg</t>
  </si>
  <si>
    <t>CNT-212</t>
  </si>
  <si>
    <t>221</t>
  </si>
  <si>
    <t>Barrefondo 8 Ruedas</t>
  </si>
  <si>
    <t>PPP014.jpg</t>
  </si>
  <si>
    <t>CNT-213</t>
  </si>
  <si>
    <t>222</t>
  </si>
  <si>
    <t>Barrefondo Medialuna</t>
  </si>
  <si>
    <t>PPP015.jpg</t>
  </si>
  <si>
    <t>CNT-214</t>
  </si>
  <si>
    <t>223</t>
  </si>
  <si>
    <t>Boya Hongo</t>
  </si>
  <si>
    <t>PPP016.jpg</t>
  </si>
  <si>
    <t>CNT-215</t>
  </si>
  <si>
    <t>224</t>
  </si>
  <si>
    <t>Boya Satelite</t>
  </si>
  <si>
    <t>PPP017.jpg</t>
  </si>
  <si>
    <t>CNT-216</t>
  </si>
  <si>
    <t>225</t>
  </si>
  <si>
    <t>SUB-048</t>
  </si>
  <si>
    <t>Velas x 4 de 205 mm make</t>
  </si>
  <si>
    <t>VAR001.jpg</t>
  </si>
  <si>
    <t>CNT-217</t>
  </si>
  <si>
    <t>226</t>
  </si>
  <si>
    <t>Velas x 12 de 205 mm make</t>
  </si>
  <si>
    <t>VAR002.jpg</t>
  </si>
  <si>
    <t>CNT-218</t>
  </si>
  <si>
    <t>227</t>
  </si>
  <si>
    <t>SUB-049</t>
  </si>
  <si>
    <t>Papel Manteca Make</t>
  </si>
  <si>
    <t>VAR003.jpg</t>
  </si>
  <si>
    <t>CNT-219</t>
  </si>
  <si>
    <t>228</t>
  </si>
  <si>
    <t>Papel Aluminio Make</t>
  </si>
  <si>
    <t>VAR004.jpg</t>
  </si>
  <si>
    <t>CNT-220</t>
  </si>
  <si>
    <t>229</t>
  </si>
  <si>
    <t>Film Adherente Make 30 metros</t>
  </si>
  <si>
    <t>VAR005.jpg</t>
  </si>
  <si>
    <t>CNT-221</t>
  </si>
  <si>
    <t>230</t>
  </si>
  <si>
    <t>SUB-050</t>
  </si>
  <si>
    <t>Separador de Freezer Make x 200 unidades</t>
  </si>
  <si>
    <t>VAR006.jpg</t>
  </si>
  <si>
    <t>CNT-222</t>
  </si>
  <si>
    <t>231</t>
  </si>
  <si>
    <t>Bolzip</t>
  </si>
  <si>
    <t>Bolsa para cubitos Bolzip</t>
  </si>
  <si>
    <t>VAR007.jpg</t>
  </si>
  <si>
    <t>CNT-223</t>
  </si>
  <si>
    <t>232</t>
  </si>
  <si>
    <t>SUB-051</t>
  </si>
  <si>
    <t>Palmeta Mata Moscas Plastica</t>
  </si>
  <si>
    <t>VAR008.jpg</t>
  </si>
  <si>
    <t>CNT-224</t>
  </si>
  <si>
    <t>233</t>
  </si>
  <si>
    <t>Gorrion</t>
  </si>
  <si>
    <t>Insecticida liquido Gorrion x 500 cc</t>
  </si>
  <si>
    <t>VAR009.jpg</t>
  </si>
  <si>
    <t>CNT-225</t>
  </si>
  <si>
    <t>234</t>
  </si>
  <si>
    <t>CIF-CREMOSO</t>
  </si>
  <si>
    <t>Limpiador Cremoso CIF x 5 litros</t>
  </si>
  <si>
    <t>CIF001.jpg</t>
  </si>
  <si>
    <t>CNT-226</t>
  </si>
  <si>
    <t>235</t>
  </si>
  <si>
    <t>Limpiador Cremoso CIF x 1 litros</t>
  </si>
  <si>
    <t>CIF002.jpg</t>
  </si>
  <si>
    <t>236</t>
  </si>
  <si>
    <t>Esponja Dorada</t>
  </si>
  <si>
    <t>ESP008.jpg</t>
  </si>
  <si>
    <t>CNT-227</t>
  </si>
  <si>
    <t>King</t>
  </si>
  <si>
    <t>Lavandina 1 L</t>
  </si>
  <si>
    <t>1L</t>
  </si>
  <si>
    <t>CLO004.jpg</t>
  </si>
  <si>
    <t>New Pel</t>
  </si>
  <si>
    <t>Papel Simple Hoja Higienico pack de 30 rollos x 80m</t>
  </si>
  <si>
    <t>VAR010.jpg</t>
  </si>
  <si>
    <t>CNT-228</t>
  </si>
  <si>
    <t>Papel Simple Hoja Higienico pack de 30 rollos x 30m</t>
  </si>
  <si>
    <t>VAR011.jpg</t>
  </si>
  <si>
    <t>CNT-229</t>
  </si>
  <si>
    <t>Papel Doble Hoja Higienico pack de 12 rollos x 30m</t>
  </si>
  <si>
    <t>VAR012.jpg</t>
  </si>
  <si>
    <t>CNT-230</t>
  </si>
  <si>
    <t>Papel Doble Hoja Higienico pack de 30 rollos x 30m</t>
  </si>
  <si>
    <t>VAR013.jpg</t>
  </si>
  <si>
    <t>CNT-231</t>
  </si>
  <si>
    <t>Papel Triple Hoja Higienico pack de 10 rollos x 30m</t>
  </si>
  <si>
    <t>VAR014.jpg</t>
  </si>
  <si>
    <t>CNT-232</t>
  </si>
  <si>
    <t>Generico</t>
  </si>
  <si>
    <t>Papel Bobina  pack de 2 rollos x 400m</t>
  </si>
  <si>
    <t>VAR015.jpg</t>
  </si>
  <si>
    <t>CNT-233</t>
  </si>
  <si>
    <t>Papel Jumbo pack de 8 rollos x 200m</t>
  </si>
  <si>
    <t>VAR016.jpg</t>
  </si>
  <si>
    <t>CNT-234</t>
  </si>
  <si>
    <t>Papel de cocina pack de 8 rollos x 150m</t>
  </si>
  <si>
    <t>VAR017.jpg</t>
  </si>
  <si>
    <t>CNT-235</t>
  </si>
  <si>
    <t>Supy</t>
  </si>
  <si>
    <t>Secador Goma Negra 30 cm</t>
  </si>
  <si>
    <t>TDP009.jpg</t>
  </si>
  <si>
    <t>CNT-236</t>
  </si>
  <si>
    <t>Secador Goma Negra 40 cm</t>
  </si>
  <si>
    <t>TDP010.jpg</t>
  </si>
  <si>
    <t>CNT-237</t>
  </si>
  <si>
    <t>Secador Goma Negra 50 cm</t>
  </si>
  <si>
    <t>TDP011.jpg</t>
  </si>
  <si>
    <t>CNT-238</t>
  </si>
  <si>
    <t>generico</t>
  </si>
  <si>
    <t>Repuesto Secador de piso de madera de 80cm</t>
  </si>
  <si>
    <t>TDP012.jpg</t>
  </si>
  <si>
    <t>CNT-239</t>
  </si>
  <si>
    <t>Secador de piso doble goma 41cm</t>
  </si>
  <si>
    <t>TDP013.jpg</t>
  </si>
  <si>
    <t>CNT-240</t>
  </si>
  <si>
    <t>Sopapa Negra con cabo</t>
  </si>
  <si>
    <t>APB006.jpg</t>
  </si>
  <si>
    <t>CNT-241</t>
  </si>
  <si>
    <t>Promo 11 litros</t>
  </si>
  <si>
    <t>PROM004.jpg</t>
  </si>
  <si>
    <t>CNT-242</t>
  </si>
  <si>
    <t>Promo 11 litros con CIF</t>
  </si>
  <si>
    <t>PROM005.jpg</t>
  </si>
  <si>
    <t>CNT-243</t>
  </si>
  <si>
    <t>Combo 12 litros economico</t>
  </si>
  <si>
    <t>PROM006.jpg</t>
  </si>
  <si>
    <t>CNT-244</t>
  </si>
  <si>
    <t>Detergente con Gatillo</t>
  </si>
  <si>
    <t>DET004.jpg</t>
  </si>
  <si>
    <t>CNT-245</t>
  </si>
  <si>
    <t>CIF con Gatillo</t>
  </si>
  <si>
    <t>CIF003.jpg</t>
  </si>
  <si>
    <t>CNT-246</t>
  </si>
  <si>
    <t>COMBO CIF Y DETERGENTE</t>
  </si>
  <si>
    <t>PROM007.jpg</t>
  </si>
  <si>
    <t>CNT-247</t>
  </si>
  <si>
    <t>COMBO 12 LITROS CON GATILLO</t>
  </si>
  <si>
    <t>PROM008.jpg</t>
  </si>
  <si>
    <t>CNT-248</t>
  </si>
  <si>
    <t>CATÁLOGOS · CÓDIGOS REUTILIZABLES</t>
  </si>
  <si>
    <t>Para dar de alta una categoría, subcategoría o texto reutilizable, agregalo en la tabla correspondiente. El código se genera solo y CONTROL avisa si se repite.</t>
  </si>
  <si>
    <t>CATEGORÍAS</t>
  </si>
  <si>
    <t>SUBCATEGORÍAS</t>
  </si>
  <si>
    <t>PLANTILLAS DE CONTENIDO</t>
  </si>
  <si>
    <t>CONTROL</t>
  </si>
  <si>
    <t>DESCRIPCIÓN BASE</t>
  </si>
  <si>
    <t>CARACTERÍSTICAS BASE</t>
  </si>
  <si>
    <t>Lavandinas y Cloros</t>
  </si>
  <si>
    <t>Lavandina al 4%. Presentación: 5 litros.</t>
  </si>
  <si>
    <t>Lavandina. Elimina suciedad y gérmenes en inodoros, azulejos y superficies del baño, dejando un aroma agradable.</t>
  </si>
  <si>
    <t>Detergentes y Lavavajillas</t>
  </si>
  <si>
    <t>Detergente industrial rinde 10 Litros. Presentación: 5 litros.</t>
  </si>
  <si>
    <t>Detergente concentrado. Ideal para desengrasar y limpiar utensilios, vajilla y superficies de cocina de forma rápida y efectiva.</t>
  </si>
  <si>
    <t>Todo para tu ropa</t>
  </si>
  <si>
    <t>Detergente Magistral listo para usar. Presentación: 5 litros.</t>
  </si>
  <si>
    <t>Detergente listo para usar. Ideal para desengrasar y limpiar utensilios, vajilla y superficies de cocina de forma rápida y efectiva.</t>
  </si>
  <si>
    <t>Lava-Vajillas Concentrado. Presentación: 5 litros.</t>
  </si>
  <si>
    <t>Lava-vajillas concentrado. Ideal para desengrasar y limpiar utensilios, vajilla y superficies de cocina de forma rápida y efectiva.</t>
  </si>
  <si>
    <t>Jabones y Suavizantes</t>
  </si>
  <si>
    <t>Suavizante Blanco por 5 litros. Presentación: 5 litros. Fragancia: color blanco premium.</t>
  </si>
  <si>
    <t>Suavizante. Cuida las fibras de la ropa, suaviza y deja un aroma agradable y duradero en cada lavado.</t>
  </si>
  <si>
    <t>🧰 Accesorios y equipamiento</t>
  </si>
  <si>
    <t>OK</t>
  </si>
  <si>
    <t>Suavizante listo para usar. Presentación: 5 litros. Fragancia: color celeste economico.</t>
  </si>
  <si>
    <t>Tradicional. Cuida las fibras de la ropa, suaviza y deja un aroma agradable y duradero en cada lavado.</t>
  </si>
  <si>
    <t>🚗 Automotor</t>
  </si>
  <si>
    <t>Perfumes para ropa</t>
  </si>
  <si>
    <t>Jabon en polvo. Presentación: 20 kg. Marca granby.</t>
  </si>
  <si>
    <t>📦 Packs y ofertas</t>
  </si>
  <si>
    <t>Desengrasantes</t>
  </si>
  <si>
    <t>Perfume aromatico de base en agua. Presentación: 1 litros.</t>
  </si>
  <si>
    <t>Perfumes para ropa. Perfuma ambientes y textiles con una fragancia agradable y duradera, ideal para dejar todo con olor a limpio. Disponible en múltiples fragancias a elección.</t>
  </si>
  <si>
    <t>Nuestros productos</t>
  </si>
  <si>
    <t>Rejillas y repasadores</t>
  </si>
  <si>
    <t>Perfume aromatico de base en alcohol. Presentación: 5 litros.</t>
  </si>
  <si>
    <t>🏠 Hogar y varios</t>
  </si>
  <si>
    <t>Trapos de piso</t>
  </si>
  <si>
    <t>Desengrasante industrial. Presentación: 5 litros.</t>
  </si>
  <si>
    <t>Desengrasantes. Elimina bacterias y gérmenes, desinfectando a fondo superficies del hogar, comercios e industrias.</t>
  </si>
  <si>
    <t>🏊 Piletas</t>
  </si>
  <si>
    <t>Escobas y escobillones</t>
  </si>
  <si>
    <t>Desengrasante lavamotor. Presentación: 5 litros.</t>
  </si>
  <si>
    <t>Bruja</t>
  </si>
  <si>
    <t>Desengrasante multi usos. Presentación: 5 litros.</t>
  </si>
  <si>
    <t>Esponja</t>
  </si>
  <si>
    <t>Desengrasante quima manchas. Presentación: 5 litros.</t>
  </si>
  <si>
    <t>Silicona</t>
  </si>
  <si>
    <t>Desengrasante limpiador cremoso. Presentación: 5 litros.</t>
  </si>
  <si>
    <t>Franela 40x50. Presentación: 1 unidad.</t>
  </si>
  <si>
    <t>Rejillas y repasadores. Accesorio resistente y práctico, pensado para facilitar las tareas de limpieza del hogar.</t>
  </si>
  <si>
    <t>Shampoo Siliconado</t>
  </si>
  <si>
    <t>Rejilla de cocina. Presentación: 1 unidad.</t>
  </si>
  <si>
    <t>Mini Lata Walker</t>
  </si>
  <si>
    <t>Rejilla tipo americana. Presentación: 1 unidad.</t>
  </si>
  <si>
    <t>Rejilla de auto. Presentación: 1 unidad.</t>
  </si>
  <si>
    <t>Cera</t>
  </si>
  <si>
    <t>Rejilla de pabilo. Presentación: 1 unidad.</t>
  </si>
  <si>
    <t>Rejilla cocina. Presentación: 1 unidad.</t>
  </si>
  <si>
    <t>Rejilla cocina. Presentación: 1 unidad. Marca Kide.</t>
  </si>
  <si>
    <t>Difusores aromáticos</t>
  </si>
  <si>
    <t>Rejilla pabilo. Presentación: 1 unidad.</t>
  </si>
  <si>
    <t>Promociones</t>
  </si>
  <si>
    <t>Repasador. Presentación: 1 unidad.</t>
  </si>
  <si>
    <t>Paño amarillo para piso. Presentación: 1 unidad.</t>
  </si>
  <si>
    <t>Trapo de piso blanco. Presentación: 1 unidad.</t>
  </si>
  <si>
    <t>Trapos de piso. Accesorio resistente y práctico, pensado para facilitar las tareas de limpieza del hogar.</t>
  </si>
  <si>
    <t>Trapo de piso gris. Presentación: 1 unidad.</t>
  </si>
  <si>
    <t>Trapo de piso costurado. Presentación: 1 unidad. Marca mr trappo.</t>
  </si>
  <si>
    <t>Trapo de piso costurado. Presentación: 1 unidad. Marca Fibran.</t>
  </si>
  <si>
    <t>Desodorante para piso</t>
  </si>
  <si>
    <t>Trapo de piso nido de abeja. Presentación: 1 unidad.</t>
  </si>
  <si>
    <t>Cabos y mangos</t>
  </si>
  <si>
    <t>Trapo de piso nido de abeja economico. Presentación: 1 unidad.</t>
  </si>
  <si>
    <t>Esponjas</t>
  </si>
  <si>
    <t>Trapo de piso rayado. Presentación: 1 unidad. Marca consorcio.</t>
  </si>
  <si>
    <t>Artículos para tender</t>
  </si>
  <si>
    <t>Trapo de piso rayado. Presentación: 1 unidad.</t>
  </si>
  <si>
    <t>Accesorios de baño</t>
  </si>
  <si>
    <t>Escoba Anden de 40 cm. Presentación: 1 unidad.</t>
  </si>
  <si>
    <t>Escobas y escobillones. Accesorio resistente y práctico, pensado para facilitar las tareas de limpieza del hogar.</t>
  </si>
  <si>
    <t>Escoba Anden de 60 cm. Presentación: 1 unidad.</t>
  </si>
  <si>
    <t>Escoba Anden de 80 cm. Presentación: 1 unidad.</t>
  </si>
  <si>
    <t>Lustramuebles</t>
  </si>
  <si>
    <t>Escoba Anden de 100 cm. Presentación: 1 unidad.</t>
  </si>
  <si>
    <t>Escoba Anden de 60 cm barregrueso. Presentación: 1 unidad.</t>
  </si>
  <si>
    <t>Líquidos</t>
  </si>
  <si>
    <t>Escobillon Barrendero Economico. Presentación: 1 unidad.</t>
  </si>
  <si>
    <t>Insecticidas</t>
  </si>
  <si>
    <t>Escoba tipo barredor de 35 cm. Presentación: 1 unidad.</t>
  </si>
  <si>
    <t>Guantes</t>
  </si>
  <si>
    <t>Escoba tipo barredor de 60 cm. Presentación: 1 unidad.</t>
  </si>
  <si>
    <t>Mopas</t>
  </si>
  <si>
    <t>Escoba tipo barredor de 80 cm. Presentación: 1 unidad.</t>
  </si>
  <si>
    <t>Repuestos</t>
  </si>
  <si>
    <t>Escoba tipo barredor de 100 cm. Presentación: 1 unidad.</t>
  </si>
  <si>
    <t>Baldes y recipientes</t>
  </si>
  <si>
    <t>Barre Hojas Comun. Presentación: 1 unidad.</t>
  </si>
  <si>
    <t>Barre Hojas Profesional. Presentación: 1 unidad.</t>
  </si>
  <si>
    <t>Químicos</t>
  </si>
  <si>
    <t>Escoba de tipo 6 hilos. Presentación: 1 unidad.</t>
  </si>
  <si>
    <t>Mangueras</t>
  </si>
  <si>
    <t>Escoba de tipo Americana. Presentación: 1 unidad.</t>
  </si>
  <si>
    <t>Accesorios de pileta</t>
  </si>
  <si>
    <t>Escoba de tipo Capuchina. Presentación: 1 unidad.</t>
  </si>
  <si>
    <t>Velas</t>
  </si>
  <si>
    <t>Escoba de tipo Barregrueso. Presentación: 1 unidad.</t>
  </si>
  <si>
    <t>Papel y film</t>
  </si>
  <si>
    <t>Escobillon de tipo liso de Cerda. Presentación: 1 unidad.</t>
  </si>
  <si>
    <t>Bolsas y freezer</t>
  </si>
  <si>
    <t>Escoba de tipo Galponera. Presentación: 1 unidad.</t>
  </si>
  <si>
    <t>Varios</t>
  </si>
  <si>
    <t>Escobillon Rey Laqueado. Presentación: 1 unidad. Marca Rey Laqueado.</t>
  </si>
  <si>
    <t>Escobillon tipo princesa laqueado. Presentación: 1 unidad.</t>
  </si>
  <si>
    <t>Accesorios</t>
  </si>
  <si>
    <t>Escobillon tipo barregrueso economico. Presentación: 1 unidad.</t>
  </si>
  <si>
    <t>Aerosoles</t>
  </si>
  <si>
    <t>Escobillon tipo barregrueso salzano. Presentación: 1 unidad.</t>
  </si>
  <si>
    <t>Shampoos</t>
  </si>
  <si>
    <t>Escobillon de tipo gondola. Presentación: 1 unidad.</t>
  </si>
  <si>
    <t>Escobillon de tipo Barrendero Salzano. Presentación: 1 unidad.</t>
  </si>
  <si>
    <t>Escobillon bigote (cerda) Salzano. Presentación: 1 unidad.</t>
  </si>
  <si>
    <t>Escobillon de tipo golf. Presentación: 1 unidad.</t>
  </si>
  <si>
    <t>Escobillon Italia Salzano. Presentación: 1 unidad.</t>
  </si>
  <si>
    <t>Escobillon Martina Salzano. Presentación: 1 unidad.</t>
  </si>
  <si>
    <t>Escobillon Super Gondola. Presentación: 1 unidad.</t>
  </si>
  <si>
    <t>Escobillon Super Panda. Presentación: 1 unidad.</t>
  </si>
  <si>
    <t>Escobillon Venecia Salzano. Presentación: 1 unidad.</t>
  </si>
  <si>
    <t>Globo de Techo Make. Presentación: 1 unidad.</t>
  </si>
  <si>
    <t>Globo de Techo Punky. Presentación: 1 unidad.</t>
  </si>
  <si>
    <t>Repuesto barredor. Presentación: 1 unidad.</t>
  </si>
  <si>
    <t>Quita Pelusa Make. Presentación: 1 unidad.</t>
  </si>
  <si>
    <t>Limpiador Tipo "Bruja". Presentación: 1 unidad.</t>
  </si>
  <si>
    <t>Bruja. Cuida y da brillo a las superficies del vehículo, prolongando su buen aspecto.</t>
  </si>
  <si>
    <t>Esponja para auto. Presentación: 1 unidad.</t>
  </si>
  <si>
    <t>Esponja. Cuida y da brillo a las superficies del vehículo, prolongando su buen aspecto.</t>
  </si>
  <si>
    <t>Silicona para auto por litro. Presentación: 1 unidad.</t>
  </si>
  <si>
    <t>Silicona. Cuida y da brillo a las superficies del vehículo, prolongando su buen aspecto.</t>
  </si>
  <si>
    <t>Silicona en Aerosol. Presentación: 1 unidad. Marca Walker. Fragancia: Black.</t>
  </si>
  <si>
    <t>Silicona en Aerosol. Cuida y da brillo a las superficies del vehículo, prolongando su buen aspecto.</t>
  </si>
  <si>
    <t>Silicona en Aerosol. Presentación: 1 unidad. Marca Walker. Fragancia: Carolina Herrera.</t>
  </si>
  <si>
    <t>Silicona en Aerosol. Presentación: 1 unidad. Marca Walker. Fragancia: Frutilla.</t>
  </si>
  <si>
    <t>Silicona en Aerosol. Presentación: 1 unidad. Marca Walker. Fragancia: Kenzo.</t>
  </si>
  <si>
    <t>Silicona en Aerosol. Presentación: 1 unidad. Marca Walker. Fragancia: Lavanda.</t>
  </si>
  <si>
    <t>Silicona en Aerosol. Presentación: 1 unidad. Marca Walker. Fragancia: One Million.</t>
  </si>
  <si>
    <t>Silicona en Aerosol. Presentación: 1 unidad. Marca Walker. Fragancia: Paco rabanne.</t>
  </si>
  <si>
    <t>Silicona en Aerosol. Presentación: 1 unidad. Marca Walker. Fragancia: Sensual.</t>
  </si>
  <si>
    <t>Silicona en Aerosol. Presentación: 1 unidad. Marca Walker. Fragancia: Vainilla.</t>
  </si>
  <si>
    <t>Shampoo Siliconado por litro. Presentación: 1 unidad.</t>
  </si>
  <si>
    <t>Shampoo Siliconado. Cuida y da brillo a las superficies del vehículo, prolongando su buen aspecto.</t>
  </si>
  <si>
    <t>Mini Lata Walker para auto. Presentación: 1 unidad. Marca Walker. Fragancia: universal.</t>
  </si>
  <si>
    <t>Mini Lata Walker. Cuida y da brillo a las superficies del vehículo, prolongando su buen aspecto.</t>
  </si>
  <si>
    <t>Perfume en Lata Walker. Presentación: 1 unidad. Marca Walker. Fragancia: Black.</t>
  </si>
  <si>
    <t>Perfume en Lata Walker. Cuida y da brillo a las superficies del vehículo, prolongando su buen aspecto.</t>
  </si>
  <si>
    <t>Perfume en Lata Walker. Presentación: 1 unidad. Marca Walker. Fragancia: Frutilla.</t>
  </si>
  <si>
    <t>Perfume en Lata Walker. Presentación: 1 unidad. Marca Walker. Fragancia: Limon.</t>
  </si>
  <si>
    <t>Perfume en Lata Walker. Presentación: 1 unidad. Marca Walker. Fragancia: Vainilla.</t>
  </si>
  <si>
    <t>Perfume en Lata Walker. Presentación: 1 unidad. Marca Walker. Fragancia: Aqua.</t>
  </si>
  <si>
    <t>Cera para auto por litro. Presentación: 1 unidad.</t>
  </si>
  <si>
    <t>Cera. Cuida y da brillo a las superficies del vehículo, prolongando su buen aspecto.</t>
  </si>
  <si>
    <t>Limpia Tapizado en Aerosol. Presentación: 1 unidad. Marca Walker.</t>
  </si>
  <si>
    <t>Limpia Tapizado en Aerosol. Cuida y da brillo a las superficies del vehículo, prolongando su buen aspecto.</t>
  </si>
  <si>
    <t>Shampoo para manos. Presentación: 1 unidad. Fragancia: Frutilla.</t>
  </si>
  <si>
    <t>Jabón líquido de manos. Elimina suciedad y gérmenes en inodoros, azulejos y superficies del baño, dejando un aroma agradable.</t>
  </si>
  <si>
    <t>Shampoo para manos por 5 litros. Presentación: 1 unidad. Fragancia: blanco.</t>
  </si>
  <si>
    <t>Shampoo para manos por 5 litros. Presentación: 1 unidad. Fragancia: vaini coco.</t>
  </si>
  <si>
    <t>Shampoo para manos por 5 litros. Presentación: 1 unidad. Fragancia: manzana.</t>
  </si>
  <si>
    <t>Shampoo para manos por 5 litros. Presentación: 1 unidad. Fragancia: uva.</t>
  </si>
  <si>
    <t>Shampoo para manos por 5 litros. Presentación: 1 unidad. Fragancia: antibacterial.</t>
  </si>
  <si>
    <t>Difusor Aromatico Saphirus por 50 CC. Presentación: 1 unidad. Marca Saphirus. Fragancia: vainilla.</t>
  </si>
  <si>
    <t>Difusores aromáticos. Perfuma ambientes y textiles con una fragancia agradable y duradera, ideal para dejar todo con olor a limpio.</t>
  </si>
  <si>
    <t>Difusor Aromatico Saphirus por 50 CC. Presentación: 1 unidad. Marca Saphirus. Fragancia: lavanda.</t>
  </si>
  <si>
    <t>Difusor Aromatico Saphirus por 50 CC. Presentación: 1 unidad. Marca Saphirus. Fragancia: uva.</t>
  </si>
  <si>
    <t>Difusor Aromatico Saphirus por 50 CC. Presentación: 1 unidad. Marca Saphirus. Fragancia: palito de la selva.</t>
  </si>
  <si>
    <t>Difusor Aromatico Saphirus por 50 CC. Presentación: 1 unidad. Marca Saphirus. Fragancia: vaini coco.</t>
  </si>
  <si>
    <t>Difusor Aromatico Saphirus por 50 CC. Presentación: 1 unidad. Marca Saphirus. Fragancia: coniglio.</t>
  </si>
  <si>
    <t>Difusor Aromatico Saphirus por 50 CC. Presentación: 1 unidad. Marca Saphirus. Fragancia: limon.</t>
  </si>
  <si>
    <t>Difusor Aromatico Saphirus por 50 CC. Presentación: 1 unidad. Marca Saphirus. Fragancia: coco.</t>
  </si>
  <si>
    <t>Difusor Aromatico Saphirus por 50 CC. Presentación: 1 unidad. Marca Saphirus. Fragancia: frutilla.</t>
  </si>
  <si>
    <t>Difusor Aromatico Saphirus por 50 CC. Presentación: 1 unidad. Marca Saphirus. Fragancia: j.baby.</t>
  </si>
  <si>
    <t>Difusor Aromatico Saphirus por 50 CC. Presentación: 1 unidad. Marca Saphirus. Fragancia: papaya.</t>
  </si>
  <si>
    <t>Difusor Aromatico Saphirus por 50 CC. Presentación: 1 unidad. Marca Saphirus. Fragancia: flores blancas.</t>
  </si>
  <si>
    <t>Difusor Aromatico Saphirus por 50 CC. Presentación: 1 unidad. Marca Saphirus. Fragancia: citrus.</t>
  </si>
  <si>
    <t>Difusor Aromatico Saphirus por 50 CC. Presentación: 1 unidad. Marca Saphirus. Fragancia: jazmin.</t>
  </si>
  <si>
    <t>Difusor Aromatico Saphirus por 120 CC. Presentación: 1 unidad. Marca Saphirus. Fragancia: vainilla.</t>
  </si>
  <si>
    <t>Difusor Aromatico Saphirus por 120 CC. Presentación: 1 unidad. Marca Saphirus. Fragancia: lavanda.</t>
  </si>
  <si>
    <t>Difusor Aromatico Saphirus por 120 CC. Presentación: 1 unidad. Marca Saphirus. Fragancia: limon.</t>
  </si>
  <si>
    <t>Difusor Aromatico Saphirus por 120 CC. Presentación: 1 unidad. Marca Saphirus. Fragancia: vainilla madagascar.</t>
  </si>
  <si>
    <t>Difusor Aromatico Saphirus por 120 CC. Presentación: 1 unidad. Marca Saphirus. Fragancia: floral.</t>
  </si>
  <si>
    <t>Difusor Aromatico Saphirus por 120 CC. Presentación: 1 unidad. Marca Saphirus. Fragancia: chicle.</t>
  </si>
  <si>
    <t>Difusor Aromatico Saphirus por 120 CC. Presentación: 1 unidad. Marca Saphirus. Fragancia: palito de la selva.</t>
  </si>
  <si>
    <t>Difusor Aromatico Saphirus por 120 CC. Presentación: 1 unidad. Marca Saphirus. Fragancia: nag champa.</t>
  </si>
  <si>
    <t>Difusor Aromatico Saphirus combinados por 120 CC. Presentación: 1 unidad. Marca Saphirus. Fragancia: sandia / melon.</t>
  </si>
  <si>
    <t>Difusor Aromatico Saphirus combinados por 120 CC. Presentación: 1 unidad. Marca Saphirus. Fragancia: vainilla / frambruesa.</t>
  </si>
  <si>
    <t>Difusor Aromatico Saphirus combinados por 120 CC. Presentación: 1 unidad. Marca Saphirus. Fragancia: vainilla / chocolate.</t>
  </si>
  <si>
    <t>Difusor Aromatico Saphirus combinados por 120 CC. Presentación: 1 unidad. Marca Saphirus. Fragancia: vaini / coco.</t>
  </si>
  <si>
    <t>Difusor Aromatico Saphirus combinados por 120 CC. Presentación: 1 unidad. Marca Saphirus. Fragancia: flores blancas / uvas.</t>
  </si>
  <si>
    <t>Cloro liquido x 1 litro. Presentación: 1 litro.</t>
  </si>
  <si>
    <t>Cloro. Elimina bacterias y gérmenes, desinfectando a fondo superficies del hogar, comercios e industrias.</t>
  </si>
  <si>
    <t>Cloro liquido pack x 6. Presentación: 6 litros.</t>
  </si>
  <si>
    <t>Detergente concentrado rinde x2. Presentación: 1 litros.</t>
  </si>
  <si>
    <t>Detergente liquido concentrado pack 6 unidades. Presentación: 6 litros.</t>
  </si>
  <si>
    <t>Lavavajillas listo para usar 1 litro. Presentación: 1 litro.</t>
  </si>
  <si>
    <t>Lavavajillas Listo para usar. Ideal para desengrasar y limpiar utensilios, vajilla y superficies de cocina de forma rápida y efectiva.</t>
  </si>
  <si>
    <t>Lavavajillas listo para usar pack 6 litros. Presentación: 6 litros.</t>
  </si>
  <si>
    <t>Lavavajillas concentrado 1 litro. Presentación: 1 litro.</t>
  </si>
  <si>
    <t>Lavavajillas Concentrado. Ideal para desengrasar y limpiar utensilios, vajilla y superficies de cocina de forma rápida y efectiva.</t>
  </si>
  <si>
    <t>Lavavajillas concentrado pack 6 litros. Presentación: 6 litros.</t>
  </si>
  <si>
    <t>Suavizante listo para usar 1 litro. Presentación: 1 litro. Fragancia: color blanco premium.</t>
  </si>
  <si>
    <t>Suavizante listo para usar pack 6 x 6 litros. Presentación: 6 litros.</t>
  </si>
  <si>
    <t>Suavizante listo para usar x 1 litro. Presentación: 1 litro. Fragancia: color celeste economico.</t>
  </si>
  <si>
    <t>Suavizante listo para usar pack x 6 litros. Presentación: 6 litros. Fragancia: color celeste economico.</t>
  </si>
  <si>
    <t>Desodorante para piso x 5 litros. Presentación: 5 litros. Fragancia: 1056.</t>
  </si>
  <si>
    <t>Desodorante para piso. Limpia y perfuma pisos y superficies, dejando un aroma duradero y sensación de frescura en el hogar.</t>
  </si>
  <si>
    <t>Desodorante para piso x 1 litro. Presentación: 1 litro. Fragancia: 1056.</t>
  </si>
  <si>
    <t>Desodorante para piso pack x 6 unidades. Presentación: 1 pack. Fragancia: 1056.</t>
  </si>
  <si>
    <t>Desodorante para piso x 5 litros. Presentación: 5 litros. Fragancia: Cherry.</t>
  </si>
  <si>
    <t>Desodorante para piso x 1 litro. Presentación: 1 litro. Fragancia: Cherry.</t>
  </si>
  <si>
    <t>Desodorante para piso pack x 6 unidades. Presentación: 1 pack. Fragancia: Cherry.</t>
  </si>
  <si>
    <t>Desodorante para piso x 5 litros. Presentación: 5 litros. Fragancia: pino.</t>
  </si>
  <si>
    <t>Desodorante para piso x 1 litro. Presentación: 1 litro. Fragancia: pino.</t>
  </si>
  <si>
    <t>Desodorante para piso pack x 6 unidades. Presentación: 1 pack. Fragancia: pino.</t>
  </si>
  <si>
    <t>Desodorante para piso x 5 litros. Presentación: 5 litros. Fragancia: lavanda.</t>
  </si>
  <si>
    <t>Desodorante para piso x 1 litro. Presentación: 1 litro. Fragancia: lavanda.</t>
  </si>
  <si>
    <t>Desodorante para piso pack x 6 unidades. Presentación: 1 pack. Fragancia: lavanda.</t>
  </si>
  <si>
    <t>Cabo de madera de 1,2 Metros. Presentación: 1 unidad.</t>
  </si>
  <si>
    <t>Cabos y mangos. Accesorio resistente y práctico, pensado para facilitar las tareas de limpieza del hogar. Disponible en múltiples fragancias a elección.</t>
  </si>
  <si>
    <t>Cabo de madera de 1,5 Metros. Presentación: 1 unidad.</t>
  </si>
  <si>
    <t>Cabo de madera de 2 Metros. Presentación: 1 unidad. Fragancia: 2 Metros.</t>
  </si>
  <si>
    <t>Cabos y mangos. Accesorio resistente y práctico, pensado para facilitar las tareas de limpieza del hogar.</t>
  </si>
  <si>
    <t>Cabo de metal make. Presentación: 1 unidad.</t>
  </si>
  <si>
    <t>Cabo Saca Hojas. Presentación: 1 unidad.</t>
  </si>
  <si>
    <t>Cabo extensible 2 metros. Presentación: 1 unidad.</t>
  </si>
  <si>
    <t>Cabo extensible 3 metros. Presentación: 1 unidad.</t>
  </si>
  <si>
    <t>Esponja de acero 10 Gr. Presentación: 1 unidad.</t>
  </si>
  <si>
    <t>Esponjas. Accesorio resistente y práctico, pensado para facilitar las tareas de limpieza del hogar.</t>
  </si>
  <si>
    <t>Esponja dorada de 30 Gr. Presentación: 1 unidad.</t>
  </si>
  <si>
    <t>Esponja azul para teflon. Presentación: 1 unidad.</t>
  </si>
  <si>
    <t>Esponja de acero 10 Gr pack de 12 unidades. Presentación: 1 pack.</t>
  </si>
  <si>
    <t>Esponja dorada 30 Gr pack de 12 unidades. Presentación: 1 pack.</t>
  </si>
  <si>
    <t>Lana de acero Make. Presentación: 1 unidad.</t>
  </si>
  <si>
    <t>Lana de acero virulana. Presentación: 1 unidad.</t>
  </si>
  <si>
    <t>Tender Vertical para Ropa 3 niveles. Presentación: 1 unidad.</t>
  </si>
  <si>
    <t>Artículos para tender. Accesorio resistente y práctico, pensado para facilitar las tareas de limpieza del hogar.</t>
  </si>
  <si>
    <t>Tender Para Medias de 18 Broches. Presentación: 1 unidad.</t>
  </si>
  <si>
    <t>Tender 10 varillas con Alas. Presentación: 1 unidad.</t>
  </si>
  <si>
    <t>Broches Plasticos x 12 unidades. Presentación: 1 pack.</t>
  </si>
  <si>
    <t>Broches Madera x 12 unidades. Presentación: 1 pack.</t>
  </si>
  <si>
    <t>Cepillo Lava Espalda Plastico. Presentación: 1 unidad.</t>
  </si>
  <si>
    <t>Accesorios de baño. Elimina suciedad y gérmenes en inodoros, azulejos y superficies del baño, dejando un aroma agradable.</t>
  </si>
  <si>
    <t>Jabonera Deseplast. Presentación: 1 unidad.</t>
  </si>
  <si>
    <t>Limpiador Adhesivo inodoro. Presentación: 1 unidad. Marca Pato.</t>
  </si>
  <si>
    <t>Pastilla para inodoro. Presentación: 1 unidad. Marca Glade.</t>
  </si>
  <si>
    <t>Protector cortina de baño. Presentación: 1 unidad.</t>
  </si>
  <si>
    <t>Poett Desodorante de Ambiente. Presentación: 1 unidad. Marca Poe.</t>
  </si>
  <si>
    <t>Aerosol ambiental. Perfuma ambientes y textiles con una fragancia agradable y duradera, ideal para dejar todo con olor a limpio.</t>
  </si>
  <si>
    <t>Lysoform Desisfectante. Presentación: 1 unidad.</t>
  </si>
  <si>
    <t>Aerosol desinfectante. Elimina bacterias y gérmenes, desinfectando a fondo superficies del hogar, comercios e industrias.</t>
  </si>
  <si>
    <t>Lustra Muebles. Presentación: 1 unidad. Marca Blem.</t>
  </si>
  <si>
    <t>Lustramuebles. Producto práctico pensado para facilitar las tareas diarias del hogar.</t>
  </si>
  <si>
    <t>Limpiador para hornos. Presentación: 1 unidad. Marca Mr. Musculo.</t>
  </si>
  <si>
    <t>Limpiador de horno. Ideal para desengrasar y limpiar utensilios, vajilla y superficies de cocina de forma rápida y efectiva.</t>
  </si>
  <si>
    <t>Apresto Danubio. Presentación: 1 unidad. Marca Apresto Danubio.</t>
  </si>
  <si>
    <t>Apresto para ropa. Cuida las fibras de la ropa, suaviza y deja un aroma agradable y duradero en cada lavado.</t>
  </si>
  <si>
    <t>Fuyi Mata Moscas y Mosquitos. Presentación: 1 unidad.</t>
  </si>
  <si>
    <t>Insecticidas. Producto práctico pensado para facilitar las tareas diarias del hogar.</t>
  </si>
  <si>
    <t>Raid Azul. Presentación: 1 unidad.</t>
  </si>
  <si>
    <t>Raid Negro. Presentación: 1 unidad.</t>
  </si>
  <si>
    <t>Guantes de Goma Make. Presentación: 1 unidad. Fragancia: Talle S.</t>
  </si>
  <si>
    <t>Guantes. Accesorio resistente y práctico, pensado para facilitar las tareas de limpieza del hogar.</t>
  </si>
  <si>
    <t>Guantes de Goma Make. Presentación: 1 unidad. Fragancia: Talle M.</t>
  </si>
  <si>
    <t>Guantes de Goma Make. Presentación: 1 unidad. Fragancia: Talle L.</t>
  </si>
  <si>
    <t>Guantes de Goma Make. Presentación: 1 unidad. Fragancia: Talle XL.</t>
  </si>
  <si>
    <t>Guantes de Latex descartable Caja x 100 unidades. Presentación: 1 pack.</t>
  </si>
  <si>
    <t>Guantes de Nitrilo Caja x 100 unidades. Presentación: 1 pack.</t>
  </si>
  <si>
    <t>Escurre Facil Iberia. Presentación: 1 unidad. Marca Iberia.</t>
  </si>
  <si>
    <t>Mopas. Accesorio resistente y práctico, pensado para facilitar las tareas de limpieza del hogar.</t>
  </si>
  <si>
    <t>Mopa Algodon Amarillo MrTrapo. Presentación: 1 unidad. Marca MrTrapo.</t>
  </si>
  <si>
    <t>Mopa Amarilla Romyl. Presentación: 1 unidad. Marca Romyl.</t>
  </si>
  <si>
    <t>Mopa Blanca Algodon FibranSur. Presentación: 1 unidad. Marca Fibran Sur.</t>
  </si>
  <si>
    <t>Mopa Blanca Algodon Make. Presentación: 1 unidad.</t>
  </si>
  <si>
    <t>Repuesto Mopa Pelo Corto Turbo Facil. Presentación: 1 unidad. Marca Turbo Facil.</t>
  </si>
  <si>
    <t>Repuestos. Accesorio resistente y práctico, pensado para facilitar las tareas de limpieza del hogar.</t>
  </si>
  <si>
    <t>Repuesto Mopa Pelo Largo Turbo Matic. Presentación: 1 unidad. Marca Turbo Matic.</t>
  </si>
  <si>
    <t>Balde Mopa 9 lts Matriplaster. Presentación: 1 unidad. Marca Matriplaster.</t>
  </si>
  <si>
    <t>Baldes y recipientes. Accesorio resistente y práctico, pensado para facilitar las tareas de limpieza del hogar.</t>
  </si>
  <si>
    <t>Balde Mopa 14 lts Matriplaster. Presentación: 1 unidad. Marca Matriplaster.</t>
  </si>
  <si>
    <t>Balde x 10 lts. Presentación: 1 unidad.</t>
  </si>
  <si>
    <t>Balde x 12 lts. Presentación: 1 unidad.</t>
  </si>
  <si>
    <t>Balde Mopa Duo Matriplaster. Presentación: 1 unidad. Marca Matriplaster.</t>
  </si>
  <si>
    <t>Balde Mopa Plana. Presentación: 1 unidad.</t>
  </si>
  <si>
    <t>Alguicida Clorotec 1 litro. Presentación: 1 litro. Marca Clorotec.</t>
  </si>
  <si>
    <t>Líquidos. Mantiene el agua de la pileta limpia, clara y segura para el baño durante toda la temporada.</t>
  </si>
  <si>
    <t>Clarificante Clorotec 1 litro. Presentación: 1 litro. Marca Clorotec.</t>
  </si>
  <si>
    <t>Regulador PH 5 litros. Presentación: 5 litros.</t>
  </si>
  <si>
    <t>Cloro Granulado Lento x 50 kg. Presentación: 50 kilos.</t>
  </si>
  <si>
    <t>Químicos. Mantiene el agua de la pileta limpia, clara y segura para el baño durante toda la temporada.</t>
  </si>
  <si>
    <t>Cloro Granulado Lento 1 kg. Presentación: 1 kilo.</t>
  </si>
  <si>
    <t>Reactivos x 2. Presentación: 1 unidad.</t>
  </si>
  <si>
    <t>Pastillas de Cloro triple Accion de 200 gr pack x 5 pastillas. Presentación: 1 pack.</t>
  </si>
  <si>
    <t>Test kit. Presentación: 1 unidad.</t>
  </si>
  <si>
    <t>Manguera 1'' x 15 mts. Presentación: 1 unidad.</t>
  </si>
  <si>
    <t>Mangueras. Mantiene el agua de la pileta limpia, clara y segura para el baño durante toda la temporada.</t>
  </si>
  <si>
    <t>Manguera 3/4" x 15 mts. Presentación: 1 unidad.</t>
  </si>
  <si>
    <t>Manguera 1/2" x 15 mts. Presentación: 1 unidad.</t>
  </si>
  <si>
    <t>Manguera Corrugada 1 1/2" x 10 mts. Presentación: 1 unidad.</t>
  </si>
  <si>
    <t>Flota Flota. Presentación: 1 unidad.</t>
  </si>
  <si>
    <t>Accesorios de pileta. Mantiene el agua de la pileta limpia, clara y segura para el baño durante toda la temporada.</t>
  </si>
  <si>
    <t>Barrefondo 8 Ruedas. Presentación: 1 unidad.</t>
  </si>
  <si>
    <t>Barrefondo Medialuna. Presentación: 1 unidad.</t>
  </si>
  <si>
    <t>Boya Hongo. Presentación: 1 unidad.</t>
  </si>
  <si>
    <t>Boya Satelite. Presentación: 1 unidad.</t>
  </si>
  <si>
    <t>Velas x 4 de 205 mm make. Presentación: 1 unidad.</t>
  </si>
  <si>
    <t>Velas. Producto práctico pensado para facilitar las tareas diarias del hogar.</t>
  </si>
  <si>
    <t>Velas x 12 de 205 mm make. Presentación: 1 unidad.</t>
  </si>
  <si>
    <t>Papel Manteca Make. Presentación: 1 unidad.</t>
  </si>
  <si>
    <t>Papel y film. Producto práctico pensado para facilitar las tareas diarias del hogar.</t>
  </si>
  <si>
    <t>Papel Aluminio Make. Presentación: 1 unidad.</t>
  </si>
  <si>
    <t>Film Adherente Make 30 metros. Presentación: 1 unidad.</t>
  </si>
  <si>
    <t>Separador de Freezer Make x 200 unidades. Presentación: 1 unidad.</t>
  </si>
  <si>
    <t>Bolsas y freezer. Producto práctico pensado para facilitar las tareas diarias del hogar.</t>
  </si>
  <si>
    <t>Bolsa para cubitos Bolzip. Presentación: 1 unidad. Marca Bolzip.</t>
  </si>
  <si>
    <t>Palmeta Mata Moscas Plastica. Presentación: 1 unidad.</t>
  </si>
  <si>
    <t>Varios. Producto práctico pensado para facilitar las tareas diarias del hogar.</t>
  </si>
  <si>
    <t>Insecticida liquido Gorrion x 500 cc. Presentación: 1 unidad. Marca Gorrion.</t>
  </si>
  <si>
    <t>CIF limpiador cremoso</t>
  </si>
  <si>
    <t>Esponja dorada. Presentación: 1 unidad.</t>
  </si>
  <si>
    <t>Papel Higiénico New Pel Simple Hoja Bolsón 30 Rollos x 80Mts</t>
  </si>
  <si>
    <t>Hoja simple suave al tacto, cuida tu piel en cada uso. Rollo de 80 metros: mayor rendimiento en cada compra. Pre corte facilita el uso y evita desperdicios. Textura suave para una experiencia agradable y delicada</t>
  </si>
  <si>
    <t>Papel Higiénico New Pel Simple Hoja Bolsón 30 Rollos x 30Mts</t>
  </si>
  <si>
    <t>Hoja simple suave al tacto, cuida tu piel en cada uso. Rollo de 30 metros: mayor rendimiento en cada compra. Pre corte facilita el uso y evita desperdicios. Textura suave para una experiencia agradable y delicada</t>
  </si>
  <si>
    <t>Papel Higiénico New Pel Doble Hoja Bolsón 12 Rollos x 30Mts</t>
  </si>
  <si>
    <t>Hoja doble suave al tacto, cuida tu piel en cada uso. Rollo de 30 metros: mayor rendimiento en cada compra. Pre corte facilita el uso y evita desperdicios. Textura suave para una experiencia agradable y delicada</t>
  </si>
  <si>
    <t>Papel Higiénico New Pel Doble Hoja Bolsón 30 Rollos x 30Mts</t>
  </si>
  <si>
    <t>Papel Higiénico New Pel Triple Hoja Bolsón 10 Rollos x 30Mts</t>
  </si>
  <si>
    <t>Hoja triple suave al tacto, cuida tu piel en cada uso. Rollo de 30 metros: mayor rendimiento en cada compra. Pre corte facilita el uso y evita desperdicios. Textura suave para una experiencia agradable y delicada</t>
  </si>
  <si>
    <t>Rollo de 400 metros: mayor rendimiento en cada compra. Pre corte facilita el uso y evita desperdicios. Textura suave para una experiencia agradable y delicada</t>
  </si>
  <si>
    <t>Pack de 8 Rollos de 200 metros: mayor rendimiento en cada compra. Pre corte facilita el uso y evita desperdicios. Textura suave para una experiencia agradable y delicada</t>
  </si>
  <si>
    <t>Pack de 8 Rollos de 150 metros: mayor rendimiento en cada compra. Pre corte facilita el uso y evita desperdicios. Textura suave para una experiencia agradable y delicada</t>
  </si>
  <si>
    <t>Una herramienta imprescindible para mantener tus espacios limpios y seguros. Con una amplia cobertura y un diseño ergonómico</t>
  </si>
  <si>
    <t>Detergente concentrado. Ideal para desengrasar y limpiar</t>
  </si>
  <si>
    <t>Detergente concentrado rinde x2. Presentación: 1 litro con gatillo de resorte</t>
  </si>
  <si>
    <t>CIF o limpiador cremoso. Presentación: 1 litro con gatillo de resorte</t>
  </si>
  <si>
    <t>Esta promo trae: 1 Litro de CIF premium y un 1 litro de Detergente con envase a gatillo ideal para tu cocina y/o baño. 5 litros de desodorante de piso a elección y 5 litros de lavandina</t>
  </si>
  <si>
    <t>Control de fotos del catálogo</t>
  </si>
  <si>
    <t>Cómo usarla: revisá cada imagen y completá DECISIÓN con MANTENER o REEMPLAZAR. Para las urgentes, reemplazá la imagen antes de publicar la campaña.</t>
  </si>
  <si>
    <t>CÓDIGO</t>
  </si>
  <si>
    <t>ARCHIVO ACTUAL</t>
  </si>
  <si>
    <t>PRIORIDAD</t>
  </si>
  <si>
    <t>HALLAZGO</t>
  </si>
  <si>
    <t>FOTO RECOMENDADA</t>
  </si>
  <si>
    <t>DECISIÓN</t>
  </si>
  <si>
    <t>NOTAS</t>
  </si>
  <si>
    <t>Lavandina al 4%</t>
  </si>
  <si>
    <t>PENDIENTE</t>
  </si>
  <si>
    <t>Revisar manualmente: producto correcto, imagen nítida, fondo limpio y sin marcas ajenas.</t>
  </si>
  <si>
    <t>Si se reemplaza: foto real del producto, fondo blanco o neutro, buena luz y encuadre cuadrado.</t>
  </si>
  <si>
    <t>Detergente 30%</t>
  </si>
  <si>
    <t>Detergente Magistral listo para usar</t>
  </si>
  <si>
    <t>Lava-Vajillas Concentrado</t>
  </si>
  <si>
    <t>Suavizante Blanco por 5 litros</t>
  </si>
  <si>
    <t>Suavizante listo para usar</t>
  </si>
  <si>
    <t>Shampoo para manos</t>
  </si>
  <si>
    <t>Shampoo para manos por 5 litros</t>
  </si>
  <si>
    <t>Difusor Aromatico Saphirus por 50 CC</t>
  </si>
  <si>
    <t>Difusor Aromatico Saphirus por 120 CC</t>
  </si>
  <si>
    <t>Difusor Aromatico Saphirus combinados por 120 CC</t>
  </si>
  <si>
    <t>URGENTE</t>
  </si>
  <si>
    <t>Arte de promoción con identidad y datos que deben actualizarse.</t>
  </si>
  <si>
    <t>Nuevo arte de promo con identidad actual, fotos reales y precio vigente.</t>
  </si>
  <si>
    <t>La imagen muestra la marca anterior Química Bethel.</t>
  </si>
  <si>
    <t>Foto real del pack sin marca anterior, sobre fondo limpio.</t>
  </si>
  <si>
    <t>Detergente liquido concentrado</t>
  </si>
  <si>
    <t>Desodorante para piso x 5 litros</t>
  </si>
  <si>
    <t>Desodorante para piso x 1 litro</t>
  </si>
  <si>
    <t>Desodorante para piso pack x 6 unidades</t>
  </si>
  <si>
    <t>FECHA</t>
  </si>
  <si>
    <t>ENTRADA</t>
  </si>
  <si>
    <t>SALIDA</t>
  </si>
  <si>
    <t>OBSERVACION</t>
  </si>
  <si>
    <t>Tarifas de envío a domicilio — referencia operativa</t>
  </si>
  <si>
    <t>Compra de productos</t>
  </si>
  <si>
    <t>Envío a cobrar</t>
  </si>
  <si>
    <t>Costo real de entrega</t>
  </si>
  <si>
    <t>Subsidio absorbido</t>
  </si>
  <si>
    <t>Mensaje comercial</t>
  </si>
  <si>
    <t>$10.000 a $14.999</t>
  </si>
  <si>
    <t>Envío a domicilio $3.000</t>
  </si>
  <si>
    <t>$15.000 a $19.999</t>
  </si>
  <si>
    <t>Desde $50.000</t>
  </si>
  <si>
    <t>Envío desde $</t>
  </si>
  <si>
    <t>Política: se cobra un envío proporcional para atraer pedidos; el negocio absorbe la diferencia entre la tarifa y el costo real. La fórmula de precios usa el subsidio del tramo medio ($2.490 de envío).</t>
  </si>
  <si>
    <t>ALTA DE PRODUCTOS</t>
  </si>
  <si>
    <t>RESUMEN DE PRODUCTOS</t>
  </si>
  <si>
    <t>CALCULADORA DE PREPARADOS — PRECIO POR LITRO</t>
  </si>
  <si>
    <t>Completá solo las celdas amarillas. Luego ejecutá: npm run alta-producto. El comando valida, muestra el resumen y pide confirmación antes de escribir.</t>
  </si>
  <si>
    <t>Categoría</t>
  </si>
  <si>
    <t>Subcategoría</t>
  </si>
  <si>
    <t>Prefijo futuro</t>
  </si>
  <si>
    <t>Productos</t>
  </si>
  <si>
    <t>Prefijos</t>
  </si>
  <si>
    <t>Ingresá el costo del concentrado y el recargo sobre costo. El precio sugerido se calcula por litro preparado.</t>
  </si>
  <si>
    <t>CLO</t>
  </si>
  <si>
    <t>GENERADOR 1 — Categoría existente</t>
  </si>
  <si>
    <t>GENERADOR 2 — Categoría nueva</t>
  </si>
  <si>
    <t>DET</t>
  </si>
  <si>
    <t>Producto</t>
  </si>
  <si>
    <t>Costo concentrado ($)</t>
  </si>
  <si>
    <t>Rinde (L)</t>
  </si>
  <si>
    <t>Costo por litro ($)</t>
  </si>
  <si>
    <t>Recargo sobre costo (%)</t>
  </si>
  <si>
    <t>Precio sugerido/L ($)</t>
  </si>
  <si>
    <t>Producto *</t>
  </si>
  <si>
    <t>SUA</t>
  </si>
  <si>
    <t>Desodorante para piso (250 ml)</t>
  </si>
  <si>
    <t>Categoría *</t>
  </si>
  <si>
    <t>Categoría nueva *</t>
  </si>
  <si>
    <t>DES</t>
  </si>
  <si>
    <t>Lavandina (1 L)</t>
  </si>
  <si>
    <t>Subcategoría *</t>
  </si>
  <si>
    <t>Subcategoría nueva *</t>
  </si>
  <si>
    <t>DPP</t>
  </si>
  <si>
    <t>Jabón líquido</t>
  </si>
  <si>
    <t>Presentación</t>
  </si>
  <si>
    <t>SHA</t>
  </si>
  <si>
    <t>Jabon liquido Economico</t>
  </si>
  <si>
    <t>Marca</t>
  </si>
  <si>
    <t>PFA</t>
  </si>
  <si>
    <t>Suavizante premium</t>
  </si>
  <si>
    <t>Fragancia</t>
  </si>
  <si>
    <t>DAV</t>
  </si>
  <si>
    <t>Prefijo existente *</t>
  </si>
  <si>
    <t>PROM</t>
  </si>
  <si>
    <t>LIR</t>
  </si>
  <si>
    <t>Detergente multiusos (concentrado)</t>
  </si>
  <si>
    <t>Grupo existente</t>
  </si>
  <si>
    <t>¿Crear grupo?</t>
  </si>
  <si>
    <t>ACC</t>
  </si>
  <si>
    <t>Variante</t>
  </si>
  <si>
    <t>RJR</t>
  </si>
  <si>
    <t>Lavavajillas Rosa</t>
  </si>
  <si>
    <t>Código contenido a reutilizar</t>
  </si>
  <si>
    <t>Descripción base *</t>
  </si>
  <si>
    <t>TDP</t>
  </si>
  <si>
    <t>Descripción base nueva</t>
  </si>
  <si>
    <t xml:space="preserve">Combo 12 litros con gatillo
</t>
  </si>
  <si>
    <t>Características base *</t>
  </si>
  <si>
    <t>EYE</t>
  </si>
  <si>
    <t>Ejemplo: carga el costo del 1/4 de desodorante; el costo por litro sera ese valor / 15. Ingresa el recargo como numero porcentual (por ejemplo, 100).</t>
  </si>
  <si>
    <t>Características base nuevas</t>
  </si>
  <si>
    <t>Costo *</t>
  </si>
  <si>
    <t>CBS</t>
  </si>
  <si>
    <t>¿Usa empaque? *</t>
  </si>
  <si>
    <t>ESP</t>
  </si>
  <si>
    <t>Empaque específico</t>
  </si>
  <si>
    <t>APR</t>
  </si>
  <si>
    <t>Estado</t>
  </si>
  <si>
    <t>GUA</t>
  </si>
  <si>
    <t>Destacado</t>
  </si>
  <si>
    <t>MOP</t>
  </si>
  <si>
    <t>REP</t>
  </si>
  <si>
    <t>BAL</t>
  </si>
  <si>
    <t>RESULTADO DEL ÚLTIMO ALTA CONFIRMADO</t>
  </si>
  <si>
    <t>AER</t>
  </si>
  <si>
    <t>BRJ</t>
  </si>
  <si>
    <t>Código</t>
  </si>
  <si>
    <t>Generador</t>
  </si>
  <si>
    <t>Generador 1</t>
  </si>
  <si>
    <t>ESM</t>
  </si>
  <si>
    <t>Grupo</t>
  </si>
  <si>
    <t>SIL</t>
  </si>
  <si>
    <t>SIA</t>
  </si>
  <si>
    <t>Contenido</t>
  </si>
  <si>
    <t>Precio estimado</t>
  </si>
  <si>
    <t>SHS</t>
  </si>
  <si>
    <t>Nombre de foto</t>
  </si>
  <si>
    <t>Fecha de alta</t>
  </si>
  <si>
    <t>23/10/2026</t>
  </si>
  <si>
    <t>MLW</t>
  </si>
  <si>
    <t>PLW</t>
  </si>
  <si>
    <t>Notas de uso</t>
  </si>
  <si>
    <t>CER</t>
  </si>
  <si>
    <t>Generador 1: elegí una categoría y subcategoría existentes. El prefijo debe coincidir con el asignado en Resumen de productos. Generador 2: para una categoría nueva, usá un prefijo existente. Las presentaciones sugeridas son 1L, 5L, 10L, S, M, L y XL; también podés escribir otra. El comando impide duplicados dentro de la misma categoría y subcategoría.
La tabla Resumen de productos asigna un prefijo único para futuras altas en cada subcategoría. Los productos existentes conservan sus códigos aunque algún prefijo histórico sea distinto. Cuando agregues una subcategoría, asignale un prefijo único en esta tabla antes de dar de alta productos.</t>
  </si>
  <si>
    <t>LTA</t>
  </si>
  <si>
    <t>APB</t>
  </si>
  <si>
    <t>LUS</t>
  </si>
  <si>
    <t>INS</t>
  </si>
  <si>
    <t>VEL</t>
  </si>
  <si>
    <t>PAF</t>
  </si>
  <si>
    <t>BFR</t>
  </si>
  <si>
    <t>VAR</t>
  </si>
  <si>
    <t>PLI</t>
  </si>
  <si>
    <t>QPI</t>
  </si>
  <si>
    <t>MPI</t>
  </si>
  <si>
    <t>API</t>
  </si>
  <si>
    <t>5 LITROS DE LAVANDINA. 5 LITROS DE CIF. 5 LITROS DE DETERGENTE</t>
  </si>
  <si>
    <t>5 LITROS DE LAVANDINA. 1 LITRO DE CIF. 1 LITRO DE DETERGENTE</t>
  </si>
  <si>
    <t>5 LITROS DE JABON LIQUIDO SKIP. 5 LITROS DE SUAVIZANTE PREMIUM</t>
  </si>
  <si>
    <t>5 LITROS DE DESODORANTE DE PISO 1056. 5 LITROS DE LAVANDINA. 1 LITRO DE DETERGENTE</t>
  </si>
  <si>
    <t>5 LITROS DE DESODORANTE DE PISO 1056. 5 LITROS DE LAVANDINA. 1 LITRO DE CIF</t>
  </si>
  <si>
    <t>5 LITROS DE DESODORANTE DE PISO 1056. 5 LITROS DE LAVANDINA. 1 LITRO DE CIF. 1 LITRO DE DETERGENTE.</t>
  </si>
  <si>
    <t>1 LITRO DE CIF CON GATILLO . 1 LITRO DE DETERGENTE CON GATILLO.</t>
  </si>
  <si>
    <t xml:space="preserve">5 LITROS DE DESODORANTE PARA PISO 1056. 5 LITROS DE LAVANDINA. 1 LITRO DE CIF CON ENVASE A GATILLO. 1 LITRO DE DETERGENTE CON ENVASE A GATILLO.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</si>
</sst>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0.0%"/>
    <numFmt numFmtId="166" formatCode="\$\ #,##0.00"/>
    <numFmt numFmtId="167" formatCode="0&quot;%&quot;"/>
  </numFmts>
  <fonts count="17">
    <font>
      <sz val="11"/>
      <name val="Carlito"/>
    </font>
    <font>
      <b/>
      <sz val="16"/>
      <color rgb="FFFFFFFF"/>
      <name val="Carlito"/>
    </font>
    <font>
      <i/>
      <sz val="11"/>
      <color rgb="FF36566F"/>
      <name val="Carlito"/>
    </font>
    <font>
      <b/>
      <sz val="11"/>
      <color rgb="FF163B5C"/>
      <name val="Carlito"/>
    </font>
    <font>
      <b/>
      <sz val="11"/>
      <color rgb="FFFFFFFF"/>
      <name val="Carlito"/>
    </font>
    <font>
      <i/>
      <sz val="11"/>
      <color rgb="FF3A5F77"/>
      <name val="Carlito"/>
    </font>
    <font>
      <b/>
      <sz val="14"/>
      <color rgb="FFFFFFFF"/>
      <name val="Arial"/>
    </font>
    <font>
      <i/>
      <sz val="10"/>
      <color rgb="FF404040"/>
      <name val="Arial"/>
    </font>
    <font>
      <b/>
      <sz val="11"/>
      <color rgb="FFFFFFFF"/>
      <name val="Arial"/>
    </font>
    <font>
      <b/>
      <sz val="10"/>
      <color rgb="FF404040"/>
      <name val="Arial"/>
    </font>
    <font>
      <sz val="10"/>
      <name val="Arial"/>
    </font>
    <font>
      <b/>
      <sz val="10"/>
      <name val="Arial"/>
    </font>
    <font>
      <b/>
      <sz val="11"/>
      <name val="Arial"/>
    </font>
    <font>
      <b/>
      <sz val="11"/>
      <color rgb="FF1F1F1F"/>
      <name val="Arial"/>
    </font>
    <font>
      <sz val="10"/>
      <color rgb="FF404040"/>
      <name val="Arial"/>
    </font>
    <font>
      <b/>
      <sz val="9"/>
      <name val="Arial"/>
    </font>
    <font>
      <i/>
      <sz val="10"/>
      <color rgb="FF666666"/>
      <name val="Calibri"/>
    </font>
  </fonts>
  <fills count="23">
    <fill>
      <patternFill patternType="none"/>
    </fill>
    <fill>
      <patternFill patternType="gray125"/>
    </fill>
    <fill>
      <patternFill patternType="solid">
        <fgColor rgb="FF163B5C"/>
      </patternFill>
    </fill>
    <fill>
      <patternFill patternType="solid">
        <fgColor rgb="FFF6FAFC"/>
      </patternFill>
    </fill>
    <fill>
      <patternFill patternType="solid">
        <fgColor rgb="FFEAF3F8"/>
      </patternFill>
    </fill>
    <fill>
      <patternFill patternType="solid">
        <fgColor rgb="FFFFF2CC"/>
      </patternFill>
    </fill>
    <fill>
      <patternFill patternType="solid">
        <fgColor rgb="FFE2F0D9"/>
      </patternFill>
    </fill>
    <fill>
      <patternFill patternType="solid">
        <fgColor rgb="FF147D88"/>
      </patternFill>
    </fill>
    <fill>
      <patternFill patternType="solid">
        <fgColor rgb="FF163B5C"/>
      </patternFill>
    </fill>
    <fill>
      <patternFill patternType="solid">
        <fgColor rgb="FFF3F8FB"/>
      </patternFill>
    </fill>
    <fill>
      <patternFill patternType="solid">
        <fgColor rgb="FF147D88"/>
      </patternFill>
    </fill>
    <fill>
      <patternFill patternType="solid">
        <fgColor rgb="FFE8F3F4"/>
      </patternFill>
    </fill>
    <fill>
      <patternFill patternType="solid">
        <fgColor rgb="FFFFF2CC"/>
      </patternFill>
    </fill>
    <fill>
      <patternFill patternType="solid">
        <fgColor rgb="FFE2F0D9"/>
      </patternFill>
    </fill>
    <fill>
      <patternFill patternType="solid">
        <fgColor rgb="FF1F4E78"/>
      </patternFill>
    </fill>
    <fill>
      <patternFill patternType="solid">
        <fgColor rgb="FFFFF2CC"/>
      </patternFill>
    </fill>
    <fill>
      <patternFill patternType="solid">
        <fgColor rgb="FFE2F0D9"/>
      </patternFill>
    </fill>
    <fill>
      <patternFill patternType="solid">
        <fgColor rgb="FFD9EAF7"/>
      </patternFill>
    </fill>
    <fill>
      <patternFill patternType="solid">
        <fgColor rgb="FFF2F2F2"/>
      </patternFill>
    </fill>
    <fill>
      <patternFill patternType="solid">
        <fgColor rgb="FFE7E6E6"/>
      </patternFill>
    </fill>
    <fill>
      <patternFill patternType="solid">
        <fgColor rgb="FFE2F0D9"/>
      </patternFill>
    </fill>
    <fill>
      <patternFill patternType="solid">
        <fgColor rgb="FFE7E6E6"/>
      </patternFill>
    </fill>
    <fill>
      <patternFill patternType="solid">
        <fgColor rgb="FFE2F0D9"/>
      </patternFill>
    </fill>
  </fills>
  <borders count="16">
    <border>
      <left/>
      <right/>
      <top/>
      <bottom/>
      <diagonal/>
    </border>
    <border>
      <left style="thin">
        <color rgb="FFC7D6E2"/>
      </left>
      <right style="thin">
        <color rgb="FFC7D6E2"/>
      </right>
      <top style="thin">
        <color rgb="FFC7D6E2"/>
      </top>
      <bottom style="thin">
        <color rgb="FFC7D6E2"/>
      </bottom>
      <diagonal/>
    </border>
    <border>
      <left/>
      <right style="thin">
        <color rgb="FFE7EEF3"/>
      </right>
      <top/>
      <bottom style="thin">
        <color rgb="FFE7EEF3"/>
      </bottom>
      <diagonal/>
    </border>
    <border>
      <left style="thin">
        <color rgb="FFE7EEF3"/>
      </left>
      <right style="thin">
        <color rgb="FFE7EEF3"/>
      </right>
      <top/>
      <bottom style="thin">
        <color rgb="FFE7EEF3"/>
      </bottom>
      <diagonal/>
    </border>
    <border>
      <left style="thin">
        <color rgb="FFE7EEF3"/>
      </left>
      <right/>
      <top/>
      <bottom style="thin">
        <color rgb="FFE7EEF3"/>
      </bottom>
      <diagonal/>
    </border>
    <border>
      <left/>
      <right style="thin">
        <color rgb="FFE7EEF3"/>
      </right>
      <top style="thin">
        <color rgb="FFE7EEF3"/>
      </top>
      <bottom style="thin">
        <color rgb="FFE7EEF3"/>
      </bottom>
      <diagonal/>
    </border>
    <border>
      <left style="thin">
        <color rgb="FFE7EEF3"/>
      </left>
      <right style="thin">
        <color rgb="FFE7EEF3"/>
      </right>
      <top style="thin">
        <color rgb="FFE7EEF3"/>
      </top>
      <bottom style="thin">
        <color rgb="FFE7EEF3"/>
      </bottom>
      <diagonal/>
    </border>
    <border>
      <left style="thin">
        <color rgb="FFE7EEF3"/>
      </left>
      <right/>
      <top style="thin">
        <color rgb="FFE7EEF3"/>
      </top>
      <bottom style="thin">
        <color rgb="FFE7EEF3"/>
      </bottom>
      <diagonal/>
    </border>
    <border>
      <left/>
      <right style="thin">
        <color rgb="FFE7EEF3"/>
      </right>
      <top style="thin">
        <color rgb="FFE7EEF3"/>
      </top>
      <bottom/>
      <diagonal/>
    </border>
    <border>
      <left style="thin">
        <color rgb="FFE7EEF3"/>
      </left>
      <right style="thin">
        <color rgb="FFE7EEF3"/>
      </right>
      <top style="thin">
        <color rgb="FFE7EEF3"/>
      </top>
      <bottom/>
      <diagonal/>
    </border>
    <border>
      <left style="thin">
        <color rgb="FFE7EEF3"/>
      </left>
      <right/>
      <top style="thin">
        <color rgb="FFE7EEF3"/>
      </top>
      <bottom/>
      <diagonal/>
    </border>
    <border>
      <left style="thin">
        <color rgb="FFD7E3EA"/>
      </left>
      <right style="thin">
        <color rgb="FFD7E3EA"/>
      </right>
      <top style="thin">
        <color rgb="FFD7E3EA"/>
      </top>
      <bottom style="thin">
        <color rgb="FFD7E3EA"/>
      </bottom>
      <diagonal/>
    </border>
    <border>
      <left style="thin">
        <color rgb="FFB7C9D6"/>
      </left>
      <right style="thin">
        <color rgb="FFB7C9D6"/>
      </right>
      <top style="thin">
        <color rgb="FFB7C9D6"/>
      </top>
      <bottom style="thin">
        <color rgb="FFB7C9D6"/>
      </bottom>
      <diagonal/>
    </border>
    <border>
      <left style="thin">
        <color rgb="FFD7E3EA"/>
      </left>
      <right style="thin">
        <color rgb="FFD7E3EA"/>
      </right>
      <top style="thin">
        <color rgb="FFD7E3EA"/>
      </top>
      <bottom/>
      <diagonal/>
    </border>
    <border>
      <left/>
      <right/>
      <top/>
      <bottom style="thin">
        <color rgb="FFD9E1F2"/>
      </bottom>
      <diagonal/>
    </border>
    <border>
      <left/>
      <right/>
      <top/>
      <bottom style="thin">
        <color rgb="FFD9E1F2"/>
      </bottom>
      <diagonal/>
    </border>
  </borders>
  <cellStyleXfs count="1">
    <xf numFmtId="0" fontId="0" fillId="0" borderId="0"/>
  </cellStyleXfs>
  <cellXfs count="88">
    <xf numFmtId="0" fontId="0" fillId="0" borderId="0" xfId="0"/>
    <xf numFmtId="0" fontId="1" fillId="2" borderId="0" xfId="0" applyFont="1" applyFill="1" applyAlignment="1">
      <alignment horizontal="left" vertical="center"/>
    </xf>
    <xf numFmtId="0" fontId="3" fillId="4" borderId="1" xfId="0" applyFont="1" applyFill="1" applyBorder="1" applyAlignment="1">
      <alignment horizontal="center" vertical="center" wrapText="1"/>
    </xf>
    <xf numFmtId="0" fontId="0" fillId="5" borderId="2" xfId="0" applyFill="1" applyBorder="1"/>
    <xf numFmtId="0" fontId="0" fillId="5" borderId="3" xfId="0" applyFill="1" applyBorder="1"/>
    <xf numFmtId="0" fontId="0" fillId="5" borderId="5" xfId="0" applyFill="1" applyBorder="1"/>
    <xf numFmtId="0" fontId="0" fillId="5" borderId="6" xfId="0" applyFill="1" applyBorder="1"/>
    <xf numFmtId="0" fontId="0" fillId="5" borderId="8" xfId="0" applyFill="1" applyBorder="1"/>
    <xf numFmtId="0" fontId="0" fillId="5" borderId="9" xfId="0" applyFill="1" applyBorder="1"/>
    <xf numFmtId="0" fontId="0" fillId="5" borderId="4" xfId="0" applyFill="1" applyBorder="1"/>
    <xf numFmtId="0" fontId="0" fillId="5" borderId="7" xfId="0" applyFill="1" applyBorder="1"/>
    <xf numFmtId="0" fontId="0" fillId="5" borderId="10" xfId="0" applyFill="1" applyBorder="1"/>
    <xf numFmtId="0" fontId="0" fillId="6" borderId="3" xfId="0" applyFill="1" applyBorder="1"/>
    <xf numFmtId="0" fontId="0" fillId="6" borderId="6" xfId="0" applyFill="1" applyBorder="1"/>
    <xf numFmtId="0" fontId="0" fillId="6" borderId="9" xfId="0" applyFill="1" applyBorder="1"/>
    <xf numFmtId="3" fontId="0" fillId="5" borderId="3" xfId="0" applyNumberFormat="1" applyFill="1" applyBorder="1"/>
    <xf numFmtId="3" fontId="0" fillId="5" borderId="6" xfId="0" applyNumberFormat="1" applyFill="1" applyBorder="1"/>
    <xf numFmtId="3" fontId="0" fillId="5" borderId="9" xfId="0" applyNumberFormat="1" applyFill="1" applyBorder="1"/>
    <xf numFmtId="0" fontId="0" fillId="6" borderId="4" xfId="0" applyFill="1" applyBorder="1"/>
    <xf numFmtId="0" fontId="0" fillId="6" borderId="7" xfId="0" applyFill="1" applyBorder="1"/>
    <xf numFmtId="0" fontId="0" fillId="6" borderId="10" xfId="0" applyFill="1" applyBorder="1"/>
    <xf numFmtId="164" fontId="0" fillId="5" borderId="6" xfId="0" applyNumberFormat="1" applyFill="1" applyBorder="1"/>
    <xf numFmtId="164" fontId="0" fillId="6" borderId="6" xfId="0" applyNumberFormat="1" applyFill="1" applyBorder="1"/>
    <xf numFmtId="164" fontId="0" fillId="5" borderId="9" xfId="0" applyNumberFormat="1" applyFill="1" applyBorder="1"/>
    <xf numFmtId="164" fontId="0" fillId="6" borderId="9" xfId="0" applyNumberFormat="1" applyFill="1" applyBorder="1"/>
    <xf numFmtId="10" fontId="0" fillId="6" borderId="6" xfId="0" applyNumberFormat="1" applyFill="1" applyBorder="1"/>
    <xf numFmtId="10" fontId="0" fillId="6" borderId="9" xfId="0" applyNumberFormat="1" applyFill="1" applyBorder="1"/>
    <xf numFmtId="165" fontId="0" fillId="6" borderId="7" xfId="0" applyNumberFormat="1" applyFill="1" applyBorder="1"/>
    <xf numFmtId="165" fontId="0" fillId="6" borderId="10" xfId="0" applyNumberFormat="1" applyFill="1" applyBorder="1"/>
    <xf numFmtId="0" fontId="0" fillId="6" borderId="2" xfId="0" applyFill="1" applyBorder="1"/>
    <xf numFmtId="0" fontId="0" fillId="6" borderId="5" xfId="0" applyFill="1" applyBorder="1"/>
    <xf numFmtId="0" fontId="0" fillId="6" borderId="8" xfId="0" applyFill="1" applyBorder="1"/>
    <xf numFmtId="164" fontId="0" fillId="0" borderId="0" xfId="0" applyNumberFormat="1"/>
    <xf numFmtId="0" fontId="4" fillId="8" borderId="0" xfId="0" applyFont="1" applyFill="1" applyAlignment="1">
      <alignment vertical="center"/>
    </xf>
    <xf numFmtId="0" fontId="5" fillId="9" borderId="0" xfId="0" applyFont="1" applyFill="1" applyAlignment="1">
      <alignment vertical="center"/>
    </xf>
    <xf numFmtId="0" fontId="4" fillId="10" borderId="0" xfId="0" applyFont="1" applyFill="1" applyAlignment="1">
      <alignment horizontal="left" vertical="center"/>
    </xf>
    <xf numFmtId="0" fontId="3" fillId="11" borderId="1" xfId="0" applyFont="1" applyFill="1" applyBorder="1" applyAlignment="1">
      <alignment horizontal="center" vertical="center" wrapText="1"/>
    </xf>
    <xf numFmtId="0" fontId="0" fillId="0" borderId="0" xfId="0" applyAlignment="1">
      <alignment vertical="center"/>
    </xf>
    <xf numFmtId="0" fontId="0" fillId="0" borderId="1" xfId="0" applyBorder="1" applyAlignment="1">
      <alignment vertical="center"/>
    </xf>
    <xf numFmtId="165" fontId="0" fillId="12" borderId="1" xfId="0" applyNumberFormat="1" applyFill="1" applyBorder="1" applyAlignment="1">
      <alignment horizontal="right" vertical="center"/>
    </xf>
    <xf numFmtId="0" fontId="0" fillId="12" borderId="1" xfId="0" applyFill="1" applyBorder="1" applyAlignment="1">
      <alignment horizontal="right" vertical="center"/>
    </xf>
    <xf numFmtId="164" fontId="0" fillId="12" borderId="1" xfId="0" applyNumberFormat="1" applyFill="1" applyBorder="1" applyAlignment="1">
      <alignment horizontal="right" vertical="center"/>
    </xf>
    <xf numFmtId="10" fontId="0" fillId="12" borderId="1" xfId="0" applyNumberFormat="1" applyFill="1" applyBorder="1" applyAlignment="1">
      <alignment horizontal="right" vertical="center"/>
    </xf>
    <xf numFmtId="0" fontId="0" fillId="12" borderId="11" xfId="0" applyFill="1" applyBorder="1" applyAlignment="1">
      <alignment vertical="center"/>
    </xf>
    <xf numFmtId="164" fontId="0" fillId="12" borderId="11" xfId="0" applyNumberFormat="1" applyFill="1" applyBorder="1" applyAlignment="1">
      <alignment vertical="center"/>
    </xf>
    <xf numFmtId="164" fontId="0" fillId="12" borderId="11" xfId="0" applyNumberFormat="1" applyFill="1" applyBorder="1" applyAlignment="1">
      <alignment horizontal="center" vertical="center"/>
    </xf>
    <xf numFmtId="164" fontId="0" fillId="13" borderId="11" xfId="0" applyNumberFormat="1" applyFill="1" applyBorder="1" applyAlignment="1">
      <alignment vertical="center"/>
    </xf>
    <xf numFmtId="10" fontId="0" fillId="13" borderId="11" xfId="0" applyNumberFormat="1" applyFill="1" applyBorder="1" applyAlignment="1">
      <alignment vertical="center"/>
    </xf>
    <xf numFmtId="165" fontId="0" fillId="13" borderId="11" xfId="0" applyNumberFormat="1" applyFill="1" applyBorder="1" applyAlignment="1">
      <alignment vertical="center"/>
    </xf>
    <xf numFmtId="0" fontId="9" fillId="0" borderId="0" xfId="0" applyFont="1"/>
    <xf numFmtId="0" fontId="10" fillId="15" borderId="12" xfId="0" applyFont="1" applyFill="1" applyBorder="1" applyAlignment="1">
      <alignment vertical="top" wrapText="1"/>
    </xf>
    <xf numFmtId="0" fontId="11" fillId="0" borderId="0" xfId="0" applyFont="1"/>
    <xf numFmtId="0" fontId="10" fillId="16" borderId="12" xfId="0" applyFont="1" applyFill="1" applyBorder="1"/>
    <xf numFmtId="0" fontId="12" fillId="16" borderId="12" xfId="0" applyFont="1" applyFill="1" applyBorder="1"/>
    <xf numFmtId="0" fontId="15" fillId="18" borderId="12" xfId="0" applyFont="1" applyFill="1" applyBorder="1"/>
    <xf numFmtId="0" fontId="0" fillId="12" borderId="13" xfId="0" applyFill="1" applyBorder="1" applyAlignment="1">
      <alignment vertical="center"/>
    </xf>
    <xf numFmtId="164" fontId="0" fillId="12" borderId="13" xfId="0" applyNumberFormat="1" applyFill="1" applyBorder="1" applyAlignment="1">
      <alignment vertical="center"/>
    </xf>
    <xf numFmtId="164" fontId="0" fillId="12" borderId="13" xfId="0" applyNumberFormat="1" applyFill="1" applyBorder="1" applyAlignment="1">
      <alignment horizontal="center" vertical="center"/>
    </xf>
    <xf numFmtId="164" fontId="0" fillId="13" borderId="13" xfId="0" applyNumberFormat="1" applyFill="1" applyBorder="1" applyAlignment="1">
      <alignment vertical="center"/>
    </xf>
    <xf numFmtId="10" fontId="0" fillId="13" borderId="13" xfId="0" applyNumberFormat="1" applyFill="1" applyBorder="1" applyAlignment="1">
      <alignment vertical="center"/>
    </xf>
    <xf numFmtId="165" fontId="0" fillId="13" borderId="13" xfId="0" applyNumberFormat="1" applyFill="1" applyBorder="1" applyAlignment="1">
      <alignment vertical="center"/>
    </xf>
    <xf numFmtId="14" fontId="10" fillId="16" borderId="12" xfId="0" applyNumberFormat="1" applyFont="1" applyFill="1" applyBorder="1"/>
    <xf numFmtId="0" fontId="0" fillId="5" borderId="7" xfId="0" applyFill="1" applyBorder="1" applyAlignment="1">
      <alignment wrapText="1"/>
    </xf>
    <xf numFmtId="0" fontId="8" fillId="14" borderId="0" xfId="0" applyFont="1" applyFill="1" applyAlignment="1">
      <alignment horizontal="center" vertical="center" wrapText="1"/>
    </xf>
    <xf numFmtId="0" fontId="0" fillId="0" borderId="14" xfId="0" applyBorder="1" applyAlignment="1">
      <alignment vertical="center" wrapText="1"/>
    </xf>
    <xf numFmtId="166" fontId="10" fillId="15" borderId="12" xfId="0" applyNumberFormat="1" applyFont="1" applyFill="1" applyBorder="1" applyAlignment="1">
      <alignment vertical="top" wrapText="1"/>
    </xf>
    <xf numFmtId="0" fontId="0" fillId="19" borderId="14" xfId="0" applyFill="1" applyBorder="1" applyAlignment="1">
      <alignment vertical="center"/>
    </xf>
    <xf numFmtId="166" fontId="0" fillId="20" borderId="14" xfId="0" applyNumberFormat="1" applyFill="1" applyBorder="1" applyAlignment="1">
      <alignment vertical="center"/>
    </xf>
    <xf numFmtId="167" fontId="10" fillId="15" borderId="12" xfId="0" applyNumberFormat="1" applyFont="1" applyFill="1" applyBorder="1" applyAlignment="1">
      <alignment vertical="top" wrapText="1"/>
    </xf>
    <xf numFmtId="0" fontId="0" fillId="0" borderId="15" xfId="0" applyBorder="1"/>
    <xf numFmtId="0" fontId="0" fillId="21" borderId="15" xfId="0" applyFill="1" applyBorder="1"/>
    <xf numFmtId="166" fontId="0" fillId="22" borderId="15" xfId="0" applyNumberFormat="1" applyFill="1" applyBorder="1"/>
    <xf numFmtId="0" fontId="16" fillId="0" borderId="15" xfId="0" applyFont="1" applyBorder="1" applyAlignment="1">
      <alignment vertical="center" wrapText="1"/>
    </xf>
    <xf numFmtId="0" fontId="2" fillId="3" borderId="0" xfId="0" applyFont="1" applyFill="1" applyAlignment="1">
      <alignment wrapText="1"/>
    </xf>
    <xf numFmtId="0" fontId="0" fillId="0" borderId="0" xfId="0"/>
    <xf numFmtId="0" fontId="4" fillId="7" borderId="0" xfId="0" applyFont="1" applyFill="1" applyAlignment="1">
      <alignment horizontal="left" vertical="center"/>
    </xf>
    <xf numFmtId="0" fontId="1" fillId="2" borderId="0" xfId="0" applyFont="1" applyFill="1" applyAlignment="1">
      <alignment horizontal="left" vertical="center"/>
    </xf>
    <xf numFmtId="0" fontId="2" fillId="3" borderId="0" xfId="0" applyFont="1" applyFill="1" applyAlignment="1">
      <alignment vertical="center" wrapText="1"/>
    </xf>
    <xf numFmtId="0" fontId="1" fillId="8" borderId="0" xfId="0" applyFont="1" applyFill="1" applyAlignment="1">
      <alignment horizontal="left" vertical="center"/>
    </xf>
    <xf numFmtId="0" fontId="3" fillId="11" borderId="0" xfId="0" applyFont="1" applyFill="1" applyAlignment="1">
      <alignment horizontal="center" vertical="center" wrapText="1"/>
    </xf>
    <xf numFmtId="0" fontId="5" fillId="9" borderId="0" xfId="0" applyFont="1" applyFill="1" applyAlignment="1">
      <alignment vertical="center" wrapText="1"/>
    </xf>
    <xf numFmtId="0" fontId="16" fillId="0" borderId="0" xfId="0" applyFont="1" applyAlignment="1">
      <alignment vertical="center" wrapText="1"/>
    </xf>
    <xf numFmtId="0" fontId="7" fillId="0" borderId="0" xfId="0" applyFont="1" applyAlignment="1">
      <alignment vertical="center" wrapText="1"/>
    </xf>
    <xf numFmtId="0" fontId="6" fillId="14" borderId="0" xfId="0" applyFont="1" applyFill="1" applyAlignment="1">
      <alignment horizontal="left" vertical="center"/>
    </xf>
    <xf numFmtId="0" fontId="8" fillId="14" borderId="0" xfId="0" applyFont="1" applyFill="1"/>
    <xf numFmtId="0" fontId="13" fillId="17" borderId="0" xfId="0" applyFont="1" applyFill="1"/>
    <xf numFmtId="0" fontId="8" fillId="14" borderId="0" xfId="0" applyFont="1" applyFill="1" applyAlignment="1">
      <alignment vertical="center"/>
    </xf>
    <xf numFmtId="0" fontId="14" fillId="0" borderId="0" xfId="0" applyFont="1" applyAlignment="1">
      <alignment vertical="top" wrapText="1"/>
    </xf>
  </cellXfs>
  <cellStyles count="1">
    <cellStyle name="Normal" xfId="0" builtinId="0"/>
  </cellStyles>
  <dxfs count="2">
    <dxf>
      <font>
        <b/>
        <color rgb="FFC00000"/>
      </font>
      <fill>
        <patternFill>
          <bgColor rgb="FFFCE4D6"/>
        </patternFill>
      </fill>
    </dxf>
    <dxf>
      <font>
        <b/>
        <color rgb="FFC00000"/>
      </font>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osAdmin" displayName="ProductosAdmin" ref="A4:U1028" totalsRowShown="0">
  <tableColumns count="21">
    <tableColumn id="1" xr3:uid="{00000000-0010-0000-0000-000001000000}" name="ID"/>
    <tableColumn id="2" xr3:uid="{00000000-0010-0000-0000-000002000000}" name="CODIGO"/>
    <tableColumn id="3" xr3:uid="{00000000-0010-0000-0000-000003000000}" name="SLUG"/>
    <tableColumn id="4" xr3:uid="{00000000-0010-0000-0000-000004000000}" name="GRUPO"/>
    <tableColumn id="5" xr3:uid="{00000000-0010-0000-0000-000005000000}" name="VARIANTE"/>
    <tableColumn id="6" xr3:uid="{00000000-0010-0000-0000-000006000000}" name="CÓDIGO CATEGORÍA"/>
    <tableColumn id="7" xr3:uid="{00000000-0010-0000-0000-000007000000}" name="CATEGORÍA"/>
    <tableColumn id="8" xr3:uid="{00000000-0010-0000-0000-000008000000}" name="CÓDIGO SUBCATEGORÍA"/>
    <tableColumn id="9" xr3:uid="{00000000-0010-0000-0000-000009000000}" name="SUBCATEGORÍA"/>
    <tableColumn id="10" xr3:uid="{00000000-0010-0000-0000-00000A000000}" name="MARCA"/>
    <tableColumn id="11" xr3:uid="{00000000-0010-0000-0000-00000B000000}" name="PRODUCTO"/>
    <tableColumn id="12" xr3:uid="{00000000-0010-0000-0000-00000C000000}" name="FRAGANCIA"/>
    <tableColumn id="13" xr3:uid="{00000000-0010-0000-0000-00000D000000}" name="PRESENTACIÓN"/>
    <tableColumn id="14" xr3:uid="{00000000-0010-0000-0000-00000E000000}" name="NOMBRE FOTO"/>
    <tableColumn id="15" xr3:uid="{00000000-0010-0000-0000-00000F000000}" name="CÓDIGO CONTENIDO"/>
    <tableColumn id="16" xr3:uid="{00000000-0010-0000-0000-000010000000}" name="DESCRIPCIÓN"/>
    <tableColumn id="17" xr3:uid="{00000000-0010-0000-0000-000011000000}" name="CARACTERÍSTICAS"/>
    <tableColumn id="18" xr3:uid="{00000000-0010-0000-0000-000012000000}" name="STOCK"/>
    <tableColumn id="19" xr3:uid="{00000000-0010-0000-0000-000013000000}" name="STOCK MÍNIMO"/>
    <tableColumn id="20" xr3:uid="{00000000-0010-0000-0000-000014000000}" name="ESTADO"/>
    <tableColumn id="21" xr3:uid="{00000000-0010-0000-0000-000015000000}" name="DESTACAD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eciosPorProducto" displayName="PreciosPorProducto" ref="A14:L274" totalsRowShown="0">
  <autoFilter ref="A14:L274" xr:uid="{00000000-0009-0000-0100-000002000000}"/>
  <tableColumns count="12">
    <tableColumn id="1" xr3:uid="{00000000-0010-0000-0100-000001000000}" name="CODIGO"/>
    <tableColumn id="2" xr3:uid="{00000000-0010-0000-0100-000002000000}" name="COSTO"/>
    <tableColumn id="3" xr3:uid="{00000000-0010-0000-0100-000003000000}" name="¿USA EMPAQUE?"/>
    <tableColumn id="4" xr3:uid="{00000000-0010-0000-0100-000004000000}" name="EMPAQUE ESPECÍFICO"/>
    <tableColumn id="5" xr3:uid="{00000000-0010-0000-0100-000005000000}" name="EMPAQUE APLICADO"/>
    <tableColumn id="6" xr3:uid="{00000000-0010-0000-0100-000006000000}" name="VIÁTICO PRORRATEADO"/>
    <tableColumn id="7" xr3:uid="{00000000-0010-0000-0100-000007000000}" name="SUBSIDIO ENVÍO PRORR."/>
    <tableColumn id="8" xr3:uid="{00000000-0010-0000-0100-000008000000}" name="COMISIÓN COBRO"/>
    <tableColumn id="9" xr3:uid="{00000000-0010-0000-0100-000009000000}" name="MARGEN BRUTO OBJ."/>
    <tableColumn id="10" xr3:uid="{00000000-0010-0000-0100-00000A000000}" name="PRECIO VENTA AJUSTADO"/>
    <tableColumn id="11" xr3:uid="{00000000-0010-0000-0100-00000B000000}" name="GANANCIA BRUTA EST."/>
    <tableColumn id="12" xr3:uid="{00000000-0010-0000-0100-00000C000000}" name="MARGEN BRUTO ES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ategoriasCatalogo" displayName="CategoriasCatalogo" ref="A5:D105" totalsRowShown="0">
  <tableColumns count="4">
    <tableColumn id="1" xr3:uid="{00000000-0010-0000-0200-000001000000}" name="CÓDIGO CATEGORÍA"/>
    <tableColumn id="2" xr3:uid="{00000000-0010-0000-0200-000002000000}" name="CATEGORÍA"/>
    <tableColumn id="3" xr3:uid="{00000000-0010-0000-0200-000003000000}" name="ESTADO"/>
    <tableColumn id="4" xr3:uid="{00000000-0010-0000-0200-000004000000}" name="CONTRO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ubcategoriasCatalogo" displayName="SubcategoriasCatalogo" ref="F5:J305" totalsRowShown="0">
  <tableColumns count="5">
    <tableColumn id="1" xr3:uid="{00000000-0010-0000-0300-000001000000}" name="CÓDIGO SUBCATEGORÍA"/>
    <tableColumn id="2" xr3:uid="{00000000-0010-0000-0300-000002000000}" name="CÓDIGO CATEGORÍA"/>
    <tableColumn id="3" xr3:uid="{00000000-0010-0000-0300-000003000000}" name="SUBCATEGORÍA"/>
    <tableColumn id="4" xr3:uid="{00000000-0010-0000-0300-000004000000}" name="ESTADO"/>
    <tableColumn id="5" xr3:uid="{00000000-0010-0000-0300-000005000000}" name="CONTRO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ntenidoCatalogo" displayName="ContenidoCatalogo" ref="L5:O305" totalsRowShown="0">
  <tableColumns count="4">
    <tableColumn id="1" xr3:uid="{00000000-0010-0000-0400-000001000000}" name="CÓDIGO CONTENIDO"/>
    <tableColumn id="2" xr3:uid="{00000000-0010-0000-0400-000002000000}" name="ESTADO"/>
    <tableColumn id="3" xr3:uid="{00000000-0010-0000-0400-000003000000}" name="DESCRIPCIÓN BASE"/>
    <tableColumn id="4" xr3:uid="{00000000-0010-0000-0400-000004000000}" name="CARACTERÍSTICAS BAS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ovimientosStock" displayName="MovimientosStock" ref="A1:E301" totalsRowShown="0">
  <tableColumns count="5">
    <tableColumn id="1" xr3:uid="{00000000-0010-0000-0500-000001000000}" name="FECHA"/>
    <tableColumn id="2" xr3:uid="{00000000-0010-0000-0500-000002000000}" name="CODIGO"/>
    <tableColumn id="3" xr3:uid="{00000000-0010-0000-0500-000003000000}" name="ENTRADA"/>
    <tableColumn id="4" xr3:uid="{00000000-0010-0000-0500-000004000000}" name="SALIDA"/>
    <tableColumn id="5" xr3:uid="{00000000-0010-0000-0500-000005000000}" name="OBSERVAC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28"/>
  <sheetViews>
    <sheetView showGridLines="0" topLeftCell="K1003" zoomScale="85" zoomScaleNormal="85" workbookViewId="0">
      <selection activeCell="O1027" sqref="O1027"/>
    </sheetView>
  </sheetViews>
  <sheetFormatPr defaultRowHeight="13.8"/>
  <cols>
    <col min="1" max="1" width="9" customWidth="1"/>
    <col min="2" max="2" width="13" customWidth="1"/>
    <col min="3" max="6" width="16" customWidth="1"/>
    <col min="7" max="7" width="21" customWidth="1"/>
    <col min="8" max="8" width="18" customWidth="1"/>
    <col min="9" max="9" width="24" customWidth="1"/>
    <col min="10" max="10" width="14" customWidth="1"/>
    <col min="11" max="11" width="29" customWidth="1"/>
    <col min="12" max="12" width="24" customWidth="1"/>
    <col min="13" max="13" width="14" customWidth="1"/>
    <col min="14" max="14" width="18" customWidth="1"/>
    <col min="15" max="15" width="17" customWidth="1"/>
    <col min="16" max="17" width="42" customWidth="1"/>
    <col min="18" max="18" width="10" customWidth="1"/>
    <col min="19" max="19" width="14" customWidth="1"/>
    <col min="20" max="21" width="12" customWidth="1"/>
  </cols>
  <sheetData>
    <row r="1" spans="1:21" ht="30" customHeight="1">
      <c r="A1" s="76" t="s">
        <v>298</v>
      </c>
      <c r="B1" s="74"/>
      <c r="C1" s="74"/>
      <c r="D1" s="74"/>
      <c r="E1" s="74"/>
      <c r="F1" s="74"/>
      <c r="G1" s="74"/>
      <c r="H1" s="74"/>
      <c r="I1" s="74"/>
      <c r="J1" s="74"/>
      <c r="K1" s="74"/>
      <c r="L1" s="74"/>
      <c r="M1" s="74"/>
      <c r="N1" s="74"/>
      <c r="O1" s="74"/>
      <c r="P1" s="74"/>
      <c r="Q1" s="74"/>
      <c r="R1" s="74"/>
      <c r="S1" s="74"/>
      <c r="T1" s="74"/>
      <c r="U1" s="74"/>
    </row>
    <row r="2" spans="1:21" ht="31.95" customHeight="1">
      <c r="A2" s="77" t="s">
        <v>299</v>
      </c>
      <c r="B2" s="74"/>
      <c r="C2" s="74"/>
      <c r="D2" s="74"/>
      <c r="E2" s="74"/>
      <c r="F2" s="74"/>
      <c r="G2" s="74"/>
      <c r="H2" s="74"/>
      <c r="I2" s="74"/>
      <c r="J2" s="74"/>
      <c r="K2" s="74"/>
      <c r="L2" s="74"/>
      <c r="M2" s="74"/>
      <c r="N2" s="74"/>
      <c r="O2" s="74"/>
      <c r="P2" s="74"/>
      <c r="Q2" s="74"/>
      <c r="R2" s="74"/>
      <c r="S2" s="74"/>
      <c r="T2" s="74"/>
      <c r="U2" s="74"/>
    </row>
    <row r="4" spans="1:21" ht="34.049999999999997" customHeight="1">
      <c r="A4" s="2" t="s">
        <v>300</v>
      </c>
      <c r="B4" s="2" t="s">
        <v>25</v>
      </c>
      <c r="C4" s="2" t="s">
        <v>301</v>
      </c>
      <c r="D4" s="2" t="s">
        <v>302</v>
      </c>
      <c r="E4" s="2" t="s">
        <v>303</v>
      </c>
      <c r="F4" s="2" t="s">
        <v>304</v>
      </c>
      <c r="G4" s="2" t="s">
        <v>305</v>
      </c>
      <c r="H4" s="2" t="s">
        <v>306</v>
      </c>
      <c r="I4" s="2" t="s">
        <v>307</v>
      </c>
      <c r="J4" s="2" t="s">
        <v>308</v>
      </c>
      <c r="K4" s="2" t="s">
        <v>309</v>
      </c>
      <c r="L4" s="2" t="s">
        <v>310</v>
      </c>
      <c r="M4" s="2" t="s">
        <v>311</v>
      </c>
      <c r="N4" s="2" t="s">
        <v>312</v>
      </c>
      <c r="O4" s="2" t="s">
        <v>313</v>
      </c>
      <c r="P4" s="2" t="s">
        <v>314</v>
      </c>
      <c r="Q4" s="2" t="s">
        <v>315</v>
      </c>
      <c r="R4" s="2" t="s">
        <v>316</v>
      </c>
      <c r="S4" s="2" t="s">
        <v>317</v>
      </c>
      <c r="T4" s="2" t="s">
        <v>318</v>
      </c>
      <c r="U4" s="2" t="s">
        <v>319</v>
      </c>
    </row>
    <row r="5" spans="1:21">
      <c r="A5" s="3" t="s">
        <v>320</v>
      </c>
      <c r="B5" s="4" t="s">
        <v>37</v>
      </c>
      <c r="C5" s="4" t="s">
        <v>37</v>
      </c>
      <c r="D5" s="4"/>
      <c r="E5" s="4"/>
      <c r="F5" s="4" t="s">
        <v>321</v>
      </c>
      <c r="G5" s="12" t="str">
        <f>IFERROR(VLOOKUP(F5,CATÁLOGOS!$A$6:$B$105,2,FALSE),"")</f>
        <v>Nuestros productos</v>
      </c>
      <c r="H5" s="4" t="s">
        <v>322</v>
      </c>
      <c r="I5" s="12" t="str">
        <f>IFERROR(VLOOKUP(H5,CATÁLOGOS!$F$6:$H$305,3,FALSE),"")</f>
        <v>Lavandinas y Cloros</v>
      </c>
      <c r="J5" s="4" t="s">
        <v>323</v>
      </c>
      <c r="K5" s="4" t="s">
        <v>324</v>
      </c>
      <c r="L5" s="4" t="s">
        <v>325</v>
      </c>
      <c r="M5" s="4" t="s">
        <v>326</v>
      </c>
      <c r="N5" s="4" t="s">
        <v>327</v>
      </c>
      <c r="O5" s="4" t="s">
        <v>328</v>
      </c>
      <c r="P5" s="12" t="str">
        <f>IFERROR(VLOOKUP(O5,CATÁLOGOS!$L$6:$O$305,3,FALSE),"")</f>
        <v>Lavandina al 4%. Presentación: 5 litros.</v>
      </c>
      <c r="Q5" s="12" t="str">
        <f>IFERROR(VLOOKUP(O5,CATÁLOGOS!$L$6:$O$305,4,FALSE),"")</f>
        <v>Lavandina. Elimina suciedad y gérmenes en inodoros, azulejos y superficies del baño, dejando un aroma agradable.</v>
      </c>
      <c r="R5" s="15"/>
      <c r="S5" s="15"/>
      <c r="T5" s="4" t="s">
        <v>329</v>
      </c>
      <c r="U5" s="9" t="s">
        <v>53</v>
      </c>
    </row>
    <row r="6" spans="1:21">
      <c r="A6" s="5" t="s">
        <v>330</v>
      </c>
      <c r="B6" s="6" t="s">
        <v>39</v>
      </c>
      <c r="C6" s="6" t="s">
        <v>39</v>
      </c>
      <c r="D6" s="6"/>
      <c r="E6" s="6"/>
      <c r="F6" s="6" t="s">
        <v>321</v>
      </c>
      <c r="G6" s="13" t="str">
        <f>IFERROR(VLOOKUP(F6,CATÁLOGOS!$A$6:$B$105,2,FALSE),"")</f>
        <v>Nuestros productos</v>
      </c>
      <c r="H6" s="6" t="s">
        <v>331</v>
      </c>
      <c r="I6" s="13" t="str">
        <f>IFERROR(VLOOKUP(H6,CATÁLOGOS!$F$6:$H$305,3,FALSE),"")</f>
        <v>Detergentes y Lavavajillas</v>
      </c>
      <c r="J6" s="6" t="s">
        <v>323</v>
      </c>
      <c r="K6" s="6" t="s">
        <v>332</v>
      </c>
      <c r="L6" s="6" t="s">
        <v>325</v>
      </c>
      <c r="M6" s="6" t="s">
        <v>326</v>
      </c>
      <c r="N6" s="6" t="s">
        <v>333</v>
      </c>
      <c r="O6" s="6" t="s">
        <v>334</v>
      </c>
      <c r="P6" s="13" t="str">
        <f>IFERROR(VLOOKUP(O6,CATÁLOGOS!$L$6:$O$305,3,FALSE),"")</f>
        <v>Detergente industrial rinde 10 Litros. Presentación: 5 litros.</v>
      </c>
      <c r="Q6" s="13" t="str">
        <f>IFERROR(VLOOKUP(O6,CATÁLOGOS!$L$6:$O$305,4,FALSE),"")</f>
        <v>Detergente concentrado. Ideal para desengrasar y limpiar utensilios, vajilla y superficies de cocina de forma rápida y efectiva.</v>
      </c>
      <c r="R6" s="16"/>
      <c r="S6" s="16"/>
      <c r="T6" s="6" t="s">
        <v>329</v>
      </c>
      <c r="U6" s="10" t="s">
        <v>53</v>
      </c>
    </row>
    <row r="7" spans="1:21">
      <c r="A7" s="5" t="s">
        <v>335</v>
      </c>
      <c r="B7" s="6" t="s">
        <v>40</v>
      </c>
      <c r="C7" s="6" t="s">
        <v>40</v>
      </c>
      <c r="D7" s="6"/>
      <c r="E7" s="6"/>
      <c r="F7" s="6" t="s">
        <v>321</v>
      </c>
      <c r="G7" s="13" t="str">
        <f>IFERROR(VLOOKUP(F7,CATÁLOGOS!$A$6:$B$105,2,FALSE),"")</f>
        <v>Nuestros productos</v>
      </c>
      <c r="H7" s="6" t="s">
        <v>331</v>
      </c>
      <c r="I7" s="13" t="str">
        <f>IFERROR(VLOOKUP(H7,CATÁLOGOS!$F$6:$H$305,3,FALSE),"")</f>
        <v>Detergentes y Lavavajillas</v>
      </c>
      <c r="J7" s="6" t="s">
        <v>323</v>
      </c>
      <c r="K7" s="6" t="s">
        <v>336</v>
      </c>
      <c r="L7" s="6" t="s">
        <v>325</v>
      </c>
      <c r="M7" s="6" t="s">
        <v>326</v>
      </c>
      <c r="N7" s="6" t="s">
        <v>337</v>
      </c>
      <c r="O7" s="6" t="s">
        <v>338</v>
      </c>
      <c r="P7" s="13" t="str">
        <f>IFERROR(VLOOKUP(O7,CATÁLOGOS!$L$6:$O$305,3,FALSE),"")</f>
        <v>Detergente Magistral listo para usar. Presentación: 5 litros.</v>
      </c>
      <c r="Q7" s="13" t="str">
        <f>IFERROR(VLOOKUP(O7,CATÁLOGOS!$L$6:$O$305,4,FALSE),"")</f>
        <v>Detergente listo para usar. Ideal para desengrasar y limpiar utensilios, vajilla y superficies de cocina de forma rápida y efectiva.</v>
      </c>
      <c r="R7" s="16"/>
      <c r="S7" s="16"/>
      <c r="T7" s="6" t="s">
        <v>329</v>
      </c>
      <c r="U7" s="10" t="s">
        <v>53</v>
      </c>
    </row>
    <row r="8" spans="1:21">
      <c r="A8" s="5" t="s">
        <v>339</v>
      </c>
      <c r="B8" s="6" t="s">
        <v>41</v>
      </c>
      <c r="C8" s="6" t="s">
        <v>41</v>
      </c>
      <c r="D8" s="6"/>
      <c r="E8" s="6"/>
      <c r="F8" s="6" t="s">
        <v>321</v>
      </c>
      <c r="G8" s="13" t="str">
        <f>IFERROR(VLOOKUP(F8,CATÁLOGOS!$A$6:$B$105,2,FALSE),"")</f>
        <v>Nuestros productos</v>
      </c>
      <c r="H8" s="6" t="s">
        <v>331</v>
      </c>
      <c r="I8" s="13" t="str">
        <f>IFERROR(VLOOKUP(H8,CATÁLOGOS!$F$6:$H$305,3,FALSE),"")</f>
        <v>Detergentes y Lavavajillas</v>
      </c>
      <c r="J8" s="6" t="s">
        <v>323</v>
      </c>
      <c r="K8" s="6" t="s">
        <v>340</v>
      </c>
      <c r="L8" s="6"/>
      <c r="M8" s="6" t="s">
        <v>326</v>
      </c>
      <c r="N8" s="6" t="s">
        <v>341</v>
      </c>
      <c r="O8" s="6" t="s">
        <v>342</v>
      </c>
      <c r="P8" s="13" t="str">
        <f>IFERROR(VLOOKUP(O8,CATÁLOGOS!$L$6:$O$305,3,FALSE),"")</f>
        <v>Lava-Vajillas Concentrado. Presentación: 5 litros.</v>
      </c>
      <c r="Q8" s="13" t="str">
        <f>IFERROR(VLOOKUP(O8,CATÁLOGOS!$L$6:$O$305,4,FALSE),"")</f>
        <v>Lava-vajillas concentrado. Ideal para desengrasar y limpiar utensilios, vajilla y superficies de cocina de forma rápida y efectiva.</v>
      </c>
      <c r="R8" s="16"/>
      <c r="S8" s="16"/>
      <c r="T8" s="6" t="s">
        <v>329</v>
      </c>
      <c r="U8" s="10" t="s">
        <v>53</v>
      </c>
    </row>
    <row r="9" spans="1:21">
      <c r="A9" s="5" t="s">
        <v>343</v>
      </c>
      <c r="B9" s="6" t="s">
        <v>42</v>
      </c>
      <c r="C9" s="6" t="s">
        <v>42</v>
      </c>
      <c r="D9" s="6"/>
      <c r="E9" s="6"/>
      <c r="F9" s="6" t="s">
        <v>321</v>
      </c>
      <c r="G9" s="13" t="str">
        <f>IFERROR(VLOOKUP(F9,CATÁLOGOS!$A$6:$B$105,2,FALSE),"")</f>
        <v>Nuestros productos</v>
      </c>
      <c r="H9" s="6" t="s">
        <v>344</v>
      </c>
      <c r="I9" s="13" t="str">
        <f>IFERROR(VLOOKUP(H9,CATÁLOGOS!$F$6:$H$305,3,FALSE),"")</f>
        <v>Jabones y Suavizantes</v>
      </c>
      <c r="J9" s="6" t="s">
        <v>323</v>
      </c>
      <c r="K9" s="6" t="s">
        <v>345</v>
      </c>
      <c r="L9" s="6" t="s">
        <v>346</v>
      </c>
      <c r="M9" s="6" t="s">
        <v>326</v>
      </c>
      <c r="N9" s="6" t="s">
        <v>347</v>
      </c>
      <c r="O9" s="6" t="s">
        <v>348</v>
      </c>
      <c r="P9" s="13" t="str">
        <f>IFERROR(VLOOKUP(O9,CATÁLOGOS!$L$6:$O$305,3,FALSE),"")</f>
        <v>Suavizante Blanco por 5 litros. Presentación: 5 litros. Fragancia: color blanco premium.</v>
      </c>
      <c r="Q9" s="13" t="str">
        <f>IFERROR(VLOOKUP(O9,CATÁLOGOS!$L$6:$O$305,4,FALSE),"")</f>
        <v>Suavizante. Cuida las fibras de la ropa, suaviza y deja un aroma agradable y duradero en cada lavado.</v>
      </c>
      <c r="R9" s="16"/>
      <c r="S9" s="16"/>
      <c r="T9" s="6" t="s">
        <v>329</v>
      </c>
      <c r="U9" s="10" t="s">
        <v>53</v>
      </c>
    </row>
    <row r="10" spans="1:21">
      <c r="A10" s="5" t="s">
        <v>349</v>
      </c>
      <c r="B10" s="6" t="s">
        <v>43</v>
      </c>
      <c r="C10" s="6" t="s">
        <v>43</v>
      </c>
      <c r="D10" s="6"/>
      <c r="E10" s="6"/>
      <c r="F10" s="6" t="s">
        <v>321</v>
      </c>
      <c r="G10" s="13" t="str">
        <f>IFERROR(VLOOKUP(F10,CATÁLOGOS!$A$6:$B$105,2,FALSE),"")</f>
        <v>Nuestros productos</v>
      </c>
      <c r="H10" s="6" t="s">
        <v>344</v>
      </c>
      <c r="I10" s="13" t="str">
        <f>IFERROR(VLOOKUP(H10,CATÁLOGOS!$F$6:$H$305,3,FALSE),"")</f>
        <v>Jabones y Suavizantes</v>
      </c>
      <c r="J10" s="6" t="s">
        <v>323</v>
      </c>
      <c r="K10" s="6" t="s">
        <v>350</v>
      </c>
      <c r="L10" s="6" t="s">
        <v>351</v>
      </c>
      <c r="M10" s="6" t="s">
        <v>326</v>
      </c>
      <c r="N10" s="6" t="s">
        <v>352</v>
      </c>
      <c r="O10" s="6" t="s">
        <v>353</v>
      </c>
      <c r="P10" s="13" t="str">
        <f>IFERROR(VLOOKUP(O10,CATÁLOGOS!$L$6:$O$305,3,FALSE),"")</f>
        <v>Suavizante listo para usar. Presentación: 5 litros. Fragancia: color celeste economico.</v>
      </c>
      <c r="Q10" s="13" t="str">
        <f>IFERROR(VLOOKUP(O10,CATÁLOGOS!$L$6:$O$305,4,FALSE),"")</f>
        <v>Tradicional. Cuida las fibras de la ropa, suaviza y deja un aroma agradable y duradero en cada lavado.</v>
      </c>
      <c r="R10" s="16"/>
      <c r="S10" s="16"/>
      <c r="T10" s="6" t="s">
        <v>329</v>
      </c>
      <c r="U10" s="10" t="s">
        <v>53</v>
      </c>
    </row>
    <row r="11" spans="1:21">
      <c r="A11" s="5" t="s">
        <v>354</v>
      </c>
      <c r="B11" s="6" t="s">
        <v>44</v>
      </c>
      <c r="C11" s="6" t="s">
        <v>44</v>
      </c>
      <c r="D11" s="6"/>
      <c r="E11" s="6"/>
      <c r="F11" s="6" t="s">
        <v>321</v>
      </c>
      <c r="G11" s="13" t="str">
        <f>IFERROR(VLOOKUP(F11,CATÁLOGOS!$A$6:$B$105,2,FALSE),"")</f>
        <v>Nuestros productos</v>
      </c>
      <c r="H11" s="6" t="s">
        <v>344</v>
      </c>
      <c r="I11" s="13" t="str">
        <f>IFERROR(VLOOKUP(H11,CATÁLOGOS!$F$6:$H$305,3,FALSE),"")</f>
        <v>Jabones y Suavizantes</v>
      </c>
      <c r="J11" s="6" t="s">
        <v>355</v>
      </c>
      <c r="K11" s="6" t="s">
        <v>356</v>
      </c>
      <c r="L11" s="6"/>
      <c r="M11" s="6" t="s">
        <v>357</v>
      </c>
      <c r="N11" s="6" t="s">
        <v>358</v>
      </c>
      <c r="O11" s="6" t="s">
        <v>359</v>
      </c>
      <c r="P11" s="13" t="str">
        <f>IFERROR(VLOOKUP(O11,CATÁLOGOS!$L$6:$O$305,3,FALSE),"")</f>
        <v>Jabon en polvo. Presentación: 20 kg. Marca granby.</v>
      </c>
      <c r="Q11" s="13" t="str">
        <f>IFERROR(VLOOKUP(O11,CATÁLOGOS!$L$6:$O$305,4,FALSE),"")</f>
        <v>Tradicional. Cuida las fibras de la ropa, suaviza y deja un aroma agradable y duradero en cada lavado.</v>
      </c>
      <c r="R11" s="16"/>
      <c r="S11" s="16"/>
      <c r="T11" s="6" t="s">
        <v>329</v>
      </c>
      <c r="U11" s="10" t="s">
        <v>53</v>
      </c>
    </row>
    <row r="12" spans="1:21">
      <c r="A12" s="5" t="s">
        <v>360</v>
      </c>
      <c r="B12" s="6" t="s">
        <v>45</v>
      </c>
      <c r="C12" s="6" t="s">
        <v>45</v>
      </c>
      <c r="D12" s="6"/>
      <c r="E12" s="6"/>
      <c r="F12" s="6" t="s">
        <v>361</v>
      </c>
      <c r="G12" s="13" t="str">
        <f>IFERROR(VLOOKUP(F12,CATÁLOGOS!$A$6:$B$105,2,FALSE),"")</f>
        <v>Todo para tu ropa</v>
      </c>
      <c r="H12" s="6" t="s">
        <v>362</v>
      </c>
      <c r="I12" s="13" t="str">
        <f>IFERROR(VLOOKUP(H12,CATÁLOGOS!$F$6:$H$305,3,FALSE),"")</f>
        <v>Perfumes para ropa</v>
      </c>
      <c r="J12" s="6" t="s">
        <v>323</v>
      </c>
      <c r="K12" s="6" t="s">
        <v>363</v>
      </c>
      <c r="L12" s="6" t="s">
        <v>364</v>
      </c>
      <c r="M12" s="6" t="s">
        <v>365</v>
      </c>
      <c r="N12" s="6" t="s">
        <v>366</v>
      </c>
      <c r="O12" s="6" t="s">
        <v>367</v>
      </c>
      <c r="P12" s="13" t="str">
        <f>IFERROR(VLOOKUP(O12,CATÁLOGOS!$L$6:$O$305,3,FALSE),"")</f>
        <v>Perfume aromatico de base en agua. Presentación: 1 litros.</v>
      </c>
      <c r="Q12" s="13" t="str">
        <f>IFERROR(VLOOKUP(O12,CATÁLOGOS!$L$6:$O$305,4,FALSE),"")</f>
        <v>Perfumes para ropa. Perfuma ambientes y textiles con una fragancia agradable y duradera, ideal para dejar todo con olor a limpio. Disponible en múltiples fragancias a elección.</v>
      </c>
      <c r="R12" s="16"/>
      <c r="S12" s="16"/>
      <c r="T12" s="6" t="s">
        <v>329</v>
      </c>
      <c r="U12" s="10" t="s">
        <v>53</v>
      </c>
    </row>
    <row r="13" spans="1:21">
      <c r="A13" s="5" t="s">
        <v>368</v>
      </c>
      <c r="B13" s="6" t="s">
        <v>46</v>
      </c>
      <c r="C13" s="6" t="s">
        <v>46</v>
      </c>
      <c r="D13" s="6"/>
      <c r="E13" s="6"/>
      <c r="F13" s="6" t="s">
        <v>361</v>
      </c>
      <c r="G13" s="13" t="str">
        <f>IFERROR(VLOOKUP(F13,CATÁLOGOS!$A$6:$B$105,2,FALSE),"")</f>
        <v>Todo para tu ropa</v>
      </c>
      <c r="H13" s="6" t="s">
        <v>362</v>
      </c>
      <c r="I13" s="13" t="str">
        <f>IFERROR(VLOOKUP(H13,CATÁLOGOS!$F$6:$H$305,3,FALSE),"")</f>
        <v>Perfumes para ropa</v>
      </c>
      <c r="J13" s="6" t="s">
        <v>323</v>
      </c>
      <c r="K13" s="6" t="s">
        <v>369</v>
      </c>
      <c r="L13" s="6" t="s">
        <v>364</v>
      </c>
      <c r="M13" s="6" t="s">
        <v>326</v>
      </c>
      <c r="N13" s="6" t="s">
        <v>370</v>
      </c>
      <c r="O13" s="6" t="s">
        <v>371</v>
      </c>
      <c r="P13" s="13" t="str">
        <f>IFERROR(VLOOKUP(O13,CATÁLOGOS!$L$6:$O$305,3,FALSE),"")</f>
        <v>Perfume aromatico de base en alcohol. Presentación: 5 litros.</v>
      </c>
      <c r="Q13" s="13" t="str">
        <f>IFERROR(VLOOKUP(O13,CATÁLOGOS!$L$6:$O$305,4,FALSE),"")</f>
        <v>Perfumes para ropa. Perfuma ambientes y textiles con una fragancia agradable y duradera, ideal para dejar todo con olor a limpio. Disponible en múltiples fragancias a elección.</v>
      </c>
      <c r="R13" s="16"/>
      <c r="S13" s="16"/>
      <c r="T13" s="6" t="s">
        <v>329</v>
      </c>
      <c r="U13" s="10" t="s">
        <v>53</v>
      </c>
    </row>
    <row r="14" spans="1:21">
      <c r="A14" s="5" t="s">
        <v>372</v>
      </c>
      <c r="B14" s="6" t="s">
        <v>47</v>
      </c>
      <c r="C14" s="6" t="s">
        <v>47</v>
      </c>
      <c r="D14" s="6"/>
      <c r="E14" s="6"/>
      <c r="F14" s="6" t="s">
        <v>321</v>
      </c>
      <c r="G14" s="13" t="str">
        <f>IFERROR(VLOOKUP(F14,CATÁLOGOS!$A$6:$B$105,2,FALSE),"")</f>
        <v>Nuestros productos</v>
      </c>
      <c r="H14" s="6" t="s">
        <v>373</v>
      </c>
      <c r="I14" s="13" t="str">
        <f>IFERROR(VLOOKUP(H14,CATÁLOGOS!$F$6:$H$305,3,FALSE),"")</f>
        <v>Desengrasantes</v>
      </c>
      <c r="J14" s="6" t="s">
        <v>323</v>
      </c>
      <c r="K14" s="6" t="s">
        <v>374</v>
      </c>
      <c r="L14" s="6"/>
      <c r="M14" s="6" t="s">
        <v>326</v>
      </c>
      <c r="N14" s="6" t="s">
        <v>375</v>
      </c>
      <c r="O14" s="6" t="s">
        <v>376</v>
      </c>
      <c r="P14" s="13" t="str">
        <f>IFERROR(VLOOKUP(O14,CATÁLOGOS!$L$6:$O$305,3,FALSE),"")</f>
        <v>Desengrasante industrial. Presentación: 5 litros.</v>
      </c>
      <c r="Q14" s="13" t="str">
        <f>IFERROR(VLOOKUP(O14,CATÁLOGOS!$L$6:$O$305,4,FALSE),"")</f>
        <v>Desengrasantes. Elimina bacterias y gérmenes, desinfectando a fondo superficies del hogar, comercios e industrias.</v>
      </c>
      <c r="R14" s="16"/>
      <c r="S14" s="16"/>
      <c r="T14" s="6" t="s">
        <v>329</v>
      </c>
      <c r="U14" s="10" t="s">
        <v>53</v>
      </c>
    </row>
    <row r="15" spans="1:21">
      <c r="A15" s="5" t="s">
        <v>377</v>
      </c>
      <c r="B15" s="6" t="s">
        <v>48</v>
      </c>
      <c r="C15" s="6" t="s">
        <v>48</v>
      </c>
      <c r="D15" s="6"/>
      <c r="E15" s="6"/>
      <c r="F15" s="6" t="s">
        <v>321</v>
      </c>
      <c r="G15" s="13" t="str">
        <f>IFERROR(VLOOKUP(F15,CATÁLOGOS!$A$6:$B$105,2,FALSE),"")</f>
        <v>Nuestros productos</v>
      </c>
      <c r="H15" s="6" t="s">
        <v>373</v>
      </c>
      <c r="I15" s="13" t="str">
        <f>IFERROR(VLOOKUP(H15,CATÁLOGOS!$F$6:$H$305,3,FALSE),"")</f>
        <v>Desengrasantes</v>
      </c>
      <c r="J15" s="6" t="s">
        <v>323</v>
      </c>
      <c r="K15" s="6" t="s">
        <v>378</v>
      </c>
      <c r="L15" s="6"/>
      <c r="M15" s="6" t="s">
        <v>326</v>
      </c>
      <c r="N15" s="6" t="s">
        <v>379</v>
      </c>
      <c r="O15" s="6" t="s">
        <v>380</v>
      </c>
      <c r="P15" s="13" t="str">
        <f>IFERROR(VLOOKUP(O15,CATÁLOGOS!$L$6:$O$305,3,FALSE),"")</f>
        <v>Desengrasante lavamotor. Presentación: 5 litros.</v>
      </c>
      <c r="Q15" s="13" t="str">
        <f>IFERROR(VLOOKUP(O15,CATÁLOGOS!$L$6:$O$305,4,FALSE),"")</f>
        <v>Desengrasantes. Elimina bacterias y gérmenes, desinfectando a fondo superficies del hogar, comercios e industrias.</v>
      </c>
      <c r="R15" s="16"/>
      <c r="S15" s="16"/>
      <c r="T15" s="6" t="s">
        <v>329</v>
      </c>
      <c r="U15" s="10" t="s">
        <v>53</v>
      </c>
    </row>
    <row r="16" spans="1:21">
      <c r="A16" s="5" t="s">
        <v>381</v>
      </c>
      <c r="B16" s="6" t="s">
        <v>49</v>
      </c>
      <c r="C16" s="6" t="s">
        <v>49</v>
      </c>
      <c r="D16" s="6"/>
      <c r="E16" s="6"/>
      <c r="F16" s="6" t="s">
        <v>321</v>
      </c>
      <c r="G16" s="13" t="str">
        <f>IFERROR(VLOOKUP(F16,CATÁLOGOS!$A$6:$B$105,2,FALSE),"")</f>
        <v>Nuestros productos</v>
      </c>
      <c r="H16" s="6" t="s">
        <v>373</v>
      </c>
      <c r="I16" s="13" t="str">
        <f>IFERROR(VLOOKUP(H16,CATÁLOGOS!$F$6:$H$305,3,FALSE),"")</f>
        <v>Desengrasantes</v>
      </c>
      <c r="J16" s="6" t="s">
        <v>323</v>
      </c>
      <c r="K16" s="6" t="s">
        <v>382</v>
      </c>
      <c r="L16" s="6"/>
      <c r="M16" s="6" t="s">
        <v>326</v>
      </c>
      <c r="N16" s="6" t="s">
        <v>383</v>
      </c>
      <c r="O16" s="6" t="s">
        <v>384</v>
      </c>
      <c r="P16" s="13" t="str">
        <f>IFERROR(VLOOKUP(O16,CATÁLOGOS!$L$6:$O$305,3,FALSE),"")</f>
        <v>Desengrasante multi usos. Presentación: 5 litros.</v>
      </c>
      <c r="Q16" s="13" t="str">
        <f>IFERROR(VLOOKUP(O16,CATÁLOGOS!$L$6:$O$305,4,FALSE),"")</f>
        <v>Desengrasantes. Elimina bacterias y gérmenes, desinfectando a fondo superficies del hogar, comercios e industrias.</v>
      </c>
      <c r="R16" s="16"/>
      <c r="S16" s="16"/>
      <c r="T16" s="6" t="s">
        <v>329</v>
      </c>
      <c r="U16" s="10" t="s">
        <v>53</v>
      </c>
    </row>
    <row r="17" spans="1:21">
      <c r="A17" s="5" t="s">
        <v>385</v>
      </c>
      <c r="B17" s="6" t="s">
        <v>50</v>
      </c>
      <c r="C17" s="6" t="s">
        <v>50</v>
      </c>
      <c r="D17" s="6"/>
      <c r="E17" s="6"/>
      <c r="F17" s="6" t="s">
        <v>321</v>
      </c>
      <c r="G17" s="13" t="str">
        <f>IFERROR(VLOOKUP(F17,CATÁLOGOS!$A$6:$B$105,2,FALSE),"")</f>
        <v>Nuestros productos</v>
      </c>
      <c r="H17" s="6" t="s">
        <v>373</v>
      </c>
      <c r="I17" s="13" t="str">
        <f>IFERROR(VLOOKUP(H17,CATÁLOGOS!$F$6:$H$305,3,FALSE),"")</f>
        <v>Desengrasantes</v>
      </c>
      <c r="J17" s="6" t="s">
        <v>323</v>
      </c>
      <c r="K17" s="6" t="s">
        <v>386</v>
      </c>
      <c r="L17" s="6"/>
      <c r="M17" s="6" t="s">
        <v>326</v>
      </c>
      <c r="N17" s="6" t="s">
        <v>387</v>
      </c>
      <c r="O17" s="6" t="s">
        <v>388</v>
      </c>
      <c r="P17" s="13" t="str">
        <f>IFERROR(VLOOKUP(O17,CATÁLOGOS!$L$6:$O$305,3,FALSE),"")</f>
        <v>Desengrasante quima manchas. Presentación: 5 litros.</v>
      </c>
      <c r="Q17" s="13" t="str">
        <f>IFERROR(VLOOKUP(O17,CATÁLOGOS!$L$6:$O$305,4,FALSE),"")</f>
        <v>Desengrasantes. Elimina bacterias y gérmenes, desinfectando a fondo superficies del hogar, comercios e industrias.</v>
      </c>
      <c r="R17" s="16"/>
      <c r="S17" s="16"/>
      <c r="T17" s="6" t="s">
        <v>329</v>
      </c>
      <c r="U17" s="10" t="s">
        <v>53</v>
      </c>
    </row>
    <row r="18" spans="1:21">
      <c r="A18" s="5" t="s">
        <v>389</v>
      </c>
      <c r="B18" s="6" t="s">
        <v>51</v>
      </c>
      <c r="C18" s="6" t="s">
        <v>51</v>
      </c>
      <c r="D18" s="6"/>
      <c r="E18" s="6"/>
      <c r="F18" s="6" t="s">
        <v>321</v>
      </c>
      <c r="G18" s="13" t="str">
        <f>IFERROR(VLOOKUP(F18,CATÁLOGOS!$A$6:$B$105,2,FALSE),"")</f>
        <v>Nuestros productos</v>
      </c>
      <c r="H18" s="6" t="s">
        <v>373</v>
      </c>
      <c r="I18" s="13" t="str">
        <f>IFERROR(VLOOKUP(H18,CATÁLOGOS!$F$6:$H$305,3,FALSE),"")</f>
        <v>Desengrasantes</v>
      </c>
      <c r="J18" s="6" t="s">
        <v>323</v>
      </c>
      <c r="K18" s="6" t="s">
        <v>390</v>
      </c>
      <c r="L18" s="6"/>
      <c r="M18" s="6" t="s">
        <v>326</v>
      </c>
      <c r="N18" s="6" t="s">
        <v>391</v>
      </c>
      <c r="O18" s="6" t="s">
        <v>392</v>
      </c>
      <c r="P18" s="13" t="str">
        <f>IFERROR(VLOOKUP(O18,CATÁLOGOS!$L$6:$O$305,3,FALSE),"")</f>
        <v>Desengrasante limpiador cremoso. Presentación: 5 litros.</v>
      </c>
      <c r="Q18" s="13" t="str">
        <f>IFERROR(VLOOKUP(O18,CATÁLOGOS!$L$6:$O$305,4,FALSE),"")</f>
        <v>Desengrasantes. Elimina bacterias y gérmenes, desinfectando a fondo superficies del hogar, comercios e industrias.</v>
      </c>
      <c r="R18" s="16"/>
      <c r="S18" s="16"/>
      <c r="T18" s="6" t="s">
        <v>329</v>
      </c>
      <c r="U18" s="10" t="s">
        <v>53</v>
      </c>
    </row>
    <row r="19" spans="1:21">
      <c r="A19" s="5" t="s">
        <v>393</v>
      </c>
      <c r="B19" s="6" t="s">
        <v>52</v>
      </c>
      <c r="C19" s="6" t="s">
        <v>52</v>
      </c>
      <c r="D19" s="6"/>
      <c r="E19" s="6"/>
      <c r="F19" s="6" t="s">
        <v>394</v>
      </c>
      <c r="G19" s="13" t="str">
        <f>IFERROR(VLOOKUP(F19,CATÁLOGOS!$A$6:$B$105,2,FALSE),"")</f>
        <v>🧰 Accesorios y equipamiento</v>
      </c>
      <c r="H19" s="6" t="s">
        <v>395</v>
      </c>
      <c r="I19" s="13" t="str">
        <f>IFERROR(VLOOKUP(H19,CATÁLOGOS!$F$6:$H$305,3,FALSE),"")</f>
        <v>Rejillas y repasadores</v>
      </c>
      <c r="J19" s="6" t="s">
        <v>323</v>
      </c>
      <c r="K19" s="6" t="s">
        <v>396</v>
      </c>
      <c r="L19" s="6"/>
      <c r="M19" s="6" t="s">
        <v>397</v>
      </c>
      <c r="N19" s="6" t="s">
        <v>398</v>
      </c>
      <c r="O19" s="6" t="s">
        <v>399</v>
      </c>
      <c r="P19" s="13" t="str">
        <f>IFERROR(VLOOKUP(O19,CATÁLOGOS!$L$6:$O$305,3,FALSE),"")</f>
        <v>Franela 40x50. Presentación: 1 unidad.</v>
      </c>
      <c r="Q19" s="13" t="str">
        <f>IFERROR(VLOOKUP(O19,CATÁLOGOS!$L$6:$O$305,4,FALSE),"")</f>
        <v>Rejillas y repasadores. Accesorio resistente y práctico, pensado para facilitar las tareas de limpieza del hogar.</v>
      </c>
      <c r="R19" s="16"/>
      <c r="S19" s="16"/>
      <c r="T19" s="6" t="s">
        <v>329</v>
      </c>
      <c r="U19" s="10" t="s">
        <v>53</v>
      </c>
    </row>
    <row r="20" spans="1:21">
      <c r="A20" s="5" t="s">
        <v>400</v>
      </c>
      <c r="B20" s="6" t="s">
        <v>54</v>
      </c>
      <c r="C20" s="6" t="s">
        <v>54</v>
      </c>
      <c r="D20" s="6"/>
      <c r="E20" s="6"/>
      <c r="F20" s="6" t="s">
        <v>394</v>
      </c>
      <c r="G20" s="13" t="str">
        <f>IFERROR(VLOOKUP(F20,CATÁLOGOS!$A$6:$B$105,2,FALSE),"")</f>
        <v>🧰 Accesorios y equipamiento</v>
      </c>
      <c r="H20" s="6" t="s">
        <v>395</v>
      </c>
      <c r="I20" s="13" t="str">
        <f>IFERROR(VLOOKUP(H20,CATÁLOGOS!$F$6:$H$305,3,FALSE),"")</f>
        <v>Rejillas y repasadores</v>
      </c>
      <c r="J20" s="6" t="s">
        <v>323</v>
      </c>
      <c r="K20" s="6" t="s">
        <v>401</v>
      </c>
      <c r="L20" s="6"/>
      <c r="M20" s="6" t="s">
        <v>397</v>
      </c>
      <c r="N20" s="6" t="s">
        <v>402</v>
      </c>
      <c r="O20" s="6" t="s">
        <v>403</v>
      </c>
      <c r="P20" s="13" t="str">
        <f>IFERROR(VLOOKUP(O20,CATÁLOGOS!$L$6:$O$305,3,FALSE),"")</f>
        <v>Rejilla de cocina. Presentación: 1 unidad.</v>
      </c>
      <c r="Q20" s="13" t="str">
        <f>IFERROR(VLOOKUP(O20,CATÁLOGOS!$L$6:$O$305,4,FALSE),"")</f>
        <v>Rejillas y repasadores. Accesorio resistente y práctico, pensado para facilitar las tareas de limpieza del hogar.</v>
      </c>
      <c r="R20" s="16"/>
      <c r="S20" s="16"/>
      <c r="T20" s="6" t="s">
        <v>329</v>
      </c>
      <c r="U20" s="10" t="s">
        <v>53</v>
      </c>
    </row>
    <row r="21" spans="1:21">
      <c r="A21" s="5" t="s">
        <v>404</v>
      </c>
      <c r="B21" s="6" t="s">
        <v>55</v>
      </c>
      <c r="C21" s="6" t="s">
        <v>55</v>
      </c>
      <c r="D21" s="6"/>
      <c r="E21" s="6"/>
      <c r="F21" s="6" t="s">
        <v>394</v>
      </c>
      <c r="G21" s="13" t="str">
        <f>IFERROR(VLOOKUP(F21,CATÁLOGOS!$A$6:$B$105,2,FALSE),"")</f>
        <v>🧰 Accesorios y equipamiento</v>
      </c>
      <c r="H21" s="6" t="s">
        <v>395</v>
      </c>
      <c r="I21" s="13" t="str">
        <f>IFERROR(VLOOKUP(H21,CATÁLOGOS!$F$6:$H$305,3,FALSE),"")</f>
        <v>Rejillas y repasadores</v>
      </c>
      <c r="J21" s="6" t="s">
        <v>323</v>
      </c>
      <c r="K21" s="6" t="s">
        <v>405</v>
      </c>
      <c r="L21" s="6"/>
      <c r="M21" s="6" t="s">
        <v>397</v>
      </c>
      <c r="N21" s="6" t="s">
        <v>406</v>
      </c>
      <c r="O21" s="6" t="s">
        <v>407</v>
      </c>
      <c r="P21" s="13" t="str">
        <f>IFERROR(VLOOKUP(O21,CATÁLOGOS!$L$6:$O$305,3,FALSE),"")</f>
        <v>Rejilla tipo americana. Presentación: 1 unidad.</v>
      </c>
      <c r="Q21" s="13" t="str">
        <f>IFERROR(VLOOKUP(O21,CATÁLOGOS!$L$6:$O$305,4,FALSE),"")</f>
        <v>Rejillas y repasadores. Accesorio resistente y práctico, pensado para facilitar las tareas de limpieza del hogar.</v>
      </c>
      <c r="R21" s="16"/>
      <c r="S21" s="16"/>
      <c r="T21" s="6" t="s">
        <v>329</v>
      </c>
      <c r="U21" s="10" t="s">
        <v>53</v>
      </c>
    </row>
    <row r="22" spans="1:21">
      <c r="A22" s="5" t="s">
        <v>408</v>
      </c>
      <c r="B22" s="6" t="s">
        <v>56</v>
      </c>
      <c r="C22" s="6" t="s">
        <v>56</v>
      </c>
      <c r="D22" s="6" t="s">
        <v>409</v>
      </c>
      <c r="E22" s="6" t="s">
        <v>410</v>
      </c>
      <c r="F22" s="6" t="s">
        <v>394</v>
      </c>
      <c r="G22" s="13" t="str">
        <f>IFERROR(VLOOKUP(F22,CATÁLOGOS!$A$6:$B$105,2,FALSE),"")</f>
        <v>🧰 Accesorios y equipamiento</v>
      </c>
      <c r="H22" s="6" t="s">
        <v>395</v>
      </c>
      <c r="I22" s="13" t="str">
        <f>IFERROR(VLOOKUP(H22,CATÁLOGOS!$F$6:$H$305,3,FALSE),"")</f>
        <v>Rejillas y repasadores</v>
      </c>
      <c r="J22" s="6" t="s">
        <v>323</v>
      </c>
      <c r="K22" s="6" t="s">
        <v>411</v>
      </c>
      <c r="L22" s="6"/>
      <c r="M22" s="6" t="s">
        <v>397</v>
      </c>
      <c r="N22" s="6" t="s">
        <v>412</v>
      </c>
      <c r="O22" s="6" t="s">
        <v>413</v>
      </c>
      <c r="P22" s="13" t="str">
        <f>IFERROR(VLOOKUP(O22,CATÁLOGOS!$L$6:$O$305,3,FALSE),"")</f>
        <v>Rejilla de auto. Presentación: 1 unidad.</v>
      </c>
      <c r="Q22" s="13" t="str">
        <f>IFERROR(VLOOKUP(O22,CATÁLOGOS!$L$6:$O$305,4,FALSE),"")</f>
        <v>Rejillas y repasadores. Accesorio resistente y práctico, pensado para facilitar las tareas de limpieza del hogar.</v>
      </c>
      <c r="R22" s="16"/>
      <c r="S22" s="16"/>
      <c r="T22" s="6" t="s">
        <v>329</v>
      </c>
      <c r="U22" s="10" t="s">
        <v>53</v>
      </c>
    </row>
    <row r="23" spans="1:21">
      <c r="A23" s="5" t="s">
        <v>414</v>
      </c>
      <c r="B23" s="6" t="s">
        <v>57</v>
      </c>
      <c r="C23" s="6" t="s">
        <v>57</v>
      </c>
      <c r="D23" s="6"/>
      <c r="E23" s="6"/>
      <c r="F23" s="6" t="s">
        <v>394</v>
      </c>
      <c r="G23" s="13" t="str">
        <f>IFERROR(VLOOKUP(F23,CATÁLOGOS!$A$6:$B$105,2,FALSE),"")</f>
        <v>🧰 Accesorios y equipamiento</v>
      </c>
      <c r="H23" s="6" t="s">
        <v>395</v>
      </c>
      <c r="I23" s="13" t="str">
        <f>IFERROR(VLOOKUP(H23,CATÁLOGOS!$F$6:$H$305,3,FALSE),"")</f>
        <v>Rejillas y repasadores</v>
      </c>
      <c r="J23" s="6" t="s">
        <v>323</v>
      </c>
      <c r="K23" s="6" t="s">
        <v>415</v>
      </c>
      <c r="L23" s="6"/>
      <c r="M23" s="6" t="s">
        <v>397</v>
      </c>
      <c r="N23" s="6" t="s">
        <v>416</v>
      </c>
      <c r="O23" s="6" t="s">
        <v>417</v>
      </c>
      <c r="P23" s="13" t="str">
        <f>IFERROR(VLOOKUP(O23,CATÁLOGOS!$L$6:$O$305,3,FALSE),"")</f>
        <v>Rejilla de pabilo. Presentación: 1 unidad.</v>
      </c>
      <c r="Q23" s="13" t="str">
        <f>IFERROR(VLOOKUP(O23,CATÁLOGOS!$L$6:$O$305,4,FALSE),"")</f>
        <v>Rejillas y repasadores. Accesorio resistente y práctico, pensado para facilitar las tareas de limpieza del hogar.</v>
      </c>
      <c r="R23" s="16"/>
      <c r="S23" s="16"/>
      <c r="T23" s="6" t="s">
        <v>329</v>
      </c>
      <c r="U23" s="10" t="s">
        <v>53</v>
      </c>
    </row>
    <row r="24" spans="1:21">
      <c r="A24" s="5" t="s">
        <v>418</v>
      </c>
      <c r="B24" s="6" t="s">
        <v>58</v>
      </c>
      <c r="C24" s="6" t="s">
        <v>58</v>
      </c>
      <c r="D24" s="6" t="s">
        <v>409</v>
      </c>
      <c r="E24" s="6" t="s">
        <v>419</v>
      </c>
      <c r="F24" s="6" t="s">
        <v>394</v>
      </c>
      <c r="G24" s="13" t="str">
        <f>IFERROR(VLOOKUP(F24,CATÁLOGOS!$A$6:$B$105,2,FALSE),"")</f>
        <v>🧰 Accesorios y equipamiento</v>
      </c>
      <c r="H24" s="6" t="s">
        <v>395</v>
      </c>
      <c r="I24" s="13" t="str">
        <f>IFERROR(VLOOKUP(H24,CATÁLOGOS!$F$6:$H$305,3,FALSE),"")</f>
        <v>Rejillas y repasadores</v>
      </c>
      <c r="J24" s="6" t="s">
        <v>323</v>
      </c>
      <c r="K24" s="6" t="s">
        <v>411</v>
      </c>
      <c r="L24" s="6"/>
      <c r="M24" s="6" t="s">
        <v>397</v>
      </c>
      <c r="N24" s="6" t="s">
        <v>420</v>
      </c>
      <c r="O24" s="6" t="s">
        <v>413</v>
      </c>
      <c r="P24" s="13" t="str">
        <f>IFERROR(VLOOKUP(O24,CATÁLOGOS!$L$6:$O$305,3,FALSE),"")</f>
        <v>Rejilla de auto. Presentación: 1 unidad.</v>
      </c>
      <c r="Q24" s="13" t="str">
        <f>IFERROR(VLOOKUP(O24,CATÁLOGOS!$L$6:$O$305,4,FALSE),"")</f>
        <v>Rejillas y repasadores. Accesorio resistente y práctico, pensado para facilitar las tareas de limpieza del hogar.</v>
      </c>
      <c r="R24" s="16"/>
      <c r="S24" s="16"/>
      <c r="T24" s="6" t="s">
        <v>329</v>
      </c>
      <c r="U24" s="10" t="s">
        <v>53</v>
      </c>
    </row>
    <row r="25" spans="1:21">
      <c r="A25" s="5" t="s">
        <v>421</v>
      </c>
      <c r="B25" s="6" t="s">
        <v>59</v>
      </c>
      <c r="C25" s="6" t="s">
        <v>59</v>
      </c>
      <c r="D25" s="6" t="s">
        <v>409</v>
      </c>
      <c r="E25" s="6" t="s">
        <v>422</v>
      </c>
      <c r="F25" s="6" t="s">
        <v>394</v>
      </c>
      <c r="G25" s="13" t="str">
        <f>IFERROR(VLOOKUP(F25,CATÁLOGOS!$A$6:$B$105,2,FALSE),"")</f>
        <v>🧰 Accesorios y equipamiento</v>
      </c>
      <c r="H25" s="6" t="s">
        <v>395</v>
      </c>
      <c r="I25" s="13" t="str">
        <f>IFERROR(VLOOKUP(H25,CATÁLOGOS!$F$6:$H$305,3,FALSE),"")</f>
        <v>Rejillas y repasadores</v>
      </c>
      <c r="J25" s="6" t="s">
        <v>323</v>
      </c>
      <c r="K25" s="6" t="s">
        <v>411</v>
      </c>
      <c r="L25" s="6"/>
      <c r="M25" s="6" t="s">
        <v>397</v>
      </c>
      <c r="N25" s="6" t="s">
        <v>423</v>
      </c>
      <c r="O25" s="6" t="s">
        <v>413</v>
      </c>
      <c r="P25" s="13" t="str">
        <f>IFERROR(VLOOKUP(O25,CATÁLOGOS!$L$6:$O$305,3,FALSE),"")</f>
        <v>Rejilla de auto. Presentación: 1 unidad.</v>
      </c>
      <c r="Q25" s="13" t="str">
        <f>IFERROR(VLOOKUP(O25,CATÁLOGOS!$L$6:$O$305,4,FALSE),"")</f>
        <v>Rejillas y repasadores. Accesorio resistente y práctico, pensado para facilitar las tareas de limpieza del hogar.</v>
      </c>
      <c r="R25" s="16"/>
      <c r="S25" s="16"/>
      <c r="T25" s="6" t="s">
        <v>329</v>
      </c>
      <c r="U25" s="10" t="s">
        <v>53</v>
      </c>
    </row>
    <row r="26" spans="1:21">
      <c r="A26" s="5" t="s">
        <v>424</v>
      </c>
      <c r="B26" s="6" t="s">
        <v>60</v>
      </c>
      <c r="C26" s="6" t="s">
        <v>60</v>
      </c>
      <c r="D26" s="6" t="s">
        <v>425</v>
      </c>
      <c r="E26" s="6" t="s">
        <v>422</v>
      </c>
      <c r="F26" s="6" t="s">
        <v>394</v>
      </c>
      <c r="G26" s="13" t="str">
        <f>IFERROR(VLOOKUP(F26,CATÁLOGOS!$A$6:$B$105,2,FALSE),"")</f>
        <v>🧰 Accesorios y equipamiento</v>
      </c>
      <c r="H26" s="6" t="s">
        <v>395</v>
      </c>
      <c r="I26" s="13" t="str">
        <f>IFERROR(VLOOKUP(H26,CATÁLOGOS!$F$6:$H$305,3,FALSE),"")</f>
        <v>Rejillas y repasadores</v>
      </c>
      <c r="J26" s="6" t="s">
        <v>323</v>
      </c>
      <c r="K26" s="6" t="s">
        <v>426</v>
      </c>
      <c r="L26" s="6"/>
      <c r="M26" s="6" t="s">
        <v>397</v>
      </c>
      <c r="N26" s="6" t="s">
        <v>427</v>
      </c>
      <c r="O26" s="6" t="s">
        <v>428</v>
      </c>
      <c r="P26" s="13" t="str">
        <f>IFERROR(VLOOKUP(O26,CATÁLOGOS!$L$6:$O$305,3,FALSE),"")</f>
        <v>Rejilla cocina. Presentación: 1 unidad.</v>
      </c>
      <c r="Q26" s="13" t="str">
        <f>IFERROR(VLOOKUP(O26,CATÁLOGOS!$L$6:$O$305,4,FALSE),"")</f>
        <v>Rejillas y repasadores. Accesorio resistente y práctico, pensado para facilitar las tareas de limpieza del hogar.</v>
      </c>
      <c r="R26" s="16"/>
      <c r="S26" s="16"/>
      <c r="T26" s="6" t="s">
        <v>329</v>
      </c>
      <c r="U26" s="10" t="s">
        <v>53</v>
      </c>
    </row>
    <row r="27" spans="1:21">
      <c r="A27" s="5" t="s">
        <v>429</v>
      </c>
      <c r="B27" s="6" t="s">
        <v>61</v>
      </c>
      <c r="C27" s="6" t="s">
        <v>61</v>
      </c>
      <c r="D27" s="6" t="s">
        <v>425</v>
      </c>
      <c r="E27" s="6" t="s">
        <v>419</v>
      </c>
      <c r="F27" s="6" t="s">
        <v>394</v>
      </c>
      <c r="G27" s="13" t="str">
        <f>IFERROR(VLOOKUP(F27,CATÁLOGOS!$A$6:$B$105,2,FALSE),"")</f>
        <v>🧰 Accesorios y equipamiento</v>
      </c>
      <c r="H27" s="6" t="s">
        <v>395</v>
      </c>
      <c r="I27" s="13" t="str">
        <f>IFERROR(VLOOKUP(H27,CATÁLOGOS!$F$6:$H$305,3,FALSE),"")</f>
        <v>Rejillas y repasadores</v>
      </c>
      <c r="J27" s="6" t="s">
        <v>430</v>
      </c>
      <c r="K27" s="6" t="s">
        <v>426</v>
      </c>
      <c r="L27" s="6"/>
      <c r="M27" s="6" t="s">
        <v>397</v>
      </c>
      <c r="N27" s="6" t="s">
        <v>431</v>
      </c>
      <c r="O27" s="6" t="s">
        <v>432</v>
      </c>
      <c r="P27" s="13" t="str">
        <f>IFERROR(VLOOKUP(O27,CATÁLOGOS!$L$6:$O$305,3,FALSE),"")</f>
        <v>Rejilla cocina. Presentación: 1 unidad. Marca Kide.</v>
      </c>
      <c r="Q27" s="13" t="str">
        <f>IFERROR(VLOOKUP(O27,CATÁLOGOS!$L$6:$O$305,4,FALSE),"")</f>
        <v>Rejillas y repasadores. Accesorio resistente y práctico, pensado para facilitar las tareas de limpieza del hogar.</v>
      </c>
      <c r="R27" s="16"/>
      <c r="S27" s="16"/>
      <c r="T27" s="6" t="s">
        <v>329</v>
      </c>
      <c r="U27" s="10" t="s">
        <v>53</v>
      </c>
    </row>
    <row r="28" spans="1:21">
      <c r="A28" s="5" t="s">
        <v>433</v>
      </c>
      <c r="B28" s="6" t="s">
        <v>62</v>
      </c>
      <c r="C28" s="6" t="s">
        <v>63</v>
      </c>
      <c r="D28" s="6"/>
      <c r="E28" s="6"/>
      <c r="F28" s="6" t="s">
        <v>394</v>
      </c>
      <c r="G28" s="13" t="str">
        <f>IFERROR(VLOOKUP(F28,CATÁLOGOS!$A$6:$B$105,2,FALSE),"")</f>
        <v>🧰 Accesorios y equipamiento</v>
      </c>
      <c r="H28" s="6" t="s">
        <v>395</v>
      </c>
      <c r="I28" s="13" t="str">
        <f>IFERROR(VLOOKUP(H28,CATÁLOGOS!$F$6:$H$305,3,FALSE),"")</f>
        <v>Rejillas y repasadores</v>
      </c>
      <c r="J28" s="6" t="s">
        <v>323</v>
      </c>
      <c r="K28" s="6" t="s">
        <v>434</v>
      </c>
      <c r="L28" s="6"/>
      <c r="M28" s="6" t="s">
        <v>397</v>
      </c>
      <c r="N28" s="6" t="s">
        <v>435</v>
      </c>
      <c r="O28" s="6" t="s">
        <v>436</v>
      </c>
      <c r="P28" s="13" t="str">
        <f>IFERROR(VLOOKUP(O28,CATÁLOGOS!$L$6:$O$305,3,FALSE),"")</f>
        <v>Rejilla pabilo. Presentación: 1 unidad.</v>
      </c>
      <c r="Q28" s="13" t="str">
        <f>IFERROR(VLOOKUP(O28,CATÁLOGOS!$L$6:$O$305,4,FALSE),"")</f>
        <v>Rejillas y repasadores. Accesorio resistente y práctico, pensado para facilitar las tareas de limpieza del hogar.</v>
      </c>
      <c r="R28" s="16"/>
      <c r="S28" s="16"/>
      <c r="T28" s="6" t="s">
        <v>329</v>
      </c>
      <c r="U28" s="10" t="s">
        <v>53</v>
      </c>
    </row>
    <row r="29" spans="1:21">
      <c r="A29" s="5" t="s">
        <v>437</v>
      </c>
      <c r="B29" s="6" t="s">
        <v>63</v>
      </c>
      <c r="C29" s="6" t="s">
        <v>64</v>
      </c>
      <c r="D29" s="6"/>
      <c r="E29" s="6"/>
      <c r="F29" s="6" t="s">
        <v>394</v>
      </c>
      <c r="G29" s="13" t="str">
        <f>IFERROR(VLOOKUP(F29,CATÁLOGOS!$A$6:$B$105,2,FALSE),"")</f>
        <v>🧰 Accesorios y equipamiento</v>
      </c>
      <c r="H29" s="6" t="s">
        <v>395</v>
      </c>
      <c r="I29" s="13" t="str">
        <f>IFERROR(VLOOKUP(H29,CATÁLOGOS!$F$6:$H$305,3,FALSE),"")</f>
        <v>Rejillas y repasadores</v>
      </c>
      <c r="J29" s="6" t="s">
        <v>323</v>
      </c>
      <c r="K29" s="6" t="s">
        <v>434</v>
      </c>
      <c r="L29" s="6"/>
      <c r="M29" s="6" t="s">
        <v>397</v>
      </c>
      <c r="N29" s="6" t="s">
        <v>438</v>
      </c>
      <c r="O29" s="6" t="s">
        <v>436</v>
      </c>
      <c r="P29" s="13" t="str">
        <f>IFERROR(VLOOKUP(O29,CATÁLOGOS!$L$6:$O$305,3,FALSE),"")</f>
        <v>Rejilla pabilo. Presentación: 1 unidad.</v>
      </c>
      <c r="Q29" s="13" t="str">
        <f>IFERROR(VLOOKUP(O29,CATÁLOGOS!$L$6:$O$305,4,FALSE),"")</f>
        <v>Rejillas y repasadores. Accesorio resistente y práctico, pensado para facilitar las tareas de limpieza del hogar.</v>
      </c>
      <c r="R29" s="16"/>
      <c r="S29" s="16"/>
      <c r="T29" s="6" t="s">
        <v>329</v>
      </c>
      <c r="U29" s="10" t="s">
        <v>53</v>
      </c>
    </row>
    <row r="30" spans="1:21">
      <c r="A30" s="5" t="s">
        <v>439</v>
      </c>
      <c r="B30" s="6" t="s">
        <v>64</v>
      </c>
      <c r="C30" s="6" t="s">
        <v>65</v>
      </c>
      <c r="D30" s="6" t="s">
        <v>425</v>
      </c>
      <c r="E30" s="6" t="s">
        <v>410</v>
      </c>
      <c r="F30" s="6" t="s">
        <v>394</v>
      </c>
      <c r="G30" s="13" t="str">
        <f>IFERROR(VLOOKUP(F30,CATÁLOGOS!$A$6:$B$105,2,FALSE),"")</f>
        <v>🧰 Accesorios y equipamiento</v>
      </c>
      <c r="H30" s="6" t="s">
        <v>395</v>
      </c>
      <c r="I30" s="13" t="str">
        <f>IFERROR(VLOOKUP(H30,CATÁLOGOS!$F$6:$H$305,3,FALSE),"")</f>
        <v>Rejillas y repasadores</v>
      </c>
      <c r="J30" s="6" t="s">
        <v>323</v>
      </c>
      <c r="K30" s="6" t="s">
        <v>426</v>
      </c>
      <c r="L30" s="6"/>
      <c r="M30" s="6" t="s">
        <v>397</v>
      </c>
      <c r="N30" s="6" t="s">
        <v>440</v>
      </c>
      <c r="O30" s="6" t="s">
        <v>428</v>
      </c>
      <c r="P30" s="13" t="str">
        <f>IFERROR(VLOOKUP(O30,CATÁLOGOS!$L$6:$O$305,3,FALSE),"")</f>
        <v>Rejilla cocina. Presentación: 1 unidad.</v>
      </c>
      <c r="Q30" s="13" t="str">
        <f>IFERROR(VLOOKUP(O30,CATÁLOGOS!$L$6:$O$305,4,FALSE),"")</f>
        <v>Rejillas y repasadores. Accesorio resistente y práctico, pensado para facilitar las tareas de limpieza del hogar.</v>
      </c>
      <c r="R30" s="16"/>
      <c r="S30" s="16"/>
      <c r="T30" s="6" t="s">
        <v>329</v>
      </c>
      <c r="U30" s="10" t="s">
        <v>53</v>
      </c>
    </row>
    <row r="31" spans="1:21">
      <c r="A31" s="5" t="s">
        <v>441</v>
      </c>
      <c r="B31" s="6" t="s">
        <v>65</v>
      </c>
      <c r="C31" s="6" t="s">
        <v>66</v>
      </c>
      <c r="D31" s="6"/>
      <c r="E31" s="6"/>
      <c r="F31" s="6" t="s">
        <v>394</v>
      </c>
      <c r="G31" s="13" t="str">
        <f>IFERROR(VLOOKUP(F31,CATÁLOGOS!$A$6:$B$105,2,FALSE),"")</f>
        <v>🧰 Accesorios y equipamiento</v>
      </c>
      <c r="H31" s="6" t="s">
        <v>395</v>
      </c>
      <c r="I31" s="13" t="str">
        <f>IFERROR(VLOOKUP(H31,CATÁLOGOS!$F$6:$H$305,3,FALSE),"")</f>
        <v>Rejillas y repasadores</v>
      </c>
      <c r="J31" s="6" t="s">
        <v>323</v>
      </c>
      <c r="K31" s="6" t="s">
        <v>442</v>
      </c>
      <c r="L31" s="6"/>
      <c r="M31" s="6" t="s">
        <v>397</v>
      </c>
      <c r="N31" s="6" t="s">
        <v>443</v>
      </c>
      <c r="O31" s="6" t="s">
        <v>444</v>
      </c>
      <c r="P31" s="13" t="str">
        <f>IFERROR(VLOOKUP(O31,CATÁLOGOS!$L$6:$O$305,3,FALSE),"")</f>
        <v>Repasador. Presentación: 1 unidad.</v>
      </c>
      <c r="Q31" s="13" t="str">
        <f>IFERROR(VLOOKUP(O31,CATÁLOGOS!$L$6:$O$305,4,FALSE),"")</f>
        <v>Rejillas y repasadores. Accesorio resistente y práctico, pensado para facilitar las tareas de limpieza del hogar.</v>
      </c>
      <c r="R31" s="16"/>
      <c r="S31" s="16"/>
      <c r="T31" s="6" t="s">
        <v>329</v>
      </c>
      <c r="U31" s="10" t="s">
        <v>53</v>
      </c>
    </row>
    <row r="32" spans="1:21">
      <c r="A32" s="5" t="s">
        <v>445</v>
      </c>
      <c r="B32" s="6" t="s">
        <v>66</v>
      </c>
      <c r="C32" s="6" t="s">
        <v>446</v>
      </c>
      <c r="D32" s="6"/>
      <c r="E32" s="6"/>
      <c r="F32" s="6" t="s">
        <v>394</v>
      </c>
      <c r="G32" s="13" t="str">
        <f>IFERROR(VLOOKUP(F32,CATÁLOGOS!$A$6:$B$105,2,FALSE),"")</f>
        <v>🧰 Accesorios y equipamiento</v>
      </c>
      <c r="H32" s="6" t="s">
        <v>395</v>
      </c>
      <c r="I32" s="13" t="str">
        <f>IFERROR(VLOOKUP(H32,CATÁLOGOS!$F$6:$H$305,3,FALSE),"")</f>
        <v>Rejillas y repasadores</v>
      </c>
      <c r="J32" s="6" t="s">
        <v>323</v>
      </c>
      <c r="K32" s="6" t="s">
        <v>442</v>
      </c>
      <c r="L32" s="6"/>
      <c r="M32" s="6" t="s">
        <v>397</v>
      </c>
      <c r="N32" s="6" t="s">
        <v>447</v>
      </c>
      <c r="O32" s="6" t="s">
        <v>444</v>
      </c>
      <c r="P32" s="13" t="str">
        <f>IFERROR(VLOOKUP(O32,CATÁLOGOS!$L$6:$O$305,3,FALSE),"")</f>
        <v>Repasador. Presentación: 1 unidad.</v>
      </c>
      <c r="Q32" s="13" t="str">
        <f>IFERROR(VLOOKUP(O32,CATÁLOGOS!$L$6:$O$305,4,FALSE),"")</f>
        <v>Rejillas y repasadores. Accesorio resistente y práctico, pensado para facilitar las tareas de limpieza del hogar.</v>
      </c>
      <c r="R32" s="16"/>
      <c r="S32" s="16"/>
      <c r="T32" s="6" t="s">
        <v>329</v>
      </c>
      <c r="U32" s="10" t="s">
        <v>53</v>
      </c>
    </row>
    <row r="33" spans="1:21">
      <c r="A33" s="5" t="s">
        <v>448</v>
      </c>
      <c r="B33" s="6" t="s">
        <v>67</v>
      </c>
      <c r="C33" s="6" t="s">
        <v>67</v>
      </c>
      <c r="D33" s="6"/>
      <c r="E33" s="6"/>
      <c r="F33" s="6" t="s">
        <v>394</v>
      </c>
      <c r="G33" s="13" t="str">
        <f>IFERROR(VLOOKUP(F33,CATÁLOGOS!$A$6:$B$105,2,FALSE),"")</f>
        <v>🧰 Accesorios y equipamiento</v>
      </c>
      <c r="H33" s="6" t="s">
        <v>395</v>
      </c>
      <c r="I33" s="13" t="str">
        <f>IFERROR(VLOOKUP(H33,CATÁLOGOS!$F$6:$H$305,3,FALSE),"")</f>
        <v>Rejillas y repasadores</v>
      </c>
      <c r="J33" s="6" t="s">
        <v>323</v>
      </c>
      <c r="K33" s="6" t="s">
        <v>449</v>
      </c>
      <c r="L33" s="6"/>
      <c r="M33" s="6" t="s">
        <v>397</v>
      </c>
      <c r="N33" s="6" t="s">
        <v>450</v>
      </c>
      <c r="O33" s="6" t="s">
        <v>451</v>
      </c>
      <c r="P33" s="13" t="str">
        <f>IFERROR(VLOOKUP(O33,CATÁLOGOS!$L$6:$O$305,3,FALSE),"")</f>
        <v>Paño amarillo para piso. Presentación: 1 unidad.</v>
      </c>
      <c r="Q33" s="13" t="str">
        <f>IFERROR(VLOOKUP(O33,CATÁLOGOS!$L$6:$O$305,4,FALSE),"")</f>
        <v>Rejillas y repasadores. Accesorio resistente y práctico, pensado para facilitar las tareas de limpieza del hogar.</v>
      </c>
      <c r="R33" s="16"/>
      <c r="S33" s="16"/>
      <c r="T33" s="6" t="s">
        <v>329</v>
      </c>
      <c r="U33" s="10" t="s">
        <v>53</v>
      </c>
    </row>
    <row r="34" spans="1:21">
      <c r="A34" s="5" t="s">
        <v>452</v>
      </c>
      <c r="B34" s="6" t="s">
        <v>68</v>
      </c>
      <c r="C34" s="6" t="s">
        <v>68</v>
      </c>
      <c r="D34" s="6"/>
      <c r="E34" s="6"/>
      <c r="F34" s="6" t="s">
        <v>394</v>
      </c>
      <c r="G34" s="13" t="str">
        <f>IFERROR(VLOOKUP(F34,CATÁLOGOS!$A$6:$B$105,2,FALSE),"")</f>
        <v>🧰 Accesorios y equipamiento</v>
      </c>
      <c r="H34" s="6" t="s">
        <v>453</v>
      </c>
      <c r="I34" s="13" t="str">
        <f>IFERROR(VLOOKUP(H34,CATÁLOGOS!$F$6:$H$305,3,FALSE),"")</f>
        <v>Trapos de piso</v>
      </c>
      <c r="J34" s="6" t="s">
        <v>323</v>
      </c>
      <c r="K34" s="6" t="s">
        <v>454</v>
      </c>
      <c r="L34" s="6"/>
      <c r="M34" s="6" t="s">
        <v>397</v>
      </c>
      <c r="N34" s="6" t="s">
        <v>455</v>
      </c>
      <c r="O34" s="6" t="s">
        <v>456</v>
      </c>
      <c r="P34" s="13" t="str">
        <f>IFERROR(VLOOKUP(O34,CATÁLOGOS!$L$6:$O$305,3,FALSE),"")</f>
        <v>Trapo de piso blanco. Presentación: 1 unidad.</v>
      </c>
      <c r="Q34" s="13" t="str">
        <f>IFERROR(VLOOKUP(O34,CATÁLOGOS!$L$6:$O$305,4,FALSE),"")</f>
        <v>Trapos de piso. Accesorio resistente y práctico, pensado para facilitar las tareas de limpieza del hogar.</v>
      </c>
      <c r="R34" s="16"/>
      <c r="S34" s="16"/>
      <c r="T34" s="6" t="s">
        <v>329</v>
      </c>
      <c r="U34" s="10" t="s">
        <v>53</v>
      </c>
    </row>
    <row r="35" spans="1:21">
      <c r="A35" s="5" t="s">
        <v>457</v>
      </c>
      <c r="B35" s="6" t="s">
        <v>69</v>
      </c>
      <c r="C35" s="6" t="s">
        <v>69</v>
      </c>
      <c r="D35" s="6"/>
      <c r="E35" s="6"/>
      <c r="F35" s="6" t="s">
        <v>394</v>
      </c>
      <c r="G35" s="13" t="str">
        <f>IFERROR(VLOOKUP(F35,CATÁLOGOS!$A$6:$B$105,2,FALSE),"")</f>
        <v>🧰 Accesorios y equipamiento</v>
      </c>
      <c r="H35" s="6" t="s">
        <v>453</v>
      </c>
      <c r="I35" s="13" t="str">
        <f>IFERROR(VLOOKUP(H35,CATÁLOGOS!$F$6:$H$305,3,FALSE),"")</f>
        <v>Trapos de piso</v>
      </c>
      <c r="J35" s="6" t="s">
        <v>323</v>
      </c>
      <c r="K35" s="6" t="s">
        <v>458</v>
      </c>
      <c r="L35" s="6"/>
      <c r="M35" s="6" t="s">
        <v>397</v>
      </c>
      <c r="N35" s="6" t="s">
        <v>459</v>
      </c>
      <c r="O35" s="6" t="s">
        <v>460</v>
      </c>
      <c r="P35" s="13" t="str">
        <f>IFERROR(VLOOKUP(O35,CATÁLOGOS!$L$6:$O$305,3,FALSE),"")</f>
        <v>Trapo de piso gris. Presentación: 1 unidad.</v>
      </c>
      <c r="Q35" s="13" t="str">
        <f>IFERROR(VLOOKUP(O35,CATÁLOGOS!$L$6:$O$305,4,FALSE),"")</f>
        <v>Trapos de piso. Accesorio resistente y práctico, pensado para facilitar las tareas de limpieza del hogar.</v>
      </c>
      <c r="R35" s="16"/>
      <c r="S35" s="16"/>
      <c r="T35" s="6" t="s">
        <v>329</v>
      </c>
      <c r="U35" s="10" t="s">
        <v>53</v>
      </c>
    </row>
    <row r="36" spans="1:21">
      <c r="A36" s="5" t="s">
        <v>461</v>
      </c>
      <c r="B36" s="6" t="s">
        <v>70</v>
      </c>
      <c r="C36" s="6" t="s">
        <v>70</v>
      </c>
      <c r="D36" s="6" t="s">
        <v>462</v>
      </c>
      <c r="E36" s="6" t="s">
        <v>419</v>
      </c>
      <c r="F36" s="6" t="s">
        <v>394</v>
      </c>
      <c r="G36" s="13" t="str">
        <f>IFERROR(VLOOKUP(F36,CATÁLOGOS!$A$6:$B$105,2,FALSE),"")</f>
        <v>🧰 Accesorios y equipamiento</v>
      </c>
      <c r="H36" s="6" t="s">
        <v>453</v>
      </c>
      <c r="I36" s="13" t="str">
        <f>IFERROR(VLOOKUP(H36,CATÁLOGOS!$F$6:$H$305,3,FALSE),"")</f>
        <v>Trapos de piso</v>
      </c>
      <c r="J36" s="6" t="s">
        <v>463</v>
      </c>
      <c r="K36" s="6" t="s">
        <v>464</v>
      </c>
      <c r="L36" s="6"/>
      <c r="M36" s="6" t="s">
        <v>397</v>
      </c>
      <c r="N36" s="6" t="s">
        <v>465</v>
      </c>
      <c r="O36" s="6" t="s">
        <v>466</v>
      </c>
      <c r="P36" s="13" t="str">
        <f>IFERROR(VLOOKUP(O36,CATÁLOGOS!$L$6:$O$305,3,FALSE),"")</f>
        <v>Trapo de piso costurado. Presentación: 1 unidad. Marca mr trappo.</v>
      </c>
      <c r="Q36" s="13" t="str">
        <f>IFERROR(VLOOKUP(O36,CATÁLOGOS!$L$6:$O$305,4,FALSE),"")</f>
        <v>Trapos de piso. Accesorio resistente y práctico, pensado para facilitar las tareas de limpieza del hogar.</v>
      </c>
      <c r="R36" s="16"/>
      <c r="S36" s="16"/>
      <c r="T36" s="6" t="s">
        <v>329</v>
      </c>
      <c r="U36" s="10" t="s">
        <v>53</v>
      </c>
    </row>
    <row r="37" spans="1:21">
      <c r="A37" s="5" t="s">
        <v>467</v>
      </c>
      <c r="B37" s="6" t="s">
        <v>71</v>
      </c>
      <c r="C37" s="6" t="s">
        <v>71</v>
      </c>
      <c r="D37" s="6" t="s">
        <v>462</v>
      </c>
      <c r="E37" s="6" t="s">
        <v>410</v>
      </c>
      <c r="F37" s="6" t="s">
        <v>394</v>
      </c>
      <c r="G37" s="13" t="str">
        <f>IFERROR(VLOOKUP(F37,CATÁLOGOS!$A$6:$B$105,2,FALSE),"")</f>
        <v>🧰 Accesorios y equipamiento</v>
      </c>
      <c r="H37" s="6" t="s">
        <v>453</v>
      </c>
      <c r="I37" s="13" t="str">
        <f>IFERROR(VLOOKUP(H37,CATÁLOGOS!$F$6:$H$305,3,FALSE),"")</f>
        <v>Trapos de piso</v>
      </c>
      <c r="J37" s="6" t="s">
        <v>468</v>
      </c>
      <c r="K37" s="6" t="s">
        <v>464</v>
      </c>
      <c r="L37" s="6"/>
      <c r="M37" s="6" t="s">
        <v>397</v>
      </c>
      <c r="N37" s="6" t="s">
        <v>469</v>
      </c>
      <c r="O37" s="6" t="s">
        <v>470</v>
      </c>
      <c r="P37" s="13" t="str">
        <f>IFERROR(VLOOKUP(O37,CATÁLOGOS!$L$6:$O$305,3,FALSE),"")</f>
        <v>Trapo de piso costurado. Presentación: 1 unidad. Marca Fibran.</v>
      </c>
      <c r="Q37" s="13" t="str">
        <f>IFERROR(VLOOKUP(O37,CATÁLOGOS!$L$6:$O$305,4,FALSE),"")</f>
        <v>Trapos de piso. Accesorio resistente y práctico, pensado para facilitar las tareas de limpieza del hogar.</v>
      </c>
      <c r="R37" s="16"/>
      <c r="S37" s="16"/>
      <c r="T37" s="6" t="s">
        <v>329</v>
      </c>
      <c r="U37" s="10" t="s">
        <v>53</v>
      </c>
    </row>
    <row r="38" spans="1:21">
      <c r="A38" s="5" t="s">
        <v>471</v>
      </c>
      <c r="B38" s="6" t="s">
        <v>72</v>
      </c>
      <c r="C38" s="6" t="s">
        <v>72</v>
      </c>
      <c r="D38" s="6"/>
      <c r="E38" s="6"/>
      <c r="F38" s="6" t="s">
        <v>394</v>
      </c>
      <c r="G38" s="13" t="str">
        <f>IFERROR(VLOOKUP(F38,CATÁLOGOS!$A$6:$B$105,2,FALSE),"")</f>
        <v>🧰 Accesorios y equipamiento</v>
      </c>
      <c r="H38" s="6" t="s">
        <v>453</v>
      </c>
      <c r="I38" s="13" t="str">
        <f>IFERROR(VLOOKUP(H38,CATÁLOGOS!$F$6:$H$305,3,FALSE),"")</f>
        <v>Trapos de piso</v>
      </c>
      <c r="J38" s="6" t="s">
        <v>323</v>
      </c>
      <c r="K38" s="6" t="s">
        <v>472</v>
      </c>
      <c r="L38" s="6"/>
      <c r="M38" s="6" t="s">
        <v>397</v>
      </c>
      <c r="N38" s="6" t="s">
        <v>473</v>
      </c>
      <c r="O38" s="6" t="s">
        <v>474</v>
      </c>
      <c r="P38" s="13" t="str">
        <f>IFERROR(VLOOKUP(O38,CATÁLOGOS!$L$6:$O$305,3,FALSE),"")</f>
        <v>Trapo de piso nido de abeja. Presentación: 1 unidad.</v>
      </c>
      <c r="Q38" s="13" t="str">
        <f>IFERROR(VLOOKUP(O38,CATÁLOGOS!$L$6:$O$305,4,FALSE),"")</f>
        <v>Trapos de piso. Accesorio resistente y práctico, pensado para facilitar las tareas de limpieza del hogar.</v>
      </c>
      <c r="R38" s="16"/>
      <c r="S38" s="16"/>
      <c r="T38" s="6" t="s">
        <v>329</v>
      </c>
      <c r="U38" s="10" t="s">
        <v>53</v>
      </c>
    </row>
    <row r="39" spans="1:21">
      <c r="A39" s="5" t="s">
        <v>475</v>
      </c>
      <c r="B39" s="6" t="s">
        <v>73</v>
      </c>
      <c r="C39" s="6" t="s">
        <v>73</v>
      </c>
      <c r="D39" s="6"/>
      <c r="E39" s="6"/>
      <c r="F39" s="6" t="s">
        <v>394</v>
      </c>
      <c r="G39" s="13" t="str">
        <f>IFERROR(VLOOKUP(F39,CATÁLOGOS!$A$6:$B$105,2,FALSE),"")</f>
        <v>🧰 Accesorios y equipamiento</v>
      </c>
      <c r="H39" s="6" t="s">
        <v>453</v>
      </c>
      <c r="I39" s="13" t="str">
        <f>IFERROR(VLOOKUP(H39,CATÁLOGOS!$F$6:$H$305,3,FALSE),"")</f>
        <v>Trapos de piso</v>
      </c>
      <c r="J39" s="6" t="s">
        <v>323</v>
      </c>
      <c r="K39" s="6" t="s">
        <v>476</v>
      </c>
      <c r="L39" s="6"/>
      <c r="M39" s="6" t="s">
        <v>397</v>
      </c>
      <c r="N39" s="6" t="s">
        <v>477</v>
      </c>
      <c r="O39" s="6" t="s">
        <v>478</v>
      </c>
      <c r="P39" s="13" t="str">
        <f>IFERROR(VLOOKUP(O39,CATÁLOGOS!$L$6:$O$305,3,FALSE),"")</f>
        <v>Trapo de piso nido de abeja economico. Presentación: 1 unidad.</v>
      </c>
      <c r="Q39" s="13" t="str">
        <f>IFERROR(VLOOKUP(O39,CATÁLOGOS!$L$6:$O$305,4,FALSE),"")</f>
        <v>Trapos de piso. Accesorio resistente y práctico, pensado para facilitar las tareas de limpieza del hogar.</v>
      </c>
      <c r="R39" s="16"/>
      <c r="S39" s="16"/>
      <c r="T39" s="6" t="s">
        <v>479</v>
      </c>
      <c r="U39" s="10" t="s">
        <v>53</v>
      </c>
    </row>
    <row r="40" spans="1:21">
      <c r="A40" s="5" t="s">
        <v>480</v>
      </c>
      <c r="B40" s="6" t="s">
        <v>74</v>
      </c>
      <c r="C40" s="6" t="s">
        <v>74</v>
      </c>
      <c r="D40" s="6"/>
      <c r="E40" s="6"/>
      <c r="F40" s="6" t="s">
        <v>394</v>
      </c>
      <c r="G40" s="13" t="str">
        <f>IFERROR(VLOOKUP(F40,CATÁLOGOS!$A$6:$B$105,2,FALSE),"")</f>
        <v>🧰 Accesorios y equipamiento</v>
      </c>
      <c r="H40" s="6" t="s">
        <v>453</v>
      </c>
      <c r="I40" s="13" t="str">
        <f>IFERROR(VLOOKUP(H40,CATÁLOGOS!$F$6:$H$305,3,FALSE),"")</f>
        <v>Trapos de piso</v>
      </c>
      <c r="J40" s="6" t="s">
        <v>481</v>
      </c>
      <c r="K40" s="6" t="s">
        <v>482</v>
      </c>
      <c r="L40" s="6"/>
      <c r="M40" s="6" t="s">
        <v>397</v>
      </c>
      <c r="N40" s="6" t="s">
        <v>483</v>
      </c>
      <c r="O40" s="6" t="s">
        <v>484</v>
      </c>
      <c r="P40" s="13" t="str">
        <f>IFERROR(VLOOKUP(O40,CATÁLOGOS!$L$6:$O$305,3,FALSE),"")</f>
        <v>Trapo de piso rayado. Presentación: 1 unidad. Marca consorcio.</v>
      </c>
      <c r="Q40" s="13" t="str">
        <f>IFERROR(VLOOKUP(O40,CATÁLOGOS!$L$6:$O$305,4,FALSE),"")</f>
        <v>Trapos de piso. Accesorio resistente y práctico, pensado para facilitar las tareas de limpieza del hogar.</v>
      </c>
      <c r="R40" s="16"/>
      <c r="S40" s="16"/>
      <c r="T40" s="6" t="s">
        <v>329</v>
      </c>
      <c r="U40" s="10" t="s">
        <v>53</v>
      </c>
    </row>
    <row r="41" spans="1:21">
      <c r="A41" s="5" t="s">
        <v>485</v>
      </c>
      <c r="B41" s="6" t="s">
        <v>75</v>
      </c>
      <c r="C41" s="6" t="s">
        <v>75</v>
      </c>
      <c r="D41" s="6"/>
      <c r="E41" s="6"/>
      <c r="F41" s="6" t="s">
        <v>394</v>
      </c>
      <c r="G41" s="13" t="str">
        <f>IFERROR(VLOOKUP(F41,CATÁLOGOS!$A$6:$B$105,2,FALSE),"")</f>
        <v>🧰 Accesorios y equipamiento</v>
      </c>
      <c r="H41" s="6" t="s">
        <v>453</v>
      </c>
      <c r="I41" s="13" t="str">
        <f>IFERROR(VLOOKUP(H41,CATÁLOGOS!$F$6:$H$305,3,FALSE),"")</f>
        <v>Trapos de piso</v>
      </c>
      <c r="J41" s="6" t="s">
        <v>323</v>
      </c>
      <c r="K41" s="6" t="s">
        <v>482</v>
      </c>
      <c r="L41" s="6"/>
      <c r="M41" s="6" t="s">
        <v>397</v>
      </c>
      <c r="N41" s="6" t="s">
        <v>486</v>
      </c>
      <c r="O41" s="6" t="s">
        <v>487</v>
      </c>
      <c r="P41" s="13" t="str">
        <f>IFERROR(VLOOKUP(O41,CATÁLOGOS!$L$6:$O$305,3,FALSE),"")</f>
        <v>Trapo de piso rayado. Presentación: 1 unidad.</v>
      </c>
      <c r="Q41" s="13" t="str">
        <f>IFERROR(VLOOKUP(O41,CATÁLOGOS!$L$6:$O$305,4,FALSE),"")</f>
        <v>Trapos de piso. Accesorio resistente y práctico, pensado para facilitar las tareas de limpieza del hogar.</v>
      </c>
      <c r="R41" s="16"/>
      <c r="S41" s="16"/>
      <c r="T41" s="6" t="s">
        <v>329</v>
      </c>
      <c r="U41" s="10" t="s">
        <v>53</v>
      </c>
    </row>
    <row r="42" spans="1:21">
      <c r="A42" s="5" t="s">
        <v>488</v>
      </c>
      <c r="B42" s="6" t="s">
        <v>76</v>
      </c>
      <c r="C42" s="6" t="s">
        <v>76</v>
      </c>
      <c r="D42" s="6" t="s">
        <v>489</v>
      </c>
      <c r="E42" s="6" t="s">
        <v>490</v>
      </c>
      <c r="F42" s="6" t="s">
        <v>394</v>
      </c>
      <c r="G42" s="13" t="str">
        <f>IFERROR(VLOOKUP(F42,CATÁLOGOS!$A$6:$B$105,2,FALSE),"")</f>
        <v>🧰 Accesorios y equipamiento</v>
      </c>
      <c r="H42" s="6" t="s">
        <v>491</v>
      </c>
      <c r="I42" s="13" t="str">
        <f>IFERROR(VLOOKUP(H42,CATÁLOGOS!$F$6:$H$305,3,FALSE),"")</f>
        <v>Escobas y escobillones</v>
      </c>
      <c r="J42" s="6" t="s">
        <v>323</v>
      </c>
      <c r="K42" s="6" t="s">
        <v>492</v>
      </c>
      <c r="L42" s="6"/>
      <c r="M42" s="6" t="s">
        <v>397</v>
      </c>
      <c r="N42" s="6" t="s">
        <v>493</v>
      </c>
      <c r="O42" s="6" t="s">
        <v>494</v>
      </c>
      <c r="P42" s="13" t="str">
        <f>IFERROR(VLOOKUP(O42,CATÁLOGOS!$L$6:$O$305,3,FALSE),"")</f>
        <v>Escoba Anden de 40 cm. Presentación: 1 unidad.</v>
      </c>
      <c r="Q42" s="13" t="str">
        <f>IFERROR(VLOOKUP(O42,CATÁLOGOS!$L$6:$O$305,4,FALSE),"")</f>
        <v>Escobas y escobillones. Accesorio resistente y práctico, pensado para facilitar las tareas de limpieza del hogar.</v>
      </c>
      <c r="R42" s="16"/>
      <c r="S42" s="16"/>
      <c r="T42" s="6" t="s">
        <v>329</v>
      </c>
      <c r="U42" s="10" t="s">
        <v>53</v>
      </c>
    </row>
    <row r="43" spans="1:21">
      <c r="A43" s="5" t="s">
        <v>495</v>
      </c>
      <c r="B43" s="6" t="s">
        <v>77</v>
      </c>
      <c r="C43" s="6" t="s">
        <v>77</v>
      </c>
      <c r="D43" s="6" t="s">
        <v>489</v>
      </c>
      <c r="E43" s="6" t="s">
        <v>496</v>
      </c>
      <c r="F43" s="6" t="s">
        <v>394</v>
      </c>
      <c r="G43" s="13" t="str">
        <f>IFERROR(VLOOKUP(F43,CATÁLOGOS!$A$6:$B$105,2,FALSE),"")</f>
        <v>🧰 Accesorios y equipamiento</v>
      </c>
      <c r="H43" s="6" t="s">
        <v>491</v>
      </c>
      <c r="I43" s="13" t="str">
        <f>IFERROR(VLOOKUP(H43,CATÁLOGOS!$F$6:$H$305,3,FALSE),"")</f>
        <v>Escobas y escobillones</v>
      </c>
      <c r="J43" s="6" t="s">
        <v>323</v>
      </c>
      <c r="K43" s="6" t="s">
        <v>497</v>
      </c>
      <c r="L43" s="6"/>
      <c r="M43" s="6" t="s">
        <v>397</v>
      </c>
      <c r="N43" s="6" t="s">
        <v>498</v>
      </c>
      <c r="O43" s="6" t="s">
        <v>499</v>
      </c>
      <c r="P43" s="13" t="str">
        <f>IFERROR(VLOOKUP(O43,CATÁLOGOS!$L$6:$O$305,3,FALSE),"")</f>
        <v>Escoba Anden de 60 cm. Presentación: 1 unidad.</v>
      </c>
      <c r="Q43" s="13" t="str">
        <f>IFERROR(VLOOKUP(O43,CATÁLOGOS!$L$6:$O$305,4,FALSE),"")</f>
        <v>Escobas y escobillones. Accesorio resistente y práctico, pensado para facilitar las tareas de limpieza del hogar.</v>
      </c>
      <c r="R43" s="16"/>
      <c r="S43" s="16"/>
      <c r="T43" s="6" t="s">
        <v>329</v>
      </c>
      <c r="U43" s="10" t="s">
        <v>53</v>
      </c>
    </row>
    <row r="44" spans="1:21">
      <c r="A44" s="5" t="s">
        <v>500</v>
      </c>
      <c r="B44" s="6" t="s">
        <v>78</v>
      </c>
      <c r="C44" s="6" t="s">
        <v>78</v>
      </c>
      <c r="D44" s="6" t="s">
        <v>489</v>
      </c>
      <c r="E44" s="6" t="s">
        <v>501</v>
      </c>
      <c r="F44" s="6" t="s">
        <v>394</v>
      </c>
      <c r="G44" s="13" t="str">
        <f>IFERROR(VLOOKUP(F44,CATÁLOGOS!$A$6:$B$105,2,FALSE),"")</f>
        <v>🧰 Accesorios y equipamiento</v>
      </c>
      <c r="H44" s="6" t="s">
        <v>491</v>
      </c>
      <c r="I44" s="13" t="str">
        <f>IFERROR(VLOOKUP(H44,CATÁLOGOS!$F$6:$H$305,3,FALSE),"")</f>
        <v>Escobas y escobillones</v>
      </c>
      <c r="J44" s="6" t="s">
        <v>323</v>
      </c>
      <c r="K44" s="6" t="s">
        <v>502</v>
      </c>
      <c r="L44" s="6"/>
      <c r="M44" s="6" t="s">
        <v>397</v>
      </c>
      <c r="N44" s="6" t="s">
        <v>503</v>
      </c>
      <c r="O44" s="6" t="s">
        <v>504</v>
      </c>
      <c r="P44" s="13" t="str">
        <f>IFERROR(VLOOKUP(O44,CATÁLOGOS!$L$6:$O$305,3,FALSE),"")</f>
        <v>Escoba Anden de 80 cm. Presentación: 1 unidad.</v>
      </c>
      <c r="Q44" s="13" t="str">
        <f>IFERROR(VLOOKUP(O44,CATÁLOGOS!$L$6:$O$305,4,FALSE),"")</f>
        <v>Escobas y escobillones. Accesorio resistente y práctico, pensado para facilitar las tareas de limpieza del hogar.</v>
      </c>
      <c r="R44" s="16"/>
      <c r="S44" s="16"/>
      <c r="T44" s="6" t="s">
        <v>329</v>
      </c>
      <c r="U44" s="10" t="s">
        <v>53</v>
      </c>
    </row>
    <row r="45" spans="1:21">
      <c r="A45" s="5" t="s">
        <v>505</v>
      </c>
      <c r="B45" s="6" t="s">
        <v>79</v>
      </c>
      <c r="C45" s="6" t="s">
        <v>79</v>
      </c>
      <c r="D45" s="6" t="s">
        <v>489</v>
      </c>
      <c r="E45" s="6" t="s">
        <v>506</v>
      </c>
      <c r="F45" s="6" t="s">
        <v>394</v>
      </c>
      <c r="G45" s="13" t="str">
        <f>IFERROR(VLOOKUP(F45,CATÁLOGOS!$A$6:$B$105,2,FALSE),"")</f>
        <v>🧰 Accesorios y equipamiento</v>
      </c>
      <c r="H45" s="6" t="s">
        <v>491</v>
      </c>
      <c r="I45" s="13" t="str">
        <f>IFERROR(VLOOKUP(H45,CATÁLOGOS!$F$6:$H$305,3,FALSE),"")</f>
        <v>Escobas y escobillones</v>
      </c>
      <c r="J45" s="6" t="s">
        <v>323</v>
      </c>
      <c r="K45" s="6" t="s">
        <v>507</v>
      </c>
      <c r="L45" s="6"/>
      <c r="M45" s="6" t="s">
        <v>397</v>
      </c>
      <c r="N45" s="6" t="s">
        <v>508</v>
      </c>
      <c r="O45" s="6" t="s">
        <v>509</v>
      </c>
      <c r="P45" s="13" t="str">
        <f>IFERROR(VLOOKUP(O45,CATÁLOGOS!$L$6:$O$305,3,FALSE),"")</f>
        <v>Escoba Anden de 100 cm. Presentación: 1 unidad.</v>
      </c>
      <c r="Q45" s="13" t="str">
        <f>IFERROR(VLOOKUP(O45,CATÁLOGOS!$L$6:$O$305,4,FALSE),"")</f>
        <v>Escobas y escobillones. Accesorio resistente y práctico, pensado para facilitar las tareas de limpieza del hogar.</v>
      </c>
      <c r="R45" s="16"/>
      <c r="S45" s="16"/>
      <c r="T45" s="6" t="s">
        <v>329</v>
      </c>
      <c r="U45" s="10" t="s">
        <v>53</v>
      </c>
    </row>
    <row r="46" spans="1:21">
      <c r="A46" s="5" t="s">
        <v>510</v>
      </c>
      <c r="B46" s="6" t="s">
        <v>80</v>
      </c>
      <c r="C46" s="6" t="s">
        <v>80</v>
      </c>
      <c r="D46" s="6"/>
      <c r="E46" s="6"/>
      <c r="F46" s="6" t="s">
        <v>394</v>
      </c>
      <c r="G46" s="13" t="str">
        <f>IFERROR(VLOOKUP(F46,CATÁLOGOS!$A$6:$B$105,2,FALSE),"")</f>
        <v>🧰 Accesorios y equipamiento</v>
      </c>
      <c r="H46" s="6" t="s">
        <v>491</v>
      </c>
      <c r="I46" s="13" t="str">
        <f>IFERROR(VLOOKUP(H46,CATÁLOGOS!$F$6:$H$305,3,FALSE),"")</f>
        <v>Escobas y escobillones</v>
      </c>
      <c r="J46" s="6" t="s">
        <v>323</v>
      </c>
      <c r="K46" s="6" t="s">
        <v>511</v>
      </c>
      <c r="L46" s="6"/>
      <c r="M46" s="6" t="s">
        <v>397</v>
      </c>
      <c r="N46" s="6" t="s">
        <v>512</v>
      </c>
      <c r="O46" s="6" t="s">
        <v>513</v>
      </c>
      <c r="P46" s="13" t="str">
        <f>IFERROR(VLOOKUP(O46,CATÁLOGOS!$L$6:$O$305,3,FALSE),"")</f>
        <v>Escoba Anden de 60 cm barregrueso. Presentación: 1 unidad.</v>
      </c>
      <c r="Q46" s="13" t="str">
        <f>IFERROR(VLOOKUP(O46,CATÁLOGOS!$L$6:$O$305,4,FALSE),"")</f>
        <v>Escobas y escobillones. Accesorio resistente y práctico, pensado para facilitar las tareas de limpieza del hogar.</v>
      </c>
      <c r="R46" s="16"/>
      <c r="S46" s="16"/>
      <c r="T46" s="6" t="s">
        <v>329</v>
      </c>
      <c r="U46" s="10" t="s">
        <v>53</v>
      </c>
    </row>
    <row r="47" spans="1:21">
      <c r="A47" s="5" t="s">
        <v>514</v>
      </c>
      <c r="B47" s="6" t="s">
        <v>81</v>
      </c>
      <c r="C47" s="6" t="s">
        <v>81</v>
      </c>
      <c r="D47" s="6"/>
      <c r="E47" s="6"/>
      <c r="F47" s="6" t="s">
        <v>394</v>
      </c>
      <c r="G47" s="13" t="str">
        <f>IFERROR(VLOOKUP(F47,CATÁLOGOS!$A$6:$B$105,2,FALSE),"")</f>
        <v>🧰 Accesorios y equipamiento</v>
      </c>
      <c r="H47" s="6" t="s">
        <v>491</v>
      </c>
      <c r="I47" s="13" t="str">
        <f>IFERROR(VLOOKUP(H47,CATÁLOGOS!$F$6:$H$305,3,FALSE),"")</f>
        <v>Escobas y escobillones</v>
      </c>
      <c r="J47" s="6" t="s">
        <v>323</v>
      </c>
      <c r="K47" s="6" t="s">
        <v>515</v>
      </c>
      <c r="L47" s="6"/>
      <c r="M47" s="6" t="s">
        <v>397</v>
      </c>
      <c r="N47" s="6" t="s">
        <v>516</v>
      </c>
      <c r="O47" s="6" t="s">
        <v>517</v>
      </c>
      <c r="P47" s="13" t="str">
        <f>IFERROR(VLOOKUP(O47,CATÁLOGOS!$L$6:$O$305,3,FALSE),"")</f>
        <v>Escobillon Barrendero Economico. Presentación: 1 unidad.</v>
      </c>
      <c r="Q47" s="13" t="str">
        <f>IFERROR(VLOOKUP(O47,CATÁLOGOS!$L$6:$O$305,4,FALSE),"")</f>
        <v>Escobas y escobillones. Accesorio resistente y práctico, pensado para facilitar las tareas de limpieza del hogar.</v>
      </c>
      <c r="R47" s="16"/>
      <c r="S47" s="16"/>
      <c r="T47" s="6" t="s">
        <v>329</v>
      </c>
      <c r="U47" s="10" t="s">
        <v>53</v>
      </c>
    </row>
    <row r="48" spans="1:21">
      <c r="A48" s="5" t="s">
        <v>518</v>
      </c>
      <c r="B48" s="6" t="s">
        <v>82</v>
      </c>
      <c r="C48" s="6" t="s">
        <v>82</v>
      </c>
      <c r="D48" s="6" t="s">
        <v>519</v>
      </c>
      <c r="E48" s="6" t="s">
        <v>520</v>
      </c>
      <c r="F48" s="6" t="s">
        <v>394</v>
      </c>
      <c r="G48" s="13" t="str">
        <f>IFERROR(VLOOKUP(F48,CATÁLOGOS!$A$6:$B$105,2,FALSE),"")</f>
        <v>🧰 Accesorios y equipamiento</v>
      </c>
      <c r="H48" s="6" t="s">
        <v>491</v>
      </c>
      <c r="I48" s="13" t="str">
        <f>IFERROR(VLOOKUP(H48,CATÁLOGOS!$F$6:$H$305,3,FALSE),"")</f>
        <v>Escobas y escobillones</v>
      </c>
      <c r="J48" s="6" t="s">
        <v>323</v>
      </c>
      <c r="K48" s="6" t="s">
        <v>521</v>
      </c>
      <c r="L48" s="6"/>
      <c r="M48" s="6" t="s">
        <v>397</v>
      </c>
      <c r="N48" s="6" t="s">
        <v>522</v>
      </c>
      <c r="O48" s="6" t="s">
        <v>523</v>
      </c>
      <c r="P48" s="13" t="str">
        <f>IFERROR(VLOOKUP(O48,CATÁLOGOS!$L$6:$O$305,3,FALSE),"")</f>
        <v>Escoba tipo barredor de 35 cm. Presentación: 1 unidad.</v>
      </c>
      <c r="Q48" s="13" t="str">
        <f>IFERROR(VLOOKUP(O48,CATÁLOGOS!$L$6:$O$305,4,FALSE),"")</f>
        <v>Escobas y escobillones. Accesorio resistente y práctico, pensado para facilitar las tareas de limpieza del hogar.</v>
      </c>
      <c r="R48" s="16"/>
      <c r="S48" s="16"/>
      <c r="T48" s="6" t="s">
        <v>329</v>
      </c>
      <c r="U48" s="10" t="s">
        <v>53</v>
      </c>
    </row>
    <row r="49" spans="1:21">
      <c r="A49" s="5" t="s">
        <v>524</v>
      </c>
      <c r="B49" s="6" t="s">
        <v>83</v>
      </c>
      <c r="C49" s="6" t="s">
        <v>83</v>
      </c>
      <c r="D49" s="6" t="s">
        <v>519</v>
      </c>
      <c r="E49" s="6" t="s">
        <v>496</v>
      </c>
      <c r="F49" s="6" t="s">
        <v>394</v>
      </c>
      <c r="G49" s="13" t="str">
        <f>IFERROR(VLOOKUP(F49,CATÁLOGOS!$A$6:$B$105,2,FALSE),"")</f>
        <v>🧰 Accesorios y equipamiento</v>
      </c>
      <c r="H49" s="6" t="s">
        <v>491</v>
      </c>
      <c r="I49" s="13" t="str">
        <f>IFERROR(VLOOKUP(H49,CATÁLOGOS!$F$6:$H$305,3,FALSE),"")</f>
        <v>Escobas y escobillones</v>
      </c>
      <c r="J49" s="6" t="s">
        <v>323</v>
      </c>
      <c r="K49" s="6" t="s">
        <v>525</v>
      </c>
      <c r="L49" s="6"/>
      <c r="M49" s="6" t="s">
        <v>397</v>
      </c>
      <c r="N49" s="6" t="s">
        <v>526</v>
      </c>
      <c r="O49" s="6" t="s">
        <v>527</v>
      </c>
      <c r="P49" s="13" t="str">
        <f>IFERROR(VLOOKUP(O49,CATÁLOGOS!$L$6:$O$305,3,FALSE),"")</f>
        <v>Escoba tipo barredor de 60 cm. Presentación: 1 unidad.</v>
      </c>
      <c r="Q49" s="13" t="str">
        <f>IFERROR(VLOOKUP(O49,CATÁLOGOS!$L$6:$O$305,4,FALSE),"")</f>
        <v>Escobas y escobillones. Accesorio resistente y práctico, pensado para facilitar las tareas de limpieza del hogar.</v>
      </c>
      <c r="R49" s="16"/>
      <c r="S49" s="16"/>
      <c r="T49" s="6" t="s">
        <v>329</v>
      </c>
      <c r="U49" s="10" t="s">
        <v>53</v>
      </c>
    </row>
    <row r="50" spans="1:21">
      <c r="A50" s="5" t="s">
        <v>528</v>
      </c>
      <c r="B50" s="6" t="s">
        <v>84</v>
      </c>
      <c r="C50" s="6" t="s">
        <v>84</v>
      </c>
      <c r="D50" s="6" t="s">
        <v>519</v>
      </c>
      <c r="E50" s="6" t="s">
        <v>501</v>
      </c>
      <c r="F50" s="6" t="s">
        <v>394</v>
      </c>
      <c r="G50" s="13" t="str">
        <f>IFERROR(VLOOKUP(F50,CATÁLOGOS!$A$6:$B$105,2,FALSE),"")</f>
        <v>🧰 Accesorios y equipamiento</v>
      </c>
      <c r="H50" s="6" t="s">
        <v>491</v>
      </c>
      <c r="I50" s="13" t="str">
        <f>IFERROR(VLOOKUP(H50,CATÁLOGOS!$F$6:$H$305,3,FALSE),"")</f>
        <v>Escobas y escobillones</v>
      </c>
      <c r="J50" s="6" t="s">
        <v>323</v>
      </c>
      <c r="K50" s="6" t="s">
        <v>529</v>
      </c>
      <c r="L50" s="6"/>
      <c r="M50" s="6" t="s">
        <v>397</v>
      </c>
      <c r="N50" s="6" t="s">
        <v>530</v>
      </c>
      <c r="O50" s="6" t="s">
        <v>531</v>
      </c>
      <c r="P50" s="13" t="str">
        <f>IFERROR(VLOOKUP(O50,CATÁLOGOS!$L$6:$O$305,3,FALSE),"")</f>
        <v>Escoba tipo barredor de 80 cm. Presentación: 1 unidad.</v>
      </c>
      <c r="Q50" s="13" t="str">
        <f>IFERROR(VLOOKUP(O50,CATÁLOGOS!$L$6:$O$305,4,FALSE),"")</f>
        <v>Escobas y escobillones. Accesorio resistente y práctico, pensado para facilitar las tareas de limpieza del hogar.</v>
      </c>
      <c r="R50" s="16"/>
      <c r="S50" s="16"/>
      <c r="T50" s="6" t="s">
        <v>329</v>
      </c>
      <c r="U50" s="10" t="s">
        <v>53</v>
      </c>
    </row>
    <row r="51" spans="1:21">
      <c r="A51" s="5" t="s">
        <v>532</v>
      </c>
      <c r="B51" s="6" t="s">
        <v>85</v>
      </c>
      <c r="C51" s="6" t="s">
        <v>85</v>
      </c>
      <c r="D51" s="6" t="s">
        <v>519</v>
      </c>
      <c r="E51" s="6" t="s">
        <v>506</v>
      </c>
      <c r="F51" s="6" t="s">
        <v>394</v>
      </c>
      <c r="G51" s="13" t="str">
        <f>IFERROR(VLOOKUP(F51,CATÁLOGOS!$A$6:$B$105,2,FALSE),"")</f>
        <v>🧰 Accesorios y equipamiento</v>
      </c>
      <c r="H51" s="6" t="s">
        <v>491</v>
      </c>
      <c r="I51" s="13" t="str">
        <f>IFERROR(VLOOKUP(H51,CATÁLOGOS!$F$6:$H$305,3,FALSE),"")</f>
        <v>Escobas y escobillones</v>
      </c>
      <c r="J51" s="6" t="s">
        <v>323</v>
      </c>
      <c r="K51" s="6" t="s">
        <v>533</v>
      </c>
      <c r="L51" s="6"/>
      <c r="M51" s="6" t="s">
        <v>397</v>
      </c>
      <c r="N51" s="6" t="s">
        <v>534</v>
      </c>
      <c r="O51" s="6" t="s">
        <v>535</v>
      </c>
      <c r="P51" s="13" t="str">
        <f>IFERROR(VLOOKUP(O51,CATÁLOGOS!$L$6:$O$305,3,FALSE),"")</f>
        <v>Escoba tipo barredor de 100 cm. Presentación: 1 unidad.</v>
      </c>
      <c r="Q51" s="13" t="str">
        <f>IFERROR(VLOOKUP(O51,CATÁLOGOS!$L$6:$O$305,4,FALSE),"")</f>
        <v>Escobas y escobillones. Accesorio resistente y práctico, pensado para facilitar las tareas de limpieza del hogar.</v>
      </c>
      <c r="R51" s="16"/>
      <c r="S51" s="16"/>
      <c r="T51" s="6" t="s">
        <v>329</v>
      </c>
      <c r="U51" s="10" t="s">
        <v>53</v>
      </c>
    </row>
    <row r="52" spans="1:21">
      <c r="A52" s="5" t="s">
        <v>536</v>
      </c>
      <c r="B52" s="6" t="s">
        <v>86</v>
      </c>
      <c r="C52" s="6" t="s">
        <v>86</v>
      </c>
      <c r="D52" s="6"/>
      <c r="E52" s="6"/>
      <c r="F52" s="6" t="s">
        <v>394</v>
      </c>
      <c r="G52" s="13" t="str">
        <f>IFERROR(VLOOKUP(F52,CATÁLOGOS!$A$6:$B$105,2,FALSE),"")</f>
        <v>🧰 Accesorios y equipamiento</v>
      </c>
      <c r="H52" s="6" t="s">
        <v>491</v>
      </c>
      <c r="I52" s="13" t="str">
        <f>IFERROR(VLOOKUP(H52,CATÁLOGOS!$F$6:$H$305,3,FALSE),"")</f>
        <v>Escobas y escobillones</v>
      </c>
      <c r="J52" s="6" t="s">
        <v>323</v>
      </c>
      <c r="K52" s="6" t="s">
        <v>537</v>
      </c>
      <c r="L52" s="6"/>
      <c r="M52" s="6" t="s">
        <v>397</v>
      </c>
      <c r="N52" s="6" t="s">
        <v>538</v>
      </c>
      <c r="O52" s="6" t="s">
        <v>539</v>
      </c>
      <c r="P52" s="13" t="str">
        <f>IFERROR(VLOOKUP(O52,CATÁLOGOS!$L$6:$O$305,3,FALSE),"")</f>
        <v>Barre Hojas Comun. Presentación: 1 unidad.</v>
      </c>
      <c r="Q52" s="13" t="str">
        <f>IFERROR(VLOOKUP(O52,CATÁLOGOS!$L$6:$O$305,4,FALSE),"")</f>
        <v>Escobas y escobillones. Accesorio resistente y práctico, pensado para facilitar las tareas de limpieza del hogar.</v>
      </c>
      <c r="R52" s="16"/>
      <c r="S52" s="16"/>
      <c r="T52" s="6" t="s">
        <v>329</v>
      </c>
      <c r="U52" s="10" t="s">
        <v>53</v>
      </c>
    </row>
    <row r="53" spans="1:21">
      <c r="A53" s="5" t="s">
        <v>540</v>
      </c>
      <c r="B53" s="6" t="s">
        <v>87</v>
      </c>
      <c r="C53" s="6" t="s">
        <v>87</v>
      </c>
      <c r="D53" s="6"/>
      <c r="E53" s="6"/>
      <c r="F53" s="6" t="s">
        <v>394</v>
      </c>
      <c r="G53" s="13" t="str">
        <f>IFERROR(VLOOKUP(F53,CATÁLOGOS!$A$6:$B$105,2,FALSE),"")</f>
        <v>🧰 Accesorios y equipamiento</v>
      </c>
      <c r="H53" s="6" t="s">
        <v>491</v>
      </c>
      <c r="I53" s="13" t="str">
        <f>IFERROR(VLOOKUP(H53,CATÁLOGOS!$F$6:$H$305,3,FALSE),"")</f>
        <v>Escobas y escobillones</v>
      </c>
      <c r="J53" s="6" t="s">
        <v>323</v>
      </c>
      <c r="K53" s="6" t="s">
        <v>541</v>
      </c>
      <c r="L53" s="6"/>
      <c r="M53" s="6" t="s">
        <v>397</v>
      </c>
      <c r="N53" s="6" t="s">
        <v>542</v>
      </c>
      <c r="O53" s="6" t="s">
        <v>543</v>
      </c>
      <c r="P53" s="13" t="str">
        <f>IFERROR(VLOOKUP(O53,CATÁLOGOS!$L$6:$O$305,3,FALSE),"")</f>
        <v>Barre Hojas Profesional. Presentación: 1 unidad.</v>
      </c>
      <c r="Q53" s="13" t="str">
        <f>IFERROR(VLOOKUP(O53,CATÁLOGOS!$L$6:$O$305,4,FALSE),"")</f>
        <v>Escobas y escobillones. Accesorio resistente y práctico, pensado para facilitar las tareas de limpieza del hogar.</v>
      </c>
      <c r="R53" s="16"/>
      <c r="S53" s="16"/>
      <c r="T53" s="6" t="s">
        <v>329</v>
      </c>
      <c r="U53" s="10" t="s">
        <v>53</v>
      </c>
    </row>
    <row r="54" spans="1:21">
      <c r="A54" s="5" t="s">
        <v>544</v>
      </c>
      <c r="B54" s="6" t="s">
        <v>88</v>
      </c>
      <c r="C54" s="6" t="s">
        <v>88</v>
      </c>
      <c r="D54" s="6"/>
      <c r="E54" s="6"/>
      <c r="F54" s="6" t="s">
        <v>394</v>
      </c>
      <c r="G54" s="13" t="str">
        <f>IFERROR(VLOOKUP(F54,CATÁLOGOS!$A$6:$B$105,2,FALSE),"")</f>
        <v>🧰 Accesorios y equipamiento</v>
      </c>
      <c r="H54" s="6" t="s">
        <v>491</v>
      </c>
      <c r="I54" s="13" t="str">
        <f>IFERROR(VLOOKUP(H54,CATÁLOGOS!$F$6:$H$305,3,FALSE),"")</f>
        <v>Escobas y escobillones</v>
      </c>
      <c r="J54" s="6" t="s">
        <v>323</v>
      </c>
      <c r="K54" s="6" t="s">
        <v>545</v>
      </c>
      <c r="L54" s="6"/>
      <c r="M54" s="6" t="s">
        <v>397</v>
      </c>
      <c r="N54" s="6" t="s">
        <v>546</v>
      </c>
      <c r="O54" s="6" t="s">
        <v>547</v>
      </c>
      <c r="P54" s="13" t="str">
        <f>IFERROR(VLOOKUP(O54,CATÁLOGOS!$L$6:$O$305,3,FALSE),"")</f>
        <v>Escoba de tipo 6 hilos. Presentación: 1 unidad.</v>
      </c>
      <c r="Q54" s="13" t="str">
        <f>IFERROR(VLOOKUP(O54,CATÁLOGOS!$L$6:$O$305,4,FALSE),"")</f>
        <v>Escobas y escobillones. Accesorio resistente y práctico, pensado para facilitar las tareas de limpieza del hogar.</v>
      </c>
      <c r="R54" s="16"/>
      <c r="S54" s="16"/>
      <c r="T54" s="6" t="s">
        <v>329</v>
      </c>
      <c r="U54" s="10" t="s">
        <v>53</v>
      </c>
    </row>
    <row r="55" spans="1:21">
      <c r="A55" s="5" t="s">
        <v>548</v>
      </c>
      <c r="B55" s="6" t="s">
        <v>89</v>
      </c>
      <c r="C55" s="6" t="s">
        <v>89</v>
      </c>
      <c r="D55" s="6"/>
      <c r="E55" s="6"/>
      <c r="F55" s="6" t="s">
        <v>394</v>
      </c>
      <c r="G55" s="13" t="str">
        <f>IFERROR(VLOOKUP(F55,CATÁLOGOS!$A$6:$B$105,2,FALSE),"")</f>
        <v>🧰 Accesorios y equipamiento</v>
      </c>
      <c r="H55" s="6" t="s">
        <v>491</v>
      </c>
      <c r="I55" s="13" t="str">
        <f>IFERROR(VLOOKUP(H55,CATÁLOGOS!$F$6:$H$305,3,FALSE),"")</f>
        <v>Escobas y escobillones</v>
      </c>
      <c r="J55" s="6" t="s">
        <v>323</v>
      </c>
      <c r="K55" s="6" t="s">
        <v>549</v>
      </c>
      <c r="L55" s="6"/>
      <c r="M55" s="6" t="s">
        <v>397</v>
      </c>
      <c r="N55" s="6" t="s">
        <v>550</v>
      </c>
      <c r="O55" s="6" t="s">
        <v>551</v>
      </c>
      <c r="P55" s="13" t="str">
        <f>IFERROR(VLOOKUP(O55,CATÁLOGOS!$L$6:$O$305,3,FALSE),"")</f>
        <v>Escoba de tipo Americana. Presentación: 1 unidad.</v>
      </c>
      <c r="Q55" s="13" t="str">
        <f>IFERROR(VLOOKUP(O55,CATÁLOGOS!$L$6:$O$305,4,FALSE),"")</f>
        <v>Escobas y escobillones. Accesorio resistente y práctico, pensado para facilitar las tareas de limpieza del hogar.</v>
      </c>
      <c r="R55" s="16"/>
      <c r="S55" s="16"/>
      <c r="T55" s="6" t="s">
        <v>329</v>
      </c>
      <c r="U55" s="10" t="s">
        <v>53</v>
      </c>
    </row>
    <row r="56" spans="1:21">
      <c r="A56" s="5" t="s">
        <v>552</v>
      </c>
      <c r="B56" s="6" t="s">
        <v>90</v>
      </c>
      <c r="C56" s="6" t="s">
        <v>90</v>
      </c>
      <c r="D56" s="6"/>
      <c r="E56" s="6"/>
      <c r="F56" s="6" t="s">
        <v>394</v>
      </c>
      <c r="G56" s="13" t="str">
        <f>IFERROR(VLOOKUP(F56,CATÁLOGOS!$A$6:$B$105,2,FALSE),"")</f>
        <v>🧰 Accesorios y equipamiento</v>
      </c>
      <c r="H56" s="6" t="s">
        <v>491</v>
      </c>
      <c r="I56" s="13" t="str">
        <f>IFERROR(VLOOKUP(H56,CATÁLOGOS!$F$6:$H$305,3,FALSE),"")</f>
        <v>Escobas y escobillones</v>
      </c>
      <c r="J56" s="6" t="s">
        <v>323</v>
      </c>
      <c r="K56" s="6" t="s">
        <v>553</v>
      </c>
      <c r="L56" s="6"/>
      <c r="M56" s="6" t="s">
        <v>397</v>
      </c>
      <c r="N56" s="6" t="s">
        <v>554</v>
      </c>
      <c r="O56" s="6" t="s">
        <v>555</v>
      </c>
      <c r="P56" s="13" t="str">
        <f>IFERROR(VLOOKUP(O56,CATÁLOGOS!$L$6:$O$305,3,FALSE),"")</f>
        <v>Escoba de tipo Capuchina. Presentación: 1 unidad.</v>
      </c>
      <c r="Q56" s="13" t="str">
        <f>IFERROR(VLOOKUP(O56,CATÁLOGOS!$L$6:$O$305,4,FALSE),"")</f>
        <v>Escobas y escobillones. Accesorio resistente y práctico, pensado para facilitar las tareas de limpieza del hogar.</v>
      </c>
      <c r="R56" s="16"/>
      <c r="S56" s="16"/>
      <c r="T56" s="6" t="s">
        <v>329</v>
      </c>
      <c r="U56" s="10" t="s">
        <v>53</v>
      </c>
    </row>
    <row r="57" spans="1:21">
      <c r="A57" s="5" t="s">
        <v>556</v>
      </c>
      <c r="B57" s="6" t="s">
        <v>91</v>
      </c>
      <c r="C57" s="6" t="s">
        <v>91</v>
      </c>
      <c r="D57" s="6"/>
      <c r="E57" s="6"/>
      <c r="F57" s="6" t="s">
        <v>394</v>
      </c>
      <c r="G57" s="13" t="str">
        <f>IFERROR(VLOOKUP(F57,CATÁLOGOS!$A$6:$B$105,2,FALSE),"")</f>
        <v>🧰 Accesorios y equipamiento</v>
      </c>
      <c r="H57" s="6" t="s">
        <v>491</v>
      </c>
      <c r="I57" s="13" t="str">
        <f>IFERROR(VLOOKUP(H57,CATÁLOGOS!$F$6:$H$305,3,FALSE),"")</f>
        <v>Escobas y escobillones</v>
      </c>
      <c r="J57" s="6" t="s">
        <v>323</v>
      </c>
      <c r="K57" s="6" t="s">
        <v>557</v>
      </c>
      <c r="L57" s="6"/>
      <c r="M57" s="6" t="s">
        <v>397</v>
      </c>
      <c r="N57" s="6" t="s">
        <v>558</v>
      </c>
      <c r="O57" s="6" t="s">
        <v>559</v>
      </c>
      <c r="P57" s="13" t="str">
        <f>IFERROR(VLOOKUP(O57,CATÁLOGOS!$L$6:$O$305,3,FALSE),"")</f>
        <v>Escoba de tipo Barregrueso. Presentación: 1 unidad.</v>
      </c>
      <c r="Q57" s="13" t="str">
        <f>IFERROR(VLOOKUP(O57,CATÁLOGOS!$L$6:$O$305,4,FALSE),"")</f>
        <v>Escobas y escobillones. Accesorio resistente y práctico, pensado para facilitar las tareas de limpieza del hogar.</v>
      </c>
      <c r="R57" s="16"/>
      <c r="S57" s="16"/>
      <c r="T57" s="6" t="s">
        <v>329</v>
      </c>
      <c r="U57" s="10" t="s">
        <v>53</v>
      </c>
    </row>
    <row r="58" spans="1:21">
      <c r="A58" s="5" t="s">
        <v>560</v>
      </c>
      <c r="B58" s="6" t="s">
        <v>92</v>
      </c>
      <c r="C58" s="6" t="s">
        <v>92</v>
      </c>
      <c r="D58" s="6"/>
      <c r="E58" s="6"/>
      <c r="F58" s="6" t="s">
        <v>394</v>
      </c>
      <c r="G58" s="13" t="str">
        <f>IFERROR(VLOOKUP(F58,CATÁLOGOS!$A$6:$B$105,2,FALSE),"")</f>
        <v>🧰 Accesorios y equipamiento</v>
      </c>
      <c r="H58" s="6" t="s">
        <v>491</v>
      </c>
      <c r="I58" s="13" t="str">
        <f>IFERROR(VLOOKUP(H58,CATÁLOGOS!$F$6:$H$305,3,FALSE),"")</f>
        <v>Escobas y escobillones</v>
      </c>
      <c r="J58" s="6" t="s">
        <v>323</v>
      </c>
      <c r="K58" s="6" t="s">
        <v>561</v>
      </c>
      <c r="L58" s="6"/>
      <c r="M58" s="6" t="s">
        <v>397</v>
      </c>
      <c r="N58" s="6" t="s">
        <v>562</v>
      </c>
      <c r="O58" s="6" t="s">
        <v>563</v>
      </c>
      <c r="P58" s="13" t="str">
        <f>IFERROR(VLOOKUP(O58,CATÁLOGOS!$L$6:$O$305,3,FALSE),"")</f>
        <v>Escobillon de tipo liso de Cerda. Presentación: 1 unidad.</v>
      </c>
      <c r="Q58" s="13" t="str">
        <f>IFERROR(VLOOKUP(O58,CATÁLOGOS!$L$6:$O$305,4,FALSE),"")</f>
        <v>Escobas y escobillones. Accesorio resistente y práctico, pensado para facilitar las tareas de limpieza del hogar.</v>
      </c>
      <c r="R58" s="16"/>
      <c r="S58" s="16"/>
      <c r="T58" s="6" t="s">
        <v>329</v>
      </c>
      <c r="U58" s="10" t="s">
        <v>53</v>
      </c>
    </row>
    <row r="59" spans="1:21">
      <c r="A59" s="5" t="s">
        <v>564</v>
      </c>
      <c r="B59" s="6" t="s">
        <v>93</v>
      </c>
      <c r="C59" s="6" t="s">
        <v>93</v>
      </c>
      <c r="D59" s="6"/>
      <c r="E59" s="6"/>
      <c r="F59" s="6" t="s">
        <v>394</v>
      </c>
      <c r="G59" s="13" t="str">
        <f>IFERROR(VLOOKUP(F59,CATÁLOGOS!$A$6:$B$105,2,FALSE),"")</f>
        <v>🧰 Accesorios y equipamiento</v>
      </c>
      <c r="H59" s="6" t="s">
        <v>491</v>
      </c>
      <c r="I59" s="13" t="str">
        <f>IFERROR(VLOOKUP(H59,CATÁLOGOS!$F$6:$H$305,3,FALSE),"")</f>
        <v>Escobas y escobillones</v>
      </c>
      <c r="J59" s="6" t="s">
        <v>323</v>
      </c>
      <c r="K59" s="6" t="s">
        <v>565</v>
      </c>
      <c r="L59" s="6"/>
      <c r="M59" s="6" t="s">
        <v>397</v>
      </c>
      <c r="N59" s="6" t="s">
        <v>566</v>
      </c>
      <c r="O59" s="6" t="s">
        <v>567</v>
      </c>
      <c r="P59" s="13" t="str">
        <f>IFERROR(VLOOKUP(O59,CATÁLOGOS!$L$6:$O$305,3,FALSE),"")</f>
        <v>Escoba de tipo Galponera. Presentación: 1 unidad.</v>
      </c>
      <c r="Q59" s="13" t="str">
        <f>IFERROR(VLOOKUP(O59,CATÁLOGOS!$L$6:$O$305,4,FALSE),"")</f>
        <v>Escobas y escobillones. Accesorio resistente y práctico, pensado para facilitar las tareas de limpieza del hogar.</v>
      </c>
      <c r="R59" s="16"/>
      <c r="S59" s="16"/>
      <c r="T59" s="6" t="s">
        <v>329</v>
      </c>
      <c r="U59" s="10" t="s">
        <v>53</v>
      </c>
    </row>
    <row r="60" spans="1:21">
      <c r="A60" s="5" t="s">
        <v>568</v>
      </c>
      <c r="B60" s="6" t="s">
        <v>94</v>
      </c>
      <c r="C60" s="6" t="s">
        <v>94</v>
      </c>
      <c r="D60" s="6"/>
      <c r="E60" s="6"/>
      <c r="F60" s="6" t="s">
        <v>394</v>
      </c>
      <c r="G60" s="13" t="str">
        <f>IFERROR(VLOOKUP(F60,CATÁLOGOS!$A$6:$B$105,2,FALSE),"")</f>
        <v>🧰 Accesorios y equipamiento</v>
      </c>
      <c r="H60" s="6" t="s">
        <v>491</v>
      </c>
      <c r="I60" s="13" t="str">
        <f>IFERROR(VLOOKUP(H60,CATÁLOGOS!$F$6:$H$305,3,FALSE),"")</f>
        <v>Escobas y escobillones</v>
      </c>
      <c r="J60" s="6" t="s">
        <v>569</v>
      </c>
      <c r="K60" s="6" t="s">
        <v>570</v>
      </c>
      <c r="L60" s="6"/>
      <c r="M60" s="6" t="s">
        <v>397</v>
      </c>
      <c r="N60" s="6" t="s">
        <v>571</v>
      </c>
      <c r="O60" s="6" t="s">
        <v>572</v>
      </c>
      <c r="P60" s="13" t="str">
        <f>IFERROR(VLOOKUP(O60,CATÁLOGOS!$L$6:$O$305,3,FALSE),"")</f>
        <v>Escobillon Rey Laqueado. Presentación: 1 unidad. Marca Rey Laqueado.</v>
      </c>
      <c r="Q60" s="13" t="str">
        <f>IFERROR(VLOOKUP(O60,CATÁLOGOS!$L$6:$O$305,4,FALSE),"")</f>
        <v>Escobas y escobillones. Accesorio resistente y práctico, pensado para facilitar las tareas de limpieza del hogar.</v>
      </c>
      <c r="R60" s="16"/>
      <c r="S60" s="16"/>
      <c r="T60" s="6" t="s">
        <v>329</v>
      </c>
      <c r="U60" s="10" t="s">
        <v>53</v>
      </c>
    </row>
    <row r="61" spans="1:21">
      <c r="A61" s="5" t="s">
        <v>573</v>
      </c>
      <c r="B61" s="6" t="s">
        <v>95</v>
      </c>
      <c r="C61" s="6" t="s">
        <v>95</v>
      </c>
      <c r="D61" s="6"/>
      <c r="E61" s="6"/>
      <c r="F61" s="6" t="s">
        <v>394</v>
      </c>
      <c r="G61" s="13" t="str">
        <f>IFERROR(VLOOKUP(F61,CATÁLOGOS!$A$6:$B$105,2,FALSE),"")</f>
        <v>🧰 Accesorios y equipamiento</v>
      </c>
      <c r="H61" s="6" t="s">
        <v>491</v>
      </c>
      <c r="I61" s="13" t="str">
        <f>IFERROR(VLOOKUP(H61,CATÁLOGOS!$F$6:$H$305,3,FALSE),"")</f>
        <v>Escobas y escobillones</v>
      </c>
      <c r="J61" s="6" t="s">
        <v>323</v>
      </c>
      <c r="K61" s="6" t="s">
        <v>574</v>
      </c>
      <c r="L61" s="6"/>
      <c r="M61" s="6" t="s">
        <v>397</v>
      </c>
      <c r="N61" s="6" t="s">
        <v>575</v>
      </c>
      <c r="O61" s="6" t="s">
        <v>576</v>
      </c>
      <c r="P61" s="13" t="str">
        <f>IFERROR(VLOOKUP(O61,CATÁLOGOS!$L$6:$O$305,3,FALSE),"")</f>
        <v>Escobillon tipo princesa laqueado. Presentación: 1 unidad.</v>
      </c>
      <c r="Q61" s="13" t="str">
        <f>IFERROR(VLOOKUP(O61,CATÁLOGOS!$L$6:$O$305,4,FALSE),"")</f>
        <v>Escobas y escobillones. Accesorio resistente y práctico, pensado para facilitar las tareas de limpieza del hogar.</v>
      </c>
      <c r="R61" s="16"/>
      <c r="S61" s="16"/>
      <c r="T61" s="6" t="s">
        <v>329</v>
      </c>
      <c r="U61" s="10" t="s">
        <v>53</v>
      </c>
    </row>
    <row r="62" spans="1:21">
      <c r="A62" s="5" t="s">
        <v>577</v>
      </c>
      <c r="B62" s="6" t="s">
        <v>96</v>
      </c>
      <c r="C62" s="6" t="s">
        <v>96</v>
      </c>
      <c r="D62" s="6"/>
      <c r="E62" s="6"/>
      <c r="F62" s="6" t="s">
        <v>394</v>
      </c>
      <c r="G62" s="13" t="str">
        <f>IFERROR(VLOOKUP(F62,CATÁLOGOS!$A$6:$B$105,2,FALSE),"")</f>
        <v>🧰 Accesorios y equipamiento</v>
      </c>
      <c r="H62" s="6" t="s">
        <v>491</v>
      </c>
      <c r="I62" s="13" t="str">
        <f>IFERROR(VLOOKUP(H62,CATÁLOGOS!$F$6:$H$305,3,FALSE),"")</f>
        <v>Escobas y escobillones</v>
      </c>
      <c r="J62" s="6" t="s">
        <v>323</v>
      </c>
      <c r="K62" s="6" t="s">
        <v>578</v>
      </c>
      <c r="L62" s="6"/>
      <c r="M62" s="6" t="s">
        <v>397</v>
      </c>
      <c r="N62" s="6" t="s">
        <v>579</v>
      </c>
      <c r="O62" s="6" t="s">
        <v>580</v>
      </c>
      <c r="P62" s="13" t="str">
        <f>IFERROR(VLOOKUP(O62,CATÁLOGOS!$L$6:$O$305,3,FALSE),"")</f>
        <v>Escobillon tipo barregrueso economico. Presentación: 1 unidad.</v>
      </c>
      <c r="Q62" s="13" t="str">
        <f>IFERROR(VLOOKUP(O62,CATÁLOGOS!$L$6:$O$305,4,FALSE),"")</f>
        <v>Escobas y escobillones. Accesorio resistente y práctico, pensado para facilitar las tareas de limpieza del hogar.</v>
      </c>
      <c r="R62" s="16"/>
      <c r="S62" s="16"/>
      <c r="T62" s="6" t="s">
        <v>329</v>
      </c>
      <c r="U62" s="10" t="s">
        <v>53</v>
      </c>
    </row>
    <row r="63" spans="1:21">
      <c r="A63" s="5" t="s">
        <v>581</v>
      </c>
      <c r="B63" s="6" t="s">
        <v>97</v>
      </c>
      <c r="C63" s="6" t="s">
        <v>97</v>
      </c>
      <c r="D63" s="6"/>
      <c r="E63" s="6"/>
      <c r="F63" s="6" t="s">
        <v>394</v>
      </c>
      <c r="G63" s="13" t="str">
        <f>IFERROR(VLOOKUP(F63,CATÁLOGOS!$A$6:$B$105,2,FALSE),"")</f>
        <v>🧰 Accesorios y equipamiento</v>
      </c>
      <c r="H63" s="6" t="s">
        <v>491</v>
      </c>
      <c r="I63" s="13" t="str">
        <f>IFERROR(VLOOKUP(H63,CATÁLOGOS!$F$6:$H$305,3,FALSE),"")</f>
        <v>Escobas y escobillones</v>
      </c>
      <c r="J63" s="6" t="s">
        <v>323</v>
      </c>
      <c r="K63" s="6" t="s">
        <v>582</v>
      </c>
      <c r="L63" s="6"/>
      <c r="M63" s="6" t="s">
        <v>397</v>
      </c>
      <c r="N63" s="6" t="s">
        <v>583</v>
      </c>
      <c r="O63" s="6" t="s">
        <v>584</v>
      </c>
      <c r="P63" s="13" t="str">
        <f>IFERROR(VLOOKUP(O63,CATÁLOGOS!$L$6:$O$305,3,FALSE),"")</f>
        <v>Escobillon tipo barregrueso salzano. Presentación: 1 unidad.</v>
      </c>
      <c r="Q63" s="13" t="str">
        <f>IFERROR(VLOOKUP(O63,CATÁLOGOS!$L$6:$O$305,4,FALSE),"")</f>
        <v>Escobas y escobillones. Accesorio resistente y práctico, pensado para facilitar las tareas de limpieza del hogar.</v>
      </c>
      <c r="R63" s="16"/>
      <c r="S63" s="16"/>
      <c r="T63" s="6" t="s">
        <v>329</v>
      </c>
      <c r="U63" s="10" t="s">
        <v>53</v>
      </c>
    </row>
    <row r="64" spans="1:21">
      <c r="A64" s="5" t="s">
        <v>585</v>
      </c>
      <c r="B64" s="6" t="s">
        <v>98</v>
      </c>
      <c r="C64" s="6" t="s">
        <v>98</v>
      </c>
      <c r="D64" s="6"/>
      <c r="E64" s="6"/>
      <c r="F64" s="6" t="s">
        <v>394</v>
      </c>
      <c r="G64" s="13" t="str">
        <f>IFERROR(VLOOKUP(F64,CATÁLOGOS!$A$6:$B$105,2,FALSE),"")</f>
        <v>🧰 Accesorios y equipamiento</v>
      </c>
      <c r="H64" s="6" t="s">
        <v>491</v>
      </c>
      <c r="I64" s="13" t="str">
        <f>IFERROR(VLOOKUP(H64,CATÁLOGOS!$F$6:$H$305,3,FALSE),"")</f>
        <v>Escobas y escobillones</v>
      </c>
      <c r="J64" s="6" t="s">
        <v>323</v>
      </c>
      <c r="K64" s="6" t="s">
        <v>586</v>
      </c>
      <c r="L64" s="6"/>
      <c r="M64" s="6" t="s">
        <v>397</v>
      </c>
      <c r="N64" s="6" t="s">
        <v>587</v>
      </c>
      <c r="O64" s="6" t="s">
        <v>588</v>
      </c>
      <c r="P64" s="13" t="str">
        <f>IFERROR(VLOOKUP(O64,CATÁLOGOS!$L$6:$O$305,3,FALSE),"")</f>
        <v>Escobillon de tipo gondola. Presentación: 1 unidad.</v>
      </c>
      <c r="Q64" s="13" t="str">
        <f>IFERROR(VLOOKUP(O64,CATÁLOGOS!$L$6:$O$305,4,FALSE),"")</f>
        <v>Escobas y escobillones. Accesorio resistente y práctico, pensado para facilitar las tareas de limpieza del hogar.</v>
      </c>
      <c r="R64" s="16"/>
      <c r="S64" s="16"/>
      <c r="T64" s="6" t="s">
        <v>329</v>
      </c>
      <c r="U64" s="10" t="s">
        <v>53</v>
      </c>
    </row>
    <row r="65" spans="1:21">
      <c r="A65" s="5" t="s">
        <v>589</v>
      </c>
      <c r="B65" s="6" t="s">
        <v>99</v>
      </c>
      <c r="C65" s="6" t="s">
        <v>99</v>
      </c>
      <c r="D65" s="6"/>
      <c r="E65" s="6"/>
      <c r="F65" s="6" t="s">
        <v>394</v>
      </c>
      <c r="G65" s="13" t="str">
        <f>IFERROR(VLOOKUP(F65,CATÁLOGOS!$A$6:$B$105,2,FALSE),"")</f>
        <v>🧰 Accesorios y equipamiento</v>
      </c>
      <c r="H65" s="6" t="s">
        <v>491</v>
      </c>
      <c r="I65" s="13" t="str">
        <f>IFERROR(VLOOKUP(H65,CATÁLOGOS!$F$6:$H$305,3,FALSE),"")</f>
        <v>Escobas y escobillones</v>
      </c>
      <c r="J65" s="6" t="s">
        <v>323</v>
      </c>
      <c r="K65" s="6" t="s">
        <v>590</v>
      </c>
      <c r="L65" s="6"/>
      <c r="M65" s="6" t="s">
        <v>397</v>
      </c>
      <c r="N65" s="6" t="s">
        <v>591</v>
      </c>
      <c r="O65" s="6" t="s">
        <v>592</v>
      </c>
      <c r="P65" s="13" t="str">
        <f>IFERROR(VLOOKUP(O65,CATÁLOGOS!$L$6:$O$305,3,FALSE),"")</f>
        <v>Escobillon de tipo Barrendero Salzano. Presentación: 1 unidad.</v>
      </c>
      <c r="Q65" s="13" t="str">
        <f>IFERROR(VLOOKUP(O65,CATÁLOGOS!$L$6:$O$305,4,FALSE),"")</f>
        <v>Escobas y escobillones. Accesorio resistente y práctico, pensado para facilitar las tareas de limpieza del hogar.</v>
      </c>
      <c r="R65" s="16"/>
      <c r="S65" s="16"/>
      <c r="T65" s="6" t="s">
        <v>329</v>
      </c>
      <c r="U65" s="10" t="s">
        <v>53</v>
      </c>
    </row>
    <row r="66" spans="1:21">
      <c r="A66" s="5" t="s">
        <v>593</v>
      </c>
      <c r="B66" s="6" t="s">
        <v>100</v>
      </c>
      <c r="C66" s="6" t="s">
        <v>100</v>
      </c>
      <c r="D66" s="6"/>
      <c r="E66" s="6"/>
      <c r="F66" s="6" t="s">
        <v>394</v>
      </c>
      <c r="G66" s="13" t="str">
        <f>IFERROR(VLOOKUP(F66,CATÁLOGOS!$A$6:$B$105,2,FALSE),"")</f>
        <v>🧰 Accesorios y equipamiento</v>
      </c>
      <c r="H66" s="6" t="s">
        <v>491</v>
      </c>
      <c r="I66" s="13" t="str">
        <f>IFERROR(VLOOKUP(H66,CATÁLOGOS!$F$6:$H$305,3,FALSE),"")</f>
        <v>Escobas y escobillones</v>
      </c>
      <c r="J66" s="6" t="s">
        <v>323</v>
      </c>
      <c r="K66" s="6" t="s">
        <v>594</v>
      </c>
      <c r="L66" s="6"/>
      <c r="M66" s="6" t="s">
        <v>397</v>
      </c>
      <c r="N66" s="6" t="s">
        <v>595</v>
      </c>
      <c r="O66" s="6" t="s">
        <v>596</v>
      </c>
      <c r="P66" s="13" t="str">
        <f>IFERROR(VLOOKUP(O66,CATÁLOGOS!$L$6:$O$305,3,FALSE),"")</f>
        <v>Escobillon bigote (cerda) Salzano. Presentación: 1 unidad.</v>
      </c>
      <c r="Q66" s="13" t="str">
        <f>IFERROR(VLOOKUP(O66,CATÁLOGOS!$L$6:$O$305,4,FALSE),"")</f>
        <v>Escobas y escobillones. Accesorio resistente y práctico, pensado para facilitar las tareas de limpieza del hogar.</v>
      </c>
      <c r="R66" s="16"/>
      <c r="S66" s="16"/>
      <c r="T66" s="6" t="s">
        <v>329</v>
      </c>
      <c r="U66" s="10" t="s">
        <v>53</v>
      </c>
    </row>
    <row r="67" spans="1:21">
      <c r="A67" s="5" t="s">
        <v>597</v>
      </c>
      <c r="B67" s="6" t="s">
        <v>101</v>
      </c>
      <c r="C67" s="6" t="s">
        <v>101</v>
      </c>
      <c r="D67" s="6"/>
      <c r="E67" s="6"/>
      <c r="F67" s="6" t="s">
        <v>394</v>
      </c>
      <c r="G67" s="13" t="str">
        <f>IFERROR(VLOOKUP(F67,CATÁLOGOS!$A$6:$B$105,2,FALSE),"")</f>
        <v>🧰 Accesorios y equipamiento</v>
      </c>
      <c r="H67" s="6" t="s">
        <v>491</v>
      </c>
      <c r="I67" s="13" t="str">
        <f>IFERROR(VLOOKUP(H67,CATÁLOGOS!$F$6:$H$305,3,FALSE),"")</f>
        <v>Escobas y escobillones</v>
      </c>
      <c r="J67" s="6" t="s">
        <v>323</v>
      </c>
      <c r="K67" s="6" t="s">
        <v>598</v>
      </c>
      <c r="L67" s="6"/>
      <c r="M67" s="6" t="s">
        <v>397</v>
      </c>
      <c r="N67" s="6" t="s">
        <v>599</v>
      </c>
      <c r="O67" s="6" t="s">
        <v>600</v>
      </c>
      <c r="P67" s="13" t="str">
        <f>IFERROR(VLOOKUP(O67,CATÁLOGOS!$L$6:$O$305,3,FALSE),"")</f>
        <v>Escobillon de tipo golf. Presentación: 1 unidad.</v>
      </c>
      <c r="Q67" s="13" t="str">
        <f>IFERROR(VLOOKUP(O67,CATÁLOGOS!$L$6:$O$305,4,FALSE),"")</f>
        <v>Escobas y escobillones. Accesorio resistente y práctico, pensado para facilitar las tareas de limpieza del hogar.</v>
      </c>
      <c r="R67" s="16"/>
      <c r="S67" s="16"/>
      <c r="T67" s="6" t="s">
        <v>329</v>
      </c>
      <c r="U67" s="10" t="s">
        <v>53</v>
      </c>
    </row>
    <row r="68" spans="1:21">
      <c r="A68" s="5" t="s">
        <v>601</v>
      </c>
      <c r="B68" s="6" t="s">
        <v>102</v>
      </c>
      <c r="C68" s="6" t="s">
        <v>102</v>
      </c>
      <c r="D68" s="6"/>
      <c r="E68" s="6"/>
      <c r="F68" s="6" t="s">
        <v>394</v>
      </c>
      <c r="G68" s="13" t="str">
        <f>IFERROR(VLOOKUP(F68,CATÁLOGOS!$A$6:$B$105,2,FALSE),"")</f>
        <v>🧰 Accesorios y equipamiento</v>
      </c>
      <c r="H68" s="6" t="s">
        <v>491</v>
      </c>
      <c r="I68" s="13" t="str">
        <f>IFERROR(VLOOKUP(H68,CATÁLOGOS!$F$6:$H$305,3,FALSE),"")</f>
        <v>Escobas y escobillones</v>
      </c>
      <c r="J68" s="6" t="s">
        <v>323</v>
      </c>
      <c r="K68" s="6" t="s">
        <v>602</v>
      </c>
      <c r="L68" s="6"/>
      <c r="M68" s="6" t="s">
        <v>397</v>
      </c>
      <c r="N68" s="6" t="s">
        <v>603</v>
      </c>
      <c r="O68" s="6" t="s">
        <v>604</v>
      </c>
      <c r="P68" s="13" t="str">
        <f>IFERROR(VLOOKUP(O68,CATÁLOGOS!$L$6:$O$305,3,FALSE),"")</f>
        <v>Escobillon Italia Salzano. Presentación: 1 unidad.</v>
      </c>
      <c r="Q68" s="13" t="str">
        <f>IFERROR(VLOOKUP(O68,CATÁLOGOS!$L$6:$O$305,4,FALSE),"")</f>
        <v>Escobas y escobillones. Accesorio resistente y práctico, pensado para facilitar las tareas de limpieza del hogar.</v>
      </c>
      <c r="R68" s="16"/>
      <c r="S68" s="16"/>
      <c r="T68" s="6" t="s">
        <v>329</v>
      </c>
      <c r="U68" s="10" t="s">
        <v>53</v>
      </c>
    </row>
    <row r="69" spans="1:21">
      <c r="A69" s="5" t="s">
        <v>605</v>
      </c>
      <c r="B69" s="6" t="s">
        <v>103</v>
      </c>
      <c r="C69" s="6" t="s">
        <v>103</v>
      </c>
      <c r="D69" s="6"/>
      <c r="E69" s="6"/>
      <c r="F69" s="6" t="s">
        <v>394</v>
      </c>
      <c r="G69" s="13" t="str">
        <f>IFERROR(VLOOKUP(F69,CATÁLOGOS!$A$6:$B$105,2,FALSE),"")</f>
        <v>🧰 Accesorios y equipamiento</v>
      </c>
      <c r="H69" s="6" t="s">
        <v>491</v>
      </c>
      <c r="I69" s="13" t="str">
        <f>IFERROR(VLOOKUP(H69,CATÁLOGOS!$F$6:$H$305,3,FALSE),"")</f>
        <v>Escobas y escobillones</v>
      </c>
      <c r="J69" s="6" t="s">
        <v>323</v>
      </c>
      <c r="K69" s="6" t="s">
        <v>606</v>
      </c>
      <c r="L69" s="6"/>
      <c r="M69" s="6" t="s">
        <v>397</v>
      </c>
      <c r="N69" s="6" t="s">
        <v>607</v>
      </c>
      <c r="O69" s="6" t="s">
        <v>608</v>
      </c>
      <c r="P69" s="13" t="str">
        <f>IFERROR(VLOOKUP(O69,CATÁLOGOS!$L$6:$O$305,3,FALSE),"")</f>
        <v>Escobillon Martina Salzano. Presentación: 1 unidad.</v>
      </c>
      <c r="Q69" s="13" t="str">
        <f>IFERROR(VLOOKUP(O69,CATÁLOGOS!$L$6:$O$305,4,FALSE),"")</f>
        <v>Escobas y escobillones. Accesorio resistente y práctico, pensado para facilitar las tareas de limpieza del hogar.</v>
      </c>
      <c r="R69" s="16"/>
      <c r="S69" s="16"/>
      <c r="T69" s="6" t="s">
        <v>329</v>
      </c>
      <c r="U69" s="10" t="s">
        <v>53</v>
      </c>
    </row>
    <row r="70" spans="1:21">
      <c r="A70" s="5" t="s">
        <v>609</v>
      </c>
      <c r="B70" s="6" t="s">
        <v>104</v>
      </c>
      <c r="C70" s="6" t="s">
        <v>104</v>
      </c>
      <c r="D70" s="6"/>
      <c r="E70" s="6"/>
      <c r="F70" s="6" t="s">
        <v>394</v>
      </c>
      <c r="G70" s="13" t="str">
        <f>IFERROR(VLOOKUP(F70,CATÁLOGOS!$A$6:$B$105,2,FALSE),"")</f>
        <v>🧰 Accesorios y equipamiento</v>
      </c>
      <c r="H70" s="6" t="s">
        <v>491</v>
      </c>
      <c r="I70" s="13" t="str">
        <f>IFERROR(VLOOKUP(H70,CATÁLOGOS!$F$6:$H$305,3,FALSE),"")</f>
        <v>Escobas y escobillones</v>
      </c>
      <c r="J70" s="6" t="s">
        <v>323</v>
      </c>
      <c r="K70" s="6" t="s">
        <v>610</v>
      </c>
      <c r="L70" s="6"/>
      <c r="M70" s="6" t="s">
        <v>397</v>
      </c>
      <c r="N70" s="6" t="s">
        <v>611</v>
      </c>
      <c r="O70" s="6" t="s">
        <v>612</v>
      </c>
      <c r="P70" s="13" t="str">
        <f>IFERROR(VLOOKUP(O70,CATÁLOGOS!$L$6:$O$305,3,FALSE),"")</f>
        <v>Escobillon Super Gondola. Presentación: 1 unidad.</v>
      </c>
      <c r="Q70" s="13" t="str">
        <f>IFERROR(VLOOKUP(O70,CATÁLOGOS!$L$6:$O$305,4,FALSE),"")</f>
        <v>Escobas y escobillones. Accesorio resistente y práctico, pensado para facilitar las tareas de limpieza del hogar.</v>
      </c>
      <c r="R70" s="16"/>
      <c r="S70" s="16"/>
      <c r="T70" s="6" t="s">
        <v>329</v>
      </c>
      <c r="U70" s="10" t="s">
        <v>53</v>
      </c>
    </row>
    <row r="71" spans="1:21">
      <c r="A71" s="5" t="s">
        <v>613</v>
      </c>
      <c r="B71" s="6" t="s">
        <v>105</v>
      </c>
      <c r="C71" s="6" t="s">
        <v>105</v>
      </c>
      <c r="D71" s="6"/>
      <c r="E71" s="6"/>
      <c r="F71" s="6" t="s">
        <v>394</v>
      </c>
      <c r="G71" s="13" t="str">
        <f>IFERROR(VLOOKUP(F71,CATÁLOGOS!$A$6:$B$105,2,FALSE),"")</f>
        <v>🧰 Accesorios y equipamiento</v>
      </c>
      <c r="H71" s="6" t="s">
        <v>491</v>
      </c>
      <c r="I71" s="13" t="str">
        <f>IFERROR(VLOOKUP(H71,CATÁLOGOS!$F$6:$H$305,3,FALSE),"")</f>
        <v>Escobas y escobillones</v>
      </c>
      <c r="J71" s="6" t="s">
        <v>323</v>
      </c>
      <c r="K71" s="6" t="s">
        <v>614</v>
      </c>
      <c r="L71" s="6"/>
      <c r="M71" s="6" t="s">
        <v>397</v>
      </c>
      <c r="N71" s="6" t="s">
        <v>615</v>
      </c>
      <c r="O71" s="6" t="s">
        <v>616</v>
      </c>
      <c r="P71" s="13" t="str">
        <f>IFERROR(VLOOKUP(O71,CATÁLOGOS!$L$6:$O$305,3,FALSE),"")</f>
        <v>Escobillon Super Panda. Presentación: 1 unidad.</v>
      </c>
      <c r="Q71" s="13" t="str">
        <f>IFERROR(VLOOKUP(O71,CATÁLOGOS!$L$6:$O$305,4,FALSE),"")</f>
        <v>Escobas y escobillones. Accesorio resistente y práctico, pensado para facilitar las tareas de limpieza del hogar.</v>
      </c>
      <c r="R71" s="16"/>
      <c r="S71" s="16"/>
      <c r="T71" s="6" t="s">
        <v>329</v>
      </c>
      <c r="U71" s="10" t="s">
        <v>53</v>
      </c>
    </row>
    <row r="72" spans="1:21">
      <c r="A72" s="5" t="s">
        <v>617</v>
      </c>
      <c r="B72" s="6" t="s">
        <v>106</v>
      </c>
      <c r="C72" s="6" t="s">
        <v>106</v>
      </c>
      <c r="D72" s="6"/>
      <c r="E72" s="6"/>
      <c r="F72" s="6" t="s">
        <v>394</v>
      </c>
      <c r="G72" s="13" t="str">
        <f>IFERROR(VLOOKUP(F72,CATÁLOGOS!$A$6:$B$105,2,FALSE),"")</f>
        <v>🧰 Accesorios y equipamiento</v>
      </c>
      <c r="H72" s="6" t="s">
        <v>491</v>
      </c>
      <c r="I72" s="13" t="str">
        <f>IFERROR(VLOOKUP(H72,CATÁLOGOS!$F$6:$H$305,3,FALSE),"")</f>
        <v>Escobas y escobillones</v>
      </c>
      <c r="J72" s="6" t="s">
        <v>323</v>
      </c>
      <c r="K72" s="6" t="s">
        <v>618</v>
      </c>
      <c r="L72" s="6"/>
      <c r="M72" s="6" t="s">
        <v>397</v>
      </c>
      <c r="N72" s="6" t="s">
        <v>619</v>
      </c>
      <c r="O72" s="6" t="s">
        <v>620</v>
      </c>
      <c r="P72" s="13" t="str">
        <f>IFERROR(VLOOKUP(O72,CATÁLOGOS!$L$6:$O$305,3,FALSE),"")</f>
        <v>Escobillon Venecia Salzano. Presentación: 1 unidad.</v>
      </c>
      <c r="Q72" s="13" t="str">
        <f>IFERROR(VLOOKUP(O72,CATÁLOGOS!$L$6:$O$305,4,FALSE),"")</f>
        <v>Escobas y escobillones. Accesorio resistente y práctico, pensado para facilitar las tareas de limpieza del hogar.</v>
      </c>
      <c r="R72" s="16"/>
      <c r="S72" s="16"/>
      <c r="T72" s="6" t="s">
        <v>329</v>
      </c>
      <c r="U72" s="10" t="s">
        <v>53</v>
      </c>
    </row>
    <row r="73" spans="1:21">
      <c r="A73" s="5" t="s">
        <v>621</v>
      </c>
      <c r="B73" s="6" t="s">
        <v>107</v>
      </c>
      <c r="C73" s="6" t="s">
        <v>107</v>
      </c>
      <c r="D73" s="6"/>
      <c r="E73" s="6"/>
      <c r="F73" s="6" t="s">
        <v>394</v>
      </c>
      <c r="G73" s="13" t="str">
        <f>IFERROR(VLOOKUP(F73,CATÁLOGOS!$A$6:$B$105,2,FALSE),"")</f>
        <v>🧰 Accesorios y equipamiento</v>
      </c>
      <c r="H73" s="6" t="s">
        <v>491</v>
      </c>
      <c r="I73" s="13" t="str">
        <f>IFERROR(VLOOKUP(H73,CATÁLOGOS!$F$6:$H$305,3,FALSE),"")</f>
        <v>Escobas y escobillones</v>
      </c>
      <c r="J73" s="6" t="s">
        <v>323</v>
      </c>
      <c r="K73" s="6" t="s">
        <v>622</v>
      </c>
      <c r="L73" s="6"/>
      <c r="M73" s="6" t="s">
        <v>397</v>
      </c>
      <c r="N73" s="6" t="s">
        <v>623</v>
      </c>
      <c r="O73" s="6" t="s">
        <v>624</v>
      </c>
      <c r="P73" s="13" t="str">
        <f>IFERROR(VLOOKUP(O73,CATÁLOGOS!$L$6:$O$305,3,FALSE),"")</f>
        <v>Globo de Techo Make. Presentación: 1 unidad.</v>
      </c>
      <c r="Q73" s="13" t="str">
        <f>IFERROR(VLOOKUP(O73,CATÁLOGOS!$L$6:$O$305,4,FALSE),"")</f>
        <v>Escobas y escobillones. Accesorio resistente y práctico, pensado para facilitar las tareas de limpieza del hogar.</v>
      </c>
      <c r="R73" s="16"/>
      <c r="S73" s="16"/>
      <c r="T73" s="6" t="s">
        <v>329</v>
      </c>
      <c r="U73" s="10" t="s">
        <v>53</v>
      </c>
    </row>
    <row r="74" spans="1:21">
      <c r="A74" s="5" t="s">
        <v>625</v>
      </c>
      <c r="B74" s="6" t="s">
        <v>108</v>
      </c>
      <c r="C74" s="6" t="s">
        <v>108</v>
      </c>
      <c r="D74" s="6"/>
      <c r="E74" s="6"/>
      <c r="F74" s="6" t="s">
        <v>394</v>
      </c>
      <c r="G74" s="13" t="str">
        <f>IFERROR(VLOOKUP(F74,CATÁLOGOS!$A$6:$B$105,2,FALSE),"")</f>
        <v>🧰 Accesorios y equipamiento</v>
      </c>
      <c r="H74" s="6" t="s">
        <v>491</v>
      </c>
      <c r="I74" s="13" t="str">
        <f>IFERROR(VLOOKUP(H74,CATÁLOGOS!$F$6:$H$305,3,FALSE),"")</f>
        <v>Escobas y escobillones</v>
      </c>
      <c r="J74" s="6" t="s">
        <v>323</v>
      </c>
      <c r="K74" s="6" t="s">
        <v>626</v>
      </c>
      <c r="L74" s="6"/>
      <c r="M74" s="6" t="s">
        <v>397</v>
      </c>
      <c r="N74" s="6" t="s">
        <v>627</v>
      </c>
      <c r="O74" s="6" t="s">
        <v>628</v>
      </c>
      <c r="P74" s="13" t="str">
        <f>IFERROR(VLOOKUP(O74,CATÁLOGOS!$L$6:$O$305,3,FALSE),"")</f>
        <v>Globo de Techo Punky. Presentación: 1 unidad.</v>
      </c>
      <c r="Q74" s="13" t="str">
        <f>IFERROR(VLOOKUP(O74,CATÁLOGOS!$L$6:$O$305,4,FALSE),"")</f>
        <v>Escobas y escobillones. Accesorio resistente y práctico, pensado para facilitar las tareas de limpieza del hogar.</v>
      </c>
      <c r="R74" s="16"/>
      <c r="S74" s="16"/>
      <c r="T74" s="6" t="s">
        <v>329</v>
      </c>
      <c r="U74" s="10" t="s">
        <v>53</v>
      </c>
    </row>
    <row r="75" spans="1:21">
      <c r="A75" s="5" t="s">
        <v>629</v>
      </c>
      <c r="B75" s="6" t="s">
        <v>109</v>
      </c>
      <c r="C75" s="6" t="s">
        <v>109</v>
      </c>
      <c r="D75" s="6" t="s">
        <v>519</v>
      </c>
      <c r="E75" s="6" t="s">
        <v>520</v>
      </c>
      <c r="F75" s="6" t="s">
        <v>394</v>
      </c>
      <c r="G75" s="13" t="str">
        <f>IFERROR(VLOOKUP(F75,CATÁLOGOS!$A$6:$B$105,2,FALSE),"")</f>
        <v>🧰 Accesorios y equipamiento</v>
      </c>
      <c r="H75" s="6" t="s">
        <v>491</v>
      </c>
      <c r="I75" s="13" t="str">
        <f>IFERROR(VLOOKUP(H75,CATÁLOGOS!$F$6:$H$305,3,FALSE),"")</f>
        <v>Escobas y escobillones</v>
      </c>
      <c r="J75" s="6" t="s">
        <v>323</v>
      </c>
      <c r="K75" s="6" t="s">
        <v>630</v>
      </c>
      <c r="L75" s="6"/>
      <c r="M75" s="6" t="s">
        <v>397</v>
      </c>
      <c r="N75" s="6" t="s">
        <v>631</v>
      </c>
      <c r="O75" s="6" t="s">
        <v>632</v>
      </c>
      <c r="P75" s="13" t="str">
        <f>IFERROR(VLOOKUP(O75,CATÁLOGOS!$L$6:$O$305,3,FALSE),"")</f>
        <v>Repuesto barredor. Presentación: 1 unidad.</v>
      </c>
      <c r="Q75" s="13" t="str">
        <f>IFERROR(VLOOKUP(O75,CATÁLOGOS!$L$6:$O$305,4,FALSE),"")</f>
        <v>Escobas y escobillones. Accesorio resistente y práctico, pensado para facilitar las tareas de limpieza del hogar.</v>
      </c>
      <c r="R75" s="16"/>
      <c r="S75" s="16"/>
      <c r="T75" s="6" t="s">
        <v>329</v>
      </c>
      <c r="U75" s="10" t="s">
        <v>53</v>
      </c>
    </row>
    <row r="76" spans="1:21">
      <c r="A76" s="5" t="s">
        <v>633</v>
      </c>
      <c r="B76" s="6" t="s">
        <v>110</v>
      </c>
      <c r="C76" s="6" t="s">
        <v>110</v>
      </c>
      <c r="D76" s="6" t="s">
        <v>519</v>
      </c>
      <c r="E76" s="6" t="s">
        <v>496</v>
      </c>
      <c r="F76" s="6" t="s">
        <v>394</v>
      </c>
      <c r="G76" s="13" t="str">
        <f>IFERROR(VLOOKUP(F76,CATÁLOGOS!$A$6:$B$105,2,FALSE),"")</f>
        <v>🧰 Accesorios y equipamiento</v>
      </c>
      <c r="H76" s="6" t="s">
        <v>491</v>
      </c>
      <c r="I76" s="13" t="str">
        <f>IFERROR(VLOOKUP(H76,CATÁLOGOS!$F$6:$H$305,3,FALSE),"")</f>
        <v>Escobas y escobillones</v>
      </c>
      <c r="J76" s="6" t="s">
        <v>323</v>
      </c>
      <c r="K76" s="6" t="s">
        <v>630</v>
      </c>
      <c r="L76" s="6"/>
      <c r="M76" s="6" t="s">
        <v>397</v>
      </c>
      <c r="N76" s="6" t="s">
        <v>634</v>
      </c>
      <c r="O76" s="6" t="s">
        <v>632</v>
      </c>
      <c r="P76" s="13" t="str">
        <f>IFERROR(VLOOKUP(O76,CATÁLOGOS!$L$6:$O$305,3,FALSE),"")</f>
        <v>Repuesto barredor. Presentación: 1 unidad.</v>
      </c>
      <c r="Q76" s="13" t="str">
        <f>IFERROR(VLOOKUP(O76,CATÁLOGOS!$L$6:$O$305,4,FALSE),"")</f>
        <v>Escobas y escobillones. Accesorio resistente y práctico, pensado para facilitar las tareas de limpieza del hogar.</v>
      </c>
      <c r="R76" s="16"/>
      <c r="S76" s="16"/>
      <c r="T76" s="6" t="s">
        <v>329</v>
      </c>
      <c r="U76" s="10" t="s">
        <v>53</v>
      </c>
    </row>
    <row r="77" spans="1:21">
      <c r="A77" s="5" t="s">
        <v>635</v>
      </c>
      <c r="B77" s="6" t="s">
        <v>111</v>
      </c>
      <c r="C77" s="6" t="s">
        <v>111</v>
      </c>
      <c r="D77" s="6" t="s">
        <v>519</v>
      </c>
      <c r="E77" s="6" t="s">
        <v>501</v>
      </c>
      <c r="F77" s="6" t="s">
        <v>394</v>
      </c>
      <c r="G77" s="13" t="str">
        <f>IFERROR(VLOOKUP(F77,CATÁLOGOS!$A$6:$B$105,2,FALSE),"")</f>
        <v>🧰 Accesorios y equipamiento</v>
      </c>
      <c r="H77" s="6" t="s">
        <v>491</v>
      </c>
      <c r="I77" s="13" t="str">
        <f>IFERROR(VLOOKUP(H77,CATÁLOGOS!$F$6:$H$305,3,FALSE),"")</f>
        <v>Escobas y escobillones</v>
      </c>
      <c r="J77" s="6" t="s">
        <v>323</v>
      </c>
      <c r="K77" s="6" t="s">
        <v>630</v>
      </c>
      <c r="L77" s="6"/>
      <c r="M77" s="6" t="s">
        <v>397</v>
      </c>
      <c r="N77" s="6" t="s">
        <v>636</v>
      </c>
      <c r="O77" s="6" t="s">
        <v>632</v>
      </c>
      <c r="P77" s="13" t="str">
        <f>IFERROR(VLOOKUP(O77,CATÁLOGOS!$L$6:$O$305,3,FALSE),"")</f>
        <v>Repuesto barredor. Presentación: 1 unidad.</v>
      </c>
      <c r="Q77" s="13" t="str">
        <f>IFERROR(VLOOKUP(O77,CATÁLOGOS!$L$6:$O$305,4,FALSE),"")</f>
        <v>Escobas y escobillones. Accesorio resistente y práctico, pensado para facilitar las tareas de limpieza del hogar.</v>
      </c>
      <c r="R77" s="16"/>
      <c r="S77" s="16"/>
      <c r="T77" s="6" t="s">
        <v>329</v>
      </c>
      <c r="U77" s="10" t="s">
        <v>53</v>
      </c>
    </row>
    <row r="78" spans="1:21">
      <c r="A78" s="5" t="s">
        <v>637</v>
      </c>
      <c r="B78" s="6" t="s">
        <v>112</v>
      </c>
      <c r="C78" s="6" t="s">
        <v>112</v>
      </c>
      <c r="D78" s="6" t="s">
        <v>519</v>
      </c>
      <c r="E78" s="6" t="s">
        <v>506</v>
      </c>
      <c r="F78" s="6" t="s">
        <v>394</v>
      </c>
      <c r="G78" s="13" t="str">
        <f>IFERROR(VLOOKUP(F78,CATÁLOGOS!$A$6:$B$105,2,FALSE),"")</f>
        <v>🧰 Accesorios y equipamiento</v>
      </c>
      <c r="H78" s="6" t="s">
        <v>491</v>
      </c>
      <c r="I78" s="13" t="str">
        <f>IFERROR(VLOOKUP(H78,CATÁLOGOS!$F$6:$H$305,3,FALSE),"")</f>
        <v>Escobas y escobillones</v>
      </c>
      <c r="J78" s="6" t="s">
        <v>323</v>
      </c>
      <c r="K78" s="6" t="s">
        <v>630</v>
      </c>
      <c r="L78" s="6"/>
      <c r="M78" s="6" t="s">
        <v>397</v>
      </c>
      <c r="N78" s="6" t="s">
        <v>638</v>
      </c>
      <c r="O78" s="6" t="s">
        <v>632</v>
      </c>
      <c r="P78" s="13" t="str">
        <f>IFERROR(VLOOKUP(O78,CATÁLOGOS!$L$6:$O$305,3,FALSE),"")</f>
        <v>Repuesto barredor. Presentación: 1 unidad.</v>
      </c>
      <c r="Q78" s="13" t="str">
        <f>IFERROR(VLOOKUP(O78,CATÁLOGOS!$L$6:$O$305,4,FALSE),"")</f>
        <v>Escobas y escobillones. Accesorio resistente y práctico, pensado para facilitar las tareas de limpieza del hogar.</v>
      </c>
      <c r="R78" s="16"/>
      <c r="S78" s="16"/>
      <c r="T78" s="6" t="s">
        <v>329</v>
      </c>
      <c r="U78" s="10" t="s">
        <v>53</v>
      </c>
    </row>
    <row r="79" spans="1:21">
      <c r="A79" s="5" t="s">
        <v>639</v>
      </c>
      <c r="B79" s="6" t="s">
        <v>113</v>
      </c>
      <c r="C79" s="6" t="s">
        <v>113</v>
      </c>
      <c r="D79" s="6"/>
      <c r="E79" s="6"/>
      <c r="F79" s="6" t="s">
        <v>394</v>
      </c>
      <c r="G79" s="13" t="str">
        <f>IFERROR(VLOOKUP(F79,CATÁLOGOS!$A$6:$B$105,2,FALSE),"")</f>
        <v>🧰 Accesorios y equipamiento</v>
      </c>
      <c r="H79" s="6" t="s">
        <v>491</v>
      </c>
      <c r="I79" s="13" t="str">
        <f>IFERROR(VLOOKUP(H79,CATÁLOGOS!$F$6:$H$305,3,FALSE),"")</f>
        <v>Escobas y escobillones</v>
      </c>
      <c r="J79" s="6" t="s">
        <v>323</v>
      </c>
      <c r="K79" s="6" t="s">
        <v>640</v>
      </c>
      <c r="L79" s="6"/>
      <c r="M79" s="6" t="s">
        <v>397</v>
      </c>
      <c r="N79" s="6" t="s">
        <v>641</v>
      </c>
      <c r="O79" s="6" t="s">
        <v>642</v>
      </c>
      <c r="P79" s="13" t="str">
        <f>IFERROR(VLOOKUP(O79,CATÁLOGOS!$L$6:$O$305,3,FALSE),"")</f>
        <v>Quita Pelusa Make. Presentación: 1 unidad.</v>
      </c>
      <c r="Q79" s="13" t="str">
        <f>IFERROR(VLOOKUP(O79,CATÁLOGOS!$L$6:$O$305,4,FALSE),"")</f>
        <v>Escobas y escobillones. Accesorio resistente y práctico, pensado para facilitar las tareas de limpieza del hogar.</v>
      </c>
      <c r="R79" s="16"/>
      <c r="S79" s="16"/>
      <c r="T79" s="6" t="s">
        <v>329</v>
      </c>
      <c r="U79" s="10" t="s">
        <v>53</v>
      </c>
    </row>
    <row r="80" spans="1:21">
      <c r="A80" s="5" t="s">
        <v>643</v>
      </c>
      <c r="B80" s="6" t="s">
        <v>114</v>
      </c>
      <c r="C80" s="6" t="s">
        <v>114</v>
      </c>
      <c r="D80" s="6"/>
      <c r="E80" s="6"/>
      <c r="F80" s="6" t="s">
        <v>644</v>
      </c>
      <c r="G80" s="13" t="str">
        <f>IFERROR(VLOOKUP(F80,CATÁLOGOS!$A$6:$B$105,2,FALSE),"")</f>
        <v>🚗 Automotor</v>
      </c>
      <c r="H80" s="6" t="s">
        <v>645</v>
      </c>
      <c r="I80" s="13" t="str">
        <f>IFERROR(VLOOKUP(H80,CATÁLOGOS!$F$6:$H$305,3,FALSE),"")</f>
        <v>Bruja</v>
      </c>
      <c r="J80" s="6" t="s">
        <v>323</v>
      </c>
      <c r="K80" s="6" t="s">
        <v>646</v>
      </c>
      <c r="L80" s="6"/>
      <c r="M80" s="6" t="s">
        <v>397</v>
      </c>
      <c r="N80" s="6" t="s">
        <v>647</v>
      </c>
      <c r="O80" s="6" t="s">
        <v>648</v>
      </c>
      <c r="P80" s="13" t="str">
        <f>IFERROR(VLOOKUP(O80,CATÁLOGOS!$L$6:$O$305,3,FALSE),"")</f>
        <v>Limpiador Tipo "Bruja". Presentación: 1 unidad.</v>
      </c>
      <c r="Q80" s="13" t="str">
        <f>IFERROR(VLOOKUP(O80,CATÁLOGOS!$L$6:$O$305,4,FALSE),"")</f>
        <v>Bruja. Cuida y da brillo a las superficies del vehículo, prolongando su buen aspecto.</v>
      </c>
      <c r="R80" s="16"/>
      <c r="S80" s="16"/>
      <c r="T80" s="6" t="s">
        <v>329</v>
      </c>
      <c r="U80" s="10" t="s">
        <v>53</v>
      </c>
    </row>
    <row r="81" spans="1:21">
      <c r="A81" s="5" t="s">
        <v>649</v>
      </c>
      <c r="B81" s="6" t="s">
        <v>115</v>
      </c>
      <c r="C81" s="6" t="s">
        <v>115</v>
      </c>
      <c r="D81" s="6"/>
      <c r="E81" s="6"/>
      <c r="F81" s="6" t="s">
        <v>644</v>
      </c>
      <c r="G81" s="13" t="str">
        <f>IFERROR(VLOOKUP(F81,CATÁLOGOS!$A$6:$B$105,2,FALSE),"")</f>
        <v>🚗 Automotor</v>
      </c>
      <c r="H81" s="6" t="s">
        <v>650</v>
      </c>
      <c r="I81" s="13" t="str">
        <f>IFERROR(VLOOKUP(H81,CATÁLOGOS!$F$6:$H$305,3,FALSE),"")</f>
        <v>Esponja</v>
      </c>
      <c r="J81" s="6" t="s">
        <v>323</v>
      </c>
      <c r="K81" s="6" t="s">
        <v>651</v>
      </c>
      <c r="L81" s="6"/>
      <c r="M81" s="6" t="s">
        <v>397</v>
      </c>
      <c r="N81" s="6" t="s">
        <v>652</v>
      </c>
      <c r="O81" s="6" t="s">
        <v>653</v>
      </c>
      <c r="P81" s="13" t="str">
        <f>IFERROR(VLOOKUP(O81,CATÁLOGOS!$L$6:$O$305,3,FALSE),"")</f>
        <v>Esponja para auto. Presentación: 1 unidad.</v>
      </c>
      <c r="Q81" s="13" t="str">
        <f>IFERROR(VLOOKUP(O81,CATÁLOGOS!$L$6:$O$305,4,FALSE),"")</f>
        <v>Esponja. Cuida y da brillo a las superficies del vehículo, prolongando su buen aspecto.</v>
      </c>
      <c r="R81" s="16"/>
      <c r="S81" s="16"/>
      <c r="T81" s="6" t="s">
        <v>329</v>
      </c>
      <c r="U81" s="10" t="s">
        <v>53</v>
      </c>
    </row>
    <row r="82" spans="1:21">
      <c r="A82" s="5" t="s">
        <v>654</v>
      </c>
      <c r="B82" s="6" t="s">
        <v>116</v>
      </c>
      <c r="C82" s="6" t="s">
        <v>116</v>
      </c>
      <c r="D82" s="6"/>
      <c r="E82" s="6"/>
      <c r="F82" s="6" t="s">
        <v>644</v>
      </c>
      <c r="G82" s="13" t="str">
        <f>IFERROR(VLOOKUP(F82,CATÁLOGOS!$A$6:$B$105,2,FALSE),"")</f>
        <v>🚗 Automotor</v>
      </c>
      <c r="H82" s="6" t="s">
        <v>655</v>
      </c>
      <c r="I82" s="13" t="str">
        <f>IFERROR(VLOOKUP(H82,CATÁLOGOS!$F$6:$H$305,3,FALSE),"")</f>
        <v>Silicona</v>
      </c>
      <c r="J82" s="6" t="s">
        <v>323</v>
      </c>
      <c r="K82" s="6" t="s">
        <v>656</v>
      </c>
      <c r="L82" s="6"/>
      <c r="M82" s="6" t="s">
        <v>397</v>
      </c>
      <c r="N82" s="6" t="s">
        <v>657</v>
      </c>
      <c r="O82" s="6" t="s">
        <v>658</v>
      </c>
      <c r="P82" s="13" t="str">
        <f>IFERROR(VLOOKUP(O82,CATÁLOGOS!$L$6:$O$305,3,FALSE),"")</f>
        <v>Silicona para auto por litro. Presentación: 1 unidad.</v>
      </c>
      <c r="Q82" s="13" t="str">
        <f>IFERROR(VLOOKUP(O82,CATÁLOGOS!$L$6:$O$305,4,FALSE),"")</f>
        <v>Silicona. Cuida y da brillo a las superficies del vehículo, prolongando su buen aspecto.</v>
      </c>
      <c r="R82" s="16"/>
      <c r="S82" s="16"/>
      <c r="T82" s="6" t="s">
        <v>329</v>
      </c>
      <c r="U82" s="10" t="s">
        <v>53</v>
      </c>
    </row>
    <row r="83" spans="1:21">
      <c r="A83" s="5" t="s">
        <v>659</v>
      </c>
      <c r="B83" s="6" t="s">
        <v>117</v>
      </c>
      <c r="C83" s="6" t="s">
        <v>117</v>
      </c>
      <c r="D83" s="6" t="s">
        <v>660</v>
      </c>
      <c r="E83" s="6" t="s">
        <v>661</v>
      </c>
      <c r="F83" s="6" t="s">
        <v>644</v>
      </c>
      <c r="G83" s="13" t="str">
        <f>IFERROR(VLOOKUP(F83,CATÁLOGOS!$A$6:$B$105,2,FALSE),"")</f>
        <v>🚗 Automotor</v>
      </c>
      <c r="H83" s="6" t="s">
        <v>662</v>
      </c>
      <c r="I83" s="13" t="str">
        <f>IFERROR(VLOOKUP(H83,CATÁLOGOS!$F$6:$H$305,3,FALSE),"")</f>
        <v>Silicona en Aerosol</v>
      </c>
      <c r="J83" s="6" t="s">
        <v>663</v>
      </c>
      <c r="K83" s="6" t="s">
        <v>664</v>
      </c>
      <c r="L83" s="6" t="s">
        <v>661</v>
      </c>
      <c r="M83" s="6" t="s">
        <v>397</v>
      </c>
      <c r="N83" s="6" t="s">
        <v>665</v>
      </c>
      <c r="O83" s="6" t="s">
        <v>666</v>
      </c>
      <c r="P83" s="13" t="str">
        <f>IFERROR(VLOOKUP(O83,CATÁLOGOS!$L$6:$O$305,3,FALSE),"")</f>
        <v>Silicona en Aerosol. Presentación: 1 unidad. Marca Walker. Fragancia: Black.</v>
      </c>
      <c r="Q83" s="13" t="str">
        <f>IFERROR(VLOOKUP(O83,CATÁLOGOS!$L$6:$O$305,4,FALSE),"")</f>
        <v>Silicona en Aerosol. Cuida y da brillo a las superficies del vehículo, prolongando su buen aspecto.</v>
      </c>
      <c r="R83" s="16"/>
      <c r="S83" s="16"/>
      <c r="T83" s="6" t="s">
        <v>329</v>
      </c>
      <c r="U83" s="10" t="s">
        <v>53</v>
      </c>
    </row>
    <row r="84" spans="1:21">
      <c r="A84" s="5" t="s">
        <v>667</v>
      </c>
      <c r="B84" s="6" t="s">
        <v>118</v>
      </c>
      <c r="C84" s="6" t="s">
        <v>118</v>
      </c>
      <c r="D84" s="6" t="s">
        <v>660</v>
      </c>
      <c r="E84" s="6" t="s">
        <v>668</v>
      </c>
      <c r="F84" s="6" t="s">
        <v>644</v>
      </c>
      <c r="G84" s="13" t="str">
        <f>IFERROR(VLOOKUP(F84,CATÁLOGOS!$A$6:$B$105,2,FALSE),"")</f>
        <v>🚗 Automotor</v>
      </c>
      <c r="H84" s="6" t="s">
        <v>662</v>
      </c>
      <c r="I84" s="13" t="str">
        <f>IFERROR(VLOOKUP(H84,CATÁLOGOS!$F$6:$H$305,3,FALSE),"")</f>
        <v>Silicona en Aerosol</v>
      </c>
      <c r="J84" s="6" t="s">
        <v>663</v>
      </c>
      <c r="K84" s="6" t="s">
        <v>664</v>
      </c>
      <c r="L84" s="6" t="s">
        <v>668</v>
      </c>
      <c r="M84" s="6" t="s">
        <v>397</v>
      </c>
      <c r="N84" s="6" t="s">
        <v>669</v>
      </c>
      <c r="O84" s="6" t="s">
        <v>670</v>
      </c>
      <c r="P84" s="13" t="str">
        <f>IFERROR(VLOOKUP(O84,CATÁLOGOS!$L$6:$O$305,3,FALSE),"")</f>
        <v>Silicona en Aerosol. Presentación: 1 unidad. Marca Walker. Fragancia: Carolina Herrera.</v>
      </c>
      <c r="Q84" s="13" t="str">
        <f>IFERROR(VLOOKUP(O84,CATÁLOGOS!$L$6:$O$305,4,FALSE),"")</f>
        <v>Silicona en Aerosol. Cuida y da brillo a las superficies del vehículo, prolongando su buen aspecto.</v>
      </c>
      <c r="R84" s="16"/>
      <c r="S84" s="16"/>
      <c r="T84" s="6" t="s">
        <v>329</v>
      </c>
      <c r="U84" s="10" t="s">
        <v>53</v>
      </c>
    </row>
    <row r="85" spans="1:21">
      <c r="A85" s="5" t="s">
        <v>671</v>
      </c>
      <c r="B85" s="6" t="s">
        <v>119</v>
      </c>
      <c r="C85" s="6" t="s">
        <v>119</v>
      </c>
      <c r="D85" s="6" t="s">
        <v>660</v>
      </c>
      <c r="E85" s="6" t="s">
        <v>672</v>
      </c>
      <c r="F85" s="6" t="s">
        <v>644</v>
      </c>
      <c r="G85" s="13" t="str">
        <f>IFERROR(VLOOKUP(F85,CATÁLOGOS!$A$6:$B$105,2,FALSE),"")</f>
        <v>🚗 Automotor</v>
      </c>
      <c r="H85" s="6" t="s">
        <v>662</v>
      </c>
      <c r="I85" s="13" t="str">
        <f>IFERROR(VLOOKUP(H85,CATÁLOGOS!$F$6:$H$305,3,FALSE),"")</f>
        <v>Silicona en Aerosol</v>
      </c>
      <c r="J85" s="6" t="s">
        <v>663</v>
      </c>
      <c r="K85" s="6" t="s">
        <v>664</v>
      </c>
      <c r="L85" s="6" t="s">
        <v>672</v>
      </c>
      <c r="M85" s="6" t="s">
        <v>397</v>
      </c>
      <c r="N85" s="6" t="s">
        <v>673</v>
      </c>
      <c r="O85" s="6" t="s">
        <v>674</v>
      </c>
      <c r="P85" s="13" t="str">
        <f>IFERROR(VLOOKUP(O85,CATÁLOGOS!$L$6:$O$305,3,FALSE),"")</f>
        <v>Silicona en Aerosol. Presentación: 1 unidad. Marca Walker. Fragancia: Frutilla.</v>
      </c>
      <c r="Q85" s="13" t="str">
        <f>IFERROR(VLOOKUP(O85,CATÁLOGOS!$L$6:$O$305,4,FALSE),"")</f>
        <v>Silicona en Aerosol. Cuida y da brillo a las superficies del vehículo, prolongando su buen aspecto.</v>
      </c>
      <c r="R85" s="16"/>
      <c r="S85" s="16"/>
      <c r="T85" s="6" t="s">
        <v>329</v>
      </c>
      <c r="U85" s="10" t="s">
        <v>53</v>
      </c>
    </row>
    <row r="86" spans="1:21">
      <c r="A86" s="5" t="s">
        <v>675</v>
      </c>
      <c r="B86" s="6" t="s">
        <v>120</v>
      </c>
      <c r="C86" s="6" t="s">
        <v>120</v>
      </c>
      <c r="D86" s="6" t="s">
        <v>660</v>
      </c>
      <c r="E86" s="6" t="s">
        <v>676</v>
      </c>
      <c r="F86" s="6" t="s">
        <v>644</v>
      </c>
      <c r="G86" s="13" t="str">
        <f>IFERROR(VLOOKUP(F86,CATÁLOGOS!$A$6:$B$105,2,FALSE),"")</f>
        <v>🚗 Automotor</v>
      </c>
      <c r="H86" s="6" t="s">
        <v>662</v>
      </c>
      <c r="I86" s="13" t="str">
        <f>IFERROR(VLOOKUP(H86,CATÁLOGOS!$F$6:$H$305,3,FALSE),"")</f>
        <v>Silicona en Aerosol</v>
      </c>
      <c r="J86" s="6" t="s">
        <v>663</v>
      </c>
      <c r="K86" s="6" t="s">
        <v>664</v>
      </c>
      <c r="L86" s="6" t="s">
        <v>676</v>
      </c>
      <c r="M86" s="6" t="s">
        <v>397</v>
      </c>
      <c r="N86" s="6" t="s">
        <v>677</v>
      </c>
      <c r="O86" s="6" t="s">
        <v>678</v>
      </c>
      <c r="P86" s="13" t="str">
        <f>IFERROR(VLOOKUP(O86,CATÁLOGOS!$L$6:$O$305,3,FALSE),"")</f>
        <v>Silicona en Aerosol. Presentación: 1 unidad. Marca Walker. Fragancia: Kenzo.</v>
      </c>
      <c r="Q86" s="13" t="str">
        <f>IFERROR(VLOOKUP(O86,CATÁLOGOS!$L$6:$O$305,4,FALSE),"")</f>
        <v>Silicona en Aerosol. Cuida y da brillo a las superficies del vehículo, prolongando su buen aspecto.</v>
      </c>
      <c r="R86" s="16"/>
      <c r="S86" s="16"/>
      <c r="T86" s="6" t="s">
        <v>329</v>
      </c>
      <c r="U86" s="10" t="s">
        <v>53</v>
      </c>
    </row>
    <row r="87" spans="1:21">
      <c r="A87" s="5" t="s">
        <v>679</v>
      </c>
      <c r="B87" s="6" t="s">
        <v>121</v>
      </c>
      <c r="C87" s="6" t="s">
        <v>121</v>
      </c>
      <c r="D87" s="6" t="s">
        <v>660</v>
      </c>
      <c r="E87" s="6" t="s">
        <v>680</v>
      </c>
      <c r="F87" s="6" t="s">
        <v>644</v>
      </c>
      <c r="G87" s="13" t="str">
        <f>IFERROR(VLOOKUP(F87,CATÁLOGOS!$A$6:$B$105,2,FALSE),"")</f>
        <v>🚗 Automotor</v>
      </c>
      <c r="H87" s="6" t="s">
        <v>662</v>
      </c>
      <c r="I87" s="13" t="str">
        <f>IFERROR(VLOOKUP(H87,CATÁLOGOS!$F$6:$H$305,3,FALSE),"")</f>
        <v>Silicona en Aerosol</v>
      </c>
      <c r="J87" s="6" t="s">
        <v>663</v>
      </c>
      <c r="K87" s="6" t="s">
        <v>664</v>
      </c>
      <c r="L87" s="6" t="s">
        <v>680</v>
      </c>
      <c r="M87" s="6" t="s">
        <v>397</v>
      </c>
      <c r="N87" s="6" t="s">
        <v>681</v>
      </c>
      <c r="O87" s="6" t="s">
        <v>682</v>
      </c>
      <c r="P87" s="13" t="str">
        <f>IFERROR(VLOOKUP(O87,CATÁLOGOS!$L$6:$O$305,3,FALSE),"")</f>
        <v>Silicona en Aerosol. Presentación: 1 unidad. Marca Walker. Fragancia: Lavanda.</v>
      </c>
      <c r="Q87" s="13" t="str">
        <f>IFERROR(VLOOKUP(O87,CATÁLOGOS!$L$6:$O$305,4,FALSE),"")</f>
        <v>Silicona en Aerosol. Cuida y da brillo a las superficies del vehículo, prolongando su buen aspecto.</v>
      </c>
      <c r="R87" s="16"/>
      <c r="S87" s="16"/>
      <c r="T87" s="6" t="s">
        <v>329</v>
      </c>
      <c r="U87" s="10" t="s">
        <v>53</v>
      </c>
    </row>
    <row r="88" spans="1:21">
      <c r="A88" s="5" t="s">
        <v>683</v>
      </c>
      <c r="B88" s="6" t="s">
        <v>122</v>
      </c>
      <c r="C88" s="6" t="s">
        <v>122</v>
      </c>
      <c r="D88" s="6" t="s">
        <v>660</v>
      </c>
      <c r="E88" s="6" t="s">
        <v>684</v>
      </c>
      <c r="F88" s="6" t="s">
        <v>644</v>
      </c>
      <c r="G88" s="13" t="str">
        <f>IFERROR(VLOOKUP(F88,CATÁLOGOS!$A$6:$B$105,2,FALSE),"")</f>
        <v>🚗 Automotor</v>
      </c>
      <c r="H88" s="6" t="s">
        <v>662</v>
      </c>
      <c r="I88" s="13" t="str">
        <f>IFERROR(VLOOKUP(H88,CATÁLOGOS!$F$6:$H$305,3,FALSE),"")</f>
        <v>Silicona en Aerosol</v>
      </c>
      <c r="J88" s="6" t="s">
        <v>663</v>
      </c>
      <c r="K88" s="6" t="s">
        <v>664</v>
      </c>
      <c r="L88" s="6" t="s">
        <v>684</v>
      </c>
      <c r="M88" s="6" t="s">
        <v>397</v>
      </c>
      <c r="N88" s="6" t="s">
        <v>685</v>
      </c>
      <c r="O88" s="6" t="s">
        <v>686</v>
      </c>
      <c r="P88" s="13" t="str">
        <f>IFERROR(VLOOKUP(O88,CATÁLOGOS!$L$6:$O$305,3,FALSE),"")</f>
        <v>Silicona en Aerosol. Presentación: 1 unidad. Marca Walker. Fragancia: One Million.</v>
      </c>
      <c r="Q88" s="13" t="str">
        <f>IFERROR(VLOOKUP(O88,CATÁLOGOS!$L$6:$O$305,4,FALSE),"")</f>
        <v>Silicona en Aerosol. Cuida y da brillo a las superficies del vehículo, prolongando su buen aspecto.</v>
      </c>
      <c r="R88" s="16"/>
      <c r="S88" s="16"/>
      <c r="T88" s="6" t="s">
        <v>329</v>
      </c>
      <c r="U88" s="10" t="s">
        <v>53</v>
      </c>
    </row>
    <row r="89" spans="1:21">
      <c r="A89" s="5" t="s">
        <v>687</v>
      </c>
      <c r="B89" s="6" t="s">
        <v>123</v>
      </c>
      <c r="C89" s="6" t="s">
        <v>123</v>
      </c>
      <c r="D89" s="6" t="s">
        <v>660</v>
      </c>
      <c r="E89" s="6" t="s">
        <v>688</v>
      </c>
      <c r="F89" s="6" t="s">
        <v>644</v>
      </c>
      <c r="G89" s="13" t="str">
        <f>IFERROR(VLOOKUP(F89,CATÁLOGOS!$A$6:$B$105,2,FALSE),"")</f>
        <v>🚗 Automotor</v>
      </c>
      <c r="H89" s="6" t="s">
        <v>662</v>
      </c>
      <c r="I89" s="13" t="str">
        <f>IFERROR(VLOOKUP(H89,CATÁLOGOS!$F$6:$H$305,3,FALSE),"")</f>
        <v>Silicona en Aerosol</v>
      </c>
      <c r="J89" s="6" t="s">
        <v>663</v>
      </c>
      <c r="K89" s="6" t="s">
        <v>664</v>
      </c>
      <c r="L89" s="6" t="s">
        <v>688</v>
      </c>
      <c r="M89" s="6" t="s">
        <v>397</v>
      </c>
      <c r="N89" s="6" t="s">
        <v>689</v>
      </c>
      <c r="O89" s="6" t="s">
        <v>690</v>
      </c>
      <c r="P89" s="13" t="str">
        <f>IFERROR(VLOOKUP(O89,CATÁLOGOS!$L$6:$O$305,3,FALSE),"")</f>
        <v>Silicona en Aerosol. Presentación: 1 unidad. Marca Walker. Fragancia: Paco rabanne.</v>
      </c>
      <c r="Q89" s="13" t="str">
        <f>IFERROR(VLOOKUP(O89,CATÁLOGOS!$L$6:$O$305,4,FALSE),"")</f>
        <v>Silicona en Aerosol. Cuida y da brillo a las superficies del vehículo, prolongando su buen aspecto.</v>
      </c>
      <c r="R89" s="16"/>
      <c r="S89" s="16"/>
      <c r="T89" s="6" t="s">
        <v>329</v>
      </c>
      <c r="U89" s="10" t="s">
        <v>53</v>
      </c>
    </row>
    <row r="90" spans="1:21">
      <c r="A90" s="5" t="s">
        <v>691</v>
      </c>
      <c r="B90" s="6" t="s">
        <v>124</v>
      </c>
      <c r="C90" s="6" t="s">
        <v>124</v>
      </c>
      <c r="D90" s="6" t="s">
        <v>660</v>
      </c>
      <c r="E90" s="6" t="s">
        <v>692</v>
      </c>
      <c r="F90" s="6" t="s">
        <v>644</v>
      </c>
      <c r="G90" s="13" t="str">
        <f>IFERROR(VLOOKUP(F90,CATÁLOGOS!$A$6:$B$105,2,FALSE),"")</f>
        <v>🚗 Automotor</v>
      </c>
      <c r="H90" s="6" t="s">
        <v>662</v>
      </c>
      <c r="I90" s="13" t="str">
        <f>IFERROR(VLOOKUP(H90,CATÁLOGOS!$F$6:$H$305,3,FALSE),"")</f>
        <v>Silicona en Aerosol</v>
      </c>
      <c r="J90" s="6" t="s">
        <v>663</v>
      </c>
      <c r="K90" s="6" t="s">
        <v>664</v>
      </c>
      <c r="L90" s="6" t="s">
        <v>692</v>
      </c>
      <c r="M90" s="6" t="s">
        <v>397</v>
      </c>
      <c r="N90" s="6" t="s">
        <v>693</v>
      </c>
      <c r="O90" s="6" t="s">
        <v>694</v>
      </c>
      <c r="P90" s="13" t="str">
        <f>IFERROR(VLOOKUP(O90,CATÁLOGOS!$L$6:$O$305,3,FALSE),"")</f>
        <v>Silicona en Aerosol. Presentación: 1 unidad. Marca Walker. Fragancia: Sensual.</v>
      </c>
      <c r="Q90" s="13" t="str">
        <f>IFERROR(VLOOKUP(O90,CATÁLOGOS!$L$6:$O$305,4,FALSE),"")</f>
        <v>Silicona en Aerosol. Cuida y da brillo a las superficies del vehículo, prolongando su buen aspecto.</v>
      </c>
      <c r="R90" s="16"/>
      <c r="S90" s="16"/>
      <c r="T90" s="6" t="s">
        <v>329</v>
      </c>
      <c r="U90" s="10" t="s">
        <v>53</v>
      </c>
    </row>
    <row r="91" spans="1:21">
      <c r="A91" s="5" t="s">
        <v>695</v>
      </c>
      <c r="B91" s="6" t="s">
        <v>125</v>
      </c>
      <c r="C91" s="6" t="s">
        <v>125</v>
      </c>
      <c r="D91" s="6" t="s">
        <v>660</v>
      </c>
      <c r="E91" s="6" t="s">
        <v>696</v>
      </c>
      <c r="F91" s="6" t="s">
        <v>644</v>
      </c>
      <c r="G91" s="13" t="str">
        <f>IFERROR(VLOOKUP(F91,CATÁLOGOS!$A$6:$B$105,2,FALSE),"")</f>
        <v>🚗 Automotor</v>
      </c>
      <c r="H91" s="6" t="s">
        <v>662</v>
      </c>
      <c r="I91" s="13" t="str">
        <f>IFERROR(VLOOKUP(H91,CATÁLOGOS!$F$6:$H$305,3,FALSE),"")</f>
        <v>Silicona en Aerosol</v>
      </c>
      <c r="J91" s="6" t="s">
        <v>663</v>
      </c>
      <c r="K91" s="6" t="s">
        <v>664</v>
      </c>
      <c r="L91" s="6" t="s">
        <v>696</v>
      </c>
      <c r="M91" s="6" t="s">
        <v>397</v>
      </c>
      <c r="N91" s="6" t="s">
        <v>697</v>
      </c>
      <c r="O91" s="6" t="s">
        <v>698</v>
      </c>
      <c r="P91" s="13" t="str">
        <f>IFERROR(VLOOKUP(O91,CATÁLOGOS!$L$6:$O$305,3,FALSE),"")</f>
        <v>Silicona en Aerosol. Presentación: 1 unidad. Marca Walker. Fragancia: Vainilla.</v>
      </c>
      <c r="Q91" s="13" t="str">
        <f>IFERROR(VLOOKUP(O91,CATÁLOGOS!$L$6:$O$305,4,FALSE),"")</f>
        <v>Silicona en Aerosol. Cuida y da brillo a las superficies del vehículo, prolongando su buen aspecto.</v>
      </c>
      <c r="R91" s="16"/>
      <c r="S91" s="16"/>
      <c r="T91" s="6" t="s">
        <v>329</v>
      </c>
      <c r="U91" s="10" t="s">
        <v>53</v>
      </c>
    </row>
    <row r="92" spans="1:21">
      <c r="A92" s="5" t="s">
        <v>699</v>
      </c>
      <c r="B92" s="6" t="s">
        <v>126</v>
      </c>
      <c r="C92" s="6" t="s">
        <v>126</v>
      </c>
      <c r="D92" s="6"/>
      <c r="E92" s="6"/>
      <c r="F92" s="6" t="s">
        <v>644</v>
      </c>
      <c r="G92" s="13" t="str">
        <f>IFERROR(VLOOKUP(F92,CATÁLOGOS!$A$6:$B$105,2,FALSE),"")</f>
        <v>🚗 Automotor</v>
      </c>
      <c r="H92" s="6" t="s">
        <v>700</v>
      </c>
      <c r="I92" s="13" t="str">
        <f>IFERROR(VLOOKUP(H92,CATÁLOGOS!$F$6:$H$305,3,FALSE),"")</f>
        <v>Shampoo Siliconado</v>
      </c>
      <c r="J92" s="6" t="s">
        <v>323</v>
      </c>
      <c r="K92" s="6" t="s">
        <v>701</v>
      </c>
      <c r="L92" s="6"/>
      <c r="M92" s="6" t="s">
        <v>397</v>
      </c>
      <c r="N92" s="6" t="s">
        <v>702</v>
      </c>
      <c r="O92" s="6" t="s">
        <v>703</v>
      </c>
      <c r="P92" s="13" t="str">
        <f>IFERROR(VLOOKUP(O92,CATÁLOGOS!$L$6:$O$305,3,FALSE),"")</f>
        <v>Shampoo Siliconado por litro. Presentación: 1 unidad.</v>
      </c>
      <c r="Q92" s="13" t="str">
        <f>IFERROR(VLOOKUP(O92,CATÁLOGOS!$L$6:$O$305,4,FALSE),"")</f>
        <v>Shampoo Siliconado. Cuida y da brillo a las superficies del vehículo, prolongando su buen aspecto.</v>
      </c>
      <c r="R92" s="16"/>
      <c r="S92" s="16"/>
      <c r="T92" s="6" t="s">
        <v>329</v>
      </c>
      <c r="U92" s="10" t="s">
        <v>53</v>
      </c>
    </row>
    <row r="93" spans="1:21">
      <c r="A93" s="5" t="s">
        <v>704</v>
      </c>
      <c r="B93" s="6" t="s">
        <v>127</v>
      </c>
      <c r="C93" s="6" t="s">
        <v>127</v>
      </c>
      <c r="D93" s="6"/>
      <c r="E93" s="6"/>
      <c r="F93" s="6" t="s">
        <v>644</v>
      </c>
      <c r="G93" s="13" t="str">
        <f>IFERROR(VLOOKUP(F93,CATÁLOGOS!$A$6:$B$105,2,FALSE),"")</f>
        <v>🚗 Automotor</v>
      </c>
      <c r="H93" s="6" t="s">
        <v>705</v>
      </c>
      <c r="I93" s="13" t="str">
        <f>IFERROR(VLOOKUP(H93,CATÁLOGOS!$F$6:$H$305,3,FALSE),"")</f>
        <v>Mini Lata Walker</v>
      </c>
      <c r="J93" s="6" t="s">
        <v>663</v>
      </c>
      <c r="K93" s="6" t="s">
        <v>706</v>
      </c>
      <c r="L93" s="6" t="s">
        <v>707</v>
      </c>
      <c r="M93" s="6" t="s">
        <v>397</v>
      </c>
      <c r="N93" s="6" t="s">
        <v>708</v>
      </c>
      <c r="O93" s="6" t="s">
        <v>709</v>
      </c>
      <c r="P93" s="13" t="str">
        <f>IFERROR(VLOOKUP(O93,CATÁLOGOS!$L$6:$O$305,3,FALSE),"")</f>
        <v>Mini Lata Walker para auto. Presentación: 1 unidad. Marca Walker. Fragancia: universal.</v>
      </c>
      <c r="Q93" s="13" t="str">
        <f>IFERROR(VLOOKUP(O93,CATÁLOGOS!$L$6:$O$305,4,FALSE),"")</f>
        <v>Mini Lata Walker. Cuida y da brillo a las superficies del vehículo, prolongando su buen aspecto.</v>
      </c>
      <c r="R93" s="16"/>
      <c r="S93" s="16"/>
      <c r="T93" s="6" t="s">
        <v>329</v>
      </c>
      <c r="U93" s="10" t="s">
        <v>53</v>
      </c>
    </row>
    <row r="94" spans="1:21">
      <c r="A94" s="5" t="s">
        <v>710</v>
      </c>
      <c r="B94" s="6" t="s">
        <v>128</v>
      </c>
      <c r="C94" s="6" t="s">
        <v>128</v>
      </c>
      <c r="D94" s="6" t="s">
        <v>711</v>
      </c>
      <c r="E94" s="6" t="s">
        <v>661</v>
      </c>
      <c r="F94" s="6" t="s">
        <v>644</v>
      </c>
      <c r="G94" s="13" t="str">
        <f>IFERROR(VLOOKUP(F94,CATÁLOGOS!$A$6:$B$105,2,FALSE),"")</f>
        <v>🚗 Automotor</v>
      </c>
      <c r="H94" s="6" t="s">
        <v>712</v>
      </c>
      <c r="I94" s="13" t="str">
        <f>IFERROR(VLOOKUP(H94,CATÁLOGOS!$F$6:$H$305,3,FALSE),"")</f>
        <v>Perfume en Lata Walker</v>
      </c>
      <c r="J94" s="6" t="s">
        <v>663</v>
      </c>
      <c r="K94" s="6" t="s">
        <v>713</v>
      </c>
      <c r="L94" s="6" t="s">
        <v>661</v>
      </c>
      <c r="M94" s="6" t="s">
        <v>397</v>
      </c>
      <c r="N94" s="6" t="s">
        <v>714</v>
      </c>
      <c r="O94" s="6" t="s">
        <v>715</v>
      </c>
      <c r="P94" s="13" t="str">
        <f>IFERROR(VLOOKUP(O94,CATÁLOGOS!$L$6:$O$305,3,FALSE),"")</f>
        <v>Perfume en Lata Walker. Presentación: 1 unidad. Marca Walker. Fragancia: Black.</v>
      </c>
      <c r="Q94" s="13" t="str">
        <f>IFERROR(VLOOKUP(O94,CATÁLOGOS!$L$6:$O$305,4,FALSE),"")</f>
        <v>Perfume en Lata Walker. Cuida y da brillo a las superficies del vehículo, prolongando su buen aspecto.</v>
      </c>
      <c r="R94" s="16"/>
      <c r="S94" s="16"/>
      <c r="T94" s="6" t="s">
        <v>329</v>
      </c>
      <c r="U94" s="10" t="s">
        <v>53</v>
      </c>
    </row>
    <row r="95" spans="1:21">
      <c r="A95" s="5" t="s">
        <v>716</v>
      </c>
      <c r="B95" s="6" t="s">
        <v>129</v>
      </c>
      <c r="C95" s="6" t="s">
        <v>129</v>
      </c>
      <c r="D95" s="6" t="s">
        <v>711</v>
      </c>
      <c r="E95" s="6" t="s">
        <v>672</v>
      </c>
      <c r="F95" s="6" t="s">
        <v>644</v>
      </c>
      <c r="G95" s="13" t="str">
        <f>IFERROR(VLOOKUP(F95,CATÁLOGOS!$A$6:$B$105,2,FALSE),"")</f>
        <v>🚗 Automotor</v>
      </c>
      <c r="H95" s="6" t="s">
        <v>712</v>
      </c>
      <c r="I95" s="13" t="str">
        <f>IFERROR(VLOOKUP(H95,CATÁLOGOS!$F$6:$H$305,3,FALSE),"")</f>
        <v>Perfume en Lata Walker</v>
      </c>
      <c r="J95" s="6" t="s">
        <v>663</v>
      </c>
      <c r="K95" s="6" t="s">
        <v>713</v>
      </c>
      <c r="L95" s="6" t="s">
        <v>672</v>
      </c>
      <c r="M95" s="6" t="s">
        <v>397</v>
      </c>
      <c r="N95" s="6" t="s">
        <v>717</v>
      </c>
      <c r="O95" s="6" t="s">
        <v>718</v>
      </c>
      <c r="P95" s="13" t="str">
        <f>IFERROR(VLOOKUP(O95,CATÁLOGOS!$L$6:$O$305,3,FALSE),"")</f>
        <v>Perfume en Lata Walker. Presentación: 1 unidad. Marca Walker. Fragancia: Frutilla.</v>
      </c>
      <c r="Q95" s="13" t="str">
        <f>IFERROR(VLOOKUP(O95,CATÁLOGOS!$L$6:$O$305,4,FALSE),"")</f>
        <v>Perfume en Lata Walker. Cuida y da brillo a las superficies del vehículo, prolongando su buen aspecto.</v>
      </c>
      <c r="R95" s="16"/>
      <c r="S95" s="16"/>
      <c r="T95" s="6" t="s">
        <v>329</v>
      </c>
      <c r="U95" s="10" t="s">
        <v>53</v>
      </c>
    </row>
    <row r="96" spans="1:21">
      <c r="A96" s="5" t="s">
        <v>719</v>
      </c>
      <c r="B96" s="6" t="s">
        <v>130</v>
      </c>
      <c r="C96" s="6" t="s">
        <v>130</v>
      </c>
      <c r="D96" s="6" t="s">
        <v>711</v>
      </c>
      <c r="E96" s="6" t="s">
        <v>720</v>
      </c>
      <c r="F96" s="6" t="s">
        <v>644</v>
      </c>
      <c r="G96" s="13" t="str">
        <f>IFERROR(VLOOKUP(F96,CATÁLOGOS!$A$6:$B$105,2,FALSE),"")</f>
        <v>🚗 Automotor</v>
      </c>
      <c r="H96" s="6" t="s">
        <v>712</v>
      </c>
      <c r="I96" s="13" t="str">
        <f>IFERROR(VLOOKUP(H96,CATÁLOGOS!$F$6:$H$305,3,FALSE),"")</f>
        <v>Perfume en Lata Walker</v>
      </c>
      <c r="J96" s="6" t="s">
        <v>663</v>
      </c>
      <c r="K96" s="6" t="s">
        <v>713</v>
      </c>
      <c r="L96" s="6" t="s">
        <v>720</v>
      </c>
      <c r="M96" s="6" t="s">
        <v>397</v>
      </c>
      <c r="N96" s="6" t="s">
        <v>721</v>
      </c>
      <c r="O96" s="6" t="s">
        <v>722</v>
      </c>
      <c r="P96" s="13" t="str">
        <f>IFERROR(VLOOKUP(O96,CATÁLOGOS!$L$6:$O$305,3,FALSE),"")</f>
        <v>Perfume en Lata Walker. Presentación: 1 unidad. Marca Walker. Fragancia: Limon.</v>
      </c>
      <c r="Q96" s="13" t="str">
        <f>IFERROR(VLOOKUP(O96,CATÁLOGOS!$L$6:$O$305,4,FALSE),"")</f>
        <v>Perfume en Lata Walker. Cuida y da brillo a las superficies del vehículo, prolongando su buen aspecto.</v>
      </c>
      <c r="R96" s="16"/>
      <c r="S96" s="16"/>
      <c r="T96" s="6" t="s">
        <v>329</v>
      </c>
      <c r="U96" s="10" t="s">
        <v>53</v>
      </c>
    </row>
    <row r="97" spans="1:21">
      <c r="A97" s="5" t="s">
        <v>723</v>
      </c>
      <c r="B97" s="6" t="s">
        <v>131</v>
      </c>
      <c r="C97" s="6" t="s">
        <v>131</v>
      </c>
      <c r="D97" s="6" t="s">
        <v>711</v>
      </c>
      <c r="E97" s="6" t="s">
        <v>696</v>
      </c>
      <c r="F97" s="6" t="s">
        <v>644</v>
      </c>
      <c r="G97" s="13" t="str">
        <f>IFERROR(VLOOKUP(F97,CATÁLOGOS!$A$6:$B$105,2,FALSE),"")</f>
        <v>🚗 Automotor</v>
      </c>
      <c r="H97" s="6" t="s">
        <v>712</v>
      </c>
      <c r="I97" s="13" t="str">
        <f>IFERROR(VLOOKUP(H97,CATÁLOGOS!$F$6:$H$305,3,FALSE),"")</f>
        <v>Perfume en Lata Walker</v>
      </c>
      <c r="J97" s="6" t="s">
        <v>663</v>
      </c>
      <c r="K97" s="6" t="s">
        <v>713</v>
      </c>
      <c r="L97" s="6" t="s">
        <v>696</v>
      </c>
      <c r="M97" s="6" t="s">
        <v>397</v>
      </c>
      <c r="N97" s="6" t="s">
        <v>724</v>
      </c>
      <c r="O97" s="6" t="s">
        <v>725</v>
      </c>
      <c r="P97" s="13" t="str">
        <f>IFERROR(VLOOKUP(O97,CATÁLOGOS!$L$6:$O$305,3,FALSE),"")</f>
        <v>Perfume en Lata Walker. Presentación: 1 unidad. Marca Walker. Fragancia: Vainilla.</v>
      </c>
      <c r="Q97" s="13" t="str">
        <f>IFERROR(VLOOKUP(O97,CATÁLOGOS!$L$6:$O$305,4,FALSE),"")</f>
        <v>Perfume en Lata Walker. Cuida y da brillo a las superficies del vehículo, prolongando su buen aspecto.</v>
      </c>
      <c r="R97" s="16"/>
      <c r="S97" s="16"/>
      <c r="T97" s="6" t="s">
        <v>329</v>
      </c>
      <c r="U97" s="10" t="s">
        <v>53</v>
      </c>
    </row>
    <row r="98" spans="1:21">
      <c r="A98" s="5" t="s">
        <v>726</v>
      </c>
      <c r="B98" s="6" t="s">
        <v>132</v>
      </c>
      <c r="C98" s="6" t="s">
        <v>132</v>
      </c>
      <c r="D98" s="6" t="s">
        <v>711</v>
      </c>
      <c r="E98" s="6" t="s">
        <v>727</v>
      </c>
      <c r="F98" s="6" t="s">
        <v>644</v>
      </c>
      <c r="G98" s="13" t="str">
        <f>IFERROR(VLOOKUP(F98,CATÁLOGOS!$A$6:$B$105,2,FALSE),"")</f>
        <v>🚗 Automotor</v>
      </c>
      <c r="H98" s="6" t="s">
        <v>712</v>
      </c>
      <c r="I98" s="13" t="str">
        <f>IFERROR(VLOOKUP(H98,CATÁLOGOS!$F$6:$H$305,3,FALSE),"")</f>
        <v>Perfume en Lata Walker</v>
      </c>
      <c r="J98" s="6" t="s">
        <v>663</v>
      </c>
      <c r="K98" s="6" t="s">
        <v>713</v>
      </c>
      <c r="L98" s="6" t="s">
        <v>727</v>
      </c>
      <c r="M98" s="6" t="s">
        <v>397</v>
      </c>
      <c r="N98" s="6" t="s">
        <v>728</v>
      </c>
      <c r="O98" s="6" t="s">
        <v>729</v>
      </c>
      <c r="P98" s="13" t="str">
        <f>IFERROR(VLOOKUP(O98,CATÁLOGOS!$L$6:$O$305,3,FALSE),"")</f>
        <v>Perfume en Lata Walker. Presentación: 1 unidad. Marca Walker. Fragancia: Aqua.</v>
      </c>
      <c r="Q98" s="13" t="str">
        <f>IFERROR(VLOOKUP(O98,CATÁLOGOS!$L$6:$O$305,4,FALSE),"")</f>
        <v>Perfume en Lata Walker. Cuida y da brillo a las superficies del vehículo, prolongando su buen aspecto.</v>
      </c>
      <c r="R98" s="16"/>
      <c r="S98" s="16"/>
      <c r="T98" s="6" t="s">
        <v>329</v>
      </c>
      <c r="U98" s="10" t="s">
        <v>53</v>
      </c>
    </row>
    <row r="99" spans="1:21">
      <c r="A99" s="5" t="s">
        <v>730</v>
      </c>
      <c r="B99" s="6" t="s">
        <v>133</v>
      </c>
      <c r="C99" s="6" t="s">
        <v>133</v>
      </c>
      <c r="D99" s="6"/>
      <c r="E99" s="6"/>
      <c r="F99" s="6" t="s">
        <v>644</v>
      </c>
      <c r="G99" s="13" t="str">
        <f>IFERROR(VLOOKUP(F99,CATÁLOGOS!$A$6:$B$105,2,FALSE),"")</f>
        <v>🚗 Automotor</v>
      </c>
      <c r="H99" s="6" t="s">
        <v>731</v>
      </c>
      <c r="I99" s="13" t="str">
        <f>IFERROR(VLOOKUP(H99,CATÁLOGOS!$F$6:$H$305,3,FALSE),"")</f>
        <v>Cera</v>
      </c>
      <c r="J99" s="6" t="s">
        <v>323</v>
      </c>
      <c r="K99" s="6" t="s">
        <v>732</v>
      </c>
      <c r="L99" s="6"/>
      <c r="M99" s="6" t="s">
        <v>397</v>
      </c>
      <c r="N99" s="6" t="s">
        <v>733</v>
      </c>
      <c r="O99" s="6" t="s">
        <v>734</v>
      </c>
      <c r="P99" s="13" t="str">
        <f>IFERROR(VLOOKUP(O99,CATÁLOGOS!$L$6:$O$305,3,FALSE),"")</f>
        <v>Cera para auto por litro. Presentación: 1 unidad.</v>
      </c>
      <c r="Q99" s="13" t="str">
        <f>IFERROR(VLOOKUP(O99,CATÁLOGOS!$L$6:$O$305,4,FALSE),"")</f>
        <v>Cera. Cuida y da brillo a las superficies del vehículo, prolongando su buen aspecto.</v>
      </c>
      <c r="R99" s="16"/>
      <c r="S99" s="16"/>
      <c r="T99" s="6" t="s">
        <v>329</v>
      </c>
      <c r="U99" s="10" t="s">
        <v>53</v>
      </c>
    </row>
    <row r="100" spans="1:21">
      <c r="A100" s="5" t="s">
        <v>735</v>
      </c>
      <c r="B100" s="6" t="s">
        <v>134</v>
      </c>
      <c r="C100" s="6" t="s">
        <v>134</v>
      </c>
      <c r="D100" s="6"/>
      <c r="E100" s="6"/>
      <c r="F100" s="6" t="s">
        <v>644</v>
      </c>
      <c r="G100" s="13" t="str">
        <f>IFERROR(VLOOKUP(F100,CATÁLOGOS!$A$6:$B$105,2,FALSE),"")</f>
        <v>🚗 Automotor</v>
      </c>
      <c r="H100" s="6" t="s">
        <v>736</v>
      </c>
      <c r="I100" s="13" t="str">
        <f>IFERROR(VLOOKUP(H100,CATÁLOGOS!$F$6:$H$305,3,FALSE),"")</f>
        <v>Limpia Tapizado en Aerosol</v>
      </c>
      <c r="J100" s="6" t="s">
        <v>663</v>
      </c>
      <c r="K100" s="6" t="s">
        <v>737</v>
      </c>
      <c r="L100" s="6"/>
      <c r="M100" s="6" t="s">
        <v>397</v>
      </c>
      <c r="N100" s="6" t="s">
        <v>738</v>
      </c>
      <c r="O100" s="6" t="s">
        <v>739</v>
      </c>
      <c r="P100" s="13" t="str">
        <f>IFERROR(VLOOKUP(O100,CATÁLOGOS!$L$6:$O$305,3,FALSE),"")</f>
        <v>Limpia Tapizado en Aerosol. Presentación: 1 unidad. Marca Walker.</v>
      </c>
      <c r="Q100" s="13" t="str">
        <f>IFERROR(VLOOKUP(O100,CATÁLOGOS!$L$6:$O$305,4,FALSE),"")</f>
        <v>Limpia Tapizado en Aerosol. Cuida y da brillo a las superficies del vehículo, prolongando su buen aspecto.</v>
      </c>
      <c r="R100" s="16"/>
      <c r="S100" s="16"/>
      <c r="T100" s="6" t="s">
        <v>329</v>
      </c>
      <c r="U100" s="10" t="s">
        <v>53</v>
      </c>
    </row>
    <row r="101" spans="1:21">
      <c r="A101" s="5" t="s">
        <v>740</v>
      </c>
      <c r="B101" s="6" t="s">
        <v>135</v>
      </c>
      <c r="C101" s="6" t="s">
        <v>135</v>
      </c>
      <c r="D101" s="6"/>
      <c r="E101" s="6"/>
      <c r="F101" s="6" t="s">
        <v>321</v>
      </c>
      <c r="G101" s="13" t="str">
        <f>IFERROR(VLOOKUP(F101,CATÁLOGOS!$A$6:$B$105,2,FALSE),"")</f>
        <v>Nuestros productos</v>
      </c>
      <c r="H101" s="6" t="s">
        <v>741</v>
      </c>
      <c r="I101" s="13" t="str">
        <f>IFERROR(VLOOKUP(H101,CATÁLOGOS!$F$6:$H$305,3,FALSE),"")</f>
        <v>Shampoos</v>
      </c>
      <c r="J101" s="6" t="s">
        <v>323</v>
      </c>
      <c r="K101" s="6" t="s">
        <v>742</v>
      </c>
      <c r="L101" s="6" t="s">
        <v>672</v>
      </c>
      <c r="M101" s="6" t="s">
        <v>397</v>
      </c>
      <c r="N101" s="6" t="s">
        <v>743</v>
      </c>
      <c r="O101" s="6" t="s">
        <v>744</v>
      </c>
      <c r="P101" s="13" t="str">
        <f>IFERROR(VLOOKUP(O101,CATÁLOGOS!$L$6:$O$305,3,FALSE),"")</f>
        <v>Shampoo para manos. Presentación: 1 unidad. Fragancia: Frutilla.</v>
      </c>
      <c r="Q101" s="13" t="str">
        <f>IFERROR(VLOOKUP(O101,CATÁLOGOS!$L$6:$O$305,4,FALSE),"")</f>
        <v>Jabón líquido de manos. Elimina suciedad y gérmenes en inodoros, azulejos y superficies del baño, dejando un aroma agradable.</v>
      </c>
      <c r="R101" s="16"/>
      <c r="S101" s="16"/>
      <c r="T101" s="6" t="s">
        <v>329</v>
      </c>
      <c r="U101" s="10" t="s">
        <v>53</v>
      </c>
    </row>
    <row r="102" spans="1:21">
      <c r="A102" s="5" t="s">
        <v>745</v>
      </c>
      <c r="B102" s="6" t="s">
        <v>136</v>
      </c>
      <c r="C102" s="6" t="s">
        <v>136</v>
      </c>
      <c r="D102" s="6"/>
      <c r="E102" s="6"/>
      <c r="F102" s="6" t="s">
        <v>321</v>
      </c>
      <c r="G102" s="13" t="str">
        <f>IFERROR(VLOOKUP(F102,CATÁLOGOS!$A$6:$B$105,2,FALSE),"")</f>
        <v>Nuestros productos</v>
      </c>
      <c r="H102" s="6" t="s">
        <v>741</v>
      </c>
      <c r="I102" s="13" t="str">
        <f>IFERROR(VLOOKUP(H102,CATÁLOGOS!$F$6:$H$305,3,FALSE),"")</f>
        <v>Shampoos</v>
      </c>
      <c r="J102" s="6" t="s">
        <v>323</v>
      </c>
      <c r="K102" s="6" t="s">
        <v>746</v>
      </c>
      <c r="L102" s="6" t="s">
        <v>747</v>
      </c>
      <c r="M102" s="6" t="s">
        <v>397</v>
      </c>
      <c r="N102" s="6" t="s">
        <v>748</v>
      </c>
      <c r="O102" s="6" t="s">
        <v>749</v>
      </c>
      <c r="P102" s="13" t="str">
        <f>IFERROR(VLOOKUP(O102,CATÁLOGOS!$L$6:$O$305,3,FALSE),"")</f>
        <v>Shampoo para manos por 5 litros. Presentación: 1 unidad. Fragancia: blanco.</v>
      </c>
      <c r="Q102" s="13" t="str">
        <f>IFERROR(VLOOKUP(O102,CATÁLOGOS!$L$6:$O$305,4,FALSE),"")</f>
        <v>Jabón líquido de manos. Elimina suciedad y gérmenes en inodoros, azulejos y superficies del baño, dejando un aroma agradable.</v>
      </c>
      <c r="R102" s="16"/>
      <c r="S102" s="16"/>
      <c r="T102" s="6" t="s">
        <v>329</v>
      </c>
      <c r="U102" s="10" t="s">
        <v>53</v>
      </c>
    </row>
    <row r="103" spans="1:21">
      <c r="A103" s="5" t="s">
        <v>750</v>
      </c>
      <c r="B103" s="6" t="s">
        <v>137</v>
      </c>
      <c r="C103" s="6" t="s">
        <v>137</v>
      </c>
      <c r="D103" s="6"/>
      <c r="E103" s="6"/>
      <c r="F103" s="6" t="s">
        <v>321</v>
      </c>
      <c r="G103" s="13" t="str">
        <f>IFERROR(VLOOKUP(F103,CATÁLOGOS!$A$6:$B$105,2,FALSE),"")</f>
        <v>Nuestros productos</v>
      </c>
      <c r="H103" s="6" t="s">
        <v>741</v>
      </c>
      <c r="I103" s="13" t="str">
        <f>IFERROR(VLOOKUP(H103,CATÁLOGOS!$F$6:$H$305,3,FALSE),"")</f>
        <v>Shampoos</v>
      </c>
      <c r="J103" s="6" t="s">
        <v>323</v>
      </c>
      <c r="K103" s="6" t="s">
        <v>751</v>
      </c>
      <c r="L103" s="6" t="s">
        <v>752</v>
      </c>
      <c r="M103" s="6" t="s">
        <v>397</v>
      </c>
      <c r="N103" s="6" t="s">
        <v>753</v>
      </c>
      <c r="O103" s="6" t="s">
        <v>754</v>
      </c>
      <c r="P103" s="13" t="str">
        <f>IFERROR(VLOOKUP(O103,CATÁLOGOS!$L$6:$O$305,3,FALSE),"")</f>
        <v>Shampoo para manos por 5 litros. Presentación: 1 unidad. Fragancia: vaini coco.</v>
      </c>
      <c r="Q103" s="13" t="str">
        <f>IFERROR(VLOOKUP(O103,CATÁLOGOS!$L$6:$O$305,4,FALSE),"")</f>
        <v>Jabón líquido de manos. Elimina suciedad y gérmenes en inodoros, azulejos y superficies del baño, dejando un aroma agradable.</v>
      </c>
      <c r="R103" s="16"/>
      <c r="S103" s="16"/>
      <c r="T103" s="6" t="s">
        <v>329</v>
      </c>
      <c r="U103" s="10" t="s">
        <v>53</v>
      </c>
    </row>
    <row r="104" spans="1:21">
      <c r="A104" s="5" t="s">
        <v>755</v>
      </c>
      <c r="B104" s="6" t="s">
        <v>138</v>
      </c>
      <c r="C104" s="6" t="s">
        <v>138</v>
      </c>
      <c r="D104" s="6"/>
      <c r="E104" s="6"/>
      <c r="F104" s="6" t="s">
        <v>321</v>
      </c>
      <c r="G104" s="13" t="str">
        <f>IFERROR(VLOOKUP(F104,CATÁLOGOS!$A$6:$B$105,2,FALSE),"")</f>
        <v>Nuestros productos</v>
      </c>
      <c r="H104" s="6" t="s">
        <v>741</v>
      </c>
      <c r="I104" s="13" t="str">
        <f>IFERROR(VLOOKUP(H104,CATÁLOGOS!$F$6:$H$305,3,FALSE),"")</f>
        <v>Shampoos</v>
      </c>
      <c r="J104" s="6" t="s">
        <v>323</v>
      </c>
      <c r="K104" s="6" t="s">
        <v>756</v>
      </c>
      <c r="L104" s="6" t="s">
        <v>757</v>
      </c>
      <c r="M104" s="6" t="s">
        <v>397</v>
      </c>
      <c r="N104" s="6" t="s">
        <v>758</v>
      </c>
      <c r="O104" s="6" t="s">
        <v>759</v>
      </c>
      <c r="P104" s="13" t="str">
        <f>IFERROR(VLOOKUP(O104,CATÁLOGOS!$L$6:$O$305,3,FALSE),"")</f>
        <v>Shampoo para manos por 5 litros. Presentación: 1 unidad. Fragancia: manzana.</v>
      </c>
      <c r="Q104" s="13" t="str">
        <f>IFERROR(VLOOKUP(O104,CATÁLOGOS!$L$6:$O$305,4,FALSE),"")</f>
        <v>Jabón líquido de manos. Elimina suciedad y gérmenes en inodoros, azulejos y superficies del baño, dejando un aroma agradable.</v>
      </c>
      <c r="R104" s="16"/>
      <c r="S104" s="16"/>
      <c r="T104" s="6" t="s">
        <v>329</v>
      </c>
      <c r="U104" s="10" t="s">
        <v>53</v>
      </c>
    </row>
    <row r="105" spans="1:21">
      <c r="A105" s="5" t="s">
        <v>760</v>
      </c>
      <c r="B105" s="6" t="s">
        <v>139</v>
      </c>
      <c r="C105" s="6" t="s">
        <v>139</v>
      </c>
      <c r="D105" s="6"/>
      <c r="E105" s="6"/>
      <c r="F105" s="6" t="s">
        <v>321</v>
      </c>
      <c r="G105" s="13" t="str">
        <f>IFERROR(VLOOKUP(F105,CATÁLOGOS!$A$6:$B$105,2,FALSE),"")</f>
        <v>Nuestros productos</v>
      </c>
      <c r="H105" s="6" t="s">
        <v>741</v>
      </c>
      <c r="I105" s="13" t="str">
        <f>IFERROR(VLOOKUP(H105,CATÁLOGOS!$F$6:$H$305,3,FALSE),"")</f>
        <v>Shampoos</v>
      </c>
      <c r="J105" s="6" t="s">
        <v>323</v>
      </c>
      <c r="K105" s="6" t="s">
        <v>761</v>
      </c>
      <c r="L105" s="6" t="s">
        <v>762</v>
      </c>
      <c r="M105" s="6" t="s">
        <v>397</v>
      </c>
      <c r="N105" s="6" t="s">
        <v>763</v>
      </c>
      <c r="O105" s="6" t="s">
        <v>764</v>
      </c>
      <c r="P105" s="13" t="str">
        <f>IFERROR(VLOOKUP(O105,CATÁLOGOS!$L$6:$O$305,3,FALSE),"")</f>
        <v>Shampoo para manos por 5 litros. Presentación: 1 unidad. Fragancia: uva.</v>
      </c>
      <c r="Q105" s="13" t="str">
        <f>IFERROR(VLOOKUP(O105,CATÁLOGOS!$L$6:$O$305,4,FALSE),"")</f>
        <v>Jabón líquido de manos. Elimina suciedad y gérmenes en inodoros, azulejos y superficies del baño, dejando un aroma agradable.</v>
      </c>
      <c r="R105" s="16"/>
      <c r="S105" s="16"/>
      <c r="T105" s="6" t="s">
        <v>329</v>
      </c>
      <c r="U105" s="10" t="s">
        <v>53</v>
      </c>
    </row>
    <row r="106" spans="1:21">
      <c r="A106" s="5" t="s">
        <v>765</v>
      </c>
      <c r="B106" s="6" t="s">
        <v>140</v>
      </c>
      <c r="C106" s="6" t="s">
        <v>140</v>
      </c>
      <c r="D106" s="6"/>
      <c r="E106" s="6"/>
      <c r="F106" s="6" t="s">
        <v>321</v>
      </c>
      <c r="G106" s="13" t="str">
        <f>IFERROR(VLOOKUP(F106,CATÁLOGOS!$A$6:$B$105,2,FALSE),"")</f>
        <v>Nuestros productos</v>
      </c>
      <c r="H106" s="6" t="s">
        <v>741</v>
      </c>
      <c r="I106" s="13" t="str">
        <f>IFERROR(VLOOKUP(H106,CATÁLOGOS!$F$6:$H$305,3,FALSE),"")</f>
        <v>Shampoos</v>
      </c>
      <c r="J106" s="6" t="s">
        <v>323</v>
      </c>
      <c r="K106" s="6" t="s">
        <v>766</v>
      </c>
      <c r="L106" s="6" t="s">
        <v>767</v>
      </c>
      <c r="M106" s="6" t="s">
        <v>397</v>
      </c>
      <c r="N106" s="6" t="s">
        <v>768</v>
      </c>
      <c r="O106" s="6" t="s">
        <v>769</v>
      </c>
      <c r="P106" s="13" t="str">
        <f>IFERROR(VLOOKUP(O106,CATÁLOGOS!$L$6:$O$305,3,FALSE),"")</f>
        <v>Shampoo para manos por 5 litros. Presentación: 1 unidad. Fragancia: antibacterial.</v>
      </c>
      <c r="Q106" s="13" t="str">
        <f>IFERROR(VLOOKUP(O106,CATÁLOGOS!$L$6:$O$305,4,FALSE),"")</f>
        <v>Jabón líquido de manos. Elimina suciedad y gérmenes en inodoros, azulejos y superficies del baño, dejando un aroma agradable.</v>
      </c>
      <c r="R106" s="16"/>
      <c r="S106" s="16"/>
      <c r="T106" s="6" t="s">
        <v>329</v>
      </c>
      <c r="U106" s="10" t="s">
        <v>53</v>
      </c>
    </row>
    <row r="107" spans="1:21">
      <c r="A107" s="5" t="s">
        <v>770</v>
      </c>
      <c r="B107" s="6" t="s">
        <v>141</v>
      </c>
      <c r="C107" s="6" t="s">
        <v>141</v>
      </c>
      <c r="D107" s="6" t="s">
        <v>771</v>
      </c>
      <c r="E107" s="6" t="s">
        <v>772</v>
      </c>
      <c r="F107" s="6" t="s">
        <v>361</v>
      </c>
      <c r="G107" s="13" t="str">
        <f>IFERROR(VLOOKUP(F107,CATÁLOGOS!$A$6:$B$105,2,FALSE),"")</f>
        <v>Todo para tu ropa</v>
      </c>
      <c r="H107" s="6" t="s">
        <v>773</v>
      </c>
      <c r="I107" s="13" t="str">
        <f>IFERROR(VLOOKUP(H107,CATÁLOGOS!$F$6:$H$305,3,FALSE),"")</f>
        <v>Difusores aromáticos</v>
      </c>
      <c r="J107" s="6" t="s">
        <v>774</v>
      </c>
      <c r="K107" s="6" t="s">
        <v>775</v>
      </c>
      <c r="L107" s="6" t="s">
        <v>772</v>
      </c>
      <c r="M107" s="6" t="s">
        <v>397</v>
      </c>
      <c r="N107" s="6" t="s">
        <v>776</v>
      </c>
      <c r="O107" s="6" t="s">
        <v>777</v>
      </c>
      <c r="P107" s="13" t="str">
        <f>IFERROR(VLOOKUP(O107,CATÁLOGOS!$L$6:$O$305,3,FALSE),"")</f>
        <v>Difusor Aromatico Saphirus por 50 CC. Presentación: 1 unidad. Marca Saphirus. Fragancia: vainilla.</v>
      </c>
      <c r="Q107" s="13" t="str">
        <f>IFERROR(VLOOKUP(O107,CATÁLOGOS!$L$6:$O$305,4,FALSE),"")</f>
        <v>Difusores aromáticos. Perfuma ambientes y textiles con una fragancia agradable y duradera, ideal para dejar todo con olor a limpio.</v>
      </c>
      <c r="R107" s="16"/>
      <c r="S107" s="16"/>
      <c r="T107" s="6" t="s">
        <v>329</v>
      </c>
      <c r="U107" s="10" t="s">
        <v>53</v>
      </c>
    </row>
    <row r="108" spans="1:21">
      <c r="A108" s="5" t="s">
        <v>778</v>
      </c>
      <c r="B108" s="6" t="s">
        <v>142</v>
      </c>
      <c r="C108" s="6" t="s">
        <v>142</v>
      </c>
      <c r="D108" s="6" t="s">
        <v>771</v>
      </c>
      <c r="E108" s="6" t="s">
        <v>779</v>
      </c>
      <c r="F108" s="6" t="s">
        <v>361</v>
      </c>
      <c r="G108" s="13" t="str">
        <f>IFERROR(VLOOKUP(F108,CATÁLOGOS!$A$6:$B$105,2,FALSE),"")</f>
        <v>Todo para tu ropa</v>
      </c>
      <c r="H108" s="6" t="s">
        <v>773</v>
      </c>
      <c r="I108" s="13" t="str">
        <f>IFERROR(VLOOKUP(H108,CATÁLOGOS!$F$6:$H$305,3,FALSE),"")</f>
        <v>Difusores aromáticos</v>
      </c>
      <c r="J108" s="6" t="s">
        <v>774</v>
      </c>
      <c r="K108" s="6" t="s">
        <v>780</v>
      </c>
      <c r="L108" s="6" t="s">
        <v>779</v>
      </c>
      <c r="M108" s="6" t="s">
        <v>397</v>
      </c>
      <c r="N108" s="6" t="s">
        <v>781</v>
      </c>
      <c r="O108" s="6" t="s">
        <v>782</v>
      </c>
      <c r="P108" s="13" t="str">
        <f>IFERROR(VLOOKUP(O108,CATÁLOGOS!$L$6:$O$305,3,FALSE),"")</f>
        <v>Difusor Aromatico Saphirus por 50 CC. Presentación: 1 unidad. Marca Saphirus. Fragancia: lavanda.</v>
      </c>
      <c r="Q108" s="13" t="str">
        <f>IFERROR(VLOOKUP(O108,CATÁLOGOS!$L$6:$O$305,4,FALSE),"")</f>
        <v>Difusores aromáticos. Perfuma ambientes y textiles con una fragancia agradable y duradera, ideal para dejar todo con olor a limpio.</v>
      </c>
      <c r="R108" s="16"/>
      <c r="S108" s="16"/>
      <c r="T108" s="6" t="s">
        <v>329</v>
      </c>
      <c r="U108" s="10" t="s">
        <v>53</v>
      </c>
    </row>
    <row r="109" spans="1:21">
      <c r="A109" s="5" t="s">
        <v>783</v>
      </c>
      <c r="B109" s="6" t="s">
        <v>143</v>
      </c>
      <c r="C109" s="6" t="s">
        <v>143</v>
      </c>
      <c r="D109" s="6" t="s">
        <v>771</v>
      </c>
      <c r="E109" s="6" t="s">
        <v>762</v>
      </c>
      <c r="F109" s="6" t="s">
        <v>361</v>
      </c>
      <c r="G109" s="13" t="str">
        <f>IFERROR(VLOOKUP(F109,CATÁLOGOS!$A$6:$B$105,2,FALSE),"")</f>
        <v>Todo para tu ropa</v>
      </c>
      <c r="H109" s="6" t="s">
        <v>773</v>
      </c>
      <c r="I109" s="13" t="str">
        <f>IFERROR(VLOOKUP(H109,CATÁLOGOS!$F$6:$H$305,3,FALSE),"")</f>
        <v>Difusores aromáticos</v>
      </c>
      <c r="J109" s="6" t="s">
        <v>774</v>
      </c>
      <c r="K109" s="6" t="s">
        <v>784</v>
      </c>
      <c r="L109" s="6" t="s">
        <v>762</v>
      </c>
      <c r="M109" s="6" t="s">
        <v>397</v>
      </c>
      <c r="N109" s="6" t="s">
        <v>785</v>
      </c>
      <c r="O109" s="6" t="s">
        <v>786</v>
      </c>
      <c r="P109" s="13" t="str">
        <f>IFERROR(VLOOKUP(O109,CATÁLOGOS!$L$6:$O$305,3,FALSE),"")</f>
        <v>Difusor Aromatico Saphirus por 50 CC. Presentación: 1 unidad. Marca Saphirus. Fragancia: uva.</v>
      </c>
      <c r="Q109" s="13" t="str">
        <f>IFERROR(VLOOKUP(O109,CATÁLOGOS!$L$6:$O$305,4,FALSE),"")</f>
        <v>Difusores aromáticos. Perfuma ambientes y textiles con una fragancia agradable y duradera, ideal para dejar todo con olor a limpio.</v>
      </c>
      <c r="R109" s="16"/>
      <c r="S109" s="16"/>
      <c r="T109" s="6" t="s">
        <v>329</v>
      </c>
      <c r="U109" s="10" t="s">
        <v>53</v>
      </c>
    </row>
    <row r="110" spans="1:21">
      <c r="A110" s="5" t="s">
        <v>787</v>
      </c>
      <c r="B110" s="6" t="s">
        <v>144</v>
      </c>
      <c r="C110" s="6" t="s">
        <v>144</v>
      </c>
      <c r="D110" s="6" t="s">
        <v>771</v>
      </c>
      <c r="E110" s="6" t="s">
        <v>788</v>
      </c>
      <c r="F110" s="6" t="s">
        <v>361</v>
      </c>
      <c r="G110" s="13" t="str">
        <f>IFERROR(VLOOKUP(F110,CATÁLOGOS!$A$6:$B$105,2,FALSE),"")</f>
        <v>Todo para tu ropa</v>
      </c>
      <c r="H110" s="6" t="s">
        <v>773</v>
      </c>
      <c r="I110" s="13" t="str">
        <f>IFERROR(VLOOKUP(H110,CATÁLOGOS!$F$6:$H$305,3,FALSE),"")</f>
        <v>Difusores aromáticos</v>
      </c>
      <c r="J110" s="6" t="s">
        <v>774</v>
      </c>
      <c r="K110" s="6" t="s">
        <v>789</v>
      </c>
      <c r="L110" s="6" t="s">
        <v>788</v>
      </c>
      <c r="M110" s="6" t="s">
        <v>397</v>
      </c>
      <c r="N110" s="6" t="s">
        <v>790</v>
      </c>
      <c r="O110" s="6" t="s">
        <v>791</v>
      </c>
      <c r="P110" s="13" t="str">
        <f>IFERROR(VLOOKUP(O110,CATÁLOGOS!$L$6:$O$305,3,FALSE),"")</f>
        <v>Difusor Aromatico Saphirus por 50 CC. Presentación: 1 unidad. Marca Saphirus. Fragancia: palito de la selva.</v>
      </c>
      <c r="Q110" s="13" t="str">
        <f>IFERROR(VLOOKUP(O110,CATÁLOGOS!$L$6:$O$305,4,FALSE),"")</f>
        <v>Difusores aromáticos. Perfuma ambientes y textiles con una fragancia agradable y duradera, ideal para dejar todo con olor a limpio.</v>
      </c>
      <c r="R110" s="16"/>
      <c r="S110" s="16"/>
      <c r="T110" s="6" t="s">
        <v>329</v>
      </c>
      <c r="U110" s="10" t="s">
        <v>53</v>
      </c>
    </row>
    <row r="111" spans="1:21">
      <c r="A111" s="5" t="s">
        <v>792</v>
      </c>
      <c r="B111" s="6" t="s">
        <v>145</v>
      </c>
      <c r="C111" s="6" t="s">
        <v>145</v>
      </c>
      <c r="D111" s="6" t="s">
        <v>771</v>
      </c>
      <c r="E111" s="6" t="s">
        <v>752</v>
      </c>
      <c r="F111" s="6" t="s">
        <v>361</v>
      </c>
      <c r="G111" s="13" t="str">
        <f>IFERROR(VLOOKUP(F111,CATÁLOGOS!$A$6:$B$105,2,FALSE),"")</f>
        <v>Todo para tu ropa</v>
      </c>
      <c r="H111" s="6" t="s">
        <v>773</v>
      </c>
      <c r="I111" s="13" t="str">
        <f>IFERROR(VLOOKUP(H111,CATÁLOGOS!$F$6:$H$305,3,FALSE),"")</f>
        <v>Difusores aromáticos</v>
      </c>
      <c r="J111" s="6" t="s">
        <v>774</v>
      </c>
      <c r="K111" s="6" t="s">
        <v>793</v>
      </c>
      <c r="L111" s="6" t="s">
        <v>752</v>
      </c>
      <c r="M111" s="6" t="s">
        <v>397</v>
      </c>
      <c r="N111" s="6" t="s">
        <v>794</v>
      </c>
      <c r="O111" s="6" t="s">
        <v>795</v>
      </c>
      <c r="P111" s="13" t="str">
        <f>IFERROR(VLOOKUP(O111,CATÁLOGOS!$L$6:$O$305,3,FALSE),"")</f>
        <v>Difusor Aromatico Saphirus por 50 CC. Presentación: 1 unidad. Marca Saphirus. Fragancia: vaini coco.</v>
      </c>
      <c r="Q111" s="13" t="str">
        <f>IFERROR(VLOOKUP(O111,CATÁLOGOS!$L$6:$O$305,4,FALSE),"")</f>
        <v>Difusores aromáticos. Perfuma ambientes y textiles con una fragancia agradable y duradera, ideal para dejar todo con olor a limpio.</v>
      </c>
      <c r="R111" s="16"/>
      <c r="S111" s="16"/>
      <c r="T111" s="6" t="s">
        <v>329</v>
      </c>
      <c r="U111" s="10" t="s">
        <v>53</v>
      </c>
    </row>
    <row r="112" spans="1:21">
      <c r="A112" s="5" t="s">
        <v>796</v>
      </c>
      <c r="B112" s="6" t="s">
        <v>146</v>
      </c>
      <c r="C112" s="6" t="s">
        <v>146</v>
      </c>
      <c r="D112" s="6" t="s">
        <v>771</v>
      </c>
      <c r="E112" s="6" t="s">
        <v>797</v>
      </c>
      <c r="F112" s="6" t="s">
        <v>361</v>
      </c>
      <c r="G112" s="13" t="str">
        <f>IFERROR(VLOOKUP(F112,CATÁLOGOS!$A$6:$B$105,2,FALSE),"")</f>
        <v>Todo para tu ropa</v>
      </c>
      <c r="H112" s="6" t="s">
        <v>773</v>
      </c>
      <c r="I112" s="13" t="str">
        <f>IFERROR(VLOOKUP(H112,CATÁLOGOS!$F$6:$H$305,3,FALSE),"")</f>
        <v>Difusores aromáticos</v>
      </c>
      <c r="J112" s="6" t="s">
        <v>774</v>
      </c>
      <c r="K112" s="6" t="s">
        <v>798</v>
      </c>
      <c r="L112" s="6" t="s">
        <v>797</v>
      </c>
      <c r="M112" s="6" t="s">
        <v>397</v>
      </c>
      <c r="N112" s="6" t="s">
        <v>799</v>
      </c>
      <c r="O112" s="6" t="s">
        <v>800</v>
      </c>
      <c r="P112" s="13" t="str">
        <f>IFERROR(VLOOKUP(O112,CATÁLOGOS!$L$6:$O$305,3,FALSE),"")</f>
        <v>Difusor Aromatico Saphirus por 50 CC. Presentación: 1 unidad. Marca Saphirus. Fragancia: coniglio.</v>
      </c>
      <c r="Q112" s="13" t="str">
        <f>IFERROR(VLOOKUP(O112,CATÁLOGOS!$L$6:$O$305,4,FALSE),"")</f>
        <v>Difusores aromáticos. Perfuma ambientes y textiles con una fragancia agradable y duradera, ideal para dejar todo con olor a limpio.</v>
      </c>
      <c r="R112" s="16"/>
      <c r="S112" s="16"/>
      <c r="T112" s="6" t="s">
        <v>329</v>
      </c>
      <c r="U112" s="10" t="s">
        <v>53</v>
      </c>
    </row>
    <row r="113" spans="1:21">
      <c r="A113" s="5" t="s">
        <v>801</v>
      </c>
      <c r="B113" s="6" t="s">
        <v>147</v>
      </c>
      <c r="C113" s="6" t="s">
        <v>147</v>
      </c>
      <c r="D113" s="6" t="s">
        <v>771</v>
      </c>
      <c r="E113" s="6" t="s">
        <v>802</v>
      </c>
      <c r="F113" s="6" t="s">
        <v>361</v>
      </c>
      <c r="G113" s="13" t="str">
        <f>IFERROR(VLOOKUP(F113,CATÁLOGOS!$A$6:$B$105,2,FALSE),"")</f>
        <v>Todo para tu ropa</v>
      </c>
      <c r="H113" s="6" t="s">
        <v>773</v>
      </c>
      <c r="I113" s="13" t="str">
        <f>IFERROR(VLOOKUP(H113,CATÁLOGOS!$F$6:$H$305,3,FALSE),"")</f>
        <v>Difusores aromáticos</v>
      </c>
      <c r="J113" s="6" t="s">
        <v>774</v>
      </c>
      <c r="K113" s="6" t="s">
        <v>803</v>
      </c>
      <c r="L113" s="6" t="s">
        <v>802</v>
      </c>
      <c r="M113" s="6" t="s">
        <v>397</v>
      </c>
      <c r="N113" s="6" t="s">
        <v>804</v>
      </c>
      <c r="O113" s="6" t="s">
        <v>805</v>
      </c>
      <c r="P113" s="13" t="str">
        <f>IFERROR(VLOOKUP(O113,CATÁLOGOS!$L$6:$O$305,3,FALSE),"")</f>
        <v>Difusor Aromatico Saphirus por 50 CC. Presentación: 1 unidad. Marca Saphirus. Fragancia: limon.</v>
      </c>
      <c r="Q113" s="13" t="str">
        <f>IFERROR(VLOOKUP(O113,CATÁLOGOS!$L$6:$O$305,4,FALSE),"")</f>
        <v>Difusores aromáticos. Perfuma ambientes y textiles con una fragancia agradable y duradera, ideal para dejar todo con olor a limpio.</v>
      </c>
      <c r="R113" s="16"/>
      <c r="S113" s="16"/>
      <c r="T113" s="6" t="s">
        <v>329</v>
      </c>
      <c r="U113" s="10" t="s">
        <v>53</v>
      </c>
    </row>
    <row r="114" spans="1:21">
      <c r="A114" s="5" t="s">
        <v>806</v>
      </c>
      <c r="B114" s="6" t="s">
        <v>148</v>
      </c>
      <c r="C114" s="6" t="s">
        <v>148</v>
      </c>
      <c r="D114" s="6" t="s">
        <v>771</v>
      </c>
      <c r="E114" s="6" t="s">
        <v>807</v>
      </c>
      <c r="F114" s="6" t="s">
        <v>361</v>
      </c>
      <c r="G114" s="13" t="str">
        <f>IFERROR(VLOOKUP(F114,CATÁLOGOS!$A$6:$B$105,2,FALSE),"")</f>
        <v>Todo para tu ropa</v>
      </c>
      <c r="H114" s="6" t="s">
        <v>773</v>
      </c>
      <c r="I114" s="13" t="str">
        <f>IFERROR(VLOOKUP(H114,CATÁLOGOS!$F$6:$H$305,3,FALSE),"")</f>
        <v>Difusores aromáticos</v>
      </c>
      <c r="J114" s="6" t="s">
        <v>774</v>
      </c>
      <c r="K114" s="6" t="s">
        <v>808</v>
      </c>
      <c r="L114" s="6" t="s">
        <v>807</v>
      </c>
      <c r="M114" s="6" t="s">
        <v>397</v>
      </c>
      <c r="N114" s="6" t="s">
        <v>809</v>
      </c>
      <c r="O114" s="6" t="s">
        <v>810</v>
      </c>
      <c r="P114" s="13" t="str">
        <f>IFERROR(VLOOKUP(O114,CATÁLOGOS!$L$6:$O$305,3,FALSE),"")</f>
        <v>Difusor Aromatico Saphirus por 50 CC. Presentación: 1 unidad. Marca Saphirus. Fragancia: coco.</v>
      </c>
      <c r="Q114" s="13" t="str">
        <f>IFERROR(VLOOKUP(O114,CATÁLOGOS!$L$6:$O$305,4,FALSE),"")</f>
        <v>Difusores aromáticos. Perfuma ambientes y textiles con una fragancia agradable y duradera, ideal para dejar todo con olor a limpio.</v>
      </c>
      <c r="R114" s="16"/>
      <c r="S114" s="16"/>
      <c r="T114" s="6" t="s">
        <v>329</v>
      </c>
      <c r="U114" s="10" t="s">
        <v>53</v>
      </c>
    </row>
    <row r="115" spans="1:21">
      <c r="A115" s="5" t="s">
        <v>811</v>
      </c>
      <c r="B115" s="6" t="s">
        <v>149</v>
      </c>
      <c r="C115" s="6" t="s">
        <v>149</v>
      </c>
      <c r="D115" s="6" t="s">
        <v>771</v>
      </c>
      <c r="E115" s="6" t="s">
        <v>812</v>
      </c>
      <c r="F115" s="6" t="s">
        <v>361</v>
      </c>
      <c r="G115" s="13" t="str">
        <f>IFERROR(VLOOKUP(F115,CATÁLOGOS!$A$6:$B$105,2,FALSE),"")</f>
        <v>Todo para tu ropa</v>
      </c>
      <c r="H115" s="6" t="s">
        <v>773</v>
      </c>
      <c r="I115" s="13" t="str">
        <f>IFERROR(VLOOKUP(H115,CATÁLOGOS!$F$6:$H$305,3,FALSE),"")</f>
        <v>Difusores aromáticos</v>
      </c>
      <c r="J115" s="6" t="s">
        <v>774</v>
      </c>
      <c r="K115" s="6" t="s">
        <v>813</v>
      </c>
      <c r="L115" s="6" t="s">
        <v>812</v>
      </c>
      <c r="M115" s="6" t="s">
        <v>397</v>
      </c>
      <c r="N115" s="6" t="s">
        <v>814</v>
      </c>
      <c r="O115" s="6" t="s">
        <v>815</v>
      </c>
      <c r="P115" s="13" t="str">
        <f>IFERROR(VLOOKUP(O115,CATÁLOGOS!$L$6:$O$305,3,FALSE),"")</f>
        <v>Difusor Aromatico Saphirus por 50 CC. Presentación: 1 unidad. Marca Saphirus. Fragancia: frutilla.</v>
      </c>
      <c r="Q115" s="13" t="str">
        <f>IFERROR(VLOOKUP(O115,CATÁLOGOS!$L$6:$O$305,4,FALSE),"")</f>
        <v>Difusores aromáticos. Perfuma ambientes y textiles con una fragancia agradable y duradera, ideal para dejar todo con olor a limpio.</v>
      </c>
      <c r="R115" s="16"/>
      <c r="S115" s="16"/>
      <c r="T115" s="6" t="s">
        <v>329</v>
      </c>
      <c r="U115" s="10" t="s">
        <v>53</v>
      </c>
    </row>
    <row r="116" spans="1:21">
      <c r="A116" s="5" t="s">
        <v>816</v>
      </c>
      <c r="B116" s="6" t="s">
        <v>150</v>
      </c>
      <c r="C116" s="6" t="s">
        <v>150</v>
      </c>
      <c r="D116" s="6" t="s">
        <v>771</v>
      </c>
      <c r="E116" s="6" t="s">
        <v>817</v>
      </c>
      <c r="F116" s="6" t="s">
        <v>361</v>
      </c>
      <c r="G116" s="13" t="str">
        <f>IFERROR(VLOOKUP(F116,CATÁLOGOS!$A$6:$B$105,2,FALSE),"")</f>
        <v>Todo para tu ropa</v>
      </c>
      <c r="H116" s="6" t="s">
        <v>773</v>
      </c>
      <c r="I116" s="13" t="str">
        <f>IFERROR(VLOOKUP(H116,CATÁLOGOS!$F$6:$H$305,3,FALSE),"")</f>
        <v>Difusores aromáticos</v>
      </c>
      <c r="J116" s="6" t="s">
        <v>774</v>
      </c>
      <c r="K116" s="6" t="s">
        <v>818</v>
      </c>
      <c r="L116" s="6" t="s">
        <v>817</v>
      </c>
      <c r="M116" s="6" t="s">
        <v>397</v>
      </c>
      <c r="N116" s="6" t="s">
        <v>819</v>
      </c>
      <c r="O116" s="6" t="s">
        <v>820</v>
      </c>
      <c r="P116" s="13" t="str">
        <f>IFERROR(VLOOKUP(O116,CATÁLOGOS!$L$6:$O$305,3,FALSE),"")</f>
        <v>Difusor Aromatico Saphirus por 50 CC. Presentación: 1 unidad. Marca Saphirus. Fragancia: j.baby.</v>
      </c>
      <c r="Q116" s="13" t="str">
        <f>IFERROR(VLOOKUP(O116,CATÁLOGOS!$L$6:$O$305,4,FALSE),"")</f>
        <v>Difusores aromáticos. Perfuma ambientes y textiles con una fragancia agradable y duradera, ideal para dejar todo con olor a limpio.</v>
      </c>
      <c r="R116" s="16"/>
      <c r="S116" s="16"/>
      <c r="T116" s="6" t="s">
        <v>329</v>
      </c>
      <c r="U116" s="10" t="s">
        <v>53</v>
      </c>
    </row>
    <row r="117" spans="1:21">
      <c r="A117" s="5" t="s">
        <v>821</v>
      </c>
      <c r="B117" s="6" t="s">
        <v>151</v>
      </c>
      <c r="C117" s="6" t="s">
        <v>151</v>
      </c>
      <c r="D117" s="6" t="s">
        <v>771</v>
      </c>
      <c r="E117" s="6" t="s">
        <v>822</v>
      </c>
      <c r="F117" s="6" t="s">
        <v>361</v>
      </c>
      <c r="G117" s="13" t="str">
        <f>IFERROR(VLOOKUP(F117,CATÁLOGOS!$A$6:$B$105,2,FALSE),"")</f>
        <v>Todo para tu ropa</v>
      </c>
      <c r="H117" s="6" t="s">
        <v>773</v>
      </c>
      <c r="I117" s="13" t="str">
        <f>IFERROR(VLOOKUP(H117,CATÁLOGOS!$F$6:$H$305,3,FALSE),"")</f>
        <v>Difusores aromáticos</v>
      </c>
      <c r="J117" s="6" t="s">
        <v>774</v>
      </c>
      <c r="K117" s="6" t="s">
        <v>823</v>
      </c>
      <c r="L117" s="6" t="s">
        <v>822</v>
      </c>
      <c r="M117" s="6" t="s">
        <v>397</v>
      </c>
      <c r="N117" s="6" t="s">
        <v>824</v>
      </c>
      <c r="O117" s="6" t="s">
        <v>825</v>
      </c>
      <c r="P117" s="13" t="str">
        <f>IFERROR(VLOOKUP(O117,CATÁLOGOS!$L$6:$O$305,3,FALSE),"")</f>
        <v>Difusor Aromatico Saphirus por 50 CC. Presentación: 1 unidad. Marca Saphirus. Fragancia: papaya.</v>
      </c>
      <c r="Q117" s="13" t="str">
        <f>IFERROR(VLOOKUP(O117,CATÁLOGOS!$L$6:$O$305,4,FALSE),"")</f>
        <v>Difusores aromáticos. Perfuma ambientes y textiles con una fragancia agradable y duradera, ideal para dejar todo con olor a limpio.</v>
      </c>
      <c r="R117" s="16"/>
      <c r="S117" s="16"/>
      <c r="T117" s="6" t="s">
        <v>329</v>
      </c>
      <c r="U117" s="10" t="s">
        <v>53</v>
      </c>
    </row>
    <row r="118" spans="1:21">
      <c r="A118" s="5" t="s">
        <v>826</v>
      </c>
      <c r="B118" s="6" t="s">
        <v>152</v>
      </c>
      <c r="C118" s="6" t="s">
        <v>152</v>
      </c>
      <c r="D118" s="6" t="s">
        <v>771</v>
      </c>
      <c r="E118" s="6" t="s">
        <v>827</v>
      </c>
      <c r="F118" s="6" t="s">
        <v>361</v>
      </c>
      <c r="G118" s="13" t="str">
        <f>IFERROR(VLOOKUP(F118,CATÁLOGOS!$A$6:$B$105,2,FALSE),"")</f>
        <v>Todo para tu ropa</v>
      </c>
      <c r="H118" s="6" t="s">
        <v>773</v>
      </c>
      <c r="I118" s="13" t="str">
        <f>IFERROR(VLOOKUP(H118,CATÁLOGOS!$F$6:$H$305,3,FALSE),"")</f>
        <v>Difusores aromáticos</v>
      </c>
      <c r="J118" s="6" t="s">
        <v>774</v>
      </c>
      <c r="K118" s="6" t="s">
        <v>828</v>
      </c>
      <c r="L118" s="6" t="s">
        <v>827</v>
      </c>
      <c r="M118" s="6" t="s">
        <v>397</v>
      </c>
      <c r="N118" s="6" t="s">
        <v>829</v>
      </c>
      <c r="O118" s="6" t="s">
        <v>830</v>
      </c>
      <c r="P118" s="13" t="str">
        <f>IFERROR(VLOOKUP(O118,CATÁLOGOS!$L$6:$O$305,3,FALSE),"")</f>
        <v>Difusor Aromatico Saphirus por 50 CC. Presentación: 1 unidad. Marca Saphirus. Fragancia: flores blancas.</v>
      </c>
      <c r="Q118" s="13" t="str">
        <f>IFERROR(VLOOKUP(O118,CATÁLOGOS!$L$6:$O$305,4,FALSE),"")</f>
        <v>Difusores aromáticos. Perfuma ambientes y textiles con una fragancia agradable y duradera, ideal para dejar todo con olor a limpio.</v>
      </c>
      <c r="R118" s="16"/>
      <c r="S118" s="16"/>
      <c r="T118" s="6" t="s">
        <v>329</v>
      </c>
      <c r="U118" s="10" t="s">
        <v>53</v>
      </c>
    </row>
    <row r="119" spans="1:21">
      <c r="A119" s="5" t="s">
        <v>831</v>
      </c>
      <c r="B119" s="6" t="s">
        <v>153</v>
      </c>
      <c r="C119" s="6" t="s">
        <v>153</v>
      </c>
      <c r="D119" s="6" t="s">
        <v>771</v>
      </c>
      <c r="E119" s="6" t="s">
        <v>832</v>
      </c>
      <c r="F119" s="6" t="s">
        <v>361</v>
      </c>
      <c r="G119" s="13" t="str">
        <f>IFERROR(VLOOKUP(F119,CATÁLOGOS!$A$6:$B$105,2,FALSE),"")</f>
        <v>Todo para tu ropa</v>
      </c>
      <c r="H119" s="6" t="s">
        <v>773</v>
      </c>
      <c r="I119" s="13" t="str">
        <f>IFERROR(VLOOKUP(H119,CATÁLOGOS!$F$6:$H$305,3,FALSE),"")</f>
        <v>Difusores aromáticos</v>
      </c>
      <c r="J119" s="6" t="s">
        <v>774</v>
      </c>
      <c r="K119" s="6" t="s">
        <v>833</v>
      </c>
      <c r="L119" s="6" t="s">
        <v>832</v>
      </c>
      <c r="M119" s="6" t="s">
        <v>397</v>
      </c>
      <c r="N119" s="6" t="s">
        <v>834</v>
      </c>
      <c r="O119" s="6" t="s">
        <v>835</v>
      </c>
      <c r="P119" s="13" t="str">
        <f>IFERROR(VLOOKUP(O119,CATÁLOGOS!$L$6:$O$305,3,FALSE),"")</f>
        <v>Difusor Aromatico Saphirus por 50 CC. Presentación: 1 unidad. Marca Saphirus. Fragancia: citrus.</v>
      </c>
      <c r="Q119" s="13" t="str">
        <f>IFERROR(VLOOKUP(O119,CATÁLOGOS!$L$6:$O$305,4,FALSE),"")</f>
        <v>Difusores aromáticos. Perfuma ambientes y textiles con una fragancia agradable y duradera, ideal para dejar todo con olor a limpio.</v>
      </c>
      <c r="R119" s="16"/>
      <c r="S119" s="16"/>
      <c r="T119" s="6" t="s">
        <v>329</v>
      </c>
      <c r="U119" s="10" t="s">
        <v>53</v>
      </c>
    </row>
    <row r="120" spans="1:21">
      <c r="A120" s="5" t="s">
        <v>836</v>
      </c>
      <c r="B120" s="6" t="s">
        <v>154</v>
      </c>
      <c r="C120" s="6" t="s">
        <v>154</v>
      </c>
      <c r="D120" s="6" t="s">
        <v>771</v>
      </c>
      <c r="E120" s="6" t="s">
        <v>837</v>
      </c>
      <c r="F120" s="6" t="s">
        <v>361</v>
      </c>
      <c r="G120" s="13" t="str">
        <f>IFERROR(VLOOKUP(F120,CATÁLOGOS!$A$6:$B$105,2,FALSE),"")</f>
        <v>Todo para tu ropa</v>
      </c>
      <c r="H120" s="6" t="s">
        <v>773</v>
      </c>
      <c r="I120" s="13" t="str">
        <f>IFERROR(VLOOKUP(H120,CATÁLOGOS!$F$6:$H$305,3,FALSE),"")</f>
        <v>Difusores aromáticos</v>
      </c>
      <c r="J120" s="6" t="s">
        <v>774</v>
      </c>
      <c r="K120" s="6" t="s">
        <v>838</v>
      </c>
      <c r="L120" s="6" t="s">
        <v>837</v>
      </c>
      <c r="M120" s="6" t="s">
        <v>397</v>
      </c>
      <c r="N120" s="6" t="s">
        <v>839</v>
      </c>
      <c r="O120" s="6" t="s">
        <v>840</v>
      </c>
      <c r="P120" s="13" t="str">
        <f>IFERROR(VLOOKUP(O120,CATÁLOGOS!$L$6:$O$305,3,FALSE),"")</f>
        <v>Difusor Aromatico Saphirus por 50 CC. Presentación: 1 unidad. Marca Saphirus. Fragancia: jazmin.</v>
      </c>
      <c r="Q120" s="13" t="str">
        <f>IFERROR(VLOOKUP(O120,CATÁLOGOS!$L$6:$O$305,4,FALSE),"")</f>
        <v>Difusores aromáticos. Perfuma ambientes y textiles con una fragancia agradable y duradera, ideal para dejar todo con olor a limpio.</v>
      </c>
      <c r="R120" s="16"/>
      <c r="S120" s="16"/>
      <c r="T120" s="6" t="s">
        <v>329</v>
      </c>
      <c r="U120" s="10" t="s">
        <v>53</v>
      </c>
    </row>
    <row r="121" spans="1:21">
      <c r="A121" s="5" t="s">
        <v>841</v>
      </c>
      <c r="B121" s="6" t="s">
        <v>155</v>
      </c>
      <c r="C121" s="6" t="s">
        <v>155</v>
      </c>
      <c r="D121" s="6" t="s">
        <v>771</v>
      </c>
      <c r="E121" s="6" t="s">
        <v>772</v>
      </c>
      <c r="F121" s="6" t="s">
        <v>361</v>
      </c>
      <c r="G121" s="13" t="str">
        <f>IFERROR(VLOOKUP(F121,CATÁLOGOS!$A$6:$B$105,2,FALSE),"")</f>
        <v>Todo para tu ropa</v>
      </c>
      <c r="H121" s="6" t="s">
        <v>773</v>
      </c>
      <c r="I121" s="13" t="str">
        <f>IFERROR(VLOOKUP(H121,CATÁLOGOS!$F$6:$H$305,3,FALSE),"")</f>
        <v>Difusores aromáticos</v>
      </c>
      <c r="J121" s="6" t="s">
        <v>774</v>
      </c>
      <c r="K121" s="6" t="s">
        <v>842</v>
      </c>
      <c r="L121" s="6" t="s">
        <v>772</v>
      </c>
      <c r="M121" s="6" t="s">
        <v>397</v>
      </c>
      <c r="N121" s="6" t="s">
        <v>843</v>
      </c>
      <c r="O121" s="6" t="s">
        <v>844</v>
      </c>
      <c r="P121" s="13" t="str">
        <f>IFERROR(VLOOKUP(O121,CATÁLOGOS!$L$6:$O$305,3,FALSE),"")</f>
        <v>Difusor Aromatico Saphirus por 120 CC. Presentación: 1 unidad. Marca Saphirus. Fragancia: vainilla.</v>
      </c>
      <c r="Q121" s="13" t="str">
        <f>IFERROR(VLOOKUP(O121,CATÁLOGOS!$L$6:$O$305,4,FALSE),"")</f>
        <v>Difusores aromáticos. Perfuma ambientes y textiles con una fragancia agradable y duradera, ideal para dejar todo con olor a limpio.</v>
      </c>
      <c r="R121" s="16"/>
      <c r="S121" s="16"/>
      <c r="T121" s="6" t="s">
        <v>329</v>
      </c>
      <c r="U121" s="10" t="s">
        <v>53</v>
      </c>
    </row>
    <row r="122" spans="1:21">
      <c r="A122" s="5" t="s">
        <v>845</v>
      </c>
      <c r="B122" s="6" t="s">
        <v>156</v>
      </c>
      <c r="C122" s="6" t="s">
        <v>156</v>
      </c>
      <c r="D122" s="6" t="s">
        <v>771</v>
      </c>
      <c r="E122" s="6" t="s">
        <v>779</v>
      </c>
      <c r="F122" s="6" t="s">
        <v>361</v>
      </c>
      <c r="G122" s="13" t="str">
        <f>IFERROR(VLOOKUP(F122,CATÁLOGOS!$A$6:$B$105,2,FALSE),"")</f>
        <v>Todo para tu ropa</v>
      </c>
      <c r="H122" s="6" t="s">
        <v>773</v>
      </c>
      <c r="I122" s="13" t="str">
        <f>IFERROR(VLOOKUP(H122,CATÁLOGOS!$F$6:$H$305,3,FALSE),"")</f>
        <v>Difusores aromáticos</v>
      </c>
      <c r="J122" s="6" t="s">
        <v>774</v>
      </c>
      <c r="K122" s="6" t="s">
        <v>846</v>
      </c>
      <c r="L122" s="6" t="s">
        <v>779</v>
      </c>
      <c r="M122" s="6" t="s">
        <v>397</v>
      </c>
      <c r="N122" s="6" t="s">
        <v>847</v>
      </c>
      <c r="O122" s="6" t="s">
        <v>848</v>
      </c>
      <c r="P122" s="13" t="str">
        <f>IFERROR(VLOOKUP(O122,CATÁLOGOS!$L$6:$O$305,3,FALSE),"")</f>
        <v>Difusor Aromatico Saphirus por 120 CC. Presentación: 1 unidad. Marca Saphirus. Fragancia: lavanda.</v>
      </c>
      <c r="Q122" s="13" t="str">
        <f>IFERROR(VLOOKUP(O122,CATÁLOGOS!$L$6:$O$305,4,FALSE),"")</f>
        <v>Difusores aromáticos. Perfuma ambientes y textiles con una fragancia agradable y duradera, ideal para dejar todo con olor a limpio.</v>
      </c>
      <c r="R122" s="16"/>
      <c r="S122" s="16"/>
      <c r="T122" s="6" t="s">
        <v>329</v>
      </c>
      <c r="U122" s="10" t="s">
        <v>53</v>
      </c>
    </row>
    <row r="123" spans="1:21">
      <c r="A123" s="5" t="s">
        <v>849</v>
      </c>
      <c r="B123" s="6" t="s">
        <v>157</v>
      </c>
      <c r="C123" s="6" t="s">
        <v>157</v>
      </c>
      <c r="D123" s="6" t="s">
        <v>771</v>
      </c>
      <c r="E123" s="6" t="s">
        <v>802</v>
      </c>
      <c r="F123" s="6" t="s">
        <v>361</v>
      </c>
      <c r="G123" s="13" t="str">
        <f>IFERROR(VLOOKUP(F123,CATÁLOGOS!$A$6:$B$105,2,FALSE),"")</f>
        <v>Todo para tu ropa</v>
      </c>
      <c r="H123" s="6" t="s">
        <v>773</v>
      </c>
      <c r="I123" s="13" t="str">
        <f>IFERROR(VLOOKUP(H123,CATÁLOGOS!$F$6:$H$305,3,FALSE),"")</f>
        <v>Difusores aromáticos</v>
      </c>
      <c r="J123" s="6" t="s">
        <v>774</v>
      </c>
      <c r="K123" s="6" t="s">
        <v>850</v>
      </c>
      <c r="L123" s="6" t="s">
        <v>802</v>
      </c>
      <c r="M123" s="6" t="s">
        <v>397</v>
      </c>
      <c r="N123" s="6" t="s">
        <v>851</v>
      </c>
      <c r="O123" s="6" t="s">
        <v>852</v>
      </c>
      <c r="P123" s="13" t="str">
        <f>IFERROR(VLOOKUP(O123,CATÁLOGOS!$L$6:$O$305,3,FALSE),"")</f>
        <v>Difusor Aromatico Saphirus por 120 CC. Presentación: 1 unidad. Marca Saphirus. Fragancia: limon.</v>
      </c>
      <c r="Q123" s="13" t="str">
        <f>IFERROR(VLOOKUP(O123,CATÁLOGOS!$L$6:$O$305,4,FALSE),"")</f>
        <v>Difusores aromáticos. Perfuma ambientes y textiles con una fragancia agradable y duradera, ideal para dejar todo con olor a limpio.</v>
      </c>
      <c r="R123" s="16"/>
      <c r="S123" s="16"/>
      <c r="T123" s="6" t="s">
        <v>329</v>
      </c>
      <c r="U123" s="10" t="s">
        <v>53</v>
      </c>
    </row>
    <row r="124" spans="1:21">
      <c r="A124" s="5" t="s">
        <v>853</v>
      </c>
      <c r="B124" s="6" t="s">
        <v>158</v>
      </c>
      <c r="C124" s="6" t="s">
        <v>158</v>
      </c>
      <c r="D124" s="6" t="s">
        <v>771</v>
      </c>
      <c r="E124" s="6" t="s">
        <v>854</v>
      </c>
      <c r="F124" s="6" t="s">
        <v>361</v>
      </c>
      <c r="G124" s="13" t="str">
        <f>IFERROR(VLOOKUP(F124,CATÁLOGOS!$A$6:$B$105,2,FALSE),"")</f>
        <v>Todo para tu ropa</v>
      </c>
      <c r="H124" s="6" t="s">
        <v>773</v>
      </c>
      <c r="I124" s="13" t="str">
        <f>IFERROR(VLOOKUP(H124,CATÁLOGOS!$F$6:$H$305,3,FALSE),"")</f>
        <v>Difusores aromáticos</v>
      </c>
      <c r="J124" s="6" t="s">
        <v>774</v>
      </c>
      <c r="K124" s="6" t="s">
        <v>855</v>
      </c>
      <c r="L124" s="6" t="s">
        <v>854</v>
      </c>
      <c r="M124" s="6" t="s">
        <v>397</v>
      </c>
      <c r="N124" s="6" t="s">
        <v>856</v>
      </c>
      <c r="O124" s="6" t="s">
        <v>857</v>
      </c>
      <c r="P124" s="13" t="str">
        <f>IFERROR(VLOOKUP(O124,CATÁLOGOS!$L$6:$O$305,3,FALSE),"")</f>
        <v>Difusor Aromatico Saphirus por 120 CC. Presentación: 1 unidad. Marca Saphirus. Fragancia: vainilla madagascar.</v>
      </c>
      <c r="Q124" s="13" t="str">
        <f>IFERROR(VLOOKUP(O124,CATÁLOGOS!$L$6:$O$305,4,FALSE),"")</f>
        <v>Difusores aromáticos. Perfuma ambientes y textiles con una fragancia agradable y duradera, ideal para dejar todo con olor a limpio.</v>
      </c>
      <c r="R124" s="16"/>
      <c r="S124" s="16"/>
      <c r="T124" s="6" t="s">
        <v>329</v>
      </c>
      <c r="U124" s="10" t="s">
        <v>53</v>
      </c>
    </row>
    <row r="125" spans="1:21">
      <c r="A125" s="5" t="s">
        <v>858</v>
      </c>
      <c r="B125" s="6" t="s">
        <v>159</v>
      </c>
      <c r="C125" s="6" t="s">
        <v>159</v>
      </c>
      <c r="D125" s="6" t="s">
        <v>771</v>
      </c>
      <c r="E125" s="6" t="s">
        <v>859</v>
      </c>
      <c r="F125" s="6" t="s">
        <v>361</v>
      </c>
      <c r="G125" s="13" t="str">
        <f>IFERROR(VLOOKUP(F125,CATÁLOGOS!$A$6:$B$105,2,FALSE),"")</f>
        <v>Todo para tu ropa</v>
      </c>
      <c r="H125" s="6" t="s">
        <v>773</v>
      </c>
      <c r="I125" s="13" t="str">
        <f>IFERROR(VLOOKUP(H125,CATÁLOGOS!$F$6:$H$305,3,FALSE),"")</f>
        <v>Difusores aromáticos</v>
      </c>
      <c r="J125" s="6" t="s">
        <v>774</v>
      </c>
      <c r="K125" s="6" t="s">
        <v>860</v>
      </c>
      <c r="L125" s="6" t="s">
        <v>859</v>
      </c>
      <c r="M125" s="6" t="s">
        <v>397</v>
      </c>
      <c r="N125" s="6" t="s">
        <v>861</v>
      </c>
      <c r="O125" s="6" t="s">
        <v>862</v>
      </c>
      <c r="P125" s="13" t="str">
        <f>IFERROR(VLOOKUP(O125,CATÁLOGOS!$L$6:$O$305,3,FALSE),"")</f>
        <v>Difusor Aromatico Saphirus por 120 CC. Presentación: 1 unidad. Marca Saphirus. Fragancia: floral.</v>
      </c>
      <c r="Q125" s="13" t="str">
        <f>IFERROR(VLOOKUP(O125,CATÁLOGOS!$L$6:$O$305,4,FALSE),"")</f>
        <v>Difusores aromáticos. Perfuma ambientes y textiles con una fragancia agradable y duradera, ideal para dejar todo con olor a limpio.</v>
      </c>
      <c r="R125" s="16"/>
      <c r="S125" s="16"/>
      <c r="T125" s="6" t="s">
        <v>329</v>
      </c>
      <c r="U125" s="10" t="s">
        <v>53</v>
      </c>
    </row>
    <row r="126" spans="1:21">
      <c r="A126" s="5" t="s">
        <v>863</v>
      </c>
      <c r="B126" s="6" t="s">
        <v>160</v>
      </c>
      <c r="C126" s="6" t="s">
        <v>160</v>
      </c>
      <c r="D126" s="6" t="s">
        <v>771</v>
      </c>
      <c r="E126" s="6" t="s">
        <v>864</v>
      </c>
      <c r="F126" s="6" t="s">
        <v>361</v>
      </c>
      <c r="G126" s="13" t="str">
        <f>IFERROR(VLOOKUP(F126,CATÁLOGOS!$A$6:$B$105,2,FALSE),"")</f>
        <v>Todo para tu ropa</v>
      </c>
      <c r="H126" s="6" t="s">
        <v>773</v>
      </c>
      <c r="I126" s="13" t="str">
        <f>IFERROR(VLOOKUP(H126,CATÁLOGOS!$F$6:$H$305,3,FALSE),"")</f>
        <v>Difusores aromáticos</v>
      </c>
      <c r="J126" s="6" t="s">
        <v>774</v>
      </c>
      <c r="K126" s="6" t="s">
        <v>865</v>
      </c>
      <c r="L126" s="6" t="s">
        <v>864</v>
      </c>
      <c r="M126" s="6" t="s">
        <v>397</v>
      </c>
      <c r="N126" s="6" t="s">
        <v>866</v>
      </c>
      <c r="O126" s="6" t="s">
        <v>867</v>
      </c>
      <c r="P126" s="13" t="str">
        <f>IFERROR(VLOOKUP(O126,CATÁLOGOS!$L$6:$O$305,3,FALSE),"")</f>
        <v>Difusor Aromatico Saphirus por 120 CC. Presentación: 1 unidad. Marca Saphirus. Fragancia: chicle.</v>
      </c>
      <c r="Q126" s="13" t="str">
        <f>IFERROR(VLOOKUP(O126,CATÁLOGOS!$L$6:$O$305,4,FALSE),"")</f>
        <v>Difusores aromáticos. Perfuma ambientes y textiles con una fragancia agradable y duradera, ideal para dejar todo con olor a limpio.</v>
      </c>
      <c r="R126" s="16"/>
      <c r="S126" s="16"/>
      <c r="T126" s="6" t="s">
        <v>329</v>
      </c>
      <c r="U126" s="10" t="s">
        <v>53</v>
      </c>
    </row>
    <row r="127" spans="1:21">
      <c r="A127" s="5" t="s">
        <v>868</v>
      </c>
      <c r="B127" s="6" t="s">
        <v>161</v>
      </c>
      <c r="C127" s="6" t="s">
        <v>161</v>
      </c>
      <c r="D127" s="6" t="s">
        <v>771</v>
      </c>
      <c r="E127" s="6" t="s">
        <v>788</v>
      </c>
      <c r="F127" s="6" t="s">
        <v>361</v>
      </c>
      <c r="G127" s="13" t="str">
        <f>IFERROR(VLOOKUP(F127,CATÁLOGOS!$A$6:$B$105,2,FALSE),"")</f>
        <v>Todo para tu ropa</v>
      </c>
      <c r="H127" s="6" t="s">
        <v>773</v>
      </c>
      <c r="I127" s="13" t="str">
        <f>IFERROR(VLOOKUP(H127,CATÁLOGOS!$F$6:$H$305,3,FALSE),"")</f>
        <v>Difusores aromáticos</v>
      </c>
      <c r="J127" s="6" t="s">
        <v>774</v>
      </c>
      <c r="K127" s="6" t="s">
        <v>869</v>
      </c>
      <c r="L127" s="6" t="s">
        <v>788</v>
      </c>
      <c r="M127" s="6" t="s">
        <v>397</v>
      </c>
      <c r="N127" s="6" t="s">
        <v>870</v>
      </c>
      <c r="O127" s="6" t="s">
        <v>871</v>
      </c>
      <c r="P127" s="13" t="str">
        <f>IFERROR(VLOOKUP(O127,CATÁLOGOS!$L$6:$O$305,3,FALSE),"")</f>
        <v>Difusor Aromatico Saphirus por 120 CC. Presentación: 1 unidad. Marca Saphirus. Fragancia: palito de la selva.</v>
      </c>
      <c r="Q127" s="13" t="str">
        <f>IFERROR(VLOOKUP(O127,CATÁLOGOS!$L$6:$O$305,4,FALSE),"")</f>
        <v>Difusores aromáticos. Perfuma ambientes y textiles con una fragancia agradable y duradera, ideal para dejar todo con olor a limpio.</v>
      </c>
      <c r="R127" s="16"/>
      <c r="S127" s="16"/>
      <c r="T127" s="6" t="s">
        <v>329</v>
      </c>
      <c r="U127" s="10" t="s">
        <v>53</v>
      </c>
    </row>
    <row r="128" spans="1:21">
      <c r="A128" s="5" t="s">
        <v>872</v>
      </c>
      <c r="B128" s="6" t="s">
        <v>162</v>
      </c>
      <c r="C128" s="6" t="s">
        <v>162</v>
      </c>
      <c r="D128" s="6" t="s">
        <v>771</v>
      </c>
      <c r="E128" s="6" t="s">
        <v>873</v>
      </c>
      <c r="F128" s="6" t="s">
        <v>361</v>
      </c>
      <c r="G128" s="13" t="str">
        <f>IFERROR(VLOOKUP(F128,CATÁLOGOS!$A$6:$B$105,2,FALSE),"")</f>
        <v>Todo para tu ropa</v>
      </c>
      <c r="H128" s="6" t="s">
        <v>773</v>
      </c>
      <c r="I128" s="13" t="str">
        <f>IFERROR(VLOOKUP(H128,CATÁLOGOS!$F$6:$H$305,3,FALSE),"")</f>
        <v>Difusores aromáticos</v>
      </c>
      <c r="J128" s="6" t="s">
        <v>774</v>
      </c>
      <c r="K128" s="6" t="s">
        <v>874</v>
      </c>
      <c r="L128" s="6" t="s">
        <v>873</v>
      </c>
      <c r="M128" s="6" t="s">
        <v>397</v>
      </c>
      <c r="N128" s="6" t="s">
        <v>875</v>
      </c>
      <c r="O128" s="6" t="s">
        <v>876</v>
      </c>
      <c r="P128" s="13" t="str">
        <f>IFERROR(VLOOKUP(O128,CATÁLOGOS!$L$6:$O$305,3,FALSE),"")</f>
        <v>Difusor Aromatico Saphirus por 120 CC. Presentación: 1 unidad. Marca Saphirus. Fragancia: nag champa.</v>
      </c>
      <c r="Q128" s="13" t="str">
        <f>IFERROR(VLOOKUP(O128,CATÁLOGOS!$L$6:$O$305,4,FALSE),"")</f>
        <v>Difusores aromáticos. Perfuma ambientes y textiles con una fragancia agradable y duradera, ideal para dejar todo con olor a limpio.</v>
      </c>
      <c r="R128" s="16"/>
      <c r="S128" s="16"/>
      <c r="T128" s="6" t="s">
        <v>329</v>
      </c>
      <c r="U128" s="10" t="s">
        <v>53</v>
      </c>
    </row>
    <row r="129" spans="1:21">
      <c r="A129" s="5" t="s">
        <v>877</v>
      </c>
      <c r="B129" s="6" t="s">
        <v>163</v>
      </c>
      <c r="C129" s="6" t="s">
        <v>163</v>
      </c>
      <c r="D129" s="6" t="s">
        <v>878</v>
      </c>
      <c r="E129" s="6" t="s">
        <v>879</v>
      </c>
      <c r="F129" s="6" t="s">
        <v>361</v>
      </c>
      <c r="G129" s="13" t="str">
        <f>IFERROR(VLOOKUP(F129,CATÁLOGOS!$A$6:$B$105,2,FALSE),"")</f>
        <v>Todo para tu ropa</v>
      </c>
      <c r="H129" s="6" t="s">
        <v>773</v>
      </c>
      <c r="I129" s="13" t="str">
        <f>IFERROR(VLOOKUP(H129,CATÁLOGOS!$F$6:$H$305,3,FALSE),"")</f>
        <v>Difusores aromáticos</v>
      </c>
      <c r="J129" s="6" t="s">
        <v>774</v>
      </c>
      <c r="K129" s="6" t="s">
        <v>880</v>
      </c>
      <c r="L129" s="6" t="s">
        <v>879</v>
      </c>
      <c r="M129" s="6" t="s">
        <v>397</v>
      </c>
      <c r="N129" s="6" t="s">
        <v>881</v>
      </c>
      <c r="O129" s="6" t="s">
        <v>882</v>
      </c>
      <c r="P129" s="13" t="str">
        <f>IFERROR(VLOOKUP(O129,CATÁLOGOS!$L$6:$O$305,3,FALSE),"")</f>
        <v>Difusor Aromatico Saphirus combinados por 120 CC. Presentación: 1 unidad. Marca Saphirus. Fragancia: sandia / melon.</v>
      </c>
      <c r="Q129" s="13" t="str">
        <f>IFERROR(VLOOKUP(O129,CATÁLOGOS!$L$6:$O$305,4,FALSE),"")</f>
        <v>Difusores aromáticos. Perfuma ambientes y textiles con una fragancia agradable y duradera, ideal para dejar todo con olor a limpio.</v>
      </c>
      <c r="R129" s="16"/>
      <c r="S129" s="16"/>
      <c r="T129" s="6" t="s">
        <v>329</v>
      </c>
      <c r="U129" s="10" t="s">
        <v>53</v>
      </c>
    </row>
    <row r="130" spans="1:21">
      <c r="A130" s="5" t="s">
        <v>883</v>
      </c>
      <c r="B130" s="6" t="s">
        <v>164</v>
      </c>
      <c r="C130" s="6" t="s">
        <v>164</v>
      </c>
      <c r="D130" s="6" t="s">
        <v>878</v>
      </c>
      <c r="E130" s="6" t="s">
        <v>884</v>
      </c>
      <c r="F130" s="6" t="s">
        <v>361</v>
      </c>
      <c r="G130" s="13" t="str">
        <f>IFERROR(VLOOKUP(F130,CATÁLOGOS!$A$6:$B$105,2,FALSE),"")</f>
        <v>Todo para tu ropa</v>
      </c>
      <c r="H130" s="6" t="s">
        <v>773</v>
      </c>
      <c r="I130" s="13" t="str">
        <f>IFERROR(VLOOKUP(H130,CATÁLOGOS!$F$6:$H$305,3,FALSE),"")</f>
        <v>Difusores aromáticos</v>
      </c>
      <c r="J130" s="6" t="s">
        <v>774</v>
      </c>
      <c r="K130" s="6" t="s">
        <v>885</v>
      </c>
      <c r="L130" s="6" t="s">
        <v>884</v>
      </c>
      <c r="M130" s="6" t="s">
        <v>397</v>
      </c>
      <c r="N130" s="6" t="s">
        <v>886</v>
      </c>
      <c r="O130" s="6" t="s">
        <v>887</v>
      </c>
      <c r="P130" s="13" t="str">
        <f>IFERROR(VLOOKUP(O130,CATÁLOGOS!$L$6:$O$305,3,FALSE),"")</f>
        <v>Difusor Aromatico Saphirus combinados por 120 CC. Presentación: 1 unidad. Marca Saphirus. Fragancia: vainilla / frambruesa.</v>
      </c>
      <c r="Q130" s="13" t="str">
        <f>IFERROR(VLOOKUP(O130,CATÁLOGOS!$L$6:$O$305,4,FALSE),"")</f>
        <v>Difusores aromáticos. Perfuma ambientes y textiles con una fragancia agradable y duradera, ideal para dejar todo con olor a limpio.</v>
      </c>
      <c r="R130" s="16"/>
      <c r="S130" s="16"/>
      <c r="T130" s="6" t="s">
        <v>329</v>
      </c>
      <c r="U130" s="10" t="s">
        <v>53</v>
      </c>
    </row>
    <row r="131" spans="1:21">
      <c r="A131" s="5" t="s">
        <v>888</v>
      </c>
      <c r="B131" s="6" t="s">
        <v>165</v>
      </c>
      <c r="C131" s="6" t="s">
        <v>165</v>
      </c>
      <c r="D131" s="6" t="s">
        <v>878</v>
      </c>
      <c r="E131" s="6" t="s">
        <v>889</v>
      </c>
      <c r="F131" s="6" t="s">
        <v>361</v>
      </c>
      <c r="G131" s="13" t="str">
        <f>IFERROR(VLOOKUP(F131,CATÁLOGOS!$A$6:$B$105,2,FALSE),"")</f>
        <v>Todo para tu ropa</v>
      </c>
      <c r="H131" s="6" t="s">
        <v>773</v>
      </c>
      <c r="I131" s="13" t="str">
        <f>IFERROR(VLOOKUP(H131,CATÁLOGOS!$F$6:$H$305,3,FALSE),"")</f>
        <v>Difusores aromáticos</v>
      </c>
      <c r="J131" s="6" t="s">
        <v>774</v>
      </c>
      <c r="K131" s="6" t="s">
        <v>890</v>
      </c>
      <c r="L131" s="6" t="s">
        <v>889</v>
      </c>
      <c r="M131" s="6" t="s">
        <v>397</v>
      </c>
      <c r="N131" s="6" t="s">
        <v>891</v>
      </c>
      <c r="O131" s="6" t="s">
        <v>892</v>
      </c>
      <c r="P131" s="13" t="str">
        <f>IFERROR(VLOOKUP(O131,CATÁLOGOS!$L$6:$O$305,3,FALSE),"")</f>
        <v>Difusor Aromatico Saphirus combinados por 120 CC. Presentación: 1 unidad. Marca Saphirus. Fragancia: vainilla / chocolate.</v>
      </c>
      <c r="Q131" s="13" t="str">
        <f>IFERROR(VLOOKUP(O131,CATÁLOGOS!$L$6:$O$305,4,FALSE),"")</f>
        <v>Difusores aromáticos. Perfuma ambientes y textiles con una fragancia agradable y duradera, ideal para dejar todo con olor a limpio.</v>
      </c>
      <c r="R131" s="16"/>
      <c r="S131" s="16"/>
      <c r="T131" s="6" t="s">
        <v>329</v>
      </c>
      <c r="U131" s="10" t="s">
        <v>53</v>
      </c>
    </row>
    <row r="132" spans="1:21">
      <c r="A132" s="5" t="s">
        <v>893</v>
      </c>
      <c r="B132" s="6" t="s">
        <v>166</v>
      </c>
      <c r="C132" s="6" t="s">
        <v>166</v>
      </c>
      <c r="D132" s="6" t="s">
        <v>878</v>
      </c>
      <c r="E132" s="6" t="s">
        <v>894</v>
      </c>
      <c r="F132" s="6" t="s">
        <v>361</v>
      </c>
      <c r="G132" s="13" t="str">
        <f>IFERROR(VLOOKUP(F132,CATÁLOGOS!$A$6:$B$105,2,FALSE),"")</f>
        <v>Todo para tu ropa</v>
      </c>
      <c r="H132" s="6" t="s">
        <v>773</v>
      </c>
      <c r="I132" s="13" t="str">
        <f>IFERROR(VLOOKUP(H132,CATÁLOGOS!$F$6:$H$305,3,FALSE),"")</f>
        <v>Difusores aromáticos</v>
      </c>
      <c r="J132" s="6" t="s">
        <v>774</v>
      </c>
      <c r="K132" s="6" t="s">
        <v>895</v>
      </c>
      <c r="L132" s="6" t="s">
        <v>894</v>
      </c>
      <c r="M132" s="6" t="s">
        <v>397</v>
      </c>
      <c r="N132" s="6" t="s">
        <v>896</v>
      </c>
      <c r="O132" s="6" t="s">
        <v>897</v>
      </c>
      <c r="P132" s="13" t="str">
        <f>IFERROR(VLOOKUP(O132,CATÁLOGOS!$L$6:$O$305,3,FALSE),"")</f>
        <v>Difusor Aromatico Saphirus combinados por 120 CC. Presentación: 1 unidad. Marca Saphirus. Fragancia: vaini / coco.</v>
      </c>
      <c r="Q132" s="13" t="str">
        <f>IFERROR(VLOOKUP(O132,CATÁLOGOS!$L$6:$O$305,4,FALSE),"")</f>
        <v>Difusores aromáticos. Perfuma ambientes y textiles con una fragancia agradable y duradera, ideal para dejar todo con olor a limpio.</v>
      </c>
      <c r="R132" s="16"/>
      <c r="S132" s="16"/>
      <c r="T132" s="6" t="s">
        <v>329</v>
      </c>
      <c r="U132" s="10" t="s">
        <v>53</v>
      </c>
    </row>
    <row r="133" spans="1:21">
      <c r="A133" s="5" t="s">
        <v>898</v>
      </c>
      <c r="B133" s="6" t="s">
        <v>167</v>
      </c>
      <c r="C133" s="6" t="s">
        <v>167</v>
      </c>
      <c r="D133" s="6" t="s">
        <v>878</v>
      </c>
      <c r="E133" s="6" t="s">
        <v>899</v>
      </c>
      <c r="F133" s="6" t="s">
        <v>361</v>
      </c>
      <c r="G133" s="13" t="str">
        <f>IFERROR(VLOOKUP(F133,CATÁLOGOS!$A$6:$B$105,2,FALSE),"")</f>
        <v>Todo para tu ropa</v>
      </c>
      <c r="H133" s="6" t="s">
        <v>773</v>
      </c>
      <c r="I133" s="13" t="str">
        <f>IFERROR(VLOOKUP(H133,CATÁLOGOS!$F$6:$H$305,3,FALSE),"")</f>
        <v>Difusores aromáticos</v>
      </c>
      <c r="J133" s="6" t="s">
        <v>774</v>
      </c>
      <c r="K133" s="6" t="s">
        <v>900</v>
      </c>
      <c r="L133" s="6" t="s">
        <v>899</v>
      </c>
      <c r="M133" s="6" t="s">
        <v>397</v>
      </c>
      <c r="N133" s="6" t="s">
        <v>901</v>
      </c>
      <c r="O133" s="6" t="s">
        <v>902</v>
      </c>
      <c r="P133" s="13" t="str">
        <f>IFERROR(VLOOKUP(O133,CATÁLOGOS!$L$6:$O$305,3,FALSE),"")</f>
        <v>Difusor Aromatico Saphirus combinados por 120 CC. Presentación: 1 unidad. Marca Saphirus. Fragancia: flores blancas / uvas.</v>
      </c>
      <c r="Q133" s="13" t="str">
        <f>IFERROR(VLOOKUP(O133,CATÁLOGOS!$L$6:$O$305,4,FALSE),"")</f>
        <v>Difusores aromáticos. Perfuma ambientes y textiles con una fragancia agradable y duradera, ideal para dejar todo con olor a limpio.</v>
      </c>
      <c r="R133" s="16"/>
      <c r="S133" s="16"/>
      <c r="T133" s="6" t="s">
        <v>329</v>
      </c>
      <c r="U133" s="10" t="s">
        <v>53</v>
      </c>
    </row>
    <row r="134" spans="1:21">
      <c r="A134" s="5" t="s">
        <v>903</v>
      </c>
      <c r="B134" s="6" t="s">
        <v>168</v>
      </c>
      <c r="C134" s="6" t="s">
        <v>168</v>
      </c>
      <c r="D134" s="6"/>
      <c r="E134" s="6"/>
      <c r="F134" s="6" t="s">
        <v>904</v>
      </c>
      <c r="G134" s="13" t="str">
        <f>IFERROR(VLOOKUP(F134,CATÁLOGOS!$A$6:$B$105,2,FALSE),"")</f>
        <v>📦 Packs y ofertas</v>
      </c>
      <c r="H134" s="6" t="s">
        <v>905</v>
      </c>
      <c r="I134" s="13" t="str">
        <f>IFERROR(VLOOKUP(H134,CATÁLOGOS!$F$6:$H$305,3,FALSE),"")</f>
        <v>Promociones</v>
      </c>
      <c r="J134" s="6" t="s">
        <v>323</v>
      </c>
      <c r="K134" s="6" t="s">
        <v>906</v>
      </c>
      <c r="L134" s="6"/>
      <c r="M134" s="6" t="s">
        <v>397</v>
      </c>
      <c r="N134" s="6" t="s">
        <v>907</v>
      </c>
      <c r="O134" s="6" t="s">
        <v>908</v>
      </c>
      <c r="P134" s="13" t="str">
        <f>IFERROR(VLOOKUP(O134,CATÁLOGOS!$L$6:$O$305,3,FALSE),"")</f>
        <v>5 LITROS DE LAVANDINA. 5 LITROS DE CIF. 5 LITROS DE DETERGENTE</v>
      </c>
      <c r="Q134" s="13" t="str">
        <f>IFERROR(VLOOKUP(O134,CATÁLOGOS!$L$6:$O$305,4,FALSE),"")</f>
        <v>5 LITROS DE LAVANDINA. 5 LITROS DE CIF. 5 LITROS DE DETERGENTE</v>
      </c>
      <c r="R134" s="16"/>
      <c r="S134" s="16"/>
      <c r="T134" s="6" t="s">
        <v>329</v>
      </c>
      <c r="U134" s="10" t="s">
        <v>53</v>
      </c>
    </row>
    <row r="135" spans="1:21">
      <c r="A135" s="5" t="s">
        <v>909</v>
      </c>
      <c r="B135" s="6" t="s">
        <v>170</v>
      </c>
      <c r="C135" s="6" t="s">
        <v>170</v>
      </c>
      <c r="D135" s="6"/>
      <c r="E135" s="6"/>
      <c r="F135" s="6" t="s">
        <v>904</v>
      </c>
      <c r="G135" s="13" t="str">
        <f>IFERROR(VLOOKUP(F135,CATÁLOGOS!$A$6:$B$105,2,FALSE),"")</f>
        <v>📦 Packs y ofertas</v>
      </c>
      <c r="H135" s="6" t="s">
        <v>905</v>
      </c>
      <c r="I135" s="13" t="str">
        <f>IFERROR(VLOOKUP(H135,CATÁLOGOS!$F$6:$H$305,3,FALSE),"")</f>
        <v>Promociones</v>
      </c>
      <c r="J135" s="6" t="s">
        <v>323</v>
      </c>
      <c r="K135" s="6" t="s">
        <v>910</v>
      </c>
      <c r="L135" s="6"/>
      <c r="M135" s="6" t="s">
        <v>397</v>
      </c>
      <c r="N135" s="6" t="s">
        <v>911</v>
      </c>
      <c r="O135" s="6" t="s">
        <v>912</v>
      </c>
      <c r="P135" s="13" t="str">
        <f>IFERROR(VLOOKUP(O135,CATÁLOGOS!$L$6:$O$305,3,FALSE),"")</f>
        <v>5 LITROS DE LAVANDINA. 1 LITRO DE CIF. 1 LITRO DE DETERGENTE</v>
      </c>
      <c r="Q135" s="13" t="str">
        <f>IFERROR(VLOOKUP(O135,CATÁLOGOS!$L$6:$O$305,4,FALSE),"")</f>
        <v>5 LITROS DE LAVANDINA. 1 LITRO DE CIF. 1 LITRO DE DETERGENTE</v>
      </c>
      <c r="R135" s="16"/>
      <c r="S135" s="16"/>
      <c r="T135" s="6" t="s">
        <v>329</v>
      </c>
      <c r="U135" s="10" t="s">
        <v>53</v>
      </c>
    </row>
    <row r="136" spans="1:21">
      <c r="A136" s="5" t="s">
        <v>913</v>
      </c>
      <c r="B136" s="6" t="s">
        <v>171</v>
      </c>
      <c r="C136" s="6" t="s">
        <v>171</v>
      </c>
      <c r="D136" s="6"/>
      <c r="E136" s="6"/>
      <c r="F136" s="6" t="s">
        <v>904</v>
      </c>
      <c r="G136" s="13" t="str">
        <f>IFERROR(VLOOKUP(F136,CATÁLOGOS!$A$6:$B$105,2,FALSE),"")</f>
        <v>📦 Packs y ofertas</v>
      </c>
      <c r="H136" s="6" t="s">
        <v>905</v>
      </c>
      <c r="I136" s="13" t="str">
        <f>IFERROR(VLOOKUP(H136,CATÁLOGOS!$F$6:$H$305,3,FALSE),"")</f>
        <v>Promociones</v>
      </c>
      <c r="J136" s="6" t="s">
        <v>323</v>
      </c>
      <c r="K136" s="6" t="s">
        <v>914</v>
      </c>
      <c r="L136" s="6"/>
      <c r="M136" s="6" t="s">
        <v>397</v>
      </c>
      <c r="N136" s="6" t="s">
        <v>915</v>
      </c>
      <c r="O136" s="6" t="s">
        <v>916</v>
      </c>
      <c r="P136" s="13" t="str">
        <f>IFERROR(VLOOKUP(O136,CATÁLOGOS!$L$6:$O$305,3,FALSE),"")</f>
        <v>5 LITROS DE JABON LIQUIDO SKIP. 5 LITROS DE SUAVIZANTE PREMIUM</v>
      </c>
      <c r="Q136" s="13" t="str">
        <f>IFERROR(VLOOKUP(O136,CATÁLOGOS!$L$6:$O$305,4,FALSE),"")</f>
        <v>5 LITROS DE JABON LIQUIDO SKIP. 5 LITROS DE SUAVIZANTE PREMIUM</v>
      </c>
      <c r="R136" s="16"/>
      <c r="S136" s="16"/>
      <c r="T136" s="6" t="s">
        <v>329</v>
      </c>
      <c r="U136" s="10" t="s">
        <v>53</v>
      </c>
    </row>
    <row r="137" spans="1:21">
      <c r="A137" s="5" t="s">
        <v>917</v>
      </c>
      <c r="B137" s="6" t="s">
        <v>172</v>
      </c>
      <c r="C137" s="6" t="s">
        <v>172</v>
      </c>
      <c r="D137" s="6"/>
      <c r="E137" s="6"/>
      <c r="F137" s="6" t="s">
        <v>321</v>
      </c>
      <c r="G137" s="13" t="str">
        <f>IFERROR(VLOOKUP(F137,CATÁLOGOS!$A$6:$B$105,2,FALSE),"")</f>
        <v>Nuestros productos</v>
      </c>
      <c r="H137" s="6" t="s">
        <v>322</v>
      </c>
      <c r="I137" s="13" t="str">
        <f>IFERROR(VLOOKUP(H137,CATÁLOGOS!$F$6:$H$305,3,FALSE),"")</f>
        <v>Lavandinas y Cloros</v>
      </c>
      <c r="J137" s="6" t="s">
        <v>323</v>
      </c>
      <c r="K137" s="6" t="s">
        <v>918</v>
      </c>
      <c r="L137" s="6"/>
      <c r="M137" s="6" t="s">
        <v>919</v>
      </c>
      <c r="N137" s="6" t="s">
        <v>920</v>
      </c>
      <c r="O137" s="6" t="s">
        <v>921</v>
      </c>
      <c r="P137" s="13" t="str">
        <f>IFERROR(VLOOKUP(O137,CATÁLOGOS!$L$6:$O$305,3,FALSE),"")</f>
        <v>Cloro liquido x 1 litro. Presentación: 1 litro.</v>
      </c>
      <c r="Q137" s="13" t="str">
        <f>IFERROR(VLOOKUP(O137,CATÁLOGOS!$L$6:$O$305,4,FALSE),"")</f>
        <v>Cloro. Elimina bacterias y gérmenes, desinfectando a fondo superficies del hogar, comercios e industrias.</v>
      </c>
      <c r="R137" s="16"/>
      <c r="S137" s="16"/>
      <c r="T137" s="6" t="s">
        <v>329</v>
      </c>
      <c r="U137" s="10" t="s">
        <v>169</v>
      </c>
    </row>
    <row r="138" spans="1:21">
      <c r="A138" s="5" t="s">
        <v>922</v>
      </c>
      <c r="B138" s="6" t="s">
        <v>173</v>
      </c>
      <c r="C138" s="6" t="s">
        <v>173</v>
      </c>
      <c r="D138" s="6"/>
      <c r="E138" s="6"/>
      <c r="F138" s="6" t="s">
        <v>321</v>
      </c>
      <c r="G138" s="13" t="str">
        <f>IFERROR(VLOOKUP(F138,CATÁLOGOS!$A$6:$B$105,2,FALSE),"")</f>
        <v>Nuestros productos</v>
      </c>
      <c r="H138" s="6" t="s">
        <v>322</v>
      </c>
      <c r="I138" s="13" t="str">
        <f>IFERROR(VLOOKUP(H138,CATÁLOGOS!$F$6:$H$305,3,FALSE),"")</f>
        <v>Lavandinas y Cloros</v>
      </c>
      <c r="J138" s="6" t="s">
        <v>323</v>
      </c>
      <c r="K138" s="6" t="s">
        <v>923</v>
      </c>
      <c r="L138" s="6"/>
      <c r="M138" s="6" t="s">
        <v>924</v>
      </c>
      <c r="N138" s="6" t="s">
        <v>925</v>
      </c>
      <c r="O138" s="6" t="s">
        <v>926</v>
      </c>
      <c r="P138" s="13" t="str">
        <f>IFERROR(VLOOKUP(O138,CATÁLOGOS!$L$6:$O$305,3,FALSE),"")</f>
        <v>Cloro liquido pack x 6. Presentación: 6 litros.</v>
      </c>
      <c r="Q138" s="13" t="str">
        <f>IFERROR(VLOOKUP(O138,CATÁLOGOS!$L$6:$O$305,4,FALSE),"")</f>
        <v>Cloro. Elimina bacterias y gérmenes, desinfectando a fondo superficies del hogar, comercios e industrias.</v>
      </c>
      <c r="R138" s="16"/>
      <c r="S138" s="16"/>
      <c r="T138" s="6" t="s">
        <v>329</v>
      </c>
      <c r="U138" s="10" t="s">
        <v>169</v>
      </c>
    </row>
    <row r="139" spans="1:21">
      <c r="A139" s="5" t="s">
        <v>927</v>
      </c>
      <c r="B139" s="6" t="s">
        <v>174</v>
      </c>
      <c r="C139" s="6" t="s">
        <v>174</v>
      </c>
      <c r="D139" s="6"/>
      <c r="E139" s="6"/>
      <c r="F139" s="6" t="s">
        <v>321</v>
      </c>
      <c r="G139" s="13" t="str">
        <f>IFERROR(VLOOKUP(F139,CATÁLOGOS!$A$6:$B$105,2,FALSE),"")</f>
        <v>Nuestros productos</v>
      </c>
      <c r="H139" s="6" t="s">
        <v>331</v>
      </c>
      <c r="I139" s="13" t="str">
        <f>IFERROR(VLOOKUP(H139,CATÁLOGOS!$F$6:$H$305,3,FALSE),"")</f>
        <v>Detergentes y Lavavajillas</v>
      </c>
      <c r="J139" s="6" t="s">
        <v>323</v>
      </c>
      <c r="K139" s="6" t="s">
        <v>928</v>
      </c>
      <c r="L139" s="6"/>
      <c r="M139" s="6" t="s">
        <v>365</v>
      </c>
      <c r="N139" s="6" t="s">
        <v>929</v>
      </c>
      <c r="O139" s="6" t="s">
        <v>930</v>
      </c>
      <c r="P139" s="13" t="str">
        <f>IFERROR(VLOOKUP(O139,CATÁLOGOS!$L$6:$O$305,3,FALSE),"")</f>
        <v>Detergente concentrado rinde x2. Presentación: 1 litros.</v>
      </c>
      <c r="Q139" s="13" t="str">
        <f>IFERROR(VLOOKUP(O139,CATÁLOGOS!$L$6:$O$305,4,FALSE),"")</f>
        <v>Detergente concentrado. Ideal para desengrasar y limpiar utensilios, vajilla y superficies de cocina de forma rápida y efectiva.</v>
      </c>
      <c r="R139" s="16"/>
      <c r="S139" s="16"/>
      <c r="T139" s="6" t="s">
        <v>329</v>
      </c>
      <c r="U139" s="10" t="s">
        <v>169</v>
      </c>
    </row>
    <row r="140" spans="1:21">
      <c r="A140" s="5" t="s">
        <v>931</v>
      </c>
      <c r="B140" s="6" t="s">
        <v>175</v>
      </c>
      <c r="C140" s="6" t="s">
        <v>175</v>
      </c>
      <c r="D140" s="6"/>
      <c r="E140" s="6"/>
      <c r="F140" s="6" t="s">
        <v>321</v>
      </c>
      <c r="G140" s="13" t="str">
        <f>IFERROR(VLOOKUP(F140,CATÁLOGOS!$A$6:$B$105,2,FALSE),"")</f>
        <v>Nuestros productos</v>
      </c>
      <c r="H140" s="6" t="s">
        <v>331</v>
      </c>
      <c r="I140" s="13" t="str">
        <f>IFERROR(VLOOKUP(H140,CATÁLOGOS!$F$6:$H$305,3,FALSE),"")</f>
        <v>Detergentes y Lavavajillas</v>
      </c>
      <c r="J140" s="6" t="s">
        <v>323</v>
      </c>
      <c r="K140" s="6" t="s">
        <v>932</v>
      </c>
      <c r="L140" s="6"/>
      <c r="M140" s="6" t="s">
        <v>924</v>
      </c>
      <c r="N140" s="6" t="s">
        <v>933</v>
      </c>
      <c r="O140" s="6" t="s">
        <v>934</v>
      </c>
      <c r="P140" s="13" t="str">
        <f>IFERROR(VLOOKUP(O140,CATÁLOGOS!$L$6:$O$305,3,FALSE),"")</f>
        <v>Detergente liquido concentrado pack 6 unidades. Presentación: 6 litros.</v>
      </c>
      <c r="Q140" s="13" t="str">
        <f>IFERROR(VLOOKUP(O140,CATÁLOGOS!$L$6:$O$305,4,FALSE),"")</f>
        <v>Detergente concentrado. Ideal para desengrasar y limpiar utensilios, vajilla y superficies de cocina de forma rápida y efectiva.</v>
      </c>
      <c r="R140" s="16"/>
      <c r="S140" s="16"/>
      <c r="T140" s="6" t="s">
        <v>329</v>
      </c>
      <c r="U140" s="10" t="s">
        <v>169</v>
      </c>
    </row>
    <row r="141" spans="1:21">
      <c r="A141" s="5" t="s">
        <v>935</v>
      </c>
      <c r="B141" s="6" t="s">
        <v>176</v>
      </c>
      <c r="C141" s="6" t="s">
        <v>176</v>
      </c>
      <c r="D141" s="6"/>
      <c r="E141" s="6"/>
      <c r="F141" s="6" t="s">
        <v>321</v>
      </c>
      <c r="G141" s="13" t="str">
        <f>IFERROR(VLOOKUP(F141,CATÁLOGOS!$A$6:$B$105,2,FALSE),"")</f>
        <v>Nuestros productos</v>
      </c>
      <c r="H141" s="6" t="s">
        <v>331</v>
      </c>
      <c r="I141" s="13" t="str">
        <f>IFERROR(VLOOKUP(H141,CATÁLOGOS!$F$6:$H$305,3,FALSE),"")</f>
        <v>Detergentes y Lavavajillas</v>
      </c>
      <c r="J141" s="6" t="s">
        <v>323</v>
      </c>
      <c r="K141" s="6" t="s">
        <v>936</v>
      </c>
      <c r="L141" s="6"/>
      <c r="M141" s="6" t="s">
        <v>919</v>
      </c>
      <c r="N141" s="6" t="s">
        <v>937</v>
      </c>
      <c r="O141" s="6" t="s">
        <v>938</v>
      </c>
      <c r="P141" s="13" t="str">
        <f>IFERROR(VLOOKUP(O141,CATÁLOGOS!$L$6:$O$305,3,FALSE),"")</f>
        <v>Lavavajillas listo para usar 1 litro. Presentación: 1 litro.</v>
      </c>
      <c r="Q141" s="13" t="str">
        <f>IFERROR(VLOOKUP(O141,CATÁLOGOS!$L$6:$O$305,4,FALSE),"")</f>
        <v>Lavavajillas Listo para usar. Ideal para desengrasar y limpiar utensilios, vajilla y superficies de cocina de forma rápida y efectiva.</v>
      </c>
      <c r="R141" s="16"/>
      <c r="S141" s="16"/>
      <c r="T141" s="6" t="s">
        <v>329</v>
      </c>
      <c r="U141" s="10" t="s">
        <v>169</v>
      </c>
    </row>
    <row r="142" spans="1:21">
      <c r="A142" s="5" t="s">
        <v>939</v>
      </c>
      <c r="B142" s="6" t="s">
        <v>177</v>
      </c>
      <c r="C142" s="6" t="s">
        <v>177</v>
      </c>
      <c r="D142" s="6"/>
      <c r="E142" s="6"/>
      <c r="F142" s="6" t="s">
        <v>321</v>
      </c>
      <c r="G142" s="13" t="str">
        <f>IFERROR(VLOOKUP(F142,CATÁLOGOS!$A$6:$B$105,2,FALSE),"")</f>
        <v>Nuestros productos</v>
      </c>
      <c r="H142" s="6" t="s">
        <v>331</v>
      </c>
      <c r="I142" s="13" t="str">
        <f>IFERROR(VLOOKUP(H142,CATÁLOGOS!$F$6:$H$305,3,FALSE),"")</f>
        <v>Detergentes y Lavavajillas</v>
      </c>
      <c r="J142" s="6" t="s">
        <v>323</v>
      </c>
      <c r="K142" s="6" t="s">
        <v>940</v>
      </c>
      <c r="L142" s="6"/>
      <c r="M142" s="6" t="s">
        <v>924</v>
      </c>
      <c r="N142" s="6" t="s">
        <v>941</v>
      </c>
      <c r="O142" s="6" t="s">
        <v>942</v>
      </c>
      <c r="P142" s="13" t="str">
        <f>IFERROR(VLOOKUP(O142,CATÁLOGOS!$L$6:$O$305,3,FALSE),"")</f>
        <v>Lavavajillas listo para usar pack 6 litros. Presentación: 6 litros.</v>
      </c>
      <c r="Q142" s="13" t="str">
        <f>IFERROR(VLOOKUP(O142,CATÁLOGOS!$L$6:$O$305,4,FALSE),"")</f>
        <v>Lavavajillas Listo para usar. Ideal para desengrasar y limpiar utensilios, vajilla y superficies de cocina de forma rápida y efectiva.</v>
      </c>
      <c r="R142" s="16"/>
      <c r="S142" s="16"/>
      <c r="T142" s="6" t="s">
        <v>329</v>
      </c>
      <c r="U142" s="10" t="s">
        <v>169</v>
      </c>
    </row>
    <row r="143" spans="1:21">
      <c r="A143" s="5" t="s">
        <v>943</v>
      </c>
      <c r="B143" s="6" t="s">
        <v>178</v>
      </c>
      <c r="C143" s="6" t="s">
        <v>178</v>
      </c>
      <c r="D143" s="6"/>
      <c r="E143" s="6"/>
      <c r="F143" s="6" t="s">
        <v>321</v>
      </c>
      <c r="G143" s="13" t="str">
        <f>IFERROR(VLOOKUP(F143,CATÁLOGOS!$A$6:$B$105,2,FALSE),"")</f>
        <v>Nuestros productos</v>
      </c>
      <c r="H143" s="6" t="s">
        <v>331</v>
      </c>
      <c r="I143" s="13" t="str">
        <f>IFERROR(VLOOKUP(H143,CATÁLOGOS!$F$6:$H$305,3,FALSE),"")</f>
        <v>Detergentes y Lavavajillas</v>
      </c>
      <c r="J143" s="6" t="s">
        <v>323</v>
      </c>
      <c r="K143" s="6" t="s">
        <v>944</v>
      </c>
      <c r="L143" s="6"/>
      <c r="M143" s="6" t="s">
        <v>919</v>
      </c>
      <c r="N143" s="6" t="s">
        <v>945</v>
      </c>
      <c r="O143" s="6" t="s">
        <v>946</v>
      </c>
      <c r="P143" s="13" t="str">
        <f>IFERROR(VLOOKUP(O143,CATÁLOGOS!$L$6:$O$305,3,FALSE),"")</f>
        <v>Lavavajillas concentrado 1 litro. Presentación: 1 litro.</v>
      </c>
      <c r="Q143" s="13" t="str">
        <f>IFERROR(VLOOKUP(O143,CATÁLOGOS!$L$6:$O$305,4,FALSE),"")</f>
        <v>Lavavajillas Concentrado. Ideal para desengrasar y limpiar utensilios, vajilla y superficies de cocina de forma rápida y efectiva.</v>
      </c>
      <c r="R143" s="16"/>
      <c r="S143" s="16"/>
      <c r="T143" s="6" t="s">
        <v>329</v>
      </c>
      <c r="U143" s="10" t="s">
        <v>169</v>
      </c>
    </row>
    <row r="144" spans="1:21">
      <c r="A144" s="5" t="s">
        <v>947</v>
      </c>
      <c r="B144" s="6" t="s">
        <v>179</v>
      </c>
      <c r="C144" s="6" t="s">
        <v>179</v>
      </c>
      <c r="D144" s="6"/>
      <c r="E144" s="6"/>
      <c r="F144" s="6" t="s">
        <v>321</v>
      </c>
      <c r="G144" s="13" t="str">
        <f>IFERROR(VLOOKUP(F144,CATÁLOGOS!$A$6:$B$105,2,FALSE),"")</f>
        <v>Nuestros productos</v>
      </c>
      <c r="H144" s="6" t="s">
        <v>331</v>
      </c>
      <c r="I144" s="13" t="str">
        <f>IFERROR(VLOOKUP(H144,CATÁLOGOS!$F$6:$H$305,3,FALSE),"")</f>
        <v>Detergentes y Lavavajillas</v>
      </c>
      <c r="J144" s="6" t="s">
        <v>323</v>
      </c>
      <c r="K144" s="6" t="s">
        <v>948</v>
      </c>
      <c r="L144" s="6"/>
      <c r="M144" s="6" t="s">
        <v>924</v>
      </c>
      <c r="N144" s="6" t="s">
        <v>949</v>
      </c>
      <c r="O144" s="6" t="s">
        <v>950</v>
      </c>
      <c r="P144" s="13" t="str">
        <f>IFERROR(VLOOKUP(O144,CATÁLOGOS!$L$6:$O$305,3,FALSE),"")</f>
        <v>Lavavajillas concentrado pack 6 litros. Presentación: 6 litros.</v>
      </c>
      <c r="Q144" s="13" t="str">
        <f>IFERROR(VLOOKUP(O144,CATÁLOGOS!$L$6:$O$305,4,FALSE),"")</f>
        <v>Lavavajillas Concentrado. Ideal para desengrasar y limpiar utensilios, vajilla y superficies de cocina de forma rápida y efectiva.</v>
      </c>
      <c r="R144" s="16"/>
      <c r="S144" s="16"/>
      <c r="T144" s="6" t="s">
        <v>329</v>
      </c>
      <c r="U144" s="10" t="s">
        <v>169</v>
      </c>
    </row>
    <row r="145" spans="1:21">
      <c r="A145" s="5" t="s">
        <v>951</v>
      </c>
      <c r="B145" s="6" t="s">
        <v>180</v>
      </c>
      <c r="C145" s="6" t="s">
        <v>180</v>
      </c>
      <c r="D145" s="6"/>
      <c r="E145" s="6"/>
      <c r="F145" s="6" t="s">
        <v>321</v>
      </c>
      <c r="G145" s="13" t="str">
        <f>IFERROR(VLOOKUP(F145,CATÁLOGOS!$A$6:$B$105,2,FALSE),"")</f>
        <v>Nuestros productos</v>
      </c>
      <c r="H145" s="6" t="s">
        <v>344</v>
      </c>
      <c r="I145" s="13" t="str">
        <f>IFERROR(VLOOKUP(H145,CATÁLOGOS!$F$6:$H$305,3,FALSE),"")</f>
        <v>Jabones y Suavizantes</v>
      </c>
      <c r="J145" s="6" t="s">
        <v>323</v>
      </c>
      <c r="K145" s="6" t="s">
        <v>952</v>
      </c>
      <c r="L145" s="6" t="s">
        <v>346</v>
      </c>
      <c r="M145" s="6" t="s">
        <v>919</v>
      </c>
      <c r="N145" s="6" t="s">
        <v>953</v>
      </c>
      <c r="O145" s="6" t="s">
        <v>954</v>
      </c>
      <c r="P145" s="13" t="str">
        <f>IFERROR(VLOOKUP(O145,CATÁLOGOS!$L$6:$O$305,3,FALSE),"")</f>
        <v>Suavizante listo para usar 1 litro. Presentación: 1 litro. Fragancia: color blanco premium.</v>
      </c>
      <c r="Q145" s="13" t="str">
        <f>IFERROR(VLOOKUP(O145,CATÁLOGOS!$L$6:$O$305,4,FALSE),"")</f>
        <v>Suavizante. Cuida las fibras de la ropa, suaviza y deja un aroma agradable y duradero en cada lavado.</v>
      </c>
      <c r="R145" s="16"/>
      <c r="S145" s="16"/>
      <c r="T145" s="6" t="s">
        <v>329</v>
      </c>
      <c r="U145" s="10" t="s">
        <v>169</v>
      </c>
    </row>
    <row r="146" spans="1:21">
      <c r="A146" s="5" t="s">
        <v>955</v>
      </c>
      <c r="B146" s="6" t="s">
        <v>181</v>
      </c>
      <c r="C146" s="6" t="s">
        <v>181</v>
      </c>
      <c r="D146" s="6"/>
      <c r="E146" s="6"/>
      <c r="F146" s="6" t="s">
        <v>321</v>
      </c>
      <c r="G146" s="13" t="str">
        <f>IFERROR(VLOOKUP(F146,CATÁLOGOS!$A$6:$B$105,2,FALSE),"")</f>
        <v>Nuestros productos</v>
      </c>
      <c r="H146" s="6" t="s">
        <v>344</v>
      </c>
      <c r="I146" s="13" t="str">
        <f>IFERROR(VLOOKUP(H146,CATÁLOGOS!$F$6:$H$305,3,FALSE),"")</f>
        <v>Jabones y Suavizantes</v>
      </c>
      <c r="J146" s="6" t="s">
        <v>323</v>
      </c>
      <c r="K146" s="6" t="s">
        <v>956</v>
      </c>
      <c r="L146" s="6"/>
      <c r="M146" s="6" t="s">
        <v>924</v>
      </c>
      <c r="N146" s="6" t="s">
        <v>957</v>
      </c>
      <c r="O146" s="6" t="s">
        <v>958</v>
      </c>
      <c r="P146" s="13" t="str">
        <f>IFERROR(VLOOKUP(O146,CATÁLOGOS!$L$6:$O$305,3,FALSE),"")</f>
        <v>Suavizante listo para usar pack 6 x 6 litros. Presentación: 6 litros.</v>
      </c>
      <c r="Q146" s="13" t="str">
        <f>IFERROR(VLOOKUP(O146,CATÁLOGOS!$L$6:$O$305,4,FALSE),"")</f>
        <v>Suavizante. Cuida las fibras de la ropa, suaviza y deja un aroma agradable y duradero en cada lavado.</v>
      </c>
      <c r="R146" s="16"/>
      <c r="S146" s="16"/>
      <c r="T146" s="6" t="s">
        <v>329</v>
      </c>
      <c r="U146" s="10" t="s">
        <v>169</v>
      </c>
    </row>
    <row r="147" spans="1:21">
      <c r="A147" s="5" t="s">
        <v>959</v>
      </c>
      <c r="B147" s="6" t="s">
        <v>182</v>
      </c>
      <c r="C147" s="6" t="s">
        <v>182</v>
      </c>
      <c r="D147" s="6"/>
      <c r="E147" s="6"/>
      <c r="F147" s="6" t="s">
        <v>321</v>
      </c>
      <c r="G147" s="13" t="str">
        <f>IFERROR(VLOOKUP(F147,CATÁLOGOS!$A$6:$B$105,2,FALSE),"")</f>
        <v>Nuestros productos</v>
      </c>
      <c r="H147" s="6" t="s">
        <v>344</v>
      </c>
      <c r="I147" s="13" t="str">
        <f>IFERROR(VLOOKUP(H147,CATÁLOGOS!$F$6:$H$305,3,FALSE),"")</f>
        <v>Jabones y Suavizantes</v>
      </c>
      <c r="J147" s="6" t="s">
        <v>323</v>
      </c>
      <c r="K147" s="6" t="s">
        <v>960</v>
      </c>
      <c r="L147" s="6" t="s">
        <v>351</v>
      </c>
      <c r="M147" s="6" t="s">
        <v>919</v>
      </c>
      <c r="N147" s="6" t="s">
        <v>961</v>
      </c>
      <c r="O147" s="6" t="s">
        <v>962</v>
      </c>
      <c r="P147" s="13" t="str">
        <f>IFERROR(VLOOKUP(O147,CATÁLOGOS!$L$6:$O$305,3,FALSE),"")</f>
        <v>Suavizante listo para usar x 1 litro. Presentación: 1 litro. Fragancia: color celeste economico.</v>
      </c>
      <c r="Q147" s="13" t="str">
        <f>IFERROR(VLOOKUP(O147,CATÁLOGOS!$L$6:$O$305,4,FALSE),"")</f>
        <v>Suavizante. Cuida las fibras de la ropa, suaviza y deja un aroma agradable y duradero en cada lavado.</v>
      </c>
      <c r="R147" s="16"/>
      <c r="S147" s="16"/>
      <c r="T147" s="6" t="s">
        <v>329</v>
      </c>
      <c r="U147" s="10" t="s">
        <v>169</v>
      </c>
    </row>
    <row r="148" spans="1:21">
      <c r="A148" s="5" t="s">
        <v>963</v>
      </c>
      <c r="B148" s="6" t="s">
        <v>183</v>
      </c>
      <c r="C148" s="6" t="s">
        <v>183</v>
      </c>
      <c r="D148" s="6"/>
      <c r="E148" s="6"/>
      <c r="F148" s="6" t="s">
        <v>321</v>
      </c>
      <c r="G148" s="13" t="str">
        <f>IFERROR(VLOOKUP(F148,CATÁLOGOS!$A$6:$B$105,2,FALSE),"")</f>
        <v>Nuestros productos</v>
      </c>
      <c r="H148" s="6" t="s">
        <v>344</v>
      </c>
      <c r="I148" s="13" t="str">
        <f>IFERROR(VLOOKUP(H148,CATÁLOGOS!$F$6:$H$305,3,FALSE),"")</f>
        <v>Jabones y Suavizantes</v>
      </c>
      <c r="J148" s="6" t="s">
        <v>323</v>
      </c>
      <c r="K148" s="6" t="s">
        <v>964</v>
      </c>
      <c r="L148" s="6" t="s">
        <v>351</v>
      </c>
      <c r="M148" s="6" t="s">
        <v>924</v>
      </c>
      <c r="N148" s="6" t="s">
        <v>965</v>
      </c>
      <c r="O148" s="6" t="s">
        <v>966</v>
      </c>
      <c r="P148" s="13" t="str">
        <f>IFERROR(VLOOKUP(O148,CATÁLOGOS!$L$6:$O$305,3,FALSE),"")</f>
        <v>Suavizante listo para usar pack x 6 litros. Presentación: 6 litros. Fragancia: color celeste economico.</v>
      </c>
      <c r="Q148" s="13" t="str">
        <f>IFERROR(VLOOKUP(O148,CATÁLOGOS!$L$6:$O$305,4,FALSE),"")</f>
        <v>Suavizante. Cuida las fibras de la ropa, suaviza y deja un aroma agradable y duradero en cada lavado.</v>
      </c>
      <c r="R148" s="16"/>
      <c r="S148" s="16"/>
      <c r="T148" s="6" t="s">
        <v>329</v>
      </c>
      <c r="U148" s="10" t="s">
        <v>169</v>
      </c>
    </row>
    <row r="149" spans="1:21">
      <c r="A149" s="5" t="s">
        <v>967</v>
      </c>
      <c r="B149" s="6" t="s">
        <v>184</v>
      </c>
      <c r="C149" s="6" t="s">
        <v>184</v>
      </c>
      <c r="D149" s="6" t="s">
        <v>968</v>
      </c>
      <c r="E149" s="6" t="s">
        <v>969</v>
      </c>
      <c r="F149" s="6" t="s">
        <v>321</v>
      </c>
      <c r="G149" s="13" t="str">
        <f>IFERROR(VLOOKUP(F149,CATÁLOGOS!$A$6:$B$105,2,FALSE),"")</f>
        <v>Nuestros productos</v>
      </c>
      <c r="H149" s="6" t="s">
        <v>970</v>
      </c>
      <c r="I149" s="13" t="str">
        <f>IFERROR(VLOOKUP(H149,CATÁLOGOS!$F$6:$H$305,3,FALSE),"")</f>
        <v>Desodorante para piso</v>
      </c>
      <c r="J149" s="6" t="s">
        <v>323</v>
      </c>
      <c r="K149" s="6" t="s">
        <v>971</v>
      </c>
      <c r="L149" s="6">
        <v>1056</v>
      </c>
      <c r="M149" s="6" t="s">
        <v>326</v>
      </c>
      <c r="N149" s="6" t="s">
        <v>972</v>
      </c>
      <c r="O149" s="6" t="s">
        <v>973</v>
      </c>
      <c r="P149" s="13" t="str">
        <f>IFERROR(VLOOKUP(O149,CATÁLOGOS!$L$6:$O$305,3,FALSE),"")</f>
        <v>Desodorante para piso x 5 litros. Presentación: 5 litros. Fragancia: 1056.</v>
      </c>
      <c r="Q149" s="13" t="str">
        <f>IFERROR(VLOOKUP(O149,CATÁLOGOS!$L$6:$O$305,4,FALSE),"")</f>
        <v>Desodorante para piso. Limpia y perfuma pisos y superficies, dejando un aroma duradero y sensación de frescura en el hogar.</v>
      </c>
      <c r="R149" s="16"/>
      <c r="S149" s="16"/>
      <c r="T149" s="6" t="s">
        <v>329</v>
      </c>
      <c r="U149" s="10" t="s">
        <v>53</v>
      </c>
    </row>
    <row r="150" spans="1:21">
      <c r="A150" s="5" t="s">
        <v>974</v>
      </c>
      <c r="B150" s="6" t="s">
        <v>185</v>
      </c>
      <c r="C150" s="6" t="s">
        <v>185</v>
      </c>
      <c r="D150" s="6" t="s">
        <v>968</v>
      </c>
      <c r="E150" s="6" t="s">
        <v>975</v>
      </c>
      <c r="F150" s="6" t="s">
        <v>321</v>
      </c>
      <c r="G150" s="13" t="str">
        <f>IFERROR(VLOOKUP(F150,CATÁLOGOS!$A$6:$B$105,2,FALSE),"")</f>
        <v>Nuestros productos</v>
      </c>
      <c r="H150" s="6" t="s">
        <v>970</v>
      </c>
      <c r="I150" s="13" t="str">
        <f>IFERROR(VLOOKUP(H150,CATÁLOGOS!$F$6:$H$305,3,FALSE),"")</f>
        <v>Desodorante para piso</v>
      </c>
      <c r="J150" s="6" t="s">
        <v>323</v>
      </c>
      <c r="K150" s="6" t="s">
        <v>976</v>
      </c>
      <c r="L150" s="6">
        <v>1056</v>
      </c>
      <c r="M150" s="6" t="s">
        <v>919</v>
      </c>
      <c r="N150" s="6" t="s">
        <v>977</v>
      </c>
      <c r="O150" s="6" t="s">
        <v>978</v>
      </c>
      <c r="P150" s="13" t="str">
        <f>IFERROR(VLOOKUP(O150,CATÁLOGOS!$L$6:$O$305,3,FALSE),"")</f>
        <v>Desodorante para piso x 1 litro. Presentación: 1 litro. Fragancia: 1056.</v>
      </c>
      <c r="Q150" s="13" t="str">
        <f>IFERROR(VLOOKUP(O150,CATÁLOGOS!$L$6:$O$305,4,FALSE),"")</f>
        <v>Desodorante para piso. Limpia y perfuma pisos y superficies, dejando un aroma duradero y sensación de frescura en el hogar.</v>
      </c>
      <c r="R150" s="16"/>
      <c r="S150" s="16"/>
      <c r="T150" s="6" t="s">
        <v>329</v>
      </c>
      <c r="U150" s="10" t="s">
        <v>53</v>
      </c>
    </row>
    <row r="151" spans="1:21">
      <c r="A151" s="5" t="s">
        <v>979</v>
      </c>
      <c r="B151" s="6" t="s">
        <v>186</v>
      </c>
      <c r="C151" s="6" t="s">
        <v>186</v>
      </c>
      <c r="D151" s="6" t="s">
        <v>968</v>
      </c>
      <c r="E151" s="6" t="s">
        <v>980</v>
      </c>
      <c r="F151" s="6" t="s">
        <v>321</v>
      </c>
      <c r="G151" s="13" t="str">
        <f>IFERROR(VLOOKUP(F151,CATÁLOGOS!$A$6:$B$105,2,FALSE),"")</f>
        <v>Nuestros productos</v>
      </c>
      <c r="H151" s="6" t="s">
        <v>970</v>
      </c>
      <c r="I151" s="13" t="str">
        <f>IFERROR(VLOOKUP(H151,CATÁLOGOS!$F$6:$H$305,3,FALSE),"")</f>
        <v>Desodorante para piso</v>
      </c>
      <c r="J151" s="6" t="s">
        <v>323</v>
      </c>
      <c r="K151" s="6" t="s">
        <v>981</v>
      </c>
      <c r="L151" s="6">
        <v>1056</v>
      </c>
      <c r="M151" s="6" t="s">
        <v>982</v>
      </c>
      <c r="N151" s="6" t="s">
        <v>983</v>
      </c>
      <c r="O151" s="6" t="s">
        <v>984</v>
      </c>
      <c r="P151" s="13" t="str">
        <f>IFERROR(VLOOKUP(O151,CATÁLOGOS!$L$6:$O$305,3,FALSE),"")</f>
        <v>Desodorante para piso pack x 6 unidades. Presentación: 1 pack. Fragancia: 1056.</v>
      </c>
      <c r="Q151" s="13" t="str">
        <f>IFERROR(VLOOKUP(O151,CATÁLOGOS!$L$6:$O$305,4,FALSE),"")</f>
        <v>Desodorante para piso. Limpia y perfuma pisos y superficies, dejando un aroma duradero y sensación de frescura en el hogar.</v>
      </c>
      <c r="R151" s="16"/>
      <c r="S151" s="16"/>
      <c r="T151" s="6" t="s">
        <v>329</v>
      </c>
      <c r="U151" s="10" t="s">
        <v>53</v>
      </c>
    </row>
    <row r="152" spans="1:21">
      <c r="A152" s="5" t="s">
        <v>985</v>
      </c>
      <c r="B152" s="6" t="s">
        <v>187</v>
      </c>
      <c r="C152" s="6" t="s">
        <v>187</v>
      </c>
      <c r="D152" s="6" t="s">
        <v>986</v>
      </c>
      <c r="E152" s="6" t="s">
        <v>969</v>
      </c>
      <c r="F152" s="6" t="s">
        <v>321</v>
      </c>
      <c r="G152" s="13" t="str">
        <f>IFERROR(VLOOKUP(F152,CATÁLOGOS!$A$6:$B$105,2,FALSE),"")</f>
        <v>Nuestros productos</v>
      </c>
      <c r="H152" s="6" t="s">
        <v>970</v>
      </c>
      <c r="I152" s="13" t="str">
        <f>IFERROR(VLOOKUP(H152,CATÁLOGOS!$F$6:$H$305,3,FALSE),"")</f>
        <v>Desodorante para piso</v>
      </c>
      <c r="J152" s="6" t="s">
        <v>323</v>
      </c>
      <c r="K152" s="6" t="s">
        <v>987</v>
      </c>
      <c r="L152" s="6" t="s">
        <v>988</v>
      </c>
      <c r="M152" s="6" t="s">
        <v>326</v>
      </c>
      <c r="N152" s="6" t="s">
        <v>989</v>
      </c>
      <c r="O152" s="6" t="s">
        <v>990</v>
      </c>
      <c r="P152" s="13" t="str">
        <f>IFERROR(VLOOKUP(O152,CATÁLOGOS!$L$6:$O$305,3,FALSE),"")</f>
        <v>Desodorante para piso x 5 litros. Presentación: 5 litros. Fragancia: Cherry.</v>
      </c>
      <c r="Q152" s="13" t="str">
        <f>IFERROR(VLOOKUP(O152,CATÁLOGOS!$L$6:$O$305,4,FALSE),"")</f>
        <v>Desodorante para piso. Limpia y perfuma pisos y superficies, dejando un aroma duradero y sensación de frescura en el hogar.</v>
      </c>
      <c r="R152" s="16"/>
      <c r="S152" s="16"/>
      <c r="T152" s="6" t="s">
        <v>329</v>
      </c>
      <c r="U152" s="10" t="s">
        <v>53</v>
      </c>
    </row>
    <row r="153" spans="1:21">
      <c r="A153" s="5" t="s">
        <v>991</v>
      </c>
      <c r="B153" s="6" t="s">
        <v>188</v>
      </c>
      <c r="C153" s="6" t="s">
        <v>188</v>
      </c>
      <c r="D153" s="6" t="s">
        <v>986</v>
      </c>
      <c r="E153" s="6" t="s">
        <v>975</v>
      </c>
      <c r="F153" s="6" t="s">
        <v>321</v>
      </c>
      <c r="G153" s="13" t="str">
        <f>IFERROR(VLOOKUP(F153,CATÁLOGOS!$A$6:$B$105,2,FALSE),"")</f>
        <v>Nuestros productos</v>
      </c>
      <c r="H153" s="6" t="s">
        <v>970</v>
      </c>
      <c r="I153" s="13" t="str">
        <f>IFERROR(VLOOKUP(H153,CATÁLOGOS!$F$6:$H$305,3,FALSE),"")</f>
        <v>Desodorante para piso</v>
      </c>
      <c r="J153" s="6" t="s">
        <v>323</v>
      </c>
      <c r="K153" s="6" t="s">
        <v>992</v>
      </c>
      <c r="L153" s="6" t="s">
        <v>988</v>
      </c>
      <c r="M153" s="6" t="s">
        <v>919</v>
      </c>
      <c r="N153" s="6" t="s">
        <v>993</v>
      </c>
      <c r="O153" s="6" t="s">
        <v>994</v>
      </c>
      <c r="P153" s="13" t="str">
        <f>IFERROR(VLOOKUP(O153,CATÁLOGOS!$L$6:$O$305,3,FALSE),"")</f>
        <v>Desodorante para piso x 1 litro. Presentación: 1 litro. Fragancia: Cherry.</v>
      </c>
      <c r="Q153" s="13" t="str">
        <f>IFERROR(VLOOKUP(O153,CATÁLOGOS!$L$6:$O$305,4,FALSE),"")</f>
        <v>Desodorante para piso. Limpia y perfuma pisos y superficies, dejando un aroma duradero y sensación de frescura en el hogar.</v>
      </c>
      <c r="R153" s="16"/>
      <c r="S153" s="16"/>
      <c r="T153" s="6" t="s">
        <v>329</v>
      </c>
      <c r="U153" s="10" t="s">
        <v>53</v>
      </c>
    </row>
    <row r="154" spans="1:21">
      <c r="A154" s="5" t="s">
        <v>995</v>
      </c>
      <c r="B154" s="6" t="s">
        <v>189</v>
      </c>
      <c r="C154" s="6" t="s">
        <v>189</v>
      </c>
      <c r="D154" s="6" t="s">
        <v>986</v>
      </c>
      <c r="E154" s="6" t="s">
        <v>980</v>
      </c>
      <c r="F154" s="6" t="s">
        <v>321</v>
      </c>
      <c r="G154" s="13" t="str">
        <f>IFERROR(VLOOKUP(F154,CATÁLOGOS!$A$6:$B$105,2,FALSE),"")</f>
        <v>Nuestros productos</v>
      </c>
      <c r="H154" s="6" t="s">
        <v>970</v>
      </c>
      <c r="I154" s="13" t="str">
        <f>IFERROR(VLOOKUP(H154,CATÁLOGOS!$F$6:$H$305,3,FALSE),"")</f>
        <v>Desodorante para piso</v>
      </c>
      <c r="J154" s="6" t="s">
        <v>323</v>
      </c>
      <c r="K154" s="6" t="s">
        <v>996</v>
      </c>
      <c r="L154" s="6" t="s">
        <v>988</v>
      </c>
      <c r="M154" s="6" t="s">
        <v>982</v>
      </c>
      <c r="N154" s="6" t="s">
        <v>997</v>
      </c>
      <c r="O154" s="6" t="s">
        <v>998</v>
      </c>
      <c r="P154" s="13" t="str">
        <f>IFERROR(VLOOKUP(O154,CATÁLOGOS!$L$6:$O$305,3,FALSE),"")</f>
        <v>Desodorante para piso pack x 6 unidades. Presentación: 1 pack. Fragancia: Cherry.</v>
      </c>
      <c r="Q154" s="13" t="str">
        <f>IFERROR(VLOOKUP(O154,CATÁLOGOS!$L$6:$O$305,4,FALSE),"")</f>
        <v>Desodorante para piso. Limpia y perfuma pisos y superficies, dejando un aroma duradero y sensación de frescura en el hogar.</v>
      </c>
      <c r="R154" s="16"/>
      <c r="S154" s="16"/>
      <c r="T154" s="6" t="s">
        <v>329</v>
      </c>
      <c r="U154" s="10" t="s">
        <v>53</v>
      </c>
    </row>
    <row r="155" spans="1:21">
      <c r="A155" s="5" t="s">
        <v>999</v>
      </c>
      <c r="B155" s="6" t="s">
        <v>190</v>
      </c>
      <c r="C155" s="6" t="s">
        <v>190</v>
      </c>
      <c r="D155" s="6" t="s">
        <v>1000</v>
      </c>
      <c r="E155" s="6" t="s">
        <v>969</v>
      </c>
      <c r="F155" s="6" t="s">
        <v>321</v>
      </c>
      <c r="G155" s="13" t="str">
        <f>IFERROR(VLOOKUP(F155,CATÁLOGOS!$A$6:$B$105,2,FALSE),"")</f>
        <v>Nuestros productos</v>
      </c>
      <c r="H155" s="6" t="s">
        <v>970</v>
      </c>
      <c r="I155" s="13" t="str">
        <f>IFERROR(VLOOKUP(H155,CATÁLOGOS!$F$6:$H$305,3,FALSE),"")</f>
        <v>Desodorante para piso</v>
      </c>
      <c r="J155" s="6" t="s">
        <v>323</v>
      </c>
      <c r="K155" s="6" t="s">
        <v>1001</v>
      </c>
      <c r="L155" s="6" t="s">
        <v>1002</v>
      </c>
      <c r="M155" s="6" t="s">
        <v>326</v>
      </c>
      <c r="N155" s="6" t="s">
        <v>1003</v>
      </c>
      <c r="O155" s="6" t="s">
        <v>1004</v>
      </c>
      <c r="P155" s="13" t="str">
        <f>IFERROR(VLOOKUP(O155,CATÁLOGOS!$L$6:$O$305,3,FALSE),"")</f>
        <v>Desodorante para piso x 5 litros. Presentación: 5 litros. Fragancia: pino.</v>
      </c>
      <c r="Q155" s="13" t="str">
        <f>IFERROR(VLOOKUP(O155,CATÁLOGOS!$L$6:$O$305,4,FALSE),"")</f>
        <v>Desodorante para piso. Limpia y perfuma pisos y superficies, dejando un aroma duradero y sensación de frescura en el hogar.</v>
      </c>
      <c r="R155" s="16"/>
      <c r="S155" s="16"/>
      <c r="T155" s="6" t="s">
        <v>329</v>
      </c>
      <c r="U155" s="10" t="s">
        <v>53</v>
      </c>
    </row>
    <row r="156" spans="1:21">
      <c r="A156" s="5" t="s">
        <v>1005</v>
      </c>
      <c r="B156" s="6" t="s">
        <v>191</v>
      </c>
      <c r="C156" s="6" t="s">
        <v>191</v>
      </c>
      <c r="D156" s="6" t="s">
        <v>1000</v>
      </c>
      <c r="E156" s="6" t="s">
        <v>975</v>
      </c>
      <c r="F156" s="6" t="s">
        <v>321</v>
      </c>
      <c r="G156" s="13" t="str">
        <f>IFERROR(VLOOKUP(F156,CATÁLOGOS!$A$6:$B$105,2,FALSE),"")</f>
        <v>Nuestros productos</v>
      </c>
      <c r="H156" s="6" t="s">
        <v>970</v>
      </c>
      <c r="I156" s="13" t="str">
        <f>IFERROR(VLOOKUP(H156,CATÁLOGOS!$F$6:$H$305,3,FALSE),"")</f>
        <v>Desodorante para piso</v>
      </c>
      <c r="J156" s="6" t="s">
        <v>323</v>
      </c>
      <c r="K156" s="6" t="s">
        <v>1006</v>
      </c>
      <c r="L156" s="6" t="s">
        <v>1002</v>
      </c>
      <c r="M156" s="6" t="s">
        <v>919</v>
      </c>
      <c r="N156" s="6" t="s">
        <v>1007</v>
      </c>
      <c r="O156" s="6" t="s">
        <v>1008</v>
      </c>
      <c r="P156" s="13" t="str">
        <f>IFERROR(VLOOKUP(O156,CATÁLOGOS!$L$6:$O$305,3,FALSE),"")</f>
        <v>Desodorante para piso x 1 litro. Presentación: 1 litro. Fragancia: pino.</v>
      </c>
      <c r="Q156" s="13" t="str">
        <f>IFERROR(VLOOKUP(O156,CATÁLOGOS!$L$6:$O$305,4,FALSE),"")</f>
        <v>Desodorante para piso. Limpia y perfuma pisos y superficies, dejando un aroma duradero y sensación de frescura en el hogar.</v>
      </c>
      <c r="R156" s="16"/>
      <c r="S156" s="16"/>
      <c r="T156" s="6" t="s">
        <v>329</v>
      </c>
      <c r="U156" s="10" t="s">
        <v>53</v>
      </c>
    </row>
    <row r="157" spans="1:21">
      <c r="A157" s="5" t="s">
        <v>1009</v>
      </c>
      <c r="B157" s="6" t="s">
        <v>192</v>
      </c>
      <c r="C157" s="6" t="s">
        <v>192</v>
      </c>
      <c r="D157" s="6" t="s">
        <v>1000</v>
      </c>
      <c r="E157" s="6" t="s">
        <v>980</v>
      </c>
      <c r="F157" s="6" t="s">
        <v>321</v>
      </c>
      <c r="G157" s="13" t="str">
        <f>IFERROR(VLOOKUP(F157,CATÁLOGOS!$A$6:$B$105,2,FALSE),"")</f>
        <v>Nuestros productos</v>
      </c>
      <c r="H157" s="6" t="s">
        <v>970</v>
      </c>
      <c r="I157" s="13" t="str">
        <f>IFERROR(VLOOKUP(H157,CATÁLOGOS!$F$6:$H$305,3,FALSE),"")</f>
        <v>Desodorante para piso</v>
      </c>
      <c r="J157" s="6" t="s">
        <v>323</v>
      </c>
      <c r="K157" s="6" t="s">
        <v>1010</v>
      </c>
      <c r="L157" s="6" t="s">
        <v>1002</v>
      </c>
      <c r="M157" s="6" t="s">
        <v>982</v>
      </c>
      <c r="N157" s="6" t="s">
        <v>1011</v>
      </c>
      <c r="O157" s="6" t="s">
        <v>1012</v>
      </c>
      <c r="P157" s="13" t="str">
        <f>IFERROR(VLOOKUP(O157,CATÁLOGOS!$L$6:$O$305,3,FALSE),"")</f>
        <v>Desodorante para piso pack x 6 unidades. Presentación: 1 pack. Fragancia: pino.</v>
      </c>
      <c r="Q157" s="13" t="str">
        <f>IFERROR(VLOOKUP(O157,CATÁLOGOS!$L$6:$O$305,4,FALSE),"")</f>
        <v>Desodorante para piso. Limpia y perfuma pisos y superficies, dejando un aroma duradero y sensación de frescura en el hogar.</v>
      </c>
      <c r="R157" s="16"/>
      <c r="S157" s="16"/>
      <c r="T157" s="6" t="s">
        <v>329</v>
      </c>
      <c r="U157" s="10" t="s">
        <v>53</v>
      </c>
    </row>
    <row r="158" spans="1:21">
      <c r="A158" s="5" t="s">
        <v>1013</v>
      </c>
      <c r="B158" s="6" t="s">
        <v>193</v>
      </c>
      <c r="C158" s="6" t="s">
        <v>193</v>
      </c>
      <c r="D158" s="6" t="s">
        <v>1014</v>
      </c>
      <c r="E158" s="6" t="s">
        <v>969</v>
      </c>
      <c r="F158" s="6" t="s">
        <v>321</v>
      </c>
      <c r="G158" s="13" t="str">
        <f>IFERROR(VLOOKUP(F158,CATÁLOGOS!$A$6:$B$105,2,FALSE),"")</f>
        <v>Nuestros productos</v>
      </c>
      <c r="H158" s="6" t="s">
        <v>970</v>
      </c>
      <c r="I158" s="13" t="str">
        <f>IFERROR(VLOOKUP(H158,CATÁLOGOS!$F$6:$H$305,3,FALSE),"")</f>
        <v>Desodorante para piso</v>
      </c>
      <c r="J158" s="6" t="s">
        <v>323</v>
      </c>
      <c r="K158" s="6" t="s">
        <v>1015</v>
      </c>
      <c r="L158" s="6" t="s">
        <v>779</v>
      </c>
      <c r="M158" s="6" t="s">
        <v>326</v>
      </c>
      <c r="N158" s="6" t="s">
        <v>1016</v>
      </c>
      <c r="O158" s="6" t="s">
        <v>1017</v>
      </c>
      <c r="P158" s="13" t="str">
        <f>IFERROR(VLOOKUP(O158,CATÁLOGOS!$L$6:$O$305,3,FALSE),"")</f>
        <v>Desodorante para piso x 5 litros. Presentación: 5 litros. Fragancia: lavanda.</v>
      </c>
      <c r="Q158" s="13" t="str">
        <f>IFERROR(VLOOKUP(O158,CATÁLOGOS!$L$6:$O$305,4,FALSE),"")</f>
        <v>Desodorante para piso. Limpia y perfuma pisos y superficies, dejando un aroma duradero y sensación de frescura en el hogar.</v>
      </c>
      <c r="R158" s="16"/>
      <c r="S158" s="16"/>
      <c r="T158" s="6" t="s">
        <v>329</v>
      </c>
      <c r="U158" s="10" t="s">
        <v>53</v>
      </c>
    </row>
    <row r="159" spans="1:21">
      <c r="A159" s="5" t="s">
        <v>1018</v>
      </c>
      <c r="B159" s="6" t="s">
        <v>194</v>
      </c>
      <c r="C159" s="6" t="s">
        <v>194</v>
      </c>
      <c r="D159" s="6" t="s">
        <v>1014</v>
      </c>
      <c r="E159" s="6" t="s">
        <v>975</v>
      </c>
      <c r="F159" s="6" t="s">
        <v>321</v>
      </c>
      <c r="G159" s="13" t="str">
        <f>IFERROR(VLOOKUP(F159,CATÁLOGOS!$A$6:$B$105,2,FALSE),"")</f>
        <v>Nuestros productos</v>
      </c>
      <c r="H159" s="6" t="s">
        <v>970</v>
      </c>
      <c r="I159" s="13" t="str">
        <f>IFERROR(VLOOKUP(H159,CATÁLOGOS!$F$6:$H$305,3,FALSE),"")</f>
        <v>Desodorante para piso</v>
      </c>
      <c r="J159" s="6" t="s">
        <v>323</v>
      </c>
      <c r="K159" s="6" t="s">
        <v>1019</v>
      </c>
      <c r="L159" s="6" t="s">
        <v>779</v>
      </c>
      <c r="M159" s="6" t="s">
        <v>919</v>
      </c>
      <c r="N159" s="6" t="s">
        <v>1020</v>
      </c>
      <c r="O159" s="6" t="s">
        <v>1021</v>
      </c>
      <c r="P159" s="13" t="str">
        <f>IFERROR(VLOOKUP(O159,CATÁLOGOS!$L$6:$O$305,3,FALSE),"")</f>
        <v>Desodorante para piso x 1 litro. Presentación: 1 litro. Fragancia: lavanda.</v>
      </c>
      <c r="Q159" s="13" t="str">
        <f>IFERROR(VLOOKUP(O159,CATÁLOGOS!$L$6:$O$305,4,FALSE),"")</f>
        <v>Desodorante para piso. Limpia y perfuma pisos y superficies, dejando un aroma duradero y sensación de frescura en el hogar.</v>
      </c>
      <c r="R159" s="16"/>
      <c r="S159" s="16"/>
      <c r="T159" s="6" t="s">
        <v>329</v>
      </c>
      <c r="U159" s="10" t="s">
        <v>53</v>
      </c>
    </row>
    <row r="160" spans="1:21">
      <c r="A160" s="5" t="s">
        <v>1022</v>
      </c>
      <c r="B160" s="6" t="s">
        <v>195</v>
      </c>
      <c r="C160" s="6" t="s">
        <v>195</v>
      </c>
      <c r="D160" s="6" t="s">
        <v>1014</v>
      </c>
      <c r="E160" s="6" t="s">
        <v>980</v>
      </c>
      <c r="F160" s="6" t="s">
        <v>321</v>
      </c>
      <c r="G160" s="13" t="str">
        <f>IFERROR(VLOOKUP(F160,CATÁLOGOS!$A$6:$B$105,2,FALSE),"")</f>
        <v>Nuestros productos</v>
      </c>
      <c r="H160" s="6" t="s">
        <v>970</v>
      </c>
      <c r="I160" s="13" t="str">
        <f>IFERROR(VLOOKUP(H160,CATÁLOGOS!$F$6:$H$305,3,FALSE),"")</f>
        <v>Desodorante para piso</v>
      </c>
      <c r="J160" s="6" t="s">
        <v>323</v>
      </c>
      <c r="K160" s="6" t="s">
        <v>1023</v>
      </c>
      <c r="L160" s="6" t="s">
        <v>779</v>
      </c>
      <c r="M160" s="6" t="s">
        <v>982</v>
      </c>
      <c r="N160" s="6" t="s">
        <v>1024</v>
      </c>
      <c r="O160" s="6" t="s">
        <v>1025</v>
      </c>
      <c r="P160" s="13" t="str">
        <f>IFERROR(VLOOKUP(O160,CATÁLOGOS!$L$6:$O$305,3,FALSE),"")</f>
        <v>Desodorante para piso pack x 6 unidades. Presentación: 1 pack. Fragancia: lavanda.</v>
      </c>
      <c r="Q160" s="13" t="str">
        <f>IFERROR(VLOOKUP(O160,CATÁLOGOS!$L$6:$O$305,4,FALSE),"")</f>
        <v>Desodorante para piso. Limpia y perfuma pisos y superficies, dejando un aroma duradero y sensación de frescura en el hogar.</v>
      </c>
      <c r="R160" s="16"/>
      <c r="S160" s="16"/>
      <c r="T160" s="6" t="s">
        <v>329</v>
      </c>
      <c r="U160" s="10" t="s">
        <v>53</v>
      </c>
    </row>
    <row r="161" spans="1:21">
      <c r="A161" s="5" t="s">
        <v>1026</v>
      </c>
      <c r="B161" s="6" t="s">
        <v>196</v>
      </c>
      <c r="C161" s="6" t="s">
        <v>196</v>
      </c>
      <c r="D161" s="6" t="s">
        <v>1027</v>
      </c>
      <c r="E161" s="6" t="s">
        <v>1028</v>
      </c>
      <c r="F161" s="6" t="s">
        <v>394</v>
      </c>
      <c r="G161" s="13" t="str">
        <f>IFERROR(VLOOKUP(F161,CATÁLOGOS!$A$6:$B$105,2,FALSE),"")</f>
        <v>🧰 Accesorios y equipamiento</v>
      </c>
      <c r="H161" s="6" t="s">
        <v>1029</v>
      </c>
      <c r="I161" s="13" t="str">
        <f>IFERROR(VLOOKUP(H161,CATÁLOGOS!$F$6:$H$305,3,FALSE),"")</f>
        <v>Cabos y mangos</v>
      </c>
      <c r="J161" s="6" t="s">
        <v>323</v>
      </c>
      <c r="K161" s="6" t="s">
        <v>1030</v>
      </c>
      <c r="L161" s="6" t="s">
        <v>1031</v>
      </c>
      <c r="M161" s="6" t="s">
        <v>397</v>
      </c>
      <c r="N161" s="6" t="s">
        <v>1032</v>
      </c>
      <c r="O161" s="6" t="s">
        <v>1033</v>
      </c>
      <c r="P161" s="13" t="str">
        <f>IFERROR(VLOOKUP(O161,CATÁLOGOS!$L$6:$O$305,3,FALSE),"")</f>
        <v>Cabo de madera de 1,2 Metros. Presentación: 1 unidad.</v>
      </c>
      <c r="Q161" s="13" t="str">
        <f>IFERROR(VLOOKUP(O161,CATÁLOGOS!$L$6:$O$305,4,FALSE),"")</f>
        <v>Cabos y mangos. Accesorio resistente y práctico, pensado para facilitar las tareas de limpieza del hogar. Disponible en múltiples fragancias a elección.</v>
      </c>
      <c r="R161" s="16"/>
      <c r="S161" s="16"/>
      <c r="T161" s="6" t="s">
        <v>329</v>
      </c>
      <c r="U161" s="10" t="s">
        <v>53</v>
      </c>
    </row>
    <row r="162" spans="1:21">
      <c r="A162" s="5" t="s">
        <v>1034</v>
      </c>
      <c r="B162" s="6" t="s">
        <v>197</v>
      </c>
      <c r="C162" s="6" t="s">
        <v>197</v>
      </c>
      <c r="D162" s="6" t="s">
        <v>1027</v>
      </c>
      <c r="E162" s="6" t="s">
        <v>1035</v>
      </c>
      <c r="F162" s="6" t="s">
        <v>394</v>
      </c>
      <c r="G162" s="13" t="str">
        <f>IFERROR(VLOOKUP(F162,CATÁLOGOS!$A$6:$B$105,2,FALSE),"")</f>
        <v>🧰 Accesorios y equipamiento</v>
      </c>
      <c r="H162" s="6" t="s">
        <v>1029</v>
      </c>
      <c r="I162" s="13" t="str">
        <f>IFERROR(VLOOKUP(H162,CATÁLOGOS!$F$6:$H$305,3,FALSE),"")</f>
        <v>Cabos y mangos</v>
      </c>
      <c r="J162" s="6" t="s">
        <v>323</v>
      </c>
      <c r="K162" s="6" t="s">
        <v>1036</v>
      </c>
      <c r="L162" s="6" t="s">
        <v>1037</v>
      </c>
      <c r="M162" s="6" t="s">
        <v>397</v>
      </c>
      <c r="N162" s="6" t="s">
        <v>1038</v>
      </c>
      <c r="O162" s="6" t="s">
        <v>1039</v>
      </c>
      <c r="P162" s="13" t="str">
        <f>IFERROR(VLOOKUP(O162,CATÁLOGOS!$L$6:$O$305,3,FALSE),"")</f>
        <v>Cabo de madera de 1,5 Metros. Presentación: 1 unidad.</v>
      </c>
      <c r="Q162" s="13" t="str">
        <f>IFERROR(VLOOKUP(O162,CATÁLOGOS!$L$6:$O$305,4,FALSE),"")</f>
        <v>Cabos y mangos. Accesorio resistente y práctico, pensado para facilitar las tareas de limpieza del hogar. Disponible en múltiples fragancias a elección.</v>
      </c>
      <c r="R162" s="16"/>
      <c r="S162" s="16"/>
      <c r="T162" s="6" t="s">
        <v>329</v>
      </c>
      <c r="U162" s="10" t="s">
        <v>53</v>
      </c>
    </row>
    <row r="163" spans="1:21">
      <c r="A163" s="5" t="s">
        <v>1040</v>
      </c>
      <c r="B163" s="6" t="s">
        <v>198</v>
      </c>
      <c r="C163" s="6" t="s">
        <v>198</v>
      </c>
      <c r="D163" s="6" t="s">
        <v>1027</v>
      </c>
      <c r="E163" s="6" t="s">
        <v>1041</v>
      </c>
      <c r="F163" s="6" t="s">
        <v>394</v>
      </c>
      <c r="G163" s="13" t="str">
        <f>IFERROR(VLOOKUP(F163,CATÁLOGOS!$A$6:$B$105,2,FALSE),"")</f>
        <v>🧰 Accesorios y equipamiento</v>
      </c>
      <c r="H163" s="6" t="s">
        <v>1029</v>
      </c>
      <c r="I163" s="13" t="str">
        <f>IFERROR(VLOOKUP(H163,CATÁLOGOS!$F$6:$H$305,3,FALSE),"")</f>
        <v>Cabos y mangos</v>
      </c>
      <c r="J163" s="6" t="s">
        <v>323</v>
      </c>
      <c r="K163" s="6" t="s">
        <v>1042</v>
      </c>
      <c r="L163" s="6" t="s">
        <v>1043</v>
      </c>
      <c r="M163" s="6" t="s">
        <v>397</v>
      </c>
      <c r="N163" s="6" t="s">
        <v>1044</v>
      </c>
      <c r="O163" s="6" t="s">
        <v>1045</v>
      </c>
      <c r="P163" s="13" t="str">
        <f>IFERROR(VLOOKUP(O163,CATÁLOGOS!$L$6:$O$305,3,FALSE),"")</f>
        <v>Cabo de madera de 2 Metros. Presentación: 1 unidad. Fragancia: 2 Metros.</v>
      </c>
      <c r="Q163" s="13" t="str">
        <f>IFERROR(VLOOKUP(O163,CATÁLOGOS!$L$6:$O$305,4,FALSE),"")</f>
        <v>Cabos y mangos. Accesorio resistente y práctico, pensado para facilitar las tareas de limpieza del hogar.</v>
      </c>
      <c r="R163" s="16"/>
      <c r="S163" s="16"/>
      <c r="T163" s="6" t="s">
        <v>329</v>
      </c>
      <c r="U163" s="10" t="s">
        <v>53</v>
      </c>
    </row>
    <row r="164" spans="1:21">
      <c r="A164" s="5" t="s">
        <v>1046</v>
      </c>
      <c r="B164" s="6" t="s">
        <v>199</v>
      </c>
      <c r="C164" s="6" t="s">
        <v>199</v>
      </c>
      <c r="D164" s="6"/>
      <c r="E164" s="6"/>
      <c r="F164" s="6" t="s">
        <v>394</v>
      </c>
      <c r="G164" s="13" t="str">
        <f>IFERROR(VLOOKUP(F164,CATÁLOGOS!$A$6:$B$105,2,FALSE),"")</f>
        <v>🧰 Accesorios y equipamiento</v>
      </c>
      <c r="H164" s="6" t="s">
        <v>1029</v>
      </c>
      <c r="I164" s="13" t="str">
        <f>IFERROR(VLOOKUP(H164,CATÁLOGOS!$F$6:$H$305,3,FALSE),"")</f>
        <v>Cabos y mangos</v>
      </c>
      <c r="J164" s="6" t="s">
        <v>323</v>
      </c>
      <c r="K164" s="6" t="s">
        <v>1047</v>
      </c>
      <c r="L164" s="6"/>
      <c r="M164" s="6" t="s">
        <v>397</v>
      </c>
      <c r="N164" s="6" t="s">
        <v>1048</v>
      </c>
      <c r="O164" s="6" t="s">
        <v>1049</v>
      </c>
      <c r="P164" s="13" t="str">
        <f>IFERROR(VLOOKUP(O164,CATÁLOGOS!$L$6:$O$305,3,FALSE),"")</f>
        <v>Cabo de metal make. Presentación: 1 unidad.</v>
      </c>
      <c r="Q164" s="13" t="str">
        <f>IFERROR(VLOOKUP(O164,CATÁLOGOS!$L$6:$O$305,4,FALSE),"")</f>
        <v>Cabos y mangos. Accesorio resistente y práctico, pensado para facilitar las tareas de limpieza del hogar.</v>
      </c>
      <c r="R164" s="16"/>
      <c r="S164" s="16"/>
      <c r="T164" s="6" t="s">
        <v>329</v>
      </c>
      <c r="U164" s="10" t="s">
        <v>53</v>
      </c>
    </row>
    <row r="165" spans="1:21">
      <c r="A165" s="5" t="s">
        <v>1050</v>
      </c>
      <c r="B165" s="6" t="s">
        <v>200</v>
      </c>
      <c r="C165" s="6" t="s">
        <v>200</v>
      </c>
      <c r="D165" s="6"/>
      <c r="E165" s="6"/>
      <c r="F165" s="6" t="s">
        <v>394</v>
      </c>
      <c r="G165" s="13" t="str">
        <f>IFERROR(VLOOKUP(F165,CATÁLOGOS!$A$6:$B$105,2,FALSE),"")</f>
        <v>🧰 Accesorios y equipamiento</v>
      </c>
      <c r="H165" s="6" t="s">
        <v>1029</v>
      </c>
      <c r="I165" s="13" t="str">
        <f>IFERROR(VLOOKUP(H165,CATÁLOGOS!$F$6:$H$305,3,FALSE),"")</f>
        <v>Cabos y mangos</v>
      </c>
      <c r="J165" s="6" t="s">
        <v>323</v>
      </c>
      <c r="K165" s="6" t="s">
        <v>1051</v>
      </c>
      <c r="L165" s="6"/>
      <c r="M165" s="6" t="s">
        <v>397</v>
      </c>
      <c r="N165" s="6" t="s">
        <v>1052</v>
      </c>
      <c r="O165" s="6" t="s">
        <v>1053</v>
      </c>
      <c r="P165" s="13" t="str">
        <f>IFERROR(VLOOKUP(O165,CATÁLOGOS!$L$6:$O$305,3,FALSE),"")</f>
        <v>Cabo Saca Hojas. Presentación: 1 unidad.</v>
      </c>
      <c r="Q165" s="13" t="str">
        <f>IFERROR(VLOOKUP(O165,CATÁLOGOS!$L$6:$O$305,4,FALSE),"")</f>
        <v>Cabos y mangos. Accesorio resistente y práctico, pensado para facilitar las tareas de limpieza del hogar.</v>
      </c>
      <c r="R165" s="16"/>
      <c r="S165" s="16"/>
      <c r="T165" s="6" t="s">
        <v>329</v>
      </c>
      <c r="U165" s="10" t="s">
        <v>53</v>
      </c>
    </row>
    <row r="166" spans="1:21">
      <c r="A166" s="5" t="s">
        <v>1054</v>
      </c>
      <c r="B166" s="6" t="s">
        <v>201</v>
      </c>
      <c r="C166" s="6" t="s">
        <v>201</v>
      </c>
      <c r="D166" s="6"/>
      <c r="E166" s="6"/>
      <c r="F166" s="6" t="s">
        <v>394</v>
      </c>
      <c r="G166" s="13" t="str">
        <f>IFERROR(VLOOKUP(F166,CATÁLOGOS!$A$6:$B$105,2,FALSE),"")</f>
        <v>🧰 Accesorios y equipamiento</v>
      </c>
      <c r="H166" s="6" t="s">
        <v>1029</v>
      </c>
      <c r="I166" s="13" t="str">
        <f>IFERROR(VLOOKUP(H166,CATÁLOGOS!$F$6:$H$305,3,FALSE),"")</f>
        <v>Cabos y mangos</v>
      </c>
      <c r="J166" s="6" t="s">
        <v>323</v>
      </c>
      <c r="K166" s="6" t="s">
        <v>1055</v>
      </c>
      <c r="L166" s="6"/>
      <c r="M166" s="6" t="s">
        <v>397</v>
      </c>
      <c r="N166" s="6" t="s">
        <v>1056</v>
      </c>
      <c r="O166" s="6" t="s">
        <v>1057</v>
      </c>
      <c r="P166" s="13" t="str">
        <f>IFERROR(VLOOKUP(O166,CATÁLOGOS!$L$6:$O$305,3,FALSE),"")</f>
        <v>Cabo extensible 2 metros. Presentación: 1 unidad.</v>
      </c>
      <c r="Q166" s="13" t="str">
        <f>IFERROR(VLOOKUP(O166,CATÁLOGOS!$L$6:$O$305,4,FALSE),"")</f>
        <v>Cabos y mangos. Accesorio resistente y práctico, pensado para facilitar las tareas de limpieza del hogar.</v>
      </c>
      <c r="R166" s="16"/>
      <c r="S166" s="16"/>
      <c r="T166" s="6" t="s">
        <v>329</v>
      </c>
      <c r="U166" s="10" t="s">
        <v>53</v>
      </c>
    </row>
    <row r="167" spans="1:21">
      <c r="A167" s="5" t="s">
        <v>1058</v>
      </c>
      <c r="B167" s="6" t="s">
        <v>202</v>
      </c>
      <c r="C167" s="6" t="s">
        <v>202</v>
      </c>
      <c r="D167" s="6"/>
      <c r="E167" s="6"/>
      <c r="F167" s="6" t="s">
        <v>394</v>
      </c>
      <c r="G167" s="13" t="str">
        <f>IFERROR(VLOOKUP(F167,CATÁLOGOS!$A$6:$B$105,2,FALSE),"")</f>
        <v>🧰 Accesorios y equipamiento</v>
      </c>
      <c r="H167" s="6" t="s">
        <v>1029</v>
      </c>
      <c r="I167" s="13" t="str">
        <f>IFERROR(VLOOKUP(H167,CATÁLOGOS!$F$6:$H$305,3,FALSE),"")</f>
        <v>Cabos y mangos</v>
      </c>
      <c r="J167" s="6" t="s">
        <v>323</v>
      </c>
      <c r="K167" s="6" t="s">
        <v>1059</v>
      </c>
      <c r="L167" s="6"/>
      <c r="M167" s="6" t="s">
        <v>397</v>
      </c>
      <c r="N167" s="6" t="s">
        <v>1060</v>
      </c>
      <c r="O167" s="6" t="s">
        <v>1061</v>
      </c>
      <c r="P167" s="13" t="str">
        <f>IFERROR(VLOOKUP(O167,CATÁLOGOS!$L$6:$O$305,3,FALSE),"")</f>
        <v>Cabo extensible 3 metros. Presentación: 1 unidad.</v>
      </c>
      <c r="Q167" s="13" t="str">
        <f>IFERROR(VLOOKUP(O167,CATÁLOGOS!$L$6:$O$305,4,FALSE),"")</f>
        <v>Cabos y mangos. Accesorio resistente y práctico, pensado para facilitar las tareas de limpieza del hogar.</v>
      </c>
      <c r="R167" s="16"/>
      <c r="S167" s="16"/>
      <c r="T167" s="6" t="s">
        <v>329</v>
      </c>
      <c r="U167" s="10" t="s">
        <v>53</v>
      </c>
    </row>
    <row r="168" spans="1:21">
      <c r="A168" s="5" t="s">
        <v>1062</v>
      </c>
      <c r="B168" s="6" t="s">
        <v>203</v>
      </c>
      <c r="C168" s="6" t="s">
        <v>203</v>
      </c>
      <c r="D168" s="6"/>
      <c r="E168" s="6"/>
      <c r="F168" s="6" t="s">
        <v>394</v>
      </c>
      <c r="G168" s="13" t="str">
        <f>IFERROR(VLOOKUP(F168,CATÁLOGOS!$A$6:$B$105,2,FALSE),"")</f>
        <v>🧰 Accesorios y equipamiento</v>
      </c>
      <c r="H168" s="6" t="s">
        <v>1063</v>
      </c>
      <c r="I168" s="13" t="str">
        <f>IFERROR(VLOOKUP(H168,CATÁLOGOS!$F$6:$H$305,3,FALSE),"")</f>
        <v>Esponjas</v>
      </c>
      <c r="J168" s="6" t="s">
        <v>1064</v>
      </c>
      <c r="K168" s="6" t="s">
        <v>1065</v>
      </c>
      <c r="L168" s="6"/>
      <c r="M168" s="6" t="s">
        <v>397</v>
      </c>
      <c r="N168" s="6" t="s">
        <v>1066</v>
      </c>
      <c r="O168" s="6" t="s">
        <v>1067</v>
      </c>
      <c r="P168" s="13" t="str">
        <f>IFERROR(VLOOKUP(O168,CATÁLOGOS!$L$6:$O$305,3,FALSE),"")</f>
        <v>Esponja de acero 10 Gr. Presentación: 1 unidad.</v>
      </c>
      <c r="Q168" s="13" t="str">
        <f>IFERROR(VLOOKUP(O168,CATÁLOGOS!$L$6:$O$305,4,FALSE),"")</f>
        <v>Esponjas. Accesorio resistente y práctico, pensado para facilitar las tareas de limpieza del hogar.</v>
      </c>
      <c r="R168" s="16"/>
      <c r="S168" s="16"/>
      <c r="T168" s="6" t="s">
        <v>329</v>
      </c>
      <c r="U168" s="10" t="s">
        <v>53</v>
      </c>
    </row>
    <row r="169" spans="1:21">
      <c r="A169" s="5" t="s">
        <v>1068</v>
      </c>
      <c r="B169" s="6" t="s">
        <v>204</v>
      </c>
      <c r="C169" s="6" t="s">
        <v>204</v>
      </c>
      <c r="D169" s="6"/>
      <c r="E169" s="6"/>
      <c r="F169" s="6" t="s">
        <v>394</v>
      </c>
      <c r="G169" s="13" t="str">
        <f>IFERROR(VLOOKUP(F169,CATÁLOGOS!$A$6:$B$105,2,FALSE),"")</f>
        <v>🧰 Accesorios y equipamiento</v>
      </c>
      <c r="H169" s="6" t="s">
        <v>1063</v>
      </c>
      <c r="I169" s="13" t="str">
        <f>IFERROR(VLOOKUP(H169,CATÁLOGOS!$F$6:$H$305,3,FALSE),"")</f>
        <v>Esponjas</v>
      </c>
      <c r="J169" s="6" t="s">
        <v>1064</v>
      </c>
      <c r="K169" s="6" t="s">
        <v>1069</v>
      </c>
      <c r="L169" s="6"/>
      <c r="M169" s="6" t="s">
        <v>397</v>
      </c>
      <c r="N169" s="6" t="s">
        <v>1070</v>
      </c>
      <c r="O169" s="6" t="s">
        <v>1071</v>
      </c>
      <c r="P169" s="13" t="str">
        <f>IFERROR(VLOOKUP(O169,CATÁLOGOS!$L$6:$O$305,3,FALSE),"")</f>
        <v>Esponja dorada de 30 Gr. Presentación: 1 unidad.</v>
      </c>
      <c r="Q169" s="13" t="str">
        <f>IFERROR(VLOOKUP(O169,CATÁLOGOS!$L$6:$O$305,4,FALSE),"")</f>
        <v>Esponjas. Accesorio resistente y práctico, pensado para facilitar las tareas de limpieza del hogar.</v>
      </c>
      <c r="R169" s="16"/>
      <c r="S169" s="16"/>
      <c r="T169" s="6" t="s">
        <v>329</v>
      </c>
      <c r="U169" s="10" t="s">
        <v>53</v>
      </c>
    </row>
    <row r="170" spans="1:21">
      <c r="A170" s="5" t="s">
        <v>1072</v>
      </c>
      <c r="B170" s="6" t="s">
        <v>205</v>
      </c>
      <c r="C170" s="6" t="s">
        <v>205</v>
      </c>
      <c r="D170" s="6"/>
      <c r="E170" s="6"/>
      <c r="F170" s="6" t="s">
        <v>394</v>
      </c>
      <c r="G170" s="13" t="str">
        <f>IFERROR(VLOOKUP(F170,CATÁLOGOS!$A$6:$B$105,2,FALSE),"")</f>
        <v>🧰 Accesorios y equipamiento</v>
      </c>
      <c r="H170" s="6" t="s">
        <v>1063</v>
      </c>
      <c r="I170" s="13" t="str">
        <f>IFERROR(VLOOKUP(H170,CATÁLOGOS!$F$6:$H$305,3,FALSE),"")</f>
        <v>Esponjas</v>
      </c>
      <c r="J170" s="6" t="s">
        <v>1064</v>
      </c>
      <c r="K170" s="6" t="s">
        <v>1073</v>
      </c>
      <c r="L170" s="6"/>
      <c r="M170" s="6" t="s">
        <v>397</v>
      </c>
      <c r="N170" s="6" t="s">
        <v>1074</v>
      </c>
      <c r="O170" s="6" t="s">
        <v>1075</v>
      </c>
      <c r="P170" s="13" t="str">
        <f>IFERROR(VLOOKUP(O170,CATÁLOGOS!$L$6:$O$305,3,FALSE),"")</f>
        <v>Esponja azul para teflon. Presentación: 1 unidad.</v>
      </c>
      <c r="Q170" s="13" t="str">
        <f>IFERROR(VLOOKUP(O170,CATÁLOGOS!$L$6:$O$305,4,FALSE),"")</f>
        <v>Esponjas. Accesorio resistente y práctico, pensado para facilitar las tareas de limpieza del hogar.</v>
      </c>
      <c r="R170" s="16"/>
      <c r="S170" s="16"/>
      <c r="T170" s="6" t="s">
        <v>329</v>
      </c>
      <c r="U170" s="10" t="s">
        <v>53</v>
      </c>
    </row>
    <row r="171" spans="1:21">
      <c r="A171" s="5" t="s">
        <v>1076</v>
      </c>
      <c r="B171" s="6" t="s">
        <v>206</v>
      </c>
      <c r="C171" s="6" t="s">
        <v>206</v>
      </c>
      <c r="D171" s="6"/>
      <c r="E171" s="6"/>
      <c r="F171" s="6" t="s">
        <v>394</v>
      </c>
      <c r="G171" s="13" t="str">
        <f>IFERROR(VLOOKUP(F171,CATÁLOGOS!$A$6:$B$105,2,FALSE),"")</f>
        <v>🧰 Accesorios y equipamiento</v>
      </c>
      <c r="H171" s="6" t="s">
        <v>1063</v>
      </c>
      <c r="I171" s="13" t="str">
        <f>IFERROR(VLOOKUP(H171,CATÁLOGOS!$F$6:$H$305,3,FALSE),"")</f>
        <v>Esponjas</v>
      </c>
      <c r="J171" s="6" t="s">
        <v>1064</v>
      </c>
      <c r="K171" s="6" t="s">
        <v>1077</v>
      </c>
      <c r="L171" s="6"/>
      <c r="M171" s="6" t="s">
        <v>982</v>
      </c>
      <c r="N171" s="6" t="s">
        <v>1078</v>
      </c>
      <c r="O171" s="6" t="s">
        <v>1079</v>
      </c>
      <c r="P171" s="13" t="str">
        <f>IFERROR(VLOOKUP(O171,CATÁLOGOS!$L$6:$O$305,3,FALSE),"")</f>
        <v>Esponja de acero 10 Gr pack de 12 unidades. Presentación: 1 pack.</v>
      </c>
      <c r="Q171" s="13" t="str">
        <f>IFERROR(VLOOKUP(O171,CATÁLOGOS!$L$6:$O$305,4,FALSE),"")</f>
        <v>Esponjas. Accesorio resistente y práctico, pensado para facilitar las tareas de limpieza del hogar.</v>
      </c>
      <c r="R171" s="16"/>
      <c r="S171" s="16"/>
      <c r="T171" s="6" t="s">
        <v>329</v>
      </c>
      <c r="U171" s="10" t="s">
        <v>53</v>
      </c>
    </row>
    <row r="172" spans="1:21">
      <c r="A172" s="5" t="s">
        <v>1080</v>
      </c>
      <c r="B172" s="6" t="s">
        <v>207</v>
      </c>
      <c r="C172" s="6" t="s">
        <v>207</v>
      </c>
      <c r="D172" s="6"/>
      <c r="E172" s="6"/>
      <c r="F172" s="6" t="s">
        <v>394</v>
      </c>
      <c r="G172" s="13" t="str">
        <f>IFERROR(VLOOKUP(F172,CATÁLOGOS!$A$6:$B$105,2,FALSE),"")</f>
        <v>🧰 Accesorios y equipamiento</v>
      </c>
      <c r="H172" s="6" t="s">
        <v>1063</v>
      </c>
      <c r="I172" s="13" t="str">
        <f>IFERROR(VLOOKUP(H172,CATÁLOGOS!$F$6:$H$305,3,FALSE),"")</f>
        <v>Esponjas</v>
      </c>
      <c r="J172" s="6" t="s">
        <v>1064</v>
      </c>
      <c r="K172" s="6" t="s">
        <v>1081</v>
      </c>
      <c r="L172" s="6"/>
      <c r="M172" s="6" t="s">
        <v>982</v>
      </c>
      <c r="N172" s="6" t="s">
        <v>1082</v>
      </c>
      <c r="O172" s="6" t="s">
        <v>1083</v>
      </c>
      <c r="P172" s="13" t="str">
        <f>IFERROR(VLOOKUP(O172,CATÁLOGOS!$L$6:$O$305,3,FALSE),"")</f>
        <v>Esponja dorada 30 Gr pack de 12 unidades. Presentación: 1 pack.</v>
      </c>
      <c r="Q172" s="13" t="str">
        <f>IFERROR(VLOOKUP(O172,CATÁLOGOS!$L$6:$O$305,4,FALSE),"")</f>
        <v>Esponjas. Accesorio resistente y práctico, pensado para facilitar las tareas de limpieza del hogar.</v>
      </c>
      <c r="R172" s="16"/>
      <c r="S172" s="16"/>
      <c r="T172" s="6" t="s">
        <v>329</v>
      </c>
      <c r="U172" s="10" t="s">
        <v>53</v>
      </c>
    </row>
    <row r="173" spans="1:21">
      <c r="A173" s="5" t="s">
        <v>1084</v>
      </c>
      <c r="B173" s="6" t="s">
        <v>208</v>
      </c>
      <c r="C173" s="6" t="s">
        <v>208</v>
      </c>
      <c r="D173" s="6"/>
      <c r="E173" s="6"/>
      <c r="F173" s="6" t="s">
        <v>394</v>
      </c>
      <c r="G173" s="13" t="str">
        <f>IFERROR(VLOOKUP(F173,CATÁLOGOS!$A$6:$B$105,2,FALSE),"")</f>
        <v>🧰 Accesorios y equipamiento</v>
      </c>
      <c r="H173" s="6" t="s">
        <v>1063</v>
      </c>
      <c r="I173" s="13" t="str">
        <f>IFERROR(VLOOKUP(H173,CATÁLOGOS!$F$6:$H$305,3,FALSE),"")</f>
        <v>Esponjas</v>
      </c>
      <c r="J173" s="6" t="s">
        <v>1064</v>
      </c>
      <c r="K173" s="6" t="s">
        <v>1085</v>
      </c>
      <c r="L173" s="6"/>
      <c r="M173" s="6" t="s">
        <v>397</v>
      </c>
      <c r="N173" s="6" t="s">
        <v>1086</v>
      </c>
      <c r="O173" s="6" t="s">
        <v>1087</v>
      </c>
      <c r="P173" s="13" t="str">
        <f>IFERROR(VLOOKUP(O173,CATÁLOGOS!$L$6:$O$305,3,FALSE),"")</f>
        <v>Lana de acero Make. Presentación: 1 unidad.</v>
      </c>
      <c r="Q173" s="13" t="str">
        <f>IFERROR(VLOOKUP(O173,CATÁLOGOS!$L$6:$O$305,4,FALSE),"")</f>
        <v>Esponjas. Accesorio resistente y práctico, pensado para facilitar las tareas de limpieza del hogar.</v>
      </c>
      <c r="R173" s="16"/>
      <c r="S173" s="16"/>
      <c r="T173" s="6" t="s">
        <v>329</v>
      </c>
      <c r="U173" s="10" t="s">
        <v>53</v>
      </c>
    </row>
    <row r="174" spans="1:21">
      <c r="A174" s="5" t="s">
        <v>1088</v>
      </c>
      <c r="B174" s="6" t="s">
        <v>209</v>
      </c>
      <c r="C174" s="6" t="s">
        <v>209</v>
      </c>
      <c r="D174" s="6"/>
      <c r="E174" s="6"/>
      <c r="F174" s="6" t="s">
        <v>394</v>
      </c>
      <c r="G174" s="13" t="str">
        <f>IFERROR(VLOOKUP(F174,CATÁLOGOS!$A$6:$B$105,2,FALSE),"")</f>
        <v>🧰 Accesorios y equipamiento</v>
      </c>
      <c r="H174" s="6" t="s">
        <v>1063</v>
      </c>
      <c r="I174" s="13" t="str">
        <f>IFERROR(VLOOKUP(H174,CATÁLOGOS!$F$6:$H$305,3,FALSE),"")</f>
        <v>Esponjas</v>
      </c>
      <c r="J174" s="6" t="s">
        <v>323</v>
      </c>
      <c r="K174" s="6" t="s">
        <v>1089</v>
      </c>
      <c r="L174" s="6"/>
      <c r="M174" s="6" t="s">
        <v>397</v>
      </c>
      <c r="N174" s="6" t="s">
        <v>1090</v>
      </c>
      <c r="O174" s="6" t="s">
        <v>1091</v>
      </c>
      <c r="P174" s="13" t="str">
        <f>IFERROR(VLOOKUP(O174,CATÁLOGOS!$L$6:$O$305,3,FALSE),"")</f>
        <v>Lana de acero virulana. Presentación: 1 unidad.</v>
      </c>
      <c r="Q174" s="13" t="str">
        <f>IFERROR(VLOOKUP(O174,CATÁLOGOS!$L$6:$O$305,4,FALSE),"")</f>
        <v>Esponjas. Accesorio resistente y práctico, pensado para facilitar las tareas de limpieza del hogar.</v>
      </c>
      <c r="R174" s="16"/>
      <c r="S174" s="16"/>
      <c r="T174" s="6" t="s">
        <v>329</v>
      </c>
      <c r="U174" s="10" t="s">
        <v>53</v>
      </c>
    </row>
    <row r="175" spans="1:21">
      <c r="A175" s="5" t="s">
        <v>1092</v>
      </c>
      <c r="B175" s="6" t="s">
        <v>210</v>
      </c>
      <c r="C175" s="6" t="s">
        <v>210</v>
      </c>
      <c r="D175" s="6"/>
      <c r="E175" s="6"/>
      <c r="F175" s="6" t="s">
        <v>394</v>
      </c>
      <c r="G175" s="13" t="str">
        <f>IFERROR(VLOOKUP(F175,CATÁLOGOS!$A$6:$B$105,2,FALSE),"")</f>
        <v>🧰 Accesorios y equipamiento</v>
      </c>
      <c r="H175" s="6" t="s">
        <v>1093</v>
      </c>
      <c r="I175" s="13" t="str">
        <f>IFERROR(VLOOKUP(H175,CATÁLOGOS!$F$6:$H$305,3,FALSE),"")</f>
        <v>Artículos para tender</v>
      </c>
      <c r="J175" s="6" t="s">
        <v>323</v>
      </c>
      <c r="K175" s="6" t="s">
        <v>1094</v>
      </c>
      <c r="L175" s="6"/>
      <c r="M175" s="6" t="s">
        <v>397</v>
      </c>
      <c r="N175" s="6" t="s">
        <v>1095</v>
      </c>
      <c r="O175" s="6" t="s">
        <v>1096</v>
      </c>
      <c r="P175" s="13" t="str">
        <f>IFERROR(VLOOKUP(O175,CATÁLOGOS!$L$6:$O$305,3,FALSE),"")</f>
        <v>Tender Vertical para Ropa 3 niveles. Presentación: 1 unidad.</v>
      </c>
      <c r="Q175" s="13" t="str">
        <f>IFERROR(VLOOKUP(O175,CATÁLOGOS!$L$6:$O$305,4,FALSE),"")</f>
        <v>Artículos para tender. Accesorio resistente y práctico, pensado para facilitar las tareas de limpieza del hogar.</v>
      </c>
      <c r="R175" s="16"/>
      <c r="S175" s="16"/>
      <c r="T175" s="6" t="s">
        <v>329</v>
      </c>
      <c r="U175" s="10" t="s">
        <v>53</v>
      </c>
    </row>
    <row r="176" spans="1:21">
      <c r="A176" s="5" t="s">
        <v>1097</v>
      </c>
      <c r="B176" s="6" t="s">
        <v>211</v>
      </c>
      <c r="C176" s="6" t="s">
        <v>211</v>
      </c>
      <c r="D176" s="6"/>
      <c r="E176" s="6"/>
      <c r="F176" s="6" t="s">
        <v>394</v>
      </c>
      <c r="G176" s="13" t="str">
        <f>IFERROR(VLOOKUP(F176,CATÁLOGOS!$A$6:$B$105,2,FALSE),"")</f>
        <v>🧰 Accesorios y equipamiento</v>
      </c>
      <c r="H176" s="6" t="s">
        <v>1093</v>
      </c>
      <c r="I176" s="13" t="str">
        <f>IFERROR(VLOOKUP(H176,CATÁLOGOS!$F$6:$H$305,3,FALSE),"")</f>
        <v>Artículos para tender</v>
      </c>
      <c r="J176" s="6" t="s">
        <v>323</v>
      </c>
      <c r="K176" s="6" t="s">
        <v>1098</v>
      </c>
      <c r="L176" s="6"/>
      <c r="M176" s="6" t="s">
        <v>397</v>
      </c>
      <c r="N176" s="6" t="s">
        <v>1099</v>
      </c>
      <c r="O176" s="6" t="s">
        <v>1100</v>
      </c>
      <c r="P176" s="13" t="str">
        <f>IFERROR(VLOOKUP(O176,CATÁLOGOS!$L$6:$O$305,3,FALSE),"")</f>
        <v>Tender Para Medias de 18 Broches. Presentación: 1 unidad.</v>
      </c>
      <c r="Q176" s="13" t="str">
        <f>IFERROR(VLOOKUP(O176,CATÁLOGOS!$L$6:$O$305,4,FALSE),"")</f>
        <v>Artículos para tender. Accesorio resistente y práctico, pensado para facilitar las tareas de limpieza del hogar.</v>
      </c>
      <c r="R176" s="16"/>
      <c r="S176" s="16"/>
      <c r="T176" s="6" t="s">
        <v>329</v>
      </c>
      <c r="U176" s="10" t="s">
        <v>53</v>
      </c>
    </row>
    <row r="177" spans="1:21">
      <c r="A177" s="5" t="s">
        <v>1101</v>
      </c>
      <c r="B177" s="6" t="s">
        <v>212</v>
      </c>
      <c r="C177" s="6" t="s">
        <v>212</v>
      </c>
      <c r="D177" s="6"/>
      <c r="E177" s="6"/>
      <c r="F177" s="6" t="s">
        <v>394</v>
      </c>
      <c r="G177" s="13" t="str">
        <f>IFERROR(VLOOKUP(F177,CATÁLOGOS!$A$6:$B$105,2,FALSE),"")</f>
        <v>🧰 Accesorios y equipamiento</v>
      </c>
      <c r="H177" s="6" t="s">
        <v>1093</v>
      </c>
      <c r="I177" s="13" t="str">
        <f>IFERROR(VLOOKUP(H177,CATÁLOGOS!$F$6:$H$305,3,FALSE),"")</f>
        <v>Artículos para tender</v>
      </c>
      <c r="J177" s="6" t="s">
        <v>323</v>
      </c>
      <c r="K177" s="6" t="s">
        <v>1102</v>
      </c>
      <c r="L177" s="6"/>
      <c r="M177" s="6" t="s">
        <v>397</v>
      </c>
      <c r="N177" s="6" t="s">
        <v>1103</v>
      </c>
      <c r="O177" s="6" t="s">
        <v>1104</v>
      </c>
      <c r="P177" s="13" t="str">
        <f>IFERROR(VLOOKUP(O177,CATÁLOGOS!$L$6:$O$305,3,FALSE),"")</f>
        <v>Tender 10 varillas con Alas. Presentación: 1 unidad.</v>
      </c>
      <c r="Q177" s="13" t="str">
        <f>IFERROR(VLOOKUP(O177,CATÁLOGOS!$L$6:$O$305,4,FALSE),"")</f>
        <v>Artículos para tender. Accesorio resistente y práctico, pensado para facilitar las tareas de limpieza del hogar.</v>
      </c>
      <c r="R177" s="16"/>
      <c r="S177" s="16"/>
      <c r="T177" s="6" t="s">
        <v>329</v>
      </c>
      <c r="U177" s="10" t="s">
        <v>53</v>
      </c>
    </row>
    <row r="178" spans="1:21">
      <c r="A178" s="5" t="s">
        <v>1105</v>
      </c>
      <c r="B178" s="6" t="s">
        <v>213</v>
      </c>
      <c r="C178" s="6" t="s">
        <v>213</v>
      </c>
      <c r="D178" s="6"/>
      <c r="E178" s="6"/>
      <c r="F178" s="6" t="s">
        <v>394</v>
      </c>
      <c r="G178" s="13" t="str">
        <f>IFERROR(VLOOKUP(F178,CATÁLOGOS!$A$6:$B$105,2,FALSE),"")</f>
        <v>🧰 Accesorios y equipamiento</v>
      </c>
      <c r="H178" s="6" t="s">
        <v>1093</v>
      </c>
      <c r="I178" s="13" t="str">
        <f>IFERROR(VLOOKUP(H178,CATÁLOGOS!$F$6:$H$305,3,FALSE),"")</f>
        <v>Artículos para tender</v>
      </c>
      <c r="J178" s="6" t="s">
        <v>323</v>
      </c>
      <c r="K178" s="6" t="s">
        <v>1106</v>
      </c>
      <c r="L178" s="6"/>
      <c r="M178" s="6" t="s">
        <v>982</v>
      </c>
      <c r="N178" s="6" t="s">
        <v>1107</v>
      </c>
      <c r="O178" s="6" t="s">
        <v>1108</v>
      </c>
      <c r="P178" s="13" t="str">
        <f>IFERROR(VLOOKUP(O178,CATÁLOGOS!$L$6:$O$305,3,FALSE),"")</f>
        <v>Broches Plasticos x 12 unidades. Presentación: 1 pack.</v>
      </c>
      <c r="Q178" s="13" t="str">
        <f>IFERROR(VLOOKUP(O178,CATÁLOGOS!$L$6:$O$305,4,FALSE),"")</f>
        <v>Artículos para tender. Accesorio resistente y práctico, pensado para facilitar las tareas de limpieza del hogar.</v>
      </c>
      <c r="R178" s="16"/>
      <c r="S178" s="16"/>
      <c r="T178" s="6" t="s">
        <v>329</v>
      </c>
      <c r="U178" s="10" t="s">
        <v>53</v>
      </c>
    </row>
    <row r="179" spans="1:21">
      <c r="A179" s="5" t="s">
        <v>1109</v>
      </c>
      <c r="B179" s="6" t="s">
        <v>214</v>
      </c>
      <c r="C179" s="6" t="s">
        <v>214</v>
      </c>
      <c r="D179" s="6"/>
      <c r="E179" s="6"/>
      <c r="F179" s="6" t="s">
        <v>394</v>
      </c>
      <c r="G179" s="13" t="str">
        <f>IFERROR(VLOOKUP(F179,CATÁLOGOS!$A$6:$B$105,2,FALSE),"")</f>
        <v>🧰 Accesorios y equipamiento</v>
      </c>
      <c r="H179" s="6" t="s">
        <v>1093</v>
      </c>
      <c r="I179" s="13" t="str">
        <f>IFERROR(VLOOKUP(H179,CATÁLOGOS!$F$6:$H$305,3,FALSE),"")</f>
        <v>Artículos para tender</v>
      </c>
      <c r="J179" s="6" t="s">
        <v>323</v>
      </c>
      <c r="K179" s="6" t="s">
        <v>1110</v>
      </c>
      <c r="L179" s="6"/>
      <c r="M179" s="6" t="s">
        <v>982</v>
      </c>
      <c r="N179" s="6" t="s">
        <v>1111</v>
      </c>
      <c r="O179" s="6" t="s">
        <v>1112</v>
      </c>
      <c r="P179" s="13" t="str">
        <f>IFERROR(VLOOKUP(O179,CATÁLOGOS!$L$6:$O$305,3,FALSE),"")</f>
        <v>Broches Madera x 12 unidades. Presentación: 1 pack.</v>
      </c>
      <c r="Q179" s="13" t="str">
        <f>IFERROR(VLOOKUP(O179,CATÁLOGOS!$L$6:$O$305,4,FALSE),"")</f>
        <v>Artículos para tender. Accesorio resistente y práctico, pensado para facilitar las tareas de limpieza del hogar.</v>
      </c>
      <c r="R179" s="16"/>
      <c r="S179" s="16"/>
      <c r="T179" s="6" t="s">
        <v>329</v>
      </c>
      <c r="U179" s="10" t="s">
        <v>53</v>
      </c>
    </row>
    <row r="180" spans="1:21">
      <c r="A180" s="5" t="s">
        <v>1113</v>
      </c>
      <c r="B180" s="6" t="s">
        <v>215</v>
      </c>
      <c r="C180" s="6" t="s">
        <v>215</v>
      </c>
      <c r="D180" s="6"/>
      <c r="E180" s="6"/>
      <c r="F180" s="6" t="s">
        <v>1114</v>
      </c>
      <c r="G180" s="13" t="str">
        <f>IFERROR(VLOOKUP(F180,CATÁLOGOS!$A$6:$B$105,2,FALSE),"")</f>
        <v>🏠 Hogar y varios</v>
      </c>
      <c r="H180" s="6" t="s">
        <v>1115</v>
      </c>
      <c r="I180" s="13" t="str">
        <f>IFERROR(VLOOKUP(H180,CATÁLOGOS!$F$6:$H$305,3,FALSE),"")</f>
        <v>Accesorios de baño</v>
      </c>
      <c r="J180" s="6" t="s">
        <v>323</v>
      </c>
      <c r="K180" s="6" t="s">
        <v>1116</v>
      </c>
      <c r="L180" s="6"/>
      <c r="M180" s="6" t="s">
        <v>397</v>
      </c>
      <c r="N180" s="6" t="s">
        <v>1117</v>
      </c>
      <c r="O180" s="6" t="s">
        <v>1118</v>
      </c>
      <c r="P180" s="13" t="str">
        <f>IFERROR(VLOOKUP(O180,CATÁLOGOS!$L$6:$O$305,3,FALSE),"")</f>
        <v>Cepillo Lava Espalda Plastico. Presentación: 1 unidad.</v>
      </c>
      <c r="Q180" s="13" t="str">
        <f>IFERROR(VLOOKUP(O180,CATÁLOGOS!$L$6:$O$305,4,FALSE),"")</f>
        <v>Accesorios de baño. Elimina suciedad y gérmenes en inodoros, azulejos y superficies del baño, dejando un aroma agradable.</v>
      </c>
      <c r="R180" s="16"/>
      <c r="S180" s="16"/>
      <c r="T180" s="6" t="s">
        <v>329</v>
      </c>
      <c r="U180" s="10" t="s">
        <v>53</v>
      </c>
    </row>
    <row r="181" spans="1:21">
      <c r="A181" s="5" t="s">
        <v>1119</v>
      </c>
      <c r="B181" s="6" t="s">
        <v>216</v>
      </c>
      <c r="C181" s="6" t="s">
        <v>216</v>
      </c>
      <c r="D181" s="6"/>
      <c r="E181" s="6"/>
      <c r="F181" s="6" t="s">
        <v>1114</v>
      </c>
      <c r="G181" s="13" t="str">
        <f>IFERROR(VLOOKUP(F181,CATÁLOGOS!$A$6:$B$105,2,FALSE),"")</f>
        <v>🏠 Hogar y varios</v>
      </c>
      <c r="H181" s="6" t="s">
        <v>1115</v>
      </c>
      <c r="I181" s="13" t="str">
        <f>IFERROR(VLOOKUP(H181,CATÁLOGOS!$F$6:$H$305,3,FALSE),"")</f>
        <v>Accesorios de baño</v>
      </c>
      <c r="J181" s="6" t="s">
        <v>323</v>
      </c>
      <c r="K181" s="6" t="s">
        <v>1120</v>
      </c>
      <c r="L181" s="6"/>
      <c r="M181" s="6" t="s">
        <v>397</v>
      </c>
      <c r="N181" s="6" t="s">
        <v>1121</v>
      </c>
      <c r="O181" s="6" t="s">
        <v>1122</v>
      </c>
      <c r="P181" s="13" t="str">
        <f>IFERROR(VLOOKUP(O181,CATÁLOGOS!$L$6:$O$305,3,FALSE),"")</f>
        <v>Jabonera Deseplast. Presentación: 1 unidad.</v>
      </c>
      <c r="Q181" s="13" t="str">
        <f>IFERROR(VLOOKUP(O181,CATÁLOGOS!$L$6:$O$305,4,FALSE),"")</f>
        <v>Accesorios de baño. Elimina suciedad y gérmenes en inodoros, azulejos y superficies del baño, dejando un aroma agradable.</v>
      </c>
      <c r="R181" s="16"/>
      <c r="S181" s="16"/>
      <c r="T181" s="6" t="s">
        <v>329</v>
      </c>
      <c r="U181" s="10" t="s">
        <v>53</v>
      </c>
    </row>
    <row r="182" spans="1:21">
      <c r="A182" s="5" t="s">
        <v>1123</v>
      </c>
      <c r="B182" s="6" t="s">
        <v>217</v>
      </c>
      <c r="C182" s="6" t="s">
        <v>217</v>
      </c>
      <c r="D182" s="6"/>
      <c r="E182" s="6"/>
      <c r="F182" s="6" t="s">
        <v>1114</v>
      </c>
      <c r="G182" s="13" t="str">
        <f>IFERROR(VLOOKUP(F182,CATÁLOGOS!$A$6:$B$105,2,FALSE),"")</f>
        <v>🏠 Hogar y varios</v>
      </c>
      <c r="H182" s="6" t="s">
        <v>1115</v>
      </c>
      <c r="I182" s="13" t="str">
        <f>IFERROR(VLOOKUP(H182,CATÁLOGOS!$F$6:$H$305,3,FALSE),"")</f>
        <v>Accesorios de baño</v>
      </c>
      <c r="J182" s="6" t="s">
        <v>1124</v>
      </c>
      <c r="K182" s="6" t="s">
        <v>1125</v>
      </c>
      <c r="L182" s="6"/>
      <c r="M182" s="6" t="s">
        <v>397</v>
      </c>
      <c r="N182" s="6" t="s">
        <v>1126</v>
      </c>
      <c r="O182" s="6" t="s">
        <v>1127</v>
      </c>
      <c r="P182" s="13" t="str">
        <f>IFERROR(VLOOKUP(O182,CATÁLOGOS!$L$6:$O$305,3,FALSE),"")</f>
        <v>Limpiador Adhesivo inodoro. Presentación: 1 unidad. Marca Pato.</v>
      </c>
      <c r="Q182" s="13" t="str">
        <f>IFERROR(VLOOKUP(O182,CATÁLOGOS!$L$6:$O$305,4,FALSE),"")</f>
        <v>Accesorios de baño. Elimina suciedad y gérmenes en inodoros, azulejos y superficies del baño, dejando un aroma agradable.</v>
      </c>
      <c r="R182" s="16"/>
      <c r="S182" s="16"/>
      <c r="T182" s="6" t="s">
        <v>329</v>
      </c>
      <c r="U182" s="10" t="s">
        <v>53</v>
      </c>
    </row>
    <row r="183" spans="1:21">
      <c r="A183" s="5" t="s">
        <v>1128</v>
      </c>
      <c r="B183" s="6" t="s">
        <v>218</v>
      </c>
      <c r="C183" s="6" t="s">
        <v>218</v>
      </c>
      <c r="D183" s="6"/>
      <c r="E183" s="6"/>
      <c r="F183" s="6" t="s">
        <v>1114</v>
      </c>
      <c r="G183" s="13" t="str">
        <f>IFERROR(VLOOKUP(F183,CATÁLOGOS!$A$6:$B$105,2,FALSE),"")</f>
        <v>🏠 Hogar y varios</v>
      </c>
      <c r="H183" s="6" t="s">
        <v>1115</v>
      </c>
      <c r="I183" s="13" t="str">
        <f>IFERROR(VLOOKUP(H183,CATÁLOGOS!$F$6:$H$305,3,FALSE),"")</f>
        <v>Accesorios de baño</v>
      </c>
      <c r="J183" s="6" t="s">
        <v>1129</v>
      </c>
      <c r="K183" s="6" t="s">
        <v>1130</v>
      </c>
      <c r="L183" s="6"/>
      <c r="M183" s="6" t="s">
        <v>397</v>
      </c>
      <c r="N183" s="6" t="s">
        <v>1131</v>
      </c>
      <c r="O183" s="6" t="s">
        <v>1132</v>
      </c>
      <c r="P183" s="13" t="str">
        <f>IFERROR(VLOOKUP(O183,CATÁLOGOS!$L$6:$O$305,3,FALSE),"")</f>
        <v>Pastilla para inodoro. Presentación: 1 unidad. Marca Glade.</v>
      </c>
      <c r="Q183" s="13" t="str">
        <f>IFERROR(VLOOKUP(O183,CATÁLOGOS!$L$6:$O$305,4,FALSE),"")</f>
        <v>Accesorios de baño. Elimina suciedad y gérmenes en inodoros, azulejos y superficies del baño, dejando un aroma agradable.</v>
      </c>
      <c r="R183" s="16"/>
      <c r="S183" s="16"/>
      <c r="T183" s="6" t="s">
        <v>329</v>
      </c>
      <c r="U183" s="10" t="s">
        <v>53</v>
      </c>
    </row>
    <row r="184" spans="1:21">
      <c r="A184" s="5" t="s">
        <v>1133</v>
      </c>
      <c r="B184" s="6" t="s">
        <v>219</v>
      </c>
      <c r="C184" s="6" t="s">
        <v>219</v>
      </c>
      <c r="D184" s="6"/>
      <c r="E184" s="6"/>
      <c r="F184" s="6" t="s">
        <v>1114</v>
      </c>
      <c r="G184" s="13" t="str">
        <f>IFERROR(VLOOKUP(F184,CATÁLOGOS!$A$6:$B$105,2,FALSE),"")</f>
        <v>🏠 Hogar y varios</v>
      </c>
      <c r="H184" s="6" t="s">
        <v>1115</v>
      </c>
      <c r="I184" s="13" t="str">
        <f>IFERROR(VLOOKUP(H184,CATÁLOGOS!$F$6:$H$305,3,FALSE),"")</f>
        <v>Accesorios de baño</v>
      </c>
      <c r="J184" s="6" t="s">
        <v>323</v>
      </c>
      <c r="K184" s="6" t="s">
        <v>1134</v>
      </c>
      <c r="L184" s="6"/>
      <c r="M184" s="6" t="s">
        <v>397</v>
      </c>
      <c r="N184" s="6" t="s">
        <v>1135</v>
      </c>
      <c r="O184" s="6" t="s">
        <v>1136</v>
      </c>
      <c r="P184" s="13" t="str">
        <f>IFERROR(VLOOKUP(O184,CATÁLOGOS!$L$6:$O$305,3,FALSE),"")</f>
        <v>Protector cortina de baño. Presentación: 1 unidad.</v>
      </c>
      <c r="Q184" s="13" t="str">
        <f>IFERROR(VLOOKUP(O184,CATÁLOGOS!$L$6:$O$305,4,FALSE),"")</f>
        <v>Accesorios de baño. Elimina suciedad y gérmenes en inodoros, azulejos y superficies del baño, dejando un aroma agradable.</v>
      </c>
      <c r="R184" s="16"/>
      <c r="S184" s="16"/>
      <c r="T184" s="6" t="s">
        <v>329</v>
      </c>
      <c r="U184" s="10" t="s">
        <v>53</v>
      </c>
    </row>
    <row r="185" spans="1:21">
      <c r="A185" s="5" t="s">
        <v>1137</v>
      </c>
      <c r="B185" s="6" t="s">
        <v>220</v>
      </c>
      <c r="C185" s="6" t="s">
        <v>220</v>
      </c>
      <c r="D185" s="6"/>
      <c r="E185" s="6"/>
      <c r="F185" s="6" t="s">
        <v>361</v>
      </c>
      <c r="G185" s="13" t="str">
        <f>IFERROR(VLOOKUP(F185,CATÁLOGOS!$A$6:$B$105,2,FALSE),"")</f>
        <v>Todo para tu ropa</v>
      </c>
      <c r="H185" s="6" t="s">
        <v>773</v>
      </c>
      <c r="I185" s="13" t="str">
        <f>IFERROR(VLOOKUP(H185,CATÁLOGOS!$F$6:$H$305,3,FALSE),"")</f>
        <v>Difusores aromáticos</v>
      </c>
      <c r="J185" s="6" t="s">
        <v>1138</v>
      </c>
      <c r="K185" s="6" t="s">
        <v>1139</v>
      </c>
      <c r="L185" s="6"/>
      <c r="M185" s="6" t="s">
        <v>397</v>
      </c>
      <c r="N185" s="6" t="s">
        <v>1140</v>
      </c>
      <c r="O185" s="6" t="s">
        <v>1141</v>
      </c>
      <c r="P185" s="13" t="str">
        <f>IFERROR(VLOOKUP(O185,CATÁLOGOS!$L$6:$O$305,3,FALSE),"")</f>
        <v>Poett Desodorante de Ambiente. Presentación: 1 unidad. Marca Poe.</v>
      </c>
      <c r="Q185" s="13" t="str">
        <f>IFERROR(VLOOKUP(O185,CATÁLOGOS!$L$6:$O$305,4,FALSE),"")</f>
        <v>Aerosol ambiental. Perfuma ambientes y textiles con una fragancia agradable y duradera, ideal para dejar todo con olor a limpio.</v>
      </c>
      <c r="R185" s="16"/>
      <c r="S185" s="16"/>
      <c r="T185" s="6" t="s">
        <v>329</v>
      </c>
      <c r="U185" s="10" t="s">
        <v>53</v>
      </c>
    </row>
    <row r="186" spans="1:21">
      <c r="A186" s="5" t="s">
        <v>1142</v>
      </c>
      <c r="B186" s="6" t="s">
        <v>221</v>
      </c>
      <c r="C186" s="6" t="s">
        <v>221</v>
      </c>
      <c r="D186" s="6"/>
      <c r="E186" s="6"/>
      <c r="F186" s="6" t="s">
        <v>394</v>
      </c>
      <c r="G186" s="13" t="str">
        <f>IFERROR(VLOOKUP(F186,CATÁLOGOS!$A$6:$B$105,2,FALSE),"")</f>
        <v>🧰 Accesorios y equipamiento</v>
      </c>
      <c r="H186" s="6" t="s">
        <v>1143</v>
      </c>
      <c r="I186" s="13" t="str">
        <f>IFERROR(VLOOKUP(H186,CATÁLOGOS!$F$6:$H$305,3,FALSE),"")</f>
        <v>Aerosoles</v>
      </c>
      <c r="J186" s="6" t="s">
        <v>1144</v>
      </c>
      <c r="K186" s="6" t="s">
        <v>1145</v>
      </c>
      <c r="L186" s="6"/>
      <c r="M186" s="6" t="s">
        <v>397</v>
      </c>
      <c r="N186" s="6" t="s">
        <v>1146</v>
      </c>
      <c r="O186" s="6" t="s">
        <v>1147</v>
      </c>
      <c r="P186" s="13" t="str">
        <f>IFERROR(VLOOKUP(O186,CATÁLOGOS!$L$6:$O$305,3,FALSE),"")</f>
        <v>Lysoform Desisfectante. Presentación: 1 unidad.</v>
      </c>
      <c r="Q186" s="13" t="str">
        <f>IFERROR(VLOOKUP(O186,CATÁLOGOS!$L$6:$O$305,4,FALSE),"")</f>
        <v>Aerosol desinfectante. Elimina bacterias y gérmenes, desinfectando a fondo superficies del hogar, comercios e industrias.</v>
      </c>
      <c r="R186" s="16"/>
      <c r="S186" s="16"/>
      <c r="T186" s="6" t="s">
        <v>329</v>
      </c>
      <c r="U186" s="10" t="s">
        <v>53</v>
      </c>
    </row>
    <row r="187" spans="1:21">
      <c r="A187" s="5" t="s">
        <v>1148</v>
      </c>
      <c r="B187" s="6" t="s">
        <v>222</v>
      </c>
      <c r="C187" s="6" t="s">
        <v>222</v>
      </c>
      <c r="D187" s="6"/>
      <c r="E187" s="6"/>
      <c r="F187" s="6" t="s">
        <v>1114</v>
      </c>
      <c r="G187" s="13" t="str">
        <f>IFERROR(VLOOKUP(F187,CATÁLOGOS!$A$6:$B$105,2,FALSE),"")</f>
        <v>🏠 Hogar y varios</v>
      </c>
      <c r="H187" s="6" t="s">
        <v>1149</v>
      </c>
      <c r="I187" s="13" t="str">
        <f>IFERROR(VLOOKUP(H187,CATÁLOGOS!$F$6:$H$305,3,FALSE),"")</f>
        <v>Lustramuebles</v>
      </c>
      <c r="J187" s="6" t="s">
        <v>1150</v>
      </c>
      <c r="K187" s="6" t="s">
        <v>1151</v>
      </c>
      <c r="L187" s="6"/>
      <c r="M187" s="6" t="s">
        <v>397</v>
      </c>
      <c r="N187" s="6" t="s">
        <v>1152</v>
      </c>
      <c r="O187" s="6" t="s">
        <v>1153</v>
      </c>
      <c r="P187" s="13" t="str">
        <f>IFERROR(VLOOKUP(O187,CATÁLOGOS!$L$6:$O$305,3,FALSE),"")</f>
        <v>Lustra Muebles. Presentación: 1 unidad. Marca Blem.</v>
      </c>
      <c r="Q187" s="13" t="str">
        <f>IFERROR(VLOOKUP(O187,CATÁLOGOS!$L$6:$O$305,4,FALSE),"")</f>
        <v>Lustramuebles. Producto práctico pensado para facilitar las tareas diarias del hogar.</v>
      </c>
      <c r="R187" s="16"/>
      <c r="S187" s="16"/>
      <c r="T187" s="6" t="s">
        <v>329</v>
      </c>
      <c r="U187" s="10" t="s">
        <v>169</v>
      </c>
    </row>
    <row r="188" spans="1:21">
      <c r="A188" s="5" t="s">
        <v>1154</v>
      </c>
      <c r="B188" s="6" t="s">
        <v>223</v>
      </c>
      <c r="C188" s="6" t="s">
        <v>223</v>
      </c>
      <c r="D188" s="6"/>
      <c r="E188" s="6"/>
      <c r="F188" s="6" t="s">
        <v>394</v>
      </c>
      <c r="G188" s="13" t="str">
        <f>IFERROR(VLOOKUP(F188,CATÁLOGOS!$A$6:$B$105,2,FALSE),"")</f>
        <v>🧰 Accesorios y equipamiento</v>
      </c>
      <c r="H188" s="6" t="s">
        <v>1143</v>
      </c>
      <c r="I188" s="13" t="str">
        <f>IFERROR(VLOOKUP(H188,CATÁLOGOS!$F$6:$H$305,3,FALSE),"")</f>
        <v>Aerosoles</v>
      </c>
      <c r="J188" s="6" t="s">
        <v>1155</v>
      </c>
      <c r="K188" s="6" t="s">
        <v>1156</v>
      </c>
      <c r="L188" s="6"/>
      <c r="M188" s="6" t="s">
        <v>397</v>
      </c>
      <c r="N188" s="6" t="s">
        <v>1157</v>
      </c>
      <c r="O188" s="6" t="s">
        <v>1158</v>
      </c>
      <c r="P188" s="13" t="str">
        <f>IFERROR(VLOOKUP(O188,CATÁLOGOS!$L$6:$O$305,3,FALSE),"")</f>
        <v>Limpiador para hornos. Presentación: 1 unidad. Marca Mr. Musculo.</v>
      </c>
      <c r="Q188" s="13" t="str">
        <f>IFERROR(VLOOKUP(O188,CATÁLOGOS!$L$6:$O$305,4,FALSE),"")</f>
        <v>Limpiador de horno. Ideal para desengrasar y limpiar utensilios, vajilla y superficies de cocina de forma rápida y efectiva.</v>
      </c>
      <c r="R188" s="16"/>
      <c r="S188" s="16"/>
      <c r="T188" s="6" t="s">
        <v>329</v>
      </c>
      <c r="U188" s="10" t="s">
        <v>53</v>
      </c>
    </row>
    <row r="189" spans="1:21">
      <c r="A189" s="5" t="s">
        <v>1159</v>
      </c>
      <c r="B189" s="6" t="s">
        <v>224</v>
      </c>
      <c r="C189" s="6" t="s">
        <v>224</v>
      </c>
      <c r="D189" s="6"/>
      <c r="E189" s="6"/>
      <c r="F189" s="6" t="s">
        <v>361</v>
      </c>
      <c r="G189" s="13" t="str">
        <f>IFERROR(VLOOKUP(F189,CATÁLOGOS!$A$6:$B$105,2,FALSE),"")</f>
        <v>Todo para tu ropa</v>
      </c>
      <c r="H189" s="6" t="s">
        <v>1160</v>
      </c>
      <c r="I189" s="13" t="str">
        <f>IFERROR(VLOOKUP(H189,CATÁLOGOS!$F$6:$H$305,3,FALSE),"")</f>
        <v>Líquidos</v>
      </c>
      <c r="J189" s="6" t="s">
        <v>1161</v>
      </c>
      <c r="K189" s="6" t="s">
        <v>1161</v>
      </c>
      <c r="L189" s="6"/>
      <c r="M189" s="6" t="s">
        <v>397</v>
      </c>
      <c r="N189" s="6" t="s">
        <v>1162</v>
      </c>
      <c r="O189" s="6" t="s">
        <v>1163</v>
      </c>
      <c r="P189" s="13" t="str">
        <f>IFERROR(VLOOKUP(O189,CATÁLOGOS!$L$6:$O$305,3,FALSE),"")</f>
        <v>Apresto Danubio. Presentación: 1 unidad. Marca Apresto Danubio.</v>
      </c>
      <c r="Q189" s="13" t="str">
        <f>IFERROR(VLOOKUP(O189,CATÁLOGOS!$L$6:$O$305,4,FALSE),"")</f>
        <v>Apresto para ropa. Cuida las fibras de la ropa, suaviza y deja un aroma agradable y duradero en cada lavado.</v>
      </c>
      <c r="R189" s="16"/>
      <c r="S189" s="16"/>
      <c r="T189" s="6" t="s">
        <v>329</v>
      </c>
      <c r="U189" s="10" t="s">
        <v>53</v>
      </c>
    </row>
    <row r="190" spans="1:21">
      <c r="A190" s="5" t="s">
        <v>1164</v>
      </c>
      <c r="B190" s="6" t="s">
        <v>225</v>
      </c>
      <c r="C190" s="6" t="s">
        <v>225</v>
      </c>
      <c r="D190" s="6"/>
      <c r="E190" s="6"/>
      <c r="F190" s="6" t="s">
        <v>1114</v>
      </c>
      <c r="G190" s="13" t="str">
        <f>IFERROR(VLOOKUP(F190,CATÁLOGOS!$A$6:$B$105,2,FALSE),"")</f>
        <v>🏠 Hogar y varios</v>
      </c>
      <c r="H190" s="6" t="s">
        <v>1165</v>
      </c>
      <c r="I190" s="13" t="str">
        <f>IFERROR(VLOOKUP(H190,CATÁLOGOS!$F$6:$H$305,3,FALSE),"")</f>
        <v>Insecticidas</v>
      </c>
      <c r="J190" s="6" t="s">
        <v>1166</v>
      </c>
      <c r="K190" s="6" t="s">
        <v>1167</v>
      </c>
      <c r="L190" s="6"/>
      <c r="M190" s="6" t="s">
        <v>397</v>
      </c>
      <c r="N190" s="6" t="s">
        <v>1168</v>
      </c>
      <c r="O190" s="6" t="s">
        <v>1169</v>
      </c>
      <c r="P190" s="13" t="str">
        <f>IFERROR(VLOOKUP(O190,CATÁLOGOS!$L$6:$O$305,3,FALSE),"")</f>
        <v>Fuyi Mata Moscas y Mosquitos. Presentación: 1 unidad.</v>
      </c>
      <c r="Q190" s="13" t="str">
        <f>IFERROR(VLOOKUP(O190,CATÁLOGOS!$L$6:$O$305,4,FALSE),"")</f>
        <v>Insecticidas. Producto práctico pensado para facilitar las tareas diarias del hogar.</v>
      </c>
      <c r="R190" s="16"/>
      <c r="S190" s="16"/>
      <c r="T190" s="6" t="s">
        <v>329</v>
      </c>
      <c r="U190" s="10" t="s">
        <v>53</v>
      </c>
    </row>
    <row r="191" spans="1:21">
      <c r="A191" s="5" t="s">
        <v>1170</v>
      </c>
      <c r="B191" s="6" t="s">
        <v>226</v>
      </c>
      <c r="C191" s="6" t="s">
        <v>226</v>
      </c>
      <c r="D191" s="6"/>
      <c r="E191" s="6"/>
      <c r="F191" s="6" t="s">
        <v>1114</v>
      </c>
      <c r="G191" s="13" t="str">
        <f>IFERROR(VLOOKUP(F191,CATÁLOGOS!$A$6:$B$105,2,FALSE),"")</f>
        <v>🏠 Hogar y varios</v>
      </c>
      <c r="H191" s="6" t="s">
        <v>1165</v>
      </c>
      <c r="I191" s="13" t="str">
        <f>IFERROR(VLOOKUP(H191,CATÁLOGOS!$F$6:$H$305,3,FALSE),"")</f>
        <v>Insecticidas</v>
      </c>
      <c r="J191" s="6" t="s">
        <v>1171</v>
      </c>
      <c r="K191" s="6" t="s">
        <v>1172</v>
      </c>
      <c r="L191" s="6"/>
      <c r="M191" s="6" t="s">
        <v>397</v>
      </c>
      <c r="N191" s="6" t="s">
        <v>1173</v>
      </c>
      <c r="O191" s="6" t="s">
        <v>1174</v>
      </c>
      <c r="P191" s="13" t="str">
        <f>IFERROR(VLOOKUP(O191,CATÁLOGOS!$L$6:$O$305,3,FALSE),"")</f>
        <v>Raid Azul. Presentación: 1 unidad.</v>
      </c>
      <c r="Q191" s="13" t="str">
        <f>IFERROR(VLOOKUP(O191,CATÁLOGOS!$L$6:$O$305,4,FALSE),"")</f>
        <v>Insecticidas. Producto práctico pensado para facilitar las tareas diarias del hogar.</v>
      </c>
      <c r="R191" s="16"/>
      <c r="S191" s="16"/>
      <c r="T191" s="6" t="s">
        <v>329</v>
      </c>
      <c r="U191" s="10" t="s">
        <v>53</v>
      </c>
    </row>
    <row r="192" spans="1:21">
      <c r="A192" s="5" t="s">
        <v>1175</v>
      </c>
      <c r="B192" s="6" t="s">
        <v>227</v>
      </c>
      <c r="C192" s="6" t="s">
        <v>227</v>
      </c>
      <c r="D192" s="6"/>
      <c r="E192" s="6"/>
      <c r="F192" s="6" t="s">
        <v>1114</v>
      </c>
      <c r="G192" s="13" t="str">
        <f>IFERROR(VLOOKUP(F192,CATÁLOGOS!$A$6:$B$105,2,FALSE),"")</f>
        <v>🏠 Hogar y varios</v>
      </c>
      <c r="H192" s="6" t="s">
        <v>1165</v>
      </c>
      <c r="I192" s="13" t="str">
        <f>IFERROR(VLOOKUP(H192,CATÁLOGOS!$F$6:$H$305,3,FALSE),"")</f>
        <v>Insecticidas</v>
      </c>
      <c r="J192" s="6" t="s">
        <v>1171</v>
      </c>
      <c r="K192" s="6" t="s">
        <v>1176</v>
      </c>
      <c r="L192" s="6"/>
      <c r="M192" s="6" t="s">
        <v>397</v>
      </c>
      <c r="N192" s="6" t="s">
        <v>1177</v>
      </c>
      <c r="O192" s="6" t="s">
        <v>1178</v>
      </c>
      <c r="P192" s="13" t="str">
        <f>IFERROR(VLOOKUP(O192,CATÁLOGOS!$L$6:$O$305,3,FALSE),"")</f>
        <v>Raid Negro. Presentación: 1 unidad.</v>
      </c>
      <c r="Q192" s="13" t="str">
        <f>IFERROR(VLOOKUP(O192,CATÁLOGOS!$L$6:$O$305,4,FALSE),"")</f>
        <v>Insecticidas. Producto práctico pensado para facilitar las tareas diarias del hogar.</v>
      </c>
      <c r="R192" s="16"/>
      <c r="S192" s="16"/>
      <c r="T192" s="6" t="s">
        <v>329</v>
      </c>
      <c r="U192" s="10" t="s">
        <v>53</v>
      </c>
    </row>
    <row r="193" spans="1:21">
      <c r="A193" s="5" t="s">
        <v>1179</v>
      </c>
      <c r="B193" s="6" t="s">
        <v>228</v>
      </c>
      <c r="C193" s="6" t="s">
        <v>228</v>
      </c>
      <c r="D193" s="6" t="s">
        <v>1180</v>
      </c>
      <c r="E193" s="6" t="s">
        <v>1181</v>
      </c>
      <c r="F193" s="6" t="s">
        <v>394</v>
      </c>
      <c r="G193" s="13" t="str">
        <f>IFERROR(VLOOKUP(F193,CATÁLOGOS!$A$6:$B$105,2,FALSE),"")</f>
        <v>🧰 Accesorios y equipamiento</v>
      </c>
      <c r="H193" s="6" t="s">
        <v>1182</v>
      </c>
      <c r="I193" s="13" t="str">
        <f>IFERROR(VLOOKUP(H193,CATÁLOGOS!$F$6:$H$305,3,FALSE),"")</f>
        <v>Guantes</v>
      </c>
      <c r="J193" s="6" t="s">
        <v>1064</v>
      </c>
      <c r="K193" s="6" t="s">
        <v>1183</v>
      </c>
      <c r="L193" s="6" t="s">
        <v>1184</v>
      </c>
      <c r="M193" s="6" t="s">
        <v>397</v>
      </c>
      <c r="N193" s="6" t="s">
        <v>1185</v>
      </c>
      <c r="O193" s="6" t="s">
        <v>1186</v>
      </c>
      <c r="P193" s="13" t="str">
        <f>IFERROR(VLOOKUP(O193,CATÁLOGOS!$L$6:$O$305,3,FALSE),"")</f>
        <v>Guantes de Goma Make. Presentación: 1 unidad. Fragancia: Talle S.</v>
      </c>
      <c r="Q193" s="13" t="str">
        <f>IFERROR(VLOOKUP(O193,CATÁLOGOS!$L$6:$O$305,4,FALSE),"")</f>
        <v>Guantes. Accesorio resistente y práctico, pensado para facilitar las tareas de limpieza del hogar.</v>
      </c>
      <c r="R193" s="16"/>
      <c r="S193" s="16"/>
      <c r="T193" s="6" t="s">
        <v>329</v>
      </c>
      <c r="U193" s="10" t="s">
        <v>53</v>
      </c>
    </row>
    <row r="194" spans="1:21">
      <c r="A194" s="5" t="s">
        <v>1187</v>
      </c>
      <c r="B194" s="6" t="s">
        <v>229</v>
      </c>
      <c r="C194" s="6" t="s">
        <v>229</v>
      </c>
      <c r="D194" s="6" t="s">
        <v>1180</v>
      </c>
      <c r="E194" s="6" t="s">
        <v>1188</v>
      </c>
      <c r="F194" s="6" t="s">
        <v>394</v>
      </c>
      <c r="G194" s="13" t="str">
        <f>IFERROR(VLOOKUP(F194,CATÁLOGOS!$A$6:$B$105,2,FALSE),"")</f>
        <v>🧰 Accesorios y equipamiento</v>
      </c>
      <c r="H194" s="6" t="s">
        <v>1182</v>
      </c>
      <c r="I194" s="13" t="str">
        <f>IFERROR(VLOOKUP(H194,CATÁLOGOS!$F$6:$H$305,3,FALSE),"")</f>
        <v>Guantes</v>
      </c>
      <c r="J194" s="6" t="s">
        <v>1064</v>
      </c>
      <c r="K194" s="6" t="s">
        <v>1183</v>
      </c>
      <c r="L194" s="6" t="s">
        <v>1189</v>
      </c>
      <c r="M194" s="6" t="s">
        <v>397</v>
      </c>
      <c r="N194" s="6" t="s">
        <v>1190</v>
      </c>
      <c r="O194" s="6" t="s">
        <v>1191</v>
      </c>
      <c r="P194" s="13" t="str">
        <f>IFERROR(VLOOKUP(O194,CATÁLOGOS!$L$6:$O$305,3,FALSE),"")</f>
        <v>Guantes de Goma Make. Presentación: 1 unidad. Fragancia: Talle M.</v>
      </c>
      <c r="Q194" s="13" t="str">
        <f>IFERROR(VLOOKUP(O194,CATÁLOGOS!$L$6:$O$305,4,FALSE),"")</f>
        <v>Guantes. Accesorio resistente y práctico, pensado para facilitar las tareas de limpieza del hogar.</v>
      </c>
      <c r="R194" s="16"/>
      <c r="S194" s="16"/>
      <c r="T194" s="6" t="s">
        <v>329</v>
      </c>
      <c r="U194" s="10" t="s">
        <v>53</v>
      </c>
    </row>
    <row r="195" spans="1:21">
      <c r="A195" s="5" t="s">
        <v>1192</v>
      </c>
      <c r="B195" s="6" t="s">
        <v>230</v>
      </c>
      <c r="C195" s="6" t="s">
        <v>230</v>
      </c>
      <c r="D195" s="6" t="s">
        <v>1180</v>
      </c>
      <c r="E195" s="6" t="s">
        <v>1193</v>
      </c>
      <c r="F195" s="6" t="s">
        <v>394</v>
      </c>
      <c r="G195" s="13" t="str">
        <f>IFERROR(VLOOKUP(F195,CATÁLOGOS!$A$6:$B$105,2,FALSE),"")</f>
        <v>🧰 Accesorios y equipamiento</v>
      </c>
      <c r="H195" s="6" t="s">
        <v>1182</v>
      </c>
      <c r="I195" s="13" t="str">
        <f>IFERROR(VLOOKUP(H195,CATÁLOGOS!$F$6:$H$305,3,FALSE),"")</f>
        <v>Guantes</v>
      </c>
      <c r="J195" s="6" t="s">
        <v>1064</v>
      </c>
      <c r="K195" s="6" t="s">
        <v>1183</v>
      </c>
      <c r="L195" s="6" t="s">
        <v>1194</v>
      </c>
      <c r="M195" s="6" t="s">
        <v>397</v>
      </c>
      <c r="N195" s="6" t="s">
        <v>1195</v>
      </c>
      <c r="O195" s="6" t="s">
        <v>1196</v>
      </c>
      <c r="P195" s="13" t="str">
        <f>IFERROR(VLOOKUP(O195,CATÁLOGOS!$L$6:$O$305,3,FALSE),"")</f>
        <v>Guantes de Goma Make. Presentación: 1 unidad. Fragancia: Talle L.</v>
      </c>
      <c r="Q195" s="13" t="str">
        <f>IFERROR(VLOOKUP(O195,CATÁLOGOS!$L$6:$O$305,4,FALSE),"")</f>
        <v>Guantes. Accesorio resistente y práctico, pensado para facilitar las tareas de limpieza del hogar.</v>
      </c>
      <c r="R195" s="16"/>
      <c r="S195" s="16"/>
      <c r="T195" s="6" t="s">
        <v>329</v>
      </c>
      <c r="U195" s="10" t="s">
        <v>53</v>
      </c>
    </row>
    <row r="196" spans="1:21">
      <c r="A196" s="5" t="s">
        <v>1197</v>
      </c>
      <c r="B196" s="6" t="s">
        <v>231</v>
      </c>
      <c r="C196" s="6" t="s">
        <v>231</v>
      </c>
      <c r="D196" s="6" t="s">
        <v>1180</v>
      </c>
      <c r="E196" s="6" t="s">
        <v>1198</v>
      </c>
      <c r="F196" s="6" t="s">
        <v>394</v>
      </c>
      <c r="G196" s="13" t="str">
        <f>IFERROR(VLOOKUP(F196,CATÁLOGOS!$A$6:$B$105,2,FALSE),"")</f>
        <v>🧰 Accesorios y equipamiento</v>
      </c>
      <c r="H196" s="6" t="s">
        <v>1182</v>
      </c>
      <c r="I196" s="13" t="str">
        <f>IFERROR(VLOOKUP(H196,CATÁLOGOS!$F$6:$H$305,3,FALSE),"")</f>
        <v>Guantes</v>
      </c>
      <c r="J196" s="6" t="s">
        <v>1064</v>
      </c>
      <c r="K196" s="6" t="s">
        <v>1183</v>
      </c>
      <c r="L196" s="6" t="s">
        <v>1199</v>
      </c>
      <c r="M196" s="6" t="s">
        <v>397</v>
      </c>
      <c r="N196" s="6" t="s">
        <v>1200</v>
      </c>
      <c r="O196" s="6" t="s">
        <v>1201</v>
      </c>
      <c r="P196" s="13" t="str">
        <f>IFERROR(VLOOKUP(O196,CATÁLOGOS!$L$6:$O$305,3,FALSE),"")</f>
        <v>Guantes de Goma Make. Presentación: 1 unidad. Fragancia: Talle XL.</v>
      </c>
      <c r="Q196" s="13" t="str">
        <f>IFERROR(VLOOKUP(O196,CATÁLOGOS!$L$6:$O$305,4,FALSE),"")</f>
        <v>Guantes. Accesorio resistente y práctico, pensado para facilitar las tareas de limpieza del hogar.</v>
      </c>
      <c r="R196" s="16"/>
      <c r="S196" s="16"/>
      <c r="T196" s="6" t="s">
        <v>329</v>
      </c>
      <c r="U196" s="10" t="s">
        <v>53</v>
      </c>
    </row>
    <row r="197" spans="1:21">
      <c r="A197" s="5" t="s">
        <v>1202</v>
      </c>
      <c r="B197" s="6" t="s">
        <v>232</v>
      </c>
      <c r="C197" s="6" t="s">
        <v>232</v>
      </c>
      <c r="D197" s="6"/>
      <c r="E197" s="6"/>
      <c r="F197" s="6" t="s">
        <v>394</v>
      </c>
      <c r="G197" s="13" t="str">
        <f>IFERROR(VLOOKUP(F197,CATÁLOGOS!$A$6:$B$105,2,FALSE),"")</f>
        <v>🧰 Accesorios y equipamiento</v>
      </c>
      <c r="H197" s="6" t="s">
        <v>1182</v>
      </c>
      <c r="I197" s="13" t="str">
        <f>IFERROR(VLOOKUP(H197,CATÁLOGOS!$F$6:$H$305,3,FALSE),"")</f>
        <v>Guantes</v>
      </c>
      <c r="J197" s="6" t="s">
        <v>323</v>
      </c>
      <c r="K197" s="6" t="s">
        <v>1203</v>
      </c>
      <c r="L197" s="6"/>
      <c r="M197" s="6" t="s">
        <v>982</v>
      </c>
      <c r="N197" s="6" t="s">
        <v>1204</v>
      </c>
      <c r="O197" s="6" t="s">
        <v>1205</v>
      </c>
      <c r="P197" s="13" t="str">
        <f>IFERROR(VLOOKUP(O197,CATÁLOGOS!$L$6:$O$305,3,FALSE),"")</f>
        <v>Guantes de Latex descartable Caja x 100 unidades. Presentación: 1 pack.</v>
      </c>
      <c r="Q197" s="13" t="str">
        <f>IFERROR(VLOOKUP(O197,CATÁLOGOS!$L$6:$O$305,4,FALSE),"")</f>
        <v>Guantes. Accesorio resistente y práctico, pensado para facilitar las tareas de limpieza del hogar.</v>
      </c>
      <c r="R197" s="16"/>
      <c r="S197" s="16"/>
      <c r="T197" s="6" t="s">
        <v>329</v>
      </c>
      <c r="U197" s="10" t="s">
        <v>53</v>
      </c>
    </row>
    <row r="198" spans="1:21">
      <c r="A198" s="5" t="s">
        <v>1206</v>
      </c>
      <c r="B198" s="6" t="s">
        <v>233</v>
      </c>
      <c r="C198" s="6" t="s">
        <v>233</v>
      </c>
      <c r="D198" s="6"/>
      <c r="E198" s="6"/>
      <c r="F198" s="6" t="s">
        <v>394</v>
      </c>
      <c r="G198" s="13" t="str">
        <f>IFERROR(VLOOKUP(F198,CATÁLOGOS!$A$6:$B$105,2,FALSE),"")</f>
        <v>🧰 Accesorios y equipamiento</v>
      </c>
      <c r="H198" s="6" t="s">
        <v>1182</v>
      </c>
      <c r="I198" s="13" t="str">
        <f>IFERROR(VLOOKUP(H198,CATÁLOGOS!$F$6:$H$305,3,FALSE),"")</f>
        <v>Guantes</v>
      </c>
      <c r="J198" s="6" t="s">
        <v>323</v>
      </c>
      <c r="K198" s="6" t="s">
        <v>1207</v>
      </c>
      <c r="L198" s="6"/>
      <c r="M198" s="6" t="s">
        <v>982</v>
      </c>
      <c r="N198" s="6" t="s">
        <v>1208</v>
      </c>
      <c r="O198" s="6" t="s">
        <v>1209</v>
      </c>
      <c r="P198" s="13" t="str">
        <f>IFERROR(VLOOKUP(O198,CATÁLOGOS!$L$6:$O$305,3,FALSE),"")</f>
        <v>Guantes de Nitrilo Caja x 100 unidades. Presentación: 1 pack.</v>
      </c>
      <c r="Q198" s="13" t="str">
        <f>IFERROR(VLOOKUP(O198,CATÁLOGOS!$L$6:$O$305,4,FALSE),"")</f>
        <v>Guantes. Accesorio resistente y práctico, pensado para facilitar las tareas de limpieza del hogar.</v>
      </c>
      <c r="R198" s="16"/>
      <c r="S198" s="16"/>
      <c r="T198" s="6" t="s">
        <v>329</v>
      </c>
      <c r="U198" s="10" t="s">
        <v>53</v>
      </c>
    </row>
    <row r="199" spans="1:21">
      <c r="A199" s="5" t="s">
        <v>1210</v>
      </c>
      <c r="B199" s="6" t="s">
        <v>234</v>
      </c>
      <c r="C199" s="6" t="s">
        <v>234</v>
      </c>
      <c r="D199" s="6"/>
      <c r="E199" s="6"/>
      <c r="F199" s="6" t="s">
        <v>394</v>
      </c>
      <c r="G199" s="13" t="str">
        <f>IFERROR(VLOOKUP(F199,CATÁLOGOS!$A$6:$B$105,2,FALSE),"")</f>
        <v>🧰 Accesorios y equipamiento</v>
      </c>
      <c r="H199" s="6" t="s">
        <v>1211</v>
      </c>
      <c r="I199" s="13" t="str">
        <f>IFERROR(VLOOKUP(H199,CATÁLOGOS!$F$6:$H$305,3,FALSE),"")</f>
        <v>Mopas</v>
      </c>
      <c r="J199" s="6" t="s">
        <v>1212</v>
      </c>
      <c r="K199" s="6" t="s">
        <v>1213</v>
      </c>
      <c r="L199" s="6"/>
      <c r="M199" s="6" t="s">
        <v>397</v>
      </c>
      <c r="N199" s="6" t="s">
        <v>1214</v>
      </c>
      <c r="O199" s="6" t="s">
        <v>1215</v>
      </c>
      <c r="P199" s="13" t="str">
        <f>IFERROR(VLOOKUP(O199,CATÁLOGOS!$L$6:$O$305,3,FALSE),"")</f>
        <v>Escurre Facil Iberia. Presentación: 1 unidad. Marca Iberia.</v>
      </c>
      <c r="Q199" s="13" t="str">
        <f>IFERROR(VLOOKUP(O199,CATÁLOGOS!$L$6:$O$305,4,FALSE),"")</f>
        <v>Mopas. Accesorio resistente y práctico, pensado para facilitar las tareas de limpieza del hogar.</v>
      </c>
      <c r="R199" s="16"/>
      <c r="S199" s="16"/>
      <c r="T199" s="6" t="s">
        <v>329</v>
      </c>
      <c r="U199" s="10" t="s">
        <v>53</v>
      </c>
    </row>
    <row r="200" spans="1:21">
      <c r="A200" s="5" t="s">
        <v>1216</v>
      </c>
      <c r="B200" s="6" t="s">
        <v>235</v>
      </c>
      <c r="C200" s="6" t="s">
        <v>235</v>
      </c>
      <c r="D200" s="6"/>
      <c r="E200" s="6"/>
      <c r="F200" s="6" t="s">
        <v>394</v>
      </c>
      <c r="G200" s="13" t="str">
        <f>IFERROR(VLOOKUP(F200,CATÁLOGOS!$A$6:$B$105,2,FALSE),"")</f>
        <v>🧰 Accesorios y equipamiento</v>
      </c>
      <c r="H200" s="6" t="s">
        <v>1211</v>
      </c>
      <c r="I200" s="13" t="str">
        <f>IFERROR(VLOOKUP(H200,CATÁLOGOS!$F$6:$H$305,3,FALSE),"")</f>
        <v>Mopas</v>
      </c>
      <c r="J200" s="6" t="s">
        <v>1217</v>
      </c>
      <c r="K200" s="6" t="s">
        <v>1218</v>
      </c>
      <c r="L200" s="6"/>
      <c r="M200" s="6" t="s">
        <v>397</v>
      </c>
      <c r="N200" s="6" t="s">
        <v>1219</v>
      </c>
      <c r="O200" s="6" t="s">
        <v>1220</v>
      </c>
      <c r="P200" s="13" t="str">
        <f>IFERROR(VLOOKUP(O200,CATÁLOGOS!$L$6:$O$305,3,FALSE),"")</f>
        <v>Mopa Algodon Amarillo MrTrapo. Presentación: 1 unidad. Marca MrTrapo.</v>
      </c>
      <c r="Q200" s="13" t="str">
        <f>IFERROR(VLOOKUP(O200,CATÁLOGOS!$L$6:$O$305,4,FALSE),"")</f>
        <v>Mopas. Accesorio resistente y práctico, pensado para facilitar las tareas de limpieza del hogar.</v>
      </c>
      <c r="R200" s="16"/>
      <c r="S200" s="16"/>
      <c r="T200" s="6" t="s">
        <v>329</v>
      </c>
      <c r="U200" s="10" t="s">
        <v>53</v>
      </c>
    </row>
    <row r="201" spans="1:21">
      <c r="A201" s="5" t="s">
        <v>1221</v>
      </c>
      <c r="B201" s="6" t="s">
        <v>236</v>
      </c>
      <c r="C201" s="6" t="s">
        <v>236</v>
      </c>
      <c r="D201" s="6"/>
      <c r="E201" s="6"/>
      <c r="F201" s="6" t="s">
        <v>394</v>
      </c>
      <c r="G201" s="13" t="str">
        <f>IFERROR(VLOOKUP(F201,CATÁLOGOS!$A$6:$B$105,2,FALSE),"")</f>
        <v>🧰 Accesorios y equipamiento</v>
      </c>
      <c r="H201" s="6" t="s">
        <v>1211</v>
      </c>
      <c r="I201" s="13" t="str">
        <f>IFERROR(VLOOKUP(H201,CATÁLOGOS!$F$6:$H$305,3,FALSE),"")</f>
        <v>Mopas</v>
      </c>
      <c r="J201" s="6" t="s">
        <v>1222</v>
      </c>
      <c r="K201" s="6" t="s">
        <v>1223</v>
      </c>
      <c r="L201" s="6"/>
      <c r="M201" s="6" t="s">
        <v>397</v>
      </c>
      <c r="N201" s="6" t="s">
        <v>1224</v>
      </c>
      <c r="O201" s="6" t="s">
        <v>1225</v>
      </c>
      <c r="P201" s="13" t="str">
        <f>IFERROR(VLOOKUP(O201,CATÁLOGOS!$L$6:$O$305,3,FALSE),"")</f>
        <v>Mopa Amarilla Romyl. Presentación: 1 unidad. Marca Romyl.</v>
      </c>
      <c r="Q201" s="13" t="str">
        <f>IFERROR(VLOOKUP(O201,CATÁLOGOS!$L$6:$O$305,4,FALSE),"")</f>
        <v>Mopas. Accesorio resistente y práctico, pensado para facilitar las tareas de limpieza del hogar.</v>
      </c>
      <c r="R201" s="16"/>
      <c r="S201" s="16"/>
      <c r="T201" s="6" t="s">
        <v>329</v>
      </c>
      <c r="U201" s="10" t="s">
        <v>53</v>
      </c>
    </row>
    <row r="202" spans="1:21">
      <c r="A202" s="5" t="s">
        <v>1226</v>
      </c>
      <c r="B202" s="6" t="s">
        <v>237</v>
      </c>
      <c r="C202" s="6" t="s">
        <v>237</v>
      </c>
      <c r="D202" s="6"/>
      <c r="E202" s="6"/>
      <c r="F202" s="6" t="s">
        <v>394</v>
      </c>
      <c r="G202" s="13" t="str">
        <f>IFERROR(VLOOKUP(F202,CATÁLOGOS!$A$6:$B$105,2,FALSE),"")</f>
        <v>🧰 Accesorios y equipamiento</v>
      </c>
      <c r="H202" s="6" t="s">
        <v>1211</v>
      </c>
      <c r="I202" s="13" t="str">
        <f>IFERROR(VLOOKUP(H202,CATÁLOGOS!$F$6:$H$305,3,FALSE),"")</f>
        <v>Mopas</v>
      </c>
      <c r="J202" s="6" t="s">
        <v>1227</v>
      </c>
      <c r="K202" s="6" t="s">
        <v>1228</v>
      </c>
      <c r="L202" s="6"/>
      <c r="M202" s="6" t="s">
        <v>397</v>
      </c>
      <c r="N202" s="6" t="s">
        <v>1229</v>
      </c>
      <c r="O202" s="6" t="s">
        <v>1230</v>
      </c>
      <c r="P202" s="13" t="str">
        <f>IFERROR(VLOOKUP(O202,CATÁLOGOS!$L$6:$O$305,3,FALSE),"")</f>
        <v>Mopa Blanca Algodon FibranSur. Presentación: 1 unidad. Marca Fibran Sur.</v>
      </c>
      <c r="Q202" s="13" t="str">
        <f>IFERROR(VLOOKUP(O202,CATÁLOGOS!$L$6:$O$305,4,FALSE),"")</f>
        <v>Mopas. Accesorio resistente y práctico, pensado para facilitar las tareas de limpieza del hogar.</v>
      </c>
      <c r="R202" s="16"/>
      <c r="S202" s="16"/>
      <c r="T202" s="6" t="s">
        <v>329</v>
      </c>
      <c r="U202" s="10" t="s">
        <v>53</v>
      </c>
    </row>
    <row r="203" spans="1:21">
      <c r="A203" s="5" t="s">
        <v>1231</v>
      </c>
      <c r="B203" s="6" t="s">
        <v>238</v>
      </c>
      <c r="C203" s="6" t="s">
        <v>238</v>
      </c>
      <c r="D203" s="6"/>
      <c r="E203" s="6"/>
      <c r="F203" s="6" t="s">
        <v>394</v>
      </c>
      <c r="G203" s="13" t="str">
        <f>IFERROR(VLOOKUP(F203,CATÁLOGOS!$A$6:$B$105,2,FALSE),"")</f>
        <v>🧰 Accesorios y equipamiento</v>
      </c>
      <c r="H203" s="6" t="s">
        <v>1211</v>
      </c>
      <c r="I203" s="13" t="str">
        <f>IFERROR(VLOOKUP(H203,CATÁLOGOS!$F$6:$H$305,3,FALSE),"")</f>
        <v>Mopas</v>
      </c>
      <c r="J203" s="6" t="s">
        <v>1064</v>
      </c>
      <c r="K203" s="6" t="s">
        <v>1232</v>
      </c>
      <c r="L203" s="6"/>
      <c r="M203" s="6" t="s">
        <v>397</v>
      </c>
      <c r="N203" s="6" t="s">
        <v>1233</v>
      </c>
      <c r="O203" s="6" t="s">
        <v>1234</v>
      </c>
      <c r="P203" s="13" t="str">
        <f>IFERROR(VLOOKUP(O203,CATÁLOGOS!$L$6:$O$305,3,FALSE),"")</f>
        <v>Mopa Blanca Algodon Make. Presentación: 1 unidad.</v>
      </c>
      <c r="Q203" s="13" t="str">
        <f>IFERROR(VLOOKUP(O203,CATÁLOGOS!$L$6:$O$305,4,FALSE),"")</f>
        <v>Mopas. Accesorio resistente y práctico, pensado para facilitar las tareas de limpieza del hogar.</v>
      </c>
      <c r="R203" s="16"/>
      <c r="S203" s="16"/>
      <c r="T203" s="6" t="s">
        <v>329</v>
      </c>
      <c r="U203" s="10" t="s">
        <v>53</v>
      </c>
    </row>
    <row r="204" spans="1:21">
      <c r="A204" s="5" t="s">
        <v>1235</v>
      </c>
      <c r="B204" s="6" t="s">
        <v>239</v>
      </c>
      <c r="C204" s="6" t="s">
        <v>239</v>
      </c>
      <c r="D204" s="6"/>
      <c r="E204" s="6"/>
      <c r="F204" s="6" t="s">
        <v>394</v>
      </c>
      <c r="G204" s="13" t="str">
        <f>IFERROR(VLOOKUP(F204,CATÁLOGOS!$A$6:$B$105,2,FALSE),"")</f>
        <v>🧰 Accesorios y equipamiento</v>
      </c>
      <c r="H204" s="6" t="s">
        <v>1236</v>
      </c>
      <c r="I204" s="13" t="str">
        <f>IFERROR(VLOOKUP(H204,CATÁLOGOS!$F$6:$H$305,3,FALSE),"")</f>
        <v>Repuestos</v>
      </c>
      <c r="J204" s="6" t="s">
        <v>1237</v>
      </c>
      <c r="K204" s="6" t="s">
        <v>1238</v>
      </c>
      <c r="L204" s="6"/>
      <c r="M204" s="6" t="s">
        <v>397</v>
      </c>
      <c r="N204" s="6" t="s">
        <v>1239</v>
      </c>
      <c r="O204" s="6" t="s">
        <v>1240</v>
      </c>
      <c r="P204" s="13" t="str">
        <f>IFERROR(VLOOKUP(O204,CATÁLOGOS!$L$6:$O$305,3,FALSE),"")</f>
        <v>Repuesto Mopa Pelo Corto Turbo Facil. Presentación: 1 unidad. Marca Turbo Facil.</v>
      </c>
      <c r="Q204" s="13" t="str">
        <f>IFERROR(VLOOKUP(O204,CATÁLOGOS!$L$6:$O$305,4,FALSE),"")</f>
        <v>Repuestos. Accesorio resistente y práctico, pensado para facilitar las tareas de limpieza del hogar.</v>
      </c>
      <c r="R204" s="16"/>
      <c r="S204" s="16"/>
      <c r="T204" s="6" t="s">
        <v>329</v>
      </c>
      <c r="U204" s="10" t="s">
        <v>53</v>
      </c>
    </row>
    <row r="205" spans="1:21">
      <c r="A205" s="5" t="s">
        <v>1241</v>
      </c>
      <c r="B205" s="6" t="s">
        <v>240</v>
      </c>
      <c r="C205" s="6" t="s">
        <v>240</v>
      </c>
      <c r="D205" s="6"/>
      <c r="E205" s="6"/>
      <c r="F205" s="6" t="s">
        <v>394</v>
      </c>
      <c r="G205" s="13" t="str">
        <f>IFERROR(VLOOKUP(F205,CATÁLOGOS!$A$6:$B$105,2,FALSE),"")</f>
        <v>🧰 Accesorios y equipamiento</v>
      </c>
      <c r="H205" s="6" t="s">
        <v>1236</v>
      </c>
      <c r="I205" s="13" t="str">
        <f>IFERROR(VLOOKUP(H205,CATÁLOGOS!$F$6:$H$305,3,FALSE),"")</f>
        <v>Repuestos</v>
      </c>
      <c r="J205" s="6" t="s">
        <v>1242</v>
      </c>
      <c r="K205" s="6" t="s">
        <v>1243</v>
      </c>
      <c r="L205" s="6"/>
      <c r="M205" s="6" t="s">
        <v>397</v>
      </c>
      <c r="N205" s="6" t="s">
        <v>1244</v>
      </c>
      <c r="O205" s="6" t="s">
        <v>1245</v>
      </c>
      <c r="P205" s="13" t="str">
        <f>IFERROR(VLOOKUP(O205,CATÁLOGOS!$L$6:$O$305,3,FALSE),"")</f>
        <v>Repuesto Mopa Pelo Largo Turbo Matic. Presentación: 1 unidad. Marca Turbo Matic.</v>
      </c>
      <c r="Q205" s="13" t="str">
        <f>IFERROR(VLOOKUP(O205,CATÁLOGOS!$L$6:$O$305,4,FALSE),"")</f>
        <v>Repuestos. Accesorio resistente y práctico, pensado para facilitar las tareas de limpieza del hogar.</v>
      </c>
      <c r="R205" s="16"/>
      <c r="S205" s="16"/>
      <c r="T205" s="6" t="s">
        <v>329</v>
      </c>
      <c r="U205" s="10" t="s">
        <v>53</v>
      </c>
    </row>
    <row r="206" spans="1:21">
      <c r="A206" s="5" t="s">
        <v>1246</v>
      </c>
      <c r="B206" s="6" t="s">
        <v>241</v>
      </c>
      <c r="C206" s="6" t="s">
        <v>241</v>
      </c>
      <c r="D206" s="6"/>
      <c r="E206" s="6"/>
      <c r="F206" s="6" t="s">
        <v>394</v>
      </c>
      <c r="G206" s="13" t="str">
        <f>IFERROR(VLOOKUP(F206,CATÁLOGOS!$A$6:$B$105,2,FALSE),"")</f>
        <v>🧰 Accesorios y equipamiento</v>
      </c>
      <c r="H206" s="6" t="s">
        <v>1247</v>
      </c>
      <c r="I206" s="13" t="str">
        <f>IFERROR(VLOOKUP(H206,CATÁLOGOS!$F$6:$H$305,3,FALSE),"")</f>
        <v>Baldes y recipientes</v>
      </c>
      <c r="J206" s="6" t="s">
        <v>1248</v>
      </c>
      <c r="K206" s="6" t="s">
        <v>1249</v>
      </c>
      <c r="L206" s="6"/>
      <c r="M206" s="6" t="s">
        <v>397</v>
      </c>
      <c r="N206" s="6" t="s">
        <v>1250</v>
      </c>
      <c r="O206" s="6" t="s">
        <v>1251</v>
      </c>
      <c r="P206" s="13" t="str">
        <f>IFERROR(VLOOKUP(O206,CATÁLOGOS!$L$6:$O$305,3,FALSE),"")</f>
        <v>Balde Mopa 9 lts Matriplaster. Presentación: 1 unidad. Marca Matriplaster.</v>
      </c>
      <c r="Q206" s="13" t="str">
        <f>IFERROR(VLOOKUP(O206,CATÁLOGOS!$L$6:$O$305,4,FALSE),"")</f>
        <v>Baldes y recipientes. Accesorio resistente y práctico, pensado para facilitar las tareas de limpieza del hogar.</v>
      </c>
      <c r="R206" s="16"/>
      <c r="S206" s="16"/>
      <c r="T206" s="6" t="s">
        <v>329</v>
      </c>
      <c r="U206" s="10" t="s">
        <v>53</v>
      </c>
    </row>
    <row r="207" spans="1:21">
      <c r="A207" s="5" t="s">
        <v>1252</v>
      </c>
      <c r="B207" s="6" t="s">
        <v>242</v>
      </c>
      <c r="C207" s="6" t="s">
        <v>242</v>
      </c>
      <c r="D207" s="6"/>
      <c r="E207" s="6"/>
      <c r="F207" s="6" t="s">
        <v>394</v>
      </c>
      <c r="G207" s="13" t="str">
        <f>IFERROR(VLOOKUP(F207,CATÁLOGOS!$A$6:$B$105,2,FALSE),"")</f>
        <v>🧰 Accesorios y equipamiento</v>
      </c>
      <c r="H207" s="6" t="s">
        <v>1247</v>
      </c>
      <c r="I207" s="13" t="str">
        <f>IFERROR(VLOOKUP(H207,CATÁLOGOS!$F$6:$H$305,3,FALSE),"")</f>
        <v>Baldes y recipientes</v>
      </c>
      <c r="J207" s="6" t="s">
        <v>1248</v>
      </c>
      <c r="K207" s="6" t="s">
        <v>1253</v>
      </c>
      <c r="L207" s="6"/>
      <c r="M207" s="6" t="s">
        <v>397</v>
      </c>
      <c r="N207" s="6" t="s">
        <v>1254</v>
      </c>
      <c r="O207" s="6" t="s">
        <v>1255</v>
      </c>
      <c r="P207" s="13" t="str">
        <f>IFERROR(VLOOKUP(O207,CATÁLOGOS!$L$6:$O$305,3,FALSE),"")</f>
        <v>Balde Mopa 14 lts Matriplaster. Presentación: 1 unidad. Marca Matriplaster.</v>
      </c>
      <c r="Q207" s="13" t="str">
        <f>IFERROR(VLOOKUP(O207,CATÁLOGOS!$L$6:$O$305,4,FALSE),"")</f>
        <v>Baldes y recipientes. Accesorio resistente y práctico, pensado para facilitar las tareas de limpieza del hogar.</v>
      </c>
      <c r="R207" s="16"/>
      <c r="S207" s="16"/>
      <c r="T207" s="6" t="s">
        <v>329</v>
      </c>
      <c r="U207" s="10" t="s">
        <v>53</v>
      </c>
    </row>
    <row r="208" spans="1:21">
      <c r="A208" s="5" t="s">
        <v>1256</v>
      </c>
      <c r="B208" s="6" t="s">
        <v>243</v>
      </c>
      <c r="C208" s="6" t="s">
        <v>243</v>
      </c>
      <c r="D208" s="6"/>
      <c r="E208" s="6"/>
      <c r="F208" s="6" t="s">
        <v>394</v>
      </c>
      <c r="G208" s="13" t="str">
        <f>IFERROR(VLOOKUP(F208,CATÁLOGOS!$A$6:$B$105,2,FALSE),"")</f>
        <v>🧰 Accesorios y equipamiento</v>
      </c>
      <c r="H208" s="6" t="s">
        <v>1247</v>
      </c>
      <c r="I208" s="13" t="str">
        <f>IFERROR(VLOOKUP(H208,CATÁLOGOS!$F$6:$H$305,3,FALSE),"")</f>
        <v>Baldes y recipientes</v>
      </c>
      <c r="J208" s="6" t="s">
        <v>323</v>
      </c>
      <c r="K208" s="6" t="s">
        <v>1257</v>
      </c>
      <c r="L208" s="6"/>
      <c r="M208" s="6" t="s">
        <v>397</v>
      </c>
      <c r="N208" s="6" t="s">
        <v>1258</v>
      </c>
      <c r="O208" s="6" t="s">
        <v>1259</v>
      </c>
      <c r="P208" s="13" t="str">
        <f>IFERROR(VLOOKUP(O208,CATÁLOGOS!$L$6:$O$305,3,FALSE),"")</f>
        <v>Balde x 10 lts. Presentación: 1 unidad.</v>
      </c>
      <c r="Q208" s="13" t="str">
        <f>IFERROR(VLOOKUP(O208,CATÁLOGOS!$L$6:$O$305,4,FALSE),"")</f>
        <v>Baldes y recipientes. Accesorio resistente y práctico, pensado para facilitar las tareas de limpieza del hogar.</v>
      </c>
      <c r="R208" s="16"/>
      <c r="S208" s="16"/>
      <c r="T208" s="6" t="s">
        <v>329</v>
      </c>
      <c r="U208" s="10" t="s">
        <v>53</v>
      </c>
    </row>
    <row r="209" spans="1:21">
      <c r="A209" s="5" t="s">
        <v>1260</v>
      </c>
      <c r="B209" s="6" t="s">
        <v>244</v>
      </c>
      <c r="C209" s="6" t="s">
        <v>244</v>
      </c>
      <c r="D209" s="6"/>
      <c r="E209" s="6"/>
      <c r="F209" s="6" t="s">
        <v>394</v>
      </c>
      <c r="G209" s="13" t="str">
        <f>IFERROR(VLOOKUP(F209,CATÁLOGOS!$A$6:$B$105,2,FALSE),"")</f>
        <v>🧰 Accesorios y equipamiento</v>
      </c>
      <c r="H209" s="6" t="s">
        <v>1247</v>
      </c>
      <c r="I209" s="13" t="str">
        <f>IFERROR(VLOOKUP(H209,CATÁLOGOS!$F$6:$H$305,3,FALSE),"")</f>
        <v>Baldes y recipientes</v>
      </c>
      <c r="J209" s="6" t="s">
        <v>323</v>
      </c>
      <c r="K209" s="6" t="s">
        <v>1261</v>
      </c>
      <c r="L209" s="6"/>
      <c r="M209" s="6" t="s">
        <v>397</v>
      </c>
      <c r="N209" s="6" t="s">
        <v>1262</v>
      </c>
      <c r="O209" s="6" t="s">
        <v>1263</v>
      </c>
      <c r="P209" s="13" t="str">
        <f>IFERROR(VLOOKUP(O209,CATÁLOGOS!$L$6:$O$305,3,FALSE),"")</f>
        <v>Balde x 12 lts. Presentación: 1 unidad.</v>
      </c>
      <c r="Q209" s="13" t="str">
        <f>IFERROR(VLOOKUP(O209,CATÁLOGOS!$L$6:$O$305,4,FALSE),"")</f>
        <v>Baldes y recipientes. Accesorio resistente y práctico, pensado para facilitar las tareas de limpieza del hogar.</v>
      </c>
      <c r="R209" s="16"/>
      <c r="S209" s="16"/>
      <c r="T209" s="6" t="s">
        <v>329</v>
      </c>
      <c r="U209" s="10" t="s">
        <v>53</v>
      </c>
    </row>
    <row r="210" spans="1:21">
      <c r="A210" s="5" t="s">
        <v>1264</v>
      </c>
      <c r="B210" s="6" t="s">
        <v>245</v>
      </c>
      <c r="C210" s="6" t="s">
        <v>245</v>
      </c>
      <c r="D210" s="6"/>
      <c r="E210" s="6"/>
      <c r="F210" s="6" t="s">
        <v>394</v>
      </c>
      <c r="G210" s="13" t="str">
        <f>IFERROR(VLOOKUP(F210,CATÁLOGOS!$A$6:$B$105,2,FALSE),"")</f>
        <v>🧰 Accesorios y equipamiento</v>
      </c>
      <c r="H210" s="6" t="s">
        <v>1247</v>
      </c>
      <c r="I210" s="13" t="str">
        <f>IFERROR(VLOOKUP(H210,CATÁLOGOS!$F$6:$H$305,3,FALSE),"")</f>
        <v>Baldes y recipientes</v>
      </c>
      <c r="J210" s="6" t="s">
        <v>1248</v>
      </c>
      <c r="K210" s="6" t="s">
        <v>1265</v>
      </c>
      <c r="L210" s="6"/>
      <c r="M210" s="6" t="s">
        <v>397</v>
      </c>
      <c r="N210" s="6" t="s">
        <v>1266</v>
      </c>
      <c r="O210" s="6" t="s">
        <v>1267</v>
      </c>
      <c r="P210" s="13" t="str">
        <f>IFERROR(VLOOKUP(O210,CATÁLOGOS!$L$6:$O$305,3,FALSE),"")</f>
        <v>Balde Mopa Duo Matriplaster. Presentación: 1 unidad. Marca Matriplaster.</v>
      </c>
      <c r="Q210" s="13" t="str">
        <f>IFERROR(VLOOKUP(O210,CATÁLOGOS!$L$6:$O$305,4,FALSE),"")</f>
        <v>Baldes y recipientes. Accesorio resistente y práctico, pensado para facilitar las tareas de limpieza del hogar.</v>
      </c>
      <c r="R210" s="16"/>
      <c r="S210" s="16"/>
      <c r="T210" s="6" t="s">
        <v>329</v>
      </c>
      <c r="U210" s="10" t="s">
        <v>53</v>
      </c>
    </row>
    <row r="211" spans="1:21">
      <c r="A211" s="5" t="s">
        <v>1268</v>
      </c>
      <c r="B211" s="6" t="s">
        <v>246</v>
      </c>
      <c r="C211" s="6" t="s">
        <v>246</v>
      </c>
      <c r="D211" s="6"/>
      <c r="E211" s="6"/>
      <c r="F211" s="6" t="s">
        <v>394</v>
      </c>
      <c r="G211" s="13" t="str">
        <f>IFERROR(VLOOKUP(F211,CATÁLOGOS!$A$6:$B$105,2,FALSE),"")</f>
        <v>🧰 Accesorios y equipamiento</v>
      </c>
      <c r="H211" s="6" t="s">
        <v>1247</v>
      </c>
      <c r="I211" s="13" t="str">
        <f>IFERROR(VLOOKUP(H211,CATÁLOGOS!$F$6:$H$305,3,FALSE),"")</f>
        <v>Baldes y recipientes</v>
      </c>
      <c r="J211" s="6" t="s">
        <v>323</v>
      </c>
      <c r="K211" s="6" t="s">
        <v>1269</v>
      </c>
      <c r="L211" s="6"/>
      <c r="M211" s="6" t="s">
        <v>397</v>
      </c>
      <c r="N211" s="6" t="s">
        <v>1270</v>
      </c>
      <c r="O211" s="6" t="s">
        <v>1271</v>
      </c>
      <c r="P211" s="13" t="str">
        <f>IFERROR(VLOOKUP(O211,CATÁLOGOS!$L$6:$O$305,3,FALSE),"")</f>
        <v>Balde Mopa Plana. Presentación: 1 unidad.</v>
      </c>
      <c r="Q211" s="13" t="str">
        <f>IFERROR(VLOOKUP(O211,CATÁLOGOS!$L$6:$O$305,4,FALSE),"")</f>
        <v>Baldes y recipientes. Accesorio resistente y práctico, pensado para facilitar las tareas de limpieza del hogar.</v>
      </c>
      <c r="R211" s="16"/>
      <c r="S211" s="16"/>
      <c r="T211" s="6" t="s">
        <v>329</v>
      </c>
      <c r="U211" s="10" t="s">
        <v>53</v>
      </c>
    </row>
    <row r="212" spans="1:21">
      <c r="A212" s="5" t="s">
        <v>1272</v>
      </c>
      <c r="B212" s="6" t="s">
        <v>247</v>
      </c>
      <c r="C212" s="6" t="s">
        <v>247</v>
      </c>
      <c r="D212" s="6"/>
      <c r="E212" s="6"/>
      <c r="F212" s="6" t="s">
        <v>1273</v>
      </c>
      <c r="G212" s="13" t="str">
        <f>IFERROR(VLOOKUP(F212,CATÁLOGOS!$A$6:$B$105,2,FALSE),"")</f>
        <v>🏊 Piletas</v>
      </c>
      <c r="H212" s="6" t="s">
        <v>1274</v>
      </c>
      <c r="I212" s="13" t="str">
        <f>IFERROR(VLOOKUP(H212,CATÁLOGOS!$F$6:$H$305,3,FALSE),"")</f>
        <v>Líquidos</v>
      </c>
      <c r="J212" s="6" t="s">
        <v>1275</v>
      </c>
      <c r="K212" s="6" t="s">
        <v>1276</v>
      </c>
      <c r="L212" s="6"/>
      <c r="M212" s="6" t="s">
        <v>919</v>
      </c>
      <c r="N212" s="6" t="s">
        <v>1277</v>
      </c>
      <c r="O212" s="6" t="s">
        <v>1278</v>
      </c>
      <c r="P212" s="13" t="str">
        <f>IFERROR(VLOOKUP(O212,CATÁLOGOS!$L$6:$O$305,3,FALSE),"")</f>
        <v>Alguicida Clorotec 1 litro. Presentación: 1 litro. Marca Clorotec.</v>
      </c>
      <c r="Q212" s="13" t="str">
        <f>IFERROR(VLOOKUP(O212,CATÁLOGOS!$L$6:$O$305,4,FALSE),"")</f>
        <v>Líquidos. Mantiene el agua de la pileta limpia, clara y segura para el baño durante toda la temporada.</v>
      </c>
      <c r="R212" s="16"/>
      <c r="S212" s="16"/>
      <c r="T212" s="6" t="s">
        <v>329</v>
      </c>
      <c r="U212" s="10" t="s">
        <v>53</v>
      </c>
    </row>
    <row r="213" spans="1:21">
      <c r="A213" s="5" t="s">
        <v>1279</v>
      </c>
      <c r="B213" s="6" t="s">
        <v>248</v>
      </c>
      <c r="C213" s="6" t="s">
        <v>248</v>
      </c>
      <c r="D213" s="6"/>
      <c r="E213" s="6"/>
      <c r="F213" s="6" t="s">
        <v>1273</v>
      </c>
      <c r="G213" s="13" t="str">
        <f>IFERROR(VLOOKUP(F213,CATÁLOGOS!$A$6:$B$105,2,FALSE),"")</f>
        <v>🏊 Piletas</v>
      </c>
      <c r="H213" s="6" t="s">
        <v>1274</v>
      </c>
      <c r="I213" s="13" t="str">
        <f>IFERROR(VLOOKUP(H213,CATÁLOGOS!$F$6:$H$305,3,FALSE),"")</f>
        <v>Líquidos</v>
      </c>
      <c r="J213" s="6" t="s">
        <v>1275</v>
      </c>
      <c r="K213" s="6" t="s">
        <v>1280</v>
      </c>
      <c r="L213" s="6"/>
      <c r="M213" s="6" t="s">
        <v>919</v>
      </c>
      <c r="N213" s="6" t="s">
        <v>1281</v>
      </c>
      <c r="O213" s="6" t="s">
        <v>1282</v>
      </c>
      <c r="P213" s="13" t="str">
        <f>IFERROR(VLOOKUP(O213,CATÁLOGOS!$L$6:$O$305,3,FALSE),"")</f>
        <v>Clarificante Clorotec 1 litro. Presentación: 1 litro. Marca Clorotec.</v>
      </c>
      <c r="Q213" s="13" t="str">
        <f>IFERROR(VLOOKUP(O213,CATÁLOGOS!$L$6:$O$305,4,FALSE),"")</f>
        <v>Líquidos. Mantiene el agua de la pileta limpia, clara y segura para el baño durante toda la temporada.</v>
      </c>
      <c r="R213" s="16"/>
      <c r="S213" s="16"/>
      <c r="T213" s="6" t="s">
        <v>329</v>
      </c>
      <c r="U213" s="10" t="s">
        <v>53</v>
      </c>
    </row>
    <row r="214" spans="1:21">
      <c r="A214" s="5" t="s">
        <v>1283</v>
      </c>
      <c r="B214" s="6" t="s">
        <v>249</v>
      </c>
      <c r="C214" s="6" t="s">
        <v>249</v>
      </c>
      <c r="D214" s="6"/>
      <c r="E214" s="6"/>
      <c r="F214" s="6" t="s">
        <v>1273</v>
      </c>
      <c r="G214" s="13" t="str">
        <f>IFERROR(VLOOKUP(F214,CATÁLOGOS!$A$6:$B$105,2,FALSE),"")</f>
        <v>🏊 Piletas</v>
      </c>
      <c r="H214" s="6" t="s">
        <v>1274</v>
      </c>
      <c r="I214" s="13" t="str">
        <f>IFERROR(VLOOKUP(H214,CATÁLOGOS!$F$6:$H$305,3,FALSE),"")</f>
        <v>Líquidos</v>
      </c>
      <c r="J214" s="6" t="s">
        <v>323</v>
      </c>
      <c r="K214" s="6" t="s">
        <v>1284</v>
      </c>
      <c r="L214" s="6"/>
      <c r="M214" s="6" t="s">
        <v>326</v>
      </c>
      <c r="N214" s="6" t="s">
        <v>1285</v>
      </c>
      <c r="O214" s="6" t="s">
        <v>1286</v>
      </c>
      <c r="P214" s="13" t="str">
        <f>IFERROR(VLOOKUP(O214,CATÁLOGOS!$L$6:$O$305,3,FALSE),"")</f>
        <v>Regulador PH 5 litros. Presentación: 5 litros.</v>
      </c>
      <c r="Q214" s="13" t="str">
        <f>IFERROR(VLOOKUP(O214,CATÁLOGOS!$L$6:$O$305,4,FALSE),"")</f>
        <v>Líquidos. Mantiene el agua de la pileta limpia, clara y segura para el baño durante toda la temporada.</v>
      </c>
      <c r="R214" s="16"/>
      <c r="S214" s="16"/>
      <c r="T214" s="6" t="s">
        <v>329</v>
      </c>
      <c r="U214" s="10" t="s">
        <v>53</v>
      </c>
    </row>
    <row r="215" spans="1:21">
      <c r="A215" s="5" t="s">
        <v>1287</v>
      </c>
      <c r="B215" s="6" t="s">
        <v>250</v>
      </c>
      <c r="C215" s="6" t="s">
        <v>250</v>
      </c>
      <c r="D215" s="6"/>
      <c r="E215" s="6"/>
      <c r="F215" s="6" t="s">
        <v>1273</v>
      </c>
      <c r="G215" s="13" t="str">
        <f>IFERROR(VLOOKUP(F215,CATÁLOGOS!$A$6:$B$105,2,FALSE),"")</f>
        <v>🏊 Piletas</v>
      </c>
      <c r="H215" s="6" t="s">
        <v>1288</v>
      </c>
      <c r="I215" s="13" t="str">
        <f>IFERROR(VLOOKUP(H215,CATÁLOGOS!$F$6:$H$305,3,FALSE),"")</f>
        <v>Químicos</v>
      </c>
      <c r="J215" s="6" t="s">
        <v>323</v>
      </c>
      <c r="K215" s="6" t="s">
        <v>1289</v>
      </c>
      <c r="L215" s="6"/>
      <c r="M215" s="6" t="s">
        <v>1290</v>
      </c>
      <c r="N215" s="6" t="s">
        <v>1291</v>
      </c>
      <c r="O215" s="6" t="s">
        <v>1292</v>
      </c>
      <c r="P215" s="13" t="str">
        <f>IFERROR(VLOOKUP(O215,CATÁLOGOS!$L$6:$O$305,3,FALSE),"")</f>
        <v>Cloro Granulado Lento x 50 kg. Presentación: 50 kilos.</v>
      </c>
      <c r="Q215" s="13" t="str">
        <f>IFERROR(VLOOKUP(O215,CATÁLOGOS!$L$6:$O$305,4,FALSE),"")</f>
        <v>Químicos. Mantiene el agua de la pileta limpia, clara y segura para el baño durante toda la temporada.</v>
      </c>
      <c r="R215" s="16"/>
      <c r="S215" s="16"/>
      <c r="T215" s="6" t="s">
        <v>329</v>
      </c>
      <c r="U215" s="10" t="s">
        <v>53</v>
      </c>
    </row>
    <row r="216" spans="1:21">
      <c r="A216" s="5" t="s">
        <v>1293</v>
      </c>
      <c r="B216" s="6" t="s">
        <v>251</v>
      </c>
      <c r="C216" s="6" t="s">
        <v>251</v>
      </c>
      <c r="D216" s="6"/>
      <c r="E216" s="6"/>
      <c r="F216" s="6" t="s">
        <v>1273</v>
      </c>
      <c r="G216" s="13" t="str">
        <f>IFERROR(VLOOKUP(F216,CATÁLOGOS!$A$6:$B$105,2,FALSE),"")</f>
        <v>🏊 Piletas</v>
      </c>
      <c r="H216" s="6" t="s">
        <v>1288</v>
      </c>
      <c r="I216" s="13" t="str">
        <f>IFERROR(VLOOKUP(H216,CATÁLOGOS!$F$6:$H$305,3,FALSE),"")</f>
        <v>Químicos</v>
      </c>
      <c r="J216" s="6" t="s">
        <v>1294</v>
      </c>
      <c r="K216" s="6" t="s">
        <v>1295</v>
      </c>
      <c r="L216" s="6"/>
      <c r="M216" s="6" t="s">
        <v>1296</v>
      </c>
      <c r="N216" s="6" t="s">
        <v>1297</v>
      </c>
      <c r="O216" s="6" t="s">
        <v>1298</v>
      </c>
      <c r="P216" s="13" t="str">
        <f>IFERROR(VLOOKUP(O216,CATÁLOGOS!$L$6:$O$305,3,FALSE),"")</f>
        <v>Cloro Granulado Lento 1 kg. Presentación: 1 kilo.</v>
      </c>
      <c r="Q216" s="13" t="str">
        <f>IFERROR(VLOOKUP(O216,CATÁLOGOS!$L$6:$O$305,4,FALSE),"")</f>
        <v>Químicos. Mantiene el agua de la pileta limpia, clara y segura para el baño durante toda la temporada.</v>
      </c>
      <c r="R216" s="16"/>
      <c r="S216" s="16"/>
      <c r="T216" s="6" t="s">
        <v>329</v>
      </c>
      <c r="U216" s="10" t="s">
        <v>53</v>
      </c>
    </row>
    <row r="217" spans="1:21">
      <c r="A217" s="5" t="s">
        <v>1299</v>
      </c>
      <c r="B217" s="6" t="s">
        <v>252</v>
      </c>
      <c r="C217" s="6" t="s">
        <v>252</v>
      </c>
      <c r="D217" s="6"/>
      <c r="E217" s="6"/>
      <c r="F217" s="6" t="s">
        <v>1273</v>
      </c>
      <c r="G217" s="13" t="str">
        <f>IFERROR(VLOOKUP(F217,CATÁLOGOS!$A$6:$B$105,2,FALSE),"")</f>
        <v>🏊 Piletas</v>
      </c>
      <c r="H217" s="6" t="s">
        <v>1288</v>
      </c>
      <c r="I217" s="13" t="str">
        <f>IFERROR(VLOOKUP(H217,CATÁLOGOS!$F$6:$H$305,3,FALSE),"")</f>
        <v>Químicos</v>
      </c>
      <c r="J217" s="6" t="s">
        <v>1294</v>
      </c>
      <c r="K217" s="6" t="s">
        <v>1300</v>
      </c>
      <c r="L217" s="6"/>
      <c r="M217" s="6" t="s">
        <v>397</v>
      </c>
      <c r="N217" s="6" t="s">
        <v>1301</v>
      </c>
      <c r="O217" s="6" t="s">
        <v>1302</v>
      </c>
      <c r="P217" s="13" t="str">
        <f>IFERROR(VLOOKUP(O217,CATÁLOGOS!$L$6:$O$305,3,FALSE),"")</f>
        <v>Reactivos x 2. Presentación: 1 unidad.</v>
      </c>
      <c r="Q217" s="13" t="str">
        <f>IFERROR(VLOOKUP(O217,CATÁLOGOS!$L$6:$O$305,4,FALSE),"")</f>
        <v>Químicos. Mantiene el agua de la pileta limpia, clara y segura para el baño durante toda la temporada.</v>
      </c>
      <c r="R217" s="16"/>
      <c r="S217" s="16"/>
      <c r="T217" s="6" t="s">
        <v>329</v>
      </c>
      <c r="U217" s="10" t="s">
        <v>53</v>
      </c>
    </row>
    <row r="218" spans="1:21">
      <c r="A218" s="5" t="s">
        <v>1303</v>
      </c>
      <c r="B218" s="6" t="s">
        <v>253</v>
      </c>
      <c r="C218" s="6" t="s">
        <v>253</v>
      </c>
      <c r="D218" s="6"/>
      <c r="E218" s="6"/>
      <c r="F218" s="6" t="s">
        <v>1273</v>
      </c>
      <c r="G218" s="13" t="str">
        <f>IFERROR(VLOOKUP(F218,CATÁLOGOS!$A$6:$B$105,2,FALSE),"")</f>
        <v>🏊 Piletas</v>
      </c>
      <c r="H218" s="6" t="s">
        <v>1288</v>
      </c>
      <c r="I218" s="13" t="str">
        <f>IFERROR(VLOOKUP(H218,CATÁLOGOS!$F$6:$H$305,3,FALSE),"")</f>
        <v>Químicos</v>
      </c>
      <c r="J218" s="6" t="s">
        <v>1294</v>
      </c>
      <c r="K218" s="6" t="s">
        <v>1304</v>
      </c>
      <c r="L218" s="6"/>
      <c r="M218" s="6" t="s">
        <v>982</v>
      </c>
      <c r="N218" s="6" t="s">
        <v>1305</v>
      </c>
      <c r="O218" s="6" t="s">
        <v>1306</v>
      </c>
      <c r="P218" s="13" t="str">
        <f>IFERROR(VLOOKUP(O218,CATÁLOGOS!$L$6:$O$305,3,FALSE),"")</f>
        <v>Pastillas de Cloro triple Accion de 200 gr pack x 5 pastillas. Presentación: 1 pack.</v>
      </c>
      <c r="Q218" s="13" t="str">
        <f>IFERROR(VLOOKUP(O218,CATÁLOGOS!$L$6:$O$305,4,FALSE),"")</f>
        <v>Químicos. Mantiene el agua de la pileta limpia, clara y segura para el baño durante toda la temporada.</v>
      </c>
      <c r="R218" s="16"/>
      <c r="S218" s="16"/>
      <c r="T218" s="6" t="s">
        <v>329</v>
      </c>
      <c r="U218" s="10" t="s">
        <v>53</v>
      </c>
    </row>
    <row r="219" spans="1:21">
      <c r="A219" s="5" t="s">
        <v>1307</v>
      </c>
      <c r="B219" s="6" t="s">
        <v>254</v>
      </c>
      <c r="C219" s="6" t="s">
        <v>254</v>
      </c>
      <c r="D219" s="6"/>
      <c r="E219" s="6"/>
      <c r="F219" s="6" t="s">
        <v>1273</v>
      </c>
      <c r="G219" s="13" t="str">
        <f>IFERROR(VLOOKUP(F219,CATÁLOGOS!$A$6:$B$105,2,FALSE),"")</f>
        <v>🏊 Piletas</v>
      </c>
      <c r="H219" s="6" t="s">
        <v>1288</v>
      </c>
      <c r="I219" s="13" t="str">
        <f>IFERROR(VLOOKUP(H219,CATÁLOGOS!$F$6:$H$305,3,FALSE),"")</f>
        <v>Químicos</v>
      </c>
      <c r="J219" s="6" t="s">
        <v>1294</v>
      </c>
      <c r="K219" s="6" t="s">
        <v>1308</v>
      </c>
      <c r="L219" s="6"/>
      <c r="M219" s="6" t="s">
        <v>397</v>
      </c>
      <c r="N219" s="6" t="s">
        <v>1309</v>
      </c>
      <c r="O219" s="6" t="s">
        <v>1310</v>
      </c>
      <c r="P219" s="13" t="str">
        <f>IFERROR(VLOOKUP(O219,CATÁLOGOS!$L$6:$O$305,3,FALSE),"")</f>
        <v>Test kit. Presentación: 1 unidad.</v>
      </c>
      <c r="Q219" s="13" t="str">
        <f>IFERROR(VLOOKUP(O219,CATÁLOGOS!$L$6:$O$305,4,FALSE),"")</f>
        <v>Químicos. Mantiene el agua de la pileta limpia, clara y segura para el baño durante toda la temporada.</v>
      </c>
      <c r="R219" s="16"/>
      <c r="S219" s="16"/>
      <c r="T219" s="6" t="s">
        <v>329</v>
      </c>
      <c r="U219" s="10" t="s">
        <v>53</v>
      </c>
    </row>
    <row r="220" spans="1:21">
      <c r="A220" s="5" t="s">
        <v>1311</v>
      </c>
      <c r="B220" s="6" t="s">
        <v>255</v>
      </c>
      <c r="C220" s="6" t="s">
        <v>255</v>
      </c>
      <c r="D220" s="6"/>
      <c r="E220" s="6"/>
      <c r="F220" s="6" t="s">
        <v>1273</v>
      </c>
      <c r="G220" s="13" t="str">
        <f>IFERROR(VLOOKUP(F220,CATÁLOGOS!$A$6:$B$105,2,FALSE),"")</f>
        <v>🏊 Piletas</v>
      </c>
      <c r="H220" s="6" t="s">
        <v>1312</v>
      </c>
      <c r="I220" s="13" t="str">
        <f>IFERROR(VLOOKUP(H220,CATÁLOGOS!$F$6:$H$305,3,FALSE),"")</f>
        <v>Mangueras</v>
      </c>
      <c r="J220" s="6" t="s">
        <v>1294</v>
      </c>
      <c r="K220" s="6" t="s">
        <v>1313</v>
      </c>
      <c r="L220" s="6"/>
      <c r="M220" s="6" t="s">
        <v>397</v>
      </c>
      <c r="N220" s="6" t="s">
        <v>1314</v>
      </c>
      <c r="O220" s="6" t="s">
        <v>1315</v>
      </c>
      <c r="P220" s="13" t="str">
        <f>IFERROR(VLOOKUP(O220,CATÁLOGOS!$L$6:$O$305,3,FALSE),"")</f>
        <v>Manguera 1'' x 15 mts. Presentación: 1 unidad.</v>
      </c>
      <c r="Q220" s="13" t="str">
        <f>IFERROR(VLOOKUP(O220,CATÁLOGOS!$L$6:$O$305,4,FALSE),"")</f>
        <v>Mangueras. Mantiene el agua de la pileta limpia, clara y segura para el baño durante toda la temporada.</v>
      </c>
      <c r="R220" s="16"/>
      <c r="S220" s="16"/>
      <c r="T220" s="6" t="s">
        <v>329</v>
      </c>
      <c r="U220" s="10" t="s">
        <v>53</v>
      </c>
    </row>
    <row r="221" spans="1:21">
      <c r="A221" s="5" t="s">
        <v>1316</v>
      </c>
      <c r="B221" s="6" t="s">
        <v>256</v>
      </c>
      <c r="C221" s="6" t="s">
        <v>256</v>
      </c>
      <c r="D221" s="6"/>
      <c r="E221" s="6"/>
      <c r="F221" s="6" t="s">
        <v>1273</v>
      </c>
      <c r="G221" s="13" t="str">
        <f>IFERROR(VLOOKUP(F221,CATÁLOGOS!$A$6:$B$105,2,FALSE),"")</f>
        <v>🏊 Piletas</v>
      </c>
      <c r="H221" s="6" t="s">
        <v>1312</v>
      </c>
      <c r="I221" s="13" t="str">
        <f>IFERROR(VLOOKUP(H221,CATÁLOGOS!$F$6:$H$305,3,FALSE),"")</f>
        <v>Mangueras</v>
      </c>
      <c r="J221" s="6" t="s">
        <v>1294</v>
      </c>
      <c r="K221" s="6" t="s">
        <v>1317</v>
      </c>
      <c r="L221" s="6"/>
      <c r="M221" s="6" t="s">
        <v>397</v>
      </c>
      <c r="N221" s="6" t="s">
        <v>1318</v>
      </c>
      <c r="O221" s="6" t="s">
        <v>1319</v>
      </c>
      <c r="P221" s="13" t="str">
        <f>IFERROR(VLOOKUP(O221,CATÁLOGOS!$L$6:$O$305,3,FALSE),"")</f>
        <v>Manguera 3/4" x 15 mts. Presentación: 1 unidad.</v>
      </c>
      <c r="Q221" s="13" t="str">
        <f>IFERROR(VLOOKUP(O221,CATÁLOGOS!$L$6:$O$305,4,FALSE),"")</f>
        <v>Mangueras. Mantiene el agua de la pileta limpia, clara y segura para el baño durante toda la temporada.</v>
      </c>
      <c r="R221" s="16"/>
      <c r="S221" s="16"/>
      <c r="T221" s="6" t="s">
        <v>329</v>
      </c>
      <c r="U221" s="10" t="s">
        <v>53</v>
      </c>
    </row>
    <row r="222" spans="1:21">
      <c r="A222" s="5" t="s">
        <v>1320</v>
      </c>
      <c r="B222" s="6" t="s">
        <v>257</v>
      </c>
      <c r="C222" s="6" t="s">
        <v>257</v>
      </c>
      <c r="D222" s="6"/>
      <c r="E222" s="6"/>
      <c r="F222" s="6" t="s">
        <v>1273</v>
      </c>
      <c r="G222" s="13" t="str">
        <f>IFERROR(VLOOKUP(F222,CATÁLOGOS!$A$6:$B$105,2,FALSE),"")</f>
        <v>🏊 Piletas</v>
      </c>
      <c r="H222" s="6" t="s">
        <v>1312</v>
      </c>
      <c r="I222" s="13" t="str">
        <f>IFERROR(VLOOKUP(H222,CATÁLOGOS!$F$6:$H$305,3,FALSE),"")</f>
        <v>Mangueras</v>
      </c>
      <c r="J222" s="6" t="s">
        <v>1294</v>
      </c>
      <c r="K222" s="6" t="s">
        <v>1321</v>
      </c>
      <c r="L222" s="6"/>
      <c r="M222" s="6" t="s">
        <v>397</v>
      </c>
      <c r="N222" s="6" t="s">
        <v>1322</v>
      </c>
      <c r="O222" s="6" t="s">
        <v>1323</v>
      </c>
      <c r="P222" s="13" t="str">
        <f>IFERROR(VLOOKUP(O222,CATÁLOGOS!$L$6:$O$305,3,FALSE),"")</f>
        <v>Manguera 1/2" x 15 mts. Presentación: 1 unidad.</v>
      </c>
      <c r="Q222" s="13" t="str">
        <f>IFERROR(VLOOKUP(O222,CATÁLOGOS!$L$6:$O$305,4,FALSE),"")</f>
        <v>Mangueras. Mantiene el agua de la pileta limpia, clara y segura para el baño durante toda la temporada.</v>
      </c>
      <c r="R222" s="16"/>
      <c r="S222" s="16"/>
      <c r="T222" s="6" t="s">
        <v>329</v>
      </c>
      <c r="U222" s="10" t="s">
        <v>53</v>
      </c>
    </row>
    <row r="223" spans="1:21">
      <c r="A223" s="5" t="s">
        <v>1324</v>
      </c>
      <c r="B223" s="6" t="s">
        <v>258</v>
      </c>
      <c r="C223" s="6" t="s">
        <v>258</v>
      </c>
      <c r="D223" s="6"/>
      <c r="E223" s="6"/>
      <c r="F223" s="6" t="s">
        <v>1273</v>
      </c>
      <c r="G223" s="13" t="str">
        <f>IFERROR(VLOOKUP(F223,CATÁLOGOS!$A$6:$B$105,2,FALSE),"")</f>
        <v>🏊 Piletas</v>
      </c>
      <c r="H223" s="6" t="s">
        <v>1312</v>
      </c>
      <c r="I223" s="13" t="str">
        <f>IFERROR(VLOOKUP(H223,CATÁLOGOS!$F$6:$H$305,3,FALSE),"")</f>
        <v>Mangueras</v>
      </c>
      <c r="J223" s="6" t="s">
        <v>1294</v>
      </c>
      <c r="K223" s="6" t="s">
        <v>1325</v>
      </c>
      <c r="L223" s="6"/>
      <c r="M223" s="6" t="s">
        <v>397</v>
      </c>
      <c r="N223" s="6" t="s">
        <v>1326</v>
      </c>
      <c r="O223" s="6" t="s">
        <v>1327</v>
      </c>
      <c r="P223" s="13" t="str">
        <f>IFERROR(VLOOKUP(O223,CATÁLOGOS!$L$6:$O$305,3,FALSE),"")</f>
        <v>Manguera Corrugada 1 1/2" x 10 mts. Presentación: 1 unidad.</v>
      </c>
      <c r="Q223" s="13" t="str">
        <f>IFERROR(VLOOKUP(O223,CATÁLOGOS!$L$6:$O$305,4,FALSE),"")</f>
        <v>Mangueras. Mantiene el agua de la pileta limpia, clara y segura para el baño durante toda la temporada.</v>
      </c>
      <c r="R223" s="16"/>
      <c r="S223" s="16"/>
      <c r="T223" s="6" t="s">
        <v>329</v>
      </c>
      <c r="U223" s="10" t="s">
        <v>53</v>
      </c>
    </row>
    <row r="224" spans="1:21">
      <c r="A224" s="5" t="s">
        <v>1328</v>
      </c>
      <c r="B224" s="6" t="s">
        <v>259</v>
      </c>
      <c r="C224" s="6" t="s">
        <v>259</v>
      </c>
      <c r="D224" s="6"/>
      <c r="E224" s="6"/>
      <c r="F224" s="6" t="s">
        <v>1273</v>
      </c>
      <c r="G224" s="13" t="str">
        <f>IFERROR(VLOOKUP(F224,CATÁLOGOS!$A$6:$B$105,2,FALSE),"")</f>
        <v>🏊 Piletas</v>
      </c>
      <c r="H224" s="6" t="s">
        <v>1329</v>
      </c>
      <c r="I224" s="13" t="str">
        <f>IFERROR(VLOOKUP(H224,CATÁLOGOS!$F$6:$H$305,3,FALSE),"")</f>
        <v>Accesorios de pileta</v>
      </c>
      <c r="J224" s="6" t="s">
        <v>1294</v>
      </c>
      <c r="K224" s="6" t="s">
        <v>1330</v>
      </c>
      <c r="L224" s="6"/>
      <c r="M224" s="6" t="s">
        <v>397</v>
      </c>
      <c r="N224" s="6" t="s">
        <v>1331</v>
      </c>
      <c r="O224" s="6" t="s">
        <v>1332</v>
      </c>
      <c r="P224" s="13" t="str">
        <f>IFERROR(VLOOKUP(O224,CATÁLOGOS!$L$6:$O$305,3,FALSE),"")</f>
        <v>Flota Flota. Presentación: 1 unidad.</v>
      </c>
      <c r="Q224" s="13" t="str">
        <f>IFERROR(VLOOKUP(O224,CATÁLOGOS!$L$6:$O$305,4,FALSE),"")</f>
        <v>Accesorios de pileta. Mantiene el agua de la pileta limpia, clara y segura para el baño durante toda la temporada.</v>
      </c>
      <c r="R224" s="16"/>
      <c r="S224" s="16"/>
      <c r="T224" s="6" t="s">
        <v>329</v>
      </c>
      <c r="U224" s="10" t="s">
        <v>53</v>
      </c>
    </row>
    <row r="225" spans="1:21">
      <c r="A225" s="5" t="s">
        <v>1333</v>
      </c>
      <c r="B225" s="6" t="s">
        <v>260</v>
      </c>
      <c r="C225" s="6" t="s">
        <v>260</v>
      </c>
      <c r="D225" s="6"/>
      <c r="E225" s="6"/>
      <c r="F225" s="6" t="s">
        <v>1273</v>
      </c>
      <c r="G225" s="13" t="str">
        <f>IFERROR(VLOOKUP(F225,CATÁLOGOS!$A$6:$B$105,2,FALSE),"")</f>
        <v>🏊 Piletas</v>
      </c>
      <c r="H225" s="6" t="s">
        <v>1329</v>
      </c>
      <c r="I225" s="13" t="str">
        <f>IFERROR(VLOOKUP(H225,CATÁLOGOS!$F$6:$H$305,3,FALSE),"")</f>
        <v>Accesorios de pileta</v>
      </c>
      <c r="J225" s="6" t="s">
        <v>1294</v>
      </c>
      <c r="K225" s="6" t="s">
        <v>1334</v>
      </c>
      <c r="L225" s="6"/>
      <c r="M225" s="6" t="s">
        <v>397</v>
      </c>
      <c r="N225" s="6" t="s">
        <v>1335</v>
      </c>
      <c r="O225" s="6" t="s">
        <v>1336</v>
      </c>
      <c r="P225" s="13" t="str">
        <f>IFERROR(VLOOKUP(O225,CATÁLOGOS!$L$6:$O$305,3,FALSE),"")</f>
        <v>Barrefondo 8 Ruedas. Presentación: 1 unidad.</v>
      </c>
      <c r="Q225" s="13" t="str">
        <f>IFERROR(VLOOKUP(O225,CATÁLOGOS!$L$6:$O$305,4,FALSE),"")</f>
        <v>Accesorios de pileta. Mantiene el agua de la pileta limpia, clara y segura para el baño durante toda la temporada.</v>
      </c>
      <c r="R225" s="16"/>
      <c r="S225" s="16"/>
      <c r="T225" s="6" t="s">
        <v>329</v>
      </c>
      <c r="U225" s="10" t="s">
        <v>53</v>
      </c>
    </row>
    <row r="226" spans="1:21">
      <c r="A226" s="5" t="s">
        <v>1337</v>
      </c>
      <c r="B226" s="6" t="s">
        <v>261</v>
      </c>
      <c r="C226" s="6" t="s">
        <v>261</v>
      </c>
      <c r="D226" s="6"/>
      <c r="E226" s="6"/>
      <c r="F226" s="6" t="s">
        <v>1273</v>
      </c>
      <c r="G226" s="13" t="str">
        <f>IFERROR(VLOOKUP(F226,CATÁLOGOS!$A$6:$B$105,2,FALSE),"")</f>
        <v>🏊 Piletas</v>
      </c>
      <c r="H226" s="6" t="s">
        <v>1329</v>
      </c>
      <c r="I226" s="13" t="str">
        <f>IFERROR(VLOOKUP(H226,CATÁLOGOS!$F$6:$H$305,3,FALSE),"")</f>
        <v>Accesorios de pileta</v>
      </c>
      <c r="J226" s="6" t="s">
        <v>1294</v>
      </c>
      <c r="K226" s="6" t="s">
        <v>1338</v>
      </c>
      <c r="L226" s="6"/>
      <c r="M226" s="6" t="s">
        <v>397</v>
      </c>
      <c r="N226" s="6" t="s">
        <v>1339</v>
      </c>
      <c r="O226" s="6" t="s">
        <v>1340</v>
      </c>
      <c r="P226" s="13" t="str">
        <f>IFERROR(VLOOKUP(O226,CATÁLOGOS!$L$6:$O$305,3,FALSE),"")</f>
        <v>Barrefondo Medialuna. Presentación: 1 unidad.</v>
      </c>
      <c r="Q226" s="13" t="str">
        <f>IFERROR(VLOOKUP(O226,CATÁLOGOS!$L$6:$O$305,4,FALSE),"")</f>
        <v>Accesorios de pileta. Mantiene el agua de la pileta limpia, clara y segura para el baño durante toda la temporada.</v>
      </c>
      <c r="R226" s="16"/>
      <c r="S226" s="16"/>
      <c r="T226" s="6" t="s">
        <v>329</v>
      </c>
      <c r="U226" s="10" t="s">
        <v>53</v>
      </c>
    </row>
    <row r="227" spans="1:21">
      <c r="A227" s="5" t="s">
        <v>1341</v>
      </c>
      <c r="B227" s="6" t="s">
        <v>262</v>
      </c>
      <c r="C227" s="6" t="s">
        <v>262</v>
      </c>
      <c r="D227" s="6"/>
      <c r="E227" s="6"/>
      <c r="F227" s="6" t="s">
        <v>1273</v>
      </c>
      <c r="G227" s="13" t="str">
        <f>IFERROR(VLOOKUP(F227,CATÁLOGOS!$A$6:$B$105,2,FALSE),"")</f>
        <v>🏊 Piletas</v>
      </c>
      <c r="H227" s="6" t="s">
        <v>1329</v>
      </c>
      <c r="I227" s="13" t="str">
        <f>IFERROR(VLOOKUP(H227,CATÁLOGOS!$F$6:$H$305,3,FALSE),"")</f>
        <v>Accesorios de pileta</v>
      </c>
      <c r="J227" s="6" t="s">
        <v>1294</v>
      </c>
      <c r="K227" s="6" t="s">
        <v>1342</v>
      </c>
      <c r="L227" s="6"/>
      <c r="M227" s="6" t="s">
        <v>397</v>
      </c>
      <c r="N227" s="6" t="s">
        <v>1343</v>
      </c>
      <c r="O227" s="6" t="s">
        <v>1344</v>
      </c>
      <c r="P227" s="13" t="str">
        <f>IFERROR(VLOOKUP(O227,CATÁLOGOS!$L$6:$O$305,3,FALSE),"")</f>
        <v>Boya Hongo. Presentación: 1 unidad.</v>
      </c>
      <c r="Q227" s="13" t="str">
        <f>IFERROR(VLOOKUP(O227,CATÁLOGOS!$L$6:$O$305,4,FALSE),"")</f>
        <v>Accesorios de pileta. Mantiene el agua de la pileta limpia, clara y segura para el baño durante toda la temporada.</v>
      </c>
      <c r="R227" s="16"/>
      <c r="S227" s="16"/>
      <c r="T227" s="6" t="s">
        <v>329</v>
      </c>
      <c r="U227" s="10" t="s">
        <v>53</v>
      </c>
    </row>
    <row r="228" spans="1:21">
      <c r="A228" s="5" t="s">
        <v>1345</v>
      </c>
      <c r="B228" s="6" t="s">
        <v>263</v>
      </c>
      <c r="C228" s="6" t="s">
        <v>263</v>
      </c>
      <c r="D228" s="6"/>
      <c r="E228" s="6"/>
      <c r="F228" s="6" t="s">
        <v>1273</v>
      </c>
      <c r="G228" s="13" t="str">
        <f>IFERROR(VLOOKUP(F228,CATÁLOGOS!$A$6:$B$105,2,FALSE),"")</f>
        <v>🏊 Piletas</v>
      </c>
      <c r="H228" s="6" t="s">
        <v>1329</v>
      </c>
      <c r="I228" s="13" t="str">
        <f>IFERROR(VLOOKUP(H228,CATÁLOGOS!$F$6:$H$305,3,FALSE),"")</f>
        <v>Accesorios de pileta</v>
      </c>
      <c r="J228" s="6" t="s">
        <v>1294</v>
      </c>
      <c r="K228" s="6" t="s">
        <v>1346</v>
      </c>
      <c r="L228" s="6"/>
      <c r="M228" s="6" t="s">
        <v>397</v>
      </c>
      <c r="N228" s="6" t="s">
        <v>1347</v>
      </c>
      <c r="O228" s="6" t="s">
        <v>1348</v>
      </c>
      <c r="P228" s="13" t="str">
        <f>IFERROR(VLOOKUP(O228,CATÁLOGOS!$L$6:$O$305,3,FALSE),"")</f>
        <v>Boya Satelite. Presentación: 1 unidad.</v>
      </c>
      <c r="Q228" s="13" t="str">
        <f>IFERROR(VLOOKUP(O228,CATÁLOGOS!$L$6:$O$305,4,FALSE),"")</f>
        <v>Accesorios de pileta. Mantiene el agua de la pileta limpia, clara y segura para el baño durante toda la temporada.</v>
      </c>
      <c r="R228" s="16"/>
      <c r="S228" s="16"/>
      <c r="T228" s="6" t="s">
        <v>329</v>
      </c>
      <c r="U228" s="10" t="s">
        <v>53</v>
      </c>
    </row>
    <row r="229" spans="1:21">
      <c r="A229" s="5" t="s">
        <v>1349</v>
      </c>
      <c r="B229" s="6" t="s">
        <v>264</v>
      </c>
      <c r="C229" s="6" t="s">
        <v>264</v>
      </c>
      <c r="D229" s="6"/>
      <c r="E229" s="6"/>
      <c r="F229" s="6" t="s">
        <v>1114</v>
      </c>
      <c r="G229" s="13" t="str">
        <f>IFERROR(VLOOKUP(F229,CATÁLOGOS!$A$6:$B$105,2,FALSE),"")</f>
        <v>🏠 Hogar y varios</v>
      </c>
      <c r="H229" s="6" t="s">
        <v>1350</v>
      </c>
      <c r="I229" s="13" t="str">
        <f>IFERROR(VLOOKUP(H229,CATÁLOGOS!$F$6:$H$305,3,FALSE),"")</f>
        <v>Velas</v>
      </c>
      <c r="J229" s="6" t="s">
        <v>1064</v>
      </c>
      <c r="K229" s="6" t="s">
        <v>1351</v>
      </c>
      <c r="L229" s="6"/>
      <c r="M229" s="6" t="s">
        <v>397</v>
      </c>
      <c r="N229" s="6" t="s">
        <v>1352</v>
      </c>
      <c r="O229" s="6" t="s">
        <v>1353</v>
      </c>
      <c r="P229" s="13" t="str">
        <f>IFERROR(VLOOKUP(O229,CATÁLOGOS!$L$6:$O$305,3,FALSE),"")</f>
        <v>Velas x 4 de 205 mm make. Presentación: 1 unidad.</v>
      </c>
      <c r="Q229" s="13" t="str">
        <f>IFERROR(VLOOKUP(O229,CATÁLOGOS!$L$6:$O$305,4,FALSE),"")</f>
        <v>Velas. Producto práctico pensado para facilitar las tareas diarias del hogar.</v>
      </c>
      <c r="R229" s="16"/>
      <c r="S229" s="16"/>
      <c r="T229" s="6" t="s">
        <v>329</v>
      </c>
      <c r="U229" s="10" t="s">
        <v>53</v>
      </c>
    </row>
    <row r="230" spans="1:21">
      <c r="A230" s="5" t="s">
        <v>1354</v>
      </c>
      <c r="B230" s="6" t="s">
        <v>265</v>
      </c>
      <c r="C230" s="6" t="s">
        <v>265</v>
      </c>
      <c r="D230" s="6"/>
      <c r="E230" s="6"/>
      <c r="F230" s="6" t="s">
        <v>1114</v>
      </c>
      <c r="G230" s="13" t="str">
        <f>IFERROR(VLOOKUP(F230,CATÁLOGOS!$A$6:$B$105,2,FALSE),"")</f>
        <v>🏠 Hogar y varios</v>
      </c>
      <c r="H230" s="6" t="s">
        <v>1350</v>
      </c>
      <c r="I230" s="13" t="str">
        <f>IFERROR(VLOOKUP(H230,CATÁLOGOS!$F$6:$H$305,3,FALSE),"")</f>
        <v>Velas</v>
      </c>
      <c r="J230" s="6" t="s">
        <v>1064</v>
      </c>
      <c r="K230" s="6" t="s">
        <v>1355</v>
      </c>
      <c r="L230" s="6"/>
      <c r="M230" s="6" t="s">
        <v>397</v>
      </c>
      <c r="N230" s="6" t="s">
        <v>1356</v>
      </c>
      <c r="O230" s="6" t="s">
        <v>1357</v>
      </c>
      <c r="P230" s="13" t="str">
        <f>IFERROR(VLOOKUP(O230,CATÁLOGOS!$L$6:$O$305,3,FALSE),"")</f>
        <v>Velas x 12 de 205 mm make. Presentación: 1 unidad.</v>
      </c>
      <c r="Q230" s="13" t="str">
        <f>IFERROR(VLOOKUP(O230,CATÁLOGOS!$L$6:$O$305,4,FALSE),"")</f>
        <v>Velas. Producto práctico pensado para facilitar las tareas diarias del hogar.</v>
      </c>
      <c r="R230" s="16"/>
      <c r="S230" s="16"/>
      <c r="T230" s="6" t="s">
        <v>329</v>
      </c>
      <c r="U230" s="10" t="s">
        <v>53</v>
      </c>
    </row>
    <row r="231" spans="1:21">
      <c r="A231" s="5" t="s">
        <v>1358</v>
      </c>
      <c r="B231" s="6" t="s">
        <v>266</v>
      </c>
      <c r="C231" s="6" t="s">
        <v>266</v>
      </c>
      <c r="D231" s="6"/>
      <c r="E231" s="6"/>
      <c r="F231" s="6" t="s">
        <v>1114</v>
      </c>
      <c r="G231" s="13" t="str">
        <f>IFERROR(VLOOKUP(F231,CATÁLOGOS!$A$6:$B$105,2,FALSE),"")</f>
        <v>🏠 Hogar y varios</v>
      </c>
      <c r="H231" s="6" t="s">
        <v>1359</v>
      </c>
      <c r="I231" s="13" t="str">
        <f>IFERROR(VLOOKUP(H231,CATÁLOGOS!$F$6:$H$305,3,FALSE),"")</f>
        <v>Papel y film</v>
      </c>
      <c r="J231" s="6" t="s">
        <v>1064</v>
      </c>
      <c r="K231" s="6" t="s">
        <v>1360</v>
      </c>
      <c r="L231" s="6"/>
      <c r="M231" s="6" t="s">
        <v>397</v>
      </c>
      <c r="N231" s="6" t="s">
        <v>1361</v>
      </c>
      <c r="O231" s="6" t="s">
        <v>1362</v>
      </c>
      <c r="P231" s="13" t="str">
        <f>IFERROR(VLOOKUP(O231,CATÁLOGOS!$L$6:$O$305,3,FALSE),"")</f>
        <v>Papel Manteca Make. Presentación: 1 unidad.</v>
      </c>
      <c r="Q231" s="13" t="str">
        <f>IFERROR(VLOOKUP(O231,CATÁLOGOS!$L$6:$O$305,4,FALSE),"")</f>
        <v>Papel y film. Producto práctico pensado para facilitar las tareas diarias del hogar.</v>
      </c>
      <c r="R231" s="16"/>
      <c r="S231" s="16"/>
      <c r="T231" s="6" t="s">
        <v>329</v>
      </c>
      <c r="U231" s="10" t="s">
        <v>53</v>
      </c>
    </row>
    <row r="232" spans="1:21">
      <c r="A232" s="5" t="s">
        <v>1363</v>
      </c>
      <c r="B232" s="6" t="s">
        <v>267</v>
      </c>
      <c r="C232" s="6" t="s">
        <v>267</v>
      </c>
      <c r="D232" s="6"/>
      <c r="E232" s="6"/>
      <c r="F232" s="6" t="s">
        <v>1114</v>
      </c>
      <c r="G232" s="13" t="str">
        <f>IFERROR(VLOOKUP(F232,CATÁLOGOS!$A$6:$B$105,2,FALSE),"")</f>
        <v>🏠 Hogar y varios</v>
      </c>
      <c r="H232" s="6" t="s">
        <v>1359</v>
      </c>
      <c r="I232" s="13" t="str">
        <f>IFERROR(VLOOKUP(H232,CATÁLOGOS!$F$6:$H$305,3,FALSE),"")</f>
        <v>Papel y film</v>
      </c>
      <c r="J232" s="6" t="s">
        <v>1064</v>
      </c>
      <c r="K232" s="6" t="s">
        <v>1364</v>
      </c>
      <c r="L232" s="6"/>
      <c r="M232" s="6" t="s">
        <v>397</v>
      </c>
      <c r="N232" s="6" t="s">
        <v>1365</v>
      </c>
      <c r="O232" s="6" t="s">
        <v>1366</v>
      </c>
      <c r="P232" s="13" t="str">
        <f>IFERROR(VLOOKUP(O232,CATÁLOGOS!$L$6:$O$305,3,FALSE),"")</f>
        <v>Papel Aluminio Make. Presentación: 1 unidad.</v>
      </c>
      <c r="Q232" s="13" t="str">
        <f>IFERROR(VLOOKUP(O232,CATÁLOGOS!$L$6:$O$305,4,FALSE),"")</f>
        <v>Papel y film. Producto práctico pensado para facilitar las tareas diarias del hogar.</v>
      </c>
      <c r="R232" s="16"/>
      <c r="S232" s="16"/>
      <c r="T232" s="6" t="s">
        <v>329</v>
      </c>
      <c r="U232" s="10" t="s">
        <v>53</v>
      </c>
    </row>
    <row r="233" spans="1:21">
      <c r="A233" s="5" t="s">
        <v>1367</v>
      </c>
      <c r="B233" s="6" t="s">
        <v>268</v>
      </c>
      <c r="C233" s="6" t="s">
        <v>268</v>
      </c>
      <c r="D233" s="6"/>
      <c r="E233" s="6"/>
      <c r="F233" s="6" t="s">
        <v>1114</v>
      </c>
      <c r="G233" s="13" t="str">
        <f>IFERROR(VLOOKUP(F233,CATÁLOGOS!$A$6:$B$105,2,FALSE),"")</f>
        <v>🏠 Hogar y varios</v>
      </c>
      <c r="H233" s="6" t="s">
        <v>1359</v>
      </c>
      <c r="I233" s="13" t="str">
        <f>IFERROR(VLOOKUP(H233,CATÁLOGOS!$F$6:$H$305,3,FALSE),"")</f>
        <v>Papel y film</v>
      </c>
      <c r="J233" s="6" t="s">
        <v>1064</v>
      </c>
      <c r="K233" s="6" t="s">
        <v>1368</v>
      </c>
      <c r="L233" s="6"/>
      <c r="M233" s="6" t="s">
        <v>397</v>
      </c>
      <c r="N233" s="6" t="s">
        <v>1369</v>
      </c>
      <c r="O233" s="6" t="s">
        <v>1370</v>
      </c>
      <c r="P233" s="13" t="str">
        <f>IFERROR(VLOOKUP(O233,CATÁLOGOS!$L$6:$O$305,3,FALSE),"")</f>
        <v>Film Adherente Make 30 metros. Presentación: 1 unidad.</v>
      </c>
      <c r="Q233" s="13" t="str">
        <f>IFERROR(VLOOKUP(O233,CATÁLOGOS!$L$6:$O$305,4,FALSE),"")</f>
        <v>Papel y film. Producto práctico pensado para facilitar las tareas diarias del hogar.</v>
      </c>
      <c r="R233" s="16"/>
      <c r="S233" s="16"/>
      <c r="T233" s="6" t="s">
        <v>329</v>
      </c>
      <c r="U233" s="10" t="s">
        <v>53</v>
      </c>
    </row>
    <row r="234" spans="1:21">
      <c r="A234" s="5" t="s">
        <v>1371</v>
      </c>
      <c r="B234" s="6" t="s">
        <v>269</v>
      </c>
      <c r="C234" s="6" t="s">
        <v>269</v>
      </c>
      <c r="D234" s="6"/>
      <c r="E234" s="6"/>
      <c r="F234" s="6" t="s">
        <v>1114</v>
      </c>
      <c r="G234" s="13" t="str">
        <f>IFERROR(VLOOKUP(F234,CATÁLOGOS!$A$6:$B$105,2,FALSE),"")</f>
        <v>🏠 Hogar y varios</v>
      </c>
      <c r="H234" s="6" t="s">
        <v>1372</v>
      </c>
      <c r="I234" s="13" t="str">
        <f>IFERROR(VLOOKUP(H234,CATÁLOGOS!$F$6:$H$305,3,FALSE),"")</f>
        <v>Bolsas y freezer</v>
      </c>
      <c r="J234" s="6" t="s">
        <v>1064</v>
      </c>
      <c r="K234" s="6" t="s">
        <v>1373</v>
      </c>
      <c r="L234" s="6"/>
      <c r="M234" s="6" t="s">
        <v>397</v>
      </c>
      <c r="N234" s="6" t="s">
        <v>1374</v>
      </c>
      <c r="O234" s="6" t="s">
        <v>1375</v>
      </c>
      <c r="P234" s="13" t="str">
        <f>IFERROR(VLOOKUP(O234,CATÁLOGOS!$L$6:$O$305,3,FALSE),"")</f>
        <v>Separador de Freezer Make x 200 unidades. Presentación: 1 unidad.</v>
      </c>
      <c r="Q234" s="13" t="str">
        <f>IFERROR(VLOOKUP(O234,CATÁLOGOS!$L$6:$O$305,4,FALSE),"")</f>
        <v>Bolsas y freezer. Producto práctico pensado para facilitar las tareas diarias del hogar.</v>
      </c>
      <c r="R234" s="16"/>
      <c r="S234" s="16"/>
      <c r="T234" s="6" t="s">
        <v>329</v>
      </c>
      <c r="U234" s="10" t="s">
        <v>53</v>
      </c>
    </row>
    <row r="235" spans="1:21">
      <c r="A235" s="5" t="s">
        <v>1376</v>
      </c>
      <c r="B235" s="6" t="s">
        <v>270</v>
      </c>
      <c r="C235" s="6" t="s">
        <v>270</v>
      </c>
      <c r="D235" s="6"/>
      <c r="E235" s="6"/>
      <c r="F235" s="6" t="s">
        <v>1114</v>
      </c>
      <c r="G235" s="13" t="str">
        <f>IFERROR(VLOOKUP(F235,CATÁLOGOS!$A$6:$B$105,2,FALSE),"")</f>
        <v>🏠 Hogar y varios</v>
      </c>
      <c r="H235" s="6" t="s">
        <v>1372</v>
      </c>
      <c r="I235" s="13" t="str">
        <f>IFERROR(VLOOKUP(H235,CATÁLOGOS!$F$6:$H$305,3,FALSE),"")</f>
        <v>Bolsas y freezer</v>
      </c>
      <c r="J235" s="6" t="s">
        <v>1377</v>
      </c>
      <c r="K235" s="6" t="s">
        <v>1378</v>
      </c>
      <c r="L235" s="6"/>
      <c r="M235" s="6" t="s">
        <v>397</v>
      </c>
      <c r="N235" s="6" t="s">
        <v>1379</v>
      </c>
      <c r="O235" s="6" t="s">
        <v>1380</v>
      </c>
      <c r="P235" s="13" t="str">
        <f>IFERROR(VLOOKUP(O235,CATÁLOGOS!$L$6:$O$305,3,FALSE),"")</f>
        <v>Bolsa para cubitos Bolzip. Presentación: 1 unidad. Marca Bolzip.</v>
      </c>
      <c r="Q235" s="13" t="str">
        <f>IFERROR(VLOOKUP(O235,CATÁLOGOS!$L$6:$O$305,4,FALSE),"")</f>
        <v>Bolsas y freezer. Producto práctico pensado para facilitar las tareas diarias del hogar.</v>
      </c>
      <c r="R235" s="16"/>
      <c r="S235" s="16"/>
      <c r="T235" s="6" t="s">
        <v>329</v>
      </c>
      <c r="U235" s="10" t="s">
        <v>53</v>
      </c>
    </row>
    <row r="236" spans="1:21">
      <c r="A236" s="5" t="s">
        <v>1381</v>
      </c>
      <c r="B236" s="6" t="s">
        <v>271</v>
      </c>
      <c r="C236" s="6" t="s">
        <v>271</v>
      </c>
      <c r="D236" s="6"/>
      <c r="E236" s="6"/>
      <c r="F236" s="6" t="s">
        <v>1114</v>
      </c>
      <c r="G236" s="13" t="str">
        <f>IFERROR(VLOOKUP(F236,CATÁLOGOS!$A$6:$B$105,2,FALSE),"")</f>
        <v>🏠 Hogar y varios</v>
      </c>
      <c r="H236" s="6" t="s">
        <v>1382</v>
      </c>
      <c r="I236" s="13" t="str">
        <f>IFERROR(VLOOKUP(H236,CATÁLOGOS!$F$6:$H$305,3,FALSE),"")</f>
        <v>Varios</v>
      </c>
      <c r="J236" s="6" t="s">
        <v>1294</v>
      </c>
      <c r="K236" s="6" t="s">
        <v>1383</v>
      </c>
      <c r="L236" s="6"/>
      <c r="M236" s="6" t="s">
        <v>397</v>
      </c>
      <c r="N236" s="6" t="s">
        <v>1384</v>
      </c>
      <c r="O236" s="6" t="s">
        <v>1385</v>
      </c>
      <c r="P236" s="13" t="str">
        <f>IFERROR(VLOOKUP(O236,CATÁLOGOS!$L$6:$O$305,3,FALSE),"")</f>
        <v>Palmeta Mata Moscas Plastica. Presentación: 1 unidad.</v>
      </c>
      <c r="Q236" s="13" t="str">
        <f>IFERROR(VLOOKUP(O236,CATÁLOGOS!$L$6:$O$305,4,FALSE),"")</f>
        <v>Varios. Producto práctico pensado para facilitar las tareas diarias del hogar.</v>
      </c>
      <c r="R236" s="16"/>
      <c r="S236" s="16"/>
      <c r="T236" s="6" t="s">
        <v>329</v>
      </c>
      <c r="U236" s="10" t="s">
        <v>53</v>
      </c>
    </row>
    <row r="237" spans="1:21">
      <c r="A237" s="5" t="s">
        <v>1386</v>
      </c>
      <c r="B237" s="6" t="s">
        <v>272</v>
      </c>
      <c r="C237" s="6" t="s">
        <v>272</v>
      </c>
      <c r="D237" s="6"/>
      <c r="E237" s="6"/>
      <c r="F237" s="6" t="s">
        <v>1114</v>
      </c>
      <c r="G237" s="13" t="str">
        <f>IFERROR(VLOOKUP(F237,CATÁLOGOS!$A$6:$B$105,2,FALSE),"")</f>
        <v>🏠 Hogar y varios</v>
      </c>
      <c r="H237" s="6" t="s">
        <v>1165</v>
      </c>
      <c r="I237" s="13" t="str">
        <f>IFERROR(VLOOKUP(H237,CATÁLOGOS!$F$6:$H$305,3,FALSE),"")</f>
        <v>Insecticidas</v>
      </c>
      <c r="J237" s="6" t="s">
        <v>1387</v>
      </c>
      <c r="K237" s="6" t="s">
        <v>1388</v>
      </c>
      <c r="L237" s="6"/>
      <c r="M237" s="6" t="s">
        <v>397</v>
      </c>
      <c r="N237" s="6" t="s">
        <v>1389</v>
      </c>
      <c r="O237" s="6" t="s">
        <v>1390</v>
      </c>
      <c r="P237" s="13" t="str">
        <f>IFERROR(VLOOKUP(O237,CATÁLOGOS!$L$6:$O$305,3,FALSE),"")</f>
        <v>Insecticida liquido Gorrion x 500 cc. Presentación: 1 unidad. Marca Gorrion.</v>
      </c>
      <c r="Q237" s="13" t="str">
        <f>IFERROR(VLOOKUP(O237,CATÁLOGOS!$L$6:$O$305,4,FALSE),"")</f>
        <v>Insecticidas. Producto práctico pensado para facilitar las tareas diarias del hogar.</v>
      </c>
      <c r="R237" s="16"/>
      <c r="S237" s="16"/>
      <c r="T237" s="6" t="s">
        <v>329</v>
      </c>
      <c r="U237" s="10" t="s">
        <v>53</v>
      </c>
    </row>
    <row r="238" spans="1:21">
      <c r="A238" s="5" t="s">
        <v>1391</v>
      </c>
      <c r="B238" s="6" t="s">
        <v>273</v>
      </c>
      <c r="C238" s="6" t="s">
        <v>273</v>
      </c>
      <c r="D238" s="6" t="s">
        <v>1392</v>
      </c>
      <c r="E238" s="6" t="s">
        <v>969</v>
      </c>
      <c r="F238" s="6" t="s">
        <v>321</v>
      </c>
      <c r="G238" s="13" t="str">
        <f>IFERROR(VLOOKUP(F238,CATÁLOGOS!$A$6:$B$105,2,FALSE),"")</f>
        <v>Nuestros productos</v>
      </c>
      <c r="H238" s="6" t="s">
        <v>373</v>
      </c>
      <c r="I238" s="13" t="str">
        <f>IFERROR(VLOOKUP(H238,CATÁLOGOS!$F$6:$H$305,3,FALSE),"")</f>
        <v>Desengrasantes</v>
      </c>
      <c r="J238" s="6" t="s">
        <v>1294</v>
      </c>
      <c r="K238" s="6" t="s">
        <v>1393</v>
      </c>
      <c r="L238" s="6"/>
      <c r="M238" s="6" t="s">
        <v>397</v>
      </c>
      <c r="N238" s="6" t="s">
        <v>1394</v>
      </c>
      <c r="O238" s="6" t="s">
        <v>1395</v>
      </c>
      <c r="P238" s="13" t="str">
        <f>IFERROR(VLOOKUP(O238,CATÁLOGOS!$L$6:$O$305,3,FALSE),"")</f>
        <v>CIF limpiador cremoso</v>
      </c>
      <c r="Q238" s="13" t="str">
        <f>IFERROR(VLOOKUP(O238,CATÁLOGOS!$L$6:$O$305,4,FALSE),"")</f>
        <v>CIF limpiador cremoso</v>
      </c>
      <c r="R238" s="16"/>
      <c r="S238" s="16"/>
      <c r="T238" s="6" t="s">
        <v>329</v>
      </c>
      <c r="U238" s="10" t="s">
        <v>53</v>
      </c>
    </row>
    <row r="239" spans="1:21">
      <c r="A239" s="5" t="s">
        <v>1396</v>
      </c>
      <c r="B239" s="6" t="s">
        <v>274</v>
      </c>
      <c r="C239" s="6" t="s">
        <v>274</v>
      </c>
      <c r="D239" s="6" t="s">
        <v>1392</v>
      </c>
      <c r="E239" s="6" t="s">
        <v>975</v>
      </c>
      <c r="F239" s="6" t="s">
        <v>321</v>
      </c>
      <c r="G239" s="13" t="str">
        <f>IFERROR(VLOOKUP(F239,CATÁLOGOS!$A$6:$B$105,2,FALSE),"")</f>
        <v>Nuestros productos</v>
      </c>
      <c r="H239" s="6" t="s">
        <v>373</v>
      </c>
      <c r="I239" s="13" t="str">
        <f>IFERROR(VLOOKUP(H239,CATÁLOGOS!$F$6:$H$305,3,FALSE),"")</f>
        <v>Desengrasantes</v>
      </c>
      <c r="J239" s="6" t="s">
        <v>1294</v>
      </c>
      <c r="K239" s="6" t="s">
        <v>1397</v>
      </c>
      <c r="L239" s="6"/>
      <c r="M239" s="6" t="s">
        <v>397</v>
      </c>
      <c r="N239" s="6" t="s">
        <v>1398</v>
      </c>
      <c r="O239" s="6" t="s">
        <v>1395</v>
      </c>
      <c r="P239" s="13" t="str">
        <f>IFERROR(VLOOKUP(O239,CATÁLOGOS!$L$6:$O$305,3,FALSE),"")</f>
        <v>CIF limpiador cremoso</v>
      </c>
      <c r="Q239" s="13" t="str">
        <f>IFERROR(VLOOKUP(O239,CATÁLOGOS!$L$6:$O$305,4,FALSE),"")</f>
        <v>CIF limpiador cremoso</v>
      </c>
      <c r="R239" s="16"/>
      <c r="S239" s="16"/>
      <c r="T239" s="6" t="s">
        <v>329</v>
      </c>
      <c r="U239" s="10" t="s">
        <v>53</v>
      </c>
    </row>
    <row r="240" spans="1:21">
      <c r="A240" s="5" t="s">
        <v>1399</v>
      </c>
      <c r="B240" s="6" t="s">
        <v>275</v>
      </c>
      <c r="C240" s="6" t="s">
        <v>275</v>
      </c>
      <c r="D240" s="6"/>
      <c r="E240" s="6"/>
      <c r="F240" s="6" t="s">
        <v>394</v>
      </c>
      <c r="G240" s="13" t="str">
        <f>IFERROR(VLOOKUP(F240,CATÁLOGOS!$A$6:$B$105,2,FALSE),"")</f>
        <v>🧰 Accesorios y equipamiento</v>
      </c>
      <c r="H240" s="6" t="s">
        <v>1063</v>
      </c>
      <c r="I240" s="13" t="str">
        <f>IFERROR(VLOOKUP(H240,CATÁLOGOS!$F$6:$H$305,3,FALSE),"")</f>
        <v>Esponjas</v>
      </c>
      <c r="J240" s="6" t="s">
        <v>1294</v>
      </c>
      <c r="K240" s="6" t="s">
        <v>1400</v>
      </c>
      <c r="L240" s="6"/>
      <c r="M240" s="6" t="s">
        <v>397</v>
      </c>
      <c r="N240" s="6" t="s">
        <v>1401</v>
      </c>
      <c r="O240" s="6" t="s">
        <v>1402</v>
      </c>
      <c r="P240" s="13" t="str">
        <f>IFERROR(VLOOKUP(O240,CATÁLOGOS!$L$6:$O$305,3,FALSE),"")</f>
        <v>Esponja dorada. Presentación: 1 unidad.</v>
      </c>
      <c r="Q240" s="13" t="str">
        <f>IFERROR(VLOOKUP(O240,CATÁLOGOS!$L$6:$O$305,4,FALSE),"")</f>
        <v>Esponjas. Accesorio resistente y práctico, pensado para facilitar las tareas de limpieza del hogar.</v>
      </c>
      <c r="R240" s="16"/>
      <c r="S240" s="16"/>
      <c r="T240" s="6" t="s">
        <v>329</v>
      </c>
      <c r="U240" s="10" t="s">
        <v>53</v>
      </c>
    </row>
    <row r="241" spans="1:21">
      <c r="A241" s="5"/>
      <c r="B241" s="6"/>
      <c r="C241" s="6"/>
      <c r="D241" s="6"/>
      <c r="E241" s="6"/>
      <c r="F241" s="6"/>
      <c r="G241" s="13"/>
      <c r="H241" s="6"/>
      <c r="I241" s="13"/>
      <c r="J241" s="6"/>
      <c r="K241" s="6"/>
      <c r="L241" s="6"/>
      <c r="M241" s="6"/>
      <c r="N241" s="6"/>
      <c r="O241" s="6"/>
      <c r="P241" s="13"/>
      <c r="Q241" s="13"/>
      <c r="R241" s="16"/>
      <c r="S241" s="16"/>
      <c r="T241" s="6"/>
      <c r="U241" s="10"/>
    </row>
    <row r="242" spans="1:21">
      <c r="A242" s="5"/>
      <c r="B242" s="6"/>
      <c r="C242" s="6"/>
      <c r="D242" s="6"/>
      <c r="E242" s="6"/>
      <c r="F242" s="6"/>
      <c r="G242" s="13"/>
      <c r="H242" s="6"/>
      <c r="I242" s="13"/>
      <c r="J242" s="6"/>
      <c r="K242" s="6"/>
      <c r="L242" s="6"/>
      <c r="M242" s="6"/>
      <c r="N242" s="6"/>
      <c r="O242" s="6"/>
      <c r="P242" s="13"/>
      <c r="Q242" s="13"/>
      <c r="R242" s="16"/>
      <c r="S242" s="16"/>
      <c r="T242" s="6"/>
      <c r="U242" s="10"/>
    </row>
    <row r="243" spans="1:21">
      <c r="A243" s="5"/>
      <c r="B243" s="6"/>
      <c r="C243" s="6"/>
      <c r="D243" s="6"/>
      <c r="E243" s="6"/>
      <c r="F243" s="6"/>
      <c r="G243" s="13"/>
      <c r="H243" s="6"/>
      <c r="I243" s="13"/>
      <c r="J243" s="6"/>
      <c r="K243" s="6"/>
      <c r="L243" s="6"/>
      <c r="M243" s="6"/>
      <c r="N243" s="6"/>
      <c r="O243" s="6"/>
      <c r="P243" s="13"/>
      <c r="Q243" s="13"/>
      <c r="R243" s="16"/>
      <c r="S243" s="16"/>
      <c r="T243" s="6"/>
      <c r="U243" s="10"/>
    </row>
    <row r="244" spans="1:21">
      <c r="A244" s="5"/>
      <c r="B244" s="6"/>
      <c r="C244" s="6"/>
      <c r="D244" s="6"/>
      <c r="E244" s="6"/>
      <c r="F244" s="6"/>
      <c r="G244" s="13"/>
      <c r="H244" s="6"/>
      <c r="I244" s="13"/>
      <c r="J244" s="6"/>
      <c r="K244" s="6"/>
      <c r="L244" s="6"/>
      <c r="M244" s="6"/>
      <c r="N244" s="6"/>
      <c r="O244" s="6"/>
      <c r="P244" s="13"/>
      <c r="Q244" s="13"/>
      <c r="R244" s="16"/>
      <c r="S244" s="16"/>
      <c r="T244" s="6"/>
      <c r="U244" s="10"/>
    </row>
    <row r="245" spans="1:21">
      <c r="A245" s="5"/>
      <c r="B245" s="6"/>
      <c r="C245" s="6"/>
      <c r="D245" s="6"/>
      <c r="E245" s="6"/>
      <c r="F245" s="6"/>
      <c r="G245" s="13"/>
      <c r="H245" s="6"/>
      <c r="I245" s="13"/>
      <c r="J245" s="6"/>
      <c r="K245" s="6"/>
      <c r="L245" s="6"/>
      <c r="M245" s="6"/>
      <c r="N245" s="6"/>
      <c r="O245" s="6"/>
      <c r="P245" s="13"/>
      <c r="Q245" s="13"/>
      <c r="R245" s="16"/>
      <c r="S245" s="16"/>
      <c r="T245" s="6"/>
      <c r="U245" s="10"/>
    </row>
    <row r="246" spans="1:21">
      <c r="A246" s="5"/>
      <c r="B246" s="6"/>
      <c r="C246" s="6"/>
      <c r="D246" s="6"/>
      <c r="E246" s="6"/>
      <c r="F246" s="6"/>
      <c r="G246" s="13"/>
      <c r="H246" s="6"/>
      <c r="I246" s="13"/>
      <c r="J246" s="6"/>
      <c r="K246" s="6"/>
      <c r="L246" s="6"/>
      <c r="M246" s="6"/>
      <c r="N246" s="6"/>
      <c r="O246" s="6"/>
      <c r="P246" s="13"/>
      <c r="Q246" s="13"/>
      <c r="R246" s="16"/>
      <c r="S246" s="16"/>
      <c r="T246" s="6"/>
      <c r="U246" s="10"/>
    </row>
    <row r="247" spans="1:21">
      <c r="A247" s="5"/>
      <c r="B247" s="6"/>
      <c r="C247" s="6"/>
      <c r="D247" s="6"/>
      <c r="E247" s="6"/>
      <c r="F247" s="6"/>
      <c r="G247" s="13"/>
      <c r="H247" s="6"/>
      <c r="I247" s="13"/>
      <c r="J247" s="6"/>
      <c r="K247" s="6"/>
      <c r="L247" s="6"/>
      <c r="M247" s="6"/>
      <c r="N247" s="6"/>
      <c r="O247" s="6"/>
      <c r="P247" s="13"/>
      <c r="Q247" s="13"/>
      <c r="R247" s="16"/>
      <c r="S247" s="16"/>
      <c r="T247" s="6"/>
      <c r="U247" s="10"/>
    </row>
    <row r="248" spans="1:21">
      <c r="A248" s="5"/>
      <c r="B248" s="6"/>
      <c r="C248" s="6"/>
      <c r="D248" s="6"/>
      <c r="E248" s="6"/>
      <c r="F248" s="6"/>
      <c r="G248" s="13"/>
      <c r="H248" s="6"/>
      <c r="I248" s="13"/>
      <c r="J248" s="6"/>
      <c r="K248" s="6"/>
      <c r="L248" s="6"/>
      <c r="M248" s="6"/>
      <c r="N248" s="6"/>
      <c r="O248" s="6"/>
      <c r="P248" s="13"/>
      <c r="Q248" s="13"/>
      <c r="R248" s="16"/>
      <c r="S248" s="16"/>
      <c r="T248" s="6"/>
      <c r="U248" s="10"/>
    </row>
    <row r="249" spans="1:21">
      <c r="A249" s="5"/>
      <c r="B249" s="6"/>
      <c r="C249" s="6"/>
      <c r="D249" s="6"/>
      <c r="E249" s="6"/>
      <c r="F249" s="6"/>
      <c r="G249" s="13"/>
      <c r="H249" s="6"/>
      <c r="I249" s="13"/>
      <c r="J249" s="6"/>
      <c r="K249" s="6"/>
      <c r="L249" s="6"/>
      <c r="M249" s="6"/>
      <c r="N249" s="6"/>
      <c r="O249" s="6"/>
      <c r="P249" s="13"/>
      <c r="Q249" s="13"/>
      <c r="R249" s="16"/>
      <c r="S249" s="16"/>
      <c r="T249" s="6"/>
      <c r="U249" s="10"/>
    </row>
    <row r="250" spans="1:21">
      <c r="A250" s="5"/>
      <c r="B250" s="6"/>
      <c r="C250" s="6"/>
      <c r="D250" s="6"/>
      <c r="E250" s="6"/>
      <c r="F250" s="6"/>
      <c r="G250" s="13"/>
      <c r="H250" s="6"/>
      <c r="I250" s="13"/>
      <c r="J250" s="6"/>
      <c r="K250" s="6"/>
      <c r="L250" s="6"/>
      <c r="M250" s="6"/>
      <c r="N250" s="6"/>
      <c r="O250" s="6"/>
      <c r="P250" s="13"/>
      <c r="Q250" s="13"/>
      <c r="R250" s="16"/>
      <c r="S250" s="16"/>
      <c r="T250" s="6"/>
      <c r="U250" s="10"/>
    </row>
    <row r="251" spans="1:21">
      <c r="A251" s="5"/>
      <c r="B251" s="6"/>
      <c r="C251" s="6"/>
      <c r="D251" s="6"/>
      <c r="E251" s="6"/>
      <c r="F251" s="6"/>
      <c r="G251" s="13"/>
      <c r="H251" s="6"/>
      <c r="I251" s="13"/>
      <c r="J251" s="6"/>
      <c r="K251" s="6"/>
      <c r="L251" s="6"/>
      <c r="M251" s="6"/>
      <c r="N251" s="6"/>
      <c r="O251" s="6"/>
      <c r="P251" s="13"/>
      <c r="Q251" s="13"/>
      <c r="R251" s="16"/>
      <c r="S251" s="16"/>
      <c r="T251" s="6"/>
      <c r="U251" s="10"/>
    </row>
    <row r="252" spans="1:21">
      <c r="A252" s="5"/>
      <c r="B252" s="6"/>
      <c r="C252" s="6"/>
      <c r="D252" s="6"/>
      <c r="E252" s="6"/>
      <c r="F252" s="6"/>
      <c r="G252" s="13"/>
      <c r="H252" s="6"/>
      <c r="I252" s="13"/>
      <c r="J252" s="6"/>
      <c r="K252" s="6"/>
      <c r="L252" s="6"/>
      <c r="M252" s="6"/>
      <c r="N252" s="6"/>
      <c r="O252" s="6"/>
      <c r="P252" s="13"/>
      <c r="Q252" s="13"/>
      <c r="R252" s="16"/>
      <c r="S252" s="16"/>
      <c r="T252" s="6"/>
      <c r="U252" s="10"/>
    </row>
    <row r="253" spans="1:21">
      <c r="A253" s="5"/>
      <c r="B253" s="6"/>
      <c r="C253" s="6"/>
      <c r="D253" s="6"/>
      <c r="E253" s="6"/>
      <c r="F253" s="6"/>
      <c r="G253" s="13"/>
      <c r="H253" s="6"/>
      <c r="I253" s="13"/>
      <c r="J253" s="6"/>
      <c r="K253" s="6"/>
      <c r="L253" s="6"/>
      <c r="M253" s="6"/>
      <c r="N253" s="6"/>
      <c r="O253" s="6"/>
      <c r="P253" s="13"/>
      <c r="Q253" s="13"/>
      <c r="R253" s="16"/>
      <c r="S253" s="16"/>
      <c r="T253" s="6"/>
      <c r="U253" s="10"/>
    </row>
    <row r="254" spans="1:21">
      <c r="A254" s="5"/>
      <c r="B254" s="6"/>
      <c r="C254" s="6"/>
      <c r="D254" s="6"/>
      <c r="E254" s="6"/>
      <c r="F254" s="6"/>
      <c r="G254" s="13"/>
      <c r="H254" s="6"/>
      <c r="I254" s="13"/>
      <c r="J254" s="6"/>
      <c r="K254" s="6"/>
      <c r="L254" s="6"/>
      <c r="M254" s="6"/>
      <c r="N254" s="6"/>
      <c r="O254" s="6"/>
      <c r="P254" s="13"/>
      <c r="Q254" s="13"/>
      <c r="R254" s="16"/>
      <c r="S254" s="16"/>
      <c r="T254" s="6"/>
      <c r="U254" s="10"/>
    </row>
    <row r="255" spans="1:21">
      <c r="A255" s="5"/>
      <c r="B255" s="6"/>
      <c r="C255" s="6"/>
      <c r="D255" s="6"/>
      <c r="E255" s="6"/>
      <c r="F255" s="6"/>
      <c r="G255" s="13"/>
      <c r="H255" s="6"/>
      <c r="I255" s="13"/>
      <c r="J255" s="6"/>
      <c r="K255" s="6"/>
      <c r="L255" s="6"/>
      <c r="M255" s="6"/>
      <c r="N255" s="6"/>
      <c r="O255" s="6"/>
      <c r="P255" s="13"/>
      <c r="Q255" s="13"/>
      <c r="R255" s="16"/>
      <c r="S255" s="16"/>
      <c r="T255" s="6"/>
      <c r="U255" s="10"/>
    </row>
    <row r="256" spans="1:21">
      <c r="A256" s="5"/>
      <c r="B256" s="6"/>
      <c r="C256" s="6"/>
      <c r="D256" s="6"/>
      <c r="E256" s="6"/>
      <c r="F256" s="6"/>
      <c r="G256" s="13"/>
      <c r="H256" s="6"/>
      <c r="I256" s="13"/>
      <c r="J256" s="6"/>
      <c r="K256" s="6"/>
      <c r="L256" s="6"/>
      <c r="M256" s="6"/>
      <c r="N256" s="6"/>
      <c r="O256" s="6"/>
      <c r="P256" s="13"/>
      <c r="Q256" s="13"/>
      <c r="R256" s="16"/>
      <c r="S256" s="16"/>
      <c r="T256" s="6"/>
      <c r="U256" s="10"/>
    </row>
    <row r="257" spans="1:21">
      <c r="A257" s="5"/>
      <c r="B257" s="6"/>
      <c r="C257" s="6"/>
      <c r="D257" s="6"/>
      <c r="E257" s="6"/>
      <c r="F257" s="6"/>
      <c r="G257" s="13"/>
      <c r="H257" s="6"/>
      <c r="I257" s="13"/>
      <c r="J257" s="6"/>
      <c r="K257" s="6"/>
      <c r="L257" s="6"/>
      <c r="M257" s="6"/>
      <c r="N257" s="6"/>
      <c r="O257" s="6"/>
      <c r="P257" s="13"/>
      <c r="Q257" s="13"/>
      <c r="R257" s="16"/>
      <c r="S257" s="16"/>
      <c r="T257" s="6"/>
      <c r="U257" s="10"/>
    </row>
    <row r="258" spans="1:21">
      <c r="A258" s="5"/>
      <c r="B258" s="6"/>
      <c r="C258" s="6"/>
      <c r="D258" s="6"/>
      <c r="E258" s="6"/>
      <c r="F258" s="6"/>
      <c r="G258" s="13"/>
      <c r="H258" s="6"/>
      <c r="I258" s="13"/>
      <c r="J258" s="6"/>
      <c r="K258" s="6"/>
      <c r="L258" s="6"/>
      <c r="M258" s="6"/>
      <c r="N258" s="6"/>
      <c r="O258" s="6"/>
      <c r="P258" s="13"/>
      <c r="Q258" s="13"/>
      <c r="R258" s="16"/>
      <c r="S258" s="16"/>
      <c r="T258" s="6"/>
      <c r="U258" s="10"/>
    </row>
    <row r="259" spans="1:21">
      <c r="A259" s="5"/>
      <c r="B259" s="6"/>
      <c r="C259" s="6"/>
      <c r="D259" s="6"/>
      <c r="E259" s="6"/>
      <c r="F259" s="6"/>
      <c r="G259" s="13"/>
      <c r="H259" s="6"/>
      <c r="I259" s="13"/>
      <c r="J259" s="6"/>
      <c r="K259" s="6"/>
      <c r="L259" s="6"/>
      <c r="M259" s="6"/>
      <c r="N259" s="6"/>
      <c r="O259" s="6"/>
      <c r="P259" s="13"/>
      <c r="Q259" s="13"/>
      <c r="R259" s="16"/>
      <c r="S259" s="16"/>
      <c r="T259" s="6"/>
      <c r="U259" s="10"/>
    </row>
    <row r="260" spans="1:21">
      <c r="A260" s="5"/>
      <c r="B260" s="6"/>
      <c r="C260" s="6"/>
      <c r="D260" s="6"/>
      <c r="E260" s="6"/>
      <c r="F260" s="6"/>
      <c r="G260" s="13"/>
      <c r="H260" s="6"/>
      <c r="I260" s="13"/>
      <c r="J260" s="6"/>
      <c r="K260" s="6"/>
      <c r="L260" s="6"/>
      <c r="M260" s="6"/>
      <c r="N260" s="6"/>
      <c r="O260" s="6"/>
      <c r="P260" s="13"/>
      <c r="Q260" s="13"/>
      <c r="R260" s="16"/>
      <c r="S260" s="16"/>
      <c r="T260" s="6"/>
      <c r="U260" s="10"/>
    </row>
    <row r="261" spans="1:21">
      <c r="A261" s="5"/>
      <c r="B261" s="6"/>
      <c r="C261" s="6"/>
      <c r="D261" s="6"/>
      <c r="E261" s="6"/>
      <c r="F261" s="6"/>
      <c r="G261" s="13"/>
      <c r="H261" s="6"/>
      <c r="I261" s="13"/>
      <c r="J261" s="6"/>
      <c r="K261" s="6"/>
      <c r="L261" s="6"/>
      <c r="M261" s="6"/>
      <c r="N261" s="6"/>
      <c r="O261" s="6"/>
      <c r="P261" s="13"/>
      <c r="Q261" s="13"/>
      <c r="R261" s="16"/>
      <c r="S261" s="16"/>
      <c r="T261" s="6"/>
      <c r="U261" s="10"/>
    </row>
    <row r="262" spans="1:21">
      <c r="A262" s="5"/>
      <c r="B262" s="6"/>
      <c r="C262" s="6"/>
      <c r="D262" s="6"/>
      <c r="E262" s="6"/>
      <c r="F262" s="6"/>
      <c r="G262" s="13"/>
      <c r="H262" s="6"/>
      <c r="I262" s="13"/>
      <c r="J262" s="6"/>
      <c r="K262" s="6"/>
      <c r="L262" s="6"/>
      <c r="M262" s="6"/>
      <c r="N262" s="6"/>
      <c r="O262" s="6"/>
      <c r="P262" s="13"/>
      <c r="Q262" s="13"/>
      <c r="R262" s="16"/>
      <c r="S262" s="16"/>
      <c r="T262" s="6"/>
      <c r="U262" s="10"/>
    </row>
    <row r="263" spans="1:21">
      <c r="A263" s="5"/>
      <c r="B263" s="6"/>
      <c r="C263" s="6"/>
      <c r="D263" s="6"/>
      <c r="E263" s="6"/>
      <c r="F263" s="6"/>
      <c r="G263" s="13"/>
      <c r="H263" s="6"/>
      <c r="I263" s="13"/>
      <c r="J263" s="6"/>
      <c r="K263" s="6"/>
      <c r="L263" s="6"/>
      <c r="M263" s="6"/>
      <c r="N263" s="6"/>
      <c r="O263" s="6"/>
      <c r="P263" s="13"/>
      <c r="Q263" s="13"/>
      <c r="R263" s="16"/>
      <c r="S263" s="16"/>
      <c r="T263" s="6"/>
      <c r="U263" s="10"/>
    </row>
    <row r="264" spans="1:21">
      <c r="A264" s="5"/>
      <c r="B264" s="6"/>
      <c r="C264" s="6"/>
      <c r="D264" s="6"/>
      <c r="E264" s="6"/>
      <c r="F264" s="6"/>
      <c r="G264" s="13"/>
      <c r="H264" s="6"/>
      <c r="I264" s="13"/>
      <c r="J264" s="6"/>
      <c r="K264" s="6"/>
      <c r="L264" s="6"/>
      <c r="M264" s="6"/>
      <c r="N264" s="6"/>
      <c r="O264" s="6"/>
      <c r="P264" s="13"/>
      <c r="Q264" s="13"/>
      <c r="R264" s="16"/>
      <c r="S264" s="16"/>
      <c r="T264" s="6"/>
      <c r="U264" s="10"/>
    </row>
    <row r="265" spans="1:21">
      <c r="A265" s="5"/>
      <c r="B265" s="6"/>
      <c r="C265" s="6"/>
      <c r="D265" s="6"/>
      <c r="E265" s="6"/>
      <c r="F265" s="6"/>
      <c r="G265" s="13"/>
      <c r="H265" s="6"/>
      <c r="I265" s="13"/>
      <c r="J265" s="6"/>
      <c r="K265" s="6"/>
      <c r="L265" s="6"/>
      <c r="M265" s="6"/>
      <c r="N265" s="6"/>
      <c r="O265" s="6"/>
      <c r="P265" s="13"/>
      <c r="Q265" s="13"/>
      <c r="R265" s="16"/>
      <c r="S265" s="16"/>
      <c r="T265" s="6"/>
      <c r="U265" s="10"/>
    </row>
    <row r="266" spans="1:21">
      <c r="A266" s="5"/>
      <c r="B266" s="6"/>
      <c r="C266" s="6"/>
      <c r="D266" s="6"/>
      <c r="E266" s="6"/>
      <c r="F266" s="6"/>
      <c r="G266" s="13"/>
      <c r="H266" s="6"/>
      <c r="I266" s="13"/>
      <c r="J266" s="6"/>
      <c r="K266" s="6"/>
      <c r="L266" s="6"/>
      <c r="M266" s="6"/>
      <c r="N266" s="6"/>
      <c r="O266" s="6"/>
      <c r="P266" s="13"/>
      <c r="Q266" s="13"/>
      <c r="R266" s="16"/>
      <c r="S266" s="16"/>
      <c r="T266" s="6"/>
      <c r="U266" s="10"/>
    </row>
    <row r="267" spans="1:21">
      <c r="A267" s="5"/>
      <c r="B267" s="6"/>
      <c r="C267" s="6"/>
      <c r="D267" s="6"/>
      <c r="E267" s="6"/>
      <c r="F267" s="6"/>
      <c r="G267" s="13"/>
      <c r="H267" s="6"/>
      <c r="I267" s="13"/>
      <c r="J267" s="6"/>
      <c r="K267" s="6"/>
      <c r="L267" s="6"/>
      <c r="M267" s="6"/>
      <c r="N267" s="6"/>
      <c r="O267" s="6"/>
      <c r="P267" s="13"/>
      <c r="Q267" s="13"/>
      <c r="R267" s="16"/>
      <c r="S267" s="16"/>
      <c r="T267" s="6"/>
      <c r="U267" s="10"/>
    </row>
    <row r="268" spans="1:21">
      <c r="A268" s="5"/>
      <c r="B268" s="6"/>
      <c r="C268" s="6"/>
      <c r="D268" s="6"/>
      <c r="E268" s="6"/>
      <c r="F268" s="6"/>
      <c r="G268" s="13"/>
      <c r="H268" s="6"/>
      <c r="I268" s="13"/>
      <c r="J268" s="6"/>
      <c r="K268" s="6"/>
      <c r="L268" s="6"/>
      <c r="M268" s="6"/>
      <c r="N268" s="6"/>
      <c r="O268" s="6"/>
      <c r="P268" s="13"/>
      <c r="Q268" s="13"/>
      <c r="R268" s="16"/>
      <c r="S268" s="16"/>
      <c r="T268" s="6"/>
      <c r="U268" s="10"/>
    </row>
    <row r="269" spans="1:21">
      <c r="A269" s="5"/>
      <c r="B269" s="6"/>
      <c r="C269" s="6"/>
      <c r="D269" s="6"/>
      <c r="E269" s="6"/>
      <c r="F269" s="6"/>
      <c r="G269" s="13"/>
      <c r="H269" s="6"/>
      <c r="I269" s="13"/>
      <c r="J269" s="6"/>
      <c r="K269" s="6"/>
      <c r="L269" s="6"/>
      <c r="M269" s="6"/>
      <c r="N269" s="6"/>
      <c r="O269" s="6"/>
      <c r="P269" s="13"/>
      <c r="Q269" s="13"/>
      <c r="R269" s="16"/>
      <c r="S269" s="16"/>
      <c r="T269" s="6"/>
      <c r="U269" s="10"/>
    </row>
    <row r="270" spans="1:21">
      <c r="A270" s="5"/>
      <c r="B270" s="6"/>
      <c r="C270" s="6"/>
      <c r="D270" s="6"/>
      <c r="E270" s="6"/>
      <c r="F270" s="6"/>
      <c r="G270" s="13"/>
      <c r="H270" s="6"/>
      <c r="I270" s="13"/>
      <c r="J270" s="6"/>
      <c r="K270" s="6"/>
      <c r="L270" s="6"/>
      <c r="M270" s="6"/>
      <c r="N270" s="6"/>
      <c r="O270" s="6"/>
      <c r="P270" s="13"/>
      <c r="Q270" s="13"/>
      <c r="R270" s="16"/>
      <c r="S270" s="16"/>
      <c r="T270" s="6"/>
      <c r="U270" s="10"/>
    </row>
    <row r="271" spans="1:21">
      <c r="A271" s="5"/>
      <c r="B271" s="6"/>
      <c r="C271" s="6"/>
      <c r="D271" s="6"/>
      <c r="E271" s="6"/>
      <c r="F271" s="6"/>
      <c r="G271" s="13"/>
      <c r="H271" s="6"/>
      <c r="I271" s="13"/>
      <c r="J271" s="6"/>
      <c r="K271" s="6"/>
      <c r="L271" s="6"/>
      <c r="M271" s="6"/>
      <c r="N271" s="6"/>
      <c r="O271" s="6"/>
      <c r="P271" s="13"/>
      <c r="Q271" s="13"/>
      <c r="R271" s="16"/>
      <c r="S271" s="16"/>
      <c r="T271" s="6"/>
      <c r="U271" s="10"/>
    </row>
    <row r="272" spans="1:21">
      <c r="A272" s="5"/>
      <c r="B272" s="6"/>
      <c r="C272" s="6"/>
      <c r="D272" s="6"/>
      <c r="E272" s="6"/>
      <c r="F272" s="6"/>
      <c r="G272" s="13"/>
      <c r="H272" s="6"/>
      <c r="I272" s="13"/>
      <c r="J272" s="6"/>
      <c r="K272" s="6"/>
      <c r="L272" s="6"/>
      <c r="M272" s="6"/>
      <c r="N272" s="6"/>
      <c r="O272" s="6"/>
      <c r="P272" s="13"/>
      <c r="Q272" s="13"/>
      <c r="R272" s="16"/>
      <c r="S272" s="16"/>
      <c r="T272" s="6"/>
      <c r="U272" s="10"/>
    </row>
    <row r="273" spans="1:21">
      <c r="A273" s="5"/>
      <c r="B273" s="6"/>
      <c r="C273" s="6"/>
      <c r="D273" s="6"/>
      <c r="E273" s="6"/>
      <c r="F273" s="6"/>
      <c r="G273" s="13"/>
      <c r="H273" s="6"/>
      <c r="I273" s="13"/>
      <c r="J273" s="6"/>
      <c r="K273" s="6"/>
      <c r="L273" s="6"/>
      <c r="M273" s="6"/>
      <c r="N273" s="6"/>
      <c r="O273" s="6"/>
      <c r="P273" s="13"/>
      <c r="Q273" s="13"/>
      <c r="R273" s="16"/>
      <c r="S273" s="16"/>
      <c r="T273" s="6"/>
      <c r="U273" s="10"/>
    </row>
    <row r="274" spans="1:21">
      <c r="A274" s="5"/>
      <c r="B274" s="6"/>
      <c r="C274" s="6"/>
      <c r="D274" s="6"/>
      <c r="E274" s="6"/>
      <c r="F274" s="6"/>
      <c r="G274" s="13"/>
      <c r="H274" s="6"/>
      <c r="I274" s="13"/>
      <c r="J274" s="6"/>
      <c r="K274" s="6"/>
      <c r="L274" s="6"/>
      <c r="M274" s="6"/>
      <c r="N274" s="6"/>
      <c r="O274" s="6"/>
      <c r="P274" s="13"/>
      <c r="Q274" s="13"/>
      <c r="R274" s="16"/>
      <c r="S274" s="16"/>
      <c r="T274" s="6"/>
      <c r="U274" s="10"/>
    </row>
    <row r="275" spans="1:21">
      <c r="A275" s="5"/>
      <c r="B275" s="6"/>
      <c r="C275" s="6"/>
      <c r="D275" s="6"/>
      <c r="E275" s="6"/>
      <c r="F275" s="6"/>
      <c r="G275" s="13"/>
      <c r="H275" s="6"/>
      <c r="I275" s="13"/>
      <c r="J275" s="6"/>
      <c r="K275" s="6"/>
      <c r="L275" s="6"/>
      <c r="M275" s="6"/>
      <c r="N275" s="6"/>
      <c r="O275" s="6"/>
      <c r="P275" s="13"/>
      <c r="Q275" s="13"/>
      <c r="R275" s="16"/>
      <c r="S275" s="16"/>
      <c r="T275" s="6"/>
      <c r="U275" s="10"/>
    </row>
    <row r="276" spans="1:21">
      <c r="A276" s="5"/>
      <c r="B276" s="6"/>
      <c r="C276" s="6"/>
      <c r="D276" s="6"/>
      <c r="E276" s="6"/>
      <c r="F276" s="6"/>
      <c r="G276" s="13"/>
      <c r="H276" s="6"/>
      <c r="I276" s="13"/>
      <c r="J276" s="6"/>
      <c r="K276" s="6"/>
      <c r="L276" s="6"/>
      <c r="M276" s="6"/>
      <c r="N276" s="6"/>
      <c r="O276" s="6"/>
      <c r="P276" s="13"/>
      <c r="Q276" s="13"/>
      <c r="R276" s="16"/>
      <c r="S276" s="16"/>
      <c r="T276" s="6"/>
      <c r="U276" s="10"/>
    </row>
    <row r="277" spans="1:21">
      <c r="A277" s="5"/>
      <c r="B277" s="6"/>
      <c r="C277" s="6"/>
      <c r="D277" s="6"/>
      <c r="E277" s="6"/>
      <c r="F277" s="6"/>
      <c r="G277" s="13"/>
      <c r="H277" s="6"/>
      <c r="I277" s="13"/>
      <c r="J277" s="6"/>
      <c r="K277" s="6"/>
      <c r="L277" s="6"/>
      <c r="M277" s="6"/>
      <c r="N277" s="6"/>
      <c r="O277" s="6"/>
      <c r="P277" s="13"/>
      <c r="Q277" s="13"/>
      <c r="R277" s="16"/>
      <c r="S277" s="16"/>
      <c r="T277" s="6"/>
      <c r="U277" s="10"/>
    </row>
    <row r="278" spans="1:21">
      <c r="A278" s="5"/>
      <c r="B278" s="6"/>
      <c r="C278" s="6"/>
      <c r="D278" s="6"/>
      <c r="E278" s="6"/>
      <c r="F278" s="6"/>
      <c r="G278" s="13"/>
      <c r="H278" s="6"/>
      <c r="I278" s="13"/>
      <c r="J278" s="6"/>
      <c r="K278" s="6"/>
      <c r="L278" s="6"/>
      <c r="M278" s="6"/>
      <c r="N278" s="6"/>
      <c r="O278" s="6"/>
      <c r="P278" s="13"/>
      <c r="Q278" s="13"/>
      <c r="R278" s="16"/>
      <c r="S278" s="16"/>
      <c r="T278" s="6"/>
      <c r="U278" s="10"/>
    </row>
    <row r="279" spans="1:21">
      <c r="A279" s="5"/>
      <c r="B279" s="6"/>
      <c r="C279" s="6"/>
      <c r="D279" s="6"/>
      <c r="E279" s="6"/>
      <c r="F279" s="6"/>
      <c r="G279" s="13"/>
      <c r="H279" s="6"/>
      <c r="I279" s="13"/>
      <c r="J279" s="6"/>
      <c r="K279" s="6"/>
      <c r="L279" s="6"/>
      <c r="M279" s="6"/>
      <c r="N279" s="6"/>
      <c r="O279" s="6"/>
      <c r="P279" s="13"/>
      <c r="Q279" s="13"/>
      <c r="R279" s="16"/>
      <c r="S279" s="16"/>
      <c r="T279" s="6"/>
      <c r="U279" s="10"/>
    </row>
    <row r="280" spans="1:21">
      <c r="A280" s="5"/>
      <c r="B280" s="6"/>
      <c r="C280" s="6"/>
      <c r="D280" s="6"/>
      <c r="E280" s="6"/>
      <c r="F280" s="6"/>
      <c r="G280" s="13"/>
      <c r="H280" s="6"/>
      <c r="I280" s="13"/>
      <c r="J280" s="6"/>
      <c r="K280" s="6"/>
      <c r="L280" s="6"/>
      <c r="M280" s="6"/>
      <c r="N280" s="6"/>
      <c r="O280" s="6"/>
      <c r="P280" s="13"/>
      <c r="Q280" s="13"/>
      <c r="R280" s="16"/>
      <c r="S280" s="16"/>
      <c r="T280" s="6"/>
      <c r="U280" s="10"/>
    </row>
    <row r="281" spans="1:21">
      <c r="A281" s="5"/>
      <c r="B281" s="6"/>
      <c r="C281" s="6"/>
      <c r="D281" s="6"/>
      <c r="E281" s="6"/>
      <c r="F281" s="6"/>
      <c r="G281" s="13"/>
      <c r="H281" s="6"/>
      <c r="I281" s="13"/>
      <c r="J281" s="6"/>
      <c r="K281" s="6"/>
      <c r="L281" s="6"/>
      <c r="M281" s="6"/>
      <c r="N281" s="6"/>
      <c r="O281" s="6"/>
      <c r="P281" s="13"/>
      <c r="Q281" s="13"/>
      <c r="R281" s="16"/>
      <c r="S281" s="16"/>
      <c r="T281" s="6"/>
      <c r="U281" s="10"/>
    </row>
    <row r="282" spans="1:21">
      <c r="A282" s="5"/>
      <c r="B282" s="6"/>
      <c r="C282" s="6"/>
      <c r="D282" s="6"/>
      <c r="E282" s="6"/>
      <c r="F282" s="6"/>
      <c r="G282" s="13"/>
      <c r="H282" s="6"/>
      <c r="I282" s="13"/>
      <c r="J282" s="6"/>
      <c r="K282" s="6"/>
      <c r="L282" s="6"/>
      <c r="M282" s="6"/>
      <c r="N282" s="6"/>
      <c r="O282" s="6"/>
      <c r="P282" s="13"/>
      <c r="Q282" s="13"/>
      <c r="R282" s="16"/>
      <c r="S282" s="16"/>
      <c r="T282" s="6"/>
      <c r="U282" s="10"/>
    </row>
    <row r="283" spans="1:21">
      <c r="A283" s="5"/>
      <c r="B283" s="6"/>
      <c r="C283" s="6"/>
      <c r="D283" s="6"/>
      <c r="E283" s="6"/>
      <c r="F283" s="6"/>
      <c r="G283" s="13"/>
      <c r="H283" s="6"/>
      <c r="I283" s="13"/>
      <c r="J283" s="6"/>
      <c r="K283" s="6"/>
      <c r="L283" s="6"/>
      <c r="M283" s="6"/>
      <c r="N283" s="6"/>
      <c r="O283" s="6"/>
      <c r="P283" s="13"/>
      <c r="Q283" s="13"/>
      <c r="R283" s="16"/>
      <c r="S283" s="16"/>
      <c r="T283" s="6"/>
      <c r="U283" s="10"/>
    </row>
    <row r="284" spans="1:21">
      <c r="A284" s="5"/>
      <c r="B284" s="6"/>
      <c r="C284" s="6"/>
      <c r="D284" s="6"/>
      <c r="E284" s="6"/>
      <c r="F284" s="6"/>
      <c r="G284" s="13"/>
      <c r="H284" s="6"/>
      <c r="I284" s="13"/>
      <c r="J284" s="6"/>
      <c r="K284" s="6"/>
      <c r="L284" s="6"/>
      <c r="M284" s="6"/>
      <c r="N284" s="6"/>
      <c r="O284" s="6"/>
      <c r="P284" s="13"/>
      <c r="Q284" s="13"/>
      <c r="R284" s="16"/>
      <c r="S284" s="16"/>
      <c r="T284" s="6"/>
      <c r="U284" s="10"/>
    </row>
    <row r="285" spans="1:21">
      <c r="A285" s="5"/>
      <c r="B285" s="6"/>
      <c r="C285" s="6"/>
      <c r="D285" s="6"/>
      <c r="E285" s="6"/>
      <c r="F285" s="6"/>
      <c r="G285" s="13"/>
      <c r="H285" s="6"/>
      <c r="I285" s="13"/>
      <c r="J285" s="6"/>
      <c r="K285" s="6"/>
      <c r="L285" s="6"/>
      <c r="M285" s="6"/>
      <c r="N285" s="6"/>
      <c r="O285" s="6"/>
      <c r="P285" s="13"/>
      <c r="Q285" s="13"/>
      <c r="R285" s="16"/>
      <c r="S285" s="16"/>
      <c r="T285" s="6"/>
      <c r="U285" s="10"/>
    </row>
    <row r="286" spans="1:21">
      <c r="A286" s="5"/>
      <c r="B286" s="6"/>
      <c r="C286" s="6"/>
      <c r="D286" s="6"/>
      <c r="E286" s="6"/>
      <c r="F286" s="6"/>
      <c r="G286" s="13"/>
      <c r="H286" s="6"/>
      <c r="I286" s="13"/>
      <c r="J286" s="6"/>
      <c r="K286" s="6"/>
      <c r="L286" s="6"/>
      <c r="M286" s="6"/>
      <c r="N286" s="6"/>
      <c r="O286" s="6"/>
      <c r="P286" s="13"/>
      <c r="Q286" s="13"/>
      <c r="R286" s="16"/>
      <c r="S286" s="16"/>
      <c r="T286" s="6"/>
      <c r="U286" s="10"/>
    </row>
    <row r="287" spans="1:21">
      <c r="A287" s="5"/>
      <c r="B287" s="6"/>
      <c r="C287" s="6"/>
      <c r="D287" s="6"/>
      <c r="E287" s="6"/>
      <c r="F287" s="6"/>
      <c r="G287" s="13"/>
      <c r="H287" s="6"/>
      <c r="I287" s="13"/>
      <c r="J287" s="6"/>
      <c r="K287" s="6"/>
      <c r="L287" s="6"/>
      <c r="M287" s="6"/>
      <c r="N287" s="6"/>
      <c r="O287" s="6"/>
      <c r="P287" s="13"/>
      <c r="Q287" s="13"/>
      <c r="R287" s="16"/>
      <c r="S287" s="16"/>
      <c r="T287" s="6"/>
      <c r="U287" s="10"/>
    </row>
    <row r="288" spans="1:21">
      <c r="A288" s="5"/>
      <c r="B288" s="6"/>
      <c r="C288" s="6"/>
      <c r="D288" s="6"/>
      <c r="E288" s="6"/>
      <c r="F288" s="6"/>
      <c r="G288" s="13"/>
      <c r="H288" s="6"/>
      <c r="I288" s="13"/>
      <c r="J288" s="6"/>
      <c r="K288" s="6"/>
      <c r="L288" s="6"/>
      <c r="M288" s="6"/>
      <c r="N288" s="6"/>
      <c r="O288" s="6"/>
      <c r="P288" s="13"/>
      <c r="Q288" s="13"/>
      <c r="R288" s="16"/>
      <c r="S288" s="16"/>
      <c r="T288" s="6"/>
      <c r="U288" s="10"/>
    </row>
    <row r="289" spans="1:21">
      <c r="A289" s="5"/>
      <c r="B289" s="6"/>
      <c r="C289" s="6"/>
      <c r="D289" s="6"/>
      <c r="E289" s="6"/>
      <c r="F289" s="6"/>
      <c r="G289" s="13"/>
      <c r="H289" s="6"/>
      <c r="I289" s="13"/>
      <c r="J289" s="6"/>
      <c r="K289" s="6"/>
      <c r="L289" s="6"/>
      <c r="M289" s="6"/>
      <c r="N289" s="6"/>
      <c r="O289" s="6"/>
      <c r="P289" s="13"/>
      <c r="Q289" s="13"/>
      <c r="R289" s="16"/>
      <c r="S289" s="16"/>
      <c r="T289" s="6"/>
      <c r="U289" s="10"/>
    </row>
    <row r="290" spans="1:21">
      <c r="A290" s="5"/>
      <c r="B290" s="6"/>
      <c r="C290" s="6"/>
      <c r="D290" s="6"/>
      <c r="E290" s="6"/>
      <c r="F290" s="6"/>
      <c r="G290" s="13"/>
      <c r="H290" s="6"/>
      <c r="I290" s="13"/>
      <c r="J290" s="6"/>
      <c r="K290" s="6"/>
      <c r="L290" s="6"/>
      <c r="M290" s="6"/>
      <c r="N290" s="6"/>
      <c r="O290" s="6"/>
      <c r="P290" s="13"/>
      <c r="Q290" s="13"/>
      <c r="R290" s="16"/>
      <c r="S290" s="16"/>
      <c r="T290" s="6"/>
      <c r="U290" s="10"/>
    </row>
    <row r="291" spans="1:21">
      <c r="A291" s="5"/>
      <c r="B291" s="6"/>
      <c r="C291" s="6"/>
      <c r="D291" s="6"/>
      <c r="E291" s="6"/>
      <c r="F291" s="6"/>
      <c r="G291" s="13"/>
      <c r="H291" s="6"/>
      <c r="I291" s="13"/>
      <c r="J291" s="6"/>
      <c r="K291" s="6"/>
      <c r="L291" s="6"/>
      <c r="M291" s="6"/>
      <c r="N291" s="6"/>
      <c r="O291" s="6"/>
      <c r="P291" s="13"/>
      <c r="Q291" s="13"/>
      <c r="R291" s="16"/>
      <c r="S291" s="16"/>
      <c r="T291" s="6"/>
      <c r="U291" s="10"/>
    </row>
    <row r="292" spans="1:21">
      <c r="A292" s="5"/>
      <c r="B292" s="6"/>
      <c r="C292" s="6"/>
      <c r="D292" s="6"/>
      <c r="E292" s="6"/>
      <c r="F292" s="6"/>
      <c r="G292" s="13"/>
      <c r="H292" s="6"/>
      <c r="I292" s="13"/>
      <c r="J292" s="6"/>
      <c r="K292" s="6"/>
      <c r="L292" s="6"/>
      <c r="M292" s="6"/>
      <c r="N292" s="6"/>
      <c r="O292" s="6"/>
      <c r="P292" s="13"/>
      <c r="Q292" s="13"/>
      <c r="R292" s="16"/>
      <c r="S292" s="16"/>
      <c r="T292" s="6"/>
      <c r="U292" s="10"/>
    </row>
    <row r="293" spans="1:21">
      <c r="A293" s="5"/>
      <c r="B293" s="6"/>
      <c r="C293" s="6"/>
      <c r="D293" s="6"/>
      <c r="E293" s="6"/>
      <c r="F293" s="6"/>
      <c r="G293" s="13"/>
      <c r="H293" s="6"/>
      <c r="I293" s="13"/>
      <c r="J293" s="6"/>
      <c r="K293" s="6"/>
      <c r="L293" s="6"/>
      <c r="M293" s="6"/>
      <c r="N293" s="6"/>
      <c r="O293" s="6"/>
      <c r="P293" s="13"/>
      <c r="Q293" s="13"/>
      <c r="R293" s="16"/>
      <c r="S293" s="16"/>
      <c r="T293" s="6"/>
      <c r="U293" s="10"/>
    </row>
    <row r="294" spans="1:21">
      <c r="A294" s="5"/>
      <c r="B294" s="6"/>
      <c r="C294" s="6"/>
      <c r="D294" s="6"/>
      <c r="E294" s="6"/>
      <c r="F294" s="6"/>
      <c r="G294" s="13"/>
      <c r="H294" s="6"/>
      <c r="I294" s="13"/>
      <c r="J294" s="6"/>
      <c r="K294" s="6"/>
      <c r="L294" s="6"/>
      <c r="M294" s="6"/>
      <c r="N294" s="6"/>
      <c r="O294" s="6"/>
      <c r="P294" s="13"/>
      <c r="Q294" s="13"/>
      <c r="R294" s="16"/>
      <c r="S294" s="16"/>
      <c r="T294" s="6"/>
      <c r="U294" s="10"/>
    </row>
    <row r="295" spans="1:21">
      <c r="A295" s="5"/>
      <c r="B295" s="6"/>
      <c r="C295" s="6"/>
      <c r="D295" s="6"/>
      <c r="E295" s="6"/>
      <c r="F295" s="6"/>
      <c r="G295" s="13"/>
      <c r="H295" s="6"/>
      <c r="I295" s="13"/>
      <c r="J295" s="6"/>
      <c r="K295" s="6"/>
      <c r="L295" s="6"/>
      <c r="M295" s="6"/>
      <c r="N295" s="6"/>
      <c r="O295" s="6"/>
      <c r="P295" s="13"/>
      <c r="Q295" s="13"/>
      <c r="R295" s="16"/>
      <c r="S295" s="16"/>
      <c r="T295" s="6"/>
      <c r="U295" s="10"/>
    </row>
    <row r="296" spans="1:21">
      <c r="A296" s="5"/>
      <c r="B296" s="6"/>
      <c r="C296" s="6"/>
      <c r="D296" s="6"/>
      <c r="E296" s="6"/>
      <c r="F296" s="6"/>
      <c r="G296" s="13"/>
      <c r="H296" s="6"/>
      <c r="I296" s="13"/>
      <c r="J296" s="6"/>
      <c r="K296" s="6"/>
      <c r="L296" s="6"/>
      <c r="M296" s="6"/>
      <c r="N296" s="6"/>
      <c r="O296" s="6"/>
      <c r="P296" s="13"/>
      <c r="Q296" s="13"/>
      <c r="R296" s="16"/>
      <c r="S296" s="16"/>
      <c r="T296" s="6"/>
      <c r="U296" s="10"/>
    </row>
    <row r="297" spans="1:21">
      <c r="A297" s="5"/>
      <c r="B297" s="6"/>
      <c r="C297" s="6"/>
      <c r="D297" s="6"/>
      <c r="E297" s="6"/>
      <c r="F297" s="6"/>
      <c r="G297" s="13"/>
      <c r="H297" s="6"/>
      <c r="I297" s="13"/>
      <c r="J297" s="6"/>
      <c r="K297" s="6"/>
      <c r="L297" s="6"/>
      <c r="M297" s="6"/>
      <c r="N297" s="6"/>
      <c r="O297" s="6"/>
      <c r="P297" s="13"/>
      <c r="Q297" s="13"/>
      <c r="R297" s="16"/>
      <c r="S297" s="16"/>
      <c r="T297" s="6"/>
      <c r="U297" s="10"/>
    </row>
    <row r="298" spans="1:21">
      <c r="A298" s="5"/>
      <c r="B298" s="6"/>
      <c r="C298" s="6"/>
      <c r="D298" s="6"/>
      <c r="E298" s="6"/>
      <c r="F298" s="6"/>
      <c r="G298" s="13"/>
      <c r="H298" s="6"/>
      <c r="I298" s="13"/>
      <c r="J298" s="6"/>
      <c r="K298" s="6"/>
      <c r="L298" s="6"/>
      <c r="M298" s="6"/>
      <c r="N298" s="6"/>
      <c r="O298" s="6"/>
      <c r="P298" s="13"/>
      <c r="Q298" s="13"/>
      <c r="R298" s="16"/>
      <c r="S298" s="16"/>
      <c r="T298" s="6"/>
      <c r="U298" s="10"/>
    </row>
    <row r="299" spans="1:21">
      <c r="A299" s="5"/>
      <c r="B299" s="6"/>
      <c r="C299" s="6"/>
      <c r="D299" s="6"/>
      <c r="E299" s="6"/>
      <c r="F299" s="6"/>
      <c r="G299" s="13"/>
      <c r="H299" s="6"/>
      <c r="I299" s="13"/>
      <c r="J299" s="6"/>
      <c r="K299" s="6"/>
      <c r="L299" s="6"/>
      <c r="M299" s="6"/>
      <c r="N299" s="6"/>
      <c r="O299" s="6"/>
      <c r="P299" s="13"/>
      <c r="Q299" s="13"/>
      <c r="R299" s="16"/>
      <c r="S299" s="16"/>
      <c r="T299" s="6"/>
      <c r="U299" s="10"/>
    </row>
    <row r="300" spans="1:21">
      <c r="A300" s="5"/>
      <c r="B300" s="6"/>
      <c r="C300" s="6"/>
      <c r="D300" s="6"/>
      <c r="E300" s="6"/>
      <c r="F300" s="6"/>
      <c r="G300" s="13"/>
      <c r="H300" s="6"/>
      <c r="I300" s="13"/>
      <c r="J300" s="6"/>
      <c r="K300" s="6"/>
      <c r="L300" s="6"/>
      <c r="M300" s="6"/>
      <c r="N300" s="6"/>
      <c r="O300" s="6"/>
      <c r="P300" s="13"/>
      <c r="Q300" s="13"/>
      <c r="R300" s="16"/>
      <c r="S300" s="16"/>
      <c r="T300" s="6"/>
      <c r="U300" s="10"/>
    </row>
    <row r="301" spans="1:21">
      <c r="A301" s="5"/>
      <c r="B301" s="6"/>
      <c r="C301" s="6"/>
      <c r="D301" s="6"/>
      <c r="E301" s="6"/>
      <c r="F301" s="6"/>
      <c r="G301" s="13"/>
      <c r="H301" s="6"/>
      <c r="I301" s="13"/>
      <c r="J301" s="6"/>
      <c r="K301" s="6"/>
      <c r="L301" s="6"/>
      <c r="M301" s="6"/>
      <c r="N301" s="6"/>
      <c r="O301" s="6"/>
      <c r="P301" s="13"/>
      <c r="Q301" s="13"/>
      <c r="R301" s="16"/>
      <c r="S301" s="16"/>
      <c r="T301" s="6"/>
      <c r="U301" s="10"/>
    </row>
    <row r="302" spans="1:21">
      <c r="A302" s="5"/>
      <c r="B302" s="6"/>
      <c r="C302" s="6"/>
      <c r="D302" s="6"/>
      <c r="E302" s="6"/>
      <c r="F302" s="6"/>
      <c r="G302" s="13"/>
      <c r="H302" s="6"/>
      <c r="I302" s="13"/>
      <c r="J302" s="6"/>
      <c r="K302" s="6"/>
      <c r="L302" s="6"/>
      <c r="M302" s="6"/>
      <c r="N302" s="6"/>
      <c r="O302" s="6"/>
      <c r="P302" s="13"/>
      <c r="Q302" s="13"/>
      <c r="R302" s="16"/>
      <c r="S302" s="16"/>
      <c r="T302" s="6"/>
      <c r="U302" s="10"/>
    </row>
    <row r="303" spans="1:21">
      <c r="A303" s="5"/>
      <c r="B303" s="6"/>
      <c r="C303" s="6"/>
      <c r="D303" s="6"/>
      <c r="E303" s="6"/>
      <c r="F303" s="6"/>
      <c r="G303" s="13"/>
      <c r="H303" s="6"/>
      <c r="I303" s="13"/>
      <c r="J303" s="6"/>
      <c r="K303" s="6"/>
      <c r="L303" s="6"/>
      <c r="M303" s="6"/>
      <c r="N303" s="6"/>
      <c r="O303" s="6"/>
      <c r="P303" s="13"/>
      <c r="Q303" s="13"/>
      <c r="R303" s="16"/>
      <c r="S303" s="16"/>
      <c r="T303" s="6"/>
      <c r="U303" s="10"/>
    </row>
    <row r="304" spans="1:21">
      <c r="A304" s="5"/>
      <c r="B304" s="6"/>
      <c r="C304" s="6"/>
      <c r="D304" s="6"/>
      <c r="E304" s="6"/>
      <c r="F304" s="6"/>
      <c r="G304" s="13"/>
      <c r="H304" s="6"/>
      <c r="I304" s="13"/>
      <c r="J304" s="6"/>
      <c r="K304" s="6"/>
      <c r="L304" s="6"/>
      <c r="M304" s="6"/>
      <c r="N304" s="6"/>
      <c r="O304" s="6"/>
      <c r="P304" s="13"/>
      <c r="Q304" s="13"/>
      <c r="R304" s="16"/>
      <c r="S304" s="16"/>
      <c r="T304" s="6"/>
      <c r="U304" s="10"/>
    </row>
    <row r="305" spans="1:21">
      <c r="A305" s="5"/>
      <c r="B305" s="6"/>
      <c r="C305" s="6"/>
      <c r="D305" s="6"/>
      <c r="E305" s="6"/>
      <c r="F305" s="6"/>
      <c r="G305" s="13"/>
      <c r="H305" s="6"/>
      <c r="I305" s="13"/>
      <c r="J305" s="6"/>
      <c r="K305" s="6"/>
      <c r="L305" s="6"/>
      <c r="M305" s="6"/>
      <c r="N305" s="6"/>
      <c r="O305" s="6"/>
      <c r="P305" s="13"/>
      <c r="Q305" s="13"/>
      <c r="R305" s="16"/>
      <c r="S305" s="16"/>
      <c r="T305" s="6"/>
      <c r="U305" s="10"/>
    </row>
    <row r="306" spans="1:21">
      <c r="A306" s="5"/>
      <c r="B306" s="6"/>
      <c r="C306" s="6"/>
      <c r="D306" s="6"/>
      <c r="E306" s="6"/>
      <c r="F306" s="6"/>
      <c r="G306" s="13"/>
      <c r="H306" s="6"/>
      <c r="I306" s="13"/>
      <c r="J306" s="6"/>
      <c r="K306" s="6"/>
      <c r="L306" s="6"/>
      <c r="M306" s="6"/>
      <c r="N306" s="6"/>
      <c r="O306" s="6"/>
      <c r="P306" s="13"/>
      <c r="Q306" s="13"/>
      <c r="R306" s="16"/>
      <c r="S306" s="16"/>
      <c r="T306" s="6"/>
      <c r="U306" s="10"/>
    </row>
    <row r="307" spans="1:21">
      <c r="A307" s="5"/>
      <c r="B307" s="6"/>
      <c r="C307" s="6"/>
      <c r="D307" s="6"/>
      <c r="E307" s="6"/>
      <c r="F307" s="6"/>
      <c r="G307" s="13"/>
      <c r="H307" s="6"/>
      <c r="I307" s="13"/>
      <c r="J307" s="6"/>
      <c r="K307" s="6"/>
      <c r="L307" s="6"/>
      <c r="M307" s="6"/>
      <c r="N307" s="6"/>
      <c r="O307" s="6"/>
      <c r="P307" s="13"/>
      <c r="Q307" s="13"/>
      <c r="R307" s="16"/>
      <c r="S307" s="16"/>
      <c r="T307" s="6"/>
      <c r="U307" s="10"/>
    </row>
    <row r="308" spans="1:21">
      <c r="A308" s="5"/>
      <c r="B308" s="6"/>
      <c r="C308" s="6"/>
      <c r="D308" s="6"/>
      <c r="E308" s="6"/>
      <c r="F308" s="6"/>
      <c r="G308" s="13"/>
      <c r="H308" s="6"/>
      <c r="I308" s="13"/>
      <c r="J308" s="6"/>
      <c r="K308" s="6"/>
      <c r="L308" s="6"/>
      <c r="M308" s="6"/>
      <c r="N308" s="6"/>
      <c r="O308" s="6"/>
      <c r="P308" s="13"/>
      <c r="Q308" s="13"/>
      <c r="R308" s="16"/>
      <c r="S308" s="16"/>
      <c r="T308" s="6"/>
      <c r="U308" s="10"/>
    </row>
    <row r="309" spans="1:21">
      <c r="A309" s="5"/>
      <c r="B309" s="6"/>
      <c r="C309" s="6"/>
      <c r="D309" s="6"/>
      <c r="E309" s="6"/>
      <c r="F309" s="6"/>
      <c r="G309" s="13"/>
      <c r="H309" s="6"/>
      <c r="I309" s="13"/>
      <c r="J309" s="6"/>
      <c r="K309" s="6"/>
      <c r="L309" s="6"/>
      <c r="M309" s="6"/>
      <c r="N309" s="6"/>
      <c r="O309" s="6"/>
      <c r="P309" s="13"/>
      <c r="Q309" s="13"/>
      <c r="R309" s="16"/>
      <c r="S309" s="16"/>
      <c r="T309" s="6"/>
      <c r="U309" s="10"/>
    </row>
    <row r="310" spans="1:21">
      <c r="A310" s="5"/>
      <c r="B310" s="6"/>
      <c r="C310" s="6"/>
      <c r="D310" s="6"/>
      <c r="E310" s="6"/>
      <c r="F310" s="6"/>
      <c r="G310" s="13"/>
      <c r="H310" s="6"/>
      <c r="I310" s="13"/>
      <c r="J310" s="6"/>
      <c r="K310" s="6"/>
      <c r="L310" s="6"/>
      <c r="M310" s="6"/>
      <c r="N310" s="6"/>
      <c r="O310" s="6"/>
      <c r="P310" s="13"/>
      <c r="Q310" s="13"/>
      <c r="R310" s="16"/>
      <c r="S310" s="16"/>
      <c r="T310" s="6"/>
      <c r="U310" s="10"/>
    </row>
    <row r="311" spans="1:21">
      <c r="A311" s="5"/>
      <c r="B311" s="6"/>
      <c r="C311" s="6"/>
      <c r="D311" s="6"/>
      <c r="E311" s="6"/>
      <c r="F311" s="6"/>
      <c r="G311" s="13"/>
      <c r="H311" s="6"/>
      <c r="I311" s="13"/>
      <c r="J311" s="6"/>
      <c r="K311" s="6"/>
      <c r="L311" s="6"/>
      <c r="M311" s="6"/>
      <c r="N311" s="6"/>
      <c r="O311" s="6"/>
      <c r="P311" s="13"/>
      <c r="Q311" s="13"/>
      <c r="R311" s="16"/>
      <c r="S311" s="16"/>
      <c r="T311" s="6"/>
      <c r="U311" s="10"/>
    </row>
    <row r="312" spans="1:21">
      <c r="A312" s="5"/>
      <c r="B312" s="6"/>
      <c r="C312" s="6"/>
      <c r="D312" s="6"/>
      <c r="E312" s="6"/>
      <c r="F312" s="6"/>
      <c r="G312" s="13"/>
      <c r="H312" s="6"/>
      <c r="I312" s="13"/>
      <c r="J312" s="6"/>
      <c r="K312" s="6"/>
      <c r="L312" s="6"/>
      <c r="M312" s="6"/>
      <c r="N312" s="6"/>
      <c r="O312" s="6"/>
      <c r="P312" s="13"/>
      <c r="Q312" s="13"/>
      <c r="R312" s="16"/>
      <c r="S312" s="16"/>
      <c r="T312" s="6"/>
      <c r="U312" s="10"/>
    </row>
    <row r="313" spans="1:21">
      <c r="A313" s="5"/>
      <c r="B313" s="6"/>
      <c r="C313" s="6"/>
      <c r="D313" s="6"/>
      <c r="E313" s="6"/>
      <c r="F313" s="6"/>
      <c r="G313" s="13"/>
      <c r="H313" s="6"/>
      <c r="I313" s="13"/>
      <c r="J313" s="6"/>
      <c r="K313" s="6"/>
      <c r="L313" s="6"/>
      <c r="M313" s="6"/>
      <c r="N313" s="6"/>
      <c r="O313" s="6"/>
      <c r="P313" s="13"/>
      <c r="Q313" s="13"/>
      <c r="R313" s="16"/>
      <c r="S313" s="16"/>
      <c r="T313" s="6"/>
      <c r="U313" s="10"/>
    </row>
    <row r="314" spans="1:21">
      <c r="A314" s="5"/>
      <c r="B314" s="6"/>
      <c r="C314" s="6"/>
      <c r="D314" s="6"/>
      <c r="E314" s="6"/>
      <c r="F314" s="6"/>
      <c r="G314" s="13"/>
      <c r="H314" s="6"/>
      <c r="I314" s="13"/>
      <c r="J314" s="6"/>
      <c r="K314" s="6"/>
      <c r="L314" s="6"/>
      <c r="M314" s="6"/>
      <c r="N314" s="6"/>
      <c r="O314" s="6"/>
      <c r="P314" s="13"/>
      <c r="Q314" s="13"/>
      <c r="R314" s="16"/>
      <c r="S314" s="16"/>
      <c r="T314" s="6"/>
      <c r="U314" s="10"/>
    </row>
    <row r="315" spans="1:21">
      <c r="A315" s="5"/>
      <c r="B315" s="6"/>
      <c r="C315" s="6"/>
      <c r="D315" s="6"/>
      <c r="E315" s="6"/>
      <c r="F315" s="6"/>
      <c r="G315" s="13"/>
      <c r="H315" s="6"/>
      <c r="I315" s="13"/>
      <c r="J315" s="6"/>
      <c r="K315" s="6"/>
      <c r="L315" s="6"/>
      <c r="M315" s="6"/>
      <c r="N315" s="6"/>
      <c r="O315" s="6"/>
      <c r="P315" s="13"/>
      <c r="Q315" s="13"/>
      <c r="R315" s="16"/>
      <c r="S315" s="16"/>
      <c r="T315" s="6"/>
      <c r="U315" s="10"/>
    </row>
    <row r="316" spans="1:21">
      <c r="A316" s="5"/>
      <c r="B316" s="6"/>
      <c r="C316" s="6"/>
      <c r="D316" s="6"/>
      <c r="E316" s="6"/>
      <c r="F316" s="6"/>
      <c r="G316" s="13"/>
      <c r="H316" s="6"/>
      <c r="I316" s="13"/>
      <c r="J316" s="6"/>
      <c r="K316" s="6"/>
      <c r="L316" s="6"/>
      <c r="M316" s="6"/>
      <c r="N316" s="6"/>
      <c r="O316" s="6"/>
      <c r="P316" s="13"/>
      <c r="Q316" s="13"/>
      <c r="R316" s="16"/>
      <c r="S316" s="16"/>
      <c r="T316" s="6"/>
      <c r="U316" s="10"/>
    </row>
    <row r="317" spans="1:21">
      <c r="A317" s="5"/>
      <c r="B317" s="6"/>
      <c r="C317" s="6"/>
      <c r="D317" s="6"/>
      <c r="E317" s="6"/>
      <c r="F317" s="6"/>
      <c r="G317" s="13"/>
      <c r="H317" s="6"/>
      <c r="I317" s="13"/>
      <c r="J317" s="6"/>
      <c r="K317" s="6"/>
      <c r="L317" s="6"/>
      <c r="M317" s="6"/>
      <c r="N317" s="6"/>
      <c r="O317" s="6"/>
      <c r="P317" s="13"/>
      <c r="Q317" s="13"/>
      <c r="R317" s="16"/>
      <c r="S317" s="16"/>
      <c r="T317" s="6"/>
      <c r="U317" s="10"/>
    </row>
    <row r="318" spans="1:21">
      <c r="A318" s="5"/>
      <c r="B318" s="6"/>
      <c r="C318" s="6"/>
      <c r="D318" s="6"/>
      <c r="E318" s="6"/>
      <c r="F318" s="6"/>
      <c r="G318" s="13"/>
      <c r="H318" s="6"/>
      <c r="I318" s="13"/>
      <c r="J318" s="6"/>
      <c r="K318" s="6"/>
      <c r="L318" s="6"/>
      <c r="M318" s="6"/>
      <c r="N318" s="6"/>
      <c r="O318" s="6"/>
      <c r="P318" s="13"/>
      <c r="Q318" s="13"/>
      <c r="R318" s="16"/>
      <c r="S318" s="16"/>
      <c r="T318" s="6"/>
      <c r="U318" s="10"/>
    </row>
    <row r="319" spans="1:21">
      <c r="A319" s="5"/>
      <c r="B319" s="6"/>
      <c r="C319" s="6"/>
      <c r="D319" s="6"/>
      <c r="E319" s="6"/>
      <c r="F319" s="6"/>
      <c r="G319" s="13"/>
      <c r="H319" s="6"/>
      <c r="I319" s="13"/>
      <c r="J319" s="6"/>
      <c r="K319" s="6"/>
      <c r="L319" s="6"/>
      <c r="M319" s="6"/>
      <c r="N319" s="6"/>
      <c r="O319" s="6"/>
      <c r="P319" s="13"/>
      <c r="Q319" s="13"/>
      <c r="R319" s="16"/>
      <c r="S319" s="16"/>
      <c r="T319" s="6"/>
      <c r="U319" s="10"/>
    </row>
    <row r="320" spans="1:21">
      <c r="A320" s="5"/>
      <c r="B320" s="6"/>
      <c r="C320" s="6"/>
      <c r="D320" s="6"/>
      <c r="E320" s="6"/>
      <c r="F320" s="6"/>
      <c r="G320" s="13"/>
      <c r="H320" s="6"/>
      <c r="I320" s="13"/>
      <c r="J320" s="6"/>
      <c r="K320" s="6"/>
      <c r="L320" s="6"/>
      <c r="M320" s="6"/>
      <c r="N320" s="6"/>
      <c r="O320" s="6"/>
      <c r="P320" s="13"/>
      <c r="Q320" s="13"/>
      <c r="R320" s="16"/>
      <c r="S320" s="16"/>
      <c r="T320" s="6"/>
      <c r="U320" s="10"/>
    </row>
    <row r="321" spans="1:21">
      <c r="A321" s="5"/>
      <c r="B321" s="6"/>
      <c r="C321" s="6"/>
      <c r="D321" s="6"/>
      <c r="E321" s="6"/>
      <c r="F321" s="6"/>
      <c r="G321" s="13"/>
      <c r="H321" s="6"/>
      <c r="I321" s="13"/>
      <c r="J321" s="6"/>
      <c r="K321" s="6"/>
      <c r="L321" s="6"/>
      <c r="M321" s="6"/>
      <c r="N321" s="6"/>
      <c r="O321" s="6"/>
      <c r="P321" s="13"/>
      <c r="Q321" s="13"/>
      <c r="R321" s="16"/>
      <c r="S321" s="16"/>
      <c r="T321" s="6"/>
      <c r="U321" s="10"/>
    </row>
    <row r="322" spans="1:21">
      <c r="A322" s="5"/>
      <c r="B322" s="6"/>
      <c r="C322" s="6"/>
      <c r="D322" s="6"/>
      <c r="E322" s="6"/>
      <c r="F322" s="6"/>
      <c r="G322" s="13"/>
      <c r="H322" s="6"/>
      <c r="I322" s="13"/>
      <c r="J322" s="6"/>
      <c r="K322" s="6"/>
      <c r="L322" s="6"/>
      <c r="M322" s="6"/>
      <c r="N322" s="6"/>
      <c r="O322" s="6"/>
      <c r="P322" s="13"/>
      <c r="Q322" s="13"/>
      <c r="R322" s="16"/>
      <c r="S322" s="16"/>
      <c r="T322" s="6"/>
      <c r="U322" s="10"/>
    </row>
    <row r="323" spans="1:21">
      <c r="A323" s="5"/>
      <c r="B323" s="6"/>
      <c r="C323" s="6"/>
      <c r="D323" s="6"/>
      <c r="E323" s="6"/>
      <c r="F323" s="6"/>
      <c r="G323" s="13"/>
      <c r="H323" s="6"/>
      <c r="I323" s="13"/>
      <c r="J323" s="6"/>
      <c r="K323" s="6"/>
      <c r="L323" s="6"/>
      <c r="M323" s="6"/>
      <c r="N323" s="6"/>
      <c r="O323" s="6"/>
      <c r="P323" s="13"/>
      <c r="Q323" s="13"/>
      <c r="R323" s="16"/>
      <c r="S323" s="16"/>
      <c r="T323" s="6"/>
      <c r="U323" s="10"/>
    </row>
    <row r="324" spans="1:21">
      <c r="A324" s="5"/>
      <c r="B324" s="6"/>
      <c r="C324" s="6"/>
      <c r="D324" s="6"/>
      <c r="E324" s="6"/>
      <c r="F324" s="6"/>
      <c r="G324" s="13"/>
      <c r="H324" s="6"/>
      <c r="I324" s="13"/>
      <c r="J324" s="6"/>
      <c r="K324" s="6"/>
      <c r="L324" s="6"/>
      <c r="M324" s="6"/>
      <c r="N324" s="6"/>
      <c r="O324" s="6"/>
      <c r="P324" s="13"/>
      <c r="Q324" s="13"/>
      <c r="R324" s="16"/>
      <c r="S324" s="16"/>
      <c r="T324" s="6"/>
      <c r="U324" s="10"/>
    </row>
    <row r="325" spans="1:21">
      <c r="A325" s="5"/>
      <c r="B325" s="6"/>
      <c r="C325" s="6"/>
      <c r="D325" s="6"/>
      <c r="E325" s="6"/>
      <c r="F325" s="6"/>
      <c r="G325" s="13"/>
      <c r="H325" s="6"/>
      <c r="I325" s="13"/>
      <c r="J325" s="6"/>
      <c r="K325" s="6"/>
      <c r="L325" s="6"/>
      <c r="M325" s="6"/>
      <c r="N325" s="6"/>
      <c r="O325" s="6"/>
      <c r="P325" s="13"/>
      <c r="Q325" s="13"/>
      <c r="R325" s="16"/>
      <c r="S325" s="16"/>
      <c r="T325" s="6"/>
      <c r="U325" s="10"/>
    </row>
    <row r="326" spans="1:21">
      <c r="A326" s="5"/>
      <c r="B326" s="6"/>
      <c r="C326" s="6"/>
      <c r="D326" s="6"/>
      <c r="E326" s="6"/>
      <c r="F326" s="6"/>
      <c r="G326" s="13"/>
      <c r="H326" s="6"/>
      <c r="I326" s="13"/>
      <c r="J326" s="6"/>
      <c r="K326" s="6"/>
      <c r="L326" s="6"/>
      <c r="M326" s="6"/>
      <c r="N326" s="6"/>
      <c r="O326" s="6"/>
      <c r="P326" s="13"/>
      <c r="Q326" s="13"/>
      <c r="R326" s="16"/>
      <c r="S326" s="16"/>
      <c r="T326" s="6"/>
      <c r="U326" s="10"/>
    </row>
    <row r="327" spans="1:21">
      <c r="A327" s="5"/>
      <c r="B327" s="6"/>
      <c r="C327" s="6"/>
      <c r="D327" s="6"/>
      <c r="E327" s="6"/>
      <c r="F327" s="6"/>
      <c r="G327" s="13"/>
      <c r="H327" s="6"/>
      <c r="I327" s="13"/>
      <c r="J327" s="6"/>
      <c r="K327" s="6"/>
      <c r="L327" s="6"/>
      <c r="M327" s="6"/>
      <c r="N327" s="6"/>
      <c r="O327" s="6"/>
      <c r="P327" s="13"/>
      <c r="Q327" s="13"/>
      <c r="R327" s="16"/>
      <c r="S327" s="16"/>
      <c r="T327" s="6"/>
      <c r="U327" s="10"/>
    </row>
    <row r="328" spans="1:21">
      <c r="A328" s="5"/>
      <c r="B328" s="6"/>
      <c r="C328" s="6"/>
      <c r="D328" s="6"/>
      <c r="E328" s="6"/>
      <c r="F328" s="6"/>
      <c r="G328" s="13"/>
      <c r="H328" s="6"/>
      <c r="I328" s="13"/>
      <c r="J328" s="6"/>
      <c r="K328" s="6"/>
      <c r="L328" s="6"/>
      <c r="M328" s="6"/>
      <c r="N328" s="6"/>
      <c r="O328" s="6"/>
      <c r="P328" s="13"/>
      <c r="Q328" s="13"/>
      <c r="R328" s="16"/>
      <c r="S328" s="16"/>
      <c r="T328" s="6"/>
      <c r="U328" s="10"/>
    </row>
    <row r="329" spans="1:21">
      <c r="A329" s="5"/>
      <c r="B329" s="6"/>
      <c r="C329" s="6"/>
      <c r="D329" s="6"/>
      <c r="E329" s="6"/>
      <c r="F329" s="6"/>
      <c r="G329" s="13"/>
      <c r="H329" s="6"/>
      <c r="I329" s="13"/>
      <c r="J329" s="6"/>
      <c r="K329" s="6"/>
      <c r="L329" s="6"/>
      <c r="M329" s="6"/>
      <c r="N329" s="6"/>
      <c r="O329" s="6"/>
      <c r="P329" s="13"/>
      <c r="Q329" s="13"/>
      <c r="R329" s="16"/>
      <c r="S329" s="16"/>
      <c r="T329" s="6"/>
      <c r="U329" s="10"/>
    </row>
    <row r="330" spans="1:21">
      <c r="A330" s="5"/>
      <c r="B330" s="6"/>
      <c r="C330" s="6"/>
      <c r="D330" s="6"/>
      <c r="E330" s="6"/>
      <c r="F330" s="6"/>
      <c r="G330" s="13"/>
      <c r="H330" s="6"/>
      <c r="I330" s="13"/>
      <c r="J330" s="6"/>
      <c r="K330" s="6"/>
      <c r="L330" s="6"/>
      <c r="M330" s="6"/>
      <c r="N330" s="6"/>
      <c r="O330" s="6"/>
      <c r="P330" s="13"/>
      <c r="Q330" s="13"/>
      <c r="R330" s="16"/>
      <c r="S330" s="16"/>
      <c r="T330" s="6"/>
      <c r="U330" s="10"/>
    </row>
    <row r="331" spans="1:21">
      <c r="A331" s="5"/>
      <c r="B331" s="6"/>
      <c r="C331" s="6"/>
      <c r="D331" s="6"/>
      <c r="E331" s="6"/>
      <c r="F331" s="6"/>
      <c r="G331" s="13"/>
      <c r="H331" s="6"/>
      <c r="I331" s="13"/>
      <c r="J331" s="6"/>
      <c r="K331" s="6"/>
      <c r="L331" s="6"/>
      <c r="M331" s="6"/>
      <c r="N331" s="6"/>
      <c r="O331" s="6"/>
      <c r="P331" s="13"/>
      <c r="Q331" s="13"/>
      <c r="R331" s="16"/>
      <c r="S331" s="16"/>
      <c r="T331" s="6"/>
      <c r="U331" s="10"/>
    </row>
    <row r="332" spans="1:21">
      <c r="A332" s="5"/>
      <c r="B332" s="6"/>
      <c r="C332" s="6"/>
      <c r="D332" s="6"/>
      <c r="E332" s="6"/>
      <c r="F332" s="6"/>
      <c r="G332" s="13"/>
      <c r="H332" s="6"/>
      <c r="I332" s="13"/>
      <c r="J332" s="6"/>
      <c r="K332" s="6"/>
      <c r="L332" s="6"/>
      <c r="M332" s="6"/>
      <c r="N332" s="6"/>
      <c r="O332" s="6"/>
      <c r="P332" s="13"/>
      <c r="Q332" s="13"/>
      <c r="R332" s="16"/>
      <c r="S332" s="16"/>
      <c r="T332" s="6"/>
      <c r="U332" s="10"/>
    </row>
    <row r="333" spans="1:21">
      <c r="A333" s="5"/>
      <c r="B333" s="6"/>
      <c r="C333" s="6"/>
      <c r="D333" s="6"/>
      <c r="E333" s="6"/>
      <c r="F333" s="6"/>
      <c r="G333" s="13"/>
      <c r="H333" s="6"/>
      <c r="I333" s="13"/>
      <c r="J333" s="6"/>
      <c r="K333" s="6"/>
      <c r="L333" s="6"/>
      <c r="M333" s="6"/>
      <c r="N333" s="6"/>
      <c r="O333" s="6"/>
      <c r="P333" s="13"/>
      <c r="Q333" s="13"/>
      <c r="R333" s="16"/>
      <c r="S333" s="16"/>
      <c r="T333" s="6"/>
      <c r="U333" s="10"/>
    </row>
    <row r="334" spans="1:21">
      <c r="A334" s="5"/>
      <c r="B334" s="6"/>
      <c r="C334" s="6"/>
      <c r="D334" s="6"/>
      <c r="E334" s="6"/>
      <c r="F334" s="6"/>
      <c r="G334" s="13"/>
      <c r="H334" s="6"/>
      <c r="I334" s="13"/>
      <c r="J334" s="6"/>
      <c r="K334" s="6"/>
      <c r="L334" s="6"/>
      <c r="M334" s="6"/>
      <c r="N334" s="6"/>
      <c r="O334" s="6"/>
      <c r="P334" s="13"/>
      <c r="Q334" s="13"/>
      <c r="R334" s="16"/>
      <c r="S334" s="16"/>
      <c r="T334" s="6"/>
      <c r="U334" s="10"/>
    </row>
    <row r="335" spans="1:21">
      <c r="A335" s="5"/>
      <c r="B335" s="6"/>
      <c r="C335" s="6"/>
      <c r="D335" s="6"/>
      <c r="E335" s="6"/>
      <c r="F335" s="6"/>
      <c r="G335" s="13"/>
      <c r="H335" s="6"/>
      <c r="I335" s="13"/>
      <c r="J335" s="6"/>
      <c r="K335" s="6"/>
      <c r="L335" s="6"/>
      <c r="M335" s="6"/>
      <c r="N335" s="6"/>
      <c r="O335" s="6"/>
      <c r="P335" s="13"/>
      <c r="Q335" s="13"/>
      <c r="R335" s="16"/>
      <c r="S335" s="16"/>
      <c r="T335" s="6"/>
      <c r="U335" s="10"/>
    </row>
    <row r="336" spans="1:21">
      <c r="A336" s="5"/>
      <c r="B336" s="6"/>
      <c r="C336" s="6"/>
      <c r="D336" s="6"/>
      <c r="E336" s="6"/>
      <c r="F336" s="6"/>
      <c r="G336" s="13"/>
      <c r="H336" s="6"/>
      <c r="I336" s="13"/>
      <c r="J336" s="6"/>
      <c r="K336" s="6"/>
      <c r="L336" s="6"/>
      <c r="M336" s="6"/>
      <c r="N336" s="6"/>
      <c r="O336" s="6"/>
      <c r="P336" s="13"/>
      <c r="Q336" s="13"/>
      <c r="R336" s="16"/>
      <c r="S336" s="16"/>
      <c r="T336" s="6"/>
      <c r="U336" s="10"/>
    </row>
    <row r="337" spans="1:21">
      <c r="A337" s="5"/>
      <c r="B337" s="6"/>
      <c r="C337" s="6"/>
      <c r="D337" s="6"/>
      <c r="E337" s="6"/>
      <c r="F337" s="6"/>
      <c r="G337" s="13"/>
      <c r="H337" s="6"/>
      <c r="I337" s="13"/>
      <c r="J337" s="6"/>
      <c r="K337" s="6"/>
      <c r="L337" s="6"/>
      <c r="M337" s="6"/>
      <c r="N337" s="6"/>
      <c r="O337" s="6"/>
      <c r="P337" s="13"/>
      <c r="Q337" s="13"/>
      <c r="R337" s="16"/>
      <c r="S337" s="16"/>
      <c r="T337" s="6"/>
      <c r="U337" s="10"/>
    </row>
    <row r="338" spans="1:21">
      <c r="A338" s="5"/>
      <c r="B338" s="6"/>
      <c r="C338" s="6"/>
      <c r="D338" s="6"/>
      <c r="E338" s="6"/>
      <c r="F338" s="6"/>
      <c r="G338" s="13"/>
      <c r="H338" s="6"/>
      <c r="I338" s="13"/>
      <c r="J338" s="6"/>
      <c r="K338" s="6"/>
      <c r="L338" s="6"/>
      <c r="M338" s="6"/>
      <c r="N338" s="6"/>
      <c r="O338" s="6"/>
      <c r="P338" s="13"/>
      <c r="Q338" s="13"/>
      <c r="R338" s="16"/>
      <c r="S338" s="16"/>
      <c r="T338" s="6"/>
      <c r="U338" s="10"/>
    </row>
    <row r="339" spans="1:21">
      <c r="A339" s="5"/>
      <c r="B339" s="6"/>
      <c r="C339" s="6"/>
      <c r="D339" s="6"/>
      <c r="E339" s="6"/>
      <c r="F339" s="6"/>
      <c r="G339" s="13"/>
      <c r="H339" s="6"/>
      <c r="I339" s="13"/>
      <c r="J339" s="6"/>
      <c r="K339" s="6"/>
      <c r="L339" s="6"/>
      <c r="M339" s="6"/>
      <c r="N339" s="6"/>
      <c r="O339" s="6"/>
      <c r="P339" s="13"/>
      <c r="Q339" s="13"/>
      <c r="R339" s="16"/>
      <c r="S339" s="16"/>
      <c r="T339" s="6"/>
      <c r="U339" s="10"/>
    </row>
    <row r="340" spans="1:21">
      <c r="A340" s="5"/>
      <c r="B340" s="6"/>
      <c r="C340" s="6"/>
      <c r="D340" s="6"/>
      <c r="E340" s="6"/>
      <c r="F340" s="6"/>
      <c r="G340" s="13"/>
      <c r="H340" s="6"/>
      <c r="I340" s="13"/>
      <c r="J340" s="6"/>
      <c r="K340" s="6"/>
      <c r="L340" s="6"/>
      <c r="M340" s="6"/>
      <c r="N340" s="6"/>
      <c r="O340" s="6"/>
      <c r="P340" s="13"/>
      <c r="Q340" s="13"/>
      <c r="R340" s="16"/>
      <c r="S340" s="16"/>
      <c r="T340" s="6"/>
      <c r="U340" s="10"/>
    </row>
    <row r="341" spans="1:21">
      <c r="A341" s="5"/>
      <c r="B341" s="6"/>
      <c r="C341" s="6"/>
      <c r="D341" s="6"/>
      <c r="E341" s="6"/>
      <c r="F341" s="6"/>
      <c r="G341" s="13"/>
      <c r="H341" s="6"/>
      <c r="I341" s="13"/>
      <c r="J341" s="6"/>
      <c r="K341" s="6"/>
      <c r="L341" s="6"/>
      <c r="M341" s="6"/>
      <c r="N341" s="6"/>
      <c r="O341" s="6"/>
      <c r="P341" s="13"/>
      <c r="Q341" s="13"/>
      <c r="R341" s="16"/>
      <c r="S341" s="16"/>
      <c r="T341" s="6"/>
      <c r="U341" s="10"/>
    </row>
    <row r="342" spans="1:21">
      <c r="A342" s="5"/>
      <c r="B342" s="6"/>
      <c r="C342" s="6"/>
      <c r="D342" s="6"/>
      <c r="E342" s="6"/>
      <c r="F342" s="6"/>
      <c r="G342" s="13"/>
      <c r="H342" s="6"/>
      <c r="I342" s="13"/>
      <c r="J342" s="6"/>
      <c r="K342" s="6"/>
      <c r="L342" s="6"/>
      <c r="M342" s="6"/>
      <c r="N342" s="6"/>
      <c r="O342" s="6"/>
      <c r="P342" s="13"/>
      <c r="Q342" s="13"/>
      <c r="R342" s="16"/>
      <c r="S342" s="16"/>
      <c r="T342" s="6"/>
      <c r="U342" s="10"/>
    </row>
    <row r="343" spans="1:21">
      <c r="A343" s="5"/>
      <c r="B343" s="6"/>
      <c r="C343" s="6"/>
      <c r="D343" s="6"/>
      <c r="E343" s="6"/>
      <c r="F343" s="6"/>
      <c r="G343" s="13"/>
      <c r="H343" s="6"/>
      <c r="I343" s="13"/>
      <c r="J343" s="6"/>
      <c r="K343" s="6"/>
      <c r="L343" s="6"/>
      <c r="M343" s="6"/>
      <c r="N343" s="6"/>
      <c r="O343" s="6"/>
      <c r="P343" s="13"/>
      <c r="Q343" s="13"/>
      <c r="R343" s="16"/>
      <c r="S343" s="16"/>
      <c r="T343" s="6"/>
      <c r="U343" s="10"/>
    </row>
    <row r="344" spans="1:21">
      <c r="A344" s="5"/>
      <c r="B344" s="6"/>
      <c r="C344" s="6"/>
      <c r="D344" s="6"/>
      <c r="E344" s="6"/>
      <c r="F344" s="6"/>
      <c r="G344" s="13"/>
      <c r="H344" s="6"/>
      <c r="I344" s="13"/>
      <c r="J344" s="6"/>
      <c r="K344" s="6"/>
      <c r="L344" s="6"/>
      <c r="M344" s="6"/>
      <c r="N344" s="6"/>
      <c r="O344" s="6"/>
      <c r="P344" s="13"/>
      <c r="Q344" s="13"/>
      <c r="R344" s="16"/>
      <c r="S344" s="16"/>
      <c r="T344" s="6"/>
      <c r="U344" s="10"/>
    </row>
    <row r="345" spans="1:21">
      <c r="A345" s="5"/>
      <c r="B345" s="6"/>
      <c r="C345" s="6"/>
      <c r="D345" s="6"/>
      <c r="E345" s="6"/>
      <c r="F345" s="6"/>
      <c r="G345" s="13"/>
      <c r="H345" s="6"/>
      <c r="I345" s="13"/>
      <c r="J345" s="6"/>
      <c r="K345" s="6"/>
      <c r="L345" s="6"/>
      <c r="M345" s="6"/>
      <c r="N345" s="6"/>
      <c r="O345" s="6"/>
      <c r="P345" s="13"/>
      <c r="Q345" s="13"/>
      <c r="R345" s="16"/>
      <c r="S345" s="16"/>
      <c r="T345" s="6"/>
      <c r="U345" s="10"/>
    </row>
    <row r="346" spans="1:21">
      <c r="A346" s="5"/>
      <c r="B346" s="6"/>
      <c r="C346" s="6"/>
      <c r="D346" s="6"/>
      <c r="E346" s="6"/>
      <c r="F346" s="6"/>
      <c r="G346" s="13"/>
      <c r="H346" s="6"/>
      <c r="I346" s="13"/>
      <c r="J346" s="6"/>
      <c r="K346" s="6"/>
      <c r="L346" s="6"/>
      <c r="M346" s="6"/>
      <c r="N346" s="6"/>
      <c r="O346" s="6"/>
      <c r="P346" s="13"/>
      <c r="Q346" s="13"/>
      <c r="R346" s="16"/>
      <c r="S346" s="16"/>
      <c r="T346" s="6"/>
      <c r="U346" s="10"/>
    </row>
    <row r="347" spans="1:21">
      <c r="A347" s="5"/>
      <c r="B347" s="6"/>
      <c r="C347" s="6"/>
      <c r="D347" s="6"/>
      <c r="E347" s="6"/>
      <c r="F347" s="6"/>
      <c r="G347" s="13"/>
      <c r="H347" s="6"/>
      <c r="I347" s="13"/>
      <c r="J347" s="6"/>
      <c r="K347" s="6"/>
      <c r="L347" s="6"/>
      <c r="M347" s="6"/>
      <c r="N347" s="6"/>
      <c r="O347" s="6"/>
      <c r="P347" s="13"/>
      <c r="Q347" s="13"/>
      <c r="R347" s="16"/>
      <c r="S347" s="16"/>
      <c r="T347" s="6"/>
      <c r="U347" s="10"/>
    </row>
    <row r="348" spans="1:21">
      <c r="A348" s="5"/>
      <c r="B348" s="6"/>
      <c r="C348" s="6"/>
      <c r="D348" s="6"/>
      <c r="E348" s="6"/>
      <c r="F348" s="6"/>
      <c r="G348" s="13"/>
      <c r="H348" s="6"/>
      <c r="I348" s="13"/>
      <c r="J348" s="6"/>
      <c r="K348" s="6"/>
      <c r="L348" s="6"/>
      <c r="M348" s="6"/>
      <c r="N348" s="6"/>
      <c r="O348" s="6"/>
      <c r="P348" s="13"/>
      <c r="Q348" s="13"/>
      <c r="R348" s="16"/>
      <c r="S348" s="16"/>
      <c r="T348" s="6"/>
      <c r="U348" s="10"/>
    </row>
    <row r="349" spans="1:21">
      <c r="A349" s="5"/>
      <c r="B349" s="6"/>
      <c r="C349" s="6"/>
      <c r="D349" s="6"/>
      <c r="E349" s="6"/>
      <c r="F349" s="6"/>
      <c r="G349" s="13"/>
      <c r="H349" s="6"/>
      <c r="I349" s="13"/>
      <c r="J349" s="6"/>
      <c r="K349" s="6"/>
      <c r="L349" s="6"/>
      <c r="M349" s="6"/>
      <c r="N349" s="6"/>
      <c r="O349" s="6"/>
      <c r="P349" s="13"/>
      <c r="Q349" s="13"/>
      <c r="R349" s="16"/>
      <c r="S349" s="16"/>
      <c r="T349" s="6"/>
      <c r="U349" s="10"/>
    </row>
    <row r="350" spans="1:21">
      <c r="A350" s="5"/>
      <c r="B350" s="6"/>
      <c r="C350" s="6"/>
      <c r="D350" s="6"/>
      <c r="E350" s="6"/>
      <c r="F350" s="6"/>
      <c r="G350" s="13"/>
      <c r="H350" s="6"/>
      <c r="I350" s="13"/>
      <c r="J350" s="6"/>
      <c r="K350" s="6"/>
      <c r="L350" s="6"/>
      <c r="M350" s="6"/>
      <c r="N350" s="6"/>
      <c r="O350" s="6"/>
      <c r="P350" s="13"/>
      <c r="Q350" s="13"/>
      <c r="R350" s="16"/>
      <c r="S350" s="16"/>
      <c r="T350" s="6"/>
      <c r="U350" s="10"/>
    </row>
    <row r="351" spans="1:21">
      <c r="A351" s="5"/>
      <c r="B351" s="6"/>
      <c r="C351" s="6"/>
      <c r="D351" s="6"/>
      <c r="E351" s="6"/>
      <c r="F351" s="6"/>
      <c r="G351" s="13"/>
      <c r="H351" s="6"/>
      <c r="I351" s="13"/>
      <c r="J351" s="6"/>
      <c r="K351" s="6"/>
      <c r="L351" s="6"/>
      <c r="M351" s="6"/>
      <c r="N351" s="6"/>
      <c r="O351" s="6"/>
      <c r="P351" s="13"/>
      <c r="Q351" s="13"/>
      <c r="R351" s="16"/>
      <c r="S351" s="16"/>
      <c r="T351" s="6"/>
      <c r="U351" s="10"/>
    </row>
    <row r="352" spans="1:21">
      <c r="A352" s="5"/>
      <c r="B352" s="6"/>
      <c r="C352" s="6"/>
      <c r="D352" s="6"/>
      <c r="E352" s="6"/>
      <c r="F352" s="6"/>
      <c r="G352" s="13"/>
      <c r="H352" s="6"/>
      <c r="I352" s="13"/>
      <c r="J352" s="6"/>
      <c r="K352" s="6"/>
      <c r="L352" s="6"/>
      <c r="M352" s="6"/>
      <c r="N352" s="6"/>
      <c r="O352" s="6"/>
      <c r="P352" s="13"/>
      <c r="Q352" s="13"/>
      <c r="R352" s="16"/>
      <c r="S352" s="16"/>
      <c r="T352" s="6"/>
      <c r="U352" s="10"/>
    </row>
    <row r="353" spans="1:21">
      <c r="A353" s="5"/>
      <c r="B353" s="6"/>
      <c r="C353" s="6"/>
      <c r="D353" s="6"/>
      <c r="E353" s="6"/>
      <c r="F353" s="6"/>
      <c r="G353" s="13"/>
      <c r="H353" s="6"/>
      <c r="I353" s="13"/>
      <c r="J353" s="6"/>
      <c r="K353" s="6"/>
      <c r="L353" s="6"/>
      <c r="M353" s="6"/>
      <c r="N353" s="6"/>
      <c r="O353" s="6"/>
      <c r="P353" s="13"/>
      <c r="Q353" s="13"/>
      <c r="R353" s="16"/>
      <c r="S353" s="16"/>
      <c r="T353" s="6"/>
      <c r="U353" s="10"/>
    </row>
    <row r="354" spans="1:21">
      <c r="A354" s="5"/>
      <c r="B354" s="6"/>
      <c r="C354" s="6"/>
      <c r="D354" s="6"/>
      <c r="E354" s="6"/>
      <c r="F354" s="6"/>
      <c r="G354" s="13"/>
      <c r="H354" s="6"/>
      <c r="I354" s="13"/>
      <c r="J354" s="6"/>
      <c r="K354" s="6"/>
      <c r="L354" s="6"/>
      <c r="M354" s="6"/>
      <c r="N354" s="6"/>
      <c r="O354" s="6"/>
      <c r="P354" s="13"/>
      <c r="Q354" s="13"/>
      <c r="R354" s="16"/>
      <c r="S354" s="16"/>
      <c r="T354" s="6"/>
      <c r="U354" s="10"/>
    </row>
    <row r="355" spans="1:21">
      <c r="A355" s="5"/>
      <c r="B355" s="6"/>
      <c r="C355" s="6"/>
      <c r="D355" s="6"/>
      <c r="E355" s="6"/>
      <c r="F355" s="6"/>
      <c r="G355" s="13"/>
      <c r="H355" s="6"/>
      <c r="I355" s="13"/>
      <c r="J355" s="6"/>
      <c r="K355" s="6"/>
      <c r="L355" s="6"/>
      <c r="M355" s="6"/>
      <c r="N355" s="6"/>
      <c r="O355" s="6"/>
      <c r="P355" s="13"/>
      <c r="Q355" s="13"/>
      <c r="R355" s="16"/>
      <c r="S355" s="16"/>
      <c r="T355" s="6"/>
      <c r="U355" s="10"/>
    </row>
    <row r="356" spans="1:21">
      <c r="A356" s="5"/>
      <c r="B356" s="6"/>
      <c r="C356" s="6"/>
      <c r="D356" s="6"/>
      <c r="E356" s="6"/>
      <c r="F356" s="6"/>
      <c r="G356" s="13"/>
      <c r="H356" s="6"/>
      <c r="I356" s="13"/>
      <c r="J356" s="6"/>
      <c r="K356" s="6"/>
      <c r="L356" s="6"/>
      <c r="M356" s="6"/>
      <c r="N356" s="6"/>
      <c r="O356" s="6"/>
      <c r="P356" s="13"/>
      <c r="Q356" s="13"/>
      <c r="R356" s="16"/>
      <c r="S356" s="16"/>
      <c r="T356" s="6"/>
      <c r="U356" s="10"/>
    </row>
    <row r="357" spans="1:21">
      <c r="A357" s="5"/>
      <c r="B357" s="6"/>
      <c r="C357" s="6"/>
      <c r="D357" s="6"/>
      <c r="E357" s="6"/>
      <c r="F357" s="6"/>
      <c r="G357" s="13"/>
      <c r="H357" s="6"/>
      <c r="I357" s="13"/>
      <c r="J357" s="6"/>
      <c r="K357" s="6"/>
      <c r="L357" s="6"/>
      <c r="M357" s="6"/>
      <c r="N357" s="6"/>
      <c r="O357" s="6"/>
      <c r="P357" s="13"/>
      <c r="Q357" s="13"/>
      <c r="R357" s="16"/>
      <c r="S357" s="16"/>
      <c r="T357" s="6"/>
      <c r="U357" s="10"/>
    </row>
    <row r="358" spans="1:21">
      <c r="A358" s="5"/>
      <c r="B358" s="6"/>
      <c r="C358" s="6"/>
      <c r="D358" s="6"/>
      <c r="E358" s="6"/>
      <c r="F358" s="6"/>
      <c r="G358" s="13"/>
      <c r="H358" s="6"/>
      <c r="I358" s="13"/>
      <c r="J358" s="6"/>
      <c r="K358" s="6"/>
      <c r="L358" s="6"/>
      <c r="M358" s="6"/>
      <c r="N358" s="6"/>
      <c r="O358" s="6"/>
      <c r="P358" s="13"/>
      <c r="Q358" s="13"/>
      <c r="R358" s="16"/>
      <c r="S358" s="16"/>
      <c r="T358" s="6"/>
      <c r="U358" s="10"/>
    </row>
    <row r="359" spans="1:21">
      <c r="A359" s="5"/>
      <c r="B359" s="6"/>
      <c r="C359" s="6"/>
      <c r="D359" s="6"/>
      <c r="E359" s="6"/>
      <c r="F359" s="6"/>
      <c r="G359" s="13"/>
      <c r="H359" s="6"/>
      <c r="I359" s="13"/>
      <c r="J359" s="6"/>
      <c r="K359" s="6"/>
      <c r="L359" s="6"/>
      <c r="M359" s="6"/>
      <c r="N359" s="6"/>
      <c r="O359" s="6"/>
      <c r="P359" s="13"/>
      <c r="Q359" s="13"/>
      <c r="R359" s="16"/>
      <c r="S359" s="16"/>
      <c r="T359" s="6"/>
      <c r="U359" s="10"/>
    </row>
    <row r="360" spans="1:21">
      <c r="A360" s="5"/>
      <c r="B360" s="6"/>
      <c r="C360" s="6"/>
      <c r="D360" s="6"/>
      <c r="E360" s="6"/>
      <c r="F360" s="6"/>
      <c r="G360" s="13"/>
      <c r="H360" s="6"/>
      <c r="I360" s="13"/>
      <c r="J360" s="6"/>
      <c r="K360" s="6"/>
      <c r="L360" s="6"/>
      <c r="M360" s="6"/>
      <c r="N360" s="6"/>
      <c r="O360" s="6"/>
      <c r="P360" s="13"/>
      <c r="Q360" s="13"/>
      <c r="R360" s="16"/>
      <c r="S360" s="16"/>
      <c r="T360" s="6"/>
      <c r="U360" s="10"/>
    </row>
    <row r="361" spans="1:21">
      <c r="A361" s="5"/>
      <c r="B361" s="6"/>
      <c r="C361" s="6"/>
      <c r="D361" s="6"/>
      <c r="E361" s="6"/>
      <c r="F361" s="6"/>
      <c r="G361" s="13"/>
      <c r="H361" s="6"/>
      <c r="I361" s="13"/>
      <c r="J361" s="6"/>
      <c r="K361" s="6"/>
      <c r="L361" s="6"/>
      <c r="M361" s="6"/>
      <c r="N361" s="6"/>
      <c r="O361" s="6"/>
      <c r="P361" s="13"/>
      <c r="Q361" s="13"/>
      <c r="R361" s="16"/>
      <c r="S361" s="16"/>
      <c r="T361" s="6"/>
      <c r="U361" s="10"/>
    </row>
    <row r="362" spans="1:21">
      <c r="A362" s="5"/>
      <c r="B362" s="6"/>
      <c r="C362" s="6"/>
      <c r="D362" s="6"/>
      <c r="E362" s="6"/>
      <c r="F362" s="6"/>
      <c r="G362" s="13"/>
      <c r="H362" s="6"/>
      <c r="I362" s="13"/>
      <c r="J362" s="6"/>
      <c r="K362" s="6"/>
      <c r="L362" s="6"/>
      <c r="M362" s="6"/>
      <c r="N362" s="6"/>
      <c r="O362" s="6"/>
      <c r="P362" s="13"/>
      <c r="Q362" s="13"/>
      <c r="R362" s="16"/>
      <c r="S362" s="16"/>
      <c r="T362" s="6"/>
      <c r="U362" s="10"/>
    </row>
    <row r="363" spans="1:21">
      <c r="A363" s="5"/>
      <c r="B363" s="6"/>
      <c r="C363" s="6"/>
      <c r="D363" s="6"/>
      <c r="E363" s="6"/>
      <c r="F363" s="6"/>
      <c r="G363" s="13"/>
      <c r="H363" s="6"/>
      <c r="I363" s="13"/>
      <c r="J363" s="6"/>
      <c r="K363" s="6"/>
      <c r="L363" s="6"/>
      <c r="M363" s="6"/>
      <c r="N363" s="6"/>
      <c r="O363" s="6"/>
      <c r="P363" s="13"/>
      <c r="Q363" s="13"/>
      <c r="R363" s="16"/>
      <c r="S363" s="16"/>
      <c r="T363" s="6"/>
      <c r="U363" s="10"/>
    </row>
    <row r="364" spans="1:21">
      <c r="A364" s="5"/>
      <c r="B364" s="6"/>
      <c r="C364" s="6"/>
      <c r="D364" s="6"/>
      <c r="E364" s="6"/>
      <c r="F364" s="6"/>
      <c r="G364" s="13"/>
      <c r="H364" s="6"/>
      <c r="I364" s="13"/>
      <c r="J364" s="6"/>
      <c r="K364" s="6"/>
      <c r="L364" s="6"/>
      <c r="M364" s="6"/>
      <c r="N364" s="6"/>
      <c r="O364" s="6"/>
      <c r="P364" s="13"/>
      <c r="Q364" s="13"/>
      <c r="R364" s="16"/>
      <c r="S364" s="16"/>
      <c r="T364" s="6"/>
      <c r="U364" s="10"/>
    </row>
    <row r="365" spans="1:21">
      <c r="A365" s="5"/>
      <c r="B365" s="6"/>
      <c r="C365" s="6"/>
      <c r="D365" s="6"/>
      <c r="E365" s="6"/>
      <c r="F365" s="6"/>
      <c r="G365" s="13"/>
      <c r="H365" s="6"/>
      <c r="I365" s="13"/>
      <c r="J365" s="6"/>
      <c r="K365" s="6"/>
      <c r="L365" s="6"/>
      <c r="M365" s="6"/>
      <c r="N365" s="6"/>
      <c r="O365" s="6"/>
      <c r="P365" s="13"/>
      <c r="Q365" s="13"/>
      <c r="R365" s="16"/>
      <c r="S365" s="16"/>
      <c r="T365" s="6"/>
      <c r="U365" s="10"/>
    </row>
    <row r="366" spans="1:21">
      <c r="A366" s="5"/>
      <c r="B366" s="6"/>
      <c r="C366" s="6"/>
      <c r="D366" s="6"/>
      <c r="E366" s="6"/>
      <c r="F366" s="6"/>
      <c r="G366" s="13"/>
      <c r="H366" s="6"/>
      <c r="I366" s="13"/>
      <c r="J366" s="6"/>
      <c r="K366" s="6"/>
      <c r="L366" s="6"/>
      <c r="M366" s="6"/>
      <c r="N366" s="6"/>
      <c r="O366" s="6"/>
      <c r="P366" s="13"/>
      <c r="Q366" s="13"/>
      <c r="R366" s="16"/>
      <c r="S366" s="16"/>
      <c r="T366" s="6"/>
      <c r="U366" s="10"/>
    </row>
    <row r="367" spans="1:21">
      <c r="A367" s="5"/>
      <c r="B367" s="6"/>
      <c r="C367" s="6"/>
      <c r="D367" s="6"/>
      <c r="E367" s="6"/>
      <c r="F367" s="6"/>
      <c r="G367" s="13"/>
      <c r="H367" s="6"/>
      <c r="I367" s="13"/>
      <c r="J367" s="6"/>
      <c r="K367" s="6"/>
      <c r="L367" s="6"/>
      <c r="M367" s="6"/>
      <c r="N367" s="6"/>
      <c r="O367" s="6"/>
      <c r="P367" s="13"/>
      <c r="Q367" s="13"/>
      <c r="R367" s="16"/>
      <c r="S367" s="16"/>
      <c r="T367" s="6"/>
      <c r="U367" s="10"/>
    </row>
    <row r="368" spans="1:21">
      <c r="A368" s="5"/>
      <c r="B368" s="6"/>
      <c r="C368" s="6"/>
      <c r="D368" s="6"/>
      <c r="E368" s="6"/>
      <c r="F368" s="6"/>
      <c r="G368" s="13"/>
      <c r="H368" s="6"/>
      <c r="I368" s="13"/>
      <c r="J368" s="6"/>
      <c r="K368" s="6"/>
      <c r="L368" s="6"/>
      <c r="M368" s="6"/>
      <c r="N368" s="6"/>
      <c r="O368" s="6"/>
      <c r="P368" s="13"/>
      <c r="Q368" s="13"/>
      <c r="R368" s="16"/>
      <c r="S368" s="16"/>
      <c r="T368" s="6"/>
      <c r="U368" s="10"/>
    </row>
    <row r="369" spans="1:21">
      <c r="A369" s="5"/>
      <c r="B369" s="6"/>
      <c r="C369" s="6"/>
      <c r="D369" s="6"/>
      <c r="E369" s="6"/>
      <c r="F369" s="6"/>
      <c r="G369" s="13"/>
      <c r="H369" s="6"/>
      <c r="I369" s="13"/>
      <c r="J369" s="6"/>
      <c r="K369" s="6"/>
      <c r="L369" s="6"/>
      <c r="M369" s="6"/>
      <c r="N369" s="6"/>
      <c r="O369" s="6"/>
      <c r="P369" s="13"/>
      <c r="Q369" s="13"/>
      <c r="R369" s="16"/>
      <c r="S369" s="16"/>
      <c r="T369" s="6"/>
      <c r="U369" s="10"/>
    </row>
    <row r="370" spans="1:21">
      <c r="A370" s="5"/>
      <c r="B370" s="6"/>
      <c r="C370" s="6"/>
      <c r="D370" s="6"/>
      <c r="E370" s="6"/>
      <c r="F370" s="6"/>
      <c r="G370" s="13"/>
      <c r="H370" s="6"/>
      <c r="I370" s="13"/>
      <c r="J370" s="6"/>
      <c r="K370" s="6"/>
      <c r="L370" s="6"/>
      <c r="M370" s="6"/>
      <c r="N370" s="6"/>
      <c r="O370" s="6"/>
      <c r="P370" s="13"/>
      <c r="Q370" s="13"/>
      <c r="R370" s="16"/>
      <c r="S370" s="16"/>
      <c r="T370" s="6"/>
      <c r="U370" s="10"/>
    </row>
    <row r="371" spans="1:21">
      <c r="A371" s="5"/>
      <c r="B371" s="6"/>
      <c r="C371" s="6"/>
      <c r="D371" s="6"/>
      <c r="E371" s="6"/>
      <c r="F371" s="6"/>
      <c r="G371" s="13"/>
      <c r="H371" s="6"/>
      <c r="I371" s="13"/>
      <c r="J371" s="6"/>
      <c r="K371" s="6"/>
      <c r="L371" s="6"/>
      <c r="M371" s="6"/>
      <c r="N371" s="6"/>
      <c r="O371" s="6"/>
      <c r="P371" s="13"/>
      <c r="Q371" s="13"/>
      <c r="R371" s="16"/>
      <c r="S371" s="16"/>
      <c r="T371" s="6"/>
      <c r="U371" s="10"/>
    </row>
    <row r="372" spans="1:21">
      <c r="A372" s="5"/>
      <c r="B372" s="6"/>
      <c r="C372" s="6"/>
      <c r="D372" s="6"/>
      <c r="E372" s="6"/>
      <c r="F372" s="6"/>
      <c r="G372" s="13"/>
      <c r="H372" s="6"/>
      <c r="I372" s="13"/>
      <c r="J372" s="6"/>
      <c r="K372" s="6"/>
      <c r="L372" s="6"/>
      <c r="M372" s="6"/>
      <c r="N372" s="6"/>
      <c r="O372" s="6"/>
      <c r="P372" s="13"/>
      <c r="Q372" s="13"/>
      <c r="R372" s="16"/>
      <c r="S372" s="16"/>
      <c r="T372" s="6"/>
      <c r="U372" s="10"/>
    </row>
    <row r="373" spans="1:21">
      <c r="A373" s="5"/>
      <c r="B373" s="6"/>
      <c r="C373" s="6"/>
      <c r="D373" s="6"/>
      <c r="E373" s="6"/>
      <c r="F373" s="6"/>
      <c r="G373" s="13"/>
      <c r="H373" s="6"/>
      <c r="I373" s="13"/>
      <c r="J373" s="6"/>
      <c r="K373" s="6"/>
      <c r="L373" s="6"/>
      <c r="M373" s="6"/>
      <c r="N373" s="6"/>
      <c r="O373" s="6"/>
      <c r="P373" s="13"/>
      <c r="Q373" s="13"/>
      <c r="R373" s="16"/>
      <c r="S373" s="16"/>
      <c r="T373" s="6"/>
      <c r="U373" s="10"/>
    </row>
    <row r="374" spans="1:21">
      <c r="A374" s="5"/>
      <c r="B374" s="6"/>
      <c r="C374" s="6"/>
      <c r="D374" s="6"/>
      <c r="E374" s="6"/>
      <c r="F374" s="6"/>
      <c r="G374" s="13"/>
      <c r="H374" s="6"/>
      <c r="I374" s="13"/>
      <c r="J374" s="6"/>
      <c r="K374" s="6"/>
      <c r="L374" s="6"/>
      <c r="M374" s="6"/>
      <c r="N374" s="6"/>
      <c r="O374" s="6"/>
      <c r="P374" s="13"/>
      <c r="Q374" s="13"/>
      <c r="R374" s="16"/>
      <c r="S374" s="16"/>
      <c r="T374" s="6"/>
      <c r="U374" s="10"/>
    </row>
    <row r="375" spans="1:21">
      <c r="A375" s="5"/>
      <c r="B375" s="6"/>
      <c r="C375" s="6"/>
      <c r="D375" s="6"/>
      <c r="E375" s="6"/>
      <c r="F375" s="6"/>
      <c r="G375" s="13"/>
      <c r="H375" s="6"/>
      <c r="I375" s="13"/>
      <c r="J375" s="6"/>
      <c r="K375" s="6"/>
      <c r="L375" s="6"/>
      <c r="M375" s="6"/>
      <c r="N375" s="6"/>
      <c r="O375" s="6"/>
      <c r="P375" s="13"/>
      <c r="Q375" s="13"/>
      <c r="R375" s="16"/>
      <c r="S375" s="16"/>
      <c r="T375" s="6"/>
      <c r="U375" s="10"/>
    </row>
    <row r="376" spans="1:21">
      <c r="A376" s="5"/>
      <c r="B376" s="6"/>
      <c r="C376" s="6"/>
      <c r="D376" s="6"/>
      <c r="E376" s="6"/>
      <c r="F376" s="6"/>
      <c r="G376" s="13"/>
      <c r="H376" s="6"/>
      <c r="I376" s="13"/>
      <c r="J376" s="6"/>
      <c r="K376" s="6"/>
      <c r="L376" s="6"/>
      <c r="M376" s="6"/>
      <c r="N376" s="6"/>
      <c r="O376" s="6"/>
      <c r="P376" s="13"/>
      <c r="Q376" s="13"/>
      <c r="R376" s="16"/>
      <c r="S376" s="16"/>
      <c r="T376" s="6"/>
      <c r="U376" s="10"/>
    </row>
    <row r="377" spans="1:21">
      <c r="A377" s="5"/>
      <c r="B377" s="6"/>
      <c r="C377" s="6"/>
      <c r="D377" s="6"/>
      <c r="E377" s="6"/>
      <c r="F377" s="6"/>
      <c r="G377" s="13"/>
      <c r="H377" s="6"/>
      <c r="I377" s="13"/>
      <c r="J377" s="6"/>
      <c r="K377" s="6"/>
      <c r="L377" s="6"/>
      <c r="M377" s="6"/>
      <c r="N377" s="6"/>
      <c r="O377" s="6"/>
      <c r="P377" s="13"/>
      <c r="Q377" s="13"/>
      <c r="R377" s="16"/>
      <c r="S377" s="16"/>
      <c r="T377" s="6"/>
      <c r="U377" s="10"/>
    </row>
    <row r="378" spans="1:21">
      <c r="A378" s="5"/>
      <c r="B378" s="6"/>
      <c r="C378" s="6"/>
      <c r="D378" s="6"/>
      <c r="E378" s="6"/>
      <c r="F378" s="6"/>
      <c r="G378" s="13"/>
      <c r="H378" s="6"/>
      <c r="I378" s="13"/>
      <c r="J378" s="6"/>
      <c r="K378" s="6"/>
      <c r="L378" s="6"/>
      <c r="M378" s="6"/>
      <c r="N378" s="6"/>
      <c r="O378" s="6"/>
      <c r="P378" s="13"/>
      <c r="Q378" s="13"/>
      <c r="R378" s="16"/>
      <c r="S378" s="16"/>
      <c r="T378" s="6"/>
      <c r="U378" s="10"/>
    </row>
    <row r="379" spans="1:21">
      <c r="A379" s="5"/>
      <c r="B379" s="6"/>
      <c r="C379" s="6"/>
      <c r="D379" s="6"/>
      <c r="E379" s="6"/>
      <c r="F379" s="6"/>
      <c r="G379" s="13"/>
      <c r="H379" s="6"/>
      <c r="I379" s="13"/>
      <c r="J379" s="6"/>
      <c r="K379" s="6"/>
      <c r="L379" s="6"/>
      <c r="M379" s="6"/>
      <c r="N379" s="6"/>
      <c r="O379" s="6"/>
      <c r="P379" s="13"/>
      <c r="Q379" s="13"/>
      <c r="R379" s="16"/>
      <c r="S379" s="16"/>
      <c r="T379" s="6"/>
      <c r="U379" s="10"/>
    </row>
    <row r="380" spans="1:21">
      <c r="A380" s="5"/>
      <c r="B380" s="6"/>
      <c r="C380" s="6"/>
      <c r="D380" s="6"/>
      <c r="E380" s="6"/>
      <c r="F380" s="6"/>
      <c r="G380" s="13"/>
      <c r="H380" s="6"/>
      <c r="I380" s="13"/>
      <c r="J380" s="6"/>
      <c r="K380" s="6"/>
      <c r="L380" s="6"/>
      <c r="M380" s="6"/>
      <c r="N380" s="6"/>
      <c r="O380" s="6"/>
      <c r="P380" s="13"/>
      <c r="Q380" s="13"/>
      <c r="R380" s="16"/>
      <c r="S380" s="16"/>
      <c r="T380" s="6"/>
      <c r="U380" s="10"/>
    </row>
    <row r="381" spans="1:21">
      <c r="A381" s="5"/>
      <c r="B381" s="6"/>
      <c r="C381" s="6"/>
      <c r="D381" s="6"/>
      <c r="E381" s="6"/>
      <c r="F381" s="6"/>
      <c r="G381" s="13"/>
      <c r="H381" s="6"/>
      <c r="I381" s="13"/>
      <c r="J381" s="6"/>
      <c r="K381" s="6"/>
      <c r="L381" s="6"/>
      <c r="M381" s="6"/>
      <c r="N381" s="6"/>
      <c r="O381" s="6"/>
      <c r="P381" s="13"/>
      <c r="Q381" s="13"/>
      <c r="R381" s="16"/>
      <c r="S381" s="16"/>
      <c r="T381" s="6"/>
      <c r="U381" s="10"/>
    </row>
    <row r="382" spans="1:21">
      <c r="A382" s="5"/>
      <c r="B382" s="6"/>
      <c r="C382" s="6"/>
      <c r="D382" s="6"/>
      <c r="E382" s="6"/>
      <c r="F382" s="6"/>
      <c r="G382" s="13"/>
      <c r="H382" s="6"/>
      <c r="I382" s="13"/>
      <c r="J382" s="6"/>
      <c r="K382" s="6"/>
      <c r="L382" s="6"/>
      <c r="M382" s="6"/>
      <c r="N382" s="6"/>
      <c r="O382" s="6"/>
      <c r="P382" s="13"/>
      <c r="Q382" s="13"/>
      <c r="R382" s="16"/>
      <c r="S382" s="16"/>
      <c r="T382" s="6"/>
      <c r="U382" s="10"/>
    </row>
    <row r="383" spans="1:21">
      <c r="A383" s="5"/>
      <c r="B383" s="6"/>
      <c r="C383" s="6"/>
      <c r="D383" s="6"/>
      <c r="E383" s="6"/>
      <c r="F383" s="6"/>
      <c r="G383" s="13"/>
      <c r="H383" s="6"/>
      <c r="I383" s="13"/>
      <c r="J383" s="6"/>
      <c r="K383" s="6"/>
      <c r="L383" s="6"/>
      <c r="M383" s="6"/>
      <c r="N383" s="6"/>
      <c r="O383" s="6"/>
      <c r="P383" s="13"/>
      <c r="Q383" s="13"/>
      <c r="R383" s="16"/>
      <c r="S383" s="16"/>
      <c r="T383" s="6"/>
      <c r="U383" s="10"/>
    </row>
    <row r="384" spans="1:21">
      <c r="A384" s="5"/>
      <c r="B384" s="6"/>
      <c r="C384" s="6"/>
      <c r="D384" s="6"/>
      <c r="E384" s="6"/>
      <c r="F384" s="6"/>
      <c r="G384" s="13"/>
      <c r="H384" s="6"/>
      <c r="I384" s="13"/>
      <c r="J384" s="6"/>
      <c r="K384" s="6"/>
      <c r="L384" s="6"/>
      <c r="M384" s="6"/>
      <c r="N384" s="6"/>
      <c r="O384" s="6"/>
      <c r="P384" s="13"/>
      <c r="Q384" s="13"/>
      <c r="R384" s="16"/>
      <c r="S384" s="16"/>
      <c r="T384" s="6"/>
      <c r="U384" s="10"/>
    </row>
    <row r="385" spans="1:21">
      <c r="A385" s="5"/>
      <c r="B385" s="6"/>
      <c r="C385" s="6"/>
      <c r="D385" s="6"/>
      <c r="E385" s="6"/>
      <c r="F385" s="6"/>
      <c r="G385" s="13"/>
      <c r="H385" s="6"/>
      <c r="I385" s="13"/>
      <c r="J385" s="6"/>
      <c r="K385" s="6"/>
      <c r="L385" s="6"/>
      <c r="M385" s="6"/>
      <c r="N385" s="6"/>
      <c r="O385" s="6"/>
      <c r="P385" s="13"/>
      <c r="Q385" s="13"/>
      <c r="R385" s="16"/>
      <c r="S385" s="16"/>
      <c r="T385" s="6"/>
      <c r="U385" s="10"/>
    </row>
    <row r="386" spans="1:21">
      <c r="A386" s="5"/>
      <c r="B386" s="6"/>
      <c r="C386" s="6"/>
      <c r="D386" s="6"/>
      <c r="E386" s="6"/>
      <c r="F386" s="6"/>
      <c r="G386" s="13"/>
      <c r="H386" s="6"/>
      <c r="I386" s="13"/>
      <c r="J386" s="6"/>
      <c r="K386" s="6"/>
      <c r="L386" s="6"/>
      <c r="M386" s="6"/>
      <c r="N386" s="6"/>
      <c r="O386" s="6"/>
      <c r="P386" s="13"/>
      <c r="Q386" s="13"/>
      <c r="R386" s="16"/>
      <c r="S386" s="16"/>
      <c r="T386" s="6"/>
      <c r="U386" s="10"/>
    </row>
    <row r="387" spans="1:21">
      <c r="A387" s="5"/>
      <c r="B387" s="6"/>
      <c r="C387" s="6"/>
      <c r="D387" s="6"/>
      <c r="E387" s="6"/>
      <c r="F387" s="6"/>
      <c r="G387" s="13"/>
      <c r="H387" s="6"/>
      <c r="I387" s="13"/>
      <c r="J387" s="6"/>
      <c r="K387" s="6"/>
      <c r="L387" s="6"/>
      <c r="M387" s="6"/>
      <c r="N387" s="6"/>
      <c r="O387" s="6"/>
      <c r="P387" s="13"/>
      <c r="Q387" s="13"/>
      <c r="R387" s="16"/>
      <c r="S387" s="16"/>
      <c r="T387" s="6"/>
      <c r="U387" s="10"/>
    </row>
    <row r="388" spans="1:21">
      <c r="A388" s="5"/>
      <c r="B388" s="6"/>
      <c r="C388" s="6"/>
      <c r="D388" s="6"/>
      <c r="E388" s="6"/>
      <c r="F388" s="6"/>
      <c r="G388" s="13"/>
      <c r="H388" s="6"/>
      <c r="I388" s="13"/>
      <c r="J388" s="6"/>
      <c r="K388" s="6"/>
      <c r="L388" s="6"/>
      <c r="M388" s="6"/>
      <c r="N388" s="6"/>
      <c r="O388" s="6"/>
      <c r="P388" s="13"/>
      <c r="Q388" s="13"/>
      <c r="R388" s="16"/>
      <c r="S388" s="16"/>
      <c r="T388" s="6"/>
      <c r="U388" s="10"/>
    </row>
    <row r="389" spans="1:21">
      <c r="A389" s="5"/>
      <c r="B389" s="6"/>
      <c r="C389" s="6"/>
      <c r="D389" s="6"/>
      <c r="E389" s="6"/>
      <c r="F389" s="6"/>
      <c r="G389" s="13"/>
      <c r="H389" s="6"/>
      <c r="I389" s="13"/>
      <c r="J389" s="6"/>
      <c r="K389" s="6"/>
      <c r="L389" s="6"/>
      <c r="M389" s="6"/>
      <c r="N389" s="6"/>
      <c r="O389" s="6"/>
      <c r="P389" s="13"/>
      <c r="Q389" s="13"/>
      <c r="R389" s="16"/>
      <c r="S389" s="16"/>
      <c r="T389" s="6"/>
      <c r="U389" s="10"/>
    </row>
    <row r="390" spans="1:21">
      <c r="A390" s="5"/>
      <c r="B390" s="6"/>
      <c r="C390" s="6"/>
      <c r="D390" s="6"/>
      <c r="E390" s="6"/>
      <c r="F390" s="6"/>
      <c r="G390" s="13"/>
      <c r="H390" s="6"/>
      <c r="I390" s="13"/>
      <c r="J390" s="6"/>
      <c r="K390" s="6"/>
      <c r="L390" s="6"/>
      <c r="M390" s="6"/>
      <c r="N390" s="6"/>
      <c r="O390" s="6"/>
      <c r="P390" s="13"/>
      <c r="Q390" s="13"/>
      <c r="R390" s="16"/>
      <c r="S390" s="16"/>
      <c r="T390" s="6"/>
      <c r="U390" s="10"/>
    </row>
    <row r="391" spans="1:21">
      <c r="A391" s="5"/>
      <c r="B391" s="6"/>
      <c r="C391" s="6"/>
      <c r="D391" s="6"/>
      <c r="E391" s="6"/>
      <c r="F391" s="6"/>
      <c r="G391" s="13"/>
      <c r="H391" s="6"/>
      <c r="I391" s="13"/>
      <c r="J391" s="6"/>
      <c r="K391" s="6"/>
      <c r="L391" s="6"/>
      <c r="M391" s="6"/>
      <c r="N391" s="6"/>
      <c r="O391" s="6"/>
      <c r="P391" s="13"/>
      <c r="Q391" s="13"/>
      <c r="R391" s="16"/>
      <c r="S391" s="16"/>
      <c r="T391" s="6"/>
      <c r="U391" s="10"/>
    </row>
    <row r="392" spans="1:21">
      <c r="A392" s="5"/>
      <c r="B392" s="6"/>
      <c r="C392" s="6"/>
      <c r="D392" s="6"/>
      <c r="E392" s="6"/>
      <c r="F392" s="6"/>
      <c r="G392" s="13"/>
      <c r="H392" s="6"/>
      <c r="I392" s="13"/>
      <c r="J392" s="6"/>
      <c r="K392" s="6"/>
      <c r="L392" s="6"/>
      <c r="M392" s="6"/>
      <c r="N392" s="6"/>
      <c r="O392" s="6"/>
      <c r="P392" s="13"/>
      <c r="Q392" s="13"/>
      <c r="R392" s="16"/>
      <c r="S392" s="16"/>
      <c r="T392" s="6"/>
      <c r="U392" s="10"/>
    </row>
    <row r="393" spans="1:21">
      <c r="A393" s="5"/>
      <c r="B393" s="6"/>
      <c r="C393" s="6"/>
      <c r="D393" s="6"/>
      <c r="E393" s="6"/>
      <c r="F393" s="6"/>
      <c r="G393" s="13"/>
      <c r="H393" s="6"/>
      <c r="I393" s="13"/>
      <c r="J393" s="6"/>
      <c r="K393" s="6"/>
      <c r="L393" s="6"/>
      <c r="M393" s="6"/>
      <c r="N393" s="6"/>
      <c r="O393" s="6"/>
      <c r="P393" s="13"/>
      <c r="Q393" s="13"/>
      <c r="R393" s="16"/>
      <c r="S393" s="16"/>
      <c r="T393" s="6"/>
      <c r="U393" s="10"/>
    </row>
    <row r="394" spans="1:21">
      <c r="A394" s="5"/>
      <c r="B394" s="6"/>
      <c r="C394" s="6"/>
      <c r="D394" s="6"/>
      <c r="E394" s="6"/>
      <c r="F394" s="6"/>
      <c r="G394" s="13"/>
      <c r="H394" s="6"/>
      <c r="I394" s="13"/>
      <c r="J394" s="6"/>
      <c r="K394" s="6"/>
      <c r="L394" s="6"/>
      <c r="M394" s="6"/>
      <c r="N394" s="6"/>
      <c r="O394" s="6"/>
      <c r="P394" s="13"/>
      <c r="Q394" s="13"/>
      <c r="R394" s="16"/>
      <c r="S394" s="16"/>
      <c r="T394" s="6"/>
      <c r="U394" s="10"/>
    </row>
    <row r="395" spans="1:21">
      <c r="A395" s="5"/>
      <c r="B395" s="6"/>
      <c r="C395" s="6"/>
      <c r="D395" s="6"/>
      <c r="E395" s="6"/>
      <c r="F395" s="6"/>
      <c r="G395" s="13"/>
      <c r="H395" s="6"/>
      <c r="I395" s="13"/>
      <c r="J395" s="6"/>
      <c r="K395" s="6"/>
      <c r="L395" s="6"/>
      <c r="M395" s="6"/>
      <c r="N395" s="6"/>
      <c r="O395" s="6"/>
      <c r="P395" s="13"/>
      <c r="Q395" s="13"/>
      <c r="R395" s="16"/>
      <c r="S395" s="16"/>
      <c r="T395" s="6"/>
      <c r="U395" s="10"/>
    </row>
    <row r="396" spans="1:21">
      <c r="A396" s="5"/>
      <c r="B396" s="6"/>
      <c r="C396" s="6"/>
      <c r="D396" s="6"/>
      <c r="E396" s="6"/>
      <c r="F396" s="6"/>
      <c r="G396" s="13"/>
      <c r="H396" s="6"/>
      <c r="I396" s="13"/>
      <c r="J396" s="6"/>
      <c r="K396" s="6"/>
      <c r="L396" s="6"/>
      <c r="M396" s="6"/>
      <c r="N396" s="6"/>
      <c r="O396" s="6"/>
      <c r="P396" s="13"/>
      <c r="Q396" s="13"/>
      <c r="R396" s="16"/>
      <c r="S396" s="16"/>
      <c r="T396" s="6"/>
      <c r="U396" s="10"/>
    </row>
    <row r="397" spans="1:21">
      <c r="A397" s="5"/>
      <c r="B397" s="6"/>
      <c r="C397" s="6"/>
      <c r="D397" s="6"/>
      <c r="E397" s="6"/>
      <c r="F397" s="6"/>
      <c r="G397" s="13"/>
      <c r="H397" s="6"/>
      <c r="I397" s="13"/>
      <c r="J397" s="6"/>
      <c r="K397" s="6"/>
      <c r="L397" s="6"/>
      <c r="M397" s="6"/>
      <c r="N397" s="6"/>
      <c r="O397" s="6"/>
      <c r="P397" s="13"/>
      <c r="Q397" s="13"/>
      <c r="R397" s="16"/>
      <c r="S397" s="16"/>
      <c r="T397" s="6"/>
      <c r="U397" s="10"/>
    </row>
    <row r="398" spans="1:21">
      <c r="A398" s="5"/>
      <c r="B398" s="6"/>
      <c r="C398" s="6"/>
      <c r="D398" s="6"/>
      <c r="E398" s="6"/>
      <c r="F398" s="6"/>
      <c r="G398" s="13"/>
      <c r="H398" s="6"/>
      <c r="I398" s="13"/>
      <c r="J398" s="6"/>
      <c r="K398" s="6"/>
      <c r="L398" s="6"/>
      <c r="M398" s="6"/>
      <c r="N398" s="6"/>
      <c r="O398" s="6"/>
      <c r="P398" s="13"/>
      <c r="Q398" s="13"/>
      <c r="R398" s="16"/>
      <c r="S398" s="16"/>
      <c r="T398" s="6"/>
      <c r="U398" s="10"/>
    </row>
    <row r="399" spans="1:21">
      <c r="A399" s="5"/>
      <c r="B399" s="6"/>
      <c r="C399" s="6"/>
      <c r="D399" s="6"/>
      <c r="E399" s="6"/>
      <c r="F399" s="6"/>
      <c r="G399" s="13"/>
      <c r="H399" s="6"/>
      <c r="I399" s="13"/>
      <c r="J399" s="6"/>
      <c r="K399" s="6"/>
      <c r="L399" s="6"/>
      <c r="M399" s="6"/>
      <c r="N399" s="6"/>
      <c r="O399" s="6"/>
      <c r="P399" s="13"/>
      <c r="Q399" s="13"/>
      <c r="R399" s="16"/>
      <c r="S399" s="16"/>
      <c r="T399" s="6"/>
      <c r="U399" s="10"/>
    </row>
    <row r="400" spans="1:21">
      <c r="A400" s="5"/>
      <c r="B400" s="6"/>
      <c r="C400" s="6"/>
      <c r="D400" s="6"/>
      <c r="E400" s="6"/>
      <c r="F400" s="6"/>
      <c r="G400" s="13"/>
      <c r="H400" s="6"/>
      <c r="I400" s="13"/>
      <c r="J400" s="6"/>
      <c r="K400" s="6"/>
      <c r="L400" s="6"/>
      <c r="M400" s="6"/>
      <c r="N400" s="6"/>
      <c r="O400" s="6"/>
      <c r="P400" s="13"/>
      <c r="Q400" s="13"/>
      <c r="R400" s="16"/>
      <c r="S400" s="16"/>
      <c r="T400" s="6"/>
      <c r="U400" s="10"/>
    </row>
    <row r="401" spans="1:21">
      <c r="A401" s="5"/>
      <c r="B401" s="6"/>
      <c r="C401" s="6"/>
      <c r="D401" s="6"/>
      <c r="E401" s="6"/>
      <c r="F401" s="6"/>
      <c r="G401" s="13"/>
      <c r="H401" s="6"/>
      <c r="I401" s="13"/>
      <c r="J401" s="6"/>
      <c r="K401" s="6"/>
      <c r="L401" s="6"/>
      <c r="M401" s="6"/>
      <c r="N401" s="6"/>
      <c r="O401" s="6"/>
      <c r="P401" s="13"/>
      <c r="Q401" s="13"/>
      <c r="R401" s="16"/>
      <c r="S401" s="16"/>
      <c r="T401" s="6"/>
      <c r="U401" s="10"/>
    </row>
    <row r="402" spans="1:21">
      <c r="A402" s="5"/>
      <c r="B402" s="6"/>
      <c r="C402" s="6"/>
      <c r="D402" s="6"/>
      <c r="E402" s="6"/>
      <c r="F402" s="6"/>
      <c r="G402" s="13"/>
      <c r="H402" s="6"/>
      <c r="I402" s="13"/>
      <c r="J402" s="6"/>
      <c r="K402" s="6"/>
      <c r="L402" s="6"/>
      <c r="M402" s="6"/>
      <c r="N402" s="6"/>
      <c r="O402" s="6"/>
      <c r="P402" s="13"/>
      <c r="Q402" s="13"/>
      <c r="R402" s="16"/>
      <c r="S402" s="16"/>
      <c r="T402" s="6"/>
      <c r="U402" s="10"/>
    </row>
    <row r="403" spans="1:21">
      <c r="A403" s="5"/>
      <c r="B403" s="6"/>
      <c r="C403" s="6"/>
      <c r="D403" s="6"/>
      <c r="E403" s="6"/>
      <c r="F403" s="6"/>
      <c r="G403" s="13"/>
      <c r="H403" s="6"/>
      <c r="I403" s="13"/>
      <c r="J403" s="6"/>
      <c r="K403" s="6"/>
      <c r="L403" s="6"/>
      <c r="M403" s="6"/>
      <c r="N403" s="6"/>
      <c r="O403" s="6"/>
      <c r="P403" s="13"/>
      <c r="Q403" s="13"/>
      <c r="R403" s="16"/>
      <c r="S403" s="16"/>
      <c r="T403" s="6"/>
      <c r="U403" s="10"/>
    </row>
    <row r="404" spans="1:21">
      <c r="A404" s="5"/>
      <c r="B404" s="6"/>
      <c r="C404" s="6"/>
      <c r="D404" s="6"/>
      <c r="E404" s="6"/>
      <c r="F404" s="6"/>
      <c r="G404" s="13"/>
      <c r="H404" s="6"/>
      <c r="I404" s="13"/>
      <c r="J404" s="6"/>
      <c r="K404" s="6"/>
      <c r="L404" s="6"/>
      <c r="M404" s="6"/>
      <c r="N404" s="6"/>
      <c r="O404" s="6"/>
      <c r="P404" s="13"/>
      <c r="Q404" s="13"/>
      <c r="R404" s="16"/>
      <c r="S404" s="16"/>
      <c r="T404" s="6"/>
      <c r="U404" s="10"/>
    </row>
    <row r="405" spans="1:21">
      <c r="A405" s="5"/>
      <c r="B405" s="6"/>
      <c r="C405" s="6"/>
      <c r="D405" s="6"/>
      <c r="E405" s="6"/>
      <c r="F405" s="6"/>
      <c r="G405" s="13"/>
      <c r="H405" s="6"/>
      <c r="I405" s="13"/>
      <c r="J405" s="6"/>
      <c r="K405" s="6"/>
      <c r="L405" s="6"/>
      <c r="M405" s="6"/>
      <c r="N405" s="6"/>
      <c r="O405" s="6"/>
      <c r="P405" s="13"/>
      <c r="Q405" s="13"/>
      <c r="R405" s="16"/>
      <c r="S405" s="16"/>
      <c r="T405" s="6"/>
      <c r="U405" s="10"/>
    </row>
    <row r="406" spans="1:21">
      <c r="A406" s="5"/>
      <c r="B406" s="6"/>
      <c r="C406" s="6"/>
      <c r="D406" s="6"/>
      <c r="E406" s="6"/>
      <c r="F406" s="6"/>
      <c r="G406" s="13"/>
      <c r="H406" s="6"/>
      <c r="I406" s="13"/>
      <c r="J406" s="6"/>
      <c r="K406" s="6"/>
      <c r="L406" s="6"/>
      <c r="M406" s="6"/>
      <c r="N406" s="6"/>
      <c r="O406" s="6"/>
      <c r="P406" s="13"/>
      <c r="Q406" s="13"/>
      <c r="R406" s="16"/>
      <c r="S406" s="16"/>
      <c r="T406" s="6"/>
      <c r="U406" s="10"/>
    </row>
    <row r="407" spans="1:21">
      <c r="A407" s="5"/>
      <c r="B407" s="6"/>
      <c r="C407" s="6"/>
      <c r="D407" s="6"/>
      <c r="E407" s="6"/>
      <c r="F407" s="6"/>
      <c r="G407" s="13"/>
      <c r="H407" s="6"/>
      <c r="I407" s="13"/>
      <c r="J407" s="6"/>
      <c r="K407" s="6"/>
      <c r="L407" s="6"/>
      <c r="M407" s="6"/>
      <c r="N407" s="6"/>
      <c r="O407" s="6"/>
      <c r="P407" s="13"/>
      <c r="Q407" s="13"/>
      <c r="R407" s="16"/>
      <c r="S407" s="16"/>
      <c r="T407" s="6"/>
      <c r="U407" s="10"/>
    </row>
    <row r="408" spans="1:21">
      <c r="A408" s="5"/>
      <c r="B408" s="6"/>
      <c r="C408" s="6"/>
      <c r="D408" s="6"/>
      <c r="E408" s="6"/>
      <c r="F408" s="6"/>
      <c r="G408" s="13"/>
      <c r="H408" s="6"/>
      <c r="I408" s="13"/>
      <c r="J408" s="6"/>
      <c r="K408" s="6"/>
      <c r="L408" s="6"/>
      <c r="M408" s="6"/>
      <c r="N408" s="6"/>
      <c r="O408" s="6"/>
      <c r="P408" s="13"/>
      <c r="Q408" s="13"/>
      <c r="R408" s="16"/>
      <c r="S408" s="16"/>
      <c r="T408" s="6"/>
      <c r="U408" s="10"/>
    </row>
    <row r="409" spans="1:21">
      <c r="A409" s="5"/>
      <c r="B409" s="6"/>
      <c r="C409" s="6"/>
      <c r="D409" s="6"/>
      <c r="E409" s="6"/>
      <c r="F409" s="6"/>
      <c r="G409" s="13"/>
      <c r="H409" s="6"/>
      <c r="I409" s="13"/>
      <c r="J409" s="6"/>
      <c r="K409" s="6"/>
      <c r="L409" s="6"/>
      <c r="M409" s="6"/>
      <c r="N409" s="6"/>
      <c r="O409" s="6"/>
      <c r="P409" s="13"/>
      <c r="Q409" s="13"/>
      <c r="R409" s="16"/>
      <c r="S409" s="16"/>
      <c r="T409" s="6"/>
      <c r="U409" s="10"/>
    </row>
    <row r="410" spans="1:21">
      <c r="A410" s="5"/>
      <c r="B410" s="6"/>
      <c r="C410" s="6"/>
      <c r="D410" s="6"/>
      <c r="E410" s="6"/>
      <c r="F410" s="6"/>
      <c r="G410" s="13"/>
      <c r="H410" s="6"/>
      <c r="I410" s="13"/>
      <c r="J410" s="6"/>
      <c r="K410" s="6"/>
      <c r="L410" s="6"/>
      <c r="M410" s="6"/>
      <c r="N410" s="6"/>
      <c r="O410" s="6"/>
      <c r="P410" s="13"/>
      <c r="Q410" s="13"/>
      <c r="R410" s="16"/>
      <c r="S410" s="16"/>
      <c r="T410" s="6"/>
      <c r="U410" s="10"/>
    </row>
    <row r="411" spans="1:21">
      <c r="A411" s="5"/>
      <c r="B411" s="6"/>
      <c r="C411" s="6"/>
      <c r="D411" s="6"/>
      <c r="E411" s="6"/>
      <c r="F411" s="6"/>
      <c r="G411" s="13"/>
      <c r="H411" s="6"/>
      <c r="I411" s="13"/>
      <c r="J411" s="6"/>
      <c r="K411" s="6"/>
      <c r="L411" s="6"/>
      <c r="M411" s="6"/>
      <c r="N411" s="6"/>
      <c r="O411" s="6"/>
      <c r="P411" s="13"/>
      <c r="Q411" s="13"/>
      <c r="R411" s="16"/>
      <c r="S411" s="16"/>
      <c r="T411" s="6"/>
      <c r="U411" s="10"/>
    </row>
    <row r="412" spans="1:21">
      <c r="A412" s="5"/>
      <c r="B412" s="6"/>
      <c r="C412" s="6"/>
      <c r="D412" s="6"/>
      <c r="E412" s="6"/>
      <c r="F412" s="6"/>
      <c r="G412" s="13"/>
      <c r="H412" s="6"/>
      <c r="I412" s="13"/>
      <c r="J412" s="6"/>
      <c r="K412" s="6"/>
      <c r="L412" s="6"/>
      <c r="M412" s="6"/>
      <c r="N412" s="6"/>
      <c r="O412" s="6"/>
      <c r="P412" s="13"/>
      <c r="Q412" s="13"/>
      <c r="R412" s="16"/>
      <c r="S412" s="16"/>
      <c r="T412" s="6"/>
      <c r="U412" s="10"/>
    </row>
    <row r="413" spans="1:21">
      <c r="A413" s="5"/>
      <c r="B413" s="6"/>
      <c r="C413" s="6"/>
      <c r="D413" s="6"/>
      <c r="E413" s="6"/>
      <c r="F413" s="6"/>
      <c r="G413" s="13"/>
      <c r="H413" s="6"/>
      <c r="I413" s="13"/>
      <c r="J413" s="6"/>
      <c r="K413" s="6"/>
      <c r="L413" s="6"/>
      <c r="M413" s="6"/>
      <c r="N413" s="6"/>
      <c r="O413" s="6"/>
      <c r="P413" s="13"/>
      <c r="Q413" s="13"/>
      <c r="R413" s="16"/>
      <c r="S413" s="16"/>
      <c r="T413" s="6"/>
      <c r="U413" s="10"/>
    </row>
    <row r="414" spans="1:21">
      <c r="A414" s="5"/>
      <c r="B414" s="6"/>
      <c r="C414" s="6"/>
      <c r="D414" s="6"/>
      <c r="E414" s="6"/>
      <c r="F414" s="6"/>
      <c r="G414" s="13"/>
      <c r="H414" s="6"/>
      <c r="I414" s="13"/>
      <c r="J414" s="6"/>
      <c r="K414" s="6"/>
      <c r="L414" s="6"/>
      <c r="M414" s="6"/>
      <c r="N414" s="6"/>
      <c r="O414" s="6"/>
      <c r="P414" s="13"/>
      <c r="Q414" s="13"/>
      <c r="R414" s="16"/>
      <c r="S414" s="16"/>
      <c r="T414" s="6"/>
      <c r="U414" s="10"/>
    </row>
    <row r="415" spans="1:21">
      <c r="A415" s="5"/>
      <c r="B415" s="6"/>
      <c r="C415" s="6"/>
      <c r="D415" s="6"/>
      <c r="E415" s="6"/>
      <c r="F415" s="6"/>
      <c r="G415" s="13"/>
      <c r="H415" s="6"/>
      <c r="I415" s="13"/>
      <c r="J415" s="6"/>
      <c r="K415" s="6"/>
      <c r="L415" s="6"/>
      <c r="M415" s="6"/>
      <c r="N415" s="6"/>
      <c r="O415" s="6"/>
      <c r="P415" s="13"/>
      <c r="Q415" s="13"/>
      <c r="R415" s="16"/>
      <c r="S415" s="16"/>
      <c r="T415" s="6"/>
      <c r="U415" s="10"/>
    </row>
    <row r="416" spans="1:21">
      <c r="A416" s="5"/>
      <c r="B416" s="6"/>
      <c r="C416" s="6"/>
      <c r="D416" s="6"/>
      <c r="E416" s="6"/>
      <c r="F416" s="6"/>
      <c r="G416" s="13"/>
      <c r="H416" s="6"/>
      <c r="I416" s="13"/>
      <c r="J416" s="6"/>
      <c r="K416" s="6"/>
      <c r="L416" s="6"/>
      <c r="M416" s="6"/>
      <c r="N416" s="6"/>
      <c r="O416" s="6"/>
      <c r="P416" s="13"/>
      <c r="Q416" s="13"/>
      <c r="R416" s="16"/>
      <c r="S416" s="16"/>
      <c r="T416" s="6"/>
      <c r="U416" s="10"/>
    </row>
    <row r="417" spans="1:21">
      <c r="A417" s="5"/>
      <c r="B417" s="6"/>
      <c r="C417" s="6"/>
      <c r="D417" s="6"/>
      <c r="E417" s="6"/>
      <c r="F417" s="6"/>
      <c r="G417" s="13"/>
      <c r="H417" s="6"/>
      <c r="I417" s="13"/>
      <c r="J417" s="6"/>
      <c r="K417" s="6"/>
      <c r="L417" s="6"/>
      <c r="M417" s="6"/>
      <c r="N417" s="6"/>
      <c r="O417" s="6"/>
      <c r="P417" s="13"/>
      <c r="Q417" s="13"/>
      <c r="R417" s="16"/>
      <c r="S417" s="16"/>
      <c r="T417" s="6"/>
      <c r="U417" s="10"/>
    </row>
    <row r="418" spans="1:21">
      <c r="A418" s="5"/>
      <c r="B418" s="6"/>
      <c r="C418" s="6"/>
      <c r="D418" s="6"/>
      <c r="E418" s="6"/>
      <c r="F418" s="6"/>
      <c r="G418" s="13"/>
      <c r="H418" s="6"/>
      <c r="I418" s="13"/>
      <c r="J418" s="6"/>
      <c r="K418" s="6"/>
      <c r="L418" s="6"/>
      <c r="M418" s="6"/>
      <c r="N418" s="6"/>
      <c r="O418" s="6"/>
      <c r="P418" s="13"/>
      <c r="Q418" s="13"/>
      <c r="R418" s="16"/>
      <c r="S418" s="16"/>
      <c r="T418" s="6"/>
      <c r="U418" s="10"/>
    </row>
    <row r="419" spans="1:21">
      <c r="A419" s="5"/>
      <c r="B419" s="6"/>
      <c r="C419" s="6"/>
      <c r="D419" s="6"/>
      <c r="E419" s="6"/>
      <c r="F419" s="6"/>
      <c r="G419" s="13"/>
      <c r="H419" s="6"/>
      <c r="I419" s="13"/>
      <c r="J419" s="6"/>
      <c r="K419" s="6"/>
      <c r="L419" s="6"/>
      <c r="M419" s="6"/>
      <c r="N419" s="6"/>
      <c r="O419" s="6"/>
      <c r="P419" s="13"/>
      <c r="Q419" s="13"/>
      <c r="R419" s="16"/>
      <c r="S419" s="16"/>
      <c r="T419" s="6"/>
      <c r="U419" s="10"/>
    </row>
    <row r="420" spans="1:21">
      <c r="A420" s="5"/>
      <c r="B420" s="6"/>
      <c r="C420" s="6"/>
      <c r="D420" s="6"/>
      <c r="E420" s="6"/>
      <c r="F420" s="6"/>
      <c r="G420" s="13"/>
      <c r="H420" s="6"/>
      <c r="I420" s="13"/>
      <c r="J420" s="6"/>
      <c r="K420" s="6"/>
      <c r="L420" s="6"/>
      <c r="M420" s="6"/>
      <c r="N420" s="6"/>
      <c r="O420" s="6"/>
      <c r="P420" s="13"/>
      <c r="Q420" s="13"/>
      <c r="R420" s="16"/>
      <c r="S420" s="16"/>
      <c r="T420" s="6"/>
      <c r="U420" s="10"/>
    </row>
    <row r="421" spans="1:21">
      <c r="A421" s="5"/>
      <c r="B421" s="6"/>
      <c r="C421" s="6"/>
      <c r="D421" s="6"/>
      <c r="E421" s="6"/>
      <c r="F421" s="6"/>
      <c r="G421" s="13"/>
      <c r="H421" s="6"/>
      <c r="I421" s="13"/>
      <c r="J421" s="6"/>
      <c r="K421" s="6"/>
      <c r="L421" s="6"/>
      <c r="M421" s="6"/>
      <c r="N421" s="6"/>
      <c r="O421" s="6"/>
      <c r="P421" s="13"/>
      <c r="Q421" s="13"/>
      <c r="R421" s="16"/>
      <c r="S421" s="16"/>
      <c r="T421" s="6"/>
      <c r="U421" s="10"/>
    </row>
    <row r="422" spans="1:21">
      <c r="A422" s="5"/>
      <c r="B422" s="6"/>
      <c r="C422" s="6"/>
      <c r="D422" s="6"/>
      <c r="E422" s="6"/>
      <c r="F422" s="6"/>
      <c r="G422" s="13"/>
      <c r="H422" s="6"/>
      <c r="I422" s="13"/>
      <c r="J422" s="6"/>
      <c r="K422" s="6"/>
      <c r="L422" s="6"/>
      <c r="M422" s="6"/>
      <c r="N422" s="6"/>
      <c r="O422" s="6"/>
      <c r="P422" s="13"/>
      <c r="Q422" s="13"/>
      <c r="R422" s="16"/>
      <c r="S422" s="16"/>
      <c r="T422" s="6"/>
      <c r="U422" s="10"/>
    </row>
    <row r="423" spans="1:21">
      <c r="A423" s="5"/>
      <c r="B423" s="6"/>
      <c r="C423" s="6"/>
      <c r="D423" s="6"/>
      <c r="E423" s="6"/>
      <c r="F423" s="6"/>
      <c r="G423" s="13"/>
      <c r="H423" s="6"/>
      <c r="I423" s="13"/>
      <c r="J423" s="6"/>
      <c r="K423" s="6"/>
      <c r="L423" s="6"/>
      <c r="M423" s="6"/>
      <c r="N423" s="6"/>
      <c r="O423" s="6"/>
      <c r="P423" s="13"/>
      <c r="Q423" s="13"/>
      <c r="R423" s="16"/>
      <c r="S423" s="16"/>
      <c r="T423" s="6"/>
      <c r="U423" s="10"/>
    </row>
    <row r="424" spans="1:21">
      <c r="A424" s="5"/>
      <c r="B424" s="6"/>
      <c r="C424" s="6"/>
      <c r="D424" s="6"/>
      <c r="E424" s="6"/>
      <c r="F424" s="6"/>
      <c r="G424" s="13"/>
      <c r="H424" s="6"/>
      <c r="I424" s="13"/>
      <c r="J424" s="6"/>
      <c r="K424" s="6"/>
      <c r="L424" s="6"/>
      <c r="M424" s="6"/>
      <c r="N424" s="6"/>
      <c r="O424" s="6"/>
      <c r="P424" s="13"/>
      <c r="Q424" s="13"/>
      <c r="R424" s="16"/>
      <c r="S424" s="16"/>
      <c r="T424" s="6"/>
      <c r="U424" s="10"/>
    </row>
    <row r="425" spans="1:21">
      <c r="A425" s="5"/>
      <c r="B425" s="6"/>
      <c r="C425" s="6"/>
      <c r="D425" s="6"/>
      <c r="E425" s="6"/>
      <c r="F425" s="6"/>
      <c r="G425" s="13"/>
      <c r="H425" s="6"/>
      <c r="I425" s="13"/>
      <c r="J425" s="6"/>
      <c r="K425" s="6"/>
      <c r="L425" s="6"/>
      <c r="M425" s="6"/>
      <c r="N425" s="6"/>
      <c r="O425" s="6"/>
      <c r="P425" s="13"/>
      <c r="Q425" s="13"/>
      <c r="R425" s="16"/>
      <c r="S425" s="16"/>
      <c r="T425" s="6"/>
      <c r="U425" s="10"/>
    </row>
    <row r="426" spans="1:21">
      <c r="A426" s="5"/>
      <c r="B426" s="6"/>
      <c r="C426" s="6"/>
      <c r="D426" s="6"/>
      <c r="E426" s="6"/>
      <c r="F426" s="6"/>
      <c r="G426" s="13"/>
      <c r="H426" s="6"/>
      <c r="I426" s="13"/>
      <c r="J426" s="6"/>
      <c r="K426" s="6"/>
      <c r="L426" s="6"/>
      <c r="M426" s="6"/>
      <c r="N426" s="6"/>
      <c r="O426" s="6"/>
      <c r="P426" s="13"/>
      <c r="Q426" s="13"/>
      <c r="R426" s="16"/>
      <c r="S426" s="16"/>
      <c r="T426" s="6"/>
      <c r="U426" s="10"/>
    </row>
    <row r="427" spans="1:21">
      <c r="A427" s="5"/>
      <c r="B427" s="6"/>
      <c r="C427" s="6"/>
      <c r="D427" s="6"/>
      <c r="E427" s="6"/>
      <c r="F427" s="6"/>
      <c r="G427" s="13"/>
      <c r="H427" s="6"/>
      <c r="I427" s="13"/>
      <c r="J427" s="6"/>
      <c r="K427" s="6"/>
      <c r="L427" s="6"/>
      <c r="M427" s="6"/>
      <c r="N427" s="6"/>
      <c r="O427" s="6"/>
      <c r="P427" s="13"/>
      <c r="Q427" s="13"/>
      <c r="R427" s="16"/>
      <c r="S427" s="16"/>
      <c r="T427" s="6"/>
      <c r="U427" s="10"/>
    </row>
    <row r="428" spans="1:21">
      <c r="A428" s="5"/>
      <c r="B428" s="6"/>
      <c r="C428" s="6"/>
      <c r="D428" s="6"/>
      <c r="E428" s="6"/>
      <c r="F428" s="6"/>
      <c r="G428" s="13"/>
      <c r="H428" s="6"/>
      <c r="I428" s="13"/>
      <c r="J428" s="6"/>
      <c r="K428" s="6"/>
      <c r="L428" s="6"/>
      <c r="M428" s="6"/>
      <c r="N428" s="6"/>
      <c r="O428" s="6"/>
      <c r="P428" s="13"/>
      <c r="Q428" s="13"/>
      <c r="R428" s="16"/>
      <c r="S428" s="16"/>
      <c r="T428" s="6"/>
      <c r="U428" s="10"/>
    </row>
    <row r="429" spans="1:21">
      <c r="A429" s="5"/>
      <c r="B429" s="6"/>
      <c r="C429" s="6"/>
      <c r="D429" s="6"/>
      <c r="E429" s="6"/>
      <c r="F429" s="6"/>
      <c r="G429" s="13"/>
      <c r="H429" s="6"/>
      <c r="I429" s="13"/>
      <c r="J429" s="6"/>
      <c r="K429" s="6"/>
      <c r="L429" s="6"/>
      <c r="M429" s="6"/>
      <c r="N429" s="6"/>
      <c r="O429" s="6"/>
      <c r="P429" s="13"/>
      <c r="Q429" s="13"/>
      <c r="R429" s="16"/>
      <c r="S429" s="16"/>
      <c r="T429" s="6"/>
      <c r="U429" s="10"/>
    </row>
    <row r="430" spans="1:21">
      <c r="A430" s="5"/>
      <c r="B430" s="6"/>
      <c r="C430" s="6"/>
      <c r="D430" s="6"/>
      <c r="E430" s="6"/>
      <c r="F430" s="6"/>
      <c r="G430" s="13"/>
      <c r="H430" s="6"/>
      <c r="I430" s="13"/>
      <c r="J430" s="6"/>
      <c r="K430" s="6"/>
      <c r="L430" s="6"/>
      <c r="M430" s="6"/>
      <c r="N430" s="6"/>
      <c r="O430" s="6"/>
      <c r="P430" s="13"/>
      <c r="Q430" s="13"/>
      <c r="R430" s="16"/>
      <c r="S430" s="16"/>
      <c r="T430" s="6"/>
      <c r="U430" s="10"/>
    </row>
    <row r="431" spans="1:21">
      <c r="A431" s="5"/>
      <c r="B431" s="6"/>
      <c r="C431" s="6"/>
      <c r="D431" s="6"/>
      <c r="E431" s="6"/>
      <c r="F431" s="6"/>
      <c r="G431" s="13"/>
      <c r="H431" s="6"/>
      <c r="I431" s="13"/>
      <c r="J431" s="6"/>
      <c r="K431" s="6"/>
      <c r="L431" s="6"/>
      <c r="M431" s="6"/>
      <c r="N431" s="6"/>
      <c r="O431" s="6"/>
      <c r="P431" s="13"/>
      <c r="Q431" s="13"/>
      <c r="R431" s="16"/>
      <c r="S431" s="16"/>
      <c r="T431" s="6"/>
      <c r="U431" s="10"/>
    </row>
    <row r="432" spans="1:21">
      <c r="A432" s="5"/>
      <c r="B432" s="6"/>
      <c r="C432" s="6"/>
      <c r="D432" s="6"/>
      <c r="E432" s="6"/>
      <c r="F432" s="6"/>
      <c r="G432" s="13"/>
      <c r="H432" s="6"/>
      <c r="I432" s="13"/>
      <c r="J432" s="6"/>
      <c r="K432" s="6"/>
      <c r="L432" s="6"/>
      <c r="M432" s="6"/>
      <c r="N432" s="6"/>
      <c r="O432" s="6"/>
      <c r="P432" s="13"/>
      <c r="Q432" s="13"/>
      <c r="R432" s="16"/>
      <c r="S432" s="16"/>
      <c r="T432" s="6"/>
      <c r="U432" s="10"/>
    </row>
    <row r="433" spans="1:21">
      <c r="A433" s="5"/>
      <c r="B433" s="6"/>
      <c r="C433" s="6"/>
      <c r="D433" s="6"/>
      <c r="E433" s="6"/>
      <c r="F433" s="6"/>
      <c r="G433" s="13"/>
      <c r="H433" s="6"/>
      <c r="I433" s="13"/>
      <c r="J433" s="6"/>
      <c r="K433" s="6"/>
      <c r="L433" s="6"/>
      <c r="M433" s="6"/>
      <c r="N433" s="6"/>
      <c r="O433" s="6"/>
      <c r="P433" s="13"/>
      <c r="Q433" s="13"/>
      <c r="R433" s="16"/>
      <c r="S433" s="16"/>
      <c r="T433" s="6"/>
      <c r="U433" s="10"/>
    </row>
    <row r="434" spans="1:21">
      <c r="A434" s="5"/>
      <c r="B434" s="6"/>
      <c r="C434" s="6"/>
      <c r="D434" s="6"/>
      <c r="E434" s="6"/>
      <c r="F434" s="6"/>
      <c r="G434" s="13"/>
      <c r="H434" s="6"/>
      <c r="I434" s="13"/>
      <c r="J434" s="6"/>
      <c r="K434" s="6"/>
      <c r="L434" s="6"/>
      <c r="M434" s="6"/>
      <c r="N434" s="6"/>
      <c r="O434" s="6"/>
      <c r="P434" s="13"/>
      <c r="Q434" s="13"/>
      <c r="R434" s="16"/>
      <c r="S434" s="16"/>
      <c r="T434" s="6"/>
      <c r="U434" s="10"/>
    </row>
    <row r="435" spans="1:21">
      <c r="A435" s="5"/>
      <c r="B435" s="6"/>
      <c r="C435" s="6"/>
      <c r="D435" s="6"/>
      <c r="E435" s="6"/>
      <c r="F435" s="6"/>
      <c r="G435" s="13"/>
      <c r="H435" s="6"/>
      <c r="I435" s="13"/>
      <c r="J435" s="6"/>
      <c r="K435" s="6"/>
      <c r="L435" s="6"/>
      <c r="M435" s="6"/>
      <c r="N435" s="6"/>
      <c r="O435" s="6"/>
      <c r="P435" s="13"/>
      <c r="Q435" s="13"/>
      <c r="R435" s="16"/>
      <c r="S435" s="16"/>
      <c r="T435" s="6"/>
      <c r="U435" s="10"/>
    </row>
    <row r="436" spans="1:21">
      <c r="A436" s="5"/>
      <c r="B436" s="6"/>
      <c r="C436" s="6"/>
      <c r="D436" s="6"/>
      <c r="E436" s="6"/>
      <c r="F436" s="6"/>
      <c r="G436" s="13"/>
      <c r="H436" s="6"/>
      <c r="I436" s="13"/>
      <c r="J436" s="6"/>
      <c r="K436" s="6"/>
      <c r="L436" s="6"/>
      <c r="M436" s="6"/>
      <c r="N436" s="6"/>
      <c r="O436" s="6"/>
      <c r="P436" s="13"/>
      <c r="Q436" s="13"/>
      <c r="R436" s="16"/>
      <c r="S436" s="16"/>
      <c r="T436" s="6"/>
      <c r="U436" s="10"/>
    </row>
    <row r="437" spans="1:21">
      <c r="A437" s="5"/>
      <c r="B437" s="6"/>
      <c r="C437" s="6"/>
      <c r="D437" s="6"/>
      <c r="E437" s="6"/>
      <c r="F437" s="6"/>
      <c r="G437" s="13"/>
      <c r="H437" s="6"/>
      <c r="I437" s="13"/>
      <c r="J437" s="6"/>
      <c r="K437" s="6"/>
      <c r="L437" s="6"/>
      <c r="M437" s="6"/>
      <c r="N437" s="6"/>
      <c r="O437" s="6"/>
      <c r="P437" s="13"/>
      <c r="Q437" s="13"/>
      <c r="R437" s="16"/>
      <c r="S437" s="16"/>
      <c r="T437" s="6"/>
      <c r="U437" s="10"/>
    </row>
    <row r="438" spans="1:21">
      <c r="A438" s="5"/>
      <c r="B438" s="6"/>
      <c r="C438" s="6"/>
      <c r="D438" s="6"/>
      <c r="E438" s="6"/>
      <c r="F438" s="6"/>
      <c r="G438" s="13"/>
      <c r="H438" s="6"/>
      <c r="I438" s="13"/>
      <c r="J438" s="6"/>
      <c r="K438" s="6"/>
      <c r="L438" s="6"/>
      <c r="M438" s="6"/>
      <c r="N438" s="6"/>
      <c r="O438" s="6"/>
      <c r="P438" s="13"/>
      <c r="Q438" s="13"/>
      <c r="R438" s="16"/>
      <c r="S438" s="16"/>
      <c r="T438" s="6"/>
      <c r="U438" s="10"/>
    </row>
    <row r="439" spans="1:21">
      <c r="A439" s="5"/>
      <c r="B439" s="6"/>
      <c r="C439" s="6"/>
      <c r="D439" s="6"/>
      <c r="E439" s="6"/>
      <c r="F439" s="6"/>
      <c r="G439" s="13"/>
      <c r="H439" s="6"/>
      <c r="I439" s="13"/>
      <c r="J439" s="6"/>
      <c r="K439" s="6"/>
      <c r="L439" s="6"/>
      <c r="M439" s="6"/>
      <c r="N439" s="6"/>
      <c r="O439" s="6"/>
      <c r="P439" s="13"/>
      <c r="Q439" s="13"/>
      <c r="R439" s="16"/>
      <c r="S439" s="16"/>
      <c r="T439" s="6"/>
      <c r="U439" s="10"/>
    </row>
    <row r="440" spans="1:21">
      <c r="A440" s="5"/>
      <c r="B440" s="6"/>
      <c r="C440" s="6"/>
      <c r="D440" s="6"/>
      <c r="E440" s="6"/>
      <c r="F440" s="6"/>
      <c r="G440" s="13"/>
      <c r="H440" s="6"/>
      <c r="I440" s="13"/>
      <c r="J440" s="6"/>
      <c r="K440" s="6"/>
      <c r="L440" s="6"/>
      <c r="M440" s="6"/>
      <c r="N440" s="6"/>
      <c r="O440" s="6"/>
      <c r="P440" s="13"/>
      <c r="Q440" s="13"/>
      <c r="R440" s="16"/>
      <c r="S440" s="16"/>
      <c r="T440" s="6"/>
      <c r="U440" s="10"/>
    </row>
    <row r="441" spans="1:21">
      <c r="A441" s="5"/>
      <c r="B441" s="6"/>
      <c r="C441" s="6"/>
      <c r="D441" s="6"/>
      <c r="E441" s="6"/>
      <c r="F441" s="6"/>
      <c r="G441" s="13"/>
      <c r="H441" s="6"/>
      <c r="I441" s="13"/>
      <c r="J441" s="6"/>
      <c r="K441" s="6"/>
      <c r="L441" s="6"/>
      <c r="M441" s="6"/>
      <c r="N441" s="6"/>
      <c r="O441" s="6"/>
      <c r="P441" s="13"/>
      <c r="Q441" s="13"/>
      <c r="R441" s="16"/>
      <c r="S441" s="16"/>
      <c r="T441" s="6"/>
      <c r="U441" s="10"/>
    </row>
    <row r="442" spans="1:21">
      <c r="A442" s="5"/>
      <c r="B442" s="6"/>
      <c r="C442" s="6"/>
      <c r="D442" s="6"/>
      <c r="E442" s="6"/>
      <c r="F442" s="6"/>
      <c r="G442" s="13"/>
      <c r="H442" s="6"/>
      <c r="I442" s="13"/>
      <c r="J442" s="6"/>
      <c r="K442" s="6"/>
      <c r="L442" s="6"/>
      <c r="M442" s="6"/>
      <c r="N442" s="6"/>
      <c r="O442" s="6"/>
      <c r="P442" s="13"/>
      <c r="Q442" s="13"/>
      <c r="R442" s="16"/>
      <c r="S442" s="16"/>
      <c r="T442" s="6"/>
      <c r="U442" s="10"/>
    </row>
    <row r="443" spans="1:21">
      <c r="A443" s="5"/>
      <c r="B443" s="6"/>
      <c r="C443" s="6"/>
      <c r="D443" s="6"/>
      <c r="E443" s="6"/>
      <c r="F443" s="6"/>
      <c r="G443" s="13"/>
      <c r="H443" s="6"/>
      <c r="I443" s="13"/>
      <c r="J443" s="6"/>
      <c r="K443" s="6"/>
      <c r="L443" s="6"/>
      <c r="M443" s="6"/>
      <c r="N443" s="6"/>
      <c r="O443" s="6"/>
      <c r="P443" s="13"/>
      <c r="Q443" s="13"/>
      <c r="R443" s="16"/>
      <c r="S443" s="16"/>
      <c r="T443" s="6"/>
      <c r="U443" s="10"/>
    </row>
    <row r="444" spans="1:21">
      <c r="A444" s="5"/>
      <c r="B444" s="6"/>
      <c r="C444" s="6"/>
      <c r="D444" s="6"/>
      <c r="E444" s="6"/>
      <c r="F444" s="6"/>
      <c r="G444" s="13"/>
      <c r="H444" s="6"/>
      <c r="I444" s="13"/>
      <c r="J444" s="6"/>
      <c r="K444" s="6"/>
      <c r="L444" s="6"/>
      <c r="M444" s="6"/>
      <c r="N444" s="6"/>
      <c r="O444" s="6"/>
      <c r="P444" s="13"/>
      <c r="Q444" s="13"/>
      <c r="R444" s="16"/>
      <c r="S444" s="16"/>
      <c r="T444" s="6"/>
      <c r="U444" s="10"/>
    </row>
    <row r="445" spans="1:21">
      <c r="A445" s="5"/>
      <c r="B445" s="6"/>
      <c r="C445" s="6"/>
      <c r="D445" s="6"/>
      <c r="E445" s="6"/>
      <c r="F445" s="6"/>
      <c r="G445" s="13"/>
      <c r="H445" s="6"/>
      <c r="I445" s="13"/>
      <c r="J445" s="6"/>
      <c r="K445" s="6"/>
      <c r="L445" s="6"/>
      <c r="M445" s="6"/>
      <c r="N445" s="6"/>
      <c r="O445" s="6"/>
      <c r="P445" s="13"/>
      <c r="Q445" s="13"/>
      <c r="R445" s="16"/>
      <c r="S445" s="16"/>
      <c r="T445" s="6"/>
      <c r="U445" s="10"/>
    </row>
    <row r="446" spans="1:21">
      <c r="A446" s="5"/>
      <c r="B446" s="6"/>
      <c r="C446" s="6"/>
      <c r="D446" s="6"/>
      <c r="E446" s="6"/>
      <c r="F446" s="6"/>
      <c r="G446" s="13"/>
      <c r="H446" s="6"/>
      <c r="I446" s="13"/>
      <c r="J446" s="6"/>
      <c r="K446" s="6"/>
      <c r="L446" s="6"/>
      <c r="M446" s="6"/>
      <c r="N446" s="6"/>
      <c r="O446" s="6"/>
      <c r="P446" s="13"/>
      <c r="Q446" s="13"/>
      <c r="R446" s="16"/>
      <c r="S446" s="16"/>
      <c r="T446" s="6"/>
      <c r="U446" s="10"/>
    </row>
    <row r="447" spans="1:21">
      <c r="A447" s="5"/>
      <c r="B447" s="6"/>
      <c r="C447" s="6"/>
      <c r="D447" s="6"/>
      <c r="E447" s="6"/>
      <c r="F447" s="6"/>
      <c r="G447" s="13"/>
      <c r="H447" s="6"/>
      <c r="I447" s="13"/>
      <c r="J447" s="6"/>
      <c r="K447" s="6"/>
      <c r="L447" s="6"/>
      <c r="M447" s="6"/>
      <c r="N447" s="6"/>
      <c r="O447" s="6"/>
      <c r="P447" s="13"/>
      <c r="Q447" s="13"/>
      <c r="R447" s="16"/>
      <c r="S447" s="16"/>
      <c r="T447" s="6"/>
      <c r="U447" s="10"/>
    </row>
    <row r="448" spans="1:21">
      <c r="A448" s="5"/>
      <c r="B448" s="6"/>
      <c r="C448" s="6"/>
      <c r="D448" s="6"/>
      <c r="E448" s="6"/>
      <c r="F448" s="6"/>
      <c r="G448" s="13"/>
      <c r="H448" s="6"/>
      <c r="I448" s="13"/>
      <c r="J448" s="6"/>
      <c r="K448" s="6"/>
      <c r="L448" s="6"/>
      <c r="M448" s="6"/>
      <c r="N448" s="6"/>
      <c r="O448" s="6"/>
      <c r="P448" s="13"/>
      <c r="Q448" s="13"/>
      <c r="R448" s="16"/>
      <c r="S448" s="16"/>
      <c r="T448" s="6"/>
      <c r="U448" s="10"/>
    </row>
    <row r="449" spans="1:21">
      <c r="A449" s="5"/>
      <c r="B449" s="6"/>
      <c r="C449" s="6"/>
      <c r="D449" s="6"/>
      <c r="E449" s="6"/>
      <c r="F449" s="6"/>
      <c r="G449" s="13"/>
      <c r="H449" s="6"/>
      <c r="I449" s="13"/>
      <c r="J449" s="6"/>
      <c r="K449" s="6"/>
      <c r="L449" s="6"/>
      <c r="M449" s="6"/>
      <c r="N449" s="6"/>
      <c r="O449" s="6"/>
      <c r="P449" s="13"/>
      <c r="Q449" s="13"/>
      <c r="R449" s="16"/>
      <c r="S449" s="16"/>
      <c r="T449" s="6"/>
      <c r="U449" s="10"/>
    </row>
    <row r="450" spans="1:21">
      <c r="A450" s="5"/>
      <c r="B450" s="6"/>
      <c r="C450" s="6"/>
      <c r="D450" s="6"/>
      <c r="E450" s="6"/>
      <c r="F450" s="6"/>
      <c r="G450" s="13"/>
      <c r="H450" s="6"/>
      <c r="I450" s="13"/>
      <c r="J450" s="6"/>
      <c r="K450" s="6"/>
      <c r="L450" s="6"/>
      <c r="M450" s="6"/>
      <c r="N450" s="6"/>
      <c r="O450" s="6"/>
      <c r="P450" s="13"/>
      <c r="Q450" s="13"/>
      <c r="R450" s="16"/>
      <c r="S450" s="16"/>
      <c r="T450" s="6"/>
      <c r="U450" s="10"/>
    </row>
    <row r="451" spans="1:21">
      <c r="A451" s="5"/>
      <c r="B451" s="6"/>
      <c r="C451" s="6"/>
      <c r="D451" s="6"/>
      <c r="E451" s="6"/>
      <c r="F451" s="6"/>
      <c r="G451" s="13"/>
      <c r="H451" s="6"/>
      <c r="I451" s="13"/>
      <c r="J451" s="6"/>
      <c r="K451" s="6"/>
      <c r="L451" s="6"/>
      <c r="M451" s="6"/>
      <c r="N451" s="6"/>
      <c r="O451" s="6"/>
      <c r="P451" s="13"/>
      <c r="Q451" s="13"/>
      <c r="R451" s="16"/>
      <c r="S451" s="16"/>
      <c r="T451" s="6"/>
      <c r="U451" s="10"/>
    </row>
    <row r="452" spans="1:21">
      <c r="A452" s="5"/>
      <c r="B452" s="6"/>
      <c r="C452" s="6"/>
      <c r="D452" s="6"/>
      <c r="E452" s="6"/>
      <c r="F452" s="6"/>
      <c r="G452" s="13"/>
      <c r="H452" s="6"/>
      <c r="I452" s="13"/>
      <c r="J452" s="6"/>
      <c r="K452" s="6"/>
      <c r="L452" s="6"/>
      <c r="M452" s="6"/>
      <c r="N452" s="6"/>
      <c r="O452" s="6"/>
      <c r="P452" s="13"/>
      <c r="Q452" s="13"/>
      <c r="R452" s="16"/>
      <c r="S452" s="16"/>
      <c r="T452" s="6"/>
      <c r="U452" s="10"/>
    </row>
    <row r="453" spans="1:21">
      <c r="A453" s="5"/>
      <c r="B453" s="6"/>
      <c r="C453" s="6"/>
      <c r="D453" s="6"/>
      <c r="E453" s="6"/>
      <c r="F453" s="6"/>
      <c r="G453" s="13"/>
      <c r="H453" s="6"/>
      <c r="I453" s="13"/>
      <c r="J453" s="6"/>
      <c r="K453" s="6"/>
      <c r="L453" s="6"/>
      <c r="M453" s="6"/>
      <c r="N453" s="6"/>
      <c r="O453" s="6"/>
      <c r="P453" s="13"/>
      <c r="Q453" s="13"/>
      <c r="R453" s="16"/>
      <c r="S453" s="16"/>
      <c r="T453" s="6"/>
      <c r="U453" s="10"/>
    </row>
    <row r="454" spans="1:21">
      <c r="A454" s="5"/>
      <c r="B454" s="6"/>
      <c r="C454" s="6"/>
      <c r="D454" s="6"/>
      <c r="E454" s="6"/>
      <c r="F454" s="6"/>
      <c r="G454" s="13"/>
      <c r="H454" s="6"/>
      <c r="I454" s="13"/>
      <c r="J454" s="6"/>
      <c r="K454" s="6"/>
      <c r="L454" s="6"/>
      <c r="M454" s="6"/>
      <c r="N454" s="6"/>
      <c r="O454" s="6"/>
      <c r="P454" s="13"/>
      <c r="Q454" s="13"/>
      <c r="R454" s="16"/>
      <c r="S454" s="16"/>
      <c r="T454" s="6"/>
      <c r="U454" s="10"/>
    </row>
    <row r="455" spans="1:21">
      <c r="A455" s="5"/>
      <c r="B455" s="6"/>
      <c r="C455" s="6"/>
      <c r="D455" s="6"/>
      <c r="E455" s="6"/>
      <c r="F455" s="6"/>
      <c r="G455" s="13"/>
      <c r="H455" s="6"/>
      <c r="I455" s="13"/>
      <c r="J455" s="6"/>
      <c r="K455" s="6"/>
      <c r="L455" s="6"/>
      <c r="M455" s="6"/>
      <c r="N455" s="6"/>
      <c r="O455" s="6"/>
      <c r="P455" s="13"/>
      <c r="Q455" s="13"/>
      <c r="R455" s="16"/>
      <c r="S455" s="16"/>
      <c r="T455" s="6"/>
      <c r="U455" s="10"/>
    </row>
    <row r="456" spans="1:21">
      <c r="A456" s="5"/>
      <c r="B456" s="6"/>
      <c r="C456" s="6"/>
      <c r="D456" s="6"/>
      <c r="E456" s="6"/>
      <c r="F456" s="6"/>
      <c r="G456" s="13"/>
      <c r="H456" s="6"/>
      <c r="I456" s="13"/>
      <c r="J456" s="6"/>
      <c r="K456" s="6"/>
      <c r="L456" s="6"/>
      <c r="M456" s="6"/>
      <c r="N456" s="6"/>
      <c r="O456" s="6"/>
      <c r="P456" s="13"/>
      <c r="Q456" s="13"/>
      <c r="R456" s="16"/>
      <c r="S456" s="16"/>
      <c r="T456" s="6"/>
      <c r="U456" s="10"/>
    </row>
    <row r="457" spans="1:21">
      <c r="A457" s="5"/>
      <c r="B457" s="6"/>
      <c r="C457" s="6"/>
      <c r="D457" s="6"/>
      <c r="E457" s="6"/>
      <c r="F457" s="6"/>
      <c r="G457" s="13"/>
      <c r="H457" s="6"/>
      <c r="I457" s="13"/>
      <c r="J457" s="6"/>
      <c r="K457" s="6"/>
      <c r="L457" s="6"/>
      <c r="M457" s="6"/>
      <c r="N457" s="6"/>
      <c r="O457" s="6"/>
      <c r="P457" s="13"/>
      <c r="Q457" s="13"/>
      <c r="R457" s="16"/>
      <c r="S457" s="16"/>
      <c r="T457" s="6"/>
      <c r="U457" s="10"/>
    </row>
    <row r="458" spans="1:21">
      <c r="A458" s="5"/>
      <c r="B458" s="6"/>
      <c r="C458" s="6"/>
      <c r="D458" s="6"/>
      <c r="E458" s="6"/>
      <c r="F458" s="6"/>
      <c r="G458" s="13"/>
      <c r="H458" s="6"/>
      <c r="I458" s="13"/>
      <c r="J458" s="6"/>
      <c r="K458" s="6"/>
      <c r="L458" s="6"/>
      <c r="M458" s="6"/>
      <c r="N458" s="6"/>
      <c r="O458" s="6"/>
      <c r="P458" s="13"/>
      <c r="Q458" s="13"/>
      <c r="R458" s="16"/>
      <c r="S458" s="16"/>
      <c r="T458" s="6"/>
      <c r="U458" s="10"/>
    </row>
    <row r="459" spans="1:21">
      <c r="A459" s="5"/>
      <c r="B459" s="6"/>
      <c r="C459" s="6"/>
      <c r="D459" s="6"/>
      <c r="E459" s="6"/>
      <c r="F459" s="6"/>
      <c r="G459" s="13"/>
      <c r="H459" s="6"/>
      <c r="I459" s="13"/>
      <c r="J459" s="6"/>
      <c r="K459" s="6"/>
      <c r="L459" s="6"/>
      <c r="M459" s="6"/>
      <c r="N459" s="6"/>
      <c r="O459" s="6"/>
      <c r="P459" s="13"/>
      <c r="Q459" s="13"/>
      <c r="R459" s="16"/>
      <c r="S459" s="16"/>
      <c r="T459" s="6"/>
      <c r="U459" s="10"/>
    </row>
    <row r="460" spans="1:21">
      <c r="A460" s="5"/>
      <c r="B460" s="6"/>
      <c r="C460" s="6"/>
      <c r="D460" s="6"/>
      <c r="E460" s="6"/>
      <c r="F460" s="6"/>
      <c r="G460" s="13"/>
      <c r="H460" s="6"/>
      <c r="I460" s="13"/>
      <c r="J460" s="6"/>
      <c r="K460" s="6"/>
      <c r="L460" s="6"/>
      <c r="M460" s="6"/>
      <c r="N460" s="6"/>
      <c r="O460" s="6"/>
      <c r="P460" s="13"/>
      <c r="Q460" s="13"/>
      <c r="R460" s="16"/>
      <c r="S460" s="16"/>
      <c r="T460" s="6"/>
      <c r="U460" s="10"/>
    </row>
    <row r="461" spans="1:21">
      <c r="A461" s="5"/>
      <c r="B461" s="6"/>
      <c r="C461" s="6"/>
      <c r="D461" s="6"/>
      <c r="E461" s="6"/>
      <c r="F461" s="6"/>
      <c r="G461" s="13"/>
      <c r="H461" s="6"/>
      <c r="I461" s="13"/>
      <c r="J461" s="6"/>
      <c r="K461" s="6"/>
      <c r="L461" s="6"/>
      <c r="M461" s="6"/>
      <c r="N461" s="6"/>
      <c r="O461" s="6"/>
      <c r="P461" s="13"/>
      <c r="Q461" s="13"/>
      <c r="R461" s="16"/>
      <c r="S461" s="16"/>
      <c r="T461" s="6"/>
      <c r="U461" s="10"/>
    </row>
    <row r="462" spans="1:21">
      <c r="A462" s="5"/>
      <c r="B462" s="6"/>
      <c r="C462" s="6"/>
      <c r="D462" s="6"/>
      <c r="E462" s="6"/>
      <c r="F462" s="6"/>
      <c r="G462" s="13"/>
      <c r="H462" s="6"/>
      <c r="I462" s="13"/>
      <c r="J462" s="6"/>
      <c r="K462" s="6"/>
      <c r="L462" s="6"/>
      <c r="M462" s="6"/>
      <c r="N462" s="6"/>
      <c r="O462" s="6"/>
      <c r="P462" s="13"/>
      <c r="Q462" s="13"/>
      <c r="R462" s="16"/>
      <c r="S462" s="16"/>
      <c r="T462" s="6"/>
      <c r="U462" s="10"/>
    </row>
    <row r="463" spans="1:21">
      <c r="A463" s="5"/>
      <c r="B463" s="6"/>
      <c r="C463" s="6"/>
      <c r="D463" s="6"/>
      <c r="E463" s="6"/>
      <c r="F463" s="6"/>
      <c r="G463" s="13"/>
      <c r="H463" s="6"/>
      <c r="I463" s="13"/>
      <c r="J463" s="6"/>
      <c r="K463" s="6"/>
      <c r="L463" s="6"/>
      <c r="M463" s="6"/>
      <c r="N463" s="6"/>
      <c r="O463" s="6"/>
      <c r="P463" s="13"/>
      <c r="Q463" s="13"/>
      <c r="R463" s="16"/>
      <c r="S463" s="16"/>
      <c r="T463" s="6"/>
      <c r="U463" s="10"/>
    </row>
    <row r="464" spans="1:21">
      <c r="A464" s="5"/>
      <c r="B464" s="6"/>
      <c r="C464" s="6"/>
      <c r="D464" s="6"/>
      <c r="E464" s="6"/>
      <c r="F464" s="6"/>
      <c r="G464" s="13"/>
      <c r="H464" s="6"/>
      <c r="I464" s="13"/>
      <c r="J464" s="6"/>
      <c r="K464" s="6"/>
      <c r="L464" s="6"/>
      <c r="M464" s="6"/>
      <c r="N464" s="6"/>
      <c r="O464" s="6"/>
      <c r="P464" s="13"/>
      <c r="Q464" s="13"/>
      <c r="R464" s="16"/>
      <c r="S464" s="16"/>
      <c r="T464" s="6"/>
      <c r="U464" s="10"/>
    </row>
    <row r="465" spans="1:21">
      <c r="A465" s="5"/>
      <c r="B465" s="6"/>
      <c r="C465" s="6"/>
      <c r="D465" s="6"/>
      <c r="E465" s="6"/>
      <c r="F465" s="6"/>
      <c r="G465" s="13"/>
      <c r="H465" s="6"/>
      <c r="I465" s="13"/>
      <c r="J465" s="6"/>
      <c r="K465" s="6"/>
      <c r="L465" s="6"/>
      <c r="M465" s="6"/>
      <c r="N465" s="6"/>
      <c r="O465" s="6"/>
      <c r="P465" s="13"/>
      <c r="Q465" s="13"/>
      <c r="R465" s="16"/>
      <c r="S465" s="16"/>
      <c r="T465" s="6"/>
      <c r="U465" s="10"/>
    </row>
    <row r="466" spans="1:21">
      <c r="A466" s="5"/>
      <c r="B466" s="6"/>
      <c r="C466" s="6"/>
      <c r="D466" s="6"/>
      <c r="E466" s="6"/>
      <c r="F466" s="6"/>
      <c r="G466" s="13"/>
      <c r="H466" s="6"/>
      <c r="I466" s="13"/>
      <c r="J466" s="6"/>
      <c r="K466" s="6"/>
      <c r="L466" s="6"/>
      <c r="M466" s="6"/>
      <c r="N466" s="6"/>
      <c r="O466" s="6"/>
      <c r="P466" s="13"/>
      <c r="Q466" s="13"/>
      <c r="R466" s="16"/>
      <c r="S466" s="16"/>
      <c r="T466" s="6"/>
      <c r="U466" s="10"/>
    </row>
    <row r="467" spans="1:21">
      <c r="A467" s="5"/>
      <c r="B467" s="6"/>
      <c r="C467" s="6"/>
      <c r="D467" s="6"/>
      <c r="E467" s="6"/>
      <c r="F467" s="6"/>
      <c r="G467" s="13"/>
      <c r="H467" s="6"/>
      <c r="I467" s="13"/>
      <c r="J467" s="6"/>
      <c r="K467" s="6"/>
      <c r="L467" s="6"/>
      <c r="M467" s="6"/>
      <c r="N467" s="6"/>
      <c r="O467" s="6"/>
      <c r="P467" s="13"/>
      <c r="Q467" s="13"/>
      <c r="R467" s="16"/>
      <c r="S467" s="16"/>
      <c r="T467" s="6"/>
      <c r="U467" s="10"/>
    </row>
    <row r="468" spans="1:21">
      <c r="A468" s="5"/>
      <c r="B468" s="6"/>
      <c r="C468" s="6"/>
      <c r="D468" s="6"/>
      <c r="E468" s="6"/>
      <c r="F468" s="6"/>
      <c r="G468" s="13"/>
      <c r="H468" s="6"/>
      <c r="I468" s="13"/>
      <c r="J468" s="6"/>
      <c r="K468" s="6"/>
      <c r="L468" s="6"/>
      <c r="M468" s="6"/>
      <c r="N468" s="6"/>
      <c r="O468" s="6"/>
      <c r="P468" s="13"/>
      <c r="Q468" s="13"/>
      <c r="R468" s="16"/>
      <c r="S468" s="16"/>
      <c r="T468" s="6"/>
      <c r="U468" s="10"/>
    </row>
    <row r="469" spans="1:21">
      <c r="A469" s="5"/>
      <c r="B469" s="6"/>
      <c r="C469" s="6"/>
      <c r="D469" s="6"/>
      <c r="E469" s="6"/>
      <c r="F469" s="6"/>
      <c r="G469" s="13"/>
      <c r="H469" s="6"/>
      <c r="I469" s="13"/>
      <c r="J469" s="6"/>
      <c r="K469" s="6"/>
      <c r="L469" s="6"/>
      <c r="M469" s="6"/>
      <c r="N469" s="6"/>
      <c r="O469" s="6"/>
      <c r="P469" s="13"/>
      <c r="Q469" s="13"/>
      <c r="R469" s="16"/>
      <c r="S469" s="16"/>
      <c r="T469" s="6"/>
      <c r="U469" s="10"/>
    </row>
    <row r="470" spans="1:21">
      <c r="A470" s="5"/>
      <c r="B470" s="6"/>
      <c r="C470" s="6"/>
      <c r="D470" s="6"/>
      <c r="E470" s="6"/>
      <c r="F470" s="6"/>
      <c r="G470" s="13"/>
      <c r="H470" s="6"/>
      <c r="I470" s="13"/>
      <c r="J470" s="6"/>
      <c r="K470" s="6"/>
      <c r="L470" s="6"/>
      <c r="M470" s="6"/>
      <c r="N470" s="6"/>
      <c r="O470" s="6"/>
      <c r="P470" s="13"/>
      <c r="Q470" s="13"/>
      <c r="R470" s="16"/>
      <c r="S470" s="16"/>
      <c r="T470" s="6"/>
      <c r="U470" s="10"/>
    </row>
    <row r="471" spans="1:21">
      <c r="A471" s="5"/>
      <c r="B471" s="6"/>
      <c r="C471" s="6"/>
      <c r="D471" s="6"/>
      <c r="E471" s="6"/>
      <c r="F471" s="6"/>
      <c r="G471" s="13"/>
      <c r="H471" s="6"/>
      <c r="I471" s="13"/>
      <c r="J471" s="6"/>
      <c r="K471" s="6"/>
      <c r="L471" s="6"/>
      <c r="M471" s="6"/>
      <c r="N471" s="6"/>
      <c r="O471" s="6"/>
      <c r="P471" s="13"/>
      <c r="Q471" s="13"/>
      <c r="R471" s="16"/>
      <c r="S471" s="16"/>
      <c r="T471" s="6"/>
      <c r="U471" s="10"/>
    </row>
    <row r="472" spans="1:21">
      <c r="A472" s="5"/>
      <c r="B472" s="6"/>
      <c r="C472" s="6"/>
      <c r="D472" s="6"/>
      <c r="E472" s="6"/>
      <c r="F472" s="6"/>
      <c r="G472" s="13"/>
      <c r="H472" s="6"/>
      <c r="I472" s="13"/>
      <c r="J472" s="6"/>
      <c r="K472" s="6"/>
      <c r="L472" s="6"/>
      <c r="M472" s="6"/>
      <c r="N472" s="6"/>
      <c r="O472" s="6"/>
      <c r="P472" s="13"/>
      <c r="Q472" s="13"/>
      <c r="R472" s="16"/>
      <c r="S472" s="16"/>
      <c r="T472" s="6"/>
      <c r="U472" s="10"/>
    </row>
    <row r="473" spans="1:21">
      <c r="A473" s="5"/>
      <c r="B473" s="6"/>
      <c r="C473" s="6"/>
      <c r="D473" s="6"/>
      <c r="E473" s="6"/>
      <c r="F473" s="6"/>
      <c r="G473" s="13"/>
      <c r="H473" s="6"/>
      <c r="I473" s="13"/>
      <c r="J473" s="6"/>
      <c r="K473" s="6"/>
      <c r="L473" s="6"/>
      <c r="M473" s="6"/>
      <c r="N473" s="6"/>
      <c r="O473" s="6"/>
      <c r="P473" s="13"/>
      <c r="Q473" s="13"/>
      <c r="R473" s="16"/>
      <c r="S473" s="16"/>
      <c r="T473" s="6"/>
      <c r="U473" s="10"/>
    </row>
    <row r="474" spans="1:21">
      <c r="A474" s="5"/>
      <c r="B474" s="6"/>
      <c r="C474" s="6"/>
      <c r="D474" s="6"/>
      <c r="E474" s="6"/>
      <c r="F474" s="6"/>
      <c r="G474" s="13"/>
      <c r="H474" s="6"/>
      <c r="I474" s="13"/>
      <c r="J474" s="6"/>
      <c r="K474" s="6"/>
      <c r="L474" s="6"/>
      <c r="M474" s="6"/>
      <c r="N474" s="6"/>
      <c r="O474" s="6"/>
      <c r="P474" s="13"/>
      <c r="Q474" s="13"/>
      <c r="R474" s="16"/>
      <c r="S474" s="16"/>
      <c r="T474" s="6"/>
      <c r="U474" s="10"/>
    </row>
    <row r="475" spans="1:21">
      <c r="A475" s="5"/>
      <c r="B475" s="6"/>
      <c r="C475" s="6"/>
      <c r="D475" s="6"/>
      <c r="E475" s="6"/>
      <c r="F475" s="6"/>
      <c r="G475" s="13"/>
      <c r="H475" s="6"/>
      <c r="I475" s="13"/>
      <c r="J475" s="6"/>
      <c r="K475" s="6"/>
      <c r="L475" s="6"/>
      <c r="M475" s="6"/>
      <c r="N475" s="6"/>
      <c r="O475" s="6"/>
      <c r="P475" s="13"/>
      <c r="Q475" s="13"/>
      <c r="R475" s="16"/>
      <c r="S475" s="16"/>
      <c r="T475" s="6"/>
      <c r="U475" s="10"/>
    </row>
    <row r="476" spans="1:21">
      <c r="A476" s="5"/>
      <c r="B476" s="6"/>
      <c r="C476" s="6"/>
      <c r="D476" s="6"/>
      <c r="E476" s="6"/>
      <c r="F476" s="6"/>
      <c r="G476" s="13"/>
      <c r="H476" s="6"/>
      <c r="I476" s="13"/>
      <c r="J476" s="6"/>
      <c r="K476" s="6"/>
      <c r="L476" s="6"/>
      <c r="M476" s="6"/>
      <c r="N476" s="6"/>
      <c r="O476" s="6"/>
      <c r="P476" s="13"/>
      <c r="Q476" s="13"/>
      <c r="R476" s="16"/>
      <c r="S476" s="16"/>
      <c r="T476" s="6"/>
      <c r="U476" s="10"/>
    </row>
    <row r="477" spans="1:21">
      <c r="A477" s="5"/>
      <c r="B477" s="6"/>
      <c r="C477" s="6"/>
      <c r="D477" s="6"/>
      <c r="E477" s="6"/>
      <c r="F477" s="6"/>
      <c r="G477" s="13"/>
      <c r="H477" s="6"/>
      <c r="I477" s="13"/>
      <c r="J477" s="6"/>
      <c r="K477" s="6"/>
      <c r="L477" s="6"/>
      <c r="M477" s="6"/>
      <c r="N477" s="6"/>
      <c r="O477" s="6"/>
      <c r="P477" s="13"/>
      <c r="Q477" s="13"/>
      <c r="R477" s="16"/>
      <c r="S477" s="16"/>
      <c r="T477" s="6"/>
      <c r="U477" s="10"/>
    </row>
    <row r="478" spans="1:21">
      <c r="A478" s="5"/>
      <c r="B478" s="6"/>
      <c r="C478" s="6"/>
      <c r="D478" s="6"/>
      <c r="E478" s="6"/>
      <c r="F478" s="6"/>
      <c r="G478" s="13"/>
      <c r="H478" s="6"/>
      <c r="I478" s="13"/>
      <c r="J478" s="6"/>
      <c r="K478" s="6"/>
      <c r="L478" s="6"/>
      <c r="M478" s="6"/>
      <c r="N478" s="6"/>
      <c r="O478" s="6"/>
      <c r="P478" s="13"/>
      <c r="Q478" s="13"/>
      <c r="R478" s="16"/>
      <c r="S478" s="16"/>
      <c r="T478" s="6"/>
      <c r="U478" s="10"/>
    </row>
    <row r="479" spans="1:21">
      <c r="A479" s="5"/>
      <c r="B479" s="6"/>
      <c r="C479" s="6"/>
      <c r="D479" s="6"/>
      <c r="E479" s="6"/>
      <c r="F479" s="6"/>
      <c r="G479" s="13"/>
      <c r="H479" s="6"/>
      <c r="I479" s="13"/>
      <c r="J479" s="6"/>
      <c r="K479" s="6"/>
      <c r="L479" s="6"/>
      <c r="M479" s="6"/>
      <c r="N479" s="6"/>
      <c r="O479" s="6"/>
      <c r="P479" s="13"/>
      <c r="Q479" s="13"/>
      <c r="R479" s="16"/>
      <c r="S479" s="16"/>
      <c r="T479" s="6"/>
      <c r="U479" s="10"/>
    </row>
    <row r="480" spans="1:21">
      <c r="A480" s="5"/>
      <c r="B480" s="6"/>
      <c r="C480" s="6"/>
      <c r="D480" s="6"/>
      <c r="E480" s="6"/>
      <c r="F480" s="6"/>
      <c r="G480" s="13"/>
      <c r="H480" s="6"/>
      <c r="I480" s="13"/>
      <c r="J480" s="6"/>
      <c r="K480" s="6"/>
      <c r="L480" s="6"/>
      <c r="M480" s="6"/>
      <c r="N480" s="6"/>
      <c r="O480" s="6"/>
      <c r="P480" s="13"/>
      <c r="Q480" s="13"/>
      <c r="R480" s="16"/>
      <c r="S480" s="16"/>
      <c r="T480" s="6"/>
      <c r="U480" s="10"/>
    </row>
    <row r="481" spans="1:21">
      <c r="A481" s="5"/>
      <c r="B481" s="6"/>
      <c r="C481" s="6"/>
      <c r="D481" s="6"/>
      <c r="E481" s="6"/>
      <c r="F481" s="6"/>
      <c r="G481" s="13"/>
      <c r="H481" s="6"/>
      <c r="I481" s="13"/>
      <c r="J481" s="6"/>
      <c r="K481" s="6"/>
      <c r="L481" s="6"/>
      <c r="M481" s="6"/>
      <c r="N481" s="6"/>
      <c r="O481" s="6"/>
      <c r="P481" s="13"/>
      <c r="Q481" s="13"/>
      <c r="R481" s="16"/>
      <c r="S481" s="16"/>
      <c r="T481" s="6"/>
      <c r="U481" s="10"/>
    </row>
    <row r="482" spans="1:21">
      <c r="A482" s="5"/>
      <c r="B482" s="6"/>
      <c r="C482" s="6"/>
      <c r="D482" s="6"/>
      <c r="E482" s="6"/>
      <c r="F482" s="6"/>
      <c r="G482" s="13"/>
      <c r="H482" s="6"/>
      <c r="I482" s="13"/>
      <c r="J482" s="6"/>
      <c r="K482" s="6"/>
      <c r="L482" s="6"/>
      <c r="M482" s="6"/>
      <c r="N482" s="6"/>
      <c r="O482" s="6"/>
      <c r="P482" s="13"/>
      <c r="Q482" s="13"/>
      <c r="R482" s="16"/>
      <c r="S482" s="16"/>
      <c r="T482" s="6"/>
      <c r="U482" s="10"/>
    </row>
    <row r="483" spans="1:21">
      <c r="A483" s="5"/>
      <c r="B483" s="6"/>
      <c r="C483" s="6"/>
      <c r="D483" s="6"/>
      <c r="E483" s="6"/>
      <c r="F483" s="6"/>
      <c r="G483" s="13"/>
      <c r="H483" s="6"/>
      <c r="I483" s="13"/>
      <c r="J483" s="6"/>
      <c r="K483" s="6"/>
      <c r="L483" s="6"/>
      <c r="M483" s="6"/>
      <c r="N483" s="6"/>
      <c r="O483" s="6"/>
      <c r="P483" s="13"/>
      <c r="Q483" s="13"/>
      <c r="R483" s="16"/>
      <c r="S483" s="16"/>
      <c r="T483" s="6"/>
      <c r="U483" s="10"/>
    </row>
    <row r="484" spans="1:21">
      <c r="A484" s="5"/>
      <c r="B484" s="6"/>
      <c r="C484" s="6"/>
      <c r="D484" s="6"/>
      <c r="E484" s="6"/>
      <c r="F484" s="6"/>
      <c r="G484" s="13"/>
      <c r="H484" s="6"/>
      <c r="I484" s="13"/>
      <c r="J484" s="6"/>
      <c r="K484" s="6"/>
      <c r="L484" s="6"/>
      <c r="M484" s="6"/>
      <c r="N484" s="6"/>
      <c r="O484" s="6"/>
      <c r="P484" s="13"/>
      <c r="Q484" s="13"/>
      <c r="R484" s="16"/>
      <c r="S484" s="16"/>
      <c r="T484" s="6"/>
      <c r="U484" s="10"/>
    </row>
    <row r="485" spans="1:21">
      <c r="A485" s="5"/>
      <c r="B485" s="6"/>
      <c r="C485" s="6"/>
      <c r="D485" s="6"/>
      <c r="E485" s="6"/>
      <c r="F485" s="6"/>
      <c r="G485" s="13"/>
      <c r="H485" s="6"/>
      <c r="I485" s="13"/>
      <c r="J485" s="6"/>
      <c r="K485" s="6"/>
      <c r="L485" s="6"/>
      <c r="M485" s="6"/>
      <c r="N485" s="6"/>
      <c r="O485" s="6"/>
      <c r="P485" s="13"/>
      <c r="Q485" s="13"/>
      <c r="R485" s="16"/>
      <c r="S485" s="16"/>
      <c r="T485" s="6"/>
      <c r="U485" s="10"/>
    </row>
    <row r="486" spans="1:21">
      <c r="A486" s="5"/>
      <c r="B486" s="6"/>
      <c r="C486" s="6"/>
      <c r="D486" s="6"/>
      <c r="E486" s="6"/>
      <c r="F486" s="6"/>
      <c r="G486" s="13"/>
      <c r="H486" s="6"/>
      <c r="I486" s="13"/>
      <c r="J486" s="6"/>
      <c r="K486" s="6"/>
      <c r="L486" s="6"/>
      <c r="M486" s="6"/>
      <c r="N486" s="6"/>
      <c r="O486" s="6"/>
      <c r="P486" s="13"/>
      <c r="Q486" s="13"/>
      <c r="R486" s="16"/>
      <c r="S486" s="16"/>
      <c r="T486" s="6"/>
      <c r="U486" s="10"/>
    </row>
    <row r="487" spans="1:21">
      <c r="A487" s="5"/>
      <c r="B487" s="6"/>
      <c r="C487" s="6"/>
      <c r="D487" s="6"/>
      <c r="E487" s="6"/>
      <c r="F487" s="6"/>
      <c r="G487" s="13"/>
      <c r="H487" s="6"/>
      <c r="I487" s="13"/>
      <c r="J487" s="6"/>
      <c r="K487" s="6"/>
      <c r="L487" s="6"/>
      <c r="M487" s="6"/>
      <c r="N487" s="6"/>
      <c r="O487" s="6"/>
      <c r="P487" s="13"/>
      <c r="Q487" s="13"/>
      <c r="R487" s="16"/>
      <c r="S487" s="16"/>
      <c r="T487" s="6"/>
      <c r="U487" s="10"/>
    </row>
    <row r="488" spans="1:21">
      <c r="A488" s="5"/>
      <c r="B488" s="6"/>
      <c r="C488" s="6"/>
      <c r="D488" s="6"/>
      <c r="E488" s="6"/>
      <c r="F488" s="6"/>
      <c r="G488" s="13"/>
      <c r="H488" s="6"/>
      <c r="I488" s="13"/>
      <c r="J488" s="6"/>
      <c r="K488" s="6"/>
      <c r="L488" s="6"/>
      <c r="M488" s="6"/>
      <c r="N488" s="6"/>
      <c r="O488" s="6"/>
      <c r="P488" s="13"/>
      <c r="Q488" s="13"/>
      <c r="R488" s="16"/>
      <c r="S488" s="16"/>
      <c r="T488" s="6"/>
      <c r="U488" s="10"/>
    </row>
    <row r="489" spans="1:21">
      <c r="A489" s="5"/>
      <c r="B489" s="6"/>
      <c r="C489" s="6"/>
      <c r="D489" s="6"/>
      <c r="E489" s="6"/>
      <c r="F489" s="6"/>
      <c r="G489" s="13"/>
      <c r="H489" s="6"/>
      <c r="I489" s="13"/>
      <c r="J489" s="6"/>
      <c r="K489" s="6"/>
      <c r="L489" s="6"/>
      <c r="M489" s="6"/>
      <c r="N489" s="6"/>
      <c r="O489" s="6"/>
      <c r="P489" s="13"/>
      <c r="Q489" s="13"/>
      <c r="R489" s="16"/>
      <c r="S489" s="16"/>
      <c r="T489" s="6"/>
      <c r="U489" s="10"/>
    </row>
    <row r="490" spans="1:21">
      <c r="A490" s="5"/>
      <c r="B490" s="6"/>
      <c r="C490" s="6"/>
      <c r="D490" s="6"/>
      <c r="E490" s="6"/>
      <c r="F490" s="6"/>
      <c r="G490" s="13"/>
      <c r="H490" s="6"/>
      <c r="I490" s="13"/>
      <c r="J490" s="6"/>
      <c r="K490" s="6"/>
      <c r="L490" s="6"/>
      <c r="M490" s="6"/>
      <c r="N490" s="6"/>
      <c r="O490" s="6"/>
      <c r="P490" s="13"/>
      <c r="Q490" s="13"/>
      <c r="R490" s="16"/>
      <c r="S490" s="16"/>
      <c r="T490" s="6"/>
      <c r="U490" s="10"/>
    </row>
    <row r="491" spans="1:21">
      <c r="A491" s="5"/>
      <c r="B491" s="6"/>
      <c r="C491" s="6"/>
      <c r="D491" s="6"/>
      <c r="E491" s="6"/>
      <c r="F491" s="6"/>
      <c r="G491" s="13"/>
      <c r="H491" s="6"/>
      <c r="I491" s="13"/>
      <c r="J491" s="6"/>
      <c r="K491" s="6"/>
      <c r="L491" s="6"/>
      <c r="M491" s="6"/>
      <c r="N491" s="6"/>
      <c r="O491" s="6"/>
      <c r="P491" s="13"/>
      <c r="Q491" s="13"/>
      <c r="R491" s="16"/>
      <c r="S491" s="16"/>
      <c r="T491" s="6"/>
      <c r="U491" s="10"/>
    </row>
    <row r="492" spans="1:21">
      <c r="A492" s="5"/>
      <c r="B492" s="6"/>
      <c r="C492" s="6"/>
      <c r="D492" s="6"/>
      <c r="E492" s="6"/>
      <c r="F492" s="6"/>
      <c r="G492" s="13"/>
      <c r="H492" s="6"/>
      <c r="I492" s="13"/>
      <c r="J492" s="6"/>
      <c r="K492" s="6"/>
      <c r="L492" s="6"/>
      <c r="M492" s="6"/>
      <c r="N492" s="6"/>
      <c r="O492" s="6"/>
      <c r="P492" s="13"/>
      <c r="Q492" s="13"/>
      <c r="R492" s="16"/>
      <c r="S492" s="16"/>
      <c r="T492" s="6"/>
      <c r="U492" s="10"/>
    </row>
    <row r="493" spans="1:21">
      <c r="A493" s="5"/>
      <c r="B493" s="6"/>
      <c r="C493" s="6"/>
      <c r="D493" s="6"/>
      <c r="E493" s="6"/>
      <c r="F493" s="6"/>
      <c r="G493" s="13"/>
      <c r="H493" s="6"/>
      <c r="I493" s="13"/>
      <c r="J493" s="6"/>
      <c r="K493" s="6"/>
      <c r="L493" s="6"/>
      <c r="M493" s="6"/>
      <c r="N493" s="6"/>
      <c r="O493" s="6"/>
      <c r="P493" s="13"/>
      <c r="Q493" s="13"/>
      <c r="R493" s="16"/>
      <c r="S493" s="16"/>
      <c r="T493" s="6"/>
      <c r="U493" s="10"/>
    </row>
    <row r="494" spans="1:21">
      <c r="A494" s="5"/>
      <c r="B494" s="6"/>
      <c r="C494" s="6"/>
      <c r="D494" s="6"/>
      <c r="E494" s="6"/>
      <c r="F494" s="6"/>
      <c r="G494" s="13"/>
      <c r="H494" s="6"/>
      <c r="I494" s="13"/>
      <c r="J494" s="6"/>
      <c r="K494" s="6"/>
      <c r="L494" s="6"/>
      <c r="M494" s="6"/>
      <c r="N494" s="6"/>
      <c r="O494" s="6"/>
      <c r="P494" s="13"/>
      <c r="Q494" s="13"/>
      <c r="R494" s="16"/>
      <c r="S494" s="16"/>
      <c r="T494" s="6"/>
      <c r="U494" s="10"/>
    </row>
    <row r="495" spans="1:21">
      <c r="A495" s="5"/>
      <c r="B495" s="6"/>
      <c r="C495" s="6"/>
      <c r="D495" s="6"/>
      <c r="E495" s="6"/>
      <c r="F495" s="6"/>
      <c r="G495" s="13"/>
      <c r="H495" s="6"/>
      <c r="I495" s="13"/>
      <c r="J495" s="6"/>
      <c r="K495" s="6"/>
      <c r="L495" s="6"/>
      <c r="M495" s="6"/>
      <c r="N495" s="6"/>
      <c r="O495" s="6"/>
      <c r="P495" s="13"/>
      <c r="Q495" s="13"/>
      <c r="R495" s="16"/>
      <c r="S495" s="16"/>
      <c r="T495" s="6"/>
      <c r="U495" s="10"/>
    </row>
    <row r="496" spans="1:21">
      <c r="A496" s="5"/>
      <c r="B496" s="6"/>
      <c r="C496" s="6"/>
      <c r="D496" s="6"/>
      <c r="E496" s="6"/>
      <c r="F496" s="6"/>
      <c r="G496" s="13"/>
      <c r="H496" s="6"/>
      <c r="I496" s="13"/>
      <c r="J496" s="6"/>
      <c r="K496" s="6"/>
      <c r="L496" s="6"/>
      <c r="M496" s="6"/>
      <c r="N496" s="6"/>
      <c r="O496" s="6"/>
      <c r="P496" s="13"/>
      <c r="Q496" s="13"/>
      <c r="R496" s="16"/>
      <c r="S496" s="16"/>
      <c r="T496" s="6"/>
      <c r="U496" s="10"/>
    </row>
    <row r="497" spans="1:21">
      <c r="A497" s="5"/>
      <c r="B497" s="6"/>
      <c r="C497" s="6"/>
      <c r="D497" s="6"/>
      <c r="E497" s="6"/>
      <c r="F497" s="6"/>
      <c r="G497" s="13"/>
      <c r="H497" s="6"/>
      <c r="I497" s="13"/>
      <c r="J497" s="6"/>
      <c r="K497" s="6"/>
      <c r="L497" s="6"/>
      <c r="M497" s="6"/>
      <c r="N497" s="6"/>
      <c r="O497" s="6"/>
      <c r="P497" s="13"/>
      <c r="Q497" s="13"/>
      <c r="R497" s="16"/>
      <c r="S497" s="16"/>
      <c r="T497" s="6"/>
      <c r="U497" s="10"/>
    </row>
    <row r="498" spans="1:21">
      <c r="A498" s="5"/>
      <c r="B498" s="6"/>
      <c r="C498" s="6"/>
      <c r="D498" s="6"/>
      <c r="E498" s="6"/>
      <c r="F498" s="6"/>
      <c r="G498" s="13"/>
      <c r="H498" s="6"/>
      <c r="I498" s="13"/>
      <c r="J498" s="6"/>
      <c r="K498" s="6"/>
      <c r="L498" s="6"/>
      <c r="M498" s="6"/>
      <c r="N498" s="6"/>
      <c r="O498" s="6"/>
      <c r="P498" s="13"/>
      <c r="Q498" s="13"/>
      <c r="R498" s="16"/>
      <c r="S498" s="16"/>
      <c r="T498" s="6"/>
      <c r="U498" s="10"/>
    </row>
    <row r="499" spans="1:21">
      <c r="A499" s="5"/>
      <c r="B499" s="6"/>
      <c r="C499" s="6"/>
      <c r="D499" s="6"/>
      <c r="E499" s="6"/>
      <c r="F499" s="6"/>
      <c r="G499" s="13"/>
      <c r="H499" s="6"/>
      <c r="I499" s="13"/>
      <c r="J499" s="6"/>
      <c r="K499" s="6"/>
      <c r="L499" s="6"/>
      <c r="M499" s="6"/>
      <c r="N499" s="6"/>
      <c r="O499" s="6"/>
      <c r="P499" s="13"/>
      <c r="Q499" s="13"/>
      <c r="R499" s="16"/>
      <c r="S499" s="16"/>
      <c r="T499" s="6"/>
      <c r="U499" s="10"/>
    </row>
    <row r="500" spans="1:21">
      <c r="A500" s="5"/>
      <c r="B500" s="6"/>
      <c r="C500" s="6"/>
      <c r="D500" s="6"/>
      <c r="E500" s="6"/>
      <c r="F500" s="6"/>
      <c r="G500" s="13"/>
      <c r="H500" s="6"/>
      <c r="I500" s="13"/>
      <c r="J500" s="6"/>
      <c r="K500" s="6"/>
      <c r="L500" s="6"/>
      <c r="M500" s="6"/>
      <c r="N500" s="6"/>
      <c r="O500" s="6"/>
      <c r="P500" s="13"/>
      <c r="Q500" s="13"/>
      <c r="R500" s="16"/>
      <c r="S500" s="16"/>
      <c r="T500" s="6"/>
      <c r="U500" s="10"/>
    </row>
    <row r="501" spans="1:21">
      <c r="A501" s="5"/>
      <c r="B501" s="6"/>
      <c r="C501" s="6"/>
      <c r="D501" s="6"/>
      <c r="E501" s="6"/>
      <c r="F501" s="6"/>
      <c r="G501" s="13"/>
      <c r="H501" s="6"/>
      <c r="I501" s="13"/>
      <c r="J501" s="6"/>
      <c r="K501" s="6"/>
      <c r="L501" s="6"/>
      <c r="M501" s="6"/>
      <c r="N501" s="6"/>
      <c r="O501" s="6"/>
      <c r="P501" s="13"/>
      <c r="Q501" s="13"/>
      <c r="R501" s="16"/>
      <c r="S501" s="16"/>
      <c r="T501" s="6"/>
      <c r="U501" s="10"/>
    </row>
    <row r="502" spans="1:21">
      <c r="A502" s="5"/>
      <c r="B502" s="6"/>
      <c r="C502" s="6"/>
      <c r="D502" s="6"/>
      <c r="E502" s="6"/>
      <c r="F502" s="6"/>
      <c r="G502" s="13"/>
      <c r="H502" s="6"/>
      <c r="I502" s="13"/>
      <c r="J502" s="6"/>
      <c r="K502" s="6"/>
      <c r="L502" s="6"/>
      <c r="M502" s="6"/>
      <c r="N502" s="6"/>
      <c r="O502" s="6"/>
      <c r="P502" s="13"/>
      <c r="Q502" s="13"/>
      <c r="R502" s="16"/>
      <c r="S502" s="16"/>
      <c r="T502" s="6"/>
      <c r="U502" s="10"/>
    </row>
    <row r="503" spans="1:21">
      <c r="A503" s="5"/>
      <c r="B503" s="6"/>
      <c r="C503" s="6"/>
      <c r="D503" s="6"/>
      <c r="E503" s="6"/>
      <c r="F503" s="6"/>
      <c r="G503" s="13"/>
      <c r="H503" s="6"/>
      <c r="I503" s="13"/>
      <c r="J503" s="6"/>
      <c r="K503" s="6"/>
      <c r="L503" s="6"/>
      <c r="M503" s="6"/>
      <c r="N503" s="6"/>
      <c r="O503" s="6"/>
      <c r="P503" s="13"/>
      <c r="Q503" s="13"/>
      <c r="R503" s="16"/>
      <c r="S503" s="16"/>
      <c r="T503" s="6"/>
      <c r="U503" s="10"/>
    </row>
    <row r="504" spans="1:21">
      <c r="A504" s="5"/>
      <c r="B504" s="6"/>
      <c r="C504" s="6"/>
      <c r="D504" s="6"/>
      <c r="E504" s="6"/>
      <c r="F504" s="6"/>
      <c r="G504" s="13"/>
      <c r="H504" s="6"/>
      <c r="I504" s="13"/>
      <c r="J504" s="6"/>
      <c r="K504" s="6"/>
      <c r="L504" s="6"/>
      <c r="M504" s="6"/>
      <c r="N504" s="6"/>
      <c r="O504" s="6"/>
      <c r="P504" s="13"/>
      <c r="Q504" s="13"/>
      <c r="R504" s="16"/>
      <c r="S504" s="16"/>
      <c r="T504" s="6"/>
      <c r="U504" s="10"/>
    </row>
    <row r="505" spans="1:21">
      <c r="A505" s="5"/>
      <c r="B505" s="6"/>
      <c r="C505" s="6"/>
      <c r="D505" s="6"/>
      <c r="E505" s="6"/>
      <c r="F505" s="6"/>
      <c r="G505" s="13"/>
      <c r="H505" s="6"/>
      <c r="I505" s="13"/>
      <c r="J505" s="6"/>
      <c r="K505" s="6"/>
      <c r="L505" s="6"/>
      <c r="M505" s="6"/>
      <c r="N505" s="6"/>
      <c r="O505" s="6"/>
      <c r="P505" s="13"/>
      <c r="Q505" s="13"/>
      <c r="R505" s="16"/>
      <c r="S505" s="16"/>
      <c r="T505" s="6"/>
      <c r="U505" s="10"/>
    </row>
    <row r="506" spans="1:21">
      <c r="A506" s="5"/>
      <c r="B506" s="6"/>
      <c r="C506" s="6"/>
      <c r="D506" s="6"/>
      <c r="E506" s="6"/>
      <c r="F506" s="6"/>
      <c r="G506" s="13"/>
      <c r="H506" s="6"/>
      <c r="I506" s="13"/>
      <c r="J506" s="6"/>
      <c r="K506" s="6"/>
      <c r="L506" s="6"/>
      <c r="M506" s="6"/>
      <c r="N506" s="6"/>
      <c r="O506" s="6"/>
      <c r="P506" s="13"/>
      <c r="Q506" s="13"/>
      <c r="R506" s="16"/>
      <c r="S506" s="16"/>
      <c r="T506" s="6"/>
      <c r="U506" s="10"/>
    </row>
    <row r="507" spans="1:21">
      <c r="A507" s="5"/>
      <c r="B507" s="6"/>
      <c r="C507" s="6"/>
      <c r="D507" s="6"/>
      <c r="E507" s="6"/>
      <c r="F507" s="6"/>
      <c r="G507" s="13"/>
      <c r="H507" s="6"/>
      <c r="I507" s="13"/>
      <c r="J507" s="6"/>
      <c r="K507" s="6"/>
      <c r="L507" s="6"/>
      <c r="M507" s="6"/>
      <c r="N507" s="6"/>
      <c r="O507" s="6"/>
      <c r="P507" s="13"/>
      <c r="Q507" s="13"/>
      <c r="R507" s="16"/>
      <c r="S507" s="16"/>
      <c r="T507" s="6"/>
      <c r="U507" s="10"/>
    </row>
    <row r="508" spans="1:21">
      <c r="A508" s="5"/>
      <c r="B508" s="6"/>
      <c r="C508" s="6"/>
      <c r="D508" s="6"/>
      <c r="E508" s="6"/>
      <c r="F508" s="6"/>
      <c r="G508" s="13"/>
      <c r="H508" s="6"/>
      <c r="I508" s="13"/>
      <c r="J508" s="6"/>
      <c r="K508" s="6"/>
      <c r="L508" s="6"/>
      <c r="M508" s="6"/>
      <c r="N508" s="6"/>
      <c r="O508" s="6"/>
      <c r="P508" s="13"/>
      <c r="Q508" s="13"/>
      <c r="R508" s="16"/>
      <c r="S508" s="16"/>
      <c r="T508" s="6"/>
      <c r="U508" s="10"/>
    </row>
    <row r="509" spans="1:21">
      <c r="A509" s="5"/>
      <c r="B509" s="6"/>
      <c r="C509" s="6"/>
      <c r="D509" s="6"/>
      <c r="E509" s="6"/>
      <c r="F509" s="6"/>
      <c r="G509" s="13"/>
      <c r="H509" s="6"/>
      <c r="I509" s="13"/>
      <c r="J509" s="6"/>
      <c r="K509" s="6"/>
      <c r="L509" s="6"/>
      <c r="M509" s="6"/>
      <c r="N509" s="6"/>
      <c r="O509" s="6"/>
      <c r="P509" s="13"/>
      <c r="Q509" s="13"/>
      <c r="R509" s="16"/>
      <c r="S509" s="16"/>
      <c r="T509" s="6"/>
      <c r="U509" s="10"/>
    </row>
    <row r="510" spans="1:21">
      <c r="A510" s="5"/>
      <c r="B510" s="6"/>
      <c r="C510" s="6"/>
      <c r="D510" s="6"/>
      <c r="E510" s="6"/>
      <c r="F510" s="6"/>
      <c r="G510" s="13"/>
      <c r="H510" s="6"/>
      <c r="I510" s="13"/>
      <c r="J510" s="6"/>
      <c r="K510" s="6"/>
      <c r="L510" s="6"/>
      <c r="M510" s="6"/>
      <c r="N510" s="6"/>
      <c r="O510" s="6"/>
      <c r="P510" s="13"/>
      <c r="Q510" s="13"/>
      <c r="R510" s="16"/>
      <c r="S510" s="16"/>
      <c r="T510" s="6"/>
      <c r="U510" s="10"/>
    </row>
    <row r="511" spans="1:21">
      <c r="A511" s="5"/>
      <c r="B511" s="6"/>
      <c r="C511" s="6"/>
      <c r="D511" s="6"/>
      <c r="E511" s="6"/>
      <c r="F511" s="6"/>
      <c r="G511" s="13"/>
      <c r="H511" s="6"/>
      <c r="I511" s="13"/>
      <c r="J511" s="6"/>
      <c r="K511" s="6"/>
      <c r="L511" s="6"/>
      <c r="M511" s="6"/>
      <c r="N511" s="6"/>
      <c r="O511" s="6"/>
      <c r="P511" s="13"/>
      <c r="Q511" s="13"/>
      <c r="R511" s="16"/>
      <c r="S511" s="16"/>
      <c r="T511" s="6"/>
      <c r="U511" s="10"/>
    </row>
    <row r="512" spans="1:21">
      <c r="A512" s="5"/>
      <c r="B512" s="6"/>
      <c r="C512" s="6"/>
      <c r="D512" s="6"/>
      <c r="E512" s="6"/>
      <c r="F512" s="6"/>
      <c r="G512" s="13"/>
      <c r="H512" s="6"/>
      <c r="I512" s="13"/>
      <c r="J512" s="6"/>
      <c r="K512" s="6"/>
      <c r="L512" s="6"/>
      <c r="M512" s="6"/>
      <c r="N512" s="6"/>
      <c r="O512" s="6"/>
      <c r="P512" s="13"/>
      <c r="Q512" s="13"/>
      <c r="R512" s="16"/>
      <c r="S512" s="16"/>
      <c r="T512" s="6"/>
      <c r="U512" s="10"/>
    </row>
    <row r="513" spans="1:21">
      <c r="A513" s="5"/>
      <c r="B513" s="6"/>
      <c r="C513" s="6"/>
      <c r="D513" s="6"/>
      <c r="E513" s="6"/>
      <c r="F513" s="6"/>
      <c r="G513" s="13"/>
      <c r="H513" s="6"/>
      <c r="I513" s="13"/>
      <c r="J513" s="6"/>
      <c r="K513" s="6"/>
      <c r="L513" s="6"/>
      <c r="M513" s="6"/>
      <c r="N513" s="6"/>
      <c r="O513" s="6"/>
      <c r="P513" s="13"/>
      <c r="Q513" s="13"/>
      <c r="R513" s="16"/>
      <c r="S513" s="16"/>
      <c r="T513" s="6"/>
      <c r="U513" s="10"/>
    </row>
    <row r="514" spans="1:21">
      <c r="A514" s="5"/>
      <c r="B514" s="6"/>
      <c r="C514" s="6"/>
      <c r="D514" s="6"/>
      <c r="E514" s="6"/>
      <c r="F514" s="6"/>
      <c r="G514" s="13"/>
      <c r="H514" s="6"/>
      <c r="I514" s="13"/>
      <c r="J514" s="6"/>
      <c r="K514" s="6"/>
      <c r="L514" s="6"/>
      <c r="M514" s="6"/>
      <c r="N514" s="6"/>
      <c r="O514" s="6"/>
      <c r="P514" s="13"/>
      <c r="Q514" s="13"/>
      <c r="R514" s="16"/>
      <c r="S514" s="16"/>
      <c r="T514" s="6"/>
      <c r="U514" s="10"/>
    </row>
    <row r="515" spans="1:21">
      <c r="A515" s="5"/>
      <c r="B515" s="6"/>
      <c r="C515" s="6"/>
      <c r="D515" s="6"/>
      <c r="E515" s="6"/>
      <c r="F515" s="6"/>
      <c r="G515" s="13"/>
      <c r="H515" s="6"/>
      <c r="I515" s="13"/>
      <c r="J515" s="6"/>
      <c r="K515" s="6"/>
      <c r="L515" s="6"/>
      <c r="M515" s="6"/>
      <c r="N515" s="6"/>
      <c r="O515" s="6"/>
      <c r="P515" s="13"/>
      <c r="Q515" s="13"/>
      <c r="R515" s="16"/>
      <c r="S515" s="16"/>
      <c r="T515" s="6"/>
      <c r="U515" s="10"/>
    </row>
    <row r="516" spans="1:21">
      <c r="A516" s="5"/>
      <c r="B516" s="6"/>
      <c r="C516" s="6"/>
      <c r="D516" s="6"/>
      <c r="E516" s="6"/>
      <c r="F516" s="6"/>
      <c r="G516" s="13"/>
      <c r="H516" s="6"/>
      <c r="I516" s="13"/>
      <c r="J516" s="6"/>
      <c r="K516" s="6"/>
      <c r="L516" s="6"/>
      <c r="M516" s="6"/>
      <c r="N516" s="6"/>
      <c r="O516" s="6"/>
      <c r="P516" s="13"/>
      <c r="Q516" s="13"/>
      <c r="R516" s="16"/>
      <c r="S516" s="16"/>
      <c r="T516" s="6"/>
      <c r="U516" s="10"/>
    </row>
    <row r="517" spans="1:21">
      <c r="A517" s="5"/>
      <c r="B517" s="6"/>
      <c r="C517" s="6"/>
      <c r="D517" s="6"/>
      <c r="E517" s="6"/>
      <c r="F517" s="6"/>
      <c r="G517" s="13"/>
      <c r="H517" s="6"/>
      <c r="I517" s="13"/>
      <c r="J517" s="6"/>
      <c r="K517" s="6"/>
      <c r="L517" s="6"/>
      <c r="M517" s="6"/>
      <c r="N517" s="6"/>
      <c r="O517" s="6"/>
      <c r="P517" s="13"/>
      <c r="Q517" s="13"/>
      <c r="R517" s="16"/>
      <c r="S517" s="16"/>
      <c r="T517" s="6"/>
      <c r="U517" s="10"/>
    </row>
    <row r="518" spans="1:21">
      <c r="A518" s="5"/>
      <c r="B518" s="6"/>
      <c r="C518" s="6"/>
      <c r="D518" s="6"/>
      <c r="E518" s="6"/>
      <c r="F518" s="6"/>
      <c r="G518" s="13"/>
      <c r="H518" s="6"/>
      <c r="I518" s="13"/>
      <c r="J518" s="6"/>
      <c r="K518" s="6"/>
      <c r="L518" s="6"/>
      <c r="M518" s="6"/>
      <c r="N518" s="6"/>
      <c r="O518" s="6"/>
      <c r="P518" s="13"/>
      <c r="Q518" s="13"/>
      <c r="R518" s="16"/>
      <c r="S518" s="16"/>
      <c r="T518" s="6"/>
      <c r="U518" s="10"/>
    </row>
    <row r="519" spans="1:21">
      <c r="A519" s="5"/>
      <c r="B519" s="6"/>
      <c r="C519" s="6"/>
      <c r="D519" s="6"/>
      <c r="E519" s="6"/>
      <c r="F519" s="6"/>
      <c r="G519" s="13"/>
      <c r="H519" s="6"/>
      <c r="I519" s="13"/>
      <c r="J519" s="6"/>
      <c r="K519" s="6"/>
      <c r="L519" s="6"/>
      <c r="M519" s="6"/>
      <c r="N519" s="6"/>
      <c r="O519" s="6"/>
      <c r="P519" s="13"/>
      <c r="Q519" s="13"/>
      <c r="R519" s="16"/>
      <c r="S519" s="16"/>
      <c r="T519" s="6"/>
      <c r="U519" s="10"/>
    </row>
    <row r="520" spans="1:21">
      <c r="A520" s="5"/>
      <c r="B520" s="6"/>
      <c r="C520" s="6"/>
      <c r="D520" s="6"/>
      <c r="E520" s="6"/>
      <c r="F520" s="6"/>
      <c r="G520" s="13"/>
      <c r="H520" s="6"/>
      <c r="I520" s="13"/>
      <c r="J520" s="6"/>
      <c r="K520" s="6"/>
      <c r="L520" s="6"/>
      <c r="M520" s="6"/>
      <c r="N520" s="6"/>
      <c r="O520" s="6"/>
      <c r="P520" s="13"/>
      <c r="Q520" s="13"/>
      <c r="R520" s="16"/>
      <c r="S520" s="16"/>
      <c r="T520" s="6"/>
      <c r="U520" s="10"/>
    </row>
    <row r="521" spans="1:21">
      <c r="A521" s="5"/>
      <c r="B521" s="6"/>
      <c r="C521" s="6"/>
      <c r="D521" s="6"/>
      <c r="E521" s="6"/>
      <c r="F521" s="6"/>
      <c r="G521" s="13"/>
      <c r="H521" s="6"/>
      <c r="I521" s="13"/>
      <c r="J521" s="6"/>
      <c r="K521" s="6"/>
      <c r="L521" s="6"/>
      <c r="M521" s="6"/>
      <c r="N521" s="6"/>
      <c r="O521" s="6"/>
      <c r="P521" s="13"/>
      <c r="Q521" s="13"/>
      <c r="R521" s="16"/>
      <c r="S521" s="16"/>
      <c r="T521" s="6"/>
      <c r="U521" s="10"/>
    </row>
    <row r="522" spans="1:21">
      <c r="A522" s="5"/>
      <c r="B522" s="6"/>
      <c r="C522" s="6"/>
      <c r="D522" s="6"/>
      <c r="E522" s="6"/>
      <c r="F522" s="6"/>
      <c r="G522" s="13"/>
      <c r="H522" s="6"/>
      <c r="I522" s="13"/>
      <c r="J522" s="6"/>
      <c r="K522" s="6"/>
      <c r="L522" s="6"/>
      <c r="M522" s="6"/>
      <c r="N522" s="6"/>
      <c r="O522" s="6"/>
      <c r="P522" s="13"/>
      <c r="Q522" s="13"/>
      <c r="R522" s="16"/>
      <c r="S522" s="16"/>
      <c r="T522" s="6"/>
      <c r="U522" s="10"/>
    </row>
    <row r="523" spans="1:21">
      <c r="A523" s="5"/>
      <c r="B523" s="6"/>
      <c r="C523" s="6"/>
      <c r="D523" s="6"/>
      <c r="E523" s="6"/>
      <c r="F523" s="6"/>
      <c r="G523" s="13"/>
      <c r="H523" s="6"/>
      <c r="I523" s="13"/>
      <c r="J523" s="6"/>
      <c r="K523" s="6"/>
      <c r="L523" s="6"/>
      <c r="M523" s="6"/>
      <c r="N523" s="6"/>
      <c r="O523" s="6"/>
      <c r="P523" s="13"/>
      <c r="Q523" s="13"/>
      <c r="R523" s="16"/>
      <c r="S523" s="16"/>
      <c r="T523" s="6"/>
      <c r="U523" s="10"/>
    </row>
    <row r="524" spans="1:21">
      <c r="A524" s="5"/>
      <c r="B524" s="6"/>
      <c r="C524" s="6"/>
      <c r="D524" s="6"/>
      <c r="E524" s="6"/>
      <c r="F524" s="6"/>
      <c r="G524" s="13"/>
      <c r="H524" s="6"/>
      <c r="I524" s="13"/>
      <c r="J524" s="6"/>
      <c r="K524" s="6"/>
      <c r="L524" s="6"/>
      <c r="M524" s="6"/>
      <c r="N524" s="6"/>
      <c r="O524" s="6"/>
      <c r="P524" s="13"/>
      <c r="Q524" s="13"/>
      <c r="R524" s="16"/>
      <c r="S524" s="16"/>
      <c r="T524" s="6"/>
      <c r="U524" s="10"/>
    </row>
    <row r="525" spans="1:21">
      <c r="A525" s="5"/>
      <c r="B525" s="6"/>
      <c r="C525" s="6"/>
      <c r="D525" s="6"/>
      <c r="E525" s="6"/>
      <c r="F525" s="6"/>
      <c r="G525" s="13"/>
      <c r="H525" s="6"/>
      <c r="I525" s="13"/>
      <c r="J525" s="6"/>
      <c r="K525" s="6"/>
      <c r="L525" s="6"/>
      <c r="M525" s="6"/>
      <c r="N525" s="6"/>
      <c r="O525" s="6"/>
      <c r="P525" s="13"/>
      <c r="Q525" s="13"/>
      <c r="R525" s="16"/>
      <c r="S525" s="16"/>
      <c r="T525" s="6"/>
      <c r="U525" s="10"/>
    </row>
    <row r="526" spans="1:21">
      <c r="A526" s="5"/>
      <c r="B526" s="6"/>
      <c r="C526" s="6"/>
      <c r="D526" s="6"/>
      <c r="E526" s="6"/>
      <c r="F526" s="6"/>
      <c r="G526" s="13"/>
      <c r="H526" s="6"/>
      <c r="I526" s="13"/>
      <c r="J526" s="6"/>
      <c r="K526" s="6"/>
      <c r="L526" s="6"/>
      <c r="M526" s="6"/>
      <c r="N526" s="6"/>
      <c r="O526" s="6"/>
      <c r="P526" s="13"/>
      <c r="Q526" s="13"/>
      <c r="R526" s="16"/>
      <c r="S526" s="16"/>
      <c r="T526" s="6"/>
      <c r="U526" s="10"/>
    </row>
    <row r="527" spans="1:21">
      <c r="A527" s="5"/>
      <c r="B527" s="6"/>
      <c r="C527" s="6"/>
      <c r="D527" s="6"/>
      <c r="E527" s="6"/>
      <c r="F527" s="6"/>
      <c r="G527" s="13"/>
      <c r="H527" s="6"/>
      <c r="I527" s="13"/>
      <c r="J527" s="6"/>
      <c r="K527" s="6"/>
      <c r="L527" s="6"/>
      <c r="M527" s="6"/>
      <c r="N527" s="6"/>
      <c r="O527" s="6"/>
      <c r="P527" s="13"/>
      <c r="Q527" s="13"/>
      <c r="R527" s="16"/>
      <c r="S527" s="16"/>
      <c r="T527" s="6"/>
      <c r="U527" s="10"/>
    </row>
    <row r="528" spans="1:21">
      <c r="A528" s="5"/>
      <c r="B528" s="6"/>
      <c r="C528" s="6"/>
      <c r="D528" s="6"/>
      <c r="E528" s="6"/>
      <c r="F528" s="6"/>
      <c r="G528" s="13"/>
      <c r="H528" s="6"/>
      <c r="I528" s="13"/>
      <c r="J528" s="6"/>
      <c r="K528" s="6"/>
      <c r="L528" s="6"/>
      <c r="M528" s="6"/>
      <c r="N528" s="6"/>
      <c r="O528" s="6"/>
      <c r="P528" s="13"/>
      <c r="Q528" s="13"/>
      <c r="R528" s="16"/>
      <c r="S528" s="16"/>
      <c r="T528" s="6"/>
      <c r="U528" s="10"/>
    </row>
    <row r="529" spans="1:21">
      <c r="A529" s="5"/>
      <c r="B529" s="6"/>
      <c r="C529" s="6"/>
      <c r="D529" s="6"/>
      <c r="E529" s="6"/>
      <c r="F529" s="6"/>
      <c r="G529" s="13"/>
      <c r="H529" s="6"/>
      <c r="I529" s="13"/>
      <c r="J529" s="6"/>
      <c r="K529" s="6"/>
      <c r="L529" s="6"/>
      <c r="M529" s="6"/>
      <c r="N529" s="6"/>
      <c r="O529" s="6"/>
      <c r="P529" s="13"/>
      <c r="Q529" s="13"/>
      <c r="R529" s="16"/>
      <c r="S529" s="16"/>
      <c r="T529" s="6"/>
      <c r="U529" s="10"/>
    </row>
    <row r="530" spans="1:21">
      <c r="A530" s="5"/>
      <c r="B530" s="6"/>
      <c r="C530" s="6"/>
      <c r="D530" s="6"/>
      <c r="E530" s="6"/>
      <c r="F530" s="6"/>
      <c r="G530" s="13"/>
      <c r="H530" s="6"/>
      <c r="I530" s="13"/>
      <c r="J530" s="6"/>
      <c r="K530" s="6"/>
      <c r="L530" s="6"/>
      <c r="M530" s="6"/>
      <c r="N530" s="6"/>
      <c r="O530" s="6"/>
      <c r="P530" s="13"/>
      <c r="Q530" s="13"/>
      <c r="R530" s="16"/>
      <c r="S530" s="16"/>
      <c r="T530" s="6"/>
      <c r="U530" s="10"/>
    </row>
    <row r="531" spans="1:21">
      <c r="A531" s="5"/>
      <c r="B531" s="6"/>
      <c r="C531" s="6"/>
      <c r="D531" s="6"/>
      <c r="E531" s="6"/>
      <c r="F531" s="6"/>
      <c r="G531" s="13"/>
      <c r="H531" s="6"/>
      <c r="I531" s="13"/>
      <c r="J531" s="6"/>
      <c r="K531" s="6"/>
      <c r="L531" s="6"/>
      <c r="M531" s="6"/>
      <c r="N531" s="6"/>
      <c r="O531" s="6"/>
      <c r="P531" s="13"/>
      <c r="Q531" s="13"/>
      <c r="R531" s="16"/>
      <c r="S531" s="16"/>
      <c r="T531" s="6"/>
      <c r="U531" s="10"/>
    </row>
    <row r="532" spans="1:21">
      <c r="A532" s="5"/>
      <c r="B532" s="6"/>
      <c r="C532" s="6"/>
      <c r="D532" s="6"/>
      <c r="E532" s="6"/>
      <c r="F532" s="6"/>
      <c r="G532" s="13"/>
      <c r="H532" s="6"/>
      <c r="I532" s="13"/>
      <c r="J532" s="6"/>
      <c r="K532" s="6"/>
      <c r="L532" s="6"/>
      <c r="M532" s="6"/>
      <c r="N532" s="6"/>
      <c r="O532" s="6"/>
      <c r="P532" s="13"/>
      <c r="Q532" s="13"/>
      <c r="R532" s="16"/>
      <c r="S532" s="16"/>
      <c r="T532" s="6"/>
      <c r="U532" s="10"/>
    </row>
    <row r="533" spans="1:21">
      <c r="A533" s="5"/>
      <c r="B533" s="6"/>
      <c r="C533" s="6"/>
      <c r="D533" s="6"/>
      <c r="E533" s="6"/>
      <c r="F533" s="6"/>
      <c r="G533" s="13"/>
      <c r="H533" s="6"/>
      <c r="I533" s="13"/>
      <c r="J533" s="6"/>
      <c r="K533" s="6"/>
      <c r="L533" s="6"/>
      <c r="M533" s="6"/>
      <c r="N533" s="6"/>
      <c r="O533" s="6"/>
      <c r="P533" s="13"/>
      <c r="Q533" s="13"/>
      <c r="R533" s="16"/>
      <c r="S533" s="16"/>
      <c r="T533" s="6"/>
      <c r="U533" s="10"/>
    </row>
    <row r="534" spans="1:21">
      <c r="A534" s="5"/>
      <c r="B534" s="6"/>
      <c r="C534" s="6"/>
      <c r="D534" s="6"/>
      <c r="E534" s="6"/>
      <c r="F534" s="6"/>
      <c r="G534" s="13"/>
      <c r="H534" s="6"/>
      <c r="I534" s="13"/>
      <c r="J534" s="6"/>
      <c r="K534" s="6"/>
      <c r="L534" s="6"/>
      <c r="M534" s="6"/>
      <c r="N534" s="6"/>
      <c r="O534" s="6"/>
      <c r="P534" s="13"/>
      <c r="Q534" s="13"/>
      <c r="R534" s="16"/>
      <c r="S534" s="16"/>
      <c r="T534" s="6"/>
      <c r="U534" s="10"/>
    </row>
    <row r="535" spans="1:21">
      <c r="A535" s="5"/>
      <c r="B535" s="6"/>
      <c r="C535" s="6"/>
      <c r="D535" s="6"/>
      <c r="E535" s="6"/>
      <c r="F535" s="6"/>
      <c r="G535" s="13"/>
      <c r="H535" s="6"/>
      <c r="I535" s="13"/>
      <c r="J535" s="6"/>
      <c r="K535" s="6"/>
      <c r="L535" s="6"/>
      <c r="M535" s="6"/>
      <c r="N535" s="6"/>
      <c r="O535" s="6"/>
      <c r="P535" s="13"/>
      <c r="Q535" s="13"/>
      <c r="R535" s="16"/>
      <c r="S535" s="16"/>
      <c r="T535" s="6"/>
      <c r="U535" s="10"/>
    </row>
    <row r="536" spans="1:21">
      <c r="A536" s="5"/>
      <c r="B536" s="6"/>
      <c r="C536" s="6"/>
      <c r="D536" s="6"/>
      <c r="E536" s="6"/>
      <c r="F536" s="6"/>
      <c r="G536" s="13"/>
      <c r="H536" s="6"/>
      <c r="I536" s="13"/>
      <c r="J536" s="6"/>
      <c r="K536" s="6"/>
      <c r="L536" s="6"/>
      <c r="M536" s="6"/>
      <c r="N536" s="6"/>
      <c r="O536" s="6"/>
      <c r="P536" s="13"/>
      <c r="Q536" s="13"/>
      <c r="R536" s="16"/>
      <c r="S536" s="16"/>
      <c r="T536" s="6"/>
      <c r="U536" s="10"/>
    </row>
    <row r="537" spans="1:21">
      <c r="A537" s="5"/>
      <c r="B537" s="6"/>
      <c r="C537" s="6"/>
      <c r="D537" s="6"/>
      <c r="E537" s="6"/>
      <c r="F537" s="6"/>
      <c r="G537" s="13"/>
      <c r="H537" s="6"/>
      <c r="I537" s="13"/>
      <c r="J537" s="6"/>
      <c r="K537" s="6"/>
      <c r="L537" s="6"/>
      <c r="M537" s="6"/>
      <c r="N537" s="6"/>
      <c r="O537" s="6"/>
      <c r="P537" s="13"/>
      <c r="Q537" s="13"/>
      <c r="R537" s="16"/>
      <c r="S537" s="16"/>
      <c r="T537" s="6"/>
      <c r="U537" s="10"/>
    </row>
    <row r="538" spans="1:21">
      <c r="A538" s="5"/>
      <c r="B538" s="6"/>
      <c r="C538" s="6"/>
      <c r="D538" s="6"/>
      <c r="E538" s="6"/>
      <c r="F538" s="6"/>
      <c r="G538" s="13"/>
      <c r="H538" s="6"/>
      <c r="I538" s="13"/>
      <c r="J538" s="6"/>
      <c r="K538" s="6"/>
      <c r="L538" s="6"/>
      <c r="M538" s="6"/>
      <c r="N538" s="6"/>
      <c r="O538" s="6"/>
      <c r="P538" s="13"/>
      <c r="Q538" s="13"/>
      <c r="R538" s="16"/>
      <c r="S538" s="16"/>
      <c r="T538" s="6"/>
      <c r="U538" s="10"/>
    </row>
    <row r="539" spans="1:21">
      <c r="A539" s="5"/>
      <c r="B539" s="6"/>
      <c r="C539" s="6"/>
      <c r="D539" s="6"/>
      <c r="E539" s="6"/>
      <c r="F539" s="6"/>
      <c r="G539" s="13"/>
      <c r="H539" s="6"/>
      <c r="I539" s="13"/>
      <c r="J539" s="6"/>
      <c r="K539" s="6"/>
      <c r="L539" s="6"/>
      <c r="M539" s="6"/>
      <c r="N539" s="6"/>
      <c r="O539" s="6"/>
      <c r="P539" s="13"/>
      <c r="Q539" s="13"/>
      <c r="R539" s="16"/>
      <c r="S539" s="16"/>
      <c r="T539" s="6"/>
      <c r="U539" s="10"/>
    </row>
    <row r="540" spans="1:21">
      <c r="A540" s="5"/>
      <c r="B540" s="6"/>
      <c r="C540" s="6"/>
      <c r="D540" s="6"/>
      <c r="E540" s="6"/>
      <c r="F540" s="6"/>
      <c r="G540" s="13"/>
      <c r="H540" s="6"/>
      <c r="I540" s="13"/>
      <c r="J540" s="6"/>
      <c r="K540" s="6"/>
      <c r="L540" s="6"/>
      <c r="M540" s="6"/>
      <c r="N540" s="6"/>
      <c r="O540" s="6"/>
      <c r="P540" s="13"/>
      <c r="Q540" s="13"/>
      <c r="R540" s="16"/>
      <c r="S540" s="16"/>
      <c r="T540" s="6"/>
      <c r="U540" s="10"/>
    </row>
    <row r="541" spans="1:21">
      <c r="A541" s="5"/>
      <c r="B541" s="6"/>
      <c r="C541" s="6"/>
      <c r="D541" s="6"/>
      <c r="E541" s="6"/>
      <c r="F541" s="6"/>
      <c r="G541" s="13"/>
      <c r="H541" s="6"/>
      <c r="I541" s="13"/>
      <c r="J541" s="6"/>
      <c r="K541" s="6"/>
      <c r="L541" s="6"/>
      <c r="M541" s="6"/>
      <c r="N541" s="6"/>
      <c r="O541" s="6"/>
      <c r="P541" s="13"/>
      <c r="Q541" s="13"/>
      <c r="R541" s="16"/>
      <c r="S541" s="16"/>
      <c r="T541" s="6"/>
      <c r="U541" s="10"/>
    </row>
    <row r="542" spans="1:21">
      <c r="A542" s="5"/>
      <c r="B542" s="6"/>
      <c r="C542" s="6"/>
      <c r="D542" s="6"/>
      <c r="E542" s="6"/>
      <c r="F542" s="6"/>
      <c r="G542" s="13"/>
      <c r="H542" s="6"/>
      <c r="I542" s="13"/>
      <c r="J542" s="6"/>
      <c r="K542" s="6"/>
      <c r="L542" s="6"/>
      <c r="M542" s="6"/>
      <c r="N542" s="6"/>
      <c r="O542" s="6"/>
      <c r="P542" s="13"/>
      <c r="Q542" s="13"/>
      <c r="R542" s="16"/>
      <c r="S542" s="16"/>
      <c r="T542" s="6"/>
      <c r="U542" s="10"/>
    </row>
    <row r="543" spans="1:21">
      <c r="A543" s="5"/>
      <c r="B543" s="6"/>
      <c r="C543" s="6"/>
      <c r="D543" s="6"/>
      <c r="E543" s="6"/>
      <c r="F543" s="6"/>
      <c r="G543" s="13"/>
      <c r="H543" s="6"/>
      <c r="I543" s="13"/>
      <c r="J543" s="6"/>
      <c r="K543" s="6"/>
      <c r="L543" s="6"/>
      <c r="M543" s="6"/>
      <c r="N543" s="6"/>
      <c r="O543" s="6"/>
      <c r="P543" s="13"/>
      <c r="Q543" s="13"/>
      <c r="R543" s="16"/>
      <c r="S543" s="16"/>
      <c r="T543" s="6"/>
      <c r="U543" s="10"/>
    </row>
    <row r="544" spans="1:21">
      <c r="A544" s="5"/>
      <c r="B544" s="6"/>
      <c r="C544" s="6"/>
      <c r="D544" s="6"/>
      <c r="E544" s="6"/>
      <c r="F544" s="6"/>
      <c r="G544" s="13"/>
      <c r="H544" s="6"/>
      <c r="I544" s="13"/>
      <c r="J544" s="6"/>
      <c r="K544" s="6"/>
      <c r="L544" s="6"/>
      <c r="M544" s="6"/>
      <c r="N544" s="6"/>
      <c r="O544" s="6"/>
      <c r="P544" s="13"/>
      <c r="Q544" s="13"/>
      <c r="R544" s="16"/>
      <c r="S544" s="16"/>
      <c r="T544" s="6"/>
      <c r="U544" s="10"/>
    </row>
    <row r="545" spans="1:21">
      <c r="A545" s="5"/>
      <c r="B545" s="6"/>
      <c r="C545" s="6"/>
      <c r="D545" s="6"/>
      <c r="E545" s="6"/>
      <c r="F545" s="6"/>
      <c r="G545" s="13"/>
      <c r="H545" s="6"/>
      <c r="I545" s="13"/>
      <c r="J545" s="6"/>
      <c r="K545" s="6"/>
      <c r="L545" s="6"/>
      <c r="M545" s="6"/>
      <c r="N545" s="6"/>
      <c r="O545" s="6"/>
      <c r="P545" s="13"/>
      <c r="Q545" s="13"/>
      <c r="R545" s="16"/>
      <c r="S545" s="16"/>
      <c r="T545" s="6"/>
      <c r="U545" s="10"/>
    </row>
    <row r="546" spans="1:21">
      <c r="A546" s="5"/>
      <c r="B546" s="6"/>
      <c r="C546" s="6"/>
      <c r="D546" s="6"/>
      <c r="E546" s="6"/>
      <c r="F546" s="6"/>
      <c r="G546" s="13"/>
      <c r="H546" s="6"/>
      <c r="I546" s="13"/>
      <c r="J546" s="6"/>
      <c r="K546" s="6"/>
      <c r="L546" s="6"/>
      <c r="M546" s="6"/>
      <c r="N546" s="6"/>
      <c r="O546" s="6"/>
      <c r="P546" s="13"/>
      <c r="Q546" s="13"/>
      <c r="R546" s="16"/>
      <c r="S546" s="16"/>
      <c r="T546" s="6"/>
      <c r="U546" s="10"/>
    </row>
    <row r="547" spans="1:21">
      <c r="A547" s="5"/>
      <c r="B547" s="6"/>
      <c r="C547" s="6"/>
      <c r="D547" s="6"/>
      <c r="E547" s="6"/>
      <c r="F547" s="6"/>
      <c r="G547" s="13"/>
      <c r="H547" s="6"/>
      <c r="I547" s="13"/>
      <c r="J547" s="6"/>
      <c r="K547" s="6"/>
      <c r="L547" s="6"/>
      <c r="M547" s="6"/>
      <c r="N547" s="6"/>
      <c r="O547" s="6"/>
      <c r="P547" s="13"/>
      <c r="Q547" s="13"/>
      <c r="R547" s="16"/>
      <c r="S547" s="16"/>
      <c r="T547" s="6"/>
      <c r="U547" s="10"/>
    </row>
    <row r="548" spans="1:21">
      <c r="A548" s="5"/>
      <c r="B548" s="6"/>
      <c r="C548" s="6"/>
      <c r="D548" s="6"/>
      <c r="E548" s="6"/>
      <c r="F548" s="6"/>
      <c r="G548" s="13"/>
      <c r="H548" s="6"/>
      <c r="I548" s="13"/>
      <c r="J548" s="6"/>
      <c r="K548" s="6"/>
      <c r="L548" s="6"/>
      <c r="M548" s="6"/>
      <c r="N548" s="6"/>
      <c r="O548" s="6"/>
      <c r="P548" s="13"/>
      <c r="Q548" s="13"/>
      <c r="R548" s="16"/>
      <c r="S548" s="16"/>
      <c r="T548" s="6"/>
      <c r="U548" s="10"/>
    </row>
    <row r="549" spans="1:21">
      <c r="A549" s="5"/>
      <c r="B549" s="6"/>
      <c r="C549" s="6"/>
      <c r="D549" s="6"/>
      <c r="E549" s="6"/>
      <c r="F549" s="6"/>
      <c r="G549" s="13"/>
      <c r="H549" s="6"/>
      <c r="I549" s="13"/>
      <c r="J549" s="6"/>
      <c r="K549" s="6"/>
      <c r="L549" s="6"/>
      <c r="M549" s="6"/>
      <c r="N549" s="6"/>
      <c r="O549" s="6"/>
      <c r="P549" s="13"/>
      <c r="Q549" s="13"/>
      <c r="R549" s="16"/>
      <c r="S549" s="16"/>
      <c r="T549" s="6"/>
      <c r="U549" s="10"/>
    </row>
    <row r="550" spans="1:21">
      <c r="A550" s="5"/>
      <c r="B550" s="6"/>
      <c r="C550" s="6"/>
      <c r="D550" s="6"/>
      <c r="E550" s="6"/>
      <c r="F550" s="6"/>
      <c r="G550" s="13"/>
      <c r="H550" s="6"/>
      <c r="I550" s="13"/>
      <c r="J550" s="6"/>
      <c r="K550" s="6"/>
      <c r="L550" s="6"/>
      <c r="M550" s="6"/>
      <c r="N550" s="6"/>
      <c r="O550" s="6"/>
      <c r="P550" s="13"/>
      <c r="Q550" s="13"/>
      <c r="R550" s="16"/>
      <c r="S550" s="16"/>
      <c r="T550" s="6"/>
      <c r="U550" s="10"/>
    </row>
    <row r="551" spans="1:21">
      <c r="A551" s="5"/>
      <c r="B551" s="6"/>
      <c r="C551" s="6"/>
      <c r="D551" s="6"/>
      <c r="E551" s="6"/>
      <c r="F551" s="6"/>
      <c r="G551" s="13"/>
      <c r="H551" s="6"/>
      <c r="I551" s="13"/>
      <c r="J551" s="6"/>
      <c r="K551" s="6"/>
      <c r="L551" s="6"/>
      <c r="M551" s="6"/>
      <c r="N551" s="6"/>
      <c r="O551" s="6"/>
      <c r="P551" s="13"/>
      <c r="Q551" s="13"/>
      <c r="R551" s="16"/>
      <c r="S551" s="16"/>
      <c r="T551" s="6"/>
      <c r="U551" s="10"/>
    </row>
    <row r="552" spans="1:21">
      <c r="A552" s="5"/>
      <c r="B552" s="6"/>
      <c r="C552" s="6"/>
      <c r="D552" s="6"/>
      <c r="E552" s="6"/>
      <c r="F552" s="6"/>
      <c r="G552" s="13"/>
      <c r="H552" s="6"/>
      <c r="I552" s="13"/>
      <c r="J552" s="6"/>
      <c r="K552" s="6"/>
      <c r="L552" s="6"/>
      <c r="M552" s="6"/>
      <c r="N552" s="6"/>
      <c r="O552" s="6"/>
      <c r="P552" s="13"/>
      <c r="Q552" s="13"/>
      <c r="R552" s="16"/>
      <c r="S552" s="16"/>
      <c r="T552" s="6"/>
      <c r="U552" s="10"/>
    </row>
    <row r="553" spans="1:21">
      <c r="A553" s="5"/>
      <c r="B553" s="6"/>
      <c r="C553" s="6"/>
      <c r="D553" s="6"/>
      <c r="E553" s="6"/>
      <c r="F553" s="6"/>
      <c r="G553" s="13"/>
      <c r="H553" s="6"/>
      <c r="I553" s="13"/>
      <c r="J553" s="6"/>
      <c r="K553" s="6"/>
      <c r="L553" s="6"/>
      <c r="M553" s="6"/>
      <c r="N553" s="6"/>
      <c r="O553" s="6"/>
      <c r="P553" s="13"/>
      <c r="Q553" s="13"/>
      <c r="R553" s="16"/>
      <c r="S553" s="16"/>
      <c r="T553" s="6"/>
      <c r="U553" s="10"/>
    </row>
    <row r="554" spans="1:21">
      <c r="A554" s="5"/>
      <c r="B554" s="6"/>
      <c r="C554" s="6"/>
      <c r="D554" s="6"/>
      <c r="E554" s="6"/>
      <c r="F554" s="6"/>
      <c r="G554" s="13"/>
      <c r="H554" s="6"/>
      <c r="I554" s="13"/>
      <c r="J554" s="6"/>
      <c r="K554" s="6"/>
      <c r="L554" s="6"/>
      <c r="M554" s="6"/>
      <c r="N554" s="6"/>
      <c r="O554" s="6"/>
      <c r="P554" s="13"/>
      <c r="Q554" s="13"/>
      <c r="R554" s="16"/>
      <c r="S554" s="16"/>
      <c r="T554" s="6"/>
      <c r="U554" s="10"/>
    </row>
    <row r="555" spans="1:21">
      <c r="A555" s="5"/>
      <c r="B555" s="6"/>
      <c r="C555" s="6"/>
      <c r="D555" s="6"/>
      <c r="E555" s="6"/>
      <c r="F555" s="6"/>
      <c r="G555" s="13"/>
      <c r="H555" s="6"/>
      <c r="I555" s="13"/>
      <c r="J555" s="6"/>
      <c r="K555" s="6"/>
      <c r="L555" s="6"/>
      <c r="M555" s="6"/>
      <c r="N555" s="6"/>
      <c r="O555" s="6"/>
      <c r="P555" s="13"/>
      <c r="Q555" s="13"/>
      <c r="R555" s="16"/>
      <c r="S555" s="16"/>
      <c r="T555" s="6"/>
      <c r="U555" s="10"/>
    </row>
    <row r="556" spans="1:21">
      <c r="A556" s="5"/>
      <c r="B556" s="6"/>
      <c r="C556" s="6"/>
      <c r="D556" s="6"/>
      <c r="E556" s="6"/>
      <c r="F556" s="6"/>
      <c r="G556" s="13"/>
      <c r="H556" s="6"/>
      <c r="I556" s="13"/>
      <c r="J556" s="6"/>
      <c r="K556" s="6"/>
      <c r="L556" s="6"/>
      <c r="M556" s="6"/>
      <c r="N556" s="6"/>
      <c r="O556" s="6"/>
      <c r="P556" s="13"/>
      <c r="Q556" s="13"/>
      <c r="R556" s="16"/>
      <c r="S556" s="16"/>
      <c r="T556" s="6"/>
      <c r="U556" s="10"/>
    </row>
    <row r="557" spans="1:21">
      <c r="A557" s="5"/>
      <c r="B557" s="6"/>
      <c r="C557" s="6"/>
      <c r="D557" s="6"/>
      <c r="E557" s="6"/>
      <c r="F557" s="6"/>
      <c r="G557" s="13"/>
      <c r="H557" s="6"/>
      <c r="I557" s="13"/>
      <c r="J557" s="6"/>
      <c r="K557" s="6"/>
      <c r="L557" s="6"/>
      <c r="M557" s="6"/>
      <c r="N557" s="6"/>
      <c r="O557" s="6"/>
      <c r="P557" s="13"/>
      <c r="Q557" s="13"/>
      <c r="R557" s="16"/>
      <c r="S557" s="16"/>
      <c r="T557" s="6"/>
      <c r="U557" s="10"/>
    </row>
    <row r="558" spans="1:21">
      <c r="A558" s="5"/>
      <c r="B558" s="6"/>
      <c r="C558" s="6"/>
      <c r="D558" s="6"/>
      <c r="E558" s="6"/>
      <c r="F558" s="6"/>
      <c r="G558" s="13"/>
      <c r="H558" s="6"/>
      <c r="I558" s="13"/>
      <c r="J558" s="6"/>
      <c r="K558" s="6"/>
      <c r="L558" s="6"/>
      <c r="M558" s="6"/>
      <c r="N558" s="6"/>
      <c r="O558" s="6"/>
      <c r="P558" s="13"/>
      <c r="Q558" s="13"/>
      <c r="R558" s="16"/>
      <c r="S558" s="16"/>
      <c r="T558" s="6"/>
      <c r="U558" s="10"/>
    </row>
    <row r="559" spans="1:21">
      <c r="A559" s="5"/>
      <c r="B559" s="6"/>
      <c r="C559" s="6"/>
      <c r="D559" s="6"/>
      <c r="E559" s="6"/>
      <c r="F559" s="6"/>
      <c r="G559" s="13"/>
      <c r="H559" s="6"/>
      <c r="I559" s="13"/>
      <c r="J559" s="6"/>
      <c r="K559" s="6"/>
      <c r="L559" s="6"/>
      <c r="M559" s="6"/>
      <c r="N559" s="6"/>
      <c r="O559" s="6"/>
      <c r="P559" s="13"/>
      <c r="Q559" s="13"/>
      <c r="R559" s="16"/>
      <c r="S559" s="16"/>
      <c r="T559" s="6"/>
      <c r="U559" s="10"/>
    </row>
    <row r="560" spans="1:21">
      <c r="A560" s="5"/>
      <c r="B560" s="6"/>
      <c r="C560" s="6"/>
      <c r="D560" s="6"/>
      <c r="E560" s="6"/>
      <c r="F560" s="6"/>
      <c r="G560" s="13"/>
      <c r="H560" s="6"/>
      <c r="I560" s="13"/>
      <c r="J560" s="6"/>
      <c r="K560" s="6"/>
      <c r="L560" s="6"/>
      <c r="M560" s="6"/>
      <c r="N560" s="6"/>
      <c r="O560" s="6"/>
      <c r="P560" s="13"/>
      <c r="Q560" s="13"/>
      <c r="R560" s="16"/>
      <c r="S560" s="16"/>
      <c r="T560" s="6"/>
      <c r="U560" s="10"/>
    </row>
    <row r="561" spans="1:21">
      <c r="A561" s="5"/>
      <c r="B561" s="6"/>
      <c r="C561" s="6"/>
      <c r="D561" s="6"/>
      <c r="E561" s="6"/>
      <c r="F561" s="6"/>
      <c r="G561" s="13"/>
      <c r="H561" s="6"/>
      <c r="I561" s="13"/>
      <c r="J561" s="6"/>
      <c r="K561" s="6"/>
      <c r="L561" s="6"/>
      <c r="M561" s="6"/>
      <c r="N561" s="6"/>
      <c r="O561" s="6"/>
      <c r="P561" s="13"/>
      <c r="Q561" s="13"/>
      <c r="R561" s="16"/>
      <c r="S561" s="16"/>
      <c r="T561" s="6"/>
      <c r="U561" s="10"/>
    </row>
    <row r="562" spans="1:21">
      <c r="A562" s="5"/>
      <c r="B562" s="6"/>
      <c r="C562" s="6"/>
      <c r="D562" s="6"/>
      <c r="E562" s="6"/>
      <c r="F562" s="6"/>
      <c r="G562" s="13"/>
      <c r="H562" s="6"/>
      <c r="I562" s="13"/>
      <c r="J562" s="6"/>
      <c r="K562" s="6"/>
      <c r="L562" s="6"/>
      <c r="M562" s="6"/>
      <c r="N562" s="6"/>
      <c r="O562" s="6"/>
      <c r="P562" s="13"/>
      <c r="Q562" s="13"/>
      <c r="R562" s="16"/>
      <c r="S562" s="16"/>
      <c r="T562" s="6"/>
      <c r="U562" s="10"/>
    </row>
    <row r="563" spans="1:21">
      <c r="A563" s="5"/>
      <c r="B563" s="6"/>
      <c r="C563" s="6"/>
      <c r="D563" s="6"/>
      <c r="E563" s="6"/>
      <c r="F563" s="6"/>
      <c r="G563" s="13"/>
      <c r="H563" s="6"/>
      <c r="I563" s="13"/>
      <c r="J563" s="6"/>
      <c r="K563" s="6"/>
      <c r="L563" s="6"/>
      <c r="M563" s="6"/>
      <c r="N563" s="6"/>
      <c r="O563" s="6"/>
      <c r="P563" s="13"/>
      <c r="Q563" s="13"/>
      <c r="R563" s="16"/>
      <c r="S563" s="16"/>
      <c r="T563" s="6"/>
      <c r="U563" s="10"/>
    </row>
    <row r="564" spans="1:21">
      <c r="A564" s="5"/>
      <c r="B564" s="6"/>
      <c r="C564" s="6"/>
      <c r="D564" s="6"/>
      <c r="E564" s="6"/>
      <c r="F564" s="6"/>
      <c r="G564" s="13"/>
      <c r="H564" s="6"/>
      <c r="I564" s="13"/>
      <c r="J564" s="6"/>
      <c r="K564" s="6"/>
      <c r="L564" s="6"/>
      <c r="M564" s="6"/>
      <c r="N564" s="6"/>
      <c r="O564" s="6"/>
      <c r="P564" s="13"/>
      <c r="Q564" s="13"/>
      <c r="R564" s="16"/>
      <c r="S564" s="16"/>
      <c r="T564" s="6"/>
      <c r="U564" s="10"/>
    </row>
    <row r="565" spans="1:21">
      <c r="A565" s="5"/>
      <c r="B565" s="6"/>
      <c r="C565" s="6"/>
      <c r="D565" s="6"/>
      <c r="E565" s="6"/>
      <c r="F565" s="6"/>
      <c r="G565" s="13"/>
      <c r="H565" s="6"/>
      <c r="I565" s="13"/>
      <c r="J565" s="6"/>
      <c r="K565" s="6"/>
      <c r="L565" s="6"/>
      <c r="M565" s="6"/>
      <c r="N565" s="6"/>
      <c r="O565" s="6"/>
      <c r="P565" s="13"/>
      <c r="Q565" s="13"/>
      <c r="R565" s="16"/>
      <c r="S565" s="16"/>
      <c r="T565" s="6"/>
      <c r="U565" s="10"/>
    </row>
    <row r="566" spans="1:21">
      <c r="A566" s="5"/>
      <c r="B566" s="6"/>
      <c r="C566" s="6"/>
      <c r="D566" s="6"/>
      <c r="E566" s="6"/>
      <c r="F566" s="6"/>
      <c r="G566" s="13"/>
      <c r="H566" s="6"/>
      <c r="I566" s="13"/>
      <c r="J566" s="6"/>
      <c r="K566" s="6"/>
      <c r="L566" s="6"/>
      <c r="M566" s="6"/>
      <c r="N566" s="6"/>
      <c r="O566" s="6"/>
      <c r="P566" s="13"/>
      <c r="Q566" s="13"/>
      <c r="R566" s="16"/>
      <c r="S566" s="16"/>
      <c r="T566" s="6"/>
      <c r="U566" s="10"/>
    </row>
    <row r="567" spans="1:21">
      <c r="A567" s="5"/>
      <c r="B567" s="6"/>
      <c r="C567" s="6"/>
      <c r="D567" s="6"/>
      <c r="E567" s="6"/>
      <c r="F567" s="6"/>
      <c r="G567" s="13"/>
      <c r="H567" s="6"/>
      <c r="I567" s="13"/>
      <c r="J567" s="6"/>
      <c r="K567" s="6"/>
      <c r="L567" s="6"/>
      <c r="M567" s="6"/>
      <c r="N567" s="6"/>
      <c r="O567" s="6"/>
      <c r="P567" s="13"/>
      <c r="Q567" s="13"/>
      <c r="R567" s="16"/>
      <c r="S567" s="16"/>
      <c r="T567" s="6"/>
      <c r="U567" s="10"/>
    </row>
    <row r="568" spans="1:21">
      <c r="A568" s="5"/>
      <c r="B568" s="6"/>
      <c r="C568" s="6"/>
      <c r="D568" s="6"/>
      <c r="E568" s="6"/>
      <c r="F568" s="6"/>
      <c r="G568" s="13"/>
      <c r="H568" s="6"/>
      <c r="I568" s="13"/>
      <c r="J568" s="6"/>
      <c r="K568" s="6"/>
      <c r="L568" s="6"/>
      <c r="M568" s="6"/>
      <c r="N568" s="6"/>
      <c r="O568" s="6"/>
      <c r="P568" s="13"/>
      <c r="Q568" s="13"/>
      <c r="R568" s="16"/>
      <c r="S568" s="16"/>
      <c r="T568" s="6"/>
      <c r="U568" s="10"/>
    </row>
    <row r="569" spans="1:21">
      <c r="A569" s="5"/>
      <c r="B569" s="6"/>
      <c r="C569" s="6"/>
      <c r="D569" s="6"/>
      <c r="E569" s="6"/>
      <c r="F569" s="6"/>
      <c r="G569" s="13"/>
      <c r="H569" s="6"/>
      <c r="I569" s="13"/>
      <c r="J569" s="6"/>
      <c r="K569" s="6"/>
      <c r="L569" s="6"/>
      <c r="M569" s="6"/>
      <c r="N569" s="6"/>
      <c r="O569" s="6"/>
      <c r="P569" s="13"/>
      <c r="Q569" s="13"/>
      <c r="R569" s="16"/>
      <c r="S569" s="16"/>
      <c r="T569" s="6"/>
      <c r="U569" s="10"/>
    </row>
    <row r="570" spans="1:21">
      <c r="A570" s="5"/>
      <c r="B570" s="6"/>
      <c r="C570" s="6"/>
      <c r="D570" s="6"/>
      <c r="E570" s="6"/>
      <c r="F570" s="6"/>
      <c r="G570" s="13"/>
      <c r="H570" s="6"/>
      <c r="I570" s="13"/>
      <c r="J570" s="6"/>
      <c r="K570" s="6"/>
      <c r="L570" s="6"/>
      <c r="M570" s="6"/>
      <c r="N570" s="6"/>
      <c r="O570" s="6"/>
      <c r="P570" s="13"/>
      <c r="Q570" s="13"/>
      <c r="R570" s="16"/>
      <c r="S570" s="16"/>
      <c r="T570" s="6"/>
      <c r="U570" s="10"/>
    </row>
    <row r="571" spans="1:21">
      <c r="A571" s="5"/>
      <c r="B571" s="6"/>
      <c r="C571" s="6"/>
      <c r="D571" s="6"/>
      <c r="E571" s="6"/>
      <c r="F571" s="6"/>
      <c r="G571" s="13"/>
      <c r="H571" s="6"/>
      <c r="I571" s="13"/>
      <c r="J571" s="6"/>
      <c r="K571" s="6"/>
      <c r="L571" s="6"/>
      <c r="M571" s="6"/>
      <c r="N571" s="6"/>
      <c r="O571" s="6"/>
      <c r="P571" s="13"/>
      <c r="Q571" s="13"/>
      <c r="R571" s="16"/>
      <c r="S571" s="16"/>
      <c r="T571" s="6"/>
      <c r="U571" s="10"/>
    </row>
    <row r="572" spans="1:21">
      <c r="A572" s="5"/>
      <c r="B572" s="6"/>
      <c r="C572" s="6"/>
      <c r="D572" s="6"/>
      <c r="E572" s="6"/>
      <c r="F572" s="6"/>
      <c r="G572" s="13"/>
      <c r="H572" s="6"/>
      <c r="I572" s="13"/>
      <c r="J572" s="6"/>
      <c r="K572" s="6"/>
      <c r="L572" s="6"/>
      <c r="M572" s="6"/>
      <c r="N572" s="6"/>
      <c r="O572" s="6"/>
      <c r="P572" s="13"/>
      <c r="Q572" s="13"/>
      <c r="R572" s="16"/>
      <c r="S572" s="16"/>
      <c r="T572" s="6"/>
      <c r="U572" s="10"/>
    </row>
    <row r="573" spans="1:21">
      <c r="A573" s="5"/>
      <c r="B573" s="6"/>
      <c r="C573" s="6"/>
      <c r="D573" s="6"/>
      <c r="E573" s="6"/>
      <c r="F573" s="6"/>
      <c r="G573" s="13"/>
      <c r="H573" s="6"/>
      <c r="I573" s="13"/>
      <c r="J573" s="6"/>
      <c r="K573" s="6"/>
      <c r="L573" s="6"/>
      <c r="M573" s="6"/>
      <c r="N573" s="6"/>
      <c r="O573" s="6"/>
      <c r="P573" s="13"/>
      <c r="Q573" s="13"/>
      <c r="R573" s="16"/>
      <c r="S573" s="16"/>
      <c r="T573" s="6"/>
      <c r="U573" s="10"/>
    </row>
    <row r="574" spans="1:21">
      <c r="A574" s="5"/>
      <c r="B574" s="6"/>
      <c r="C574" s="6"/>
      <c r="D574" s="6"/>
      <c r="E574" s="6"/>
      <c r="F574" s="6"/>
      <c r="G574" s="13"/>
      <c r="H574" s="6"/>
      <c r="I574" s="13"/>
      <c r="J574" s="6"/>
      <c r="K574" s="6"/>
      <c r="L574" s="6"/>
      <c r="M574" s="6"/>
      <c r="N574" s="6"/>
      <c r="O574" s="6"/>
      <c r="P574" s="13"/>
      <c r="Q574" s="13"/>
      <c r="R574" s="16"/>
      <c r="S574" s="16"/>
      <c r="T574" s="6"/>
      <c r="U574" s="10"/>
    </row>
    <row r="575" spans="1:21">
      <c r="A575" s="5"/>
      <c r="B575" s="6"/>
      <c r="C575" s="6"/>
      <c r="D575" s="6"/>
      <c r="E575" s="6"/>
      <c r="F575" s="6"/>
      <c r="G575" s="13"/>
      <c r="H575" s="6"/>
      <c r="I575" s="13"/>
      <c r="J575" s="6"/>
      <c r="K575" s="6"/>
      <c r="L575" s="6"/>
      <c r="M575" s="6"/>
      <c r="N575" s="6"/>
      <c r="O575" s="6"/>
      <c r="P575" s="13"/>
      <c r="Q575" s="13"/>
      <c r="R575" s="16"/>
      <c r="S575" s="16"/>
      <c r="T575" s="6"/>
      <c r="U575" s="10"/>
    </row>
    <row r="576" spans="1:21">
      <c r="A576" s="5"/>
      <c r="B576" s="6"/>
      <c r="C576" s="6"/>
      <c r="D576" s="6"/>
      <c r="E576" s="6"/>
      <c r="F576" s="6"/>
      <c r="G576" s="13"/>
      <c r="H576" s="6"/>
      <c r="I576" s="13"/>
      <c r="J576" s="6"/>
      <c r="K576" s="6"/>
      <c r="L576" s="6"/>
      <c r="M576" s="6"/>
      <c r="N576" s="6"/>
      <c r="O576" s="6"/>
      <c r="P576" s="13"/>
      <c r="Q576" s="13"/>
      <c r="R576" s="16"/>
      <c r="S576" s="16"/>
      <c r="T576" s="6"/>
      <c r="U576" s="10"/>
    </row>
    <row r="577" spans="1:21">
      <c r="A577" s="5"/>
      <c r="B577" s="6"/>
      <c r="C577" s="6"/>
      <c r="D577" s="6"/>
      <c r="E577" s="6"/>
      <c r="F577" s="6"/>
      <c r="G577" s="13"/>
      <c r="H577" s="6"/>
      <c r="I577" s="13"/>
      <c r="J577" s="6"/>
      <c r="K577" s="6"/>
      <c r="L577" s="6"/>
      <c r="M577" s="6"/>
      <c r="N577" s="6"/>
      <c r="O577" s="6"/>
      <c r="P577" s="13"/>
      <c r="Q577" s="13"/>
      <c r="R577" s="16"/>
      <c r="S577" s="16"/>
      <c r="T577" s="6"/>
      <c r="U577" s="10"/>
    </row>
    <row r="578" spans="1:21">
      <c r="A578" s="5"/>
      <c r="B578" s="6"/>
      <c r="C578" s="6"/>
      <c r="D578" s="6"/>
      <c r="E578" s="6"/>
      <c r="F578" s="6"/>
      <c r="G578" s="13"/>
      <c r="H578" s="6"/>
      <c r="I578" s="13"/>
      <c r="J578" s="6"/>
      <c r="K578" s="6"/>
      <c r="L578" s="6"/>
      <c r="M578" s="6"/>
      <c r="N578" s="6"/>
      <c r="O578" s="6"/>
      <c r="P578" s="13"/>
      <c r="Q578" s="13"/>
      <c r="R578" s="16"/>
      <c r="S578" s="16"/>
      <c r="T578" s="6"/>
      <c r="U578" s="10"/>
    </row>
    <row r="579" spans="1:21">
      <c r="A579" s="5"/>
      <c r="B579" s="6"/>
      <c r="C579" s="6"/>
      <c r="D579" s="6"/>
      <c r="E579" s="6"/>
      <c r="F579" s="6"/>
      <c r="G579" s="13"/>
      <c r="H579" s="6"/>
      <c r="I579" s="13"/>
      <c r="J579" s="6"/>
      <c r="K579" s="6"/>
      <c r="L579" s="6"/>
      <c r="M579" s="6"/>
      <c r="N579" s="6"/>
      <c r="O579" s="6"/>
      <c r="P579" s="13"/>
      <c r="Q579" s="13"/>
      <c r="R579" s="16"/>
      <c r="S579" s="16"/>
      <c r="T579" s="6"/>
      <c r="U579" s="10"/>
    </row>
    <row r="580" spans="1:21">
      <c r="A580" s="5"/>
      <c r="B580" s="6"/>
      <c r="C580" s="6"/>
      <c r="D580" s="6"/>
      <c r="E580" s="6"/>
      <c r="F580" s="6"/>
      <c r="G580" s="13"/>
      <c r="H580" s="6"/>
      <c r="I580" s="13"/>
      <c r="J580" s="6"/>
      <c r="K580" s="6"/>
      <c r="L580" s="6"/>
      <c r="M580" s="6"/>
      <c r="N580" s="6"/>
      <c r="O580" s="6"/>
      <c r="P580" s="13"/>
      <c r="Q580" s="13"/>
      <c r="R580" s="16"/>
      <c r="S580" s="16"/>
      <c r="T580" s="6"/>
      <c r="U580" s="10"/>
    </row>
    <row r="581" spans="1:21">
      <c r="A581" s="5"/>
      <c r="B581" s="6"/>
      <c r="C581" s="6"/>
      <c r="D581" s="6"/>
      <c r="E581" s="6"/>
      <c r="F581" s="6"/>
      <c r="G581" s="13"/>
      <c r="H581" s="6"/>
      <c r="I581" s="13"/>
      <c r="J581" s="6"/>
      <c r="K581" s="6"/>
      <c r="L581" s="6"/>
      <c r="M581" s="6"/>
      <c r="N581" s="6"/>
      <c r="O581" s="6"/>
      <c r="P581" s="13"/>
      <c r="Q581" s="13"/>
      <c r="R581" s="16"/>
      <c r="S581" s="16"/>
      <c r="T581" s="6"/>
      <c r="U581" s="10"/>
    </row>
    <row r="582" spans="1:21">
      <c r="A582" s="5"/>
      <c r="B582" s="6"/>
      <c r="C582" s="6"/>
      <c r="D582" s="6"/>
      <c r="E582" s="6"/>
      <c r="F582" s="6"/>
      <c r="G582" s="13"/>
      <c r="H582" s="6"/>
      <c r="I582" s="13"/>
      <c r="J582" s="6"/>
      <c r="K582" s="6"/>
      <c r="L582" s="6"/>
      <c r="M582" s="6"/>
      <c r="N582" s="6"/>
      <c r="O582" s="6"/>
      <c r="P582" s="13"/>
      <c r="Q582" s="13"/>
      <c r="R582" s="16"/>
      <c r="S582" s="16"/>
      <c r="T582" s="6"/>
      <c r="U582" s="10"/>
    </row>
    <row r="583" spans="1:21">
      <c r="A583" s="5"/>
      <c r="B583" s="6"/>
      <c r="C583" s="6"/>
      <c r="D583" s="6"/>
      <c r="E583" s="6"/>
      <c r="F583" s="6"/>
      <c r="G583" s="13"/>
      <c r="H583" s="6"/>
      <c r="I583" s="13"/>
      <c r="J583" s="6"/>
      <c r="K583" s="6"/>
      <c r="L583" s="6"/>
      <c r="M583" s="6"/>
      <c r="N583" s="6"/>
      <c r="O583" s="6"/>
      <c r="P583" s="13"/>
      <c r="Q583" s="13"/>
      <c r="R583" s="16"/>
      <c r="S583" s="16"/>
      <c r="T583" s="6"/>
      <c r="U583" s="10"/>
    </row>
    <row r="584" spans="1:21">
      <c r="A584" s="5"/>
      <c r="B584" s="6"/>
      <c r="C584" s="6"/>
      <c r="D584" s="6"/>
      <c r="E584" s="6"/>
      <c r="F584" s="6"/>
      <c r="G584" s="13"/>
      <c r="H584" s="6"/>
      <c r="I584" s="13"/>
      <c r="J584" s="6"/>
      <c r="K584" s="6"/>
      <c r="L584" s="6"/>
      <c r="M584" s="6"/>
      <c r="N584" s="6"/>
      <c r="O584" s="6"/>
      <c r="P584" s="13"/>
      <c r="Q584" s="13"/>
      <c r="R584" s="16"/>
      <c r="S584" s="16"/>
      <c r="T584" s="6"/>
      <c r="U584" s="10"/>
    </row>
    <row r="585" spans="1:21">
      <c r="A585" s="5"/>
      <c r="B585" s="6"/>
      <c r="C585" s="6"/>
      <c r="D585" s="6"/>
      <c r="E585" s="6"/>
      <c r="F585" s="6"/>
      <c r="G585" s="13"/>
      <c r="H585" s="6"/>
      <c r="I585" s="13"/>
      <c r="J585" s="6"/>
      <c r="K585" s="6"/>
      <c r="L585" s="6"/>
      <c r="M585" s="6"/>
      <c r="N585" s="6"/>
      <c r="O585" s="6"/>
      <c r="P585" s="13"/>
      <c r="Q585" s="13"/>
      <c r="R585" s="16"/>
      <c r="S585" s="16"/>
      <c r="T585" s="6"/>
      <c r="U585" s="10"/>
    </row>
    <row r="586" spans="1:21">
      <c r="A586" s="5"/>
      <c r="B586" s="6"/>
      <c r="C586" s="6"/>
      <c r="D586" s="6"/>
      <c r="E586" s="6"/>
      <c r="F586" s="6"/>
      <c r="G586" s="13"/>
      <c r="H586" s="6"/>
      <c r="I586" s="13"/>
      <c r="J586" s="6"/>
      <c r="K586" s="6"/>
      <c r="L586" s="6"/>
      <c r="M586" s="6"/>
      <c r="N586" s="6"/>
      <c r="O586" s="6"/>
      <c r="P586" s="13"/>
      <c r="Q586" s="13"/>
      <c r="R586" s="16"/>
      <c r="S586" s="16"/>
      <c r="T586" s="6"/>
      <c r="U586" s="10"/>
    </row>
    <row r="587" spans="1:21">
      <c r="A587" s="5"/>
      <c r="B587" s="6"/>
      <c r="C587" s="6"/>
      <c r="D587" s="6"/>
      <c r="E587" s="6"/>
      <c r="F587" s="6"/>
      <c r="G587" s="13"/>
      <c r="H587" s="6"/>
      <c r="I587" s="13"/>
      <c r="J587" s="6"/>
      <c r="K587" s="6"/>
      <c r="L587" s="6"/>
      <c r="M587" s="6"/>
      <c r="N587" s="6"/>
      <c r="O587" s="6"/>
      <c r="P587" s="13"/>
      <c r="Q587" s="13"/>
      <c r="R587" s="16"/>
      <c r="S587" s="16"/>
      <c r="T587" s="6"/>
      <c r="U587" s="10"/>
    </row>
    <row r="588" spans="1:21">
      <c r="A588" s="5"/>
      <c r="B588" s="6"/>
      <c r="C588" s="6"/>
      <c r="D588" s="6"/>
      <c r="E588" s="6"/>
      <c r="F588" s="6"/>
      <c r="G588" s="13"/>
      <c r="H588" s="6"/>
      <c r="I588" s="13"/>
      <c r="J588" s="6"/>
      <c r="K588" s="6"/>
      <c r="L588" s="6"/>
      <c r="M588" s="6"/>
      <c r="N588" s="6"/>
      <c r="O588" s="6"/>
      <c r="P588" s="13"/>
      <c r="Q588" s="13"/>
      <c r="R588" s="16"/>
      <c r="S588" s="16"/>
      <c r="T588" s="6"/>
      <c r="U588" s="10"/>
    </row>
    <row r="589" spans="1:21">
      <c r="A589" s="5"/>
      <c r="B589" s="6"/>
      <c r="C589" s="6"/>
      <c r="D589" s="6"/>
      <c r="E589" s="6"/>
      <c r="F589" s="6"/>
      <c r="G589" s="13"/>
      <c r="H589" s="6"/>
      <c r="I589" s="13"/>
      <c r="J589" s="6"/>
      <c r="K589" s="6"/>
      <c r="L589" s="6"/>
      <c r="M589" s="6"/>
      <c r="N589" s="6"/>
      <c r="O589" s="6"/>
      <c r="P589" s="13"/>
      <c r="Q589" s="13"/>
      <c r="R589" s="16"/>
      <c r="S589" s="16"/>
      <c r="T589" s="6"/>
      <c r="U589" s="10"/>
    </row>
    <row r="590" spans="1:21">
      <c r="A590" s="5"/>
      <c r="B590" s="6"/>
      <c r="C590" s="6"/>
      <c r="D590" s="6"/>
      <c r="E590" s="6"/>
      <c r="F590" s="6"/>
      <c r="G590" s="13"/>
      <c r="H590" s="6"/>
      <c r="I590" s="13"/>
      <c r="J590" s="6"/>
      <c r="K590" s="6"/>
      <c r="L590" s="6"/>
      <c r="M590" s="6"/>
      <c r="N590" s="6"/>
      <c r="O590" s="6"/>
      <c r="P590" s="13"/>
      <c r="Q590" s="13"/>
      <c r="R590" s="16"/>
      <c r="S590" s="16"/>
      <c r="T590" s="6"/>
      <c r="U590" s="10"/>
    </row>
    <row r="591" spans="1:21">
      <c r="A591" s="5"/>
      <c r="B591" s="6"/>
      <c r="C591" s="6"/>
      <c r="D591" s="6"/>
      <c r="E591" s="6"/>
      <c r="F591" s="6"/>
      <c r="G591" s="13"/>
      <c r="H591" s="6"/>
      <c r="I591" s="13"/>
      <c r="J591" s="6"/>
      <c r="K591" s="6"/>
      <c r="L591" s="6"/>
      <c r="M591" s="6"/>
      <c r="N591" s="6"/>
      <c r="O591" s="6"/>
      <c r="P591" s="13"/>
      <c r="Q591" s="13"/>
      <c r="R591" s="16"/>
      <c r="S591" s="16"/>
      <c r="T591" s="6"/>
      <c r="U591" s="10"/>
    </row>
    <row r="592" spans="1:21">
      <c r="A592" s="5"/>
      <c r="B592" s="6"/>
      <c r="C592" s="6"/>
      <c r="D592" s="6"/>
      <c r="E592" s="6"/>
      <c r="F592" s="6"/>
      <c r="G592" s="13"/>
      <c r="H592" s="6"/>
      <c r="I592" s="13"/>
      <c r="J592" s="6"/>
      <c r="K592" s="6"/>
      <c r="L592" s="6"/>
      <c r="M592" s="6"/>
      <c r="N592" s="6"/>
      <c r="O592" s="6"/>
      <c r="P592" s="13"/>
      <c r="Q592" s="13"/>
      <c r="R592" s="16"/>
      <c r="S592" s="16"/>
      <c r="T592" s="6"/>
      <c r="U592" s="10"/>
    </row>
    <row r="593" spans="1:21">
      <c r="A593" s="5"/>
      <c r="B593" s="6"/>
      <c r="C593" s="6"/>
      <c r="D593" s="6"/>
      <c r="E593" s="6"/>
      <c r="F593" s="6"/>
      <c r="G593" s="13"/>
      <c r="H593" s="6"/>
      <c r="I593" s="13"/>
      <c r="J593" s="6"/>
      <c r="K593" s="6"/>
      <c r="L593" s="6"/>
      <c r="M593" s="6"/>
      <c r="N593" s="6"/>
      <c r="O593" s="6"/>
      <c r="P593" s="13"/>
      <c r="Q593" s="13"/>
      <c r="R593" s="16"/>
      <c r="S593" s="16"/>
      <c r="T593" s="6"/>
      <c r="U593" s="10"/>
    </row>
    <row r="594" spans="1:21">
      <c r="A594" s="5"/>
      <c r="B594" s="6"/>
      <c r="C594" s="6"/>
      <c r="D594" s="6"/>
      <c r="E594" s="6"/>
      <c r="F594" s="6"/>
      <c r="G594" s="13"/>
      <c r="H594" s="6"/>
      <c r="I594" s="13"/>
      <c r="J594" s="6"/>
      <c r="K594" s="6"/>
      <c r="L594" s="6"/>
      <c r="M594" s="6"/>
      <c r="N594" s="6"/>
      <c r="O594" s="6"/>
      <c r="P594" s="13"/>
      <c r="Q594" s="13"/>
      <c r="R594" s="16"/>
      <c r="S594" s="16"/>
      <c r="T594" s="6"/>
      <c r="U594" s="10"/>
    </row>
    <row r="595" spans="1:21">
      <c r="A595" s="5"/>
      <c r="B595" s="6"/>
      <c r="C595" s="6"/>
      <c r="D595" s="6"/>
      <c r="E595" s="6"/>
      <c r="F595" s="6"/>
      <c r="G595" s="13"/>
      <c r="H595" s="6"/>
      <c r="I595" s="13"/>
      <c r="J595" s="6"/>
      <c r="K595" s="6"/>
      <c r="L595" s="6"/>
      <c r="M595" s="6"/>
      <c r="N595" s="6"/>
      <c r="O595" s="6"/>
      <c r="P595" s="13"/>
      <c r="Q595" s="13"/>
      <c r="R595" s="16"/>
      <c r="S595" s="16"/>
      <c r="T595" s="6"/>
      <c r="U595" s="10"/>
    </row>
    <row r="596" spans="1:21">
      <c r="A596" s="5"/>
      <c r="B596" s="6"/>
      <c r="C596" s="6"/>
      <c r="D596" s="6"/>
      <c r="E596" s="6"/>
      <c r="F596" s="6"/>
      <c r="G596" s="13"/>
      <c r="H596" s="6"/>
      <c r="I596" s="13"/>
      <c r="J596" s="6"/>
      <c r="K596" s="6"/>
      <c r="L596" s="6"/>
      <c r="M596" s="6"/>
      <c r="N596" s="6"/>
      <c r="O596" s="6"/>
      <c r="P596" s="13"/>
      <c r="Q596" s="13"/>
      <c r="R596" s="16"/>
      <c r="S596" s="16"/>
      <c r="T596" s="6"/>
      <c r="U596" s="10"/>
    </row>
    <row r="597" spans="1:21">
      <c r="A597" s="5"/>
      <c r="B597" s="6"/>
      <c r="C597" s="6"/>
      <c r="D597" s="6"/>
      <c r="E597" s="6"/>
      <c r="F597" s="6"/>
      <c r="G597" s="13"/>
      <c r="H597" s="6"/>
      <c r="I597" s="13"/>
      <c r="J597" s="6"/>
      <c r="K597" s="6"/>
      <c r="L597" s="6"/>
      <c r="M597" s="6"/>
      <c r="N597" s="6"/>
      <c r="O597" s="6"/>
      <c r="P597" s="13"/>
      <c r="Q597" s="13"/>
      <c r="R597" s="16"/>
      <c r="S597" s="16"/>
      <c r="T597" s="6"/>
      <c r="U597" s="10"/>
    </row>
    <row r="598" spans="1:21">
      <c r="A598" s="5"/>
      <c r="B598" s="6"/>
      <c r="C598" s="6"/>
      <c r="D598" s="6"/>
      <c r="E598" s="6"/>
      <c r="F598" s="6"/>
      <c r="G598" s="13"/>
      <c r="H598" s="6"/>
      <c r="I598" s="13"/>
      <c r="J598" s="6"/>
      <c r="K598" s="6"/>
      <c r="L598" s="6"/>
      <c r="M598" s="6"/>
      <c r="N598" s="6"/>
      <c r="O598" s="6"/>
      <c r="P598" s="13"/>
      <c r="Q598" s="13"/>
      <c r="R598" s="16"/>
      <c r="S598" s="16"/>
      <c r="T598" s="6"/>
      <c r="U598" s="10"/>
    </row>
    <row r="599" spans="1:21">
      <c r="A599" s="5"/>
      <c r="B599" s="6"/>
      <c r="C599" s="6"/>
      <c r="D599" s="6"/>
      <c r="E599" s="6"/>
      <c r="F599" s="6"/>
      <c r="G599" s="13"/>
      <c r="H599" s="6"/>
      <c r="I599" s="13"/>
      <c r="J599" s="6"/>
      <c r="K599" s="6"/>
      <c r="L599" s="6"/>
      <c r="M599" s="6"/>
      <c r="N599" s="6"/>
      <c r="O599" s="6"/>
      <c r="P599" s="13"/>
      <c r="Q599" s="13"/>
      <c r="R599" s="16"/>
      <c r="S599" s="16"/>
      <c r="T599" s="6"/>
      <c r="U599" s="10"/>
    </row>
    <row r="600" spans="1:21">
      <c r="A600" s="5"/>
      <c r="B600" s="6"/>
      <c r="C600" s="6"/>
      <c r="D600" s="6"/>
      <c r="E600" s="6"/>
      <c r="F600" s="6"/>
      <c r="G600" s="13"/>
      <c r="H600" s="6"/>
      <c r="I600" s="13"/>
      <c r="J600" s="6"/>
      <c r="K600" s="6"/>
      <c r="L600" s="6"/>
      <c r="M600" s="6"/>
      <c r="N600" s="6"/>
      <c r="O600" s="6"/>
      <c r="P600" s="13"/>
      <c r="Q600" s="13"/>
      <c r="R600" s="16"/>
      <c r="S600" s="16"/>
      <c r="T600" s="6"/>
      <c r="U600" s="10"/>
    </row>
    <row r="601" spans="1:21">
      <c r="A601" s="5"/>
      <c r="B601" s="6"/>
      <c r="C601" s="6"/>
      <c r="D601" s="6"/>
      <c r="E601" s="6"/>
      <c r="F601" s="6"/>
      <c r="G601" s="13"/>
      <c r="H601" s="6"/>
      <c r="I601" s="13"/>
      <c r="J601" s="6"/>
      <c r="K601" s="6"/>
      <c r="L601" s="6"/>
      <c r="M601" s="6"/>
      <c r="N601" s="6"/>
      <c r="O601" s="6"/>
      <c r="P601" s="13"/>
      <c r="Q601" s="13"/>
      <c r="R601" s="16"/>
      <c r="S601" s="16"/>
      <c r="T601" s="6"/>
      <c r="U601" s="10"/>
    </row>
    <row r="602" spans="1:21">
      <c r="A602" s="5"/>
      <c r="B602" s="6"/>
      <c r="C602" s="6"/>
      <c r="D602" s="6"/>
      <c r="E602" s="6"/>
      <c r="F602" s="6"/>
      <c r="G602" s="13"/>
      <c r="H602" s="6"/>
      <c r="I602" s="13"/>
      <c r="J602" s="6"/>
      <c r="K602" s="6"/>
      <c r="L602" s="6"/>
      <c r="M602" s="6"/>
      <c r="N602" s="6"/>
      <c r="O602" s="6"/>
      <c r="P602" s="13"/>
      <c r="Q602" s="13"/>
      <c r="R602" s="16"/>
      <c r="S602" s="16"/>
      <c r="T602" s="6"/>
      <c r="U602" s="10"/>
    </row>
    <row r="603" spans="1:21">
      <c r="A603" s="5"/>
      <c r="B603" s="6"/>
      <c r="C603" s="6"/>
      <c r="D603" s="6"/>
      <c r="E603" s="6"/>
      <c r="F603" s="6"/>
      <c r="G603" s="13"/>
      <c r="H603" s="6"/>
      <c r="I603" s="13"/>
      <c r="J603" s="6"/>
      <c r="K603" s="6"/>
      <c r="L603" s="6"/>
      <c r="M603" s="6"/>
      <c r="N603" s="6"/>
      <c r="O603" s="6"/>
      <c r="P603" s="13"/>
      <c r="Q603" s="13"/>
      <c r="R603" s="16"/>
      <c r="S603" s="16"/>
      <c r="T603" s="6"/>
      <c r="U603" s="10"/>
    </row>
    <row r="604" spans="1:21">
      <c r="A604" s="5"/>
      <c r="B604" s="6"/>
      <c r="C604" s="6"/>
      <c r="D604" s="6"/>
      <c r="E604" s="6"/>
      <c r="F604" s="6"/>
      <c r="G604" s="13"/>
      <c r="H604" s="6"/>
      <c r="I604" s="13"/>
      <c r="J604" s="6"/>
      <c r="K604" s="6"/>
      <c r="L604" s="6"/>
      <c r="M604" s="6"/>
      <c r="N604" s="6"/>
      <c r="O604" s="6"/>
      <c r="P604" s="13"/>
      <c r="Q604" s="13"/>
      <c r="R604" s="16"/>
      <c r="S604" s="16"/>
      <c r="T604" s="6"/>
      <c r="U604" s="10"/>
    </row>
    <row r="605" spans="1:21">
      <c r="A605" s="5"/>
      <c r="B605" s="6"/>
      <c r="C605" s="6"/>
      <c r="D605" s="6"/>
      <c r="E605" s="6"/>
      <c r="F605" s="6"/>
      <c r="G605" s="13"/>
      <c r="H605" s="6"/>
      <c r="I605" s="13"/>
      <c r="J605" s="6"/>
      <c r="K605" s="6"/>
      <c r="L605" s="6"/>
      <c r="M605" s="6"/>
      <c r="N605" s="6"/>
      <c r="O605" s="6"/>
      <c r="P605" s="13"/>
      <c r="Q605" s="13"/>
      <c r="R605" s="16"/>
      <c r="S605" s="16"/>
      <c r="T605" s="6"/>
      <c r="U605" s="10"/>
    </row>
    <row r="606" spans="1:21">
      <c r="A606" s="5"/>
      <c r="B606" s="6"/>
      <c r="C606" s="6"/>
      <c r="D606" s="6"/>
      <c r="E606" s="6"/>
      <c r="F606" s="6"/>
      <c r="G606" s="13"/>
      <c r="H606" s="6"/>
      <c r="I606" s="13"/>
      <c r="J606" s="6"/>
      <c r="K606" s="6"/>
      <c r="L606" s="6"/>
      <c r="M606" s="6"/>
      <c r="N606" s="6"/>
      <c r="O606" s="6"/>
      <c r="P606" s="13"/>
      <c r="Q606" s="13"/>
      <c r="R606" s="16"/>
      <c r="S606" s="16"/>
      <c r="T606" s="6"/>
      <c r="U606" s="10"/>
    </row>
    <row r="607" spans="1:21">
      <c r="A607" s="5"/>
      <c r="B607" s="6"/>
      <c r="C607" s="6"/>
      <c r="D607" s="6"/>
      <c r="E607" s="6"/>
      <c r="F607" s="6"/>
      <c r="G607" s="13"/>
      <c r="H607" s="6"/>
      <c r="I607" s="13"/>
      <c r="J607" s="6"/>
      <c r="K607" s="6"/>
      <c r="L607" s="6"/>
      <c r="M607" s="6"/>
      <c r="N607" s="6"/>
      <c r="O607" s="6"/>
      <c r="P607" s="13"/>
      <c r="Q607" s="13"/>
      <c r="R607" s="16"/>
      <c r="S607" s="16"/>
      <c r="T607" s="6"/>
      <c r="U607" s="10"/>
    </row>
    <row r="608" spans="1:21">
      <c r="A608" s="5"/>
      <c r="B608" s="6"/>
      <c r="C608" s="6"/>
      <c r="D608" s="6"/>
      <c r="E608" s="6"/>
      <c r="F608" s="6"/>
      <c r="G608" s="13"/>
      <c r="H608" s="6"/>
      <c r="I608" s="13"/>
      <c r="J608" s="6"/>
      <c r="K608" s="6"/>
      <c r="L608" s="6"/>
      <c r="M608" s="6"/>
      <c r="N608" s="6"/>
      <c r="O608" s="6"/>
      <c r="P608" s="13"/>
      <c r="Q608" s="13"/>
      <c r="R608" s="16"/>
      <c r="S608" s="16"/>
      <c r="T608" s="6"/>
      <c r="U608" s="10"/>
    </row>
    <row r="609" spans="1:21">
      <c r="A609" s="5"/>
      <c r="B609" s="6"/>
      <c r="C609" s="6"/>
      <c r="D609" s="6"/>
      <c r="E609" s="6"/>
      <c r="F609" s="6"/>
      <c r="G609" s="13"/>
      <c r="H609" s="6"/>
      <c r="I609" s="13"/>
      <c r="J609" s="6"/>
      <c r="K609" s="6"/>
      <c r="L609" s="6"/>
      <c r="M609" s="6"/>
      <c r="N609" s="6"/>
      <c r="O609" s="6"/>
      <c r="P609" s="13"/>
      <c r="Q609" s="13"/>
      <c r="R609" s="16"/>
      <c r="S609" s="16"/>
      <c r="T609" s="6"/>
      <c r="U609" s="10"/>
    </row>
    <row r="610" spans="1:21">
      <c r="A610" s="5"/>
      <c r="B610" s="6"/>
      <c r="C610" s="6"/>
      <c r="D610" s="6"/>
      <c r="E610" s="6"/>
      <c r="F610" s="6"/>
      <c r="G610" s="13"/>
      <c r="H610" s="6"/>
      <c r="I610" s="13"/>
      <c r="J610" s="6"/>
      <c r="K610" s="6"/>
      <c r="L610" s="6"/>
      <c r="M610" s="6"/>
      <c r="N610" s="6"/>
      <c r="O610" s="6"/>
      <c r="P610" s="13"/>
      <c r="Q610" s="13"/>
      <c r="R610" s="16"/>
      <c r="S610" s="16"/>
      <c r="T610" s="6"/>
      <c r="U610" s="10"/>
    </row>
    <row r="611" spans="1:21">
      <c r="A611" s="5"/>
      <c r="B611" s="6"/>
      <c r="C611" s="6"/>
      <c r="D611" s="6"/>
      <c r="E611" s="6"/>
      <c r="F611" s="6"/>
      <c r="G611" s="13"/>
      <c r="H611" s="6"/>
      <c r="I611" s="13"/>
      <c r="J611" s="6"/>
      <c r="K611" s="6"/>
      <c r="L611" s="6"/>
      <c r="M611" s="6"/>
      <c r="N611" s="6"/>
      <c r="O611" s="6"/>
      <c r="P611" s="13"/>
      <c r="Q611" s="13"/>
      <c r="R611" s="16"/>
      <c r="S611" s="16"/>
      <c r="T611" s="6"/>
      <c r="U611" s="10"/>
    </row>
    <row r="612" spans="1:21">
      <c r="A612" s="5"/>
      <c r="B612" s="6"/>
      <c r="C612" s="6"/>
      <c r="D612" s="6"/>
      <c r="E612" s="6"/>
      <c r="F612" s="6"/>
      <c r="G612" s="13"/>
      <c r="H612" s="6"/>
      <c r="I612" s="13"/>
      <c r="J612" s="6"/>
      <c r="K612" s="6"/>
      <c r="L612" s="6"/>
      <c r="M612" s="6"/>
      <c r="N612" s="6"/>
      <c r="O612" s="6"/>
      <c r="P612" s="13"/>
      <c r="Q612" s="13"/>
      <c r="R612" s="16"/>
      <c r="S612" s="16"/>
      <c r="T612" s="6"/>
      <c r="U612" s="10"/>
    </row>
    <row r="613" spans="1:21">
      <c r="A613" s="5"/>
      <c r="B613" s="6"/>
      <c r="C613" s="6"/>
      <c r="D613" s="6"/>
      <c r="E613" s="6"/>
      <c r="F613" s="6"/>
      <c r="G613" s="13"/>
      <c r="H613" s="6"/>
      <c r="I613" s="13"/>
      <c r="J613" s="6"/>
      <c r="K613" s="6"/>
      <c r="L613" s="6"/>
      <c r="M613" s="6"/>
      <c r="N613" s="6"/>
      <c r="O613" s="6"/>
      <c r="P613" s="13"/>
      <c r="Q613" s="13"/>
      <c r="R613" s="16"/>
      <c r="S613" s="16"/>
      <c r="T613" s="6"/>
      <c r="U613" s="10"/>
    </row>
    <row r="614" spans="1:21">
      <c r="A614" s="5"/>
      <c r="B614" s="6"/>
      <c r="C614" s="6"/>
      <c r="D614" s="6"/>
      <c r="E614" s="6"/>
      <c r="F614" s="6"/>
      <c r="G614" s="13"/>
      <c r="H614" s="6"/>
      <c r="I614" s="13"/>
      <c r="J614" s="6"/>
      <c r="K614" s="6"/>
      <c r="L614" s="6"/>
      <c r="M614" s="6"/>
      <c r="N614" s="6"/>
      <c r="O614" s="6"/>
      <c r="P614" s="13"/>
      <c r="Q614" s="13"/>
      <c r="R614" s="16"/>
      <c r="S614" s="16"/>
      <c r="T614" s="6"/>
      <c r="U614" s="10"/>
    </row>
    <row r="615" spans="1:21">
      <c r="A615" s="5"/>
      <c r="B615" s="6"/>
      <c r="C615" s="6"/>
      <c r="D615" s="6"/>
      <c r="E615" s="6"/>
      <c r="F615" s="6"/>
      <c r="G615" s="13"/>
      <c r="H615" s="6"/>
      <c r="I615" s="13"/>
      <c r="J615" s="6"/>
      <c r="K615" s="6"/>
      <c r="L615" s="6"/>
      <c r="M615" s="6"/>
      <c r="N615" s="6"/>
      <c r="O615" s="6"/>
      <c r="P615" s="13"/>
      <c r="Q615" s="13"/>
      <c r="R615" s="16"/>
      <c r="S615" s="16"/>
      <c r="T615" s="6"/>
      <c r="U615" s="10"/>
    </row>
    <row r="616" spans="1:21">
      <c r="A616" s="5"/>
      <c r="B616" s="6"/>
      <c r="C616" s="6"/>
      <c r="D616" s="6"/>
      <c r="E616" s="6"/>
      <c r="F616" s="6"/>
      <c r="G616" s="13"/>
      <c r="H616" s="6"/>
      <c r="I616" s="13"/>
      <c r="J616" s="6"/>
      <c r="K616" s="6"/>
      <c r="L616" s="6"/>
      <c r="M616" s="6"/>
      <c r="N616" s="6"/>
      <c r="O616" s="6"/>
      <c r="P616" s="13"/>
      <c r="Q616" s="13"/>
      <c r="R616" s="16"/>
      <c r="S616" s="16"/>
      <c r="T616" s="6"/>
      <c r="U616" s="10"/>
    </row>
    <row r="617" spans="1:21">
      <c r="A617" s="5"/>
      <c r="B617" s="6"/>
      <c r="C617" s="6"/>
      <c r="D617" s="6"/>
      <c r="E617" s="6"/>
      <c r="F617" s="6"/>
      <c r="G617" s="13"/>
      <c r="H617" s="6"/>
      <c r="I617" s="13"/>
      <c r="J617" s="6"/>
      <c r="K617" s="6"/>
      <c r="L617" s="6"/>
      <c r="M617" s="6"/>
      <c r="N617" s="6"/>
      <c r="O617" s="6"/>
      <c r="P617" s="13"/>
      <c r="Q617" s="13"/>
      <c r="R617" s="16"/>
      <c r="S617" s="16"/>
      <c r="T617" s="6"/>
      <c r="U617" s="10"/>
    </row>
    <row r="618" spans="1:21">
      <c r="A618" s="5"/>
      <c r="B618" s="6"/>
      <c r="C618" s="6"/>
      <c r="D618" s="6"/>
      <c r="E618" s="6"/>
      <c r="F618" s="6"/>
      <c r="G618" s="13"/>
      <c r="H618" s="6"/>
      <c r="I618" s="13"/>
      <c r="J618" s="6"/>
      <c r="K618" s="6"/>
      <c r="L618" s="6"/>
      <c r="M618" s="6"/>
      <c r="N618" s="6"/>
      <c r="O618" s="6"/>
      <c r="P618" s="13"/>
      <c r="Q618" s="13"/>
      <c r="R618" s="16"/>
      <c r="S618" s="16"/>
      <c r="T618" s="6"/>
      <c r="U618" s="10"/>
    </row>
    <row r="619" spans="1:21">
      <c r="A619" s="5"/>
      <c r="B619" s="6"/>
      <c r="C619" s="6"/>
      <c r="D619" s="6"/>
      <c r="E619" s="6"/>
      <c r="F619" s="6"/>
      <c r="G619" s="13"/>
      <c r="H619" s="6"/>
      <c r="I619" s="13"/>
      <c r="J619" s="6"/>
      <c r="K619" s="6"/>
      <c r="L619" s="6"/>
      <c r="M619" s="6"/>
      <c r="N619" s="6"/>
      <c r="O619" s="6"/>
      <c r="P619" s="13"/>
      <c r="Q619" s="13"/>
      <c r="R619" s="16"/>
      <c r="S619" s="16"/>
      <c r="T619" s="6"/>
      <c r="U619" s="10"/>
    </row>
    <row r="620" spans="1:21">
      <c r="A620" s="5"/>
      <c r="B620" s="6"/>
      <c r="C620" s="6"/>
      <c r="D620" s="6"/>
      <c r="E620" s="6"/>
      <c r="F620" s="6"/>
      <c r="G620" s="13"/>
      <c r="H620" s="6"/>
      <c r="I620" s="13"/>
      <c r="J620" s="6"/>
      <c r="K620" s="6"/>
      <c r="L620" s="6"/>
      <c r="M620" s="6"/>
      <c r="N620" s="6"/>
      <c r="O620" s="6"/>
      <c r="P620" s="13"/>
      <c r="Q620" s="13"/>
      <c r="R620" s="16"/>
      <c r="S620" s="16"/>
      <c r="T620" s="6"/>
      <c r="U620" s="10"/>
    </row>
    <row r="621" spans="1:21">
      <c r="A621" s="5"/>
      <c r="B621" s="6"/>
      <c r="C621" s="6"/>
      <c r="D621" s="6"/>
      <c r="E621" s="6"/>
      <c r="F621" s="6"/>
      <c r="G621" s="13"/>
      <c r="H621" s="6"/>
      <c r="I621" s="13"/>
      <c r="J621" s="6"/>
      <c r="K621" s="6"/>
      <c r="L621" s="6"/>
      <c r="M621" s="6"/>
      <c r="N621" s="6"/>
      <c r="O621" s="6"/>
      <c r="P621" s="13"/>
      <c r="Q621" s="13"/>
      <c r="R621" s="16"/>
      <c r="S621" s="16"/>
      <c r="T621" s="6"/>
      <c r="U621" s="10"/>
    </row>
    <row r="622" spans="1:21">
      <c r="A622" s="5"/>
      <c r="B622" s="6"/>
      <c r="C622" s="6"/>
      <c r="D622" s="6"/>
      <c r="E622" s="6"/>
      <c r="F622" s="6"/>
      <c r="G622" s="13"/>
      <c r="H622" s="6"/>
      <c r="I622" s="13"/>
      <c r="J622" s="6"/>
      <c r="K622" s="6"/>
      <c r="L622" s="6"/>
      <c r="M622" s="6"/>
      <c r="N622" s="6"/>
      <c r="O622" s="6"/>
      <c r="P622" s="13"/>
      <c r="Q622" s="13"/>
      <c r="R622" s="16"/>
      <c r="S622" s="16"/>
      <c r="T622" s="6"/>
      <c r="U622" s="10"/>
    </row>
    <row r="623" spans="1:21">
      <c r="A623" s="5"/>
      <c r="B623" s="6"/>
      <c r="C623" s="6"/>
      <c r="D623" s="6"/>
      <c r="E623" s="6"/>
      <c r="F623" s="6"/>
      <c r="G623" s="13"/>
      <c r="H623" s="6"/>
      <c r="I623" s="13"/>
      <c r="J623" s="6"/>
      <c r="K623" s="6"/>
      <c r="L623" s="6"/>
      <c r="M623" s="6"/>
      <c r="N623" s="6"/>
      <c r="O623" s="6"/>
      <c r="P623" s="13"/>
      <c r="Q623" s="13"/>
      <c r="R623" s="16"/>
      <c r="S623" s="16"/>
      <c r="T623" s="6"/>
      <c r="U623" s="10"/>
    </row>
    <row r="624" spans="1:21">
      <c r="A624" s="5"/>
      <c r="B624" s="6"/>
      <c r="C624" s="6"/>
      <c r="D624" s="6"/>
      <c r="E624" s="6"/>
      <c r="F624" s="6"/>
      <c r="G624" s="13"/>
      <c r="H624" s="6"/>
      <c r="I624" s="13"/>
      <c r="J624" s="6"/>
      <c r="K624" s="6"/>
      <c r="L624" s="6"/>
      <c r="M624" s="6"/>
      <c r="N624" s="6"/>
      <c r="O624" s="6"/>
      <c r="P624" s="13"/>
      <c r="Q624" s="13"/>
      <c r="R624" s="16"/>
      <c r="S624" s="16"/>
      <c r="T624" s="6"/>
      <c r="U624" s="10"/>
    </row>
    <row r="625" spans="1:21">
      <c r="A625" s="5"/>
      <c r="B625" s="6"/>
      <c r="C625" s="6"/>
      <c r="D625" s="6"/>
      <c r="E625" s="6"/>
      <c r="F625" s="6"/>
      <c r="G625" s="13"/>
      <c r="H625" s="6"/>
      <c r="I625" s="13"/>
      <c r="J625" s="6"/>
      <c r="K625" s="6"/>
      <c r="L625" s="6"/>
      <c r="M625" s="6"/>
      <c r="N625" s="6"/>
      <c r="O625" s="6"/>
      <c r="P625" s="13"/>
      <c r="Q625" s="13"/>
      <c r="R625" s="16"/>
      <c r="S625" s="16"/>
      <c r="T625" s="6"/>
      <c r="U625" s="10"/>
    </row>
    <row r="626" spans="1:21">
      <c r="A626" s="5"/>
      <c r="B626" s="6"/>
      <c r="C626" s="6"/>
      <c r="D626" s="6"/>
      <c r="E626" s="6"/>
      <c r="F626" s="6"/>
      <c r="G626" s="13"/>
      <c r="H626" s="6"/>
      <c r="I626" s="13"/>
      <c r="J626" s="6"/>
      <c r="K626" s="6"/>
      <c r="L626" s="6"/>
      <c r="M626" s="6"/>
      <c r="N626" s="6"/>
      <c r="O626" s="6"/>
      <c r="P626" s="13"/>
      <c r="Q626" s="13"/>
      <c r="R626" s="16"/>
      <c r="S626" s="16"/>
      <c r="T626" s="6"/>
      <c r="U626" s="10"/>
    </row>
    <row r="627" spans="1:21">
      <c r="A627" s="5"/>
      <c r="B627" s="6"/>
      <c r="C627" s="6"/>
      <c r="D627" s="6"/>
      <c r="E627" s="6"/>
      <c r="F627" s="6"/>
      <c r="G627" s="13"/>
      <c r="H627" s="6"/>
      <c r="I627" s="13"/>
      <c r="J627" s="6"/>
      <c r="K627" s="6"/>
      <c r="L627" s="6"/>
      <c r="M627" s="6"/>
      <c r="N627" s="6"/>
      <c r="O627" s="6"/>
      <c r="P627" s="13"/>
      <c r="Q627" s="13"/>
      <c r="R627" s="16"/>
      <c r="S627" s="16"/>
      <c r="T627" s="6"/>
      <c r="U627" s="10"/>
    </row>
    <row r="628" spans="1:21">
      <c r="A628" s="5"/>
      <c r="B628" s="6"/>
      <c r="C628" s="6"/>
      <c r="D628" s="6"/>
      <c r="E628" s="6"/>
      <c r="F628" s="6"/>
      <c r="G628" s="13"/>
      <c r="H628" s="6"/>
      <c r="I628" s="13"/>
      <c r="J628" s="6"/>
      <c r="K628" s="6"/>
      <c r="L628" s="6"/>
      <c r="M628" s="6"/>
      <c r="N628" s="6"/>
      <c r="O628" s="6"/>
      <c r="P628" s="13"/>
      <c r="Q628" s="13"/>
      <c r="R628" s="16"/>
      <c r="S628" s="16"/>
      <c r="T628" s="6"/>
      <c r="U628" s="10"/>
    </row>
    <row r="629" spans="1:21">
      <c r="A629" s="5"/>
      <c r="B629" s="6"/>
      <c r="C629" s="6"/>
      <c r="D629" s="6"/>
      <c r="E629" s="6"/>
      <c r="F629" s="6"/>
      <c r="G629" s="13"/>
      <c r="H629" s="6"/>
      <c r="I629" s="13"/>
      <c r="J629" s="6"/>
      <c r="K629" s="6"/>
      <c r="L629" s="6"/>
      <c r="M629" s="6"/>
      <c r="N629" s="6"/>
      <c r="O629" s="6"/>
      <c r="P629" s="13"/>
      <c r="Q629" s="13"/>
      <c r="R629" s="16"/>
      <c r="S629" s="16"/>
      <c r="T629" s="6"/>
      <c r="U629" s="10"/>
    </row>
    <row r="630" spans="1:21">
      <c r="A630" s="5"/>
      <c r="B630" s="6"/>
      <c r="C630" s="6"/>
      <c r="D630" s="6"/>
      <c r="E630" s="6"/>
      <c r="F630" s="6"/>
      <c r="G630" s="13"/>
      <c r="H630" s="6"/>
      <c r="I630" s="13"/>
      <c r="J630" s="6"/>
      <c r="K630" s="6"/>
      <c r="L630" s="6"/>
      <c r="M630" s="6"/>
      <c r="N630" s="6"/>
      <c r="O630" s="6"/>
      <c r="P630" s="13"/>
      <c r="Q630" s="13"/>
      <c r="R630" s="16"/>
      <c r="S630" s="16"/>
      <c r="T630" s="6"/>
      <c r="U630" s="10"/>
    </row>
    <row r="631" spans="1:21">
      <c r="A631" s="5"/>
      <c r="B631" s="6"/>
      <c r="C631" s="6"/>
      <c r="D631" s="6"/>
      <c r="E631" s="6"/>
      <c r="F631" s="6"/>
      <c r="G631" s="13"/>
      <c r="H631" s="6"/>
      <c r="I631" s="13"/>
      <c r="J631" s="6"/>
      <c r="K631" s="6"/>
      <c r="L631" s="6"/>
      <c r="M631" s="6"/>
      <c r="N631" s="6"/>
      <c r="O631" s="6"/>
      <c r="P631" s="13"/>
      <c r="Q631" s="13"/>
      <c r="R631" s="16"/>
      <c r="S631" s="16"/>
      <c r="T631" s="6"/>
      <c r="U631" s="10"/>
    </row>
    <row r="632" spans="1:21">
      <c r="A632" s="5"/>
      <c r="B632" s="6"/>
      <c r="C632" s="6"/>
      <c r="D632" s="6"/>
      <c r="E632" s="6"/>
      <c r="F632" s="6"/>
      <c r="G632" s="13"/>
      <c r="H632" s="6"/>
      <c r="I632" s="13"/>
      <c r="J632" s="6"/>
      <c r="K632" s="6"/>
      <c r="L632" s="6"/>
      <c r="M632" s="6"/>
      <c r="N632" s="6"/>
      <c r="O632" s="6"/>
      <c r="P632" s="13"/>
      <c r="Q632" s="13"/>
      <c r="R632" s="16"/>
      <c r="S632" s="16"/>
      <c r="T632" s="6"/>
      <c r="U632" s="10"/>
    </row>
    <row r="633" spans="1:21">
      <c r="A633" s="5"/>
      <c r="B633" s="6"/>
      <c r="C633" s="6"/>
      <c r="D633" s="6"/>
      <c r="E633" s="6"/>
      <c r="F633" s="6"/>
      <c r="G633" s="13"/>
      <c r="H633" s="6"/>
      <c r="I633" s="13"/>
      <c r="J633" s="6"/>
      <c r="K633" s="6"/>
      <c r="L633" s="6"/>
      <c r="M633" s="6"/>
      <c r="N633" s="6"/>
      <c r="O633" s="6"/>
      <c r="P633" s="13"/>
      <c r="Q633" s="13"/>
      <c r="R633" s="16"/>
      <c r="S633" s="16"/>
      <c r="T633" s="6"/>
      <c r="U633" s="10"/>
    </row>
    <row r="634" spans="1:21">
      <c r="A634" s="5"/>
      <c r="B634" s="6"/>
      <c r="C634" s="6"/>
      <c r="D634" s="6"/>
      <c r="E634" s="6"/>
      <c r="F634" s="6"/>
      <c r="G634" s="13"/>
      <c r="H634" s="6"/>
      <c r="I634" s="13"/>
      <c r="J634" s="6"/>
      <c r="K634" s="6"/>
      <c r="L634" s="6"/>
      <c r="M634" s="6"/>
      <c r="N634" s="6"/>
      <c r="O634" s="6"/>
      <c r="P634" s="13"/>
      <c r="Q634" s="13"/>
      <c r="R634" s="16"/>
      <c r="S634" s="16"/>
      <c r="T634" s="6"/>
      <c r="U634" s="10"/>
    </row>
    <row r="635" spans="1:21">
      <c r="A635" s="5"/>
      <c r="B635" s="6"/>
      <c r="C635" s="6"/>
      <c r="D635" s="6"/>
      <c r="E635" s="6"/>
      <c r="F635" s="6"/>
      <c r="G635" s="13"/>
      <c r="H635" s="6"/>
      <c r="I635" s="13"/>
      <c r="J635" s="6"/>
      <c r="K635" s="6"/>
      <c r="L635" s="6"/>
      <c r="M635" s="6"/>
      <c r="N635" s="6"/>
      <c r="O635" s="6"/>
      <c r="P635" s="13"/>
      <c r="Q635" s="13"/>
      <c r="R635" s="16"/>
      <c r="S635" s="16"/>
      <c r="T635" s="6"/>
      <c r="U635" s="10"/>
    </row>
    <row r="636" spans="1:21">
      <c r="A636" s="5"/>
      <c r="B636" s="6"/>
      <c r="C636" s="6"/>
      <c r="D636" s="6"/>
      <c r="E636" s="6"/>
      <c r="F636" s="6"/>
      <c r="G636" s="13"/>
      <c r="H636" s="6"/>
      <c r="I636" s="13"/>
      <c r="J636" s="6"/>
      <c r="K636" s="6"/>
      <c r="L636" s="6"/>
      <c r="M636" s="6"/>
      <c r="N636" s="6"/>
      <c r="O636" s="6"/>
      <c r="P636" s="13"/>
      <c r="Q636" s="13"/>
      <c r="R636" s="16"/>
      <c r="S636" s="16"/>
      <c r="T636" s="6"/>
      <c r="U636" s="10"/>
    </row>
    <row r="637" spans="1:21">
      <c r="A637" s="5"/>
      <c r="B637" s="6"/>
      <c r="C637" s="6"/>
      <c r="D637" s="6"/>
      <c r="E637" s="6"/>
      <c r="F637" s="6"/>
      <c r="G637" s="13"/>
      <c r="H637" s="6"/>
      <c r="I637" s="13"/>
      <c r="J637" s="6"/>
      <c r="K637" s="6"/>
      <c r="L637" s="6"/>
      <c r="M637" s="6"/>
      <c r="N637" s="6"/>
      <c r="O637" s="6"/>
      <c r="P637" s="13"/>
      <c r="Q637" s="13"/>
      <c r="R637" s="16"/>
      <c r="S637" s="16"/>
      <c r="T637" s="6"/>
      <c r="U637" s="10"/>
    </row>
    <row r="638" spans="1:21">
      <c r="A638" s="5"/>
      <c r="B638" s="6"/>
      <c r="C638" s="6"/>
      <c r="D638" s="6"/>
      <c r="E638" s="6"/>
      <c r="F638" s="6"/>
      <c r="G638" s="13"/>
      <c r="H638" s="6"/>
      <c r="I638" s="13"/>
      <c r="J638" s="6"/>
      <c r="K638" s="6"/>
      <c r="L638" s="6"/>
      <c r="M638" s="6"/>
      <c r="N638" s="6"/>
      <c r="O638" s="6"/>
      <c r="P638" s="13"/>
      <c r="Q638" s="13"/>
      <c r="R638" s="16"/>
      <c r="S638" s="16"/>
      <c r="T638" s="6"/>
      <c r="U638" s="10"/>
    </row>
    <row r="639" spans="1:21">
      <c r="A639" s="5"/>
      <c r="B639" s="6"/>
      <c r="C639" s="6"/>
      <c r="D639" s="6"/>
      <c r="E639" s="6"/>
      <c r="F639" s="6"/>
      <c r="G639" s="13"/>
      <c r="H639" s="6"/>
      <c r="I639" s="13"/>
      <c r="J639" s="6"/>
      <c r="K639" s="6"/>
      <c r="L639" s="6"/>
      <c r="M639" s="6"/>
      <c r="N639" s="6"/>
      <c r="O639" s="6"/>
      <c r="P639" s="13"/>
      <c r="Q639" s="13"/>
      <c r="R639" s="16"/>
      <c r="S639" s="16"/>
      <c r="T639" s="6"/>
      <c r="U639" s="10"/>
    </row>
    <row r="640" spans="1:21">
      <c r="A640" s="5"/>
      <c r="B640" s="6"/>
      <c r="C640" s="6"/>
      <c r="D640" s="6"/>
      <c r="E640" s="6"/>
      <c r="F640" s="6"/>
      <c r="G640" s="13"/>
      <c r="H640" s="6"/>
      <c r="I640" s="13"/>
      <c r="J640" s="6"/>
      <c r="K640" s="6"/>
      <c r="L640" s="6"/>
      <c r="M640" s="6"/>
      <c r="N640" s="6"/>
      <c r="O640" s="6"/>
      <c r="P640" s="13"/>
      <c r="Q640" s="13"/>
      <c r="R640" s="16"/>
      <c r="S640" s="16"/>
      <c r="T640" s="6"/>
      <c r="U640" s="10"/>
    </row>
    <row r="641" spans="1:21">
      <c r="A641" s="5"/>
      <c r="B641" s="6"/>
      <c r="C641" s="6"/>
      <c r="D641" s="6"/>
      <c r="E641" s="6"/>
      <c r="F641" s="6"/>
      <c r="G641" s="13"/>
      <c r="H641" s="6"/>
      <c r="I641" s="13"/>
      <c r="J641" s="6"/>
      <c r="K641" s="6"/>
      <c r="L641" s="6"/>
      <c r="M641" s="6"/>
      <c r="N641" s="6"/>
      <c r="O641" s="6"/>
      <c r="P641" s="13"/>
      <c r="Q641" s="13"/>
      <c r="R641" s="16"/>
      <c r="S641" s="16"/>
      <c r="T641" s="6"/>
      <c r="U641" s="10"/>
    </row>
    <row r="642" spans="1:21">
      <c r="A642" s="5"/>
      <c r="B642" s="6"/>
      <c r="C642" s="6"/>
      <c r="D642" s="6"/>
      <c r="E642" s="6"/>
      <c r="F642" s="6"/>
      <c r="G642" s="13"/>
      <c r="H642" s="6"/>
      <c r="I642" s="13"/>
      <c r="J642" s="6"/>
      <c r="K642" s="6"/>
      <c r="L642" s="6"/>
      <c r="M642" s="6"/>
      <c r="N642" s="6"/>
      <c r="O642" s="6"/>
      <c r="P642" s="13"/>
      <c r="Q642" s="13"/>
      <c r="R642" s="16"/>
      <c r="S642" s="16"/>
      <c r="T642" s="6"/>
      <c r="U642" s="10"/>
    </row>
    <row r="643" spans="1:21">
      <c r="A643" s="5"/>
      <c r="B643" s="6"/>
      <c r="C643" s="6"/>
      <c r="D643" s="6"/>
      <c r="E643" s="6"/>
      <c r="F643" s="6"/>
      <c r="G643" s="13"/>
      <c r="H643" s="6"/>
      <c r="I643" s="13"/>
      <c r="J643" s="6"/>
      <c r="K643" s="6"/>
      <c r="L643" s="6"/>
      <c r="M643" s="6"/>
      <c r="N643" s="6"/>
      <c r="O643" s="6"/>
      <c r="P643" s="13"/>
      <c r="Q643" s="13"/>
      <c r="R643" s="16"/>
      <c r="S643" s="16"/>
      <c r="T643" s="6"/>
      <c r="U643" s="10"/>
    </row>
    <row r="644" spans="1:21">
      <c r="A644" s="5"/>
      <c r="B644" s="6"/>
      <c r="C644" s="6"/>
      <c r="D644" s="6"/>
      <c r="E644" s="6"/>
      <c r="F644" s="6"/>
      <c r="G644" s="13"/>
      <c r="H644" s="6"/>
      <c r="I644" s="13"/>
      <c r="J644" s="6"/>
      <c r="K644" s="6"/>
      <c r="L644" s="6"/>
      <c r="M644" s="6"/>
      <c r="N644" s="6"/>
      <c r="O644" s="6"/>
      <c r="P644" s="13"/>
      <c r="Q644" s="13"/>
      <c r="R644" s="16"/>
      <c r="S644" s="16"/>
      <c r="T644" s="6"/>
      <c r="U644" s="10"/>
    </row>
    <row r="645" spans="1:21">
      <c r="A645" s="5"/>
      <c r="B645" s="6"/>
      <c r="C645" s="6"/>
      <c r="D645" s="6"/>
      <c r="E645" s="6"/>
      <c r="F645" s="6"/>
      <c r="G645" s="13"/>
      <c r="H645" s="6"/>
      <c r="I645" s="13"/>
      <c r="J645" s="6"/>
      <c r="K645" s="6"/>
      <c r="L645" s="6"/>
      <c r="M645" s="6"/>
      <c r="N645" s="6"/>
      <c r="O645" s="6"/>
      <c r="P645" s="13"/>
      <c r="Q645" s="13"/>
      <c r="R645" s="16"/>
      <c r="S645" s="16"/>
      <c r="T645" s="6"/>
      <c r="U645" s="10"/>
    </row>
    <row r="646" spans="1:21">
      <c r="A646" s="5"/>
      <c r="B646" s="6"/>
      <c r="C646" s="6"/>
      <c r="D646" s="6"/>
      <c r="E646" s="6"/>
      <c r="F646" s="6"/>
      <c r="G646" s="13"/>
      <c r="H646" s="6"/>
      <c r="I646" s="13"/>
      <c r="J646" s="6"/>
      <c r="K646" s="6"/>
      <c r="L646" s="6"/>
      <c r="M646" s="6"/>
      <c r="N646" s="6"/>
      <c r="O646" s="6"/>
      <c r="P646" s="13"/>
      <c r="Q646" s="13"/>
      <c r="R646" s="16"/>
      <c r="S646" s="16"/>
      <c r="T646" s="6"/>
      <c r="U646" s="10"/>
    </row>
    <row r="647" spans="1:21">
      <c r="A647" s="5"/>
      <c r="B647" s="6"/>
      <c r="C647" s="6"/>
      <c r="D647" s="6"/>
      <c r="E647" s="6"/>
      <c r="F647" s="6"/>
      <c r="G647" s="13"/>
      <c r="H647" s="6"/>
      <c r="I647" s="13"/>
      <c r="J647" s="6"/>
      <c r="K647" s="6"/>
      <c r="L647" s="6"/>
      <c r="M647" s="6"/>
      <c r="N647" s="6"/>
      <c r="O647" s="6"/>
      <c r="P647" s="13"/>
      <c r="Q647" s="13"/>
      <c r="R647" s="16"/>
      <c r="S647" s="16"/>
      <c r="T647" s="6"/>
      <c r="U647" s="10"/>
    </row>
    <row r="648" spans="1:21">
      <c r="A648" s="5"/>
      <c r="B648" s="6"/>
      <c r="C648" s="6"/>
      <c r="D648" s="6"/>
      <c r="E648" s="6"/>
      <c r="F648" s="6"/>
      <c r="G648" s="13"/>
      <c r="H648" s="6"/>
      <c r="I648" s="13"/>
      <c r="J648" s="6"/>
      <c r="K648" s="6"/>
      <c r="L648" s="6"/>
      <c r="M648" s="6"/>
      <c r="N648" s="6"/>
      <c r="O648" s="6"/>
      <c r="P648" s="13"/>
      <c r="Q648" s="13"/>
      <c r="R648" s="16"/>
      <c r="S648" s="16"/>
      <c r="T648" s="6"/>
      <c r="U648" s="10"/>
    </row>
    <row r="649" spans="1:21">
      <c r="A649" s="5"/>
      <c r="B649" s="6"/>
      <c r="C649" s="6"/>
      <c r="D649" s="6"/>
      <c r="E649" s="6"/>
      <c r="F649" s="6"/>
      <c r="G649" s="13"/>
      <c r="H649" s="6"/>
      <c r="I649" s="13"/>
      <c r="J649" s="6"/>
      <c r="K649" s="6"/>
      <c r="L649" s="6"/>
      <c r="M649" s="6"/>
      <c r="N649" s="6"/>
      <c r="O649" s="6"/>
      <c r="P649" s="13"/>
      <c r="Q649" s="13"/>
      <c r="R649" s="16"/>
      <c r="S649" s="16"/>
      <c r="T649" s="6"/>
      <c r="U649" s="10"/>
    </row>
    <row r="650" spans="1:21">
      <c r="A650" s="5"/>
      <c r="B650" s="6"/>
      <c r="C650" s="6"/>
      <c r="D650" s="6"/>
      <c r="E650" s="6"/>
      <c r="F650" s="6"/>
      <c r="G650" s="13"/>
      <c r="H650" s="6"/>
      <c r="I650" s="13"/>
      <c r="J650" s="6"/>
      <c r="K650" s="6"/>
      <c r="L650" s="6"/>
      <c r="M650" s="6"/>
      <c r="N650" s="6"/>
      <c r="O650" s="6"/>
      <c r="P650" s="13"/>
      <c r="Q650" s="13"/>
      <c r="R650" s="16"/>
      <c r="S650" s="16"/>
      <c r="T650" s="6"/>
      <c r="U650" s="10"/>
    </row>
    <row r="651" spans="1:21">
      <c r="A651" s="5"/>
      <c r="B651" s="6"/>
      <c r="C651" s="6"/>
      <c r="D651" s="6"/>
      <c r="E651" s="6"/>
      <c r="F651" s="6"/>
      <c r="G651" s="13"/>
      <c r="H651" s="6"/>
      <c r="I651" s="13"/>
      <c r="J651" s="6"/>
      <c r="K651" s="6"/>
      <c r="L651" s="6"/>
      <c r="M651" s="6"/>
      <c r="N651" s="6"/>
      <c r="O651" s="6"/>
      <c r="P651" s="13"/>
      <c r="Q651" s="13"/>
      <c r="R651" s="16"/>
      <c r="S651" s="16"/>
      <c r="T651" s="6"/>
      <c r="U651" s="10"/>
    </row>
    <row r="652" spans="1:21">
      <c r="A652" s="5"/>
      <c r="B652" s="6"/>
      <c r="C652" s="6"/>
      <c r="D652" s="6"/>
      <c r="E652" s="6"/>
      <c r="F652" s="6"/>
      <c r="G652" s="13"/>
      <c r="H652" s="6"/>
      <c r="I652" s="13"/>
      <c r="J652" s="6"/>
      <c r="K652" s="6"/>
      <c r="L652" s="6"/>
      <c r="M652" s="6"/>
      <c r="N652" s="6"/>
      <c r="O652" s="6"/>
      <c r="P652" s="13"/>
      <c r="Q652" s="13"/>
      <c r="R652" s="16"/>
      <c r="S652" s="16"/>
      <c r="T652" s="6"/>
      <c r="U652" s="10"/>
    </row>
    <row r="653" spans="1:21">
      <c r="A653" s="5"/>
      <c r="B653" s="6"/>
      <c r="C653" s="6"/>
      <c r="D653" s="6"/>
      <c r="E653" s="6"/>
      <c r="F653" s="6"/>
      <c r="G653" s="13"/>
      <c r="H653" s="6"/>
      <c r="I653" s="13"/>
      <c r="J653" s="6"/>
      <c r="K653" s="6"/>
      <c r="L653" s="6"/>
      <c r="M653" s="6"/>
      <c r="N653" s="6"/>
      <c r="O653" s="6"/>
      <c r="P653" s="13"/>
      <c r="Q653" s="13"/>
      <c r="R653" s="16"/>
      <c r="S653" s="16"/>
      <c r="T653" s="6"/>
      <c r="U653" s="10"/>
    </row>
    <row r="654" spans="1:21">
      <c r="A654" s="5"/>
      <c r="B654" s="6"/>
      <c r="C654" s="6"/>
      <c r="D654" s="6"/>
      <c r="E654" s="6"/>
      <c r="F654" s="6"/>
      <c r="G654" s="13"/>
      <c r="H654" s="6"/>
      <c r="I654" s="13"/>
      <c r="J654" s="6"/>
      <c r="K654" s="6"/>
      <c r="L654" s="6"/>
      <c r="M654" s="6"/>
      <c r="N654" s="6"/>
      <c r="O654" s="6"/>
      <c r="P654" s="13"/>
      <c r="Q654" s="13"/>
      <c r="R654" s="16"/>
      <c r="S654" s="16"/>
      <c r="T654" s="6"/>
      <c r="U654" s="10"/>
    </row>
    <row r="655" spans="1:21">
      <c r="A655" s="5"/>
      <c r="B655" s="6"/>
      <c r="C655" s="6"/>
      <c r="D655" s="6"/>
      <c r="E655" s="6"/>
      <c r="F655" s="6"/>
      <c r="G655" s="13"/>
      <c r="H655" s="6"/>
      <c r="I655" s="13"/>
      <c r="J655" s="6"/>
      <c r="K655" s="6"/>
      <c r="L655" s="6"/>
      <c r="M655" s="6"/>
      <c r="N655" s="6"/>
      <c r="O655" s="6"/>
      <c r="P655" s="13"/>
      <c r="Q655" s="13"/>
      <c r="R655" s="16"/>
      <c r="S655" s="16"/>
      <c r="T655" s="6"/>
      <c r="U655" s="10"/>
    </row>
    <row r="656" spans="1:21">
      <c r="A656" s="5"/>
      <c r="B656" s="6"/>
      <c r="C656" s="6"/>
      <c r="D656" s="6"/>
      <c r="E656" s="6"/>
      <c r="F656" s="6"/>
      <c r="G656" s="13"/>
      <c r="H656" s="6"/>
      <c r="I656" s="13"/>
      <c r="J656" s="6"/>
      <c r="K656" s="6"/>
      <c r="L656" s="6"/>
      <c r="M656" s="6"/>
      <c r="N656" s="6"/>
      <c r="O656" s="6"/>
      <c r="P656" s="13"/>
      <c r="Q656" s="13"/>
      <c r="R656" s="16"/>
      <c r="S656" s="16"/>
      <c r="T656" s="6"/>
      <c r="U656" s="10"/>
    </row>
    <row r="657" spans="1:21">
      <c r="A657" s="5"/>
      <c r="B657" s="6"/>
      <c r="C657" s="6"/>
      <c r="D657" s="6"/>
      <c r="E657" s="6"/>
      <c r="F657" s="6"/>
      <c r="G657" s="13"/>
      <c r="H657" s="6"/>
      <c r="I657" s="13"/>
      <c r="J657" s="6"/>
      <c r="K657" s="6"/>
      <c r="L657" s="6"/>
      <c r="M657" s="6"/>
      <c r="N657" s="6"/>
      <c r="O657" s="6"/>
      <c r="P657" s="13"/>
      <c r="Q657" s="13"/>
      <c r="R657" s="16"/>
      <c r="S657" s="16"/>
      <c r="T657" s="6"/>
      <c r="U657" s="10"/>
    </row>
    <row r="658" spans="1:21">
      <c r="A658" s="5"/>
      <c r="B658" s="6"/>
      <c r="C658" s="6"/>
      <c r="D658" s="6"/>
      <c r="E658" s="6"/>
      <c r="F658" s="6"/>
      <c r="G658" s="13"/>
      <c r="H658" s="6"/>
      <c r="I658" s="13"/>
      <c r="J658" s="6"/>
      <c r="K658" s="6"/>
      <c r="L658" s="6"/>
      <c r="M658" s="6"/>
      <c r="N658" s="6"/>
      <c r="O658" s="6"/>
      <c r="P658" s="13"/>
      <c r="Q658" s="13"/>
      <c r="R658" s="16"/>
      <c r="S658" s="16"/>
      <c r="T658" s="6"/>
      <c r="U658" s="10"/>
    </row>
    <row r="659" spans="1:21">
      <c r="A659" s="5"/>
      <c r="B659" s="6"/>
      <c r="C659" s="6"/>
      <c r="D659" s="6"/>
      <c r="E659" s="6"/>
      <c r="F659" s="6"/>
      <c r="G659" s="13"/>
      <c r="H659" s="6"/>
      <c r="I659" s="13"/>
      <c r="J659" s="6"/>
      <c r="K659" s="6"/>
      <c r="L659" s="6"/>
      <c r="M659" s="6"/>
      <c r="N659" s="6"/>
      <c r="O659" s="6"/>
      <c r="P659" s="13"/>
      <c r="Q659" s="13"/>
      <c r="R659" s="16"/>
      <c r="S659" s="16"/>
      <c r="T659" s="6"/>
      <c r="U659" s="10"/>
    </row>
    <row r="660" spans="1:21">
      <c r="A660" s="5"/>
      <c r="B660" s="6"/>
      <c r="C660" s="6"/>
      <c r="D660" s="6"/>
      <c r="E660" s="6"/>
      <c r="F660" s="6"/>
      <c r="G660" s="13"/>
      <c r="H660" s="6"/>
      <c r="I660" s="13"/>
      <c r="J660" s="6"/>
      <c r="K660" s="6"/>
      <c r="L660" s="6"/>
      <c r="M660" s="6"/>
      <c r="N660" s="6"/>
      <c r="O660" s="6"/>
      <c r="P660" s="13"/>
      <c r="Q660" s="13"/>
      <c r="R660" s="16"/>
      <c r="S660" s="16"/>
      <c r="T660" s="6"/>
      <c r="U660" s="10"/>
    </row>
    <row r="661" spans="1:21">
      <c r="A661" s="5"/>
      <c r="B661" s="6"/>
      <c r="C661" s="6"/>
      <c r="D661" s="6"/>
      <c r="E661" s="6"/>
      <c r="F661" s="6"/>
      <c r="G661" s="13"/>
      <c r="H661" s="6"/>
      <c r="I661" s="13"/>
      <c r="J661" s="6"/>
      <c r="K661" s="6"/>
      <c r="L661" s="6"/>
      <c r="M661" s="6"/>
      <c r="N661" s="6"/>
      <c r="O661" s="6"/>
      <c r="P661" s="13"/>
      <c r="Q661" s="13"/>
      <c r="R661" s="16"/>
      <c r="S661" s="16"/>
      <c r="T661" s="6"/>
      <c r="U661" s="10"/>
    </row>
    <row r="662" spans="1:21">
      <c r="A662" s="5"/>
      <c r="B662" s="6"/>
      <c r="C662" s="6"/>
      <c r="D662" s="6"/>
      <c r="E662" s="6"/>
      <c r="F662" s="6"/>
      <c r="G662" s="13"/>
      <c r="H662" s="6"/>
      <c r="I662" s="13"/>
      <c r="J662" s="6"/>
      <c r="K662" s="6"/>
      <c r="L662" s="6"/>
      <c r="M662" s="6"/>
      <c r="N662" s="6"/>
      <c r="O662" s="6"/>
      <c r="P662" s="13"/>
      <c r="Q662" s="13"/>
      <c r="R662" s="16"/>
      <c r="S662" s="16"/>
      <c r="T662" s="6"/>
      <c r="U662" s="10"/>
    </row>
    <row r="663" spans="1:21">
      <c r="A663" s="5"/>
      <c r="B663" s="6"/>
      <c r="C663" s="6"/>
      <c r="D663" s="6"/>
      <c r="E663" s="6"/>
      <c r="F663" s="6"/>
      <c r="G663" s="13"/>
      <c r="H663" s="6"/>
      <c r="I663" s="13"/>
      <c r="J663" s="6"/>
      <c r="K663" s="6"/>
      <c r="L663" s="6"/>
      <c r="M663" s="6"/>
      <c r="N663" s="6"/>
      <c r="O663" s="6"/>
      <c r="P663" s="13"/>
      <c r="Q663" s="13"/>
      <c r="R663" s="16"/>
      <c r="S663" s="16"/>
      <c r="T663" s="6"/>
      <c r="U663" s="10"/>
    </row>
    <row r="664" spans="1:21">
      <c r="A664" s="5"/>
      <c r="B664" s="6"/>
      <c r="C664" s="6"/>
      <c r="D664" s="6"/>
      <c r="E664" s="6"/>
      <c r="F664" s="6"/>
      <c r="G664" s="13"/>
      <c r="H664" s="6"/>
      <c r="I664" s="13"/>
      <c r="J664" s="6"/>
      <c r="K664" s="6"/>
      <c r="L664" s="6"/>
      <c r="M664" s="6"/>
      <c r="N664" s="6"/>
      <c r="O664" s="6"/>
      <c r="P664" s="13"/>
      <c r="Q664" s="13"/>
      <c r="R664" s="16"/>
      <c r="S664" s="16"/>
      <c r="T664" s="6"/>
      <c r="U664" s="10"/>
    </row>
    <row r="665" spans="1:21">
      <c r="A665" s="5"/>
      <c r="B665" s="6"/>
      <c r="C665" s="6"/>
      <c r="D665" s="6"/>
      <c r="E665" s="6"/>
      <c r="F665" s="6"/>
      <c r="G665" s="13"/>
      <c r="H665" s="6"/>
      <c r="I665" s="13"/>
      <c r="J665" s="6"/>
      <c r="K665" s="6"/>
      <c r="L665" s="6"/>
      <c r="M665" s="6"/>
      <c r="N665" s="6"/>
      <c r="O665" s="6"/>
      <c r="P665" s="13"/>
      <c r="Q665" s="13"/>
      <c r="R665" s="16"/>
      <c r="S665" s="16"/>
      <c r="T665" s="6"/>
      <c r="U665" s="10"/>
    </row>
    <row r="666" spans="1:21">
      <c r="A666" s="5"/>
      <c r="B666" s="6"/>
      <c r="C666" s="6"/>
      <c r="D666" s="6"/>
      <c r="E666" s="6"/>
      <c r="F666" s="6"/>
      <c r="G666" s="13"/>
      <c r="H666" s="6"/>
      <c r="I666" s="13"/>
      <c r="J666" s="6"/>
      <c r="K666" s="6"/>
      <c r="L666" s="6"/>
      <c r="M666" s="6"/>
      <c r="N666" s="6"/>
      <c r="O666" s="6"/>
      <c r="P666" s="13"/>
      <c r="Q666" s="13"/>
      <c r="R666" s="16"/>
      <c r="S666" s="16"/>
      <c r="T666" s="6"/>
      <c r="U666" s="10"/>
    </row>
    <row r="667" spans="1:21">
      <c r="A667" s="5"/>
      <c r="B667" s="6"/>
      <c r="C667" s="6"/>
      <c r="D667" s="6"/>
      <c r="E667" s="6"/>
      <c r="F667" s="6"/>
      <c r="G667" s="13"/>
      <c r="H667" s="6"/>
      <c r="I667" s="13"/>
      <c r="J667" s="6"/>
      <c r="K667" s="6"/>
      <c r="L667" s="6"/>
      <c r="M667" s="6"/>
      <c r="N667" s="6"/>
      <c r="O667" s="6"/>
      <c r="P667" s="13"/>
      <c r="Q667" s="13"/>
      <c r="R667" s="16"/>
      <c r="S667" s="16"/>
      <c r="T667" s="6"/>
      <c r="U667" s="10"/>
    </row>
    <row r="668" spans="1:21">
      <c r="A668" s="5"/>
      <c r="B668" s="6"/>
      <c r="C668" s="6"/>
      <c r="D668" s="6"/>
      <c r="E668" s="6"/>
      <c r="F668" s="6"/>
      <c r="G668" s="13"/>
      <c r="H668" s="6"/>
      <c r="I668" s="13"/>
      <c r="J668" s="6"/>
      <c r="K668" s="6"/>
      <c r="L668" s="6"/>
      <c r="M668" s="6"/>
      <c r="N668" s="6"/>
      <c r="O668" s="6"/>
      <c r="P668" s="13"/>
      <c r="Q668" s="13"/>
      <c r="R668" s="16"/>
      <c r="S668" s="16"/>
      <c r="T668" s="6"/>
      <c r="U668" s="10"/>
    </row>
    <row r="669" spans="1:21">
      <c r="A669" s="5"/>
      <c r="B669" s="6"/>
      <c r="C669" s="6"/>
      <c r="D669" s="6"/>
      <c r="E669" s="6"/>
      <c r="F669" s="6"/>
      <c r="G669" s="13"/>
      <c r="H669" s="6"/>
      <c r="I669" s="13"/>
      <c r="J669" s="6"/>
      <c r="K669" s="6"/>
      <c r="L669" s="6"/>
      <c r="M669" s="6"/>
      <c r="N669" s="6"/>
      <c r="O669" s="6"/>
      <c r="P669" s="13"/>
      <c r="Q669" s="13"/>
      <c r="R669" s="16"/>
      <c r="S669" s="16"/>
      <c r="T669" s="6"/>
      <c r="U669" s="10"/>
    </row>
    <row r="670" spans="1:21">
      <c r="A670" s="5"/>
      <c r="B670" s="6"/>
      <c r="C670" s="6"/>
      <c r="D670" s="6"/>
      <c r="E670" s="6"/>
      <c r="F670" s="6"/>
      <c r="G670" s="13"/>
      <c r="H670" s="6"/>
      <c r="I670" s="13"/>
      <c r="J670" s="6"/>
      <c r="K670" s="6"/>
      <c r="L670" s="6"/>
      <c r="M670" s="6"/>
      <c r="N670" s="6"/>
      <c r="O670" s="6"/>
      <c r="P670" s="13"/>
      <c r="Q670" s="13"/>
      <c r="R670" s="16"/>
      <c r="S670" s="16"/>
      <c r="T670" s="6"/>
      <c r="U670" s="10"/>
    </row>
    <row r="671" spans="1:21">
      <c r="A671" s="5"/>
      <c r="B671" s="6"/>
      <c r="C671" s="6"/>
      <c r="D671" s="6"/>
      <c r="E671" s="6"/>
      <c r="F671" s="6"/>
      <c r="G671" s="13"/>
      <c r="H671" s="6"/>
      <c r="I671" s="13"/>
      <c r="J671" s="6"/>
      <c r="K671" s="6"/>
      <c r="L671" s="6"/>
      <c r="M671" s="6"/>
      <c r="N671" s="6"/>
      <c r="O671" s="6"/>
      <c r="P671" s="13"/>
      <c r="Q671" s="13"/>
      <c r="R671" s="16"/>
      <c r="S671" s="16"/>
      <c r="T671" s="6"/>
      <c r="U671" s="10"/>
    </row>
    <row r="672" spans="1:21">
      <c r="A672" s="5"/>
      <c r="B672" s="6"/>
      <c r="C672" s="6"/>
      <c r="D672" s="6"/>
      <c r="E672" s="6"/>
      <c r="F672" s="6"/>
      <c r="G672" s="13"/>
      <c r="H672" s="6"/>
      <c r="I672" s="13"/>
      <c r="J672" s="6"/>
      <c r="K672" s="6"/>
      <c r="L672" s="6"/>
      <c r="M672" s="6"/>
      <c r="N672" s="6"/>
      <c r="O672" s="6"/>
      <c r="P672" s="13"/>
      <c r="Q672" s="13"/>
      <c r="R672" s="16"/>
      <c r="S672" s="16"/>
      <c r="T672" s="6"/>
      <c r="U672" s="10"/>
    </row>
    <row r="673" spans="1:21">
      <c r="A673" s="5"/>
      <c r="B673" s="6"/>
      <c r="C673" s="6"/>
      <c r="D673" s="6"/>
      <c r="E673" s="6"/>
      <c r="F673" s="6"/>
      <c r="G673" s="13"/>
      <c r="H673" s="6"/>
      <c r="I673" s="13"/>
      <c r="J673" s="6"/>
      <c r="K673" s="6"/>
      <c r="L673" s="6"/>
      <c r="M673" s="6"/>
      <c r="N673" s="6"/>
      <c r="O673" s="6"/>
      <c r="P673" s="13"/>
      <c r="Q673" s="13"/>
      <c r="R673" s="16"/>
      <c r="S673" s="16"/>
      <c r="T673" s="6"/>
      <c r="U673" s="10"/>
    </row>
    <row r="674" spans="1:21">
      <c r="A674" s="5"/>
      <c r="B674" s="6"/>
      <c r="C674" s="6"/>
      <c r="D674" s="6"/>
      <c r="E674" s="6"/>
      <c r="F674" s="6"/>
      <c r="G674" s="13"/>
      <c r="H674" s="6"/>
      <c r="I674" s="13"/>
      <c r="J674" s="6"/>
      <c r="K674" s="6"/>
      <c r="L674" s="6"/>
      <c r="M674" s="6"/>
      <c r="N674" s="6"/>
      <c r="O674" s="6"/>
      <c r="P674" s="13"/>
      <c r="Q674" s="13"/>
      <c r="R674" s="16"/>
      <c r="S674" s="16"/>
      <c r="T674" s="6"/>
      <c r="U674" s="10"/>
    </row>
    <row r="675" spans="1:21">
      <c r="A675" s="5"/>
      <c r="B675" s="6"/>
      <c r="C675" s="6"/>
      <c r="D675" s="6"/>
      <c r="E675" s="6"/>
      <c r="F675" s="6"/>
      <c r="G675" s="13"/>
      <c r="H675" s="6"/>
      <c r="I675" s="13"/>
      <c r="J675" s="6"/>
      <c r="K675" s="6"/>
      <c r="L675" s="6"/>
      <c r="M675" s="6"/>
      <c r="N675" s="6"/>
      <c r="O675" s="6"/>
      <c r="P675" s="13"/>
      <c r="Q675" s="13"/>
      <c r="R675" s="16"/>
      <c r="S675" s="16"/>
      <c r="T675" s="6"/>
      <c r="U675" s="10"/>
    </row>
    <row r="676" spans="1:21">
      <c r="A676" s="5"/>
      <c r="B676" s="6"/>
      <c r="C676" s="6"/>
      <c r="D676" s="6"/>
      <c r="E676" s="6"/>
      <c r="F676" s="6"/>
      <c r="G676" s="13"/>
      <c r="H676" s="6"/>
      <c r="I676" s="13"/>
      <c r="J676" s="6"/>
      <c r="K676" s="6"/>
      <c r="L676" s="6"/>
      <c r="M676" s="6"/>
      <c r="N676" s="6"/>
      <c r="O676" s="6"/>
      <c r="P676" s="13"/>
      <c r="Q676" s="13"/>
      <c r="R676" s="16"/>
      <c r="S676" s="16"/>
      <c r="T676" s="6"/>
      <c r="U676" s="10"/>
    </row>
    <row r="677" spans="1:21">
      <c r="A677" s="5"/>
      <c r="B677" s="6"/>
      <c r="C677" s="6"/>
      <c r="D677" s="6"/>
      <c r="E677" s="6"/>
      <c r="F677" s="6"/>
      <c r="G677" s="13"/>
      <c r="H677" s="6"/>
      <c r="I677" s="13"/>
      <c r="J677" s="6"/>
      <c r="K677" s="6"/>
      <c r="L677" s="6"/>
      <c r="M677" s="6"/>
      <c r="N677" s="6"/>
      <c r="O677" s="6"/>
      <c r="P677" s="13"/>
      <c r="Q677" s="13"/>
      <c r="R677" s="16"/>
      <c r="S677" s="16"/>
      <c r="T677" s="6"/>
      <c r="U677" s="10"/>
    </row>
    <row r="678" spans="1:21">
      <c r="A678" s="5"/>
      <c r="B678" s="6"/>
      <c r="C678" s="6"/>
      <c r="D678" s="6"/>
      <c r="E678" s="6"/>
      <c r="F678" s="6"/>
      <c r="G678" s="13"/>
      <c r="H678" s="6"/>
      <c r="I678" s="13"/>
      <c r="J678" s="6"/>
      <c r="K678" s="6"/>
      <c r="L678" s="6"/>
      <c r="M678" s="6"/>
      <c r="N678" s="6"/>
      <c r="O678" s="6"/>
      <c r="P678" s="13"/>
      <c r="Q678" s="13"/>
      <c r="R678" s="16"/>
      <c r="S678" s="16"/>
      <c r="T678" s="6"/>
      <c r="U678" s="10"/>
    </row>
    <row r="679" spans="1:21">
      <c r="A679" s="5"/>
      <c r="B679" s="6"/>
      <c r="C679" s="6"/>
      <c r="D679" s="6"/>
      <c r="E679" s="6"/>
      <c r="F679" s="6"/>
      <c r="G679" s="13"/>
      <c r="H679" s="6"/>
      <c r="I679" s="13"/>
      <c r="J679" s="6"/>
      <c r="K679" s="6"/>
      <c r="L679" s="6"/>
      <c r="M679" s="6"/>
      <c r="N679" s="6"/>
      <c r="O679" s="6"/>
      <c r="P679" s="13"/>
      <c r="Q679" s="13"/>
      <c r="R679" s="16"/>
      <c r="S679" s="16"/>
      <c r="T679" s="6"/>
      <c r="U679" s="10"/>
    </row>
    <row r="680" spans="1:21">
      <c r="A680" s="5"/>
      <c r="B680" s="6"/>
      <c r="C680" s="6"/>
      <c r="D680" s="6"/>
      <c r="E680" s="6"/>
      <c r="F680" s="6"/>
      <c r="G680" s="13"/>
      <c r="H680" s="6"/>
      <c r="I680" s="13"/>
      <c r="J680" s="6"/>
      <c r="K680" s="6"/>
      <c r="L680" s="6"/>
      <c r="M680" s="6"/>
      <c r="N680" s="6"/>
      <c r="O680" s="6"/>
      <c r="P680" s="13"/>
      <c r="Q680" s="13"/>
      <c r="R680" s="16"/>
      <c r="S680" s="16"/>
      <c r="T680" s="6"/>
      <c r="U680" s="10"/>
    </row>
    <row r="681" spans="1:21">
      <c r="A681" s="5"/>
      <c r="B681" s="6"/>
      <c r="C681" s="6"/>
      <c r="D681" s="6"/>
      <c r="E681" s="6"/>
      <c r="F681" s="6"/>
      <c r="G681" s="13"/>
      <c r="H681" s="6"/>
      <c r="I681" s="13"/>
      <c r="J681" s="6"/>
      <c r="K681" s="6"/>
      <c r="L681" s="6"/>
      <c r="M681" s="6"/>
      <c r="N681" s="6"/>
      <c r="O681" s="6"/>
      <c r="P681" s="13"/>
      <c r="Q681" s="13"/>
      <c r="R681" s="16"/>
      <c r="S681" s="16"/>
      <c r="T681" s="6"/>
      <c r="U681" s="10"/>
    </row>
    <row r="682" spans="1:21">
      <c r="A682" s="5"/>
      <c r="B682" s="6"/>
      <c r="C682" s="6"/>
      <c r="D682" s="6"/>
      <c r="E682" s="6"/>
      <c r="F682" s="6"/>
      <c r="G682" s="13"/>
      <c r="H682" s="6"/>
      <c r="I682" s="13"/>
      <c r="J682" s="6"/>
      <c r="K682" s="6"/>
      <c r="L682" s="6"/>
      <c r="M682" s="6"/>
      <c r="N682" s="6"/>
      <c r="O682" s="6"/>
      <c r="P682" s="13"/>
      <c r="Q682" s="13"/>
      <c r="R682" s="16"/>
      <c r="S682" s="16"/>
      <c r="T682" s="6"/>
      <c r="U682" s="10"/>
    </row>
    <row r="683" spans="1:21">
      <c r="A683" s="5"/>
      <c r="B683" s="6"/>
      <c r="C683" s="6"/>
      <c r="D683" s="6"/>
      <c r="E683" s="6"/>
      <c r="F683" s="6"/>
      <c r="G683" s="13"/>
      <c r="H683" s="6"/>
      <c r="I683" s="13"/>
      <c r="J683" s="6"/>
      <c r="K683" s="6"/>
      <c r="L683" s="6"/>
      <c r="M683" s="6"/>
      <c r="N683" s="6"/>
      <c r="O683" s="6"/>
      <c r="P683" s="13"/>
      <c r="Q683" s="13"/>
      <c r="R683" s="16"/>
      <c r="S683" s="16"/>
      <c r="T683" s="6"/>
      <c r="U683" s="10"/>
    </row>
    <row r="684" spans="1:21">
      <c r="A684" s="5"/>
      <c r="B684" s="6"/>
      <c r="C684" s="6"/>
      <c r="D684" s="6"/>
      <c r="E684" s="6"/>
      <c r="F684" s="6"/>
      <c r="G684" s="13"/>
      <c r="H684" s="6"/>
      <c r="I684" s="13"/>
      <c r="J684" s="6"/>
      <c r="K684" s="6"/>
      <c r="L684" s="6"/>
      <c r="M684" s="6"/>
      <c r="N684" s="6"/>
      <c r="O684" s="6"/>
      <c r="P684" s="13"/>
      <c r="Q684" s="13"/>
      <c r="R684" s="16"/>
      <c r="S684" s="16"/>
      <c r="T684" s="6"/>
      <c r="U684" s="10"/>
    </row>
    <row r="685" spans="1:21">
      <c r="A685" s="5"/>
      <c r="B685" s="6"/>
      <c r="C685" s="6"/>
      <c r="D685" s="6"/>
      <c r="E685" s="6"/>
      <c r="F685" s="6"/>
      <c r="G685" s="13"/>
      <c r="H685" s="6"/>
      <c r="I685" s="13"/>
      <c r="J685" s="6"/>
      <c r="K685" s="6"/>
      <c r="L685" s="6"/>
      <c r="M685" s="6"/>
      <c r="N685" s="6"/>
      <c r="O685" s="6"/>
      <c r="P685" s="13"/>
      <c r="Q685" s="13"/>
      <c r="R685" s="16"/>
      <c r="S685" s="16"/>
      <c r="T685" s="6"/>
      <c r="U685" s="10"/>
    </row>
    <row r="686" spans="1:21">
      <c r="A686" s="5"/>
      <c r="B686" s="6"/>
      <c r="C686" s="6"/>
      <c r="D686" s="6"/>
      <c r="E686" s="6"/>
      <c r="F686" s="6"/>
      <c r="G686" s="13"/>
      <c r="H686" s="6"/>
      <c r="I686" s="13"/>
      <c r="J686" s="6"/>
      <c r="K686" s="6"/>
      <c r="L686" s="6"/>
      <c r="M686" s="6"/>
      <c r="N686" s="6"/>
      <c r="O686" s="6"/>
      <c r="P686" s="13"/>
      <c r="Q686" s="13"/>
      <c r="R686" s="16"/>
      <c r="S686" s="16"/>
      <c r="T686" s="6"/>
      <c r="U686" s="10"/>
    </row>
    <row r="687" spans="1:21">
      <c r="A687" s="5"/>
      <c r="B687" s="6"/>
      <c r="C687" s="6"/>
      <c r="D687" s="6"/>
      <c r="E687" s="6"/>
      <c r="F687" s="6"/>
      <c r="G687" s="13"/>
      <c r="H687" s="6"/>
      <c r="I687" s="13"/>
      <c r="J687" s="6"/>
      <c r="K687" s="6"/>
      <c r="L687" s="6"/>
      <c r="M687" s="6"/>
      <c r="N687" s="6"/>
      <c r="O687" s="6"/>
      <c r="P687" s="13"/>
      <c r="Q687" s="13"/>
      <c r="R687" s="16"/>
      <c r="S687" s="16"/>
      <c r="T687" s="6"/>
      <c r="U687" s="10"/>
    </row>
    <row r="688" spans="1:21">
      <c r="A688" s="5"/>
      <c r="B688" s="6"/>
      <c r="C688" s="6"/>
      <c r="D688" s="6"/>
      <c r="E688" s="6"/>
      <c r="F688" s="6"/>
      <c r="G688" s="13"/>
      <c r="H688" s="6"/>
      <c r="I688" s="13"/>
      <c r="J688" s="6"/>
      <c r="K688" s="6"/>
      <c r="L688" s="6"/>
      <c r="M688" s="6"/>
      <c r="N688" s="6"/>
      <c r="O688" s="6"/>
      <c r="P688" s="13"/>
      <c r="Q688" s="13"/>
      <c r="R688" s="16"/>
      <c r="S688" s="16"/>
      <c r="T688" s="6"/>
      <c r="U688" s="10"/>
    </row>
    <row r="689" spans="1:21">
      <c r="A689" s="5"/>
      <c r="B689" s="6"/>
      <c r="C689" s="6"/>
      <c r="D689" s="6"/>
      <c r="E689" s="6"/>
      <c r="F689" s="6"/>
      <c r="G689" s="13"/>
      <c r="H689" s="6"/>
      <c r="I689" s="13"/>
      <c r="J689" s="6"/>
      <c r="K689" s="6"/>
      <c r="L689" s="6"/>
      <c r="M689" s="6"/>
      <c r="N689" s="6"/>
      <c r="O689" s="6"/>
      <c r="P689" s="13"/>
      <c r="Q689" s="13"/>
      <c r="R689" s="16"/>
      <c r="S689" s="16"/>
      <c r="T689" s="6"/>
      <c r="U689" s="10"/>
    </row>
    <row r="690" spans="1:21">
      <c r="A690" s="5"/>
      <c r="B690" s="6"/>
      <c r="C690" s="6"/>
      <c r="D690" s="6"/>
      <c r="E690" s="6"/>
      <c r="F690" s="6"/>
      <c r="G690" s="13"/>
      <c r="H690" s="6"/>
      <c r="I690" s="13"/>
      <c r="J690" s="6"/>
      <c r="K690" s="6"/>
      <c r="L690" s="6"/>
      <c r="M690" s="6"/>
      <c r="N690" s="6"/>
      <c r="O690" s="6"/>
      <c r="P690" s="13"/>
      <c r="Q690" s="13"/>
      <c r="R690" s="16"/>
      <c r="S690" s="16"/>
      <c r="T690" s="6"/>
      <c r="U690" s="10"/>
    </row>
    <row r="691" spans="1:21">
      <c r="A691" s="5"/>
      <c r="B691" s="6"/>
      <c r="C691" s="6"/>
      <c r="D691" s="6"/>
      <c r="E691" s="6"/>
      <c r="F691" s="6"/>
      <c r="G691" s="13"/>
      <c r="H691" s="6"/>
      <c r="I691" s="13"/>
      <c r="J691" s="6"/>
      <c r="K691" s="6"/>
      <c r="L691" s="6"/>
      <c r="M691" s="6"/>
      <c r="N691" s="6"/>
      <c r="O691" s="6"/>
      <c r="P691" s="13"/>
      <c r="Q691" s="13"/>
      <c r="R691" s="16"/>
      <c r="S691" s="16"/>
      <c r="T691" s="6"/>
      <c r="U691" s="10"/>
    </row>
    <row r="692" spans="1:21">
      <c r="A692" s="5"/>
      <c r="B692" s="6"/>
      <c r="C692" s="6"/>
      <c r="D692" s="6"/>
      <c r="E692" s="6"/>
      <c r="F692" s="6"/>
      <c r="G692" s="13"/>
      <c r="H692" s="6"/>
      <c r="I692" s="13"/>
      <c r="J692" s="6"/>
      <c r="K692" s="6"/>
      <c r="L692" s="6"/>
      <c r="M692" s="6"/>
      <c r="N692" s="6"/>
      <c r="O692" s="6"/>
      <c r="P692" s="13"/>
      <c r="Q692" s="13"/>
      <c r="R692" s="16"/>
      <c r="S692" s="16"/>
      <c r="T692" s="6"/>
      <c r="U692" s="10"/>
    </row>
    <row r="693" spans="1:21">
      <c r="A693" s="5"/>
      <c r="B693" s="6"/>
      <c r="C693" s="6"/>
      <c r="D693" s="6"/>
      <c r="E693" s="6"/>
      <c r="F693" s="6"/>
      <c r="G693" s="13"/>
      <c r="H693" s="6"/>
      <c r="I693" s="13"/>
      <c r="J693" s="6"/>
      <c r="K693" s="6"/>
      <c r="L693" s="6"/>
      <c r="M693" s="6"/>
      <c r="N693" s="6"/>
      <c r="O693" s="6"/>
      <c r="P693" s="13"/>
      <c r="Q693" s="13"/>
      <c r="R693" s="16"/>
      <c r="S693" s="16"/>
      <c r="T693" s="6"/>
      <c r="U693" s="10"/>
    </row>
    <row r="694" spans="1:21">
      <c r="A694" s="5"/>
      <c r="B694" s="6"/>
      <c r="C694" s="6"/>
      <c r="D694" s="6"/>
      <c r="E694" s="6"/>
      <c r="F694" s="6"/>
      <c r="G694" s="13"/>
      <c r="H694" s="6"/>
      <c r="I694" s="13"/>
      <c r="J694" s="6"/>
      <c r="K694" s="6"/>
      <c r="L694" s="6"/>
      <c r="M694" s="6"/>
      <c r="N694" s="6"/>
      <c r="O694" s="6"/>
      <c r="P694" s="13"/>
      <c r="Q694" s="13"/>
      <c r="R694" s="16"/>
      <c r="S694" s="16"/>
      <c r="T694" s="6"/>
      <c r="U694" s="10"/>
    </row>
    <row r="695" spans="1:21">
      <c r="A695" s="5"/>
      <c r="B695" s="6"/>
      <c r="C695" s="6"/>
      <c r="D695" s="6"/>
      <c r="E695" s="6"/>
      <c r="F695" s="6"/>
      <c r="G695" s="13"/>
      <c r="H695" s="6"/>
      <c r="I695" s="13"/>
      <c r="J695" s="6"/>
      <c r="K695" s="6"/>
      <c r="L695" s="6"/>
      <c r="M695" s="6"/>
      <c r="N695" s="6"/>
      <c r="O695" s="6"/>
      <c r="P695" s="13"/>
      <c r="Q695" s="13"/>
      <c r="R695" s="16"/>
      <c r="S695" s="16"/>
      <c r="T695" s="6"/>
      <c r="U695" s="10"/>
    </row>
    <row r="696" spans="1:21">
      <c r="A696" s="5"/>
      <c r="B696" s="6"/>
      <c r="C696" s="6"/>
      <c r="D696" s="6"/>
      <c r="E696" s="6"/>
      <c r="F696" s="6"/>
      <c r="G696" s="13"/>
      <c r="H696" s="6"/>
      <c r="I696" s="13"/>
      <c r="J696" s="6"/>
      <c r="K696" s="6"/>
      <c r="L696" s="6"/>
      <c r="M696" s="6"/>
      <c r="N696" s="6"/>
      <c r="O696" s="6"/>
      <c r="P696" s="13"/>
      <c r="Q696" s="13"/>
      <c r="R696" s="16"/>
      <c r="S696" s="16"/>
      <c r="T696" s="6"/>
      <c r="U696" s="10"/>
    </row>
    <row r="697" spans="1:21">
      <c r="A697" s="5"/>
      <c r="B697" s="6"/>
      <c r="C697" s="6"/>
      <c r="D697" s="6"/>
      <c r="E697" s="6"/>
      <c r="F697" s="6"/>
      <c r="G697" s="13"/>
      <c r="H697" s="6"/>
      <c r="I697" s="13"/>
      <c r="J697" s="6"/>
      <c r="K697" s="6"/>
      <c r="L697" s="6"/>
      <c r="M697" s="6"/>
      <c r="N697" s="6"/>
      <c r="O697" s="6"/>
      <c r="P697" s="13"/>
      <c r="Q697" s="13"/>
      <c r="R697" s="16"/>
      <c r="S697" s="16"/>
      <c r="T697" s="6"/>
      <c r="U697" s="10"/>
    </row>
    <row r="698" spans="1:21">
      <c r="A698" s="5"/>
      <c r="B698" s="6"/>
      <c r="C698" s="6"/>
      <c r="D698" s="6"/>
      <c r="E698" s="6"/>
      <c r="F698" s="6"/>
      <c r="G698" s="13"/>
      <c r="H698" s="6"/>
      <c r="I698" s="13"/>
      <c r="J698" s="6"/>
      <c r="K698" s="6"/>
      <c r="L698" s="6"/>
      <c r="M698" s="6"/>
      <c r="N698" s="6"/>
      <c r="O698" s="6"/>
      <c r="P698" s="13"/>
      <c r="Q698" s="13"/>
      <c r="R698" s="16"/>
      <c r="S698" s="16"/>
      <c r="T698" s="6"/>
      <c r="U698" s="10"/>
    </row>
    <row r="699" spans="1:21">
      <c r="A699" s="5"/>
      <c r="B699" s="6"/>
      <c r="C699" s="6"/>
      <c r="D699" s="6"/>
      <c r="E699" s="6"/>
      <c r="F699" s="6"/>
      <c r="G699" s="13"/>
      <c r="H699" s="6"/>
      <c r="I699" s="13"/>
      <c r="J699" s="6"/>
      <c r="K699" s="6"/>
      <c r="L699" s="6"/>
      <c r="M699" s="6"/>
      <c r="N699" s="6"/>
      <c r="O699" s="6"/>
      <c r="P699" s="13"/>
      <c r="Q699" s="13"/>
      <c r="R699" s="16"/>
      <c r="S699" s="16"/>
      <c r="T699" s="6"/>
      <c r="U699" s="10"/>
    </row>
    <row r="700" spans="1:21">
      <c r="A700" s="5"/>
      <c r="B700" s="6"/>
      <c r="C700" s="6"/>
      <c r="D700" s="6"/>
      <c r="E700" s="6"/>
      <c r="F700" s="6"/>
      <c r="G700" s="13"/>
      <c r="H700" s="6"/>
      <c r="I700" s="13"/>
      <c r="J700" s="6"/>
      <c r="K700" s="6"/>
      <c r="L700" s="6"/>
      <c r="M700" s="6"/>
      <c r="N700" s="6"/>
      <c r="O700" s="6"/>
      <c r="P700" s="13"/>
      <c r="Q700" s="13"/>
      <c r="R700" s="16"/>
      <c r="S700" s="16"/>
      <c r="T700" s="6"/>
      <c r="U700" s="10"/>
    </row>
    <row r="701" spans="1:21">
      <c r="A701" s="5"/>
      <c r="B701" s="6"/>
      <c r="C701" s="6"/>
      <c r="D701" s="6"/>
      <c r="E701" s="6"/>
      <c r="F701" s="6"/>
      <c r="G701" s="13"/>
      <c r="H701" s="6"/>
      <c r="I701" s="13"/>
      <c r="J701" s="6"/>
      <c r="K701" s="6"/>
      <c r="L701" s="6"/>
      <c r="M701" s="6"/>
      <c r="N701" s="6"/>
      <c r="O701" s="6"/>
      <c r="P701" s="13"/>
      <c r="Q701" s="13"/>
      <c r="R701" s="16"/>
      <c r="S701" s="16"/>
      <c r="T701" s="6"/>
      <c r="U701" s="10"/>
    </row>
    <row r="702" spans="1:21">
      <c r="A702" s="5"/>
      <c r="B702" s="6"/>
      <c r="C702" s="6"/>
      <c r="D702" s="6"/>
      <c r="E702" s="6"/>
      <c r="F702" s="6"/>
      <c r="G702" s="13"/>
      <c r="H702" s="6"/>
      <c r="I702" s="13"/>
      <c r="J702" s="6"/>
      <c r="K702" s="6"/>
      <c r="L702" s="6"/>
      <c r="M702" s="6"/>
      <c r="N702" s="6"/>
      <c r="O702" s="6"/>
      <c r="P702" s="13"/>
      <c r="Q702" s="13"/>
      <c r="R702" s="16"/>
      <c r="S702" s="16"/>
      <c r="T702" s="6"/>
      <c r="U702" s="10"/>
    </row>
    <row r="703" spans="1:21">
      <c r="A703" s="5"/>
      <c r="B703" s="6"/>
      <c r="C703" s="6"/>
      <c r="D703" s="6"/>
      <c r="E703" s="6"/>
      <c r="F703" s="6"/>
      <c r="G703" s="13"/>
      <c r="H703" s="6"/>
      <c r="I703" s="13"/>
      <c r="J703" s="6"/>
      <c r="K703" s="6"/>
      <c r="L703" s="6"/>
      <c r="M703" s="6"/>
      <c r="N703" s="6"/>
      <c r="O703" s="6"/>
      <c r="P703" s="13"/>
      <c r="Q703" s="13"/>
      <c r="R703" s="16"/>
      <c r="S703" s="16"/>
      <c r="T703" s="6"/>
      <c r="U703" s="10"/>
    </row>
    <row r="704" spans="1:21">
      <c r="A704" s="5"/>
      <c r="B704" s="6"/>
      <c r="C704" s="6"/>
      <c r="D704" s="6"/>
      <c r="E704" s="6"/>
      <c r="F704" s="6"/>
      <c r="G704" s="13"/>
      <c r="H704" s="6"/>
      <c r="I704" s="13"/>
      <c r="J704" s="6"/>
      <c r="K704" s="6"/>
      <c r="L704" s="6"/>
      <c r="M704" s="6"/>
      <c r="N704" s="6"/>
      <c r="O704" s="6"/>
      <c r="P704" s="13"/>
      <c r="Q704" s="13"/>
      <c r="R704" s="16"/>
      <c r="S704" s="16"/>
      <c r="T704" s="6"/>
      <c r="U704" s="10"/>
    </row>
    <row r="705" spans="1:21">
      <c r="A705" s="5"/>
      <c r="B705" s="6"/>
      <c r="C705" s="6"/>
      <c r="D705" s="6"/>
      <c r="E705" s="6"/>
      <c r="F705" s="6"/>
      <c r="G705" s="13"/>
      <c r="H705" s="6"/>
      <c r="I705" s="13"/>
      <c r="J705" s="6"/>
      <c r="K705" s="6"/>
      <c r="L705" s="6"/>
      <c r="M705" s="6"/>
      <c r="N705" s="6"/>
      <c r="O705" s="6"/>
      <c r="P705" s="13"/>
      <c r="Q705" s="13"/>
      <c r="R705" s="16"/>
      <c r="S705" s="16"/>
      <c r="T705" s="6"/>
      <c r="U705" s="10"/>
    </row>
    <row r="706" spans="1:21">
      <c r="A706" s="5"/>
      <c r="B706" s="6"/>
      <c r="C706" s="6"/>
      <c r="D706" s="6"/>
      <c r="E706" s="6"/>
      <c r="F706" s="6"/>
      <c r="G706" s="13"/>
      <c r="H706" s="6"/>
      <c r="I706" s="13"/>
      <c r="J706" s="6"/>
      <c r="K706" s="6"/>
      <c r="L706" s="6"/>
      <c r="M706" s="6"/>
      <c r="N706" s="6"/>
      <c r="O706" s="6"/>
      <c r="P706" s="13"/>
      <c r="Q706" s="13"/>
      <c r="R706" s="16"/>
      <c r="S706" s="16"/>
      <c r="T706" s="6"/>
      <c r="U706" s="10"/>
    </row>
    <row r="707" spans="1:21">
      <c r="A707" s="5"/>
      <c r="B707" s="6"/>
      <c r="C707" s="6"/>
      <c r="D707" s="6"/>
      <c r="E707" s="6"/>
      <c r="F707" s="6"/>
      <c r="G707" s="13"/>
      <c r="H707" s="6"/>
      <c r="I707" s="13"/>
      <c r="J707" s="6"/>
      <c r="K707" s="6"/>
      <c r="L707" s="6"/>
      <c r="M707" s="6"/>
      <c r="N707" s="6"/>
      <c r="O707" s="6"/>
      <c r="P707" s="13"/>
      <c r="Q707" s="13"/>
      <c r="R707" s="16"/>
      <c r="S707" s="16"/>
      <c r="T707" s="6"/>
      <c r="U707" s="10"/>
    </row>
    <row r="708" spans="1:21">
      <c r="A708" s="5"/>
      <c r="B708" s="6"/>
      <c r="C708" s="6"/>
      <c r="D708" s="6"/>
      <c r="E708" s="6"/>
      <c r="F708" s="6"/>
      <c r="G708" s="13"/>
      <c r="H708" s="6"/>
      <c r="I708" s="13"/>
      <c r="J708" s="6"/>
      <c r="K708" s="6"/>
      <c r="L708" s="6"/>
      <c r="M708" s="6"/>
      <c r="N708" s="6"/>
      <c r="O708" s="6"/>
      <c r="P708" s="13"/>
      <c r="Q708" s="13"/>
      <c r="R708" s="16"/>
      <c r="S708" s="16"/>
      <c r="T708" s="6"/>
      <c r="U708" s="10"/>
    </row>
    <row r="709" spans="1:21">
      <c r="A709" s="5"/>
      <c r="B709" s="6"/>
      <c r="C709" s="6"/>
      <c r="D709" s="6"/>
      <c r="E709" s="6"/>
      <c r="F709" s="6"/>
      <c r="G709" s="13"/>
      <c r="H709" s="6"/>
      <c r="I709" s="13"/>
      <c r="J709" s="6"/>
      <c r="K709" s="6"/>
      <c r="L709" s="6"/>
      <c r="M709" s="6"/>
      <c r="N709" s="6"/>
      <c r="O709" s="6"/>
      <c r="P709" s="13"/>
      <c r="Q709" s="13"/>
      <c r="R709" s="16"/>
      <c r="S709" s="16"/>
      <c r="T709" s="6"/>
      <c r="U709" s="10"/>
    </row>
    <row r="710" spans="1:21">
      <c r="A710" s="5"/>
      <c r="B710" s="6"/>
      <c r="C710" s="6"/>
      <c r="D710" s="6"/>
      <c r="E710" s="6"/>
      <c r="F710" s="6"/>
      <c r="G710" s="13"/>
      <c r="H710" s="6"/>
      <c r="I710" s="13"/>
      <c r="J710" s="6"/>
      <c r="K710" s="6"/>
      <c r="L710" s="6"/>
      <c r="M710" s="6"/>
      <c r="N710" s="6"/>
      <c r="O710" s="6"/>
      <c r="P710" s="13"/>
      <c r="Q710" s="13"/>
      <c r="R710" s="16"/>
      <c r="S710" s="16"/>
      <c r="T710" s="6"/>
      <c r="U710" s="10"/>
    </row>
    <row r="711" spans="1:21">
      <c r="A711" s="5"/>
      <c r="B711" s="6"/>
      <c r="C711" s="6"/>
      <c r="D711" s="6"/>
      <c r="E711" s="6"/>
      <c r="F711" s="6"/>
      <c r="G711" s="13"/>
      <c r="H711" s="6"/>
      <c r="I711" s="13"/>
      <c r="J711" s="6"/>
      <c r="K711" s="6"/>
      <c r="L711" s="6"/>
      <c r="M711" s="6"/>
      <c r="N711" s="6"/>
      <c r="O711" s="6"/>
      <c r="P711" s="13"/>
      <c r="Q711" s="13"/>
      <c r="R711" s="16"/>
      <c r="S711" s="16"/>
      <c r="T711" s="6"/>
      <c r="U711" s="10"/>
    </row>
    <row r="712" spans="1:21">
      <c r="A712" s="5"/>
      <c r="B712" s="6"/>
      <c r="C712" s="6"/>
      <c r="D712" s="6"/>
      <c r="E712" s="6"/>
      <c r="F712" s="6"/>
      <c r="G712" s="13"/>
      <c r="H712" s="6"/>
      <c r="I712" s="13"/>
      <c r="J712" s="6"/>
      <c r="K712" s="6"/>
      <c r="L712" s="6"/>
      <c r="M712" s="6"/>
      <c r="N712" s="6"/>
      <c r="O712" s="6"/>
      <c r="P712" s="13"/>
      <c r="Q712" s="13"/>
      <c r="R712" s="16"/>
      <c r="S712" s="16"/>
      <c r="T712" s="6"/>
      <c r="U712" s="10"/>
    </row>
    <row r="713" spans="1:21">
      <c r="A713" s="5"/>
      <c r="B713" s="6"/>
      <c r="C713" s="6"/>
      <c r="D713" s="6"/>
      <c r="E713" s="6"/>
      <c r="F713" s="6"/>
      <c r="G713" s="13"/>
      <c r="H713" s="6"/>
      <c r="I713" s="13"/>
      <c r="J713" s="6"/>
      <c r="K713" s="6"/>
      <c r="L713" s="6"/>
      <c r="M713" s="6"/>
      <c r="N713" s="6"/>
      <c r="O713" s="6"/>
      <c r="P713" s="13"/>
      <c r="Q713" s="13"/>
      <c r="R713" s="16"/>
      <c r="S713" s="16"/>
      <c r="T713" s="6"/>
      <c r="U713" s="10"/>
    </row>
    <row r="714" spans="1:21">
      <c r="A714" s="5"/>
      <c r="B714" s="6"/>
      <c r="C714" s="6"/>
      <c r="D714" s="6"/>
      <c r="E714" s="6"/>
      <c r="F714" s="6"/>
      <c r="G714" s="13"/>
      <c r="H714" s="6"/>
      <c r="I714" s="13"/>
      <c r="J714" s="6"/>
      <c r="K714" s="6"/>
      <c r="L714" s="6"/>
      <c r="M714" s="6"/>
      <c r="N714" s="6"/>
      <c r="O714" s="6"/>
      <c r="P714" s="13"/>
      <c r="Q714" s="13"/>
      <c r="R714" s="16"/>
      <c r="S714" s="16"/>
      <c r="T714" s="6"/>
      <c r="U714" s="10"/>
    </row>
    <row r="715" spans="1:21">
      <c r="A715" s="5"/>
      <c r="B715" s="6"/>
      <c r="C715" s="6"/>
      <c r="D715" s="6"/>
      <c r="E715" s="6"/>
      <c r="F715" s="6"/>
      <c r="G715" s="13"/>
      <c r="H715" s="6"/>
      <c r="I715" s="13"/>
      <c r="J715" s="6"/>
      <c r="K715" s="6"/>
      <c r="L715" s="6"/>
      <c r="M715" s="6"/>
      <c r="N715" s="6"/>
      <c r="O715" s="6"/>
      <c r="P715" s="13"/>
      <c r="Q715" s="13"/>
      <c r="R715" s="16"/>
      <c r="S715" s="16"/>
      <c r="T715" s="6"/>
      <c r="U715" s="10"/>
    </row>
    <row r="716" spans="1:21">
      <c r="A716" s="5"/>
      <c r="B716" s="6"/>
      <c r="C716" s="6"/>
      <c r="D716" s="6"/>
      <c r="E716" s="6"/>
      <c r="F716" s="6"/>
      <c r="G716" s="13"/>
      <c r="H716" s="6"/>
      <c r="I716" s="13"/>
      <c r="J716" s="6"/>
      <c r="K716" s="6"/>
      <c r="L716" s="6"/>
      <c r="M716" s="6"/>
      <c r="N716" s="6"/>
      <c r="O716" s="6"/>
      <c r="P716" s="13"/>
      <c r="Q716" s="13"/>
      <c r="R716" s="16"/>
      <c r="S716" s="16"/>
      <c r="T716" s="6"/>
      <c r="U716" s="10"/>
    </row>
    <row r="717" spans="1:21">
      <c r="A717" s="5"/>
      <c r="B717" s="6"/>
      <c r="C717" s="6"/>
      <c r="D717" s="6"/>
      <c r="E717" s="6"/>
      <c r="F717" s="6"/>
      <c r="G717" s="13"/>
      <c r="H717" s="6"/>
      <c r="I717" s="13"/>
      <c r="J717" s="6"/>
      <c r="K717" s="6"/>
      <c r="L717" s="6"/>
      <c r="M717" s="6"/>
      <c r="N717" s="6"/>
      <c r="O717" s="6"/>
      <c r="P717" s="13"/>
      <c r="Q717" s="13"/>
      <c r="R717" s="16"/>
      <c r="S717" s="16"/>
      <c r="T717" s="6"/>
      <c r="U717" s="10"/>
    </row>
    <row r="718" spans="1:21">
      <c r="A718" s="5"/>
      <c r="B718" s="6"/>
      <c r="C718" s="6"/>
      <c r="D718" s="6"/>
      <c r="E718" s="6"/>
      <c r="F718" s="6"/>
      <c r="G718" s="13"/>
      <c r="H718" s="6"/>
      <c r="I718" s="13"/>
      <c r="J718" s="6"/>
      <c r="K718" s="6"/>
      <c r="L718" s="6"/>
      <c r="M718" s="6"/>
      <c r="N718" s="6"/>
      <c r="O718" s="6"/>
      <c r="P718" s="13"/>
      <c r="Q718" s="13"/>
      <c r="R718" s="16"/>
      <c r="S718" s="16"/>
      <c r="T718" s="6"/>
      <c r="U718" s="10"/>
    </row>
    <row r="719" spans="1:21">
      <c r="A719" s="5"/>
      <c r="B719" s="6"/>
      <c r="C719" s="6"/>
      <c r="D719" s="6"/>
      <c r="E719" s="6"/>
      <c r="F719" s="6"/>
      <c r="G719" s="13"/>
      <c r="H719" s="6"/>
      <c r="I719" s="13"/>
      <c r="J719" s="6"/>
      <c r="K719" s="6"/>
      <c r="L719" s="6"/>
      <c r="M719" s="6"/>
      <c r="N719" s="6"/>
      <c r="O719" s="6"/>
      <c r="P719" s="13"/>
      <c r="Q719" s="13"/>
      <c r="R719" s="16"/>
      <c r="S719" s="16"/>
      <c r="T719" s="6"/>
      <c r="U719" s="10"/>
    </row>
    <row r="720" spans="1:21">
      <c r="A720" s="5"/>
      <c r="B720" s="6"/>
      <c r="C720" s="6"/>
      <c r="D720" s="6"/>
      <c r="E720" s="6"/>
      <c r="F720" s="6"/>
      <c r="G720" s="13"/>
      <c r="H720" s="6"/>
      <c r="I720" s="13"/>
      <c r="J720" s="6"/>
      <c r="K720" s="6"/>
      <c r="L720" s="6"/>
      <c r="M720" s="6"/>
      <c r="N720" s="6"/>
      <c r="O720" s="6"/>
      <c r="P720" s="13"/>
      <c r="Q720" s="13"/>
      <c r="R720" s="16"/>
      <c r="S720" s="16"/>
      <c r="T720" s="6"/>
      <c r="U720" s="10"/>
    </row>
    <row r="721" spans="1:21">
      <c r="A721" s="5"/>
      <c r="B721" s="6"/>
      <c r="C721" s="6"/>
      <c r="D721" s="6"/>
      <c r="E721" s="6"/>
      <c r="F721" s="6"/>
      <c r="G721" s="13"/>
      <c r="H721" s="6"/>
      <c r="I721" s="13"/>
      <c r="J721" s="6"/>
      <c r="K721" s="6"/>
      <c r="L721" s="6"/>
      <c r="M721" s="6"/>
      <c r="N721" s="6"/>
      <c r="O721" s="6"/>
      <c r="P721" s="13"/>
      <c r="Q721" s="13"/>
      <c r="R721" s="16"/>
      <c r="S721" s="16"/>
      <c r="T721" s="6"/>
      <c r="U721" s="10"/>
    </row>
    <row r="722" spans="1:21">
      <c r="A722" s="5"/>
      <c r="B722" s="6"/>
      <c r="C722" s="6"/>
      <c r="D722" s="6"/>
      <c r="E722" s="6"/>
      <c r="F722" s="6"/>
      <c r="G722" s="13"/>
      <c r="H722" s="6"/>
      <c r="I722" s="13"/>
      <c r="J722" s="6"/>
      <c r="K722" s="6"/>
      <c r="L722" s="6"/>
      <c r="M722" s="6"/>
      <c r="N722" s="6"/>
      <c r="O722" s="6"/>
      <c r="P722" s="13"/>
      <c r="Q722" s="13"/>
      <c r="R722" s="16"/>
      <c r="S722" s="16"/>
      <c r="T722" s="6"/>
      <c r="U722" s="10"/>
    </row>
    <row r="723" spans="1:21">
      <c r="A723" s="5"/>
      <c r="B723" s="6"/>
      <c r="C723" s="6"/>
      <c r="D723" s="6"/>
      <c r="E723" s="6"/>
      <c r="F723" s="6"/>
      <c r="G723" s="13"/>
      <c r="H723" s="6"/>
      <c r="I723" s="13"/>
      <c r="J723" s="6"/>
      <c r="K723" s="6"/>
      <c r="L723" s="6"/>
      <c r="M723" s="6"/>
      <c r="N723" s="6"/>
      <c r="O723" s="6"/>
      <c r="P723" s="13"/>
      <c r="Q723" s="13"/>
      <c r="R723" s="16"/>
      <c r="S723" s="16"/>
      <c r="T723" s="6"/>
      <c r="U723" s="10"/>
    </row>
    <row r="724" spans="1:21">
      <c r="A724" s="5"/>
      <c r="B724" s="6"/>
      <c r="C724" s="6"/>
      <c r="D724" s="6"/>
      <c r="E724" s="6"/>
      <c r="F724" s="6"/>
      <c r="G724" s="13"/>
      <c r="H724" s="6"/>
      <c r="I724" s="13"/>
      <c r="J724" s="6"/>
      <c r="K724" s="6"/>
      <c r="L724" s="6"/>
      <c r="M724" s="6"/>
      <c r="N724" s="6"/>
      <c r="O724" s="6"/>
      <c r="P724" s="13"/>
      <c r="Q724" s="13"/>
      <c r="R724" s="16"/>
      <c r="S724" s="16"/>
      <c r="T724" s="6"/>
      <c r="U724" s="10"/>
    </row>
    <row r="725" spans="1:21">
      <c r="A725" s="5"/>
      <c r="B725" s="6"/>
      <c r="C725" s="6"/>
      <c r="D725" s="6"/>
      <c r="E725" s="6"/>
      <c r="F725" s="6"/>
      <c r="G725" s="13"/>
      <c r="H725" s="6"/>
      <c r="I725" s="13"/>
      <c r="J725" s="6"/>
      <c r="K725" s="6"/>
      <c r="L725" s="6"/>
      <c r="M725" s="6"/>
      <c r="N725" s="6"/>
      <c r="O725" s="6"/>
      <c r="P725" s="13"/>
      <c r="Q725" s="13"/>
      <c r="R725" s="16"/>
      <c r="S725" s="16"/>
      <c r="T725" s="6"/>
      <c r="U725" s="10"/>
    </row>
    <row r="726" spans="1:21">
      <c r="A726" s="5"/>
      <c r="B726" s="6"/>
      <c r="C726" s="6"/>
      <c r="D726" s="6"/>
      <c r="E726" s="6"/>
      <c r="F726" s="6"/>
      <c r="G726" s="13"/>
      <c r="H726" s="6"/>
      <c r="I726" s="13"/>
      <c r="J726" s="6"/>
      <c r="K726" s="6"/>
      <c r="L726" s="6"/>
      <c r="M726" s="6"/>
      <c r="N726" s="6"/>
      <c r="O726" s="6"/>
      <c r="P726" s="13"/>
      <c r="Q726" s="13"/>
      <c r="R726" s="16"/>
      <c r="S726" s="16"/>
      <c r="T726" s="6"/>
      <c r="U726" s="10"/>
    </row>
    <row r="727" spans="1:21">
      <c r="A727" s="5"/>
      <c r="B727" s="6"/>
      <c r="C727" s="6"/>
      <c r="D727" s="6"/>
      <c r="E727" s="6"/>
      <c r="F727" s="6"/>
      <c r="G727" s="13"/>
      <c r="H727" s="6"/>
      <c r="I727" s="13"/>
      <c r="J727" s="6"/>
      <c r="K727" s="6"/>
      <c r="L727" s="6"/>
      <c r="M727" s="6"/>
      <c r="N727" s="6"/>
      <c r="O727" s="6"/>
      <c r="P727" s="13"/>
      <c r="Q727" s="13"/>
      <c r="R727" s="16"/>
      <c r="S727" s="16"/>
      <c r="T727" s="6"/>
      <c r="U727" s="10"/>
    </row>
    <row r="728" spans="1:21">
      <c r="A728" s="5"/>
      <c r="B728" s="6"/>
      <c r="C728" s="6"/>
      <c r="D728" s="6"/>
      <c r="E728" s="6"/>
      <c r="F728" s="6"/>
      <c r="G728" s="13"/>
      <c r="H728" s="6"/>
      <c r="I728" s="13"/>
      <c r="J728" s="6"/>
      <c r="K728" s="6"/>
      <c r="L728" s="6"/>
      <c r="M728" s="6"/>
      <c r="N728" s="6"/>
      <c r="O728" s="6"/>
      <c r="P728" s="13"/>
      <c r="Q728" s="13"/>
      <c r="R728" s="16"/>
      <c r="S728" s="16"/>
      <c r="T728" s="6"/>
      <c r="U728" s="10"/>
    </row>
    <row r="729" spans="1:21">
      <c r="A729" s="5"/>
      <c r="B729" s="6"/>
      <c r="C729" s="6"/>
      <c r="D729" s="6"/>
      <c r="E729" s="6"/>
      <c r="F729" s="6"/>
      <c r="G729" s="13"/>
      <c r="H729" s="6"/>
      <c r="I729" s="13"/>
      <c r="J729" s="6"/>
      <c r="K729" s="6"/>
      <c r="L729" s="6"/>
      <c r="M729" s="6"/>
      <c r="N729" s="6"/>
      <c r="O729" s="6"/>
      <c r="P729" s="13"/>
      <c r="Q729" s="13"/>
      <c r="R729" s="16"/>
      <c r="S729" s="16"/>
      <c r="T729" s="6"/>
      <c r="U729" s="10"/>
    </row>
    <row r="730" spans="1:21">
      <c r="A730" s="5"/>
      <c r="B730" s="6"/>
      <c r="C730" s="6"/>
      <c r="D730" s="6"/>
      <c r="E730" s="6"/>
      <c r="F730" s="6"/>
      <c r="G730" s="13"/>
      <c r="H730" s="6"/>
      <c r="I730" s="13"/>
      <c r="J730" s="6"/>
      <c r="K730" s="6"/>
      <c r="L730" s="6"/>
      <c r="M730" s="6"/>
      <c r="N730" s="6"/>
      <c r="O730" s="6"/>
      <c r="P730" s="13"/>
      <c r="Q730" s="13"/>
      <c r="R730" s="16"/>
      <c r="S730" s="16"/>
      <c r="T730" s="6"/>
      <c r="U730" s="10"/>
    </row>
    <row r="731" spans="1:21">
      <c r="A731" s="5"/>
      <c r="B731" s="6"/>
      <c r="C731" s="6"/>
      <c r="D731" s="6"/>
      <c r="E731" s="6"/>
      <c r="F731" s="6"/>
      <c r="G731" s="13"/>
      <c r="H731" s="6"/>
      <c r="I731" s="13"/>
      <c r="J731" s="6"/>
      <c r="K731" s="6"/>
      <c r="L731" s="6"/>
      <c r="M731" s="6"/>
      <c r="N731" s="6"/>
      <c r="O731" s="6"/>
      <c r="P731" s="13"/>
      <c r="Q731" s="13"/>
      <c r="R731" s="16"/>
      <c r="S731" s="16"/>
      <c r="T731" s="6"/>
      <c r="U731" s="10"/>
    </row>
    <row r="732" spans="1:21">
      <c r="A732" s="5"/>
      <c r="B732" s="6"/>
      <c r="C732" s="6"/>
      <c r="D732" s="6"/>
      <c r="E732" s="6"/>
      <c r="F732" s="6"/>
      <c r="G732" s="13"/>
      <c r="H732" s="6"/>
      <c r="I732" s="13"/>
      <c r="J732" s="6"/>
      <c r="K732" s="6"/>
      <c r="L732" s="6"/>
      <c r="M732" s="6"/>
      <c r="N732" s="6"/>
      <c r="O732" s="6"/>
      <c r="P732" s="13"/>
      <c r="Q732" s="13"/>
      <c r="R732" s="16"/>
      <c r="S732" s="16"/>
      <c r="T732" s="6"/>
      <c r="U732" s="10"/>
    </row>
    <row r="733" spans="1:21">
      <c r="A733" s="5"/>
      <c r="B733" s="6"/>
      <c r="C733" s="6"/>
      <c r="D733" s="6"/>
      <c r="E733" s="6"/>
      <c r="F733" s="6"/>
      <c r="G733" s="13"/>
      <c r="H733" s="6"/>
      <c r="I733" s="13"/>
      <c r="J733" s="6"/>
      <c r="K733" s="6"/>
      <c r="L733" s="6"/>
      <c r="M733" s="6"/>
      <c r="N733" s="6"/>
      <c r="O733" s="6"/>
      <c r="P733" s="13"/>
      <c r="Q733" s="13"/>
      <c r="R733" s="16"/>
      <c r="S733" s="16"/>
      <c r="T733" s="6"/>
      <c r="U733" s="10"/>
    </row>
    <row r="734" spans="1:21">
      <c r="A734" s="5"/>
      <c r="B734" s="6"/>
      <c r="C734" s="6"/>
      <c r="D734" s="6"/>
      <c r="E734" s="6"/>
      <c r="F734" s="6"/>
      <c r="G734" s="13"/>
      <c r="H734" s="6"/>
      <c r="I734" s="13"/>
      <c r="J734" s="6"/>
      <c r="K734" s="6"/>
      <c r="L734" s="6"/>
      <c r="M734" s="6"/>
      <c r="N734" s="6"/>
      <c r="O734" s="6"/>
      <c r="P734" s="13"/>
      <c r="Q734" s="13"/>
      <c r="R734" s="16"/>
      <c r="S734" s="16"/>
      <c r="T734" s="6"/>
      <c r="U734" s="10"/>
    </row>
    <row r="735" spans="1:21">
      <c r="A735" s="5"/>
      <c r="B735" s="6"/>
      <c r="C735" s="6"/>
      <c r="D735" s="6"/>
      <c r="E735" s="6"/>
      <c r="F735" s="6"/>
      <c r="G735" s="13"/>
      <c r="H735" s="6"/>
      <c r="I735" s="13"/>
      <c r="J735" s="6"/>
      <c r="K735" s="6"/>
      <c r="L735" s="6"/>
      <c r="M735" s="6"/>
      <c r="N735" s="6"/>
      <c r="O735" s="6"/>
      <c r="P735" s="13"/>
      <c r="Q735" s="13"/>
      <c r="R735" s="16"/>
      <c r="S735" s="16"/>
      <c r="T735" s="6"/>
      <c r="U735" s="10"/>
    </row>
    <row r="736" spans="1:21">
      <c r="A736" s="5"/>
      <c r="B736" s="6"/>
      <c r="C736" s="6"/>
      <c r="D736" s="6"/>
      <c r="E736" s="6"/>
      <c r="F736" s="6"/>
      <c r="G736" s="13"/>
      <c r="H736" s="6"/>
      <c r="I736" s="13"/>
      <c r="J736" s="6"/>
      <c r="K736" s="6"/>
      <c r="L736" s="6"/>
      <c r="M736" s="6"/>
      <c r="N736" s="6"/>
      <c r="O736" s="6"/>
      <c r="P736" s="13"/>
      <c r="Q736" s="13"/>
      <c r="R736" s="16"/>
      <c r="S736" s="16"/>
      <c r="T736" s="6"/>
      <c r="U736" s="10"/>
    </row>
    <row r="737" spans="1:21">
      <c r="A737" s="5"/>
      <c r="B737" s="6"/>
      <c r="C737" s="6"/>
      <c r="D737" s="6"/>
      <c r="E737" s="6"/>
      <c r="F737" s="6"/>
      <c r="G737" s="13"/>
      <c r="H737" s="6"/>
      <c r="I737" s="13"/>
      <c r="J737" s="6"/>
      <c r="K737" s="6"/>
      <c r="L737" s="6"/>
      <c r="M737" s="6"/>
      <c r="N737" s="6"/>
      <c r="O737" s="6"/>
      <c r="P737" s="13"/>
      <c r="Q737" s="13"/>
      <c r="R737" s="16"/>
      <c r="S737" s="16"/>
      <c r="T737" s="6"/>
      <c r="U737" s="10"/>
    </row>
    <row r="738" spans="1:21">
      <c r="A738" s="5"/>
      <c r="B738" s="6"/>
      <c r="C738" s="6"/>
      <c r="D738" s="6"/>
      <c r="E738" s="6"/>
      <c r="F738" s="6"/>
      <c r="G738" s="13"/>
      <c r="H738" s="6"/>
      <c r="I738" s="13"/>
      <c r="J738" s="6"/>
      <c r="K738" s="6"/>
      <c r="L738" s="6"/>
      <c r="M738" s="6"/>
      <c r="N738" s="6"/>
      <c r="O738" s="6"/>
      <c r="P738" s="13"/>
      <c r="Q738" s="13"/>
      <c r="R738" s="16"/>
      <c r="S738" s="16"/>
      <c r="T738" s="6"/>
      <c r="U738" s="10"/>
    </row>
    <row r="739" spans="1:21">
      <c r="A739" s="5"/>
      <c r="B739" s="6"/>
      <c r="C739" s="6"/>
      <c r="D739" s="6"/>
      <c r="E739" s="6"/>
      <c r="F739" s="6"/>
      <c r="G739" s="13"/>
      <c r="H739" s="6"/>
      <c r="I739" s="13"/>
      <c r="J739" s="6"/>
      <c r="K739" s="6"/>
      <c r="L739" s="6"/>
      <c r="M739" s="6"/>
      <c r="N739" s="6"/>
      <c r="O739" s="6"/>
      <c r="P739" s="13"/>
      <c r="Q739" s="13"/>
      <c r="R739" s="16"/>
      <c r="S739" s="16"/>
      <c r="T739" s="6"/>
      <c r="U739" s="10"/>
    </row>
    <row r="740" spans="1:21">
      <c r="A740" s="5"/>
      <c r="B740" s="6"/>
      <c r="C740" s="6"/>
      <c r="D740" s="6"/>
      <c r="E740" s="6"/>
      <c r="F740" s="6"/>
      <c r="G740" s="13"/>
      <c r="H740" s="6"/>
      <c r="I740" s="13"/>
      <c r="J740" s="6"/>
      <c r="K740" s="6"/>
      <c r="L740" s="6"/>
      <c r="M740" s="6"/>
      <c r="N740" s="6"/>
      <c r="O740" s="6"/>
      <c r="P740" s="13"/>
      <c r="Q740" s="13"/>
      <c r="R740" s="16"/>
      <c r="S740" s="16"/>
      <c r="T740" s="6"/>
      <c r="U740" s="10"/>
    </row>
    <row r="741" spans="1:21">
      <c r="A741" s="5"/>
      <c r="B741" s="6"/>
      <c r="C741" s="6"/>
      <c r="D741" s="6"/>
      <c r="E741" s="6"/>
      <c r="F741" s="6"/>
      <c r="G741" s="13"/>
      <c r="H741" s="6"/>
      <c r="I741" s="13"/>
      <c r="J741" s="6"/>
      <c r="K741" s="6"/>
      <c r="L741" s="6"/>
      <c r="M741" s="6"/>
      <c r="N741" s="6"/>
      <c r="O741" s="6"/>
      <c r="P741" s="13"/>
      <c r="Q741" s="13"/>
      <c r="R741" s="16"/>
      <c r="S741" s="16"/>
      <c r="T741" s="6"/>
      <c r="U741" s="10"/>
    </row>
    <row r="742" spans="1:21">
      <c r="A742" s="5"/>
      <c r="B742" s="6"/>
      <c r="C742" s="6"/>
      <c r="D742" s="6"/>
      <c r="E742" s="6"/>
      <c r="F742" s="6"/>
      <c r="G742" s="13"/>
      <c r="H742" s="6"/>
      <c r="I742" s="13"/>
      <c r="J742" s="6"/>
      <c r="K742" s="6"/>
      <c r="L742" s="6"/>
      <c r="M742" s="6"/>
      <c r="N742" s="6"/>
      <c r="O742" s="6"/>
      <c r="P742" s="13"/>
      <c r="Q742" s="13"/>
      <c r="R742" s="16"/>
      <c r="S742" s="16"/>
      <c r="T742" s="6"/>
      <c r="U742" s="10"/>
    </row>
    <row r="743" spans="1:21">
      <c r="A743" s="5"/>
      <c r="B743" s="6"/>
      <c r="C743" s="6"/>
      <c r="D743" s="6"/>
      <c r="E743" s="6"/>
      <c r="F743" s="6"/>
      <c r="G743" s="13"/>
      <c r="H743" s="6"/>
      <c r="I743" s="13"/>
      <c r="J743" s="6"/>
      <c r="K743" s="6"/>
      <c r="L743" s="6"/>
      <c r="M743" s="6"/>
      <c r="N743" s="6"/>
      <c r="O743" s="6"/>
      <c r="P743" s="13"/>
      <c r="Q743" s="13"/>
      <c r="R743" s="16"/>
      <c r="S743" s="16"/>
      <c r="T743" s="6"/>
      <c r="U743" s="10"/>
    </row>
    <row r="744" spans="1:21">
      <c r="A744" s="5"/>
      <c r="B744" s="6"/>
      <c r="C744" s="6"/>
      <c r="D744" s="6"/>
      <c r="E744" s="6"/>
      <c r="F744" s="6"/>
      <c r="G744" s="13"/>
      <c r="H744" s="6"/>
      <c r="I744" s="13"/>
      <c r="J744" s="6"/>
      <c r="K744" s="6"/>
      <c r="L744" s="6"/>
      <c r="M744" s="6"/>
      <c r="N744" s="6"/>
      <c r="O744" s="6"/>
      <c r="P744" s="13"/>
      <c r="Q744" s="13"/>
      <c r="R744" s="16"/>
      <c r="S744" s="16"/>
      <c r="T744" s="6"/>
      <c r="U744" s="10"/>
    </row>
    <row r="745" spans="1:21">
      <c r="A745" s="5"/>
      <c r="B745" s="6"/>
      <c r="C745" s="6"/>
      <c r="D745" s="6"/>
      <c r="E745" s="6"/>
      <c r="F745" s="6"/>
      <c r="G745" s="13"/>
      <c r="H745" s="6"/>
      <c r="I745" s="13"/>
      <c r="J745" s="6"/>
      <c r="K745" s="6"/>
      <c r="L745" s="6"/>
      <c r="M745" s="6"/>
      <c r="N745" s="6"/>
      <c r="O745" s="6"/>
      <c r="P745" s="13"/>
      <c r="Q745" s="13"/>
      <c r="R745" s="16"/>
      <c r="S745" s="16"/>
      <c r="T745" s="6"/>
      <c r="U745" s="10"/>
    </row>
    <row r="746" spans="1:21">
      <c r="A746" s="5"/>
      <c r="B746" s="6"/>
      <c r="C746" s="6"/>
      <c r="D746" s="6"/>
      <c r="E746" s="6"/>
      <c r="F746" s="6"/>
      <c r="G746" s="13"/>
      <c r="H746" s="6"/>
      <c r="I746" s="13"/>
      <c r="J746" s="6"/>
      <c r="K746" s="6"/>
      <c r="L746" s="6"/>
      <c r="M746" s="6"/>
      <c r="N746" s="6"/>
      <c r="O746" s="6"/>
      <c r="P746" s="13"/>
      <c r="Q746" s="13"/>
      <c r="R746" s="16"/>
      <c r="S746" s="16"/>
      <c r="T746" s="6"/>
      <c r="U746" s="10"/>
    </row>
    <row r="747" spans="1:21">
      <c r="A747" s="5"/>
      <c r="B747" s="6"/>
      <c r="C747" s="6"/>
      <c r="D747" s="6"/>
      <c r="E747" s="6"/>
      <c r="F747" s="6"/>
      <c r="G747" s="13"/>
      <c r="H747" s="6"/>
      <c r="I747" s="13"/>
      <c r="J747" s="6"/>
      <c r="K747" s="6"/>
      <c r="L747" s="6"/>
      <c r="M747" s="6"/>
      <c r="N747" s="6"/>
      <c r="O747" s="6"/>
      <c r="P747" s="13"/>
      <c r="Q747" s="13"/>
      <c r="R747" s="16"/>
      <c r="S747" s="16"/>
      <c r="T747" s="6"/>
      <c r="U747" s="10"/>
    </row>
    <row r="748" spans="1:21">
      <c r="A748" s="5"/>
      <c r="B748" s="6"/>
      <c r="C748" s="6"/>
      <c r="D748" s="6"/>
      <c r="E748" s="6"/>
      <c r="F748" s="6"/>
      <c r="G748" s="13"/>
      <c r="H748" s="6"/>
      <c r="I748" s="13"/>
      <c r="J748" s="6"/>
      <c r="K748" s="6"/>
      <c r="L748" s="6"/>
      <c r="M748" s="6"/>
      <c r="N748" s="6"/>
      <c r="O748" s="6"/>
      <c r="P748" s="13"/>
      <c r="Q748" s="13"/>
      <c r="R748" s="16"/>
      <c r="S748" s="16"/>
      <c r="T748" s="6"/>
      <c r="U748" s="10"/>
    </row>
    <row r="749" spans="1:21">
      <c r="A749" s="5"/>
      <c r="B749" s="6"/>
      <c r="C749" s="6"/>
      <c r="D749" s="6"/>
      <c r="E749" s="6"/>
      <c r="F749" s="6"/>
      <c r="G749" s="13"/>
      <c r="H749" s="6"/>
      <c r="I749" s="13"/>
      <c r="J749" s="6"/>
      <c r="K749" s="6"/>
      <c r="L749" s="6"/>
      <c r="M749" s="6"/>
      <c r="N749" s="6"/>
      <c r="O749" s="6"/>
      <c r="P749" s="13"/>
      <c r="Q749" s="13"/>
      <c r="R749" s="16"/>
      <c r="S749" s="16"/>
      <c r="T749" s="6"/>
      <c r="U749" s="10"/>
    </row>
    <row r="750" spans="1:21">
      <c r="A750" s="5"/>
      <c r="B750" s="6"/>
      <c r="C750" s="6"/>
      <c r="D750" s="6"/>
      <c r="E750" s="6"/>
      <c r="F750" s="6"/>
      <c r="G750" s="13"/>
      <c r="H750" s="6"/>
      <c r="I750" s="13"/>
      <c r="J750" s="6"/>
      <c r="K750" s="6"/>
      <c r="L750" s="6"/>
      <c r="M750" s="6"/>
      <c r="N750" s="6"/>
      <c r="O750" s="6"/>
      <c r="P750" s="13"/>
      <c r="Q750" s="13"/>
      <c r="R750" s="16"/>
      <c r="S750" s="16"/>
      <c r="T750" s="6"/>
      <c r="U750" s="10"/>
    </row>
    <row r="751" spans="1:21">
      <c r="A751" s="5"/>
      <c r="B751" s="6"/>
      <c r="C751" s="6"/>
      <c r="D751" s="6"/>
      <c r="E751" s="6"/>
      <c r="F751" s="6"/>
      <c r="G751" s="13"/>
      <c r="H751" s="6"/>
      <c r="I751" s="13"/>
      <c r="J751" s="6"/>
      <c r="K751" s="6"/>
      <c r="L751" s="6"/>
      <c r="M751" s="6"/>
      <c r="N751" s="6"/>
      <c r="O751" s="6"/>
      <c r="P751" s="13"/>
      <c r="Q751" s="13"/>
      <c r="R751" s="16"/>
      <c r="S751" s="16"/>
      <c r="T751" s="6"/>
      <c r="U751" s="10"/>
    </row>
    <row r="752" spans="1:21">
      <c r="A752" s="5"/>
      <c r="B752" s="6"/>
      <c r="C752" s="6"/>
      <c r="D752" s="6"/>
      <c r="E752" s="6"/>
      <c r="F752" s="6"/>
      <c r="G752" s="13"/>
      <c r="H752" s="6"/>
      <c r="I752" s="13"/>
      <c r="J752" s="6"/>
      <c r="K752" s="6"/>
      <c r="L752" s="6"/>
      <c r="M752" s="6"/>
      <c r="N752" s="6"/>
      <c r="O752" s="6"/>
      <c r="P752" s="13"/>
      <c r="Q752" s="13"/>
      <c r="R752" s="16"/>
      <c r="S752" s="16"/>
      <c r="T752" s="6"/>
      <c r="U752" s="10"/>
    </row>
    <row r="753" spans="1:21">
      <c r="A753" s="5"/>
      <c r="B753" s="6"/>
      <c r="C753" s="6"/>
      <c r="D753" s="6"/>
      <c r="E753" s="6"/>
      <c r="F753" s="6"/>
      <c r="G753" s="13"/>
      <c r="H753" s="6"/>
      <c r="I753" s="13"/>
      <c r="J753" s="6"/>
      <c r="K753" s="6"/>
      <c r="L753" s="6"/>
      <c r="M753" s="6"/>
      <c r="N753" s="6"/>
      <c r="O753" s="6"/>
      <c r="P753" s="13"/>
      <c r="Q753" s="13"/>
      <c r="R753" s="16"/>
      <c r="S753" s="16"/>
      <c r="T753" s="6"/>
      <c r="U753" s="10"/>
    </row>
    <row r="754" spans="1:21">
      <c r="A754" s="5"/>
      <c r="B754" s="6"/>
      <c r="C754" s="6"/>
      <c r="D754" s="6"/>
      <c r="E754" s="6"/>
      <c r="F754" s="6"/>
      <c r="G754" s="13"/>
      <c r="H754" s="6"/>
      <c r="I754" s="13"/>
      <c r="J754" s="6"/>
      <c r="K754" s="6"/>
      <c r="L754" s="6"/>
      <c r="M754" s="6"/>
      <c r="N754" s="6"/>
      <c r="O754" s="6"/>
      <c r="P754" s="13"/>
      <c r="Q754" s="13"/>
      <c r="R754" s="16"/>
      <c r="S754" s="16"/>
      <c r="T754" s="6"/>
      <c r="U754" s="10"/>
    </row>
    <row r="755" spans="1:21">
      <c r="A755" s="5"/>
      <c r="B755" s="6"/>
      <c r="C755" s="6"/>
      <c r="D755" s="6"/>
      <c r="E755" s="6"/>
      <c r="F755" s="6"/>
      <c r="G755" s="13"/>
      <c r="H755" s="6"/>
      <c r="I755" s="13"/>
      <c r="J755" s="6"/>
      <c r="K755" s="6"/>
      <c r="L755" s="6"/>
      <c r="M755" s="6"/>
      <c r="N755" s="6"/>
      <c r="O755" s="6"/>
      <c r="P755" s="13"/>
      <c r="Q755" s="13"/>
      <c r="R755" s="16"/>
      <c r="S755" s="16"/>
      <c r="T755" s="6"/>
      <c r="U755" s="10"/>
    </row>
    <row r="756" spans="1:21">
      <c r="A756" s="5"/>
      <c r="B756" s="6"/>
      <c r="C756" s="6"/>
      <c r="D756" s="6"/>
      <c r="E756" s="6"/>
      <c r="F756" s="6"/>
      <c r="G756" s="13"/>
      <c r="H756" s="6"/>
      <c r="I756" s="13"/>
      <c r="J756" s="6"/>
      <c r="K756" s="6"/>
      <c r="L756" s="6"/>
      <c r="M756" s="6"/>
      <c r="N756" s="6"/>
      <c r="O756" s="6"/>
      <c r="P756" s="13"/>
      <c r="Q756" s="13"/>
      <c r="R756" s="16"/>
      <c r="S756" s="16"/>
      <c r="T756" s="6"/>
      <c r="U756" s="10"/>
    </row>
    <row r="757" spans="1:21">
      <c r="A757" s="5"/>
      <c r="B757" s="6"/>
      <c r="C757" s="6"/>
      <c r="D757" s="6"/>
      <c r="E757" s="6"/>
      <c r="F757" s="6"/>
      <c r="G757" s="13"/>
      <c r="H757" s="6"/>
      <c r="I757" s="13"/>
      <c r="J757" s="6"/>
      <c r="K757" s="6"/>
      <c r="L757" s="6"/>
      <c r="M757" s="6"/>
      <c r="N757" s="6"/>
      <c r="O757" s="6"/>
      <c r="P757" s="13"/>
      <c r="Q757" s="13"/>
      <c r="R757" s="16"/>
      <c r="S757" s="16"/>
      <c r="T757" s="6"/>
      <c r="U757" s="10"/>
    </row>
    <row r="758" spans="1:21">
      <c r="A758" s="5"/>
      <c r="B758" s="6"/>
      <c r="C758" s="6"/>
      <c r="D758" s="6"/>
      <c r="E758" s="6"/>
      <c r="F758" s="6"/>
      <c r="G758" s="13"/>
      <c r="H758" s="6"/>
      <c r="I758" s="13"/>
      <c r="J758" s="6"/>
      <c r="K758" s="6"/>
      <c r="L758" s="6"/>
      <c r="M758" s="6"/>
      <c r="N758" s="6"/>
      <c r="O758" s="6"/>
      <c r="P758" s="13"/>
      <c r="Q758" s="13"/>
      <c r="R758" s="16"/>
      <c r="S758" s="16"/>
      <c r="T758" s="6"/>
      <c r="U758" s="10"/>
    </row>
    <row r="759" spans="1:21">
      <c r="A759" s="5"/>
      <c r="B759" s="6"/>
      <c r="C759" s="6"/>
      <c r="D759" s="6"/>
      <c r="E759" s="6"/>
      <c r="F759" s="6"/>
      <c r="G759" s="13"/>
      <c r="H759" s="6"/>
      <c r="I759" s="13"/>
      <c r="J759" s="6"/>
      <c r="K759" s="6"/>
      <c r="L759" s="6"/>
      <c r="M759" s="6"/>
      <c r="N759" s="6"/>
      <c r="O759" s="6"/>
      <c r="P759" s="13"/>
      <c r="Q759" s="13"/>
      <c r="R759" s="16"/>
      <c r="S759" s="16"/>
      <c r="T759" s="6"/>
      <c r="U759" s="10"/>
    </row>
    <row r="760" spans="1:21">
      <c r="A760" s="5"/>
      <c r="B760" s="6"/>
      <c r="C760" s="6"/>
      <c r="D760" s="6"/>
      <c r="E760" s="6"/>
      <c r="F760" s="6"/>
      <c r="G760" s="13"/>
      <c r="H760" s="6"/>
      <c r="I760" s="13"/>
      <c r="J760" s="6"/>
      <c r="K760" s="6"/>
      <c r="L760" s="6"/>
      <c r="M760" s="6"/>
      <c r="N760" s="6"/>
      <c r="O760" s="6"/>
      <c r="P760" s="13"/>
      <c r="Q760" s="13"/>
      <c r="R760" s="16"/>
      <c r="S760" s="16"/>
      <c r="T760" s="6"/>
      <c r="U760" s="10"/>
    </row>
    <row r="761" spans="1:21">
      <c r="A761" s="5"/>
      <c r="B761" s="6"/>
      <c r="C761" s="6"/>
      <c r="D761" s="6"/>
      <c r="E761" s="6"/>
      <c r="F761" s="6"/>
      <c r="G761" s="13"/>
      <c r="H761" s="6"/>
      <c r="I761" s="13"/>
      <c r="J761" s="6"/>
      <c r="K761" s="6"/>
      <c r="L761" s="6"/>
      <c r="M761" s="6"/>
      <c r="N761" s="6"/>
      <c r="O761" s="6"/>
      <c r="P761" s="13"/>
      <c r="Q761" s="13"/>
      <c r="R761" s="16"/>
      <c r="S761" s="16"/>
      <c r="T761" s="6"/>
      <c r="U761" s="10"/>
    </row>
    <row r="762" spans="1:21">
      <c r="A762" s="5"/>
      <c r="B762" s="6"/>
      <c r="C762" s="6"/>
      <c r="D762" s="6"/>
      <c r="E762" s="6"/>
      <c r="F762" s="6"/>
      <c r="G762" s="13"/>
      <c r="H762" s="6"/>
      <c r="I762" s="13"/>
      <c r="J762" s="6"/>
      <c r="K762" s="6"/>
      <c r="L762" s="6"/>
      <c r="M762" s="6"/>
      <c r="N762" s="6"/>
      <c r="O762" s="6"/>
      <c r="P762" s="13"/>
      <c r="Q762" s="13"/>
      <c r="R762" s="16"/>
      <c r="S762" s="16"/>
      <c r="T762" s="6"/>
      <c r="U762" s="10"/>
    </row>
    <row r="763" spans="1:21">
      <c r="A763" s="5"/>
      <c r="B763" s="6"/>
      <c r="C763" s="6"/>
      <c r="D763" s="6"/>
      <c r="E763" s="6"/>
      <c r="F763" s="6"/>
      <c r="G763" s="13"/>
      <c r="H763" s="6"/>
      <c r="I763" s="13"/>
      <c r="J763" s="6"/>
      <c r="K763" s="6"/>
      <c r="L763" s="6"/>
      <c r="M763" s="6"/>
      <c r="N763" s="6"/>
      <c r="O763" s="6"/>
      <c r="P763" s="13"/>
      <c r="Q763" s="13"/>
      <c r="R763" s="16"/>
      <c r="S763" s="16"/>
      <c r="T763" s="6"/>
      <c r="U763" s="10"/>
    </row>
    <row r="764" spans="1:21">
      <c r="A764" s="5"/>
      <c r="B764" s="6"/>
      <c r="C764" s="6"/>
      <c r="D764" s="6"/>
      <c r="E764" s="6"/>
      <c r="F764" s="6"/>
      <c r="G764" s="13"/>
      <c r="H764" s="6"/>
      <c r="I764" s="13"/>
      <c r="J764" s="6"/>
      <c r="K764" s="6"/>
      <c r="L764" s="6"/>
      <c r="M764" s="6"/>
      <c r="N764" s="6"/>
      <c r="O764" s="6"/>
      <c r="P764" s="13"/>
      <c r="Q764" s="13"/>
      <c r="R764" s="16"/>
      <c r="S764" s="16"/>
      <c r="T764" s="6"/>
      <c r="U764" s="10"/>
    </row>
    <row r="765" spans="1:21">
      <c r="A765" s="5"/>
      <c r="B765" s="6"/>
      <c r="C765" s="6"/>
      <c r="D765" s="6"/>
      <c r="E765" s="6"/>
      <c r="F765" s="6"/>
      <c r="G765" s="13"/>
      <c r="H765" s="6"/>
      <c r="I765" s="13"/>
      <c r="J765" s="6"/>
      <c r="K765" s="6"/>
      <c r="L765" s="6"/>
      <c r="M765" s="6"/>
      <c r="N765" s="6"/>
      <c r="O765" s="6"/>
      <c r="P765" s="13"/>
      <c r="Q765" s="13"/>
      <c r="R765" s="16"/>
      <c r="S765" s="16"/>
      <c r="T765" s="6"/>
      <c r="U765" s="10"/>
    </row>
    <row r="766" spans="1:21">
      <c r="A766" s="5"/>
      <c r="B766" s="6"/>
      <c r="C766" s="6"/>
      <c r="D766" s="6"/>
      <c r="E766" s="6"/>
      <c r="F766" s="6"/>
      <c r="G766" s="13"/>
      <c r="H766" s="6"/>
      <c r="I766" s="13"/>
      <c r="J766" s="6"/>
      <c r="K766" s="6"/>
      <c r="L766" s="6"/>
      <c r="M766" s="6"/>
      <c r="N766" s="6"/>
      <c r="O766" s="6"/>
      <c r="P766" s="13"/>
      <c r="Q766" s="13"/>
      <c r="R766" s="16"/>
      <c r="S766" s="16"/>
      <c r="T766" s="6"/>
      <c r="U766" s="10"/>
    </row>
    <row r="767" spans="1:21">
      <c r="A767" s="5"/>
      <c r="B767" s="6"/>
      <c r="C767" s="6"/>
      <c r="D767" s="6"/>
      <c r="E767" s="6"/>
      <c r="F767" s="6"/>
      <c r="G767" s="13"/>
      <c r="H767" s="6"/>
      <c r="I767" s="13"/>
      <c r="J767" s="6"/>
      <c r="K767" s="6"/>
      <c r="L767" s="6"/>
      <c r="M767" s="6"/>
      <c r="N767" s="6"/>
      <c r="O767" s="6"/>
      <c r="P767" s="13"/>
      <c r="Q767" s="13"/>
      <c r="R767" s="16"/>
      <c r="S767" s="16"/>
      <c r="T767" s="6"/>
      <c r="U767" s="10"/>
    </row>
    <row r="768" spans="1:21">
      <c r="A768" s="5"/>
      <c r="B768" s="6"/>
      <c r="C768" s="6"/>
      <c r="D768" s="6"/>
      <c r="E768" s="6"/>
      <c r="F768" s="6"/>
      <c r="G768" s="13"/>
      <c r="H768" s="6"/>
      <c r="I768" s="13"/>
      <c r="J768" s="6"/>
      <c r="K768" s="6"/>
      <c r="L768" s="6"/>
      <c r="M768" s="6"/>
      <c r="N768" s="6"/>
      <c r="O768" s="6"/>
      <c r="P768" s="13"/>
      <c r="Q768" s="13"/>
      <c r="R768" s="16"/>
      <c r="S768" s="16"/>
      <c r="T768" s="6"/>
      <c r="U768" s="10"/>
    </row>
    <row r="769" spans="1:21">
      <c r="A769" s="5"/>
      <c r="B769" s="6"/>
      <c r="C769" s="6"/>
      <c r="D769" s="6"/>
      <c r="E769" s="6"/>
      <c r="F769" s="6"/>
      <c r="G769" s="13"/>
      <c r="H769" s="6"/>
      <c r="I769" s="13"/>
      <c r="J769" s="6"/>
      <c r="K769" s="6"/>
      <c r="L769" s="6"/>
      <c r="M769" s="6"/>
      <c r="N769" s="6"/>
      <c r="O769" s="6"/>
      <c r="P769" s="13"/>
      <c r="Q769" s="13"/>
      <c r="R769" s="16"/>
      <c r="S769" s="16"/>
      <c r="T769" s="6"/>
      <c r="U769" s="10"/>
    </row>
    <row r="770" spans="1:21">
      <c r="A770" s="5"/>
      <c r="B770" s="6"/>
      <c r="C770" s="6"/>
      <c r="D770" s="6"/>
      <c r="E770" s="6"/>
      <c r="F770" s="6"/>
      <c r="G770" s="13"/>
      <c r="H770" s="6"/>
      <c r="I770" s="13"/>
      <c r="J770" s="6"/>
      <c r="K770" s="6"/>
      <c r="L770" s="6"/>
      <c r="M770" s="6"/>
      <c r="N770" s="6"/>
      <c r="O770" s="6"/>
      <c r="P770" s="13"/>
      <c r="Q770" s="13"/>
      <c r="R770" s="16"/>
      <c r="S770" s="16"/>
      <c r="T770" s="6"/>
      <c r="U770" s="10"/>
    </row>
    <row r="771" spans="1:21">
      <c r="A771" s="5"/>
      <c r="B771" s="6"/>
      <c r="C771" s="6"/>
      <c r="D771" s="6"/>
      <c r="E771" s="6"/>
      <c r="F771" s="6"/>
      <c r="G771" s="13"/>
      <c r="H771" s="6"/>
      <c r="I771" s="13"/>
      <c r="J771" s="6"/>
      <c r="K771" s="6"/>
      <c r="L771" s="6"/>
      <c r="M771" s="6"/>
      <c r="N771" s="6"/>
      <c r="O771" s="6"/>
      <c r="P771" s="13"/>
      <c r="Q771" s="13"/>
      <c r="R771" s="16"/>
      <c r="S771" s="16"/>
      <c r="T771" s="6"/>
      <c r="U771" s="10"/>
    </row>
    <row r="772" spans="1:21">
      <c r="A772" s="5"/>
      <c r="B772" s="6"/>
      <c r="C772" s="6"/>
      <c r="D772" s="6"/>
      <c r="E772" s="6"/>
      <c r="F772" s="6"/>
      <c r="G772" s="13"/>
      <c r="H772" s="6"/>
      <c r="I772" s="13"/>
      <c r="J772" s="6"/>
      <c r="K772" s="6"/>
      <c r="L772" s="6"/>
      <c r="M772" s="6"/>
      <c r="N772" s="6"/>
      <c r="O772" s="6"/>
      <c r="P772" s="13"/>
      <c r="Q772" s="13"/>
      <c r="R772" s="16"/>
      <c r="S772" s="16"/>
      <c r="T772" s="6"/>
      <c r="U772" s="10"/>
    </row>
    <row r="773" spans="1:21">
      <c r="A773" s="5"/>
      <c r="B773" s="6"/>
      <c r="C773" s="6"/>
      <c r="D773" s="6"/>
      <c r="E773" s="6"/>
      <c r="F773" s="6"/>
      <c r="G773" s="13"/>
      <c r="H773" s="6"/>
      <c r="I773" s="13"/>
      <c r="J773" s="6"/>
      <c r="K773" s="6"/>
      <c r="L773" s="6"/>
      <c r="M773" s="6"/>
      <c r="N773" s="6"/>
      <c r="O773" s="6"/>
      <c r="P773" s="13"/>
      <c r="Q773" s="13"/>
      <c r="R773" s="16"/>
      <c r="S773" s="16"/>
      <c r="T773" s="6"/>
      <c r="U773" s="10"/>
    </row>
    <row r="774" spans="1:21">
      <c r="A774" s="5"/>
      <c r="B774" s="6"/>
      <c r="C774" s="6"/>
      <c r="D774" s="6"/>
      <c r="E774" s="6"/>
      <c r="F774" s="6"/>
      <c r="G774" s="13"/>
      <c r="H774" s="6"/>
      <c r="I774" s="13"/>
      <c r="J774" s="6"/>
      <c r="K774" s="6"/>
      <c r="L774" s="6"/>
      <c r="M774" s="6"/>
      <c r="N774" s="6"/>
      <c r="O774" s="6"/>
      <c r="P774" s="13"/>
      <c r="Q774" s="13"/>
      <c r="R774" s="16"/>
      <c r="S774" s="16"/>
      <c r="T774" s="6"/>
      <c r="U774" s="10"/>
    </row>
    <row r="775" spans="1:21">
      <c r="A775" s="5"/>
      <c r="B775" s="6"/>
      <c r="C775" s="6"/>
      <c r="D775" s="6"/>
      <c r="E775" s="6"/>
      <c r="F775" s="6"/>
      <c r="G775" s="13"/>
      <c r="H775" s="6"/>
      <c r="I775" s="13"/>
      <c r="J775" s="6"/>
      <c r="K775" s="6"/>
      <c r="L775" s="6"/>
      <c r="M775" s="6"/>
      <c r="N775" s="6"/>
      <c r="O775" s="6"/>
      <c r="P775" s="13"/>
      <c r="Q775" s="13"/>
      <c r="R775" s="16"/>
      <c r="S775" s="16"/>
      <c r="T775" s="6"/>
      <c r="U775" s="10"/>
    </row>
    <row r="776" spans="1:21">
      <c r="A776" s="5"/>
      <c r="B776" s="6"/>
      <c r="C776" s="6"/>
      <c r="D776" s="6"/>
      <c r="E776" s="6"/>
      <c r="F776" s="6"/>
      <c r="G776" s="13"/>
      <c r="H776" s="6"/>
      <c r="I776" s="13"/>
      <c r="J776" s="6"/>
      <c r="K776" s="6"/>
      <c r="L776" s="6"/>
      <c r="M776" s="6"/>
      <c r="N776" s="6"/>
      <c r="O776" s="6"/>
      <c r="P776" s="13"/>
      <c r="Q776" s="13"/>
      <c r="R776" s="16"/>
      <c r="S776" s="16"/>
      <c r="T776" s="6"/>
      <c r="U776" s="10"/>
    </row>
    <row r="777" spans="1:21">
      <c r="A777" s="5"/>
      <c r="B777" s="6"/>
      <c r="C777" s="6"/>
      <c r="D777" s="6"/>
      <c r="E777" s="6"/>
      <c r="F777" s="6"/>
      <c r="G777" s="13"/>
      <c r="H777" s="6"/>
      <c r="I777" s="13"/>
      <c r="J777" s="6"/>
      <c r="K777" s="6"/>
      <c r="L777" s="6"/>
      <c r="M777" s="6"/>
      <c r="N777" s="6"/>
      <c r="O777" s="6"/>
      <c r="P777" s="13"/>
      <c r="Q777" s="13"/>
      <c r="R777" s="16"/>
      <c r="S777" s="16"/>
      <c r="T777" s="6"/>
      <c r="U777" s="10"/>
    </row>
    <row r="778" spans="1:21">
      <c r="A778" s="5"/>
      <c r="B778" s="6"/>
      <c r="C778" s="6"/>
      <c r="D778" s="6"/>
      <c r="E778" s="6"/>
      <c r="F778" s="6"/>
      <c r="G778" s="13"/>
      <c r="H778" s="6"/>
      <c r="I778" s="13"/>
      <c r="J778" s="6"/>
      <c r="K778" s="6"/>
      <c r="L778" s="6"/>
      <c r="M778" s="6"/>
      <c r="N778" s="6"/>
      <c r="O778" s="6"/>
      <c r="P778" s="13"/>
      <c r="Q778" s="13"/>
      <c r="R778" s="16"/>
      <c r="S778" s="16"/>
      <c r="T778" s="6"/>
      <c r="U778" s="10"/>
    </row>
    <row r="779" spans="1:21">
      <c r="A779" s="5"/>
      <c r="B779" s="6"/>
      <c r="C779" s="6"/>
      <c r="D779" s="6"/>
      <c r="E779" s="6"/>
      <c r="F779" s="6"/>
      <c r="G779" s="13"/>
      <c r="H779" s="6"/>
      <c r="I779" s="13"/>
      <c r="J779" s="6"/>
      <c r="K779" s="6"/>
      <c r="L779" s="6"/>
      <c r="M779" s="6"/>
      <c r="N779" s="6"/>
      <c r="O779" s="6"/>
      <c r="P779" s="13"/>
      <c r="Q779" s="13"/>
      <c r="R779" s="16"/>
      <c r="S779" s="16"/>
      <c r="T779" s="6"/>
      <c r="U779" s="10"/>
    </row>
    <row r="780" spans="1:21">
      <c r="A780" s="5"/>
      <c r="B780" s="6"/>
      <c r="C780" s="6"/>
      <c r="D780" s="6"/>
      <c r="E780" s="6"/>
      <c r="F780" s="6"/>
      <c r="G780" s="13"/>
      <c r="H780" s="6"/>
      <c r="I780" s="13"/>
      <c r="J780" s="6"/>
      <c r="K780" s="6"/>
      <c r="L780" s="6"/>
      <c r="M780" s="6"/>
      <c r="N780" s="6"/>
      <c r="O780" s="6"/>
      <c r="P780" s="13"/>
      <c r="Q780" s="13"/>
      <c r="R780" s="16"/>
      <c r="S780" s="16"/>
      <c r="T780" s="6"/>
      <c r="U780" s="10"/>
    </row>
    <row r="781" spans="1:21">
      <c r="A781" s="5"/>
      <c r="B781" s="6"/>
      <c r="C781" s="6"/>
      <c r="D781" s="6"/>
      <c r="E781" s="6"/>
      <c r="F781" s="6"/>
      <c r="G781" s="13"/>
      <c r="H781" s="6"/>
      <c r="I781" s="13"/>
      <c r="J781" s="6"/>
      <c r="K781" s="6"/>
      <c r="L781" s="6"/>
      <c r="M781" s="6"/>
      <c r="N781" s="6"/>
      <c r="O781" s="6"/>
      <c r="P781" s="13"/>
      <c r="Q781" s="13"/>
      <c r="R781" s="16"/>
      <c r="S781" s="16"/>
      <c r="T781" s="6"/>
      <c r="U781" s="10"/>
    </row>
    <row r="782" spans="1:21">
      <c r="A782" s="5"/>
      <c r="B782" s="6"/>
      <c r="C782" s="6"/>
      <c r="D782" s="6"/>
      <c r="E782" s="6"/>
      <c r="F782" s="6"/>
      <c r="G782" s="13"/>
      <c r="H782" s="6"/>
      <c r="I782" s="13"/>
      <c r="J782" s="6"/>
      <c r="K782" s="6"/>
      <c r="L782" s="6"/>
      <c r="M782" s="6"/>
      <c r="N782" s="6"/>
      <c r="O782" s="6"/>
      <c r="P782" s="13"/>
      <c r="Q782" s="13"/>
      <c r="R782" s="16"/>
      <c r="S782" s="16"/>
      <c r="T782" s="6"/>
      <c r="U782" s="10"/>
    </row>
    <row r="783" spans="1:21">
      <c r="A783" s="5"/>
      <c r="B783" s="6"/>
      <c r="C783" s="6"/>
      <c r="D783" s="6"/>
      <c r="E783" s="6"/>
      <c r="F783" s="6"/>
      <c r="G783" s="13"/>
      <c r="H783" s="6"/>
      <c r="I783" s="13"/>
      <c r="J783" s="6"/>
      <c r="K783" s="6"/>
      <c r="L783" s="6"/>
      <c r="M783" s="6"/>
      <c r="N783" s="6"/>
      <c r="O783" s="6"/>
      <c r="P783" s="13"/>
      <c r="Q783" s="13"/>
      <c r="R783" s="16"/>
      <c r="S783" s="16"/>
      <c r="T783" s="6"/>
      <c r="U783" s="10"/>
    </row>
    <row r="784" spans="1:21">
      <c r="A784" s="5"/>
      <c r="B784" s="6"/>
      <c r="C784" s="6"/>
      <c r="D784" s="6"/>
      <c r="E784" s="6"/>
      <c r="F784" s="6"/>
      <c r="G784" s="13"/>
      <c r="H784" s="6"/>
      <c r="I784" s="13"/>
      <c r="J784" s="6"/>
      <c r="K784" s="6"/>
      <c r="L784" s="6"/>
      <c r="M784" s="6"/>
      <c r="N784" s="6"/>
      <c r="O784" s="6"/>
      <c r="P784" s="13"/>
      <c r="Q784" s="13"/>
      <c r="R784" s="16"/>
      <c r="S784" s="16"/>
      <c r="T784" s="6"/>
      <c r="U784" s="10"/>
    </row>
    <row r="785" spans="1:21">
      <c r="A785" s="5"/>
      <c r="B785" s="6"/>
      <c r="C785" s="6"/>
      <c r="D785" s="6"/>
      <c r="E785" s="6"/>
      <c r="F785" s="6"/>
      <c r="G785" s="13"/>
      <c r="H785" s="6"/>
      <c r="I785" s="13"/>
      <c r="J785" s="6"/>
      <c r="K785" s="6"/>
      <c r="L785" s="6"/>
      <c r="M785" s="6"/>
      <c r="N785" s="6"/>
      <c r="O785" s="6"/>
      <c r="P785" s="13"/>
      <c r="Q785" s="13"/>
      <c r="R785" s="16"/>
      <c r="S785" s="16"/>
      <c r="T785" s="6"/>
      <c r="U785" s="10"/>
    </row>
    <row r="786" spans="1:21">
      <c r="A786" s="5"/>
      <c r="B786" s="6"/>
      <c r="C786" s="6"/>
      <c r="D786" s="6"/>
      <c r="E786" s="6"/>
      <c r="F786" s="6"/>
      <c r="G786" s="13"/>
      <c r="H786" s="6"/>
      <c r="I786" s="13"/>
      <c r="J786" s="6"/>
      <c r="K786" s="6"/>
      <c r="L786" s="6"/>
      <c r="M786" s="6"/>
      <c r="N786" s="6"/>
      <c r="O786" s="6"/>
      <c r="P786" s="13"/>
      <c r="Q786" s="13"/>
      <c r="R786" s="16"/>
      <c r="S786" s="16"/>
      <c r="T786" s="6"/>
      <c r="U786" s="10"/>
    </row>
    <row r="787" spans="1:21">
      <c r="A787" s="5"/>
      <c r="B787" s="6"/>
      <c r="C787" s="6"/>
      <c r="D787" s="6"/>
      <c r="E787" s="6"/>
      <c r="F787" s="6"/>
      <c r="G787" s="13"/>
      <c r="H787" s="6"/>
      <c r="I787" s="13"/>
      <c r="J787" s="6"/>
      <c r="K787" s="6"/>
      <c r="L787" s="6"/>
      <c r="M787" s="6"/>
      <c r="N787" s="6"/>
      <c r="O787" s="6"/>
      <c r="P787" s="13"/>
      <c r="Q787" s="13"/>
      <c r="R787" s="16"/>
      <c r="S787" s="16"/>
      <c r="T787" s="6"/>
      <c r="U787" s="10"/>
    </row>
    <row r="788" spans="1:21">
      <c r="A788" s="5"/>
      <c r="B788" s="6"/>
      <c r="C788" s="6"/>
      <c r="D788" s="6"/>
      <c r="E788" s="6"/>
      <c r="F788" s="6"/>
      <c r="G788" s="13"/>
      <c r="H788" s="6"/>
      <c r="I788" s="13"/>
      <c r="J788" s="6"/>
      <c r="K788" s="6"/>
      <c r="L788" s="6"/>
      <c r="M788" s="6"/>
      <c r="N788" s="6"/>
      <c r="O788" s="6"/>
      <c r="P788" s="13"/>
      <c r="Q788" s="13"/>
      <c r="R788" s="16"/>
      <c r="S788" s="16"/>
      <c r="T788" s="6"/>
      <c r="U788" s="10"/>
    </row>
    <row r="789" spans="1:21">
      <c r="A789" s="5"/>
      <c r="B789" s="6"/>
      <c r="C789" s="6"/>
      <c r="D789" s="6"/>
      <c r="E789" s="6"/>
      <c r="F789" s="6"/>
      <c r="G789" s="13"/>
      <c r="H789" s="6"/>
      <c r="I789" s="13"/>
      <c r="J789" s="6"/>
      <c r="K789" s="6"/>
      <c r="L789" s="6"/>
      <c r="M789" s="6"/>
      <c r="N789" s="6"/>
      <c r="O789" s="6"/>
      <c r="P789" s="13"/>
      <c r="Q789" s="13"/>
      <c r="R789" s="16"/>
      <c r="S789" s="16"/>
      <c r="T789" s="6"/>
      <c r="U789" s="10"/>
    </row>
    <row r="790" spans="1:21">
      <c r="A790" s="5"/>
      <c r="B790" s="6"/>
      <c r="C790" s="6"/>
      <c r="D790" s="6"/>
      <c r="E790" s="6"/>
      <c r="F790" s="6"/>
      <c r="G790" s="13"/>
      <c r="H790" s="6"/>
      <c r="I790" s="13"/>
      <c r="J790" s="6"/>
      <c r="K790" s="6"/>
      <c r="L790" s="6"/>
      <c r="M790" s="6"/>
      <c r="N790" s="6"/>
      <c r="O790" s="6"/>
      <c r="P790" s="13"/>
      <c r="Q790" s="13"/>
      <c r="R790" s="16"/>
      <c r="S790" s="16"/>
      <c r="T790" s="6"/>
      <c r="U790" s="10"/>
    </row>
    <row r="791" spans="1:21">
      <c r="A791" s="5"/>
      <c r="B791" s="6"/>
      <c r="C791" s="6"/>
      <c r="D791" s="6"/>
      <c r="E791" s="6"/>
      <c r="F791" s="6"/>
      <c r="G791" s="13"/>
      <c r="H791" s="6"/>
      <c r="I791" s="13"/>
      <c r="J791" s="6"/>
      <c r="K791" s="6"/>
      <c r="L791" s="6"/>
      <c r="M791" s="6"/>
      <c r="N791" s="6"/>
      <c r="O791" s="6"/>
      <c r="P791" s="13"/>
      <c r="Q791" s="13"/>
      <c r="R791" s="16"/>
      <c r="S791" s="16"/>
      <c r="T791" s="6"/>
      <c r="U791" s="10"/>
    </row>
    <row r="792" spans="1:21">
      <c r="A792" s="5"/>
      <c r="B792" s="6"/>
      <c r="C792" s="6"/>
      <c r="D792" s="6"/>
      <c r="E792" s="6"/>
      <c r="F792" s="6"/>
      <c r="G792" s="13"/>
      <c r="H792" s="6"/>
      <c r="I792" s="13"/>
      <c r="J792" s="6"/>
      <c r="K792" s="6"/>
      <c r="L792" s="6"/>
      <c r="M792" s="6"/>
      <c r="N792" s="6"/>
      <c r="O792" s="6"/>
      <c r="P792" s="13"/>
      <c r="Q792" s="13"/>
      <c r="R792" s="16"/>
      <c r="S792" s="16"/>
      <c r="T792" s="6"/>
      <c r="U792" s="10"/>
    </row>
    <row r="793" spans="1:21">
      <c r="A793" s="5"/>
      <c r="B793" s="6"/>
      <c r="C793" s="6"/>
      <c r="D793" s="6"/>
      <c r="E793" s="6"/>
      <c r="F793" s="6"/>
      <c r="G793" s="13"/>
      <c r="H793" s="6"/>
      <c r="I793" s="13"/>
      <c r="J793" s="6"/>
      <c r="K793" s="6"/>
      <c r="L793" s="6"/>
      <c r="M793" s="6"/>
      <c r="N793" s="6"/>
      <c r="O793" s="6"/>
      <c r="P793" s="13"/>
      <c r="Q793" s="13"/>
      <c r="R793" s="16"/>
      <c r="S793" s="16"/>
      <c r="T793" s="6"/>
      <c r="U793" s="10"/>
    </row>
    <row r="794" spans="1:21">
      <c r="A794" s="5"/>
      <c r="B794" s="6"/>
      <c r="C794" s="6"/>
      <c r="D794" s="6"/>
      <c r="E794" s="6"/>
      <c r="F794" s="6"/>
      <c r="G794" s="13"/>
      <c r="H794" s="6"/>
      <c r="I794" s="13"/>
      <c r="J794" s="6"/>
      <c r="K794" s="6"/>
      <c r="L794" s="6"/>
      <c r="M794" s="6"/>
      <c r="N794" s="6"/>
      <c r="O794" s="6"/>
      <c r="P794" s="13"/>
      <c r="Q794" s="13"/>
      <c r="R794" s="16"/>
      <c r="S794" s="16"/>
      <c r="T794" s="6"/>
      <c r="U794" s="10"/>
    </row>
    <row r="795" spans="1:21">
      <c r="A795" s="5"/>
      <c r="B795" s="6"/>
      <c r="C795" s="6"/>
      <c r="D795" s="6"/>
      <c r="E795" s="6"/>
      <c r="F795" s="6"/>
      <c r="G795" s="13"/>
      <c r="H795" s="6"/>
      <c r="I795" s="13"/>
      <c r="J795" s="6"/>
      <c r="K795" s="6"/>
      <c r="L795" s="6"/>
      <c r="M795" s="6"/>
      <c r="N795" s="6"/>
      <c r="O795" s="6"/>
      <c r="P795" s="13"/>
      <c r="Q795" s="13"/>
      <c r="R795" s="16"/>
      <c r="S795" s="16"/>
      <c r="T795" s="6"/>
      <c r="U795" s="10"/>
    </row>
    <row r="796" spans="1:21">
      <c r="A796" s="5"/>
      <c r="B796" s="6"/>
      <c r="C796" s="6"/>
      <c r="D796" s="6"/>
      <c r="E796" s="6"/>
      <c r="F796" s="6"/>
      <c r="G796" s="13"/>
      <c r="H796" s="6"/>
      <c r="I796" s="13"/>
      <c r="J796" s="6"/>
      <c r="K796" s="6"/>
      <c r="L796" s="6"/>
      <c r="M796" s="6"/>
      <c r="N796" s="6"/>
      <c r="O796" s="6"/>
      <c r="P796" s="13"/>
      <c r="Q796" s="13"/>
      <c r="R796" s="16"/>
      <c r="S796" s="16"/>
      <c r="T796" s="6"/>
      <c r="U796" s="10"/>
    </row>
    <row r="797" spans="1:21">
      <c r="A797" s="5"/>
      <c r="B797" s="6"/>
      <c r="C797" s="6"/>
      <c r="D797" s="6"/>
      <c r="E797" s="6"/>
      <c r="F797" s="6"/>
      <c r="G797" s="13"/>
      <c r="H797" s="6"/>
      <c r="I797" s="13"/>
      <c r="J797" s="6"/>
      <c r="K797" s="6"/>
      <c r="L797" s="6"/>
      <c r="M797" s="6"/>
      <c r="N797" s="6"/>
      <c r="O797" s="6"/>
      <c r="P797" s="13"/>
      <c r="Q797" s="13"/>
      <c r="R797" s="16"/>
      <c r="S797" s="16"/>
      <c r="T797" s="6"/>
      <c r="U797" s="10"/>
    </row>
    <row r="798" spans="1:21">
      <c r="A798" s="5"/>
      <c r="B798" s="6"/>
      <c r="C798" s="6"/>
      <c r="D798" s="6"/>
      <c r="E798" s="6"/>
      <c r="F798" s="6"/>
      <c r="G798" s="13"/>
      <c r="H798" s="6"/>
      <c r="I798" s="13"/>
      <c r="J798" s="6"/>
      <c r="K798" s="6"/>
      <c r="L798" s="6"/>
      <c r="M798" s="6"/>
      <c r="N798" s="6"/>
      <c r="O798" s="6"/>
      <c r="P798" s="13"/>
      <c r="Q798" s="13"/>
      <c r="R798" s="16"/>
      <c r="S798" s="16"/>
      <c r="T798" s="6"/>
      <c r="U798" s="10"/>
    </row>
    <row r="799" spans="1:21">
      <c r="A799" s="5"/>
      <c r="B799" s="6"/>
      <c r="C799" s="6"/>
      <c r="D799" s="6"/>
      <c r="E799" s="6"/>
      <c r="F799" s="6"/>
      <c r="G799" s="13"/>
      <c r="H799" s="6"/>
      <c r="I799" s="13"/>
      <c r="J799" s="6"/>
      <c r="K799" s="6"/>
      <c r="L799" s="6"/>
      <c r="M799" s="6"/>
      <c r="N799" s="6"/>
      <c r="O799" s="6"/>
      <c r="P799" s="13"/>
      <c r="Q799" s="13"/>
      <c r="R799" s="16"/>
      <c r="S799" s="16"/>
      <c r="T799" s="6"/>
      <c r="U799" s="10"/>
    </row>
    <row r="800" spans="1:21">
      <c r="A800" s="5"/>
      <c r="B800" s="6"/>
      <c r="C800" s="6"/>
      <c r="D800" s="6"/>
      <c r="E800" s="6"/>
      <c r="F800" s="6"/>
      <c r="G800" s="13"/>
      <c r="H800" s="6"/>
      <c r="I800" s="13"/>
      <c r="J800" s="6"/>
      <c r="K800" s="6"/>
      <c r="L800" s="6"/>
      <c r="M800" s="6"/>
      <c r="N800" s="6"/>
      <c r="O800" s="6"/>
      <c r="P800" s="13"/>
      <c r="Q800" s="13"/>
      <c r="R800" s="16"/>
      <c r="S800" s="16"/>
      <c r="T800" s="6"/>
      <c r="U800" s="10"/>
    </row>
    <row r="801" spans="1:21">
      <c r="A801" s="5"/>
      <c r="B801" s="6"/>
      <c r="C801" s="6"/>
      <c r="D801" s="6"/>
      <c r="E801" s="6"/>
      <c r="F801" s="6"/>
      <c r="G801" s="13"/>
      <c r="H801" s="6"/>
      <c r="I801" s="13"/>
      <c r="J801" s="6"/>
      <c r="K801" s="6"/>
      <c r="L801" s="6"/>
      <c r="M801" s="6"/>
      <c r="N801" s="6"/>
      <c r="O801" s="6"/>
      <c r="P801" s="13"/>
      <c r="Q801" s="13"/>
      <c r="R801" s="16"/>
      <c r="S801" s="16"/>
      <c r="T801" s="6"/>
      <c r="U801" s="10"/>
    </row>
    <row r="802" spans="1:21">
      <c r="A802" s="5"/>
      <c r="B802" s="6"/>
      <c r="C802" s="6"/>
      <c r="D802" s="6"/>
      <c r="E802" s="6"/>
      <c r="F802" s="6"/>
      <c r="G802" s="13"/>
      <c r="H802" s="6"/>
      <c r="I802" s="13"/>
      <c r="J802" s="6"/>
      <c r="K802" s="6"/>
      <c r="L802" s="6"/>
      <c r="M802" s="6"/>
      <c r="N802" s="6"/>
      <c r="O802" s="6"/>
      <c r="P802" s="13"/>
      <c r="Q802" s="13"/>
      <c r="R802" s="16"/>
      <c r="S802" s="16"/>
      <c r="T802" s="6"/>
      <c r="U802" s="10"/>
    </row>
    <row r="803" spans="1:21">
      <c r="A803" s="5"/>
      <c r="B803" s="6"/>
      <c r="C803" s="6"/>
      <c r="D803" s="6"/>
      <c r="E803" s="6"/>
      <c r="F803" s="6"/>
      <c r="G803" s="13"/>
      <c r="H803" s="6"/>
      <c r="I803" s="13"/>
      <c r="J803" s="6"/>
      <c r="K803" s="6"/>
      <c r="L803" s="6"/>
      <c r="M803" s="6"/>
      <c r="N803" s="6"/>
      <c r="O803" s="6"/>
      <c r="P803" s="13"/>
      <c r="Q803" s="13"/>
      <c r="R803" s="16"/>
      <c r="S803" s="16"/>
      <c r="T803" s="6"/>
      <c r="U803" s="10"/>
    </row>
    <row r="804" spans="1:21">
      <c r="A804" s="5"/>
      <c r="B804" s="6"/>
      <c r="C804" s="6"/>
      <c r="D804" s="6"/>
      <c r="E804" s="6"/>
      <c r="F804" s="6"/>
      <c r="G804" s="13"/>
      <c r="H804" s="6"/>
      <c r="I804" s="13"/>
      <c r="J804" s="6"/>
      <c r="K804" s="6"/>
      <c r="L804" s="6"/>
      <c r="M804" s="6"/>
      <c r="N804" s="6"/>
      <c r="O804" s="6"/>
      <c r="P804" s="13"/>
      <c r="Q804" s="13"/>
      <c r="R804" s="16"/>
      <c r="S804" s="16"/>
      <c r="T804" s="6"/>
      <c r="U804" s="10"/>
    </row>
    <row r="805" spans="1:21">
      <c r="A805" s="5"/>
      <c r="B805" s="6"/>
      <c r="C805" s="6"/>
      <c r="D805" s="6"/>
      <c r="E805" s="6"/>
      <c r="F805" s="6"/>
      <c r="G805" s="13"/>
      <c r="H805" s="6"/>
      <c r="I805" s="13"/>
      <c r="J805" s="6"/>
      <c r="K805" s="6"/>
      <c r="L805" s="6"/>
      <c r="M805" s="6"/>
      <c r="N805" s="6"/>
      <c r="O805" s="6"/>
      <c r="P805" s="13"/>
      <c r="Q805" s="13"/>
      <c r="R805" s="16"/>
      <c r="S805" s="16"/>
      <c r="T805" s="6"/>
      <c r="U805" s="10"/>
    </row>
    <row r="806" spans="1:21">
      <c r="A806" s="5"/>
      <c r="B806" s="6"/>
      <c r="C806" s="6"/>
      <c r="D806" s="6"/>
      <c r="E806" s="6"/>
      <c r="F806" s="6"/>
      <c r="G806" s="13"/>
      <c r="H806" s="6"/>
      <c r="I806" s="13"/>
      <c r="J806" s="6"/>
      <c r="K806" s="6"/>
      <c r="L806" s="6"/>
      <c r="M806" s="6"/>
      <c r="N806" s="6"/>
      <c r="O806" s="6"/>
      <c r="P806" s="13"/>
      <c r="Q806" s="13"/>
      <c r="R806" s="16"/>
      <c r="S806" s="16"/>
      <c r="T806" s="6"/>
      <c r="U806" s="10"/>
    </row>
    <row r="807" spans="1:21">
      <c r="A807" s="5"/>
      <c r="B807" s="6"/>
      <c r="C807" s="6"/>
      <c r="D807" s="6"/>
      <c r="E807" s="6"/>
      <c r="F807" s="6"/>
      <c r="G807" s="13"/>
      <c r="H807" s="6"/>
      <c r="I807" s="13"/>
      <c r="J807" s="6"/>
      <c r="K807" s="6"/>
      <c r="L807" s="6"/>
      <c r="M807" s="6"/>
      <c r="N807" s="6"/>
      <c r="O807" s="6"/>
      <c r="P807" s="13"/>
      <c r="Q807" s="13"/>
      <c r="R807" s="16"/>
      <c r="S807" s="16"/>
      <c r="T807" s="6"/>
      <c r="U807" s="10"/>
    </row>
    <row r="808" spans="1:21">
      <c r="A808" s="5"/>
      <c r="B808" s="6"/>
      <c r="C808" s="6"/>
      <c r="D808" s="6"/>
      <c r="E808" s="6"/>
      <c r="F808" s="6"/>
      <c r="G808" s="13"/>
      <c r="H808" s="6"/>
      <c r="I808" s="13"/>
      <c r="J808" s="6"/>
      <c r="K808" s="6"/>
      <c r="L808" s="6"/>
      <c r="M808" s="6"/>
      <c r="N808" s="6"/>
      <c r="O808" s="6"/>
      <c r="P808" s="13"/>
      <c r="Q808" s="13"/>
      <c r="R808" s="16"/>
      <c r="S808" s="16"/>
      <c r="T808" s="6"/>
      <c r="U808" s="10"/>
    </row>
    <row r="809" spans="1:21">
      <c r="A809" s="5"/>
      <c r="B809" s="6"/>
      <c r="C809" s="6"/>
      <c r="D809" s="6"/>
      <c r="E809" s="6"/>
      <c r="F809" s="6"/>
      <c r="G809" s="13"/>
      <c r="H809" s="6"/>
      <c r="I809" s="13"/>
      <c r="J809" s="6"/>
      <c r="K809" s="6"/>
      <c r="L809" s="6"/>
      <c r="M809" s="6"/>
      <c r="N809" s="6"/>
      <c r="O809" s="6"/>
      <c r="P809" s="13"/>
      <c r="Q809" s="13"/>
      <c r="R809" s="16"/>
      <c r="S809" s="16"/>
      <c r="T809" s="6"/>
      <c r="U809" s="10"/>
    </row>
    <row r="810" spans="1:21">
      <c r="A810" s="5"/>
      <c r="B810" s="6"/>
      <c r="C810" s="6"/>
      <c r="D810" s="6"/>
      <c r="E810" s="6"/>
      <c r="F810" s="6"/>
      <c r="G810" s="13"/>
      <c r="H810" s="6"/>
      <c r="I810" s="13"/>
      <c r="J810" s="6"/>
      <c r="K810" s="6"/>
      <c r="L810" s="6"/>
      <c r="M810" s="6"/>
      <c r="N810" s="6"/>
      <c r="O810" s="6"/>
      <c r="P810" s="13"/>
      <c r="Q810" s="13"/>
      <c r="R810" s="16"/>
      <c r="S810" s="16"/>
      <c r="T810" s="6"/>
      <c r="U810" s="10"/>
    </row>
    <row r="811" spans="1:21">
      <c r="A811" s="5"/>
      <c r="B811" s="6"/>
      <c r="C811" s="6"/>
      <c r="D811" s="6"/>
      <c r="E811" s="6"/>
      <c r="F811" s="6"/>
      <c r="G811" s="13"/>
      <c r="H811" s="6"/>
      <c r="I811" s="13"/>
      <c r="J811" s="6"/>
      <c r="K811" s="6"/>
      <c r="L811" s="6"/>
      <c r="M811" s="6"/>
      <c r="N811" s="6"/>
      <c r="O811" s="6"/>
      <c r="P811" s="13"/>
      <c r="Q811" s="13"/>
      <c r="R811" s="16"/>
      <c r="S811" s="16"/>
      <c r="T811" s="6"/>
      <c r="U811" s="10"/>
    </row>
    <row r="812" spans="1:21">
      <c r="A812" s="5"/>
      <c r="B812" s="6"/>
      <c r="C812" s="6"/>
      <c r="D812" s="6"/>
      <c r="E812" s="6"/>
      <c r="F812" s="6"/>
      <c r="G812" s="13"/>
      <c r="H812" s="6"/>
      <c r="I812" s="13"/>
      <c r="J812" s="6"/>
      <c r="K812" s="6"/>
      <c r="L812" s="6"/>
      <c r="M812" s="6"/>
      <c r="N812" s="6"/>
      <c r="O812" s="6"/>
      <c r="P812" s="13"/>
      <c r="Q812" s="13"/>
      <c r="R812" s="16"/>
      <c r="S812" s="16"/>
      <c r="T812" s="6"/>
      <c r="U812" s="10"/>
    </row>
    <row r="813" spans="1:21">
      <c r="A813" s="5"/>
      <c r="B813" s="6"/>
      <c r="C813" s="6"/>
      <c r="D813" s="6"/>
      <c r="E813" s="6"/>
      <c r="F813" s="6"/>
      <c r="G813" s="13"/>
      <c r="H813" s="6"/>
      <c r="I813" s="13"/>
      <c r="J813" s="6"/>
      <c r="K813" s="6"/>
      <c r="L813" s="6"/>
      <c r="M813" s="6"/>
      <c r="N813" s="6"/>
      <c r="O813" s="6"/>
      <c r="P813" s="13"/>
      <c r="Q813" s="13"/>
      <c r="R813" s="16"/>
      <c r="S813" s="16"/>
      <c r="T813" s="6"/>
      <c r="U813" s="10"/>
    </row>
    <row r="814" spans="1:21">
      <c r="A814" s="5"/>
      <c r="B814" s="6"/>
      <c r="C814" s="6"/>
      <c r="D814" s="6"/>
      <c r="E814" s="6"/>
      <c r="F814" s="6"/>
      <c r="G814" s="13"/>
      <c r="H814" s="6"/>
      <c r="I814" s="13"/>
      <c r="J814" s="6"/>
      <c r="K814" s="6"/>
      <c r="L814" s="6"/>
      <c r="M814" s="6"/>
      <c r="N814" s="6"/>
      <c r="O814" s="6"/>
      <c r="P814" s="13"/>
      <c r="Q814" s="13"/>
      <c r="R814" s="16"/>
      <c r="S814" s="16"/>
      <c r="T814" s="6"/>
      <c r="U814" s="10"/>
    </row>
    <row r="815" spans="1:21">
      <c r="A815" s="5"/>
      <c r="B815" s="6"/>
      <c r="C815" s="6"/>
      <c r="D815" s="6"/>
      <c r="E815" s="6"/>
      <c r="F815" s="6"/>
      <c r="G815" s="13"/>
      <c r="H815" s="6"/>
      <c r="I815" s="13"/>
      <c r="J815" s="6"/>
      <c r="K815" s="6"/>
      <c r="L815" s="6"/>
      <c r="M815" s="6"/>
      <c r="N815" s="6"/>
      <c r="O815" s="6"/>
      <c r="P815" s="13"/>
      <c r="Q815" s="13"/>
      <c r="R815" s="16"/>
      <c r="S815" s="16"/>
      <c r="T815" s="6"/>
      <c r="U815" s="10"/>
    </row>
    <row r="816" spans="1:21">
      <c r="A816" s="5"/>
      <c r="B816" s="6"/>
      <c r="C816" s="6"/>
      <c r="D816" s="6"/>
      <c r="E816" s="6"/>
      <c r="F816" s="6"/>
      <c r="G816" s="13"/>
      <c r="H816" s="6"/>
      <c r="I816" s="13"/>
      <c r="J816" s="6"/>
      <c r="K816" s="6"/>
      <c r="L816" s="6"/>
      <c r="M816" s="6"/>
      <c r="N816" s="6"/>
      <c r="O816" s="6"/>
      <c r="P816" s="13"/>
      <c r="Q816" s="13"/>
      <c r="R816" s="16"/>
      <c r="S816" s="16"/>
      <c r="T816" s="6"/>
      <c r="U816" s="10"/>
    </row>
    <row r="817" spans="1:21">
      <c r="A817" s="5"/>
      <c r="B817" s="6"/>
      <c r="C817" s="6"/>
      <c r="D817" s="6"/>
      <c r="E817" s="6"/>
      <c r="F817" s="6"/>
      <c r="G817" s="13"/>
      <c r="H817" s="6"/>
      <c r="I817" s="13"/>
      <c r="J817" s="6"/>
      <c r="K817" s="6"/>
      <c r="L817" s="6"/>
      <c r="M817" s="6"/>
      <c r="N817" s="6"/>
      <c r="O817" s="6"/>
      <c r="P817" s="13"/>
      <c r="Q817" s="13"/>
      <c r="R817" s="16"/>
      <c r="S817" s="16"/>
      <c r="T817" s="6"/>
      <c r="U817" s="10"/>
    </row>
    <row r="818" spans="1:21">
      <c r="A818" s="5"/>
      <c r="B818" s="6"/>
      <c r="C818" s="6"/>
      <c r="D818" s="6"/>
      <c r="E818" s="6"/>
      <c r="F818" s="6"/>
      <c r="G818" s="13"/>
      <c r="H818" s="6"/>
      <c r="I818" s="13"/>
      <c r="J818" s="6"/>
      <c r="K818" s="6"/>
      <c r="L818" s="6"/>
      <c r="M818" s="6"/>
      <c r="N818" s="6"/>
      <c r="O818" s="6"/>
      <c r="P818" s="13"/>
      <c r="Q818" s="13"/>
      <c r="R818" s="16"/>
      <c r="S818" s="16"/>
      <c r="T818" s="6"/>
      <c r="U818" s="10"/>
    </row>
    <row r="819" spans="1:21">
      <c r="A819" s="5"/>
      <c r="B819" s="6"/>
      <c r="C819" s="6"/>
      <c r="D819" s="6"/>
      <c r="E819" s="6"/>
      <c r="F819" s="6"/>
      <c r="G819" s="13"/>
      <c r="H819" s="6"/>
      <c r="I819" s="13"/>
      <c r="J819" s="6"/>
      <c r="K819" s="6"/>
      <c r="L819" s="6"/>
      <c r="M819" s="6"/>
      <c r="N819" s="6"/>
      <c r="O819" s="6"/>
      <c r="P819" s="13"/>
      <c r="Q819" s="13"/>
      <c r="R819" s="16"/>
      <c r="S819" s="16"/>
      <c r="T819" s="6"/>
      <c r="U819" s="10"/>
    </row>
    <row r="820" spans="1:21">
      <c r="A820" s="5"/>
      <c r="B820" s="6"/>
      <c r="C820" s="6"/>
      <c r="D820" s="6"/>
      <c r="E820" s="6"/>
      <c r="F820" s="6"/>
      <c r="G820" s="13"/>
      <c r="H820" s="6"/>
      <c r="I820" s="13"/>
      <c r="J820" s="6"/>
      <c r="K820" s="6"/>
      <c r="L820" s="6"/>
      <c r="M820" s="6"/>
      <c r="N820" s="6"/>
      <c r="O820" s="6"/>
      <c r="P820" s="13"/>
      <c r="Q820" s="13"/>
      <c r="R820" s="16"/>
      <c r="S820" s="16"/>
      <c r="T820" s="6"/>
      <c r="U820" s="10"/>
    </row>
    <row r="821" spans="1:21">
      <c r="A821" s="5"/>
      <c r="B821" s="6"/>
      <c r="C821" s="6"/>
      <c r="D821" s="6"/>
      <c r="E821" s="6"/>
      <c r="F821" s="6"/>
      <c r="G821" s="13"/>
      <c r="H821" s="6"/>
      <c r="I821" s="13"/>
      <c r="J821" s="6"/>
      <c r="K821" s="6"/>
      <c r="L821" s="6"/>
      <c r="M821" s="6"/>
      <c r="N821" s="6"/>
      <c r="O821" s="6"/>
      <c r="P821" s="13"/>
      <c r="Q821" s="13"/>
      <c r="R821" s="16"/>
      <c r="S821" s="16"/>
      <c r="T821" s="6"/>
      <c r="U821" s="10"/>
    </row>
    <row r="822" spans="1:21">
      <c r="A822" s="5"/>
      <c r="B822" s="6"/>
      <c r="C822" s="6"/>
      <c r="D822" s="6"/>
      <c r="E822" s="6"/>
      <c r="F822" s="6"/>
      <c r="G822" s="13"/>
      <c r="H822" s="6"/>
      <c r="I822" s="13"/>
      <c r="J822" s="6"/>
      <c r="K822" s="6"/>
      <c r="L822" s="6"/>
      <c r="M822" s="6"/>
      <c r="N822" s="6"/>
      <c r="O822" s="6"/>
      <c r="P822" s="13"/>
      <c r="Q822" s="13"/>
      <c r="R822" s="16"/>
      <c r="S822" s="16"/>
      <c r="T822" s="6"/>
      <c r="U822" s="10"/>
    </row>
    <row r="823" spans="1:21">
      <c r="A823" s="5"/>
      <c r="B823" s="6"/>
      <c r="C823" s="6"/>
      <c r="D823" s="6"/>
      <c r="E823" s="6"/>
      <c r="F823" s="6"/>
      <c r="G823" s="13"/>
      <c r="H823" s="6"/>
      <c r="I823" s="13"/>
      <c r="J823" s="6"/>
      <c r="K823" s="6"/>
      <c r="L823" s="6"/>
      <c r="M823" s="6"/>
      <c r="N823" s="6"/>
      <c r="O823" s="6"/>
      <c r="P823" s="13"/>
      <c r="Q823" s="13"/>
      <c r="R823" s="16"/>
      <c r="S823" s="16"/>
      <c r="T823" s="6"/>
      <c r="U823" s="10"/>
    </row>
    <row r="824" spans="1:21">
      <c r="A824" s="5"/>
      <c r="B824" s="6"/>
      <c r="C824" s="6"/>
      <c r="D824" s="6"/>
      <c r="E824" s="6"/>
      <c r="F824" s="6"/>
      <c r="G824" s="13"/>
      <c r="H824" s="6"/>
      <c r="I824" s="13"/>
      <c r="J824" s="6"/>
      <c r="K824" s="6"/>
      <c r="L824" s="6"/>
      <c r="M824" s="6"/>
      <c r="N824" s="6"/>
      <c r="O824" s="6"/>
      <c r="P824" s="13"/>
      <c r="Q824" s="13"/>
      <c r="R824" s="16"/>
      <c r="S824" s="16"/>
      <c r="T824" s="6"/>
      <c r="U824" s="10"/>
    </row>
    <row r="825" spans="1:21">
      <c r="A825" s="5"/>
      <c r="B825" s="6"/>
      <c r="C825" s="6"/>
      <c r="D825" s="6"/>
      <c r="E825" s="6"/>
      <c r="F825" s="6"/>
      <c r="G825" s="13"/>
      <c r="H825" s="6"/>
      <c r="I825" s="13"/>
      <c r="J825" s="6"/>
      <c r="K825" s="6"/>
      <c r="L825" s="6"/>
      <c r="M825" s="6"/>
      <c r="N825" s="6"/>
      <c r="O825" s="6"/>
      <c r="P825" s="13"/>
      <c r="Q825" s="13"/>
      <c r="R825" s="16"/>
      <c r="S825" s="16"/>
      <c r="T825" s="6"/>
      <c r="U825" s="10"/>
    </row>
    <row r="826" spans="1:21">
      <c r="A826" s="5"/>
      <c r="B826" s="6"/>
      <c r="C826" s="6"/>
      <c r="D826" s="6"/>
      <c r="E826" s="6"/>
      <c r="F826" s="6"/>
      <c r="G826" s="13"/>
      <c r="H826" s="6"/>
      <c r="I826" s="13"/>
      <c r="J826" s="6"/>
      <c r="K826" s="6"/>
      <c r="L826" s="6"/>
      <c r="M826" s="6"/>
      <c r="N826" s="6"/>
      <c r="O826" s="6"/>
      <c r="P826" s="13"/>
      <c r="Q826" s="13"/>
      <c r="R826" s="16"/>
      <c r="S826" s="16"/>
      <c r="T826" s="6"/>
      <c r="U826" s="10"/>
    </row>
    <row r="827" spans="1:21">
      <c r="A827" s="5"/>
      <c r="B827" s="6"/>
      <c r="C827" s="6"/>
      <c r="D827" s="6"/>
      <c r="E827" s="6"/>
      <c r="F827" s="6"/>
      <c r="G827" s="13"/>
      <c r="H827" s="6"/>
      <c r="I827" s="13"/>
      <c r="J827" s="6"/>
      <c r="K827" s="6"/>
      <c r="L827" s="6"/>
      <c r="M827" s="6"/>
      <c r="N827" s="6"/>
      <c r="O827" s="6"/>
      <c r="P827" s="13"/>
      <c r="Q827" s="13"/>
      <c r="R827" s="16"/>
      <c r="S827" s="16"/>
      <c r="T827" s="6"/>
      <c r="U827" s="10"/>
    </row>
    <row r="828" spans="1:21">
      <c r="A828" s="5"/>
      <c r="B828" s="6"/>
      <c r="C828" s="6"/>
      <c r="D828" s="6"/>
      <c r="E828" s="6"/>
      <c r="F828" s="6"/>
      <c r="G828" s="13"/>
      <c r="H828" s="6"/>
      <c r="I828" s="13"/>
      <c r="J828" s="6"/>
      <c r="K828" s="6"/>
      <c r="L828" s="6"/>
      <c r="M828" s="6"/>
      <c r="N828" s="6"/>
      <c r="O828" s="6"/>
      <c r="P828" s="13"/>
      <c r="Q828" s="13"/>
      <c r="R828" s="16"/>
      <c r="S828" s="16"/>
      <c r="T828" s="6"/>
      <c r="U828" s="10"/>
    </row>
    <row r="829" spans="1:21">
      <c r="A829" s="5"/>
      <c r="B829" s="6"/>
      <c r="C829" s="6"/>
      <c r="D829" s="6"/>
      <c r="E829" s="6"/>
      <c r="F829" s="6"/>
      <c r="G829" s="13"/>
      <c r="H829" s="6"/>
      <c r="I829" s="13"/>
      <c r="J829" s="6"/>
      <c r="K829" s="6"/>
      <c r="L829" s="6"/>
      <c r="M829" s="6"/>
      <c r="N829" s="6"/>
      <c r="O829" s="6"/>
      <c r="P829" s="13"/>
      <c r="Q829" s="13"/>
      <c r="R829" s="16"/>
      <c r="S829" s="16"/>
      <c r="T829" s="6"/>
      <c r="U829" s="10"/>
    </row>
    <row r="830" spans="1:21">
      <c r="A830" s="5"/>
      <c r="B830" s="6"/>
      <c r="C830" s="6"/>
      <c r="D830" s="6"/>
      <c r="E830" s="6"/>
      <c r="F830" s="6"/>
      <c r="G830" s="13"/>
      <c r="H830" s="6"/>
      <c r="I830" s="13"/>
      <c r="J830" s="6"/>
      <c r="K830" s="6"/>
      <c r="L830" s="6"/>
      <c r="M830" s="6"/>
      <c r="N830" s="6"/>
      <c r="O830" s="6"/>
      <c r="P830" s="13"/>
      <c r="Q830" s="13"/>
      <c r="R830" s="16"/>
      <c r="S830" s="16"/>
      <c r="T830" s="6"/>
      <c r="U830" s="10"/>
    </row>
    <row r="831" spans="1:21">
      <c r="A831" s="5"/>
      <c r="B831" s="6"/>
      <c r="C831" s="6"/>
      <c r="D831" s="6"/>
      <c r="E831" s="6"/>
      <c r="F831" s="6"/>
      <c r="G831" s="13"/>
      <c r="H831" s="6"/>
      <c r="I831" s="13"/>
      <c r="J831" s="6"/>
      <c r="K831" s="6"/>
      <c r="L831" s="6"/>
      <c r="M831" s="6"/>
      <c r="N831" s="6"/>
      <c r="O831" s="6"/>
      <c r="P831" s="13"/>
      <c r="Q831" s="13"/>
      <c r="R831" s="16"/>
      <c r="S831" s="16"/>
      <c r="T831" s="6"/>
      <c r="U831" s="10"/>
    </row>
    <row r="832" spans="1:21">
      <c r="A832" s="5"/>
      <c r="B832" s="6"/>
      <c r="C832" s="6"/>
      <c r="D832" s="6"/>
      <c r="E832" s="6"/>
      <c r="F832" s="6"/>
      <c r="G832" s="13"/>
      <c r="H832" s="6"/>
      <c r="I832" s="13"/>
      <c r="J832" s="6"/>
      <c r="K832" s="6"/>
      <c r="L832" s="6"/>
      <c r="M832" s="6"/>
      <c r="N832" s="6"/>
      <c r="O832" s="6"/>
      <c r="P832" s="13"/>
      <c r="Q832" s="13"/>
      <c r="R832" s="16"/>
      <c r="S832" s="16"/>
      <c r="T832" s="6"/>
      <c r="U832" s="10"/>
    </row>
    <row r="833" spans="1:21">
      <c r="A833" s="5"/>
      <c r="B833" s="6"/>
      <c r="C833" s="6"/>
      <c r="D833" s="6"/>
      <c r="E833" s="6"/>
      <c r="F833" s="6"/>
      <c r="G833" s="13"/>
      <c r="H833" s="6"/>
      <c r="I833" s="13"/>
      <c r="J833" s="6"/>
      <c r="K833" s="6"/>
      <c r="L833" s="6"/>
      <c r="M833" s="6"/>
      <c r="N833" s="6"/>
      <c r="O833" s="6"/>
      <c r="P833" s="13"/>
      <c r="Q833" s="13"/>
      <c r="R833" s="16"/>
      <c r="S833" s="16"/>
      <c r="T833" s="6"/>
      <c r="U833" s="10"/>
    </row>
    <row r="834" spans="1:21">
      <c r="A834" s="5"/>
      <c r="B834" s="6"/>
      <c r="C834" s="6"/>
      <c r="D834" s="6"/>
      <c r="E834" s="6"/>
      <c r="F834" s="6"/>
      <c r="G834" s="13"/>
      <c r="H834" s="6"/>
      <c r="I834" s="13"/>
      <c r="J834" s="6"/>
      <c r="K834" s="6"/>
      <c r="L834" s="6"/>
      <c r="M834" s="6"/>
      <c r="N834" s="6"/>
      <c r="O834" s="6"/>
      <c r="P834" s="13"/>
      <c r="Q834" s="13"/>
      <c r="R834" s="16"/>
      <c r="S834" s="16"/>
      <c r="T834" s="6"/>
      <c r="U834" s="10"/>
    </row>
    <row r="835" spans="1:21">
      <c r="A835" s="5"/>
      <c r="B835" s="6"/>
      <c r="C835" s="6"/>
      <c r="D835" s="6"/>
      <c r="E835" s="6"/>
      <c r="F835" s="6"/>
      <c r="G835" s="13"/>
      <c r="H835" s="6"/>
      <c r="I835" s="13"/>
      <c r="J835" s="6"/>
      <c r="K835" s="6"/>
      <c r="L835" s="6"/>
      <c r="M835" s="6"/>
      <c r="N835" s="6"/>
      <c r="O835" s="6"/>
      <c r="P835" s="13"/>
      <c r="Q835" s="13"/>
      <c r="R835" s="16"/>
      <c r="S835" s="16"/>
      <c r="T835" s="6"/>
      <c r="U835" s="10"/>
    </row>
    <row r="836" spans="1:21">
      <c r="A836" s="5"/>
      <c r="B836" s="6"/>
      <c r="C836" s="6"/>
      <c r="D836" s="6"/>
      <c r="E836" s="6"/>
      <c r="F836" s="6"/>
      <c r="G836" s="13"/>
      <c r="H836" s="6"/>
      <c r="I836" s="13"/>
      <c r="J836" s="6"/>
      <c r="K836" s="6"/>
      <c r="L836" s="6"/>
      <c r="M836" s="6"/>
      <c r="N836" s="6"/>
      <c r="O836" s="6"/>
      <c r="P836" s="13"/>
      <c r="Q836" s="13"/>
      <c r="R836" s="16"/>
      <c r="S836" s="16"/>
      <c r="T836" s="6"/>
      <c r="U836" s="10"/>
    </row>
    <row r="837" spans="1:21">
      <c r="A837" s="5"/>
      <c r="B837" s="6"/>
      <c r="C837" s="6"/>
      <c r="D837" s="6"/>
      <c r="E837" s="6"/>
      <c r="F837" s="6"/>
      <c r="G837" s="13"/>
      <c r="H837" s="6"/>
      <c r="I837" s="13"/>
      <c r="J837" s="6"/>
      <c r="K837" s="6"/>
      <c r="L837" s="6"/>
      <c r="M837" s="6"/>
      <c r="N837" s="6"/>
      <c r="O837" s="6"/>
      <c r="P837" s="13"/>
      <c r="Q837" s="13"/>
      <c r="R837" s="16"/>
      <c r="S837" s="16"/>
      <c r="T837" s="6"/>
      <c r="U837" s="10"/>
    </row>
    <row r="838" spans="1:21">
      <c r="A838" s="5"/>
      <c r="B838" s="6"/>
      <c r="C838" s="6"/>
      <c r="D838" s="6"/>
      <c r="E838" s="6"/>
      <c r="F838" s="6"/>
      <c r="G838" s="13"/>
      <c r="H838" s="6"/>
      <c r="I838" s="13"/>
      <c r="J838" s="6"/>
      <c r="K838" s="6"/>
      <c r="L838" s="6"/>
      <c r="M838" s="6"/>
      <c r="N838" s="6"/>
      <c r="O838" s="6"/>
      <c r="P838" s="13"/>
      <c r="Q838" s="13"/>
      <c r="R838" s="16"/>
      <c r="S838" s="16"/>
      <c r="T838" s="6"/>
      <c r="U838" s="10"/>
    </row>
    <row r="839" spans="1:21">
      <c r="A839" s="5"/>
      <c r="B839" s="6"/>
      <c r="C839" s="6"/>
      <c r="D839" s="6"/>
      <c r="E839" s="6"/>
      <c r="F839" s="6"/>
      <c r="G839" s="13"/>
      <c r="H839" s="6"/>
      <c r="I839" s="13"/>
      <c r="J839" s="6"/>
      <c r="K839" s="6"/>
      <c r="L839" s="6"/>
      <c r="M839" s="6"/>
      <c r="N839" s="6"/>
      <c r="O839" s="6"/>
      <c r="P839" s="13"/>
      <c r="Q839" s="13"/>
      <c r="R839" s="16"/>
      <c r="S839" s="16"/>
      <c r="T839" s="6"/>
      <c r="U839" s="10"/>
    </row>
    <row r="840" spans="1:21">
      <c r="A840" s="5"/>
      <c r="B840" s="6"/>
      <c r="C840" s="6"/>
      <c r="D840" s="6"/>
      <c r="E840" s="6"/>
      <c r="F840" s="6"/>
      <c r="G840" s="13"/>
      <c r="H840" s="6"/>
      <c r="I840" s="13"/>
      <c r="J840" s="6"/>
      <c r="K840" s="6"/>
      <c r="L840" s="6"/>
      <c r="M840" s="6"/>
      <c r="N840" s="6"/>
      <c r="O840" s="6"/>
      <c r="P840" s="13"/>
      <c r="Q840" s="13"/>
      <c r="R840" s="16"/>
      <c r="S840" s="16"/>
      <c r="T840" s="6"/>
      <c r="U840" s="10"/>
    </row>
    <row r="841" spans="1:21">
      <c r="A841" s="5"/>
      <c r="B841" s="6"/>
      <c r="C841" s="6"/>
      <c r="D841" s="6"/>
      <c r="E841" s="6"/>
      <c r="F841" s="6"/>
      <c r="G841" s="13"/>
      <c r="H841" s="6"/>
      <c r="I841" s="13"/>
      <c r="J841" s="6"/>
      <c r="K841" s="6"/>
      <c r="L841" s="6"/>
      <c r="M841" s="6"/>
      <c r="N841" s="6"/>
      <c r="O841" s="6"/>
      <c r="P841" s="13"/>
      <c r="Q841" s="13"/>
      <c r="R841" s="16"/>
      <c r="S841" s="16"/>
      <c r="T841" s="6"/>
      <c r="U841" s="10"/>
    </row>
    <row r="842" spans="1:21">
      <c r="A842" s="5"/>
      <c r="B842" s="6"/>
      <c r="C842" s="6"/>
      <c r="D842" s="6"/>
      <c r="E842" s="6"/>
      <c r="F842" s="6"/>
      <c r="G842" s="13"/>
      <c r="H842" s="6"/>
      <c r="I842" s="13"/>
      <c r="J842" s="6"/>
      <c r="K842" s="6"/>
      <c r="L842" s="6"/>
      <c r="M842" s="6"/>
      <c r="N842" s="6"/>
      <c r="O842" s="6"/>
      <c r="P842" s="13"/>
      <c r="Q842" s="13"/>
      <c r="R842" s="16"/>
      <c r="S842" s="16"/>
      <c r="T842" s="6"/>
      <c r="U842" s="10"/>
    </row>
    <row r="843" spans="1:21">
      <c r="A843" s="5"/>
      <c r="B843" s="6"/>
      <c r="C843" s="6"/>
      <c r="D843" s="6"/>
      <c r="E843" s="6"/>
      <c r="F843" s="6"/>
      <c r="G843" s="13"/>
      <c r="H843" s="6"/>
      <c r="I843" s="13"/>
      <c r="J843" s="6"/>
      <c r="K843" s="6"/>
      <c r="L843" s="6"/>
      <c r="M843" s="6"/>
      <c r="N843" s="6"/>
      <c r="O843" s="6"/>
      <c r="P843" s="13"/>
      <c r="Q843" s="13"/>
      <c r="R843" s="16"/>
      <c r="S843" s="16"/>
      <c r="T843" s="6"/>
      <c r="U843" s="10"/>
    </row>
    <row r="844" spans="1:21">
      <c r="A844" s="5"/>
      <c r="B844" s="6"/>
      <c r="C844" s="6"/>
      <c r="D844" s="6"/>
      <c r="E844" s="6"/>
      <c r="F844" s="6"/>
      <c r="G844" s="13"/>
      <c r="H844" s="6"/>
      <c r="I844" s="13"/>
      <c r="J844" s="6"/>
      <c r="K844" s="6"/>
      <c r="L844" s="6"/>
      <c r="M844" s="6"/>
      <c r="N844" s="6"/>
      <c r="O844" s="6"/>
      <c r="P844" s="13"/>
      <c r="Q844" s="13"/>
      <c r="R844" s="16"/>
      <c r="S844" s="16"/>
      <c r="T844" s="6"/>
      <c r="U844" s="10"/>
    </row>
    <row r="845" spans="1:21">
      <c r="A845" s="5"/>
      <c r="B845" s="6"/>
      <c r="C845" s="6"/>
      <c r="D845" s="6"/>
      <c r="E845" s="6"/>
      <c r="F845" s="6"/>
      <c r="G845" s="13"/>
      <c r="H845" s="6"/>
      <c r="I845" s="13"/>
      <c r="J845" s="6"/>
      <c r="K845" s="6"/>
      <c r="L845" s="6"/>
      <c r="M845" s="6"/>
      <c r="N845" s="6"/>
      <c r="O845" s="6"/>
      <c r="P845" s="13"/>
      <c r="Q845" s="13"/>
      <c r="R845" s="16"/>
      <c r="S845" s="16"/>
      <c r="T845" s="6"/>
      <c r="U845" s="10"/>
    </row>
    <row r="846" spans="1:21">
      <c r="A846" s="5"/>
      <c r="B846" s="6"/>
      <c r="C846" s="6"/>
      <c r="D846" s="6"/>
      <c r="E846" s="6"/>
      <c r="F846" s="6"/>
      <c r="G846" s="13"/>
      <c r="H846" s="6"/>
      <c r="I846" s="13"/>
      <c r="J846" s="6"/>
      <c r="K846" s="6"/>
      <c r="L846" s="6"/>
      <c r="M846" s="6"/>
      <c r="N846" s="6"/>
      <c r="O846" s="6"/>
      <c r="P846" s="13"/>
      <c r="Q846" s="13"/>
      <c r="R846" s="16"/>
      <c r="S846" s="16"/>
      <c r="T846" s="6"/>
      <c r="U846" s="10"/>
    </row>
    <row r="847" spans="1:21">
      <c r="A847" s="5"/>
      <c r="B847" s="6"/>
      <c r="C847" s="6"/>
      <c r="D847" s="6"/>
      <c r="E847" s="6"/>
      <c r="F847" s="6"/>
      <c r="G847" s="13"/>
      <c r="H847" s="6"/>
      <c r="I847" s="13"/>
      <c r="J847" s="6"/>
      <c r="K847" s="6"/>
      <c r="L847" s="6"/>
      <c r="M847" s="6"/>
      <c r="N847" s="6"/>
      <c r="O847" s="6"/>
      <c r="P847" s="13"/>
      <c r="Q847" s="13"/>
      <c r="R847" s="16"/>
      <c r="S847" s="16"/>
      <c r="T847" s="6"/>
      <c r="U847" s="10"/>
    </row>
    <row r="848" spans="1:21">
      <c r="A848" s="5"/>
      <c r="B848" s="6"/>
      <c r="C848" s="6"/>
      <c r="D848" s="6"/>
      <c r="E848" s="6"/>
      <c r="F848" s="6"/>
      <c r="G848" s="13"/>
      <c r="H848" s="6"/>
      <c r="I848" s="13"/>
      <c r="J848" s="6"/>
      <c r="K848" s="6"/>
      <c r="L848" s="6"/>
      <c r="M848" s="6"/>
      <c r="N848" s="6"/>
      <c r="O848" s="6"/>
      <c r="P848" s="13"/>
      <c r="Q848" s="13"/>
      <c r="R848" s="16"/>
      <c r="S848" s="16"/>
      <c r="T848" s="6"/>
      <c r="U848" s="10"/>
    </row>
    <row r="849" spans="1:21">
      <c r="A849" s="5"/>
      <c r="B849" s="6"/>
      <c r="C849" s="6"/>
      <c r="D849" s="6"/>
      <c r="E849" s="6"/>
      <c r="F849" s="6"/>
      <c r="G849" s="13"/>
      <c r="H849" s="6"/>
      <c r="I849" s="13"/>
      <c r="J849" s="6"/>
      <c r="K849" s="6"/>
      <c r="L849" s="6"/>
      <c r="M849" s="6"/>
      <c r="N849" s="6"/>
      <c r="O849" s="6"/>
      <c r="P849" s="13"/>
      <c r="Q849" s="13"/>
      <c r="R849" s="16"/>
      <c r="S849" s="16"/>
      <c r="T849" s="6"/>
      <c r="U849" s="10"/>
    </row>
    <row r="850" spans="1:21">
      <c r="A850" s="5"/>
      <c r="B850" s="6"/>
      <c r="C850" s="6"/>
      <c r="D850" s="6"/>
      <c r="E850" s="6"/>
      <c r="F850" s="6"/>
      <c r="G850" s="13"/>
      <c r="H850" s="6"/>
      <c r="I850" s="13"/>
      <c r="J850" s="6"/>
      <c r="K850" s="6"/>
      <c r="L850" s="6"/>
      <c r="M850" s="6"/>
      <c r="N850" s="6"/>
      <c r="O850" s="6"/>
      <c r="P850" s="13"/>
      <c r="Q850" s="13"/>
      <c r="R850" s="16"/>
      <c r="S850" s="16"/>
      <c r="T850" s="6"/>
      <c r="U850" s="10"/>
    </row>
    <row r="851" spans="1:21">
      <c r="A851" s="5"/>
      <c r="B851" s="6"/>
      <c r="C851" s="6"/>
      <c r="D851" s="6"/>
      <c r="E851" s="6"/>
      <c r="F851" s="6"/>
      <c r="G851" s="13"/>
      <c r="H851" s="6"/>
      <c r="I851" s="13"/>
      <c r="J851" s="6"/>
      <c r="K851" s="6"/>
      <c r="L851" s="6"/>
      <c r="M851" s="6"/>
      <c r="N851" s="6"/>
      <c r="O851" s="6"/>
      <c r="P851" s="13"/>
      <c r="Q851" s="13"/>
      <c r="R851" s="16"/>
      <c r="S851" s="16"/>
      <c r="T851" s="6"/>
      <c r="U851" s="10"/>
    </row>
    <row r="852" spans="1:21">
      <c r="A852" s="5"/>
      <c r="B852" s="6"/>
      <c r="C852" s="6"/>
      <c r="D852" s="6"/>
      <c r="E852" s="6"/>
      <c r="F852" s="6"/>
      <c r="G852" s="13"/>
      <c r="H852" s="6"/>
      <c r="I852" s="13"/>
      <c r="J852" s="6"/>
      <c r="K852" s="6"/>
      <c r="L852" s="6"/>
      <c r="M852" s="6"/>
      <c r="N852" s="6"/>
      <c r="O852" s="6"/>
      <c r="P852" s="13"/>
      <c r="Q852" s="13"/>
      <c r="R852" s="16"/>
      <c r="S852" s="16"/>
      <c r="T852" s="6"/>
      <c r="U852" s="10"/>
    </row>
    <row r="853" spans="1:21">
      <c r="A853" s="5"/>
      <c r="B853" s="6"/>
      <c r="C853" s="6"/>
      <c r="D853" s="6"/>
      <c r="E853" s="6"/>
      <c r="F853" s="6"/>
      <c r="G853" s="13"/>
      <c r="H853" s="6"/>
      <c r="I853" s="13"/>
      <c r="J853" s="6"/>
      <c r="K853" s="6"/>
      <c r="L853" s="6"/>
      <c r="M853" s="6"/>
      <c r="N853" s="6"/>
      <c r="O853" s="6"/>
      <c r="P853" s="13"/>
      <c r="Q853" s="13"/>
      <c r="R853" s="16"/>
      <c r="S853" s="16"/>
      <c r="T853" s="6"/>
      <c r="U853" s="10"/>
    </row>
    <row r="854" spans="1:21">
      <c r="A854" s="5"/>
      <c r="B854" s="6"/>
      <c r="C854" s="6"/>
      <c r="D854" s="6"/>
      <c r="E854" s="6"/>
      <c r="F854" s="6"/>
      <c r="G854" s="13"/>
      <c r="H854" s="6"/>
      <c r="I854" s="13"/>
      <c r="J854" s="6"/>
      <c r="K854" s="6"/>
      <c r="L854" s="6"/>
      <c r="M854" s="6"/>
      <c r="N854" s="6"/>
      <c r="O854" s="6"/>
      <c r="P854" s="13"/>
      <c r="Q854" s="13"/>
      <c r="R854" s="16"/>
      <c r="S854" s="16"/>
      <c r="T854" s="6"/>
      <c r="U854" s="10"/>
    </row>
    <row r="855" spans="1:21">
      <c r="A855" s="5"/>
      <c r="B855" s="6"/>
      <c r="C855" s="6"/>
      <c r="D855" s="6"/>
      <c r="E855" s="6"/>
      <c r="F855" s="6"/>
      <c r="G855" s="13"/>
      <c r="H855" s="6"/>
      <c r="I855" s="13"/>
      <c r="J855" s="6"/>
      <c r="K855" s="6"/>
      <c r="L855" s="6"/>
      <c r="M855" s="6"/>
      <c r="N855" s="6"/>
      <c r="O855" s="6"/>
      <c r="P855" s="13"/>
      <c r="Q855" s="13"/>
      <c r="R855" s="16"/>
      <c r="S855" s="16"/>
      <c r="T855" s="6"/>
      <c r="U855" s="10"/>
    </row>
    <row r="856" spans="1:21">
      <c r="A856" s="5"/>
      <c r="B856" s="6"/>
      <c r="C856" s="6"/>
      <c r="D856" s="6"/>
      <c r="E856" s="6"/>
      <c r="F856" s="6"/>
      <c r="G856" s="13"/>
      <c r="H856" s="6"/>
      <c r="I856" s="13"/>
      <c r="J856" s="6"/>
      <c r="K856" s="6"/>
      <c r="L856" s="6"/>
      <c r="M856" s="6"/>
      <c r="N856" s="6"/>
      <c r="O856" s="6"/>
      <c r="P856" s="13"/>
      <c r="Q856" s="13"/>
      <c r="R856" s="16"/>
      <c r="S856" s="16"/>
      <c r="T856" s="6"/>
      <c r="U856" s="10"/>
    </row>
    <row r="857" spans="1:21">
      <c r="A857" s="5"/>
      <c r="B857" s="6"/>
      <c r="C857" s="6"/>
      <c r="D857" s="6"/>
      <c r="E857" s="6"/>
      <c r="F857" s="6"/>
      <c r="G857" s="13"/>
      <c r="H857" s="6"/>
      <c r="I857" s="13"/>
      <c r="J857" s="6"/>
      <c r="K857" s="6"/>
      <c r="L857" s="6"/>
      <c r="M857" s="6"/>
      <c r="N857" s="6"/>
      <c r="O857" s="6"/>
      <c r="P857" s="13"/>
      <c r="Q857" s="13"/>
      <c r="R857" s="16"/>
      <c r="S857" s="16"/>
      <c r="T857" s="6"/>
      <c r="U857" s="10"/>
    </row>
    <row r="858" spans="1:21">
      <c r="A858" s="5"/>
      <c r="B858" s="6"/>
      <c r="C858" s="6"/>
      <c r="D858" s="6"/>
      <c r="E858" s="6"/>
      <c r="F858" s="6"/>
      <c r="G858" s="13"/>
      <c r="H858" s="6"/>
      <c r="I858" s="13"/>
      <c r="J858" s="6"/>
      <c r="K858" s="6"/>
      <c r="L858" s="6"/>
      <c r="M858" s="6"/>
      <c r="N858" s="6"/>
      <c r="O858" s="6"/>
      <c r="P858" s="13"/>
      <c r="Q858" s="13"/>
      <c r="R858" s="16"/>
      <c r="S858" s="16"/>
      <c r="T858" s="6"/>
      <c r="U858" s="10"/>
    </row>
    <row r="859" spans="1:21">
      <c r="A859" s="5"/>
      <c r="B859" s="6"/>
      <c r="C859" s="6"/>
      <c r="D859" s="6"/>
      <c r="E859" s="6"/>
      <c r="F859" s="6"/>
      <c r="G859" s="13"/>
      <c r="H859" s="6"/>
      <c r="I859" s="13"/>
      <c r="J859" s="6"/>
      <c r="K859" s="6"/>
      <c r="L859" s="6"/>
      <c r="M859" s="6"/>
      <c r="N859" s="6"/>
      <c r="O859" s="6"/>
      <c r="P859" s="13"/>
      <c r="Q859" s="13"/>
      <c r="R859" s="16"/>
      <c r="S859" s="16"/>
      <c r="T859" s="6"/>
      <c r="U859" s="10"/>
    </row>
    <row r="860" spans="1:21">
      <c r="A860" s="5"/>
      <c r="B860" s="6"/>
      <c r="C860" s="6"/>
      <c r="D860" s="6"/>
      <c r="E860" s="6"/>
      <c r="F860" s="6"/>
      <c r="G860" s="13"/>
      <c r="H860" s="6"/>
      <c r="I860" s="13"/>
      <c r="J860" s="6"/>
      <c r="K860" s="6"/>
      <c r="L860" s="6"/>
      <c r="M860" s="6"/>
      <c r="N860" s="6"/>
      <c r="O860" s="6"/>
      <c r="P860" s="13"/>
      <c r="Q860" s="13"/>
      <c r="R860" s="16"/>
      <c r="S860" s="16"/>
      <c r="T860" s="6"/>
      <c r="U860" s="10"/>
    </row>
    <row r="861" spans="1:21">
      <c r="A861" s="5"/>
      <c r="B861" s="6"/>
      <c r="C861" s="6"/>
      <c r="D861" s="6"/>
      <c r="E861" s="6"/>
      <c r="F861" s="6"/>
      <c r="G861" s="13"/>
      <c r="H861" s="6"/>
      <c r="I861" s="13"/>
      <c r="J861" s="6"/>
      <c r="K861" s="6"/>
      <c r="L861" s="6"/>
      <c r="M861" s="6"/>
      <c r="N861" s="6"/>
      <c r="O861" s="6"/>
      <c r="P861" s="13"/>
      <c r="Q861" s="13"/>
      <c r="R861" s="16"/>
      <c r="S861" s="16"/>
      <c r="T861" s="6"/>
      <c r="U861" s="10"/>
    </row>
    <row r="862" spans="1:21">
      <c r="A862" s="5"/>
      <c r="B862" s="6"/>
      <c r="C862" s="6"/>
      <c r="D862" s="6"/>
      <c r="E862" s="6"/>
      <c r="F862" s="6"/>
      <c r="G862" s="13"/>
      <c r="H862" s="6"/>
      <c r="I862" s="13"/>
      <c r="J862" s="6"/>
      <c r="K862" s="6"/>
      <c r="L862" s="6"/>
      <c r="M862" s="6"/>
      <c r="N862" s="6"/>
      <c r="O862" s="6"/>
      <c r="P862" s="13"/>
      <c r="Q862" s="13"/>
      <c r="R862" s="16"/>
      <c r="S862" s="16"/>
      <c r="T862" s="6"/>
      <c r="U862" s="10"/>
    </row>
    <row r="863" spans="1:21">
      <c r="A863" s="5"/>
      <c r="B863" s="6"/>
      <c r="C863" s="6"/>
      <c r="D863" s="6"/>
      <c r="E863" s="6"/>
      <c r="F863" s="6"/>
      <c r="G863" s="13"/>
      <c r="H863" s="6"/>
      <c r="I863" s="13"/>
      <c r="J863" s="6"/>
      <c r="K863" s="6"/>
      <c r="L863" s="6"/>
      <c r="M863" s="6"/>
      <c r="N863" s="6"/>
      <c r="O863" s="6"/>
      <c r="P863" s="13"/>
      <c r="Q863" s="13"/>
      <c r="R863" s="16"/>
      <c r="S863" s="16"/>
      <c r="T863" s="6"/>
      <c r="U863" s="10"/>
    </row>
    <row r="864" spans="1:21">
      <c r="A864" s="5"/>
      <c r="B864" s="6"/>
      <c r="C864" s="6"/>
      <c r="D864" s="6"/>
      <c r="E864" s="6"/>
      <c r="F864" s="6"/>
      <c r="G864" s="13"/>
      <c r="H864" s="6"/>
      <c r="I864" s="13"/>
      <c r="J864" s="6"/>
      <c r="K864" s="6"/>
      <c r="L864" s="6"/>
      <c r="M864" s="6"/>
      <c r="N864" s="6"/>
      <c r="O864" s="6"/>
      <c r="P864" s="13"/>
      <c r="Q864" s="13"/>
      <c r="R864" s="16"/>
      <c r="S864" s="16"/>
      <c r="T864" s="6"/>
      <c r="U864" s="10"/>
    </row>
    <row r="865" spans="1:21">
      <c r="A865" s="5"/>
      <c r="B865" s="6"/>
      <c r="C865" s="6"/>
      <c r="D865" s="6"/>
      <c r="E865" s="6"/>
      <c r="F865" s="6"/>
      <c r="G865" s="13"/>
      <c r="H865" s="6"/>
      <c r="I865" s="13"/>
      <c r="J865" s="6"/>
      <c r="K865" s="6"/>
      <c r="L865" s="6"/>
      <c r="M865" s="6"/>
      <c r="N865" s="6"/>
      <c r="O865" s="6"/>
      <c r="P865" s="13"/>
      <c r="Q865" s="13"/>
      <c r="R865" s="16"/>
      <c r="S865" s="16"/>
      <c r="T865" s="6"/>
      <c r="U865" s="10"/>
    </row>
    <row r="866" spans="1:21">
      <c r="A866" s="5"/>
      <c r="B866" s="6"/>
      <c r="C866" s="6"/>
      <c r="D866" s="6"/>
      <c r="E866" s="6"/>
      <c r="F866" s="6"/>
      <c r="G866" s="13"/>
      <c r="H866" s="6"/>
      <c r="I866" s="13"/>
      <c r="J866" s="6"/>
      <c r="K866" s="6"/>
      <c r="L866" s="6"/>
      <c r="M866" s="6"/>
      <c r="N866" s="6"/>
      <c r="O866" s="6"/>
      <c r="P866" s="13"/>
      <c r="Q866" s="13"/>
      <c r="R866" s="16"/>
      <c r="S866" s="16"/>
      <c r="T866" s="6"/>
      <c r="U866" s="10"/>
    </row>
    <row r="867" spans="1:21">
      <c r="A867" s="5"/>
      <c r="B867" s="6"/>
      <c r="C867" s="6"/>
      <c r="D867" s="6"/>
      <c r="E867" s="6"/>
      <c r="F867" s="6"/>
      <c r="G867" s="13"/>
      <c r="H867" s="6"/>
      <c r="I867" s="13"/>
      <c r="J867" s="6"/>
      <c r="K867" s="6"/>
      <c r="L867" s="6"/>
      <c r="M867" s="6"/>
      <c r="N867" s="6"/>
      <c r="O867" s="6"/>
      <c r="P867" s="13"/>
      <c r="Q867" s="13"/>
      <c r="R867" s="16"/>
      <c r="S867" s="16"/>
      <c r="T867" s="6"/>
      <c r="U867" s="10"/>
    </row>
    <row r="868" spans="1:21">
      <c r="A868" s="5"/>
      <c r="B868" s="6"/>
      <c r="C868" s="6"/>
      <c r="D868" s="6"/>
      <c r="E868" s="6"/>
      <c r="F868" s="6"/>
      <c r="G868" s="13"/>
      <c r="H868" s="6"/>
      <c r="I868" s="13"/>
      <c r="J868" s="6"/>
      <c r="K868" s="6"/>
      <c r="L868" s="6"/>
      <c r="M868" s="6"/>
      <c r="N868" s="6"/>
      <c r="O868" s="6"/>
      <c r="P868" s="13"/>
      <c r="Q868" s="13"/>
      <c r="R868" s="16"/>
      <c r="S868" s="16"/>
      <c r="T868" s="6"/>
      <c r="U868" s="10"/>
    </row>
    <row r="869" spans="1:21">
      <c r="A869" s="5"/>
      <c r="B869" s="6"/>
      <c r="C869" s="6"/>
      <c r="D869" s="6"/>
      <c r="E869" s="6"/>
      <c r="F869" s="6"/>
      <c r="G869" s="13"/>
      <c r="H869" s="6"/>
      <c r="I869" s="13"/>
      <c r="J869" s="6"/>
      <c r="K869" s="6"/>
      <c r="L869" s="6"/>
      <c r="M869" s="6"/>
      <c r="N869" s="6"/>
      <c r="O869" s="6"/>
      <c r="P869" s="13"/>
      <c r="Q869" s="13"/>
      <c r="R869" s="16"/>
      <c r="S869" s="16"/>
      <c r="T869" s="6"/>
      <c r="U869" s="10"/>
    </row>
    <row r="870" spans="1:21">
      <c r="A870" s="5"/>
      <c r="B870" s="6"/>
      <c r="C870" s="6"/>
      <c r="D870" s="6"/>
      <c r="E870" s="6"/>
      <c r="F870" s="6"/>
      <c r="G870" s="13"/>
      <c r="H870" s="6"/>
      <c r="I870" s="13"/>
      <c r="J870" s="6"/>
      <c r="K870" s="6"/>
      <c r="L870" s="6"/>
      <c r="M870" s="6"/>
      <c r="N870" s="6"/>
      <c r="O870" s="6"/>
      <c r="P870" s="13"/>
      <c r="Q870" s="13"/>
      <c r="R870" s="16"/>
      <c r="S870" s="16"/>
      <c r="T870" s="6"/>
      <c r="U870" s="10"/>
    </row>
    <row r="871" spans="1:21">
      <c r="A871" s="5"/>
      <c r="B871" s="6"/>
      <c r="C871" s="6"/>
      <c r="D871" s="6"/>
      <c r="E871" s="6"/>
      <c r="F871" s="6"/>
      <c r="G871" s="13"/>
      <c r="H871" s="6"/>
      <c r="I871" s="13"/>
      <c r="J871" s="6"/>
      <c r="K871" s="6"/>
      <c r="L871" s="6"/>
      <c r="M871" s="6"/>
      <c r="N871" s="6"/>
      <c r="O871" s="6"/>
      <c r="P871" s="13"/>
      <c r="Q871" s="13"/>
      <c r="R871" s="16"/>
      <c r="S871" s="16"/>
      <c r="T871" s="6"/>
      <c r="U871" s="10"/>
    </row>
    <row r="872" spans="1:21">
      <c r="A872" s="5"/>
      <c r="B872" s="6"/>
      <c r="C872" s="6"/>
      <c r="D872" s="6"/>
      <c r="E872" s="6"/>
      <c r="F872" s="6"/>
      <c r="G872" s="13"/>
      <c r="H872" s="6"/>
      <c r="I872" s="13"/>
      <c r="J872" s="6"/>
      <c r="K872" s="6"/>
      <c r="L872" s="6"/>
      <c r="M872" s="6"/>
      <c r="N872" s="6"/>
      <c r="O872" s="6"/>
      <c r="P872" s="13"/>
      <c r="Q872" s="13"/>
      <c r="R872" s="16"/>
      <c r="S872" s="16"/>
      <c r="T872" s="6"/>
      <c r="U872" s="10"/>
    </row>
    <row r="873" spans="1:21">
      <c r="A873" s="5"/>
      <c r="B873" s="6"/>
      <c r="C873" s="6"/>
      <c r="D873" s="6"/>
      <c r="E873" s="6"/>
      <c r="F873" s="6"/>
      <c r="G873" s="13"/>
      <c r="H873" s="6"/>
      <c r="I873" s="13"/>
      <c r="J873" s="6"/>
      <c r="K873" s="6"/>
      <c r="L873" s="6"/>
      <c r="M873" s="6"/>
      <c r="N873" s="6"/>
      <c r="O873" s="6"/>
      <c r="P873" s="13"/>
      <c r="Q873" s="13"/>
      <c r="R873" s="16"/>
      <c r="S873" s="16"/>
      <c r="T873" s="6"/>
      <c r="U873" s="10"/>
    </row>
    <row r="874" spans="1:21">
      <c r="A874" s="5"/>
      <c r="B874" s="6"/>
      <c r="C874" s="6"/>
      <c r="D874" s="6"/>
      <c r="E874" s="6"/>
      <c r="F874" s="6"/>
      <c r="G874" s="13"/>
      <c r="H874" s="6"/>
      <c r="I874" s="13"/>
      <c r="J874" s="6"/>
      <c r="K874" s="6"/>
      <c r="L874" s="6"/>
      <c r="M874" s="6"/>
      <c r="N874" s="6"/>
      <c r="O874" s="6"/>
      <c r="P874" s="13"/>
      <c r="Q874" s="13"/>
      <c r="R874" s="16"/>
      <c r="S874" s="16"/>
      <c r="T874" s="6"/>
      <c r="U874" s="10"/>
    </row>
    <row r="875" spans="1:21">
      <c r="A875" s="5"/>
      <c r="B875" s="6"/>
      <c r="C875" s="6"/>
      <c r="D875" s="6"/>
      <c r="E875" s="6"/>
      <c r="F875" s="6"/>
      <c r="G875" s="13"/>
      <c r="H875" s="6"/>
      <c r="I875" s="13"/>
      <c r="J875" s="6"/>
      <c r="K875" s="6"/>
      <c r="L875" s="6"/>
      <c r="M875" s="6"/>
      <c r="N875" s="6"/>
      <c r="O875" s="6"/>
      <c r="P875" s="13"/>
      <c r="Q875" s="13"/>
      <c r="R875" s="16"/>
      <c r="S875" s="16"/>
      <c r="T875" s="6"/>
      <c r="U875" s="10"/>
    </row>
    <row r="876" spans="1:21">
      <c r="A876" s="5"/>
      <c r="B876" s="6"/>
      <c r="C876" s="6"/>
      <c r="D876" s="6"/>
      <c r="E876" s="6"/>
      <c r="F876" s="6"/>
      <c r="G876" s="13"/>
      <c r="H876" s="6"/>
      <c r="I876" s="13"/>
      <c r="J876" s="6"/>
      <c r="K876" s="6"/>
      <c r="L876" s="6"/>
      <c r="M876" s="6"/>
      <c r="N876" s="6"/>
      <c r="O876" s="6"/>
      <c r="P876" s="13"/>
      <c r="Q876" s="13"/>
      <c r="R876" s="16"/>
      <c r="S876" s="16"/>
      <c r="T876" s="6"/>
      <c r="U876" s="10"/>
    </row>
    <row r="877" spans="1:21">
      <c r="A877" s="5"/>
      <c r="B877" s="6"/>
      <c r="C877" s="6"/>
      <c r="D877" s="6"/>
      <c r="E877" s="6"/>
      <c r="F877" s="6"/>
      <c r="G877" s="13"/>
      <c r="H877" s="6"/>
      <c r="I877" s="13"/>
      <c r="J877" s="6"/>
      <c r="K877" s="6"/>
      <c r="L877" s="6"/>
      <c r="M877" s="6"/>
      <c r="N877" s="6"/>
      <c r="O877" s="6"/>
      <c r="P877" s="13"/>
      <c r="Q877" s="13"/>
      <c r="R877" s="16"/>
      <c r="S877" s="16"/>
      <c r="T877" s="6"/>
      <c r="U877" s="10"/>
    </row>
    <row r="878" spans="1:21">
      <c r="A878" s="5"/>
      <c r="B878" s="6"/>
      <c r="C878" s="6"/>
      <c r="D878" s="6"/>
      <c r="E878" s="6"/>
      <c r="F878" s="6"/>
      <c r="G878" s="13"/>
      <c r="H878" s="6"/>
      <c r="I878" s="13"/>
      <c r="J878" s="6"/>
      <c r="K878" s="6"/>
      <c r="L878" s="6"/>
      <c r="M878" s="6"/>
      <c r="N878" s="6"/>
      <c r="O878" s="6"/>
      <c r="P878" s="13"/>
      <c r="Q878" s="13"/>
      <c r="R878" s="16"/>
      <c r="S878" s="16"/>
      <c r="T878" s="6"/>
      <c r="U878" s="10"/>
    </row>
    <row r="879" spans="1:21">
      <c r="A879" s="5"/>
      <c r="B879" s="6"/>
      <c r="C879" s="6"/>
      <c r="D879" s="6"/>
      <c r="E879" s="6"/>
      <c r="F879" s="6"/>
      <c r="G879" s="13"/>
      <c r="H879" s="6"/>
      <c r="I879" s="13"/>
      <c r="J879" s="6"/>
      <c r="K879" s="6"/>
      <c r="L879" s="6"/>
      <c r="M879" s="6"/>
      <c r="N879" s="6"/>
      <c r="O879" s="6"/>
      <c r="P879" s="13"/>
      <c r="Q879" s="13"/>
      <c r="R879" s="16"/>
      <c r="S879" s="16"/>
      <c r="T879" s="6"/>
      <c r="U879" s="10"/>
    </row>
    <row r="880" spans="1:21">
      <c r="A880" s="5"/>
      <c r="B880" s="6"/>
      <c r="C880" s="6"/>
      <c r="D880" s="6"/>
      <c r="E880" s="6"/>
      <c r="F880" s="6"/>
      <c r="G880" s="13"/>
      <c r="H880" s="6"/>
      <c r="I880" s="13"/>
      <c r="J880" s="6"/>
      <c r="K880" s="6"/>
      <c r="L880" s="6"/>
      <c r="M880" s="6"/>
      <c r="N880" s="6"/>
      <c r="O880" s="6"/>
      <c r="P880" s="13"/>
      <c r="Q880" s="13"/>
      <c r="R880" s="16"/>
      <c r="S880" s="16"/>
      <c r="T880" s="6"/>
      <c r="U880" s="10"/>
    </row>
    <row r="881" spans="1:21">
      <c r="A881" s="5"/>
      <c r="B881" s="6"/>
      <c r="C881" s="6"/>
      <c r="D881" s="6"/>
      <c r="E881" s="6"/>
      <c r="F881" s="6"/>
      <c r="G881" s="13"/>
      <c r="H881" s="6"/>
      <c r="I881" s="13"/>
      <c r="J881" s="6"/>
      <c r="K881" s="6"/>
      <c r="L881" s="6"/>
      <c r="M881" s="6"/>
      <c r="N881" s="6"/>
      <c r="O881" s="6"/>
      <c r="P881" s="13"/>
      <c r="Q881" s="13"/>
      <c r="R881" s="16"/>
      <c r="S881" s="16"/>
      <c r="T881" s="6"/>
      <c r="U881" s="10"/>
    </row>
    <row r="882" spans="1:21">
      <c r="A882" s="5"/>
      <c r="B882" s="6"/>
      <c r="C882" s="6"/>
      <c r="D882" s="6"/>
      <c r="E882" s="6"/>
      <c r="F882" s="6"/>
      <c r="G882" s="13"/>
      <c r="H882" s="6"/>
      <c r="I882" s="13"/>
      <c r="J882" s="6"/>
      <c r="K882" s="6"/>
      <c r="L882" s="6"/>
      <c r="M882" s="6"/>
      <c r="N882" s="6"/>
      <c r="O882" s="6"/>
      <c r="P882" s="13"/>
      <c r="Q882" s="13"/>
      <c r="R882" s="16"/>
      <c r="S882" s="16"/>
      <c r="T882" s="6"/>
      <c r="U882" s="10"/>
    </row>
    <row r="883" spans="1:21">
      <c r="A883" s="5"/>
      <c r="B883" s="6"/>
      <c r="C883" s="6"/>
      <c r="D883" s="6"/>
      <c r="E883" s="6"/>
      <c r="F883" s="6"/>
      <c r="G883" s="13"/>
      <c r="H883" s="6"/>
      <c r="I883" s="13"/>
      <c r="J883" s="6"/>
      <c r="K883" s="6"/>
      <c r="L883" s="6"/>
      <c r="M883" s="6"/>
      <c r="N883" s="6"/>
      <c r="O883" s="6"/>
      <c r="P883" s="13"/>
      <c r="Q883" s="13"/>
      <c r="R883" s="16"/>
      <c r="S883" s="16"/>
      <c r="T883" s="6"/>
      <c r="U883" s="10"/>
    </row>
    <row r="884" spans="1:21">
      <c r="A884" s="5"/>
      <c r="B884" s="6"/>
      <c r="C884" s="6"/>
      <c r="D884" s="6"/>
      <c r="E884" s="6"/>
      <c r="F884" s="6"/>
      <c r="G884" s="13"/>
      <c r="H884" s="6"/>
      <c r="I884" s="13"/>
      <c r="J884" s="6"/>
      <c r="K884" s="6"/>
      <c r="L884" s="6"/>
      <c r="M884" s="6"/>
      <c r="N884" s="6"/>
      <c r="O884" s="6"/>
      <c r="P884" s="13"/>
      <c r="Q884" s="13"/>
      <c r="R884" s="16"/>
      <c r="S884" s="16"/>
      <c r="T884" s="6"/>
      <c r="U884" s="10"/>
    </row>
    <row r="885" spans="1:21">
      <c r="A885" s="5"/>
      <c r="B885" s="6"/>
      <c r="C885" s="6"/>
      <c r="D885" s="6"/>
      <c r="E885" s="6"/>
      <c r="F885" s="6"/>
      <c r="G885" s="13"/>
      <c r="H885" s="6"/>
      <c r="I885" s="13"/>
      <c r="J885" s="6"/>
      <c r="K885" s="6"/>
      <c r="L885" s="6"/>
      <c r="M885" s="6"/>
      <c r="N885" s="6"/>
      <c r="O885" s="6"/>
      <c r="P885" s="13"/>
      <c r="Q885" s="13"/>
      <c r="R885" s="16"/>
      <c r="S885" s="16"/>
      <c r="T885" s="6"/>
      <c r="U885" s="10"/>
    </row>
    <row r="886" spans="1:21">
      <c r="A886" s="5"/>
      <c r="B886" s="6"/>
      <c r="C886" s="6"/>
      <c r="D886" s="6"/>
      <c r="E886" s="6"/>
      <c r="F886" s="6"/>
      <c r="G886" s="13"/>
      <c r="H886" s="6"/>
      <c r="I886" s="13"/>
      <c r="J886" s="6"/>
      <c r="K886" s="6"/>
      <c r="L886" s="6"/>
      <c r="M886" s="6"/>
      <c r="N886" s="6"/>
      <c r="O886" s="6"/>
      <c r="P886" s="13"/>
      <c r="Q886" s="13"/>
      <c r="R886" s="16"/>
      <c r="S886" s="16"/>
      <c r="T886" s="6"/>
      <c r="U886" s="10"/>
    </row>
    <row r="887" spans="1:21">
      <c r="A887" s="5"/>
      <c r="B887" s="6"/>
      <c r="C887" s="6"/>
      <c r="D887" s="6"/>
      <c r="E887" s="6"/>
      <c r="F887" s="6"/>
      <c r="G887" s="13"/>
      <c r="H887" s="6"/>
      <c r="I887" s="13"/>
      <c r="J887" s="6"/>
      <c r="K887" s="6"/>
      <c r="L887" s="6"/>
      <c r="M887" s="6"/>
      <c r="N887" s="6"/>
      <c r="O887" s="6"/>
      <c r="P887" s="13"/>
      <c r="Q887" s="13"/>
      <c r="R887" s="16"/>
      <c r="S887" s="16"/>
      <c r="T887" s="6"/>
      <c r="U887" s="10"/>
    </row>
    <row r="888" spans="1:21">
      <c r="A888" s="5"/>
      <c r="B888" s="6"/>
      <c r="C888" s="6"/>
      <c r="D888" s="6"/>
      <c r="E888" s="6"/>
      <c r="F888" s="6"/>
      <c r="G888" s="13"/>
      <c r="H888" s="6"/>
      <c r="I888" s="13"/>
      <c r="J888" s="6"/>
      <c r="K888" s="6"/>
      <c r="L888" s="6"/>
      <c r="M888" s="6"/>
      <c r="N888" s="6"/>
      <c r="O888" s="6"/>
      <c r="P888" s="13"/>
      <c r="Q888" s="13"/>
      <c r="R888" s="16"/>
      <c r="S888" s="16"/>
      <c r="T888" s="6"/>
      <c r="U888" s="10"/>
    </row>
    <row r="889" spans="1:21">
      <c r="A889" s="5"/>
      <c r="B889" s="6"/>
      <c r="C889" s="6"/>
      <c r="D889" s="6"/>
      <c r="E889" s="6"/>
      <c r="F889" s="6"/>
      <c r="G889" s="13"/>
      <c r="H889" s="6"/>
      <c r="I889" s="13"/>
      <c r="J889" s="6"/>
      <c r="K889" s="6"/>
      <c r="L889" s="6"/>
      <c r="M889" s="6"/>
      <c r="N889" s="6"/>
      <c r="O889" s="6"/>
      <c r="P889" s="13"/>
      <c r="Q889" s="13"/>
      <c r="R889" s="16"/>
      <c r="S889" s="16"/>
      <c r="T889" s="6"/>
      <c r="U889" s="10"/>
    </row>
    <row r="890" spans="1:21">
      <c r="A890" s="5"/>
      <c r="B890" s="6"/>
      <c r="C890" s="6"/>
      <c r="D890" s="6"/>
      <c r="E890" s="6"/>
      <c r="F890" s="6"/>
      <c r="G890" s="13"/>
      <c r="H890" s="6"/>
      <c r="I890" s="13"/>
      <c r="J890" s="6"/>
      <c r="K890" s="6"/>
      <c r="L890" s="6"/>
      <c r="M890" s="6"/>
      <c r="N890" s="6"/>
      <c r="O890" s="6"/>
      <c r="P890" s="13"/>
      <c r="Q890" s="13"/>
      <c r="R890" s="16"/>
      <c r="S890" s="16"/>
      <c r="T890" s="6"/>
      <c r="U890" s="10"/>
    </row>
    <row r="891" spans="1:21">
      <c r="A891" s="5"/>
      <c r="B891" s="6"/>
      <c r="C891" s="6"/>
      <c r="D891" s="6"/>
      <c r="E891" s="6"/>
      <c r="F891" s="6"/>
      <c r="G891" s="13"/>
      <c r="H891" s="6"/>
      <c r="I891" s="13"/>
      <c r="J891" s="6"/>
      <c r="K891" s="6"/>
      <c r="L891" s="6"/>
      <c r="M891" s="6"/>
      <c r="N891" s="6"/>
      <c r="O891" s="6"/>
      <c r="P891" s="13"/>
      <c r="Q891" s="13"/>
      <c r="R891" s="16"/>
      <c r="S891" s="16"/>
      <c r="T891" s="6"/>
      <c r="U891" s="10"/>
    </row>
    <row r="892" spans="1:21">
      <c r="A892" s="5"/>
      <c r="B892" s="6"/>
      <c r="C892" s="6"/>
      <c r="D892" s="6"/>
      <c r="E892" s="6"/>
      <c r="F892" s="6"/>
      <c r="G892" s="13"/>
      <c r="H892" s="6"/>
      <c r="I892" s="13"/>
      <c r="J892" s="6"/>
      <c r="K892" s="6"/>
      <c r="L892" s="6"/>
      <c r="M892" s="6"/>
      <c r="N892" s="6"/>
      <c r="O892" s="6"/>
      <c r="P892" s="13"/>
      <c r="Q892" s="13"/>
      <c r="R892" s="16"/>
      <c r="S892" s="16"/>
      <c r="T892" s="6"/>
      <c r="U892" s="10"/>
    </row>
    <row r="893" spans="1:21">
      <c r="A893" s="5"/>
      <c r="B893" s="6"/>
      <c r="C893" s="6"/>
      <c r="D893" s="6"/>
      <c r="E893" s="6"/>
      <c r="F893" s="6"/>
      <c r="G893" s="13"/>
      <c r="H893" s="6"/>
      <c r="I893" s="13"/>
      <c r="J893" s="6"/>
      <c r="K893" s="6"/>
      <c r="L893" s="6"/>
      <c r="M893" s="6"/>
      <c r="N893" s="6"/>
      <c r="O893" s="6"/>
      <c r="P893" s="13"/>
      <c r="Q893" s="13"/>
      <c r="R893" s="16"/>
      <c r="S893" s="16"/>
      <c r="T893" s="6"/>
      <c r="U893" s="10"/>
    </row>
    <row r="894" spans="1:21">
      <c r="A894" s="5"/>
      <c r="B894" s="6"/>
      <c r="C894" s="6"/>
      <c r="D894" s="6"/>
      <c r="E894" s="6"/>
      <c r="F894" s="6"/>
      <c r="G894" s="13"/>
      <c r="H894" s="6"/>
      <c r="I894" s="13"/>
      <c r="J894" s="6"/>
      <c r="K894" s="6"/>
      <c r="L894" s="6"/>
      <c r="M894" s="6"/>
      <c r="N894" s="6"/>
      <c r="O894" s="6"/>
      <c r="P894" s="13"/>
      <c r="Q894" s="13"/>
      <c r="R894" s="16"/>
      <c r="S894" s="16"/>
      <c r="T894" s="6"/>
      <c r="U894" s="10"/>
    </row>
    <row r="895" spans="1:21">
      <c r="A895" s="5"/>
      <c r="B895" s="6"/>
      <c r="C895" s="6"/>
      <c r="D895" s="6"/>
      <c r="E895" s="6"/>
      <c r="F895" s="6"/>
      <c r="G895" s="13"/>
      <c r="H895" s="6"/>
      <c r="I895" s="13"/>
      <c r="J895" s="6"/>
      <c r="K895" s="6"/>
      <c r="L895" s="6"/>
      <c r="M895" s="6"/>
      <c r="N895" s="6"/>
      <c r="O895" s="6"/>
      <c r="P895" s="13"/>
      <c r="Q895" s="13"/>
      <c r="R895" s="16"/>
      <c r="S895" s="16"/>
      <c r="T895" s="6"/>
      <c r="U895" s="10"/>
    </row>
    <row r="896" spans="1:21">
      <c r="A896" s="5"/>
      <c r="B896" s="6"/>
      <c r="C896" s="6"/>
      <c r="D896" s="6"/>
      <c r="E896" s="6"/>
      <c r="F896" s="6"/>
      <c r="G896" s="13"/>
      <c r="H896" s="6"/>
      <c r="I896" s="13"/>
      <c r="J896" s="6"/>
      <c r="K896" s="6"/>
      <c r="L896" s="6"/>
      <c r="M896" s="6"/>
      <c r="N896" s="6"/>
      <c r="O896" s="6"/>
      <c r="P896" s="13"/>
      <c r="Q896" s="13"/>
      <c r="R896" s="16"/>
      <c r="S896" s="16"/>
      <c r="T896" s="6"/>
      <c r="U896" s="10"/>
    </row>
    <row r="897" spans="1:21">
      <c r="A897" s="5"/>
      <c r="B897" s="6"/>
      <c r="C897" s="6"/>
      <c r="D897" s="6"/>
      <c r="E897" s="6"/>
      <c r="F897" s="6"/>
      <c r="G897" s="13"/>
      <c r="H897" s="6"/>
      <c r="I897" s="13"/>
      <c r="J897" s="6"/>
      <c r="K897" s="6"/>
      <c r="L897" s="6"/>
      <c r="M897" s="6"/>
      <c r="N897" s="6"/>
      <c r="O897" s="6"/>
      <c r="P897" s="13"/>
      <c r="Q897" s="13"/>
      <c r="R897" s="16"/>
      <c r="S897" s="16"/>
      <c r="T897" s="6"/>
      <c r="U897" s="10"/>
    </row>
    <row r="898" spans="1:21">
      <c r="A898" s="5"/>
      <c r="B898" s="6"/>
      <c r="C898" s="6"/>
      <c r="D898" s="6"/>
      <c r="E898" s="6"/>
      <c r="F898" s="6"/>
      <c r="G898" s="13"/>
      <c r="H898" s="6"/>
      <c r="I898" s="13"/>
      <c r="J898" s="6"/>
      <c r="K898" s="6"/>
      <c r="L898" s="6"/>
      <c r="M898" s="6"/>
      <c r="N898" s="6"/>
      <c r="O898" s="6"/>
      <c r="P898" s="13"/>
      <c r="Q898" s="13"/>
      <c r="R898" s="16"/>
      <c r="S898" s="16"/>
      <c r="T898" s="6"/>
      <c r="U898" s="10"/>
    </row>
    <row r="899" spans="1:21">
      <c r="A899" s="5"/>
      <c r="B899" s="6"/>
      <c r="C899" s="6"/>
      <c r="D899" s="6"/>
      <c r="E899" s="6"/>
      <c r="F899" s="6"/>
      <c r="G899" s="13"/>
      <c r="H899" s="6"/>
      <c r="I899" s="13"/>
      <c r="J899" s="6"/>
      <c r="K899" s="6"/>
      <c r="L899" s="6"/>
      <c r="M899" s="6"/>
      <c r="N899" s="6"/>
      <c r="O899" s="6"/>
      <c r="P899" s="13"/>
      <c r="Q899" s="13"/>
      <c r="R899" s="16"/>
      <c r="S899" s="16"/>
      <c r="T899" s="6"/>
      <c r="U899" s="10"/>
    </row>
    <row r="900" spans="1:21">
      <c r="A900" s="5"/>
      <c r="B900" s="6"/>
      <c r="C900" s="6"/>
      <c r="D900" s="6"/>
      <c r="E900" s="6"/>
      <c r="F900" s="6"/>
      <c r="G900" s="13"/>
      <c r="H900" s="6"/>
      <c r="I900" s="13"/>
      <c r="J900" s="6"/>
      <c r="K900" s="6"/>
      <c r="L900" s="6"/>
      <c r="M900" s="6"/>
      <c r="N900" s="6"/>
      <c r="O900" s="6"/>
      <c r="P900" s="13"/>
      <c r="Q900" s="13"/>
      <c r="R900" s="16"/>
      <c r="S900" s="16"/>
      <c r="T900" s="6"/>
      <c r="U900" s="10"/>
    </row>
    <row r="901" spans="1:21">
      <c r="A901" s="5"/>
      <c r="B901" s="6"/>
      <c r="C901" s="6"/>
      <c r="D901" s="6"/>
      <c r="E901" s="6"/>
      <c r="F901" s="6"/>
      <c r="G901" s="13"/>
      <c r="H901" s="6"/>
      <c r="I901" s="13"/>
      <c r="J901" s="6"/>
      <c r="K901" s="6"/>
      <c r="L901" s="6"/>
      <c r="M901" s="6"/>
      <c r="N901" s="6"/>
      <c r="O901" s="6"/>
      <c r="P901" s="13"/>
      <c r="Q901" s="13"/>
      <c r="R901" s="16"/>
      <c r="S901" s="16"/>
      <c r="T901" s="6"/>
      <c r="U901" s="10"/>
    </row>
    <row r="902" spans="1:21">
      <c r="A902" s="5"/>
      <c r="B902" s="6"/>
      <c r="C902" s="6"/>
      <c r="D902" s="6"/>
      <c r="E902" s="6"/>
      <c r="F902" s="6"/>
      <c r="G902" s="13"/>
      <c r="H902" s="6"/>
      <c r="I902" s="13"/>
      <c r="J902" s="6"/>
      <c r="K902" s="6"/>
      <c r="L902" s="6"/>
      <c r="M902" s="6"/>
      <c r="N902" s="6"/>
      <c r="O902" s="6"/>
      <c r="P902" s="13"/>
      <c r="Q902" s="13"/>
      <c r="R902" s="16"/>
      <c r="S902" s="16"/>
      <c r="T902" s="6"/>
      <c r="U902" s="10"/>
    </row>
    <row r="903" spans="1:21">
      <c r="A903" s="5"/>
      <c r="B903" s="6"/>
      <c r="C903" s="6"/>
      <c r="D903" s="6"/>
      <c r="E903" s="6"/>
      <c r="F903" s="6"/>
      <c r="G903" s="13"/>
      <c r="H903" s="6"/>
      <c r="I903" s="13"/>
      <c r="J903" s="6"/>
      <c r="K903" s="6"/>
      <c r="L903" s="6"/>
      <c r="M903" s="6"/>
      <c r="N903" s="6"/>
      <c r="O903" s="6"/>
      <c r="P903" s="13"/>
      <c r="Q903" s="13"/>
      <c r="R903" s="16"/>
      <c r="S903" s="16"/>
      <c r="T903" s="6"/>
      <c r="U903" s="10"/>
    </row>
    <row r="904" spans="1:21">
      <c r="A904" s="5"/>
      <c r="B904" s="6"/>
      <c r="C904" s="6"/>
      <c r="D904" s="6"/>
      <c r="E904" s="6"/>
      <c r="F904" s="6"/>
      <c r="G904" s="13"/>
      <c r="H904" s="6"/>
      <c r="I904" s="13"/>
      <c r="J904" s="6"/>
      <c r="K904" s="6"/>
      <c r="L904" s="6"/>
      <c r="M904" s="6"/>
      <c r="N904" s="6"/>
      <c r="O904" s="6"/>
      <c r="P904" s="13"/>
      <c r="Q904" s="13"/>
      <c r="R904" s="16"/>
      <c r="S904" s="16"/>
      <c r="T904" s="6"/>
      <c r="U904" s="10"/>
    </row>
    <row r="905" spans="1:21">
      <c r="A905" s="5"/>
      <c r="B905" s="6"/>
      <c r="C905" s="6"/>
      <c r="D905" s="6"/>
      <c r="E905" s="6"/>
      <c r="F905" s="6"/>
      <c r="G905" s="13"/>
      <c r="H905" s="6"/>
      <c r="I905" s="13"/>
      <c r="J905" s="6"/>
      <c r="K905" s="6"/>
      <c r="L905" s="6"/>
      <c r="M905" s="6"/>
      <c r="N905" s="6"/>
      <c r="O905" s="6"/>
      <c r="P905" s="13"/>
      <c r="Q905" s="13"/>
      <c r="R905" s="16"/>
      <c r="S905" s="16"/>
      <c r="T905" s="6"/>
      <c r="U905" s="10"/>
    </row>
    <row r="906" spans="1:21">
      <c r="A906" s="5"/>
      <c r="B906" s="6"/>
      <c r="C906" s="6"/>
      <c r="D906" s="6"/>
      <c r="E906" s="6"/>
      <c r="F906" s="6"/>
      <c r="G906" s="13"/>
      <c r="H906" s="6"/>
      <c r="I906" s="13"/>
      <c r="J906" s="6"/>
      <c r="K906" s="6"/>
      <c r="L906" s="6"/>
      <c r="M906" s="6"/>
      <c r="N906" s="6"/>
      <c r="O906" s="6"/>
      <c r="P906" s="13"/>
      <c r="Q906" s="13"/>
      <c r="R906" s="16"/>
      <c r="S906" s="16"/>
      <c r="T906" s="6"/>
      <c r="U906" s="10"/>
    </row>
    <row r="907" spans="1:21">
      <c r="A907" s="5"/>
      <c r="B907" s="6"/>
      <c r="C907" s="6"/>
      <c r="D907" s="6"/>
      <c r="E907" s="6"/>
      <c r="F907" s="6"/>
      <c r="G907" s="13"/>
      <c r="H907" s="6"/>
      <c r="I907" s="13"/>
      <c r="J907" s="6"/>
      <c r="K907" s="6"/>
      <c r="L907" s="6"/>
      <c r="M907" s="6"/>
      <c r="N907" s="6"/>
      <c r="O907" s="6"/>
      <c r="P907" s="13"/>
      <c r="Q907" s="13"/>
      <c r="R907" s="16"/>
      <c r="S907" s="16"/>
      <c r="T907" s="6"/>
      <c r="U907" s="10"/>
    </row>
    <row r="908" spans="1:21">
      <c r="A908" s="5"/>
      <c r="B908" s="6"/>
      <c r="C908" s="6"/>
      <c r="D908" s="6"/>
      <c r="E908" s="6"/>
      <c r="F908" s="6"/>
      <c r="G908" s="13"/>
      <c r="H908" s="6"/>
      <c r="I908" s="13"/>
      <c r="J908" s="6"/>
      <c r="K908" s="6"/>
      <c r="L908" s="6"/>
      <c r="M908" s="6"/>
      <c r="N908" s="6"/>
      <c r="O908" s="6"/>
      <c r="P908" s="13"/>
      <c r="Q908" s="13"/>
      <c r="R908" s="16"/>
      <c r="S908" s="16"/>
      <c r="T908" s="6"/>
      <c r="U908" s="10"/>
    </row>
    <row r="909" spans="1:21">
      <c r="A909" s="5"/>
      <c r="B909" s="6"/>
      <c r="C909" s="6"/>
      <c r="D909" s="6"/>
      <c r="E909" s="6"/>
      <c r="F909" s="6"/>
      <c r="G909" s="13"/>
      <c r="H909" s="6"/>
      <c r="I909" s="13"/>
      <c r="J909" s="6"/>
      <c r="K909" s="6"/>
      <c r="L909" s="6"/>
      <c r="M909" s="6"/>
      <c r="N909" s="6"/>
      <c r="O909" s="6"/>
      <c r="P909" s="13"/>
      <c r="Q909" s="13"/>
      <c r="R909" s="16"/>
      <c r="S909" s="16"/>
      <c r="T909" s="6"/>
      <c r="U909" s="10"/>
    </row>
    <row r="910" spans="1:21">
      <c r="A910" s="5"/>
      <c r="B910" s="6"/>
      <c r="C910" s="6"/>
      <c r="D910" s="6"/>
      <c r="E910" s="6"/>
      <c r="F910" s="6"/>
      <c r="G910" s="13"/>
      <c r="H910" s="6"/>
      <c r="I910" s="13"/>
      <c r="J910" s="6"/>
      <c r="K910" s="6"/>
      <c r="L910" s="6"/>
      <c r="M910" s="6"/>
      <c r="N910" s="6"/>
      <c r="O910" s="6"/>
      <c r="P910" s="13"/>
      <c r="Q910" s="13"/>
      <c r="R910" s="16"/>
      <c r="S910" s="16"/>
      <c r="T910" s="6"/>
      <c r="U910" s="10"/>
    </row>
    <row r="911" spans="1:21">
      <c r="A911" s="5"/>
      <c r="B911" s="6"/>
      <c r="C911" s="6"/>
      <c r="D911" s="6"/>
      <c r="E911" s="6"/>
      <c r="F911" s="6"/>
      <c r="G911" s="13"/>
      <c r="H911" s="6"/>
      <c r="I911" s="13"/>
      <c r="J911" s="6"/>
      <c r="K911" s="6"/>
      <c r="L911" s="6"/>
      <c r="M911" s="6"/>
      <c r="N911" s="6"/>
      <c r="O911" s="6"/>
      <c r="P911" s="13"/>
      <c r="Q911" s="13"/>
      <c r="R911" s="16"/>
      <c r="S911" s="16"/>
      <c r="T911" s="6"/>
      <c r="U911" s="10"/>
    </row>
    <row r="912" spans="1:21">
      <c r="A912" s="5"/>
      <c r="B912" s="6"/>
      <c r="C912" s="6"/>
      <c r="D912" s="6"/>
      <c r="E912" s="6"/>
      <c r="F912" s="6"/>
      <c r="G912" s="13"/>
      <c r="H912" s="6"/>
      <c r="I912" s="13"/>
      <c r="J912" s="6"/>
      <c r="K912" s="6"/>
      <c r="L912" s="6"/>
      <c r="M912" s="6"/>
      <c r="N912" s="6"/>
      <c r="O912" s="6"/>
      <c r="P912" s="13"/>
      <c r="Q912" s="13"/>
      <c r="R912" s="16"/>
      <c r="S912" s="16"/>
      <c r="T912" s="6"/>
      <c r="U912" s="10"/>
    </row>
    <row r="913" spans="1:21">
      <c r="A913" s="5"/>
      <c r="B913" s="6"/>
      <c r="C913" s="6"/>
      <c r="D913" s="6"/>
      <c r="E913" s="6"/>
      <c r="F913" s="6"/>
      <c r="G913" s="13"/>
      <c r="H913" s="6"/>
      <c r="I913" s="13"/>
      <c r="J913" s="6"/>
      <c r="K913" s="6"/>
      <c r="L913" s="6"/>
      <c r="M913" s="6"/>
      <c r="N913" s="6"/>
      <c r="O913" s="6"/>
      <c r="P913" s="13"/>
      <c r="Q913" s="13"/>
      <c r="R913" s="16"/>
      <c r="S913" s="16"/>
      <c r="T913" s="6"/>
      <c r="U913" s="10"/>
    </row>
    <row r="914" spans="1:21">
      <c r="A914" s="5"/>
      <c r="B914" s="6"/>
      <c r="C914" s="6"/>
      <c r="D914" s="6"/>
      <c r="E914" s="6"/>
      <c r="F914" s="6"/>
      <c r="G914" s="13"/>
      <c r="H914" s="6"/>
      <c r="I914" s="13"/>
      <c r="J914" s="6"/>
      <c r="K914" s="6"/>
      <c r="L914" s="6"/>
      <c r="M914" s="6"/>
      <c r="N914" s="6"/>
      <c r="O914" s="6"/>
      <c r="P914" s="13"/>
      <c r="Q914" s="13"/>
      <c r="R914" s="16"/>
      <c r="S914" s="16"/>
      <c r="T914" s="6"/>
      <c r="U914" s="10"/>
    </row>
    <row r="915" spans="1:21">
      <c r="A915" s="5"/>
      <c r="B915" s="6"/>
      <c r="C915" s="6"/>
      <c r="D915" s="6"/>
      <c r="E915" s="6"/>
      <c r="F915" s="6"/>
      <c r="G915" s="13"/>
      <c r="H915" s="6"/>
      <c r="I915" s="13"/>
      <c r="J915" s="6"/>
      <c r="K915" s="6"/>
      <c r="L915" s="6"/>
      <c r="M915" s="6"/>
      <c r="N915" s="6"/>
      <c r="O915" s="6"/>
      <c r="P915" s="13"/>
      <c r="Q915" s="13"/>
      <c r="R915" s="16"/>
      <c r="S915" s="16"/>
      <c r="T915" s="6"/>
      <c r="U915" s="10"/>
    </row>
    <row r="916" spans="1:21">
      <c r="A916" s="5"/>
      <c r="B916" s="6"/>
      <c r="C916" s="6"/>
      <c r="D916" s="6"/>
      <c r="E916" s="6"/>
      <c r="F916" s="6"/>
      <c r="G916" s="13"/>
      <c r="H916" s="6"/>
      <c r="I916" s="13"/>
      <c r="J916" s="6"/>
      <c r="K916" s="6"/>
      <c r="L916" s="6"/>
      <c r="M916" s="6"/>
      <c r="N916" s="6"/>
      <c r="O916" s="6"/>
      <c r="P916" s="13"/>
      <c r="Q916" s="13"/>
      <c r="R916" s="16"/>
      <c r="S916" s="16"/>
      <c r="T916" s="6"/>
      <c r="U916" s="10"/>
    </row>
    <row r="917" spans="1:21">
      <c r="A917" s="5"/>
      <c r="B917" s="6"/>
      <c r="C917" s="6"/>
      <c r="D917" s="6"/>
      <c r="E917" s="6"/>
      <c r="F917" s="6"/>
      <c r="G917" s="13"/>
      <c r="H917" s="6"/>
      <c r="I917" s="13"/>
      <c r="J917" s="6"/>
      <c r="K917" s="6"/>
      <c r="L917" s="6"/>
      <c r="M917" s="6"/>
      <c r="N917" s="6"/>
      <c r="O917" s="6"/>
      <c r="P917" s="13"/>
      <c r="Q917" s="13"/>
      <c r="R917" s="16"/>
      <c r="S917" s="16"/>
      <c r="T917" s="6"/>
      <c r="U917" s="10"/>
    </row>
    <row r="918" spans="1:21">
      <c r="A918" s="5"/>
      <c r="B918" s="6"/>
      <c r="C918" s="6"/>
      <c r="D918" s="6"/>
      <c r="E918" s="6"/>
      <c r="F918" s="6"/>
      <c r="G918" s="13"/>
      <c r="H918" s="6"/>
      <c r="I918" s="13"/>
      <c r="J918" s="6"/>
      <c r="K918" s="6"/>
      <c r="L918" s="6"/>
      <c r="M918" s="6"/>
      <c r="N918" s="6"/>
      <c r="O918" s="6"/>
      <c r="P918" s="13"/>
      <c r="Q918" s="13"/>
      <c r="R918" s="16"/>
      <c r="S918" s="16"/>
      <c r="T918" s="6"/>
      <c r="U918" s="10"/>
    </row>
    <row r="919" spans="1:21">
      <c r="A919" s="5"/>
      <c r="B919" s="6"/>
      <c r="C919" s="6"/>
      <c r="D919" s="6"/>
      <c r="E919" s="6"/>
      <c r="F919" s="6"/>
      <c r="G919" s="13"/>
      <c r="H919" s="6"/>
      <c r="I919" s="13"/>
      <c r="J919" s="6"/>
      <c r="K919" s="6"/>
      <c r="L919" s="6"/>
      <c r="M919" s="6"/>
      <c r="N919" s="6"/>
      <c r="O919" s="6"/>
      <c r="P919" s="13"/>
      <c r="Q919" s="13"/>
      <c r="R919" s="16"/>
      <c r="S919" s="16"/>
      <c r="T919" s="6"/>
      <c r="U919" s="10"/>
    </row>
    <row r="920" spans="1:21">
      <c r="A920" s="5"/>
      <c r="B920" s="6"/>
      <c r="C920" s="6"/>
      <c r="D920" s="6"/>
      <c r="E920" s="6"/>
      <c r="F920" s="6"/>
      <c r="G920" s="13"/>
      <c r="H920" s="6"/>
      <c r="I920" s="13"/>
      <c r="J920" s="6"/>
      <c r="K920" s="6"/>
      <c r="L920" s="6"/>
      <c r="M920" s="6"/>
      <c r="N920" s="6"/>
      <c r="O920" s="6"/>
      <c r="P920" s="13"/>
      <c r="Q920" s="13"/>
      <c r="R920" s="16"/>
      <c r="S920" s="16"/>
      <c r="T920" s="6"/>
      <c r="U920" s="10"/>
    </row>
    <row r="921" spans="1:21">
      <c r="A921" s="5"/>
      <c r="B921" s="6"/>
      <c r="C921" s="6"/>
      <c r="D921" s="6"/>
      <c r="E921" s="6"/>
      <c r="F921" s="6"/>
      <c r="G921" s="13"/>
      <c r="H921" s="6"/>
      <c r="I921" s="13"/>
      <c r="J921" s="6"/>
      <c r="K921" s="6"/>
      <c r="L921" s="6"/>
      <c r="M921" s="6"/>
      <c r="N921" s="6"/>
      <c r="O921" s="6"/>
      <c r="P921" s="13"/>
      <c r="Q921" s="13"/>
      <c r="R921" s="16"/>
      <c r="S921" s="16"/>
      <c r="T921" s="6"/>
      <c r="U921" s="10"/>
    </row>
    <row r="922" spans="1:21">
      <c r="A922" s="5"/>
      <c r="B922" s="6"/>
      <c r="C922" s="6"/>
      <c r="D922" s="6"/>
      <c r="E922" s="6"/>
      <c r="F922" s="6"/>
      <c r="G922" s="13"/>
      <c r="H922" s="6"/>
      <c r="I922" s="13"/>
      <c r="J922" s="6"/>
      <c r="K922" s="6"/>
      <c r="L922" s="6"/>
      <c r="M922" s="6"/>
      <c r="N922" s="6"/>
      <c r="O922" s="6"/>
      <c r="P922" s="13"/>
      <c r="Q922" s="13"/>
      <c r="R922" s="16"/>
      <c r="S922" s="16"/>
      <c r="T922" s="6"/>
      <c r="U922" s="10"/>
    </row>
    <row r="923" spans="1:21">
      <c r="A923" s="5"/>
      <c r="B923" s="6"/>
      <c r="C923" s="6"/>
      <c r="D923" s="6"/>
      <c r="E923" s="6"/>
      <c r="F923" s="6"/>
      <c r="G923" s="13"/>
      <c r="H923" s="6"/>
      <c r="I923" s="13"/>
      <c r="J923" s="6"/>
      <c r="K923" s="6"/>
      <c r="L923" s="6"/>
      <c r="M923" s="6"/>
      <c r="N923" s="6"/>
      <c r="O923" s="6"/>
      <c r="P923" s="13"/>
      <c r="Q923" s="13"/>
      <c r="R923" s="16"/>
      <c r="S923" s="16"/>
      <c r="T923" s="6"/>
      <c r="U923" s="10"/>
    </row>
    <row r="924" spans="1:21">
      <c r="A924" s="5"/>
      <c r="B924" s="6"/>
      <c r="C924" s="6"/>
      <c r="D924" s="6"/>
      <c r="E924" s="6"/>
      <c r="F924" s="6"/>
      <c r="G924" s="13"/>
      <c r="H924" s="6"/>
      <c r="I924" s="13"/>
      <c r="J924" s="6"/>
      <c r="K924" s="6"/>
      <c r="L924" s="6"/>
      <c r="M924" s="6"/>
      <c r="N924" s="6"/>
      <c r="O924" s="6"/>
      <c r="P924" s="13"/>
      <c r="Q924" s="13"/>
      <c r="R924" s="16"/>
      <c r="S924" s="16"/>
      <c r="T924" s="6"/>
      <c r="U924" s="10"/>
    </row>
    <row r="925" spans="1:21">
      <c r="A925" s="5"/>
      <c r="B925" s="6"/>
      <c r="C925" s="6"/>
      <c r="D925" s="6"/>
      <c r="E925" s="6"/>
      <c r="F925" s="6"/>
      <c r="G925" s="13"/>
      <c r="H925" s="6"/>
      <c r="I925" s="13"/>
      <c r="J925" s="6"/>
      <c r="K925" s="6"/>
      <c r="L925" s="6"/>
      <c r="M925" s="6"/>
      <c r="N925" s="6"/>
      <c r="O925" s="6"/>
      <c r="P925" s="13"/>
      <c r="Q925" s="13"/>
      <c r="R925" s="16"/>
      <c r="S925" s="16"/>
      <c r="T925" s="6"/>
      <c r="U925" s="10"/>
    </row>
    <row r="926" spans="1:21">
      <c r="A926" s="5"/>
      <c r="B926" s="6"/>
      <c r="C926" s="6"/>
      <c r="D926" s="6"/>
      <c r="E926" s="6"/>
      <c r="F926" s="6"/>
      <c r="G926" s="13"/>
      <c r="H926" s="6"/>
      <c r="I926" s="13"/>
      <c r="J926" s="6"/>
      <c r="K926" s="6"/>
      <c r="L926" s="6"/>
      <c r="M926" s="6"/>
      <c r="N926" s="6"/>
      <c r="O926" s="6"/>
      <c r="P926" s="13"/>
      <c r="Q926" s="13"/>
      <c r="R926" s="16"/>
      <c r="S926" s="16"/>
      <c r="T926" s="6"/>
      <c r="U926" s="10"/>
    </row>
    <row r="927" spans="1:21">
      <c r="A927" s="5"/>
      <c r="B927" s="6"/>
      <c r="C927" s="6"/>
      <c r="D927" s="6"/>
      <c r="E927" s="6"/>
      <c r="F927" s="6"/>
      <c r="G927" s="13"/>
      <c r="H927" s="6"/>
      <c r="I927" s="13"/>
      <c r="J927" s="6"/>
      <c r="K927" s="6"/>
      <c r="L927" s="6"/>
      <c r="M927" s="6"/>
      <c r="N927" s="6"/>
      <c r="O927" s="6"/>
      <c r="P927" s="13"/>
      <c r="Q927" s="13"/>
      <c r="R927" s="16"/>
      <c r="S927" s="16"/>
      <c r="T927" s="6"/>
      <c r="U927" s="10"/>
    </row>
    <row r="928" spans="1:21">
      <c r="A928" s="5"/>
      <c r="B928" s="6"/>
      <c r="C928" s="6"/>
      <c r="D928" s="6"/>
      <c r="E928" s="6"/>
      <c r="F928" s="6"/>
      <c r="G928" s="13"/>
      <c r="H928" s="6"/>
      <c r="I928" s="13"/>
      <c r="J928" s="6"/>
      <c r="K928" s="6"/>
      <c r="L928" s="6"/>
      <c r="M928" s="6"/>
      <c r="N928" s="6"/>
      <c r="O928" s="6"/>
      <c r="P928" s="13"/>
      <c r="Q928" s="13"/>
      <c r="R928" s="16"/>
      <c r="S928" s="16"/>
      <c r="T928" s="6"/>
      <c r="U928" s="10"/>
    </row>
    <row r="929" spans="1:21">
      <c r="A929" s="5"/>
      <c r="B929" s="6"/>
      <c r="C929" s="6"/>
      <c r="D929" s="6"/>
      <c r="E929" s="6"/>
      <c r="F929" s="6"/>
      <c r="G929" s="13"/>
      <c r="H929" s="6"/>
      <c r="I929" s="13"/>
      <c r="J929" s="6"/>
      <c r="K929" s="6"/>
      <c r="L929" s="6"/>
      <c r="M929" s="6"/>
      <c r="N929" s="6"/>
      <c r="O929" s="6"/>
      <c r="P929" s="13"/>
      <c r="Q929" s="13"/>
      <c r="R929" s="16"/>
      <c r="S929" s="16"/>
      <c r="T929" s="6"/>
      <c r="U929" s="10"/>
    </row>
    <row r="930" spans="1:21">
      <c r="A930" s="5"/>
      <c r="B930" s="6"/>
      <c r="C930" s="6"/>
      <c r="D930" s="6"/>
      <c r="E930" s="6"/>
      <c r="F930" s="6"/>
      <c r="G930" s="13"/>
      <c r="H930" s="6"/>
      <c r="I930" s="13"/>
      <c r="J930" s="6"/>
      <c r="K930" s="6"/>
      <c r="L930" s="6"/>
      <c r="M930" s="6"/>
      <c r="N930" s="6"/>
      <c r="O930" s="6"/>
      <c r="P930" s="13"/>
      <c r="Q930" s="13"/>
      <c r="R930" s="16"/>
      <c r="S930" s="16"/>
      <c r="T930" s="6"/>
      <c r="U930" s="10"/>
    </row>
    <row r="931" spans="1:21">
      <c r="A931" s="5"/>
      <c r="B931" s="6"/>
      <c r="C931" s="6"/>
      <c r="D931" s="6"/>
      <c r="E931" s="6"/>
      <c r="F931" s="6"/>
      <c r="G931" s="13"/>
      <c r="H931" s="6"/>
      <c r="I931" s="13"/>
      <c r="J931" s="6"/>
      <c r="K931" s="6"/>
      <c r="L931" s="6"/>
      <c r="M931" s="6"/>
      <c r="N931" s="6"/>
      <c r="O931" s="6"/>
      <c r="P931" s="13"/>
      <c r="Q931" s="13"/>
      <c r="R931" s="16"/>
      <c r="S931" s="16"/>
      <c r="T931" s="6"/>
      <c r="U931" s="10"/>
    </row>
    <row r="932" spans="1:21">
      <c r="A932" s="5"/>
      <c r="B932" s="6"/>
      <c r="C932" s="6"/>
      <c r="D932" s="6"/>
      <c r="E932" s="6"/>
      <c r="F932" s="6"/>
      <c r="G932" s="13"/>
      <c r="H932" s="6"/>
      <c r="I932" s="13"/>
      <c r="J932" s="6"/>
      <c r="K932" s="6"/>
      <c r="L932" s="6"/>
      <c r="M932" s="6"/>
      <c r="N932" s="6"/>
      <c r="O932" s="6"/>
      <c r="P932" s="13"/>
      <c r="Q932" s="13"/>
      <c r="R932" s="16"/>
      <c r="S932" s="16"/>
      <c r="T932" s="6"/>
      <c r="U932" s="10"/>
    </row>
    <row r="933" spans="1:21">
      <c r="A933" s="5"/>
      <c r="B933" s="6"/>
      <c r="C933" s="6"/>
      <c r="D933" s="6"/>
      <c r="E933" s="6"/>
      <c r="F933" s="6"/>
      <c r="G933" s="13"/>
      <c r="H933" s="6"/>
      <c r="I933" s="13"/>
      <c r="J933" s="6"/>
      <c r="K933" s="6"/>
      <c r="L933" s="6"/>
      <c r="M933" s="6"/>
      <c r="N933" s="6"/>
      <c r="O933" s="6"/>
      <c r="P933" s="13"/>
      <c r="Q933" s="13"/>
      <c r="R933" s="16"/>
      <c r="S933" s="16"/>
      <c r="T933" s="6"/>
      <c r="U933" s="10"/>
    </row>
    <row r="934" spans="1:21">
      <c r="A934" s="5"/>
      <c r="B934" s="6"/>
      <c r="C934" s="6"/>
      <c r="D934" s="6"/>
      <c r="E934" s="6"/>
      <c r="F934" s="6"/>
      <c r="G934" s="13"/>
      <c r="H934" s="6"/>
      <c r="I934" s="13"/>
      <c r="J934" s="6"/>
      <c r="K934" s="6"/>
      <c r="L934" s="6"/>
      <c r="M934" s="6"/>
      <c r="N934" s="6"/>
      <c r="O934" s="6"/>
      <c r="P934" s="13"/>
      <c r="Q934" s="13"/>
      <c r="R934" s="16"/>
      <c r="S934" s="16"/>
      <c r="T934" s="6"/>
      <c r="U934" s="10"/>
    </row>
    <row r="935" spans="1:21">
      <c r="A935" s="5"/>
      <c r="B935" s="6"/>
      <c r="C935" s="6"/>
      <c r="D935" s="6"/>
      <c r="E935" s="6"/>
      <c r="F935" s="6"/>
      <c r="G935" s="13"/>
      <c r="H935" s="6"/>
      <c r="I935" s="13"/>
      <c r="J935" s="6"/>
      <c r="K935" s="6"/>
      <c r="L935" s="6"/>
      <c r="M935" s="6"/>
      <c r="N935" s="6"/>
      <c r="O935" s="6"/>
      <c r="P935" s="13"/>
      <c r="Q935" s="13"/>
      <c r="R935" s="16"/>
      <c r="S935" s="16"/>
      <c r="T935" s="6"/>
      <c r="U935" s="10"/>
    </row>
    <row r="936" spans="1:21">
      <c r="A936" s="5"/>
      <c r="B936" s="6"/>
      <c r="C936" s="6"/>
      <c r="D936" s="6"/>
      <c r="E936" s="6"/>
      <c r="F936" s="6"/>
      <c r="G936" s="13"/>
      <c r="H936" s="6"/>
      <c r="I936" s="13"/>
      <c r="J936" s="6"/>
      <c r="K936" s="6"/>
      <c r="L936" s="6"/>
      <c r="M936" s="6"/>
      <c r="N936" s="6"/>
      <c r="O936" s="6"/>
      <c r="P936" s="13"/>
      <c r="Q936" s="13"/>
      <c r="R936" s="16"/>
      <c r="S936" s="16"/>
      <c r="T936" s="6"/>
      <c r="U936" s="10"/>
    </row>
    <row r="937" spans="1:21">
      <c r="A937" s="5"/>
      <c r="B937" s="6"/>
      <c r="C937" s="6"/>
      <c r="D937" s="6"/>
      <c r="E937" s="6"/>
      <c r="F937" s="6"/>
      <c r="G937" s="13"/>
      <c r="H937" s="6"/>
      <c r="I937" s="13"/>
      <c r="J937" s="6"/>
      <c r="K937" s="6"/>
      <c r="L937" s="6"/>
      <c r="M937" s="6"/>
      <c r="N937" s="6"/>
      <c r="O937" s="6"/>
      <c r="P937" s="13"/>
      <c r="Q937" s="13"/>
      <c r="R937" s="16"/>
      <c r="S937" s="16"/>
      <c r="T937" s="6"/>
      <c r="U937" s="10"/>
    </row>
    <row r="938" spans="1:21">
      <c r="A938" s="5"/>
      <c r="B938" s="6"/>
      <c r="C938" s="6"/>
      <c r="D938" s="6"/>
      <c r="E938" s="6"/>
      <c r="F938" s="6"/>
      <c r="G938" s="13"/>
      <c r="H938" s="6"/>
      <c r="I938" s="13"/>
      <c r="J938" s="6"/>
      <c r="K938" s="6"/>
      <c r="L938" s="6"/>
      <c r="M938" s="6"/>
      <c r="N938" s="6"/>
      <c r="O938" s="6"/>
      <c r="P938" s="13"/>
      <c r="Q938" s="13"/>
      <c r="R938" s="16"/>
      <c r="S938" s="16"/>
      <c r="T938" s="6"/>
      <c r="U938" s="10"/>
    </row>
    <row r="939" spans="1:21">
      <c r="A939" s="5"/>
      <c r="B939" s="6"/>
      <c r="C939" s="6"/>
      <c r="D939" s="6"/>
      <c r="E939" s="6"/>
      <c r="F939" s="6"/>
      <c r="G939" s="13"/>
      <c r="H939" s="6"/>
      <c r="I939" s="13"/>
      <c r="J939" s="6"/>
      <c r="K939" s="6"/>
      <c r="L939" s="6"/>
      <c r="M939" s="6"/>
      <c r="N939" s="6"/>
      <c r="O939" s="6"/>
      <c r="P939" s="13"/>
      <c r="Q939" s="13"/>
      <c r="R939" s="16"/>
      <c r="S939" s="16"/>
      <c r="T939" s="6"/>
      <c r="U939" s="10"/>
    </row>
    <row r="940" spans="1:21">
      <c r="A940" s="5"/>
      <c r="B940" s="6"/>
      <c r="C940" s="6"/>
      <c r="D940" s="6"/>
      <c r="E940" s="6"/>
      <c r="F940" s="6"/>
      <c r="G940" s="13"/>
      <c r="H940" s="6"/>
      <c r="I940" s="13"/>
      <c r="J940" s="6"/>
      <c r="K940" s="6"/>
      <c r="L940" s="6"/>
      <c r="M940" s="6"/>
      <c r="N940" s="6"/>
      <c r="O940" s="6"/>
      <c r="P940" s="13"/>
      <c r="Q940" s="13"/>
      <c r="R940" s="16"/>
      <c r="S940" s="16"/>
      <c r="T940" s="6"/>
      <c r="U940" s="10"/>
    </row>
    <row r="941" spans="1:21">
      <c r="A941" s="5"/>
      <c r="B941" s="6"/>
      <c r="C941" s="6"/>
      <c r="D941" s="6"/>
      <c r="E941" s="6"/>
      <c r="F941" s="6"/>
      <c r="G941" s="13"/>
      <c r="H941" s="6"/>
      <c r="I941" s="13"/>
      <c r="J941" s="6"/>
      <c r="K941" s="6"/>
      <c r="L941" s="6"/>
      <c r="M941" s="6"/>
      <c r="N941" s="6"/>
      <c r="O941" s="6"/>
      <c r="P941" s="13"/>
      <c r="Q941" s="13"/>
      <c r="R941" s="16"/>
      <c r="S941" s="16"/>
      <c r="T941" s="6"/>
      <c r="U941" s="10"/>
    </row>
    <row r="942" spans="1:21">
      <c r="A942" s="5"/>
      <c r="B942" s="6"/>
      <c r="C942" s="6"/>
      <c r="D942" s="6"/>
      <c r="E942" s="6"/>
      <c r="F942" s="6"/>
      <c r="G942" s="13"/>
      <c r="H942" s="6"/>
      <c r="I942" s="13"/>
      <c r="J942" s="6"/>
      <c r="K942" s="6"/>
      <c r="L942" s="6"/>
      <c r="M942" s="6"/>
      <c r="N942" s="6"/>
      <c r="O942" s="6"/>
      <c r="P942" s="13"/>
      <c r="Q942" s="13"/>
      <c r="R942" s="16"/>
      <c r="S942" s="16"/>
      <c r="T942" s="6"/>
      <c r="U942" s="10"/>
    </row>
    <row r="943" spans="1:21">
      <c r="A943" s="5"/>
      <c r="B943" s="6"/>
      <c r="C943" s="6"/>
      <c r="D943" s="6"/>
      <c r="E943" s="6"/>
      <c r="F943" s="6"/>
      <c r="G943" s="13"/>
      <c r="H943" s="6"/>
      <c r="I943" s="13"/>
      <c r="J943" s="6"/>
      <c r="K943" s="6"/>
      <c r="L943" s="6"/>
      <c r="M943" s="6"/>
      <c r="N943" s="6"/>
      <c r="O943" s="6"/>
      <c r="P943" s="13"/>
      <c r="Q943" s="13"/>
      <c r="R943" s="16"/>
      <c r="S943" s="16"/>
      <c r="T943" s="6"/>
      <c r="U943" s="10"/>
    </row>
    <row r="944" spans="1:21">
      <c r="A944" s="5"/>
      <c r="B944" s="6"/>
      <c r="C944" s="6"/>
      <c r="D944" s="6"/>
      <c r="E944" s="6"/>
      <c r="F944" s="6"/>
      <c r="G944" s="13"/>
      <c r="H944" s="6"/>
      <c r="I944" s="13"/>
      <c r="J944" s="6"/>
      <c r="K944" s="6"/>
      <c r="L944" s="6"/>
      <c r="M944" s="6"/>
      <c r="N944" s="6"/>
      <c r="O944" s="6"/>
      <c r="P944" s="13"/>
      <c r="Q944" s="13"/>
      <c r="R944" s="16"/>
      <c r="S944" s="16"/>
      <c r="T944" s="6"/>
      <c r="U944" s="10"/>
    </row>
    <row r="945" spans="1:21">
      <c r="A945" s="5"/>
      <c r="B945" s="6"/>
      <c r="C945" s="6"/>
      <c r="D945" s="6"/>
      <c r="E945" s="6"/>
      <c r="F945" s="6"/>
      <c r="G945" s="13"/>
      <c r="H945" s="6"/>
      <c r="I945" s="13"/>
      <c r="J945" s="6"/>
      <c r="K945" s="6"/>
      <c r="L945" s="6"/>
      <c r="M945" s="6"/>
      <c r="N945" s="6"/>
      <c r="O945" s="6"/>
      <c r="P945" s="13"/>
      <c r="Q945" s="13"/>
      <c r="R945" s="16"/>
      <c r="S945" s="16"/>
      <c r="T945" s="6"/>
      <c r="U945" s="10"/>
    </row>
    <row r="946" spans="1:21">
      <c r="A946" s="5"/>
      <c r="B946" s="6"/>
      <c r="C946" s="6"/>
      <c r="D946" s="6"/>
      <c r="E946" s="6"/>
      <c r="F946" s="6"/>
      <c r="G946" s="13"/>
      <c r="H946" s="6"/>
      <c r="I946" s="13"/>
      <c r="J946" s="6"/>
      <c r="K946" s="6"/>
      <c r="L946" s="6"/>
      <c r="M946" s="6"/>
      <c r="N946" s="6"/>
      <c r="O946" s="6"/>
      <c r="P946" s="13"/>
      <c r="Q946" s="13"/>
      <c r="R946" s="16"/>
      <c r="S946" s="16"/>
      <c r="T946" s="6"/>
      <c r="U946" s="10"/>
    </row>
    <row r="947" spans="1:21">
      <c r="A947" s="5"/>
      <c r="B947" s="6"/>
      <c r="C947" s="6"/>
      <c r="D947" s="6"/>
      <c r="E947" s="6"/>
      <c r="F947" s="6"/>
      <c r="G947" s="13"/>
      <c r="H947" s="6"/>
      <c r="I947" s="13"/>
      <c r="J947" s="6"/>
      <c r="K947" s="6"/>
      <c r="L947" s="6"/>
      <c r="M947" s="6"/>
      <c r="N947" s="6"/>
      <c r="O947" s="6"/>
      <c r="P947" s="13"/>
      <c r="Q947" s="13"/>
      <c r="R947" s="16"/>
      <c r="S947" s="16"/>
      <c r="T947" s="6"/>
      <c r="U947" s="10"/>
    </row>
    <row r="948" spans="1:21">
      <c r="A948" s="5"/>
      <c r="B948" s="6"/>
      <c r="C948" s="6"/>
      <c r="D948" s="6"/>
      <c r="E948" s="6"/>
      <c r="F948" s="6"/>
      <c r="G948" s="13"/>
      <c r="H948" s="6"/>
      <c r="I948" s="13"/>
      <c r="J948" s="6"/>
      <c r="K948" s="6"/>
      <c r="L948" s="6"/>
      <c r="M948" s="6"/>
      <c r="N948" s="6"/>
      <c r="O948" s="6"/>
      <c r="P948" s="13"/>
      <c r="Q948" s="13"/>
      <c r="R948" s="16"/>
      <c r="S948" s="16"/>
      <c r="T948" s="6"/>
      <c r="U948" s="10"/>
    </row>
    <row r="949" spans="1:21">
      <c r="A949" s="5"/>
      <c r="B949" s="6"/>
      <c r="C949" s="6"/>
      <c r="D949" s="6"/>
      <c r="E949" s="6"/>
      <c r="F949" s="6"/>
      <c r="G949" s="13"/>
      <c r="H949" s="6"/>
      <c r="I949" s="13"/>
      <c r="J949" s="6"/>
      <c r="K949" s="6"/>
      <c r="L949" s="6"/>
      <c r="M949" s="6"/>
      <c r="N949" s="6"/>
      <c r="O949" s="6"/>
      <c r="P949" s="13"/>
      <c r="Q949" s="13"/>
      <c r="R949" s="16"/>
      <c r="S949" s="16"/>
      <c r="T949" s="6"/>
      <c r="U949" s="10"/>
    </row>
    <row r="950" spans="1:21">
      <c r="A950" s="5"/>
      <c r="B950" s="6"/>
      <c r="C950" s="6"/>
      <c r="D950" s="6"/>
      <c r="E950" s="6"/>
      <c r="F950" s="6"/>
      <c r="G950" s="13"/>
      <c r="H950" s="6"/>
      <c r="I950" s="13"/>
      <c r="J950" s="6"/>
      <c r="K950" s="6"/>
      <c r="L950" s="6"/>
      <c r="M950" s="6"/>
      <c r="N950" s="6"/>
      <c r="O950" s="6"/>
      <c r="P950" s="13"/>
      <c r="Q950" s="13"/>
      <c r="R950" s="16"/>
      <c r="S950" s="16"/>
      <c r="T950" s="6"/>
      <c r="U950" s="10"/>
    </row>
    <row r="951" spans="1:21">
      <c r="A951" s="5"/>
      <c r="B951" s="6"/>
      <c r="C951" s="6"/>
      <c r="D951" s="6"/>
      <c r="E951" s="6"/>
      <c r="F951" s="6"/>
      <c r="G951" s="13"/>
      <c r="H951" s="6"/>
      <c r="I951" s="13"/>
      <c r="J951" s="6"/>
      <c r="K951" s="6"/>
      <c r="L951" s="6"/>
      <c r="M951" s="6"/>
      <c r="N951" s="6"/>
      <c r="O951" s="6"/>
      <c r="P951" s="13"/>
      <c r="Q951" s="13"/>
      <c r="R951" s="16"/>
      <c r="S951" s="16"/>
      <c r="T951" s="6"/>
      <c r="U951" s="10"/>
    </row>
    <row r="952" spans="1:21">
      <c r="A952" s="5"/>
      <c r="B952" s="6"/>
      <c r="C952" s="6"/>
      <c r="D952" s="6"/>
      <c r="E952" s="6"/>
      <c r="F952" s="6"/>
      <c r="G952" s="13"/>
      <c r="H952" s="6"/>
      <c r="I952" s="13"/>
      <c r="J952" s="6"/>
      <c r="K952" s="6"/>
      <c r="L952" s="6"/>
      <c r="M952" s="6"/>
      <c r="N952" s="6"/>
      <c r="O952" s="6"/>
      <c r="P952" s="13"/>
      <c r="Q952" s="13"/>
      <c r="R952" s="16"/>
      <c r="S952" s="16"/>
      <c r="T952" s="6"/>
      <c r="U952" s="10"/>
    </row>
    <row r="953" spans="1:21">
      <c r="A953" s="5"/>
      <c r="B953" s="6"/>
      <c r="C953" s="6"/>
      <c r="D953" s="6"/>
      <c r="E953" s="6"/>
      <c r="F953" s="6"/>
      <c r="G953" s="13"/>
      <c r="H953" s="6"/>
      <c r="I953" s="13"/>
      <c r="J953" s="6"/>
      <c r="K953" s="6"/>
      <c r="L953" s="6"/>
      <c r="M953" s="6"/>
      <c r="N953" s="6"/>
      <c r="O953" s="6"/>
      <c r="P953" s="13"/>
      <c r="Q953" s="13"/>
      <c r="R953" s="16"/>
      <c r="S953" s="16"/>
      <c r="T953" s="6"/>
      <c r="U953" s="10"/>
    </row>
    <row r="954" spans="1:21">
      <c r="A954" s="5"/>
      <c r="B954" s="6"/>
      <c r="C954" s="6"/>
      <c r="D954" s="6"/>
      <c r="E954" s="6"/>
      <c r="F954" s="6"/>
      <c r="G954" s="13"/>
      <c r="H954" s="6"/>
      <c r="I954" s="13"/>
      <c r="J954" s="6"/>
      <c r="K954" s="6"/>
      <c r="L954" s="6"/>
      <c r="M954" s="6"/>
      <c r="N954" s="6"/>
      <c r="O954" s="6"/>
      <c r="P954" s="13"/>
      <c r="Q954" s="13"/>
      <c r="R954" s="16"/>
      <c r="S954" s="16"/>
      <c r="T954" s="6"/>
      <c r="U954" s="10"/>
    </row>
    <row r="955" spans="1:21">
      <c r="A955" s="5"/>
      <c r="B955" s="6"/>
      <c r="C955" s="6"/>
      <c r="D955" s="6"/>
      <c r="E955" s="6"/>
      <c r="F955" s="6"/>
      <c r="G955" s="13"/>
      <c r="H955" s="6"/>
      <c r="I955" s="13"/>
      <c r="J955" s="6"/>
      <c r="K955" s="6"/>
      <c r="L955" s="6"/>
      <c r="M955" s="6"/>
      <c r="N955" s="6"/>
      <c r="O955" s="6"/>
      <c r="P955" s="13"/>
      <c r="Q955" s="13"/>
      <c r="R955" s="16"/>
      <c r="S955" s="16"/>
      <c r="T955" s="6"/>
      <c r="U955" s="10"/>
    </row>
    <row r="956" spans="1:21">
      <c r="A956" s="5"/>
      <c r="B956" s="6"/>
      <c r="C956" s="6"/>
      <c r="D956" s="6"/>
      <c r="E956" s="6"/>
      <c r="F956" s="6"/>
      <c r="G956" s="13"/>
      <c r="H956" s="6"/>
      <c r="I956" s="13"/>
      <c r="J956" s="6"/>
      <c r="K956" s="6"/>
      <c r="L956" s="6"/>
      <c r="M956" s="6"/>
      <c r="N956" s="6"/>
      <c r="O956" s="6"/>
      <c r="P956" s="13"/>
      <c r="Q956" s="13"/>
      <c r="R956" s="16"/>
      <c r="S956" s="16"/>
      <c r="T956" s="6"/>
      <c r="U956" s="10"/>
    </row>
    <row r="957" spans="1:21">
      <c r="A957" s="5"/>
      <c r="B957" s="6"/>
      <c r="C957" s="6"/>
      <c r="D957" s="6"/>
      <c r="E957" s="6"/>
      <c r="F957" s="6"/>
      <c r="G957" s="13"/>
      <c r="H957" s="6"/>
      <c r="I957" s="13"/>
      <c r="J957" s="6"/>
      <c r="K957" s="6"/>
      <c r="L957" s="6"/>
      <c r="M957" s="6"/>
      <c r="N957" s="6"/>
      <c r="O957" s="6"/>
      <c r="P957" s="13"/>
      <c r="Q957" s="13"/>
      <c r="R957" s="16"/>
      <c r="S957" s="16"/>
      <c r="T957" s="6"/>
      <c r="U957" s="10"/>
    </row>
    <row r="958" spans="1:21">
      <c r="A958" s="5"/>
      <c r="B958" s="6"/>
      <c r="C958" s="6"/>
      <c r="D958" s="6"/>
      <c r="E958" s="6"/>
      <c r="F958" s="6"/>
      <c r="G958" s="13"/>
      <c r="H958" s="6"/>
      <c r="I958" s="13"/>
      <c r="J958" s="6"/>
      <c r="K958" s="6"/>
      <c r="L958" s="6"/>
      <c r="M958" s="6"/>
      <c r="N958" s="6"/>
      <c r="O958" s="6"/>
      <c r="P958" s="13"/>
      <c r="Q958" s="13"/>
      <c r="R958" s="16"/>
      <c r="S958" s="16"/>
      <c r="T958" s="6"/>
      <c r="U958" s="10"/>
    </row>
    <row r="959" spans="1:21">
      <c r="A959" s="5"/>
      <c r="B959" s="6"/>
      <c r="C959" s="6"/>
      <c r="D959" s="6"/>
      <c r="E959" s="6"/>
      <c r="F959" s="6"/>
      <c r="G959" s="13"/>
      <c r="H959" s="6"/>
      <c r="I959" s="13"/>
      <c r="J959" s="6"/>
      <c r="K959" s="6"/>
      <c r="L959" s="6"/>
      <c r="M959" s="6"/>
      <c r="N959" s="6"/>
      <c r="O959" s="6"/>
      <c r="P959" s="13"/>
      <c r="Q959" s="13"/>
      <c r="R959" s="16"/>
      <c r="S959" s="16"/>
      <c r="T959" s="6"/>
      <c r="U959" s="10"/>
    </row>
    <row r="960" spans="1:21">
      <c r="A960" s="5"/>
      <c r="B960" s="6"/>
      <c r="C960" s="6"/>
      <c r="D960" s="6"/>
      <c r="E960" s="6"/>
      <c r="F960" s="6"/>
      <c r="G960" s="13"/>
      <c r="H960" s="6"/>
      <c r="I960" s="13"/>
      <c r="J960" s="6"/>
      <c r="K960" s="6"/>
      <c r="L960" s="6"/>
      <c r="M960" s="6"/>
      <c r="N960" s="6"/>
      <c r="O960" s="6"/>
      <c r="P960" s="13"/>
      <c r="Q960" s="13"/>
      <c r="R960" s="16"/>
      <c r="S960" s="16"/>
      <c r="T960" s="6"/>
      <c r="U960" s="10"/>
    </row>
    <row r="961" spans="1:21">
      <c r="A961" s="5"/>
      <c r="B961" s="6"/>
      <c r="C961" s="6"/>
      <c r="D961" s="6"/>
      <c r="E961" s="6"/>
      <c r="F961" s="6"/>
      <c r="G961" s="13"/>
      <c r="H961" s="6"/>
      <c r="I961" s="13"/>
      <c r="J961" s="6"/>
      <c r="K961" s="6"/>
      <c r="L961" s="6"/>
      <c r="M961" s="6"/>
      <c r="N961" s="6"/>
      <c r="O961" s="6"/>
      <c r="P961" s="13"/>
      <c r="Q961" s="13"/>
      <c r="R961" s="16"/>
      <c r="S961" s="16"/>
      <c r="T961" s="6"/>
      <c r="U961" s="10"/>
    </row>
    <row r="962" spans="1:21">
      <c r="A962" s="5"/>
      <c r="B962" s="6"/>
      <c r="C962" s="6"/>
      <c r="D962" s="6"/>
      <c r="E962" s="6"/>
      <c r="F962" s="6"/>
      <c r="G962" s="13"/>
      <c r="H962" s="6"/>
      <c r="I962" s="13"/>
      <c r="J962" s="6"/>
      <c r="K962" s="6"/>
      <c r="L962" s="6"/>
      <c r="M962" s="6"/>
      <c r="N962" s="6"/>
      <c r="O962" s="6"/>
      <c r="P962" s="13"/>
      <c r="Q962" s="13"/>
      <c r="R962" s="16"/>
      <c r="S962" s="16"/>
      <c r="T962" s="6"/>
      <c r="U962" s="10"/>
    </row>
    <row r="963" spans="1:21">
      <c r="A963" s="5"/>
      <c r="B963" s="6"/>
      <c r="C963" s="6"/>
      <c r="D963" s="6"/>
      <c r="E963" s="6"/>
      <c r="F963" s="6"/>
      <c r="G963" s="13"/>
      <c r="H963" s="6"/>
      <c r="I963" s="13"/>
      <c r="J963" s="6"/>
      <c r="K963" s="6"/>
      <c r="L963" s="6"/>
      <c r="M963" s="6"/>
      <c r="N963" s="6"/>
      <c r="O963" s="6"/>
      <c r="P963" s="13"/>
      <c r="Q963" s="13"/>
      <c r="R963" s="16"/>
      <c r="S963" s="16"/>
      <c r="T963" s="6"/>
      <c r="U963" s="10"/>
    </row>
    <row r="964" spans="1:21">
      <c r="A964" s="5"/>
      <c r="B964" s="6"/>
      <c r="C964" s="6"/>
      <c r="D964" s="6"/>
      <c r="E964" s="6"/>
      <c r="F964" s="6"/>
      <c r="G964" s="13"/>
      <c r="H964" s="6"/>
      <c r="I964" s="13"/>
      <c r="J964" s="6"/>
      <c r="K964" s="6"/>
      <c r="L964" s="6"/>
      <c r="M964" s="6"/>
      <c r="N964" s="6"/>
      <c r="O964" s="6"/>
      <c r="P964" s="13"/>
      <c r="Q964" s="13"/>
      <c r="R964" s="16"/>
      <c r="S964" s="16"/>
      <c r="T964" s="6"/>
      <c r="U964" s="10"/>
    </row>
    <row r="965" spans="1:21">
      <c r="A965" s="5"/>
      <c r="B965" s="6"/>
      <c r="C965" s="6"/>
      <c r="D965" s="6"/>
      <c r="E965" s="6"/>
      <c r="F965" s="6"/>
      <c r="G965" s="13"/>
      <c r="H965" s="6"/>
      <c r="I965" s="13"/>
      <c r="J965" s="6"/>
      <c r="K965" s="6"/>
      <c r="L965" s="6"/>
      <c r="M965" s="6"/>
      <c r="N965" s="6"/>
      <c r="O965" s="6"/>
      <c r="P965" s="13"/>
      <c r="Q965" s="13"/>
      <c r="R965" s="16"/>
      <c r="S965" s="16"/>
      <c r="T965" s="6"/>
      <c r="U965" s="10"/>
    </row>
    <row r="966" spans="1:21">
      <c r="A966" s="5"/>
      <c r="B966" s="6"/>
      <c r="C966" s="6"/>
      <c r="D966" s="6"/>
      <c r="E966" s="6"/>
      <c r="F966" s="6"/>
      <c r="G966" s="13"/>
      <c r="H966" s="6"/>
      <c r="I966" s="13"/>
      <c r="J966" s="6"/>
      <c r="K966" s="6"/>
      <c r="L966" s="6"/>
      <c r="M966" s="6"/>
      <c r="N966" s="6"/>
      <c r="O966" s="6"/>
      <c r="P966" s="13"/>
      <c r="Q966" s="13"/>
      <c r="R966" s="16"/>
      <c r="S966" s="16"/>
      <c r="T966" s="6"/>
      <c r="U966" s="10"/>
    </row>
    <row r="967" spans="1:21">
      <c r="A967" s="5"/>
      <c r="B967" s="6"/>
      <c r="C967" s="6"/>
      <c r="D967" s="6"/>
      <c r="E967" s="6"/>
      <c r="F967" s="6"/>
      <c r="G967" s="13"/>
      <c r="H967" s="6"/>
      <c r="I967" s="13"/>
      <c r="J967" s="6"/>
      <c r="K967" s="6"/>
      <c r="L967" s="6"/>
      <c r="M967" s="6"/>
      <c r="N967" s="6"/>
      <c r="O967" s="6"/>
      <c r="P967" s="13"/>
      <c r="Q967" s="13"/>
      <c r="R967" s="16"/>
      <c r="S967" s="16"/>
      <c r="T967" s="6"/>
      <c r="U967" s="10"/>
    </row>
    <row r="968" spans="1:21">
      <c r="A968" s="5"/>
      <c r="B968" s="6"/>
      <c r="C968" s="6"/>
      <c r="D968" s="6"/>
      <c r="E968" s="6"/>
      <c r="F968" s="6"/>
      <c r="G968" s="13"/>
      <c r="H968" s="6"/>
      <c r="I968" s="13"/>
      <c r="J968" s="6"/>
      <c r="K968" s="6"/>
      <c r="L968" s="6"/>
      <c r="M968" s="6"/>
      <c r="N968" s="6"/>
      <c r="O968" s="6"/>
      <c r="P968" s="13"/>
      <c r="Q968" s="13"/>
      <c r="R968" s="16"/>
      <c r="S968" s="16"/>
      <c r="T968" s="6"/>
      <c r="U968" s="10"/>
    </row>
    <row r="969" spans="1:21">
      <c r="A969" s="5"/>
      <c r="B969" s="6"/>
      <c r="C969" s="6"/>
      <c r="D969" s="6"/>
      <c r="E969" s="6"/>
      <c r="F969" s="6"/>
      <c r="G969" s="13"/>
      <c r="H969" s="6"/>
      <c r="I969" s="13"/>
      <c r="J969" s="6"/>
      <c r="K969" s="6"/>
      <c r="L969" s="6"/>
      <c r="M969" s="6"/>
      <c r="N969" s="6"/>
      <c r="O969" s="6"/>
      <c r="P969" s="13"/>
      <c r="Q969" s="13"/>
      <c r="R969" s="16"/>
      <c r="S969" s="16"/>
      <c r="T969" s="6"/>
      <c r="U969" s="10"/>
    </row>
    <row r="970" spans="1:21">
      <c r="A970" s="5"/>
      <c r="B970" s="6"/>
      <c r="C970" s="6"/>
      <c r="D970" s="6"/>
      <c r="E970" s="6"/>
      <c r="F970" s="6"/>
      <c r="G970" s="13"/>
      <c r="H970" s="6"/>
      <c r="I970" s="13"/>
      <c r="J970" s="6"/>
      <c r="K970" s="6"/>
      <c r="L970" s="6"/>
      <c r="M970" s="6"/>
      <c r="N970" s="6"/>
      <c r="O970" s="6"/>
      <c r="P970" s="13"/>
      <c r="Q970" s="13"/>
      <c r="R970" s="16"/>
      <c r="S970" s="16"/>
      <c r="T970" s="6"/>
      <c r="U970" s="10"/>
    </row>
    <row r="971" spans="1:21">
      <c r="A971" s="5"/>
      <c r="B971" s="6"/>
      <c r="C971" s="6"/>
      <c r="D971" s="6"/>
      <c r="E971" s="6"/>
      <c r="F971" s="6"/>
      <c r="G971" s="13"/>
      <c r="H971" s="6"/>
      <c r="I971" s="13"/>
      <c r="J971" s="6"/>
      <c r="K971" s="6"/>
      <c r="L971" s="6"/>
      <c r="M971" s="6"/>
      <c r="N971" s="6"/>
      <c r="O971" s="6"/>
      <c r="P971" s="13"/>
      <c r="Q971" s="13"/>
      <c r="R971" s="16"/>
      <c r="S971" s="16"/>
      <c r="T971" s="6"/>
      <c r="U971" s="10"/>
    </row>
    <row r="972" spans="1:21">
      <c r="A972" s="5"/>
      <c r="B972" s="6"/>
      <c r="C972" s="6"/>
      <c r="D972" s="6"/>
      <c r="E972" s="6"/>
      <c r="F972" s="6"/>
      <c r="G972" s="13"/>
      <c r="H972" s="6"/>
      <c r="I972" s="13"/>
      <c r="J972" s="6"/>
      <c r="K972" s="6"/>
      <c r="L972" s="6"/>
      <c r="M972" s="6"/>
      <c r="N972" s="6"/>
      <c r="O972" s="6"/>
      <c r="P972" s="13"/>
      <c r="Q972" s="13"/>
      <c r="R972" s="16"/>
      <c r="S972" s="16"/>
      <c r="T972" s="6"/>
      <c r="U972" s="10"/>
    </row>
    <row r="973" spans="1:21">
      <c r="A973" s="5"/>
      <c r="B973" s="6"/>
      <c r="C973" s="6"/>
      <c r="D973" s="6"/>
      <c r="E973" s="6"/>
      <c r="F973" s="6"/>
      <c r="G973" s="13"/>
      <c r="H973" s="6"/>
      <c r="I973" s="13"/>
      <c r="J973" s="6"/>
      <c r="K973" s="6"/>
      <c r="L973" s="6"/>
      <c r="M973" s="6"/>
      <c r="N973" s="6"/>
      <c r="O973" s="6"/>
      <c r="P973" s="13"/>
      <c r="Q973" s="13"/>
      <c r="R973" s="16"/>
      <c r="S973" s="16"/>
      <c r="T973" s="6"/>
      <c r="U973" s="10"/>
    </row>
    <row r="974" spans="1:21">
      <c r="A974" s="5"/>
      <c r="B974" s="6"/>
      <c r="C974" s="6"/>
      <c r="D974" s="6"/>
      <c r="E974" s="6"/>
      <c r="F974" s="6"/>
      <c r="G974" s="13"/>
      <c r="H974" s="6"/>
      <c r="I974" s="13"/>
      <c r="J974" s="6"/>
      <c r="K974" s="6"/>
      <c r="L974" s="6"/>
      <c r="M974" s="6"/>
      <c r="N974" s="6"/>
      <c r="O974" s="6"/>
      <c r="P974" s="13"/>
      <c r="Q974" s="13"/>
      <c r="R974" s="16"/>
      <c r="S974" s="16"/>
      <c r="T974" s="6"/>
      <c r="U974" s="10"/>
    </row>
    <row r="975" spans="1:21">
      <c r="A975" s="5"/>
      <c r="B975" s="6"/>
      <c r="C975" s="6"/>
      <c r="D975" s="6"/>
      <c r="E975" s="6"/>
      <c r="F975" s="6"/>
      <c r="G975" s="13"/>
      <c r="H975" s="6"/>
      <c r="I975" s="13"/>
      <c r="J975" s="6"/>
      <c r="K975" s="6"/>
      <c r="L975" s="6"/>
      <c r="M975" s="6"/>
      <c r="N975" s="6"/>
      <c r="O975" s="6"/>
      <c r="P975" s="13"/>
      <c r="Q975" s="13"/>
      <c r="R975" s="16"/>
      <c r="S975" s="16"/>
      <c r="T975" s="6"/>
      <c r="U975" s="10"/>
    </row>
    <row r="976" spans="1:21">
      <c r="A976" s="5"/>
      <c r="B976" s="6"/>
      <c r="C976" s="6"/>
      <c r="D976" s="6"/>
      <c r="E976" s="6"/>
      <c r="F976" s="6"/>
      <c r="G976" s="13"/>
      <c r="H976" s="6"/>
      <c r="I976" s="13"/>
      <c r="J976" s="6"/>
      <c r="K976" s="6"/>
      <c r="L976" s="6"/>
      <c r="M976" s="6"/>
      <c r="N976" s="6"/>
      <c r="O976" s="6"/>
      <c r="P976" s="13"/>
      <c r="Q976" s="13"/>
      <c r="R976" s="16"/>
      <c r="S976" s="16"/>
      <c r="T976" s="6"/>
      <c r="U976" s="10"/>
    </row>
    <row r="977" spans="1:21">
      <c r="A977" s="5"/>
      <c r="B977" s="6"/>
      <c r="C977" s="6"/>
      <c r="D977" s="6"/>
      <c r="E977" s="6"/>
      <c r="F977" s="6"/>
      <c r="G977" s="13"/>
      <c r="H977" s="6"/>
      <c r="I977" s="13"/>
      <c r="J977" s="6"/>
      <c r="K977" s="6"/>
      <c r="L977" s="6"/>
      <c r="M977" s="6"/>
      <c r="N977" s="6"/>
      <c r="O977" s="6"/>
      <c r="P977" s="13"/>
      <c r="Q977" s="13"/>
      <c r="R977" s="16"/>
      <c r="S977" s="16"/>
      <c r="T977" s="6"/>
      <c r="U977" s="10"/>
    </row>
    <row r="978" spans="1:21">
      <c r="A978" s="5"/>
      <c r="B978" s="6"/>
      <c r="C978" s="6"/>
      <c r="D978" s="6"/>
      <c r="E978" s="6"/>
      <c r="F978" s="6"/>
      <c r="G978" s="13"/>
      <c r="H978" s="6"/>
      <c r="I978" s="13"/>
      <c r="J978" s="6"/>
      <c r="K978" s="6"/>
      <c r="L978" s="6"/>
      <c r="M978" s="6"/>
      <c r="N978" s="6"/>
      <c r="O978" s="6"/>
      <c r="P978" s="13"/>
      <c r="Q978" s="13"/>
      <c r="R978" s="16"/>
      <c r="S978" s="16"/>
      <c r="T978" s="6"/>
      <c r="U978" s="10"/>
    </row>
    <row r="979" spans="1:21">
      <c r="A979" s="5"/>
      <c r="B979" s="6"/>
      <c r="C979" s="6"/>
      <c r="D979" s="6"/>
      <c r="E979" s="6"/>
      <c r="F979" s="6"/>
      <c r="G979" s="13"/>
      <c r="H979" s="6"/>
      <c r="I979" s="13"/>
      <c r="J979" s="6"/>
      <c r="K979" s="6"/>
      <c r="L979" s="6"/>
      <c r="M979" s="6"/>
      <c r="N979" s="6"/>
      <c r="O979" s="6"/>
      <c r="P979" s="13"/>
      <c r="Q979" s="13"/>
      <c r="R979" s="16"/>
      <c r="S979" s="16"/>
      <c r="T979" s="6"/>
      <c r="U979" s="10"/>
    </row>
    <row r="980" spans="1:21">
      <c r="A980" s="5"/>
      <c r="B980" s="6"/>
      <c r="C980" s="6"/>
      <c r="D980" s="6"/>
      <c r="E980" s="6"/>
      <c r="F980" s="6"/>
      <c r="G980" s="13"/>
      <c r="H980" s="6"/>
      <c r="I980" s="13"/>
      <c r="J980" s="6"/>
      <c r="K980" s="6"/>
      <c r="L980" s="6"/>
      <c r="M980" s="6"/>
      <c r="N980" s="6"/>
      <c r="O980" s="6"/>
      <c r="P980" s="13"/>
      <c r="Q980" s="13"/>
      <c r="R980" s="16"/>
      <c r="S980" s="16"/>
      <c r="T980" s="6"/>
      <c r="U980" s="10"/>
    </row>
    <row r="981" spans="1:21">
      <c r="A981" s="5"/>
      <c r="B981" s="6"/>
      <c r="C981" s="6"/>
      <c r="D981" s="6"/>
      <c r="E981" s="6"/>
      <c r="F981" s="6"/>
      <c r="G981" s="13"/>
      <c r="H981" s="6"/>
      <c r="I981" s="13"/>
      <c r="J981" s="6"/>
      <c r="K981" s="6"/>
      <c r="L981" s="6"/>
      <c r="M981" s="6"/>
      <c r="N981" s="6"/>
      <c r="O981" s="6"/>
      <c r="P981" s="13"/>
      <c r="Q981" s="13"/>
      <c r="R981" s="16"/>
      <c r="S981" s="16"/>
      <c r="T981" s="6"/>
      <c r="U981" s="10"/>
    </row>
    <row r="982" spans="1:21">
      <c r="A982" s="5"/>
      <c r="B982" s="6"/>
      <c r="C982" s="6"/>
      <c r="D982" s="6"/>
      <c r="E982" s="6"/>
      <c r="F982" s="6"/>
      <c r="G982" s="13"/>
      <c r="H982" s="6"/>
      <c r="I982" s="13"/>
      <c r="J982" s="6"/>
      <c r="K982" s="6"/>
      <c r="L982" s="6"/>
      <c r="M982" s="6"/>
      <c r="N982" s="6"/>
      <c r="O982" s="6"/>
      <c r="P982" s="13"/>
      <c r="Q982" s="13"/>
      <c r="R982" s="16"/>
      <c r="S982" s="16"/>
      <c r="T982" s="6"/>
      <c r="U982" s="10"/>
    </row>
    <row r="983" spans="1:21">
      <c r="A983" s="5"/>
      <c r="B983" s="6"/>
      <c r="C983" s="6"/>
      <c r="D983" s="6"/>
      <c r="E983" s="6"/>
      <c r="F983" s="6"/>
      <c r="G983" s="13"/>
      <c r="H983" s="6"/>
      <c r="I983" s="13"/>
      <c r="J983" s="6"/>
      <c r="K983" s="6"/>
      <c r="L983" s="6"/>
      <c r="M983" s="6"/>
      <c r="N983" s="6"/>
      <c r="O983" s="6"/>
      <c r="P983" s="13"/>
      <c r="Q983" s="13"/>
      <c r="R983" s="16"/>
      <c r="S983" s="16"/>
      <c r="T983" s="6"/>
      <c r="U983" s="10"/>
    </row>
    <row r="984" spans="1:21">
      <c r="A984" s="5"/>
      <c r="B984" s="6"/>
      <c r="C984" s="6"/>
      <c r="D984" s="6"/>
      <c r="E984" s="6"/>
      <c r="F984" s="6"/>
      <c r="G984" s="13"/>
      <c r="H984" s="6"/>
      <c r="I984" s="13"/>
      <c r="J984" s="6"/>
      <c r="K984" s="6"/>
      <c r="L984" s="6"/>
      <c r="M984" s="6"/>
      <c r="N984" s="6"/>
      <c r="O984" s="6"/>
      <c r="P984" s="13"/>
      <c r="Q984" s="13"/>
      <c r="R984" s="16"/>
      <c r="S984" s="16"/>
      <c r="T984" s="6"/>
      <c r="U984" s="10"/>
    </row>
    <row r="985" spans="1:21">
      <c r="A985" s="5"/>
      <c r="B985" s="6"/>
      <c r="C985" s="6"/>
      <c r="D985" s="6"/>
      <c r="E985" s="6"/>
      <c r="F985" s="6"/>
      <c r="G985" s="13"/>
      <c r="H985" s="6"/>
      <c r="I985" s="13"/>
      <c r="J985" s="6"/>
      <c r="K985" s="6"/>
      <c r="L985" s="6"/>
      <c r="M985" s="6"/>
      <c r="N985" s="6"/>
      <c r="O985" s="6"/>
      <c r="P985" s="13"/>
      <c r="Q985" s="13"/>
      <c r="R985" s="16"/>
      <c r="S985" s="16"/>
      <c r="T985" s="6"/>
      <c r="U985" s="10"/>
    </row>
    <row r="986" spans="1:21">
      <c r="A986" s="5"/>
      <c r="B986" s="6"/>
      <c r="C986" s="6"/>
      <c r="D986" s="6"/>
      <c r="E986" s="6"/>
      <c r="F986" s="6"/>
      <c r="G986" s="13"/>
      <c r="H986" s="6"/>
      <c r="I986" s="13"/>
      <c r="J986" s="6"/>
      <c r="K986" s="6"/>
      <c r="L986" s="6"/>
      <c r="M986" s="6"/>
      <c r="N986" s="6"/>
      <c r="O986" s="6"/>
      <c r="P986" s="13"/>
      <c r="Q986" s="13"/>
      <c r="R986" s="16"/>
      <c r="S986" s="16"/>
      <c r="T986" s="6"/>
      <c r="U986" s="10"/>
    </row>
    <row r="987" spans="1:21">
      <c r="A987" s="5"/>
      <c r="B987" s="6"/>
      <c r="C987" s="6"/>
      <c r="D987" s="6"/>
      <c r="E987" s="6"/>
      <c r="F987" s="6"/>
      <c r="G987" s="13"/>
      <c r="H987" s="6"/>
      <c r="I987" s="13"/>
      <c r="J987" s="6"/>
      <c r="K987" s="6"/>
      <c r="L987" s="6"/>
      <c r="M987" s="6"/>
      <c r="N987" s="6"/>
      <c r="O987" s="6"/>
      <c r="P987" s="13"/>
      <c r="Q987" s="13"/>
      <c r="R987" s="16"/>
      <c r="S987" s="16"/>
      <c r="T987" s="6"/>
      <c r="U987" s="10"/>
    </row>
    <row r="988" spans="1:21">
      <c r="A988" s="5"/>
      <c r="B988" s="6"/>
      <c r="C988" s="6"/>
      <c r="D988" s="6"/>
      <c r="E988" s="6"/>
      <c r="F988" s="6"/>
      <c r="G988" s="13"/>
      <c r="H988" s="6"/>
      <c r="I988" s="13"/>
      <c r="J988" s="6"/>
      <c r="K988" s="6"/>
      <c r="L988" s="6"/>
      <c r="M988" s="6"/>
      <c r="N988" s="6"/>
      <c r="O988" s="6"/>
      <c r="P988" s="13"/>
      <c r="Q988" s="13"/>
      <c r="R988" s="16"/>
      <c r="S988" s="16"/>
      <c r="T988" s="6"/>
      <c r="U988" s="10"/>
    </row>
    <row r="989" spans="1:21">
      <c r="A989" s="5"/>
      <c r="B989" s="6"/>
      <c r="C989" s="6"/>
      <c r="D989" s="6"/>
      <c r="E989" s="6"/>
      <c r="F989" s="6"/>
      <c r="G989" s="13"/>
      <c r="H989" s="6"/>
      <c r="I989" s="13"/>
      <c r="J989" s="6"/>
      <c r="K989" s="6"/>
      <c r="L989" s="6"/>
      <c r="M989" s="6"/>
      <c r="N989" s="6"/>
      <c r="O989" s="6"/>
      <c r="P989" s="13"/>
      <c r="Q989" s="13"/>
      <c r="R989" s="16"/>
      <c r="S989" s="16"/>
      <c r="T989" s="6"/>
      <c r="U989" s="10"/>
    </row>
    <row r="990" spans="1:21">
      <c r="A990" s="5"/>
      <c r="B990" s="6"/>
      <c r="C990" s="6"/>
      <c r="D990" s="6"/>
      <c r="E990" s="6"/>
      <c r="F990" s="6"/>
      <c r="G990" s="13"/>
      <c r="H990" s="6"/>
      <c r="I990" s="13"/>
      <c r="J990" s="6"/>
      <c r="K990" s="6"/>
      <c r="L990" s="6"/>
      <c r="M990" s="6"/>
      <c r="N990" s="6"/>
      <c r="O990" s="6"/>
      <c r="P990" s="13"/>
      <c r="Q990" s="13"/>
      <c r="R990" s="16"/>
      <c r="S990" s="16"/>
      <c r="T990" s="6"/>
      <c r="U990" s="10"/>
    </row>
    <row r="991" spans="1:21">
      <c r="A991" s="5"/>
      <c r="B991" s="6"/>
      <c r="C991" s="6"/>
      <c r="D991" s="6"/>
      <c r="E991" s="6"/>
      <c r="F991" s="6"/>
      <c r="G991" s="13"/>
      <c r="H991" s="6"/>
      <c r="I991" s="13"/>
      <c r="J991" s="6"/>
      <c r="K991" s="6"/>
      <c r="L991" s="6"/>
      <c r="M991" s="6"/>
      <c r="N991" s="6"/>
      <c r="O991" s="6"/>
      <c r="P991" s="13"/>
      <c r="Q991" s="13"/>
      <c r="R991" s="16"/>
      <c r="S991" s="16"/>
      <c r="T991" s="6"/>
      <c r="U991" s="10"/>
    </row>
    <row r="992" spans="1:21">
      <c r="A992" s="5"/>
      <c r="B992" s="6"/>
      <c r="C992" s="6"/>
      <c r="D992" s="6"/>
      <c r="E992" s="6"/>
      <c r="F992" s="6"/>
      <c r="G992" s="13"/>
      <c r="H992" s="6"/>
      <c r="I992" s="13"/>
      <c r="J992" s="6"/>
      <c r="K992" s="6"/>
      <c r="L992" s="6"/>
      <c r="M992" s="6"/>
      <c r="N992" s="6"/>
      <c r="O992" s="6"/>
      <c r="P992" s="13"/>
      <c r="Q992" s="13"/>
      <c r="R992" s="16"/>
      <c r="S992" s="16"/>
      <c r="T992" s="6"/>
      <c r="U992" s="10"/>
    </row>
    <row r="993" spans="1:21">
      <c r="A993" s="5"/>
      <c r="B993" s="6"/>
      <c r="C993" s="6"/>
      <c r="D993" s="6"/>
      <c r="E993" s="6"/>
      <c r="F993" s="6"/>
      <c r="G993" s="13"/>
      <c r="H993" s="6"/>
      <c r="I993" s="13"/>
      <c r="J993" s="6"/>
      <c r="K993" s="6"/>
      <c r="L993" s="6"/>
      <c r="M993" s="6"/>
      <c r="N993" s="6"/>
      <c r="O993" s="6"/>
      <c r="P993" s="13"/>
      <c r="Q993" s="13"/>
      <c r="R993" s="16"/>
      <c r="S993" s="16"/>
      <c r="T993" s="6"/>
      <c r="U993" s="10"/>
    </row>
    <row r="994" spans="1:21">
      <c r="A994" s="5"/>
      <c r="B994" s="6"/>
      <c r="C994" s="6"/>
      <c r="D994" s="6"/>
      <c r="E994" s="6"/>
      <c r="F994" s="6"/>
      <c r="G994" s="13"/>
      <c r="H994" s="6"/>
      <c r="I994" s="13"/>
      <c r="J994" s="6"/>
      <c r="K994" s="6"/>
      <c r="L994" s="6"/>
      <c r="M994" s="6"/>
      <c r="N994" s="6"/>
      <c r="O994" s="6"/>
      <c r="P994" s="13"/>
      <c r="Q994" s="13"/>
      <c r="R994" s="16"/>
      <c r="S994" s="16"/>
      <c r="T994" s="6"/>
      <c r="U994" s="10"/>
    </row>
    <row r="995" spans="1:21">
      <c r="A995" s="5"/>
      <c r="B995" s="6"/>
      <c r="C995" s="6"/>
      <c r="D995" s="6"/>
      <c r="E995" s="6"/>
      <c r="F995" s="6"/>
      <c r="G995" s="13"/>
      <c r="H995" s="6"/>
      <c r="I995" s="13"/>
      <c r="J995" s="6"/>
      <c r="K995" s="6"/>
      <c r="L995" s="6"/>
      <c r="M995" s="6"/>
      <c r="N995" s="6"/>
      <c r="O995" s="6"/>
      <c r="P995" s="13"/>
      <c r="Q995" s="13"/>
      <c r="R995" s="16"/>
      <c r="S995" s="16"/>
      <c r="T995" s="6"/>
      <c r="U995" s="10"/>
    </row>
    <row r="996" spans="1:21">
      <c r="A996" s="5"/>
      <c r="B996" s="6"/>
      <c r="C996" s="6"/>
      <c r="D996" s="6"/>
      <c r="E996" s="6"/>
      <c r="F996" s="6"/>
      <c r="G996" s="13"/>
      <c r="H996" s="6"/>
      <c r="I996" s="13"/>
      <c r="J996" s="6"/>
      <c r="K996" s="6"/>
      <c r="L996" s="6"/>
      <c r="M996" s="6"/>
      <c r="N996" s="6"/>
      <c r="O996" s="6"/>
      <c r="P996" s="13"/>
      <c r="Q996" s="13"/>
      <c r="R996" s="16"/>
      <c r="S996" s="16"/>
      <c r="T996" s="6"/>
      <c r="U996" s="10"/>
    </row>
    <row r="997" spans="1:21">
      <c r="A997" s="5"/>
      <c r="B997" s="6"/>
      <c r="C997" s="6"/>
      <c r="D997" s="6"/>
      <c r="E997" s="6"/>
      <c r="F997" s="6"/>
      <c r="G997" s="13"/>
      <c r="H997" s="6"/>
      <c r="I997" s="13"/>
      <c r="J997" s="6"/>
      <c r="K997" s="6"/>
      <c r="L997" s="6"/>
      <c r="M997" s="6"/>
      <c r="N997" s="6"/>
      <c r="O997" s="6"/>
      <c r="P997" s="13"/>
      <c r="Q997" s="13"/>
      <c r="R997" s="16"/>
      <c r="S997" s="16"/>
      <c r="T997" s="6"/>
      <c r="U997" s="10"/>
    </row>
    <row r="998" spans="1:21">
      <c r="A998" s="5"/>
      <c r="B998" s="6"/>
      <c r="C998" s="6"/>
      <c r="D998" s="6"/>
      <c r="E998" s="6"/>
      <c r="F998" s="6"/>
      <c r="G998" s="13"/>
      <c r="H998" s="6"/>
      <c r="I998" s="13"/>
      <c r="J998" s="6"/>
      <c r="K998" s="6"/>
      <c r="L998" s="6"/>
      <c r="M998" s="6"/>
      <c r="N998" s="6"/>
      <c r="O998" s="6"/>
      <c r="P998" s="13"/>
      <c r="Q998" s="13"/>
      <c r="R998" s="16"/>
      <c r="S998" s="16"/>
      <c r="T998" s="6"/>
      <c r="U998" s="10"/>
    </row>
    <row r="999" spans="1:21">
      <c r="A999" s="5"/>
      <c r="B999" s="6"/>
      <c r="C999" s="6"/>
      <c r="D999" s="6"/>
      <c r="E999" s="6"/>
      <c r="F999" s="6"/>
      <c r="G999" s="13"/>
      <c r="H999" s="6"/>
      <c r="I999" s="13"/>
      <c r="J999" s="6"/>
      <c r="K999" s="6"/>
      <c r="L999" s="6"/>
      <c r="M999" s="6"/>
      <c r="N999" s="6"/>
      <c r="O999" s="6"/>
      <c r="P999" s="13"/>
      <c r="Q999" s="13"/>
      <c r="R999" s="16"/>
      <c r="S999" s="16"/>
      <c r="T999" s="6"/>
      <c r="U999" s="10"/>
    </row>
    <row r="1000" spans="1:21">
      <c r="A1000" s="5"/>
      <c r="B1000" s="6"/>
      <c r="C1000" s="6"/>
      <c r="D1000" s="6"/>
      <c r="E1000" s="6"/>
      <c r="F1000" s="6"/>
      <c r="G1000" s="13"/>
      <c r="H1000" s="6"/>
      <c r="I1000" s="13"/>
      <c r="J1000" s="6"/>
      <c r="K1000" s="6"/>
      <c r="L1000" s="6"/>
      <c r="M1000" s="6"/>
      <c r="N1000" s="6"/>
      <c r="O1000" s="6"/>
      <c r="P1000" s="13"/>
      <c r="Q1000" s="13"/>
      <c r="R1000" s="16"/>
      <c r="S1000" s="16"/>
      <c r="T1000" s="6"/>
      <c r="U1000" s="10"/>
    </row>
    <row r="1001" spans="1:21">
      <c r="A1001" s="5"/>
      <c r="B1001" s="6"/>
      <c r="C1001" s="6"/>
      <c r="D1001" s="6"/>
      <c r="E1001" s="6"/>
      <c r="F1001" s="6"/>
      <c r="G1001" s="13"/>
      <c r="H1001" s="6"/>
      <c r="I1001" s="13"/>
      <c r="J1001" s="6"/>
      <c r="K1001" s="6"/>
      <c r="L1001" s="6"/>
      <c r="M1001" s="6"/>
      <c r="N1001" s="6"/>
      <c r="O1001" s="6"/>
      <c r="P1001" s="13"/>
      <c r="Q1001" s="13"/>
      <c r="R1001" s="16"/>
      <c r="S1001" s="16"/>
      <c r="T1001" s="6"/>
      <c r="U1001" s="10"/>
    </row>
    <row r="1002" spans="1:21">
      <c r="A1002" s="5"/>
      <c r="B1002" s="6"/>
      <c r="C1002" s="6"/>
      <c r="D1002" s="6"/>
      <c r="E1002" s="6"/>
      <c r="F1002" s="6"/>
      <c r="G1002" s="13"/>
      <c r="H1002" s="6"/>
      <c r="I1002" s="13"/>
      <c r="J1002" s="6"/>
      <c r="K1002" s="6"/>
      <c r="L1002" s="6"/>
      <c r="M1002" s="6"/>
      <c r="N1002" s="6"/>
      <c r="O1002" s="6"/>
      <c r="P1002" s="13"/>
      <c r="Q1002" s="13"/>
      <c r="R1002" s="16"/>
      <c r="S1002" s="16"/>
      <c r="T1002" s="6"/>
      <c r="U1002" s="10"/>
    </row>
    <row r="1003" spans="1:21">
      <c r="A1003" s="5"/>
      <c r="B1003" s="6"/>
      <c r="C1003" s="6"/>
      <c r="D1003" s="6"/>
      <c r="E1003" s="6"/>
      <c r="F1003" s="6"/>
      <c r="G1003" s="13"/>
      <c r="H1003" s="6"/>
      <c r="I1003" s="13"/>
      <c r="J1003" s="6"/>
      <c r="K1003" s="6"/>
      <c r="L1003" s="6"/>
      <c r="M1003" s="6"/>
      <c r="N1003" s="6"/>
      <c r="O1003" s="6"/>
      <c r="P1003" s="13"/>
      <c r="Q1003" s="13"/>
      <c r="R1003" s="16"/>
      <c r="S1003" s="16"/>
      <c r="T1003" s="6"/>
      <c r="U1003" s="10"/>
    </row>
    <row r="1004" spans="1:21">
      <c r="A1004" s="7"/>
      <c r="B1004" s="8"/>
      <c r="C1004" s="8"/>
      <c r="D1004" s="8"/>
      <c r="E1004" s="8"/>
      <c r="F1004" s="8"/>
      <c r="G1004" s="14"/>
      <c r="H1004" s="8"/>
      <c r="I1004" s="14"/>
      <c r="J1004" s="8"/>
      <c r="K1004" s="8"/>
      <c r="L1004" s="8"/>
      <c r="M1004" s="8"/>
      <c r="N1004" s="8"/>
      <c r="O1004" s="8"/>
      <c r="P1004" s="14"/>
      <c r="Q1004" s="14"/>
      <c r="R1004" s="17"/>
      <c r="S1004" s="17"/>
      <c r="T1004" s="8"/>
      <c r="U1004" s="11"/>
    </row>
    <row r="1005" spans="1:21">
      <c r="A1005" s="7"/>
      <c r="B1005" s="8"/>
      <c r="C1005" s="8"/>
      <c r="D1005" s="8"/>
      <c r="E1005" s="8"/>
      <c r="F1005" s="8"/>
      <c r="G1005" s="14"/>
      <c r="H1005" s="8"/>
      <c r="I1005" s="14"/>
      <c r="J1005" s="8"/>
      <c r="K1005" s="8"/>
      <c r="L1005" s="8"/>
      <c r="M1005" s="8"/>
      <c r="N1005" s="8"/>
      <c r="O1005" s="8"/>
      <c r="P1005" s="14"/>
      <c r="Q1005" s="14"/>
      <c r="R1005" s="17"/>
      <c r="S1005" s="17"/>
      <c r="T1005" s="8"/>
      <c r="U1005" s="11"/>
    </row>
    <row r="1006" spans="1:21">
      <c r="A1006" s="7"/>
      <c r="B1006" s="8"/>
      <c r="C1006" s="8"/>
      <c r="D1006" s="8"/>
      <c r="E1006" s="8"/>
      <c r="F1006" s="8"/>
      <c r="G1006" s="14"/>
      <c r="H1006" s="8"/>
      <c r="I1006" s="14"/>
      <c r="J1006" s="8"/>
      <c r="K1006" s="8"/>
      <c r="L1006" s="8"/>
      <c r="M1006" s="8"/>
      <c r="N1006" s="8"/>
      <c r="O1006" s="8"/>
      <c r="P1006" s="14"/>
      <c r="Q1006" s="14"/>
      <c r="R1006" s="17"/>
      <c r="S1006" s="17"/>
      <c r="T1006" s="8"/>
      <c r="U1006" s="11"/>
    </row>
    <row r="1007" spans="1:21">
      <c r="A1007" s="7">
        <v>237</v>
      </c>
      <c r="B1007" s="8" t="s">
        <v>276</v>
      </c>
      <c r="C1007" s="8" t="s">
        <v>276</v>
      </c>
      <c r="D1007" s="8"/>
      <c r="E1007" s="8"/>
      <c r="F1007" s="8" t="s">
        <v>321</v>
      </c>
      <c r="G1007" s="14" t="str">
        <f>IFERROR(VLOOKUP(F1007,CATÁLOGOS!$A$6:$B$105,2,FALSE),"")</f>
        <v>Nuestros productos</v>
      </c>
      <c r="H1007" s="8" t="s">
        <v>322</v>
      </c>
      <c r="I1007" s="14" t="str">
        <f>IFERROR(VLOOKUP(H1007,CATÁLOGOS!$F$6:$H$305,3,FALSE),"")</f>
        <v>Lavandinas y Cloros</v>
      </c>
      <c r="J1007" s="8" t="s">
        <v>1403</v>
      </c>
      <c r="K1007" s="8" t="s">
        <v>1404</v>
      </c>
      <c r="L1007" s="8"/>
      <c r="M1007" s="8" t="s">
        <v>1405</v>
      </c>
      <c r="N1007" s="8" t="s">
        <v>1406</v>
      </c>
      <c r="O1007" s="8" t="s">
        <v>328</v>
      </c>
      <c r="P1007" s="14"/>
      <c r="Q1007" s="14"/>
      <c r="R1007" s="17"/>
      <c r="S1007" s="17"/>
      <c r="T1007" s="8" t="s">
        <v>329</v>
      </c>
      <c r="U1007" s="11" t="s">
        <v>53</v>
      </c>
    </row>
    <row r="1008" spans="1:21">
      <c r="A1008" s="7">
        <v>237</v>
      </c>
      <c r="B1008" s="8" t="s">
        <v>277</v>
      </c>
      <c r="C1008" s="8" t="s">
        <v>277</v>
      </c>
      <c r="D1008" s="8"/>
      <c r="E1008" s="8"/>
      <c r="F1008" s="8" t="s">
        <v>1114</v>
      </c>
      <c r="G1008" s="14"/>
      <c r="H1008" s="8" t="s">
        <v>1359</v>
      </c>
      <c r="I1008" s="14"/>
      <c r="J1008" s="8" t="s">
        <v>1407</v>
      </c>
      <c r="K1008" s="8" t="s">
        <v>1408</v>
      </c>
      <c r="L1008" s="8"/>
      <c r="M1008" s="8" t="s">
        <v>397</v>
      </c>
      <c r="N1008" s="8" t="s">
        <v>1409</v>
      </c>
      <c r="O1008" s="8" t="s">
        <v>1410</v>
      </c>
      <c r="P1008" s="14"/>
      <c r="Q1008" s="14"/>
      <c r="R1008" s="17"/>
      <c r="S1008" s="17"/>
      <c r="T1008" s="8" t="s">
        <v>329</v>
      </c>
      <c r="U1008" s="11" t="s">
        <v>53</v>
      </c>
    </row>
    <row r="1009" spans="1:21">
      <c r="A1009" s="7">
        <v>238</v>
      </c>
      <c r="B1009" s="8" t="s">
        <v>278</v>
      </c>
      <c r="C1009" s="8" t="s">
        <v>278</v>
      </c>
      <c r="D1009" s="8"/>
      <c r="E1009" s="8"/>
      <c r="F1009" s="8" t="s">
        <v>1114</v>
      </c>
      <c r="G1009" s="14"/>
      <c r="H1009" s="8" t="s">
        <v>1359</v>
      </c>
      <c r="I1009" s="14"/>
      <c r="J1009" s="8" t="s">
        <v>1407</v>
      </c>
      <c r="K1009" s="8" t="s">
        <v>1411</v>
      </c>
      <c r="L1009" s="8"/>
      <c r="M1009" s="8" t="s">
        <v>397</v>
      </c>
      <c r="N1009" s="8" t="s">
        <v>1412</v>
      </c>
      <c r="O1009" s="8" t="s">
        <v>1413</v>
      </c>
      <c r="P1009" s="14"/>
      <c r="Q1009" s="14"/>
      <c r="R1009" s="17"/>
      <c r="S1009" s="17"/>
      <c r="T1009" s="8" t="s">
        <v>329</v>
      </c>
      <c r="U1009" s="11" t="s">
        <v>53</v>
      </c>
    </row>
    <row r="1010" spans="1:21">
      <c r="A1010" s="7">
        <v>239</v>
      </c>
      <c r="B1010" s="8" t="s">
        <v>279</v>
      </c>
      <c r="C1010" s="8" t="s">
        <v>279</v>
      </c>
      <c r="D1010" s="8"/>
      <c r="E1010" s="8"/>
      <c r="F1010" s="8" t="s">
        <v>1114</v>
      </c>
      <c r="G1010" s="14"/>
      <c r="H1010" s="8" t="s">
        <v>1359</v>
      </c>
      <c r="I1010" s="14"/>
      <c r="J1010" s="8" t="s">
        <v>1407</v>
      </c>
      <c r="K1010" s="8" t="s">
        <v>1414</v>
      </c>
      <c r="L1010" s="8"/>
      <c r="M1010" s="8" t="s">
        <v>397</v>
      </c>
      <c r="N1010" s="8" t="s">
        <v>1415</v>
      </c>
      <c r="O1010" s="8" t="s">
        <v>1416</v>
      </c>
      <c r="P1010" s="14"/>
      <c r="Q1010" s="14"/>
      <c r="R1010" s="17"/>
      <c r="S1010" s="17"/>
      <c r="T1010" s="8" t="s">
        <v>329</v>
      </c>
      <c r="U1010" s="11" t="s">
        <v>53</v>
      </c>
    </row>
    <row r="1011" spans="1:21">
      <c r="A1011" s="7">
        <v>240</v>
      </c>
      <c r="B1011" s="8" t="s">
        <v>280</v>
      </c>
      <c r="C1011" s="8" t="s">
        <v>280</v>
      </c>
      <c r="D1011" s="8"/>
      <c r="E1011" s="8"/>
      <c r="F1011" s="8" t="s">
        <v>1114</v>
      </c>
      <c r="G1011" s="14"/>
      <c r="H1011" s="8" t="s">
        <v>1359</v>
      </c>
      <c r="I1011" s="14"/>
      <c r="J1011" s="8" t="s">
        <v>1407</v>
      </c>
      <c r="K1011" s="8" t="s">
        <v>1417</v>
      </c>
      <c r="L1011" s="8"/>
      <c r="M1011" s="8" t="s">
        <v>397</v>
      </c>
      <c r="N1011" s="8" t="s">
        <v>1418</v>
      </c>
      <c r="O1011" s="8" t="s">
        <v>1419</v>
      </c>
      <c r="P1011" s="14"/>
      <c r="Q1011" s="14"/>
      <c r="R1011" s="17"/>
      <c r="S1011" s="17"/>
      <c r="T1011" s="8" t="s">
        <v>329</v>
      </c>
      <c r="U1011" s="11" t="s">
        <v>53</v>
      </c>
    </row>
    <row r="1012" spans="1:21">
      <c r="A1012" s="7">
        <v>241</v>
      </c>
      <c r="B1012" s="8" t="s">
        <v>281</v>
      </c>
      <c r="C1012" s="8" t="s">
        <v>281</v>
      </c>
      <c r="D1012" s="8"/>
      <c r="E1012" s="8"/>
      <c r="F1012" s="8" t="s">
        <v>1114</v>
      </c>
      <c r="G1012" s="14"/>
      <c r="H1012" s="8" t="s">
        <v>1359</v>
      </c>
      <c r="I1012" s="14"/>
      <c r="J1012" s="8" t="s">
        <v>1407</v>
      </c>
      <c r="K1012" s="8" t="s">
        <v>1420</v>
      </c>
      <c r="L1012" s="8"/>
      <c r="M1012" s="8" t="s">
        <v>397</v>
      </c>
      <c r="N1012" s="8" t="s">
        <v>1421</v>
      </c>
      <c r="O1012" s="8" t="s">
        <v>1422</v>
      </c>
      <c r="P1012" s="14"/>
      <c r="Q1012" s="14"/>
      <c r="R1012" s="17"/>
      <c r="S1012" s="17"/>
      <c r="T1012" s="8" t="s">
        <v>329</v>
      </c>
      <c r="U1012" s="11" t="s">
        <v>53</v>
      </c>
    </row>
    <row r="1013" spans="1:21">
      <c r="A1013" s="7">
        <v>242</v>
      </c>
      <c r="B1013" s="8" t="s">
        <v>282</v>
      </c>
      <c r="C1013" s="8" t="s">
        <v>282</v>
      </c>
      <c r="D1013" s="8"/>
      <c r="E1013" s="8"/>
      <c r="F1013" s="8" t="s">
        <v>1114</v>
      </c>
      <c r="G1013" s="14"/>
      <c r="H1013" s="8" t="s">
        <v>1359</v>
      </c>
      <c r="I1013" s="14"/>
      <c r="J1013" s="8" t="s">
        <v>1423</v>
      </c>
      <c r="K1013" s="8" t="s">
        <v>1424</v>
      </c>
      <c r="L1013" s="8"/>
      <c r="M1013" s="8" t="s">
        <v>397</v>
      </c>
      <c r="N1013" s="8" t="s">
        <v>1425</v>
      </c>
      <c r="O1013" s="8" t="s">
        <v>1426</v>
      </c>
      <c r="P1013" s="14"/>
      <c r="Q1013" s="14"/>
      <c r="R1013" s="17"/>
      <c r="S1013" s="17"/>
      <c r="T1013" s="8" t="s">
        <v>329</v>
      </c>
      <c r="U1013" s="11" t="s">
        <v>53</v>
      </c>
    </row>
    <row r="1014" spans="1:21">
      <c r="A1014" s="7">
        <v>243</v>
      </c>
      <c r="B1014" s="8" t="s">
        <v>283</v>
      </c>
      <c r="C1014" s="8" t="s">
        <v>283</v>
      </c>
      <c r="D1014" s="8"/>
      <c r="E1014" s="8"/>
      <c r="F1014" s="8" t="s">
        <v>1114</v>
      </c>
      <c r="G1014" s="14"/>
      <c r="H1014" s="8" t="s">
        <v>1359</v>
      </c>
      <c r="I1014" s="14"/>
      <c r="J1014" s="8" t="s">
        <v>1423</v>
      </c>
      <c r="K1014" s="8" t="s">
        <v>1427</v>
      </c>
      <c r="L1014" s="8"/>
      <c r="M1014" s="8" t="s">
        <v>397</v>
      </c>
      <c r="N1014" s="8" t="s">
        <v>1428</v>
      </c>
      <c r="O1014" s="8" t="s">
        <v>1429</v>
      </c>
      <c r="P1014" s="14"/>
      <c r="Q1014" s="14"/>
      <c r="R1014" s="17"/>
      <c r="S1014" s="17"/>
      <c r="T1014" s="8" t="s">
        <v>329</v>
      </c>
      <c r="U1014" s="11" t="s">
        <v>53</v>
      </c>
    </row>
    <row r="1015" spans="1:21">
      <c r="A1015" s="7">
        <v>244</v>
      </c>
      <c r="B1015" s="8" t="s">
        <v>284</v>
      </c>
      <c r="C1015" s="8" t="s">
        <v>284</v>
      </c>
      <c r="D1015" s="8"/>
      <c r="E1015" s="8"/>
      <c r="F1015" s="8" t="s">
        <v>1114</v>
      </c>
      <c r="G1015" s="14"/>
      <c r="H1015" s="8" t="s">
        <v>1359</v>
      </c>
      <c r="I1015" s="14"/>
      <c r="J1015" s="8" t="s">
        <v>1423</v>
      </c>
      <c r="K1015" s="8" t="s">
        <v>1430</v>
      </c>
      <c r="L1015" s="8"/>
      <c r="M1015" s="8" t="s">
        <v>397</v>
      </c>
      <c r="N1015" s="8" t="s">
        <v>1431</v>
      </c>
      <c r="O1015" s="8" t="s">
        <v>1432</v>
      </c>
      <c r="P1015" s="14"/>
      <c r="Q1015" s="14"/>
      <c r="R1015" s="17"/>
      <c r="S1015" s="17"/>
      <c r="T1015" s="8" t="s">
        <v>329</v>
      </c>
      <c r="U1015" s="11" t="s">
        <v>53</v>
      </c>
    </row>
    <row r="1016" spans="1:21">
      <c r="A1016" s="7">
        <v>245</v>
      </c>
      <c r="B1016" s="8" t="s">
        <v>285</v>
      </c>
      <c r="C1016" s="8" t="s">
        <v>285</v>
      </c>
      <c r="D1016" s="8"/>
      <c r="E1016" s="8"/>
      <c r="F1016" s="8" t="s">
        <v>394</v>
      </c>
      <c r="G1016" s="14"/>
      <c r="H1016" s="8" t="s">
        <v>453</v>
      </c>
      <c r="I1016" s="14"/>
      <c r="J1016" s="8" t="s">
        <v>1433</v>
      </c>
      <c r="K1016" s="8" t="s">
        <v>1434</v>
      </c>
      <c r="L1016" s="8"/>
      <c r="M1016" s="8" t="s">
        <v>397</v>
      </c>
      <c r="N1016" s="8" t="s">
        <v>1435</v>
      </c>
      <c r="O1016" s="8" t="s">
        <v>1436</v>
      </c>
      <c r="P1016" s="14"/>
      <c r="Q1016" s="14"/>
      <c r="R1016" s="17"/>
      <c r="S1016" s="17"/>
      <c r="T1016" s="8" t="s">
        <v>329</v>
      </c>
      <c r="U1016" s="11" t="s">
        <v>53</v>
      </c>
    </row>
    <row r="1017" spans="1:21">
      <c r="A1017" s="7">
        <v>246</v>
      </c>
      <c r="B1017" s="8" t="s">
        <v>286</v>
      </c>
      <c r="C1017" s="8" t="s">
        <v>286</v>
      </c>
      <c r="D1017" s="8"/>
      <c r="E1017" s="8"/>
      <c r="F1017" s="8" t="s">
        <v>394</v>
      </c>
      <c r="G1017" s="14"/>
      <c r="H1017" s="8" t="s">
        <v>453</v>
      </c>
      <c r="I1017" s="14"/>
      <c r="J1017" s="8" t="s">
        <v>1433</v>
      </c>
      <c r="K1017" s="8" t="s">
        <v>1437</v>
      </c>
      <c r="L1017" s="8"/>
      <c r="M1017" s="8" t="s">
        <v>397</v>
      </c>
      <c r="N1017" s="8" t="s">
        <v>1438</v>
      </c>
      <c r="O1017" s="8" t="s">
        <v>1439</v>
      </c>
      <c r="P1017" s="14"/>
      <c r="Q1017" s="14"/>
      <c r="R1017" s="17"/>
      <c r="S1017" s="17"/>
      <c r="T1017" s="8" t="s">
        <v>329</v>
      </c>
      <c r="U1017" s="11" t="s">
        <v>53</v>
      </c>
    </row>
    <row r="1018" spans="1:21">
      <c r="A1018" s="7">
        <v>247</v>
      </c>
      <c r="B1018" s="8" t="s">
        <v>287</v>
      </c>
      <c r="C1018" s="8" t="s">
        <v>287</v>
      </c>
      <c r="D1018" s="8"/>
      <c r="E1018" s="8"/>
      <c r="F1018" s="8" t="s">
        <v>394</v>
      </c>
      <c r="G1018" s="14"/>
      <c r="H1018" s="8" t="s">
        <v>453</v>
      </c>
      <c r="I1018" s="14"/>
      <c r="J1018" s="8" t="s">
        <v>1433</v>
      </c>
      <c r="K1018" s="8" t="s">
        <v>1440</v>
      </c>
      <c r="L1018" s="8"/>
      <c r="M1018" s="8" t="s">
        <v>397</v>
      </c>
      <c r="N1018" s="8" t="s">
        <v>1441</v>
      </c>
      <c r="O1018" s="8" t="s">
        <v>1442</v>
      </c>
      <c r="P1018" s="14"/>
      <c r="Q1018" s="14"/>
      <c r="R1018" s="17"/>
      <c r="S1018" s="17"/>
      <c r="T1018" s="8" t="s">
        <v>329</v>
      </c>
      <c r="U1018" s="11" t="s">
        <v>53</v>
      </c>
    </row>
    <row r="1019" spans="1:21">
      <c r="A1019" s="7">
        <v>248</v>
      </c>
      <c r="B1019" s="8" t="s">
        <v>288</v>
      </c>
      <c r="C1019" s="8" t="s">
        <v>288</v>
      </c>
      <c r="D1019" s="8"/>
      <c r="E1019" s="8"/>
      <c r="F1019" s="8" t="s">
        <v>394</v>
      </c>
      <c r="G1019" s="14"/>
      <c r="H1019" s="8" t="s">
        <v>453</v>
      </c>
      <c r="I1019" s="14"/>
      <c r="J1019" s="8" t="s">
        <v>1443</v>
      </c>
      <c r="K1019" s="8" t="s">
        <v>1444</v>
      </c>
      <c r="L1019" s="8"/>
      <c r="M1019" s="8" t="s">
        <v>397</v>
      </c>
      <c r="N1019" s="8" t="s">
        <v>1445</v>
      </c>
      <c r="O1019" s="8" t="s">
        <v>1446</v>
      </c>
      <c r="P1019" s="14"/>
      <c r="Q1019" s="14"/>
      <c r="R1019" s="17"/>
      <c r="S1019" s="17"/>
      <c r="T1019" s="8" t="s">
        <v>329</v>
      </c>
      <c r="U1019" s="11" t="s">
        <v>53</v>
      </c>
    </row>
    <row r="1020" spans="1:21">
      <c r="A1020" s="7">
        <v>249</v>
      </c>
      <c r="B1020" s="8" t="s">
        <v>289</v>
      </c>
      <c r="C1020" s="8" t="s">
        <v>289</v>
      </c>
      <c r="D1020" s="8"/>
      <c r="E1020" s="8"/>
      <c r="F1020" s="8" t="s">
        <v>394</v>
      </c>
      <c r="G1020" s="14"/>
      <c r="H1020" s="8" t="s">
        <v>453</v>
      </c>
      <c r="I1020" s="14"/>
      <c r="J1020" s="8" t="s">
        <v>1443</v>
      </c>
      <c r="K1020" s="8" t="s">
        <v>1447</v>
      </c>
      <c r="L1020" s="8"/>
      <c r="M1020" s="8" t="s">
        <v>397</v>
      </c>
      <c r="N1020" s="8" t="s">
        <v>1448</v>
      </c>
      <c r="O1020" s="8" t="s">
        <v>1449</v>
      </c>
      <c r="P1020" s="14"/>
      <c r="Q1020" s="14"/>
      <c r="R1020" s="17"/>
      <c r="S1020" s="17"/>
      <c r="T1020" s="8" t="s">
        <v>329</v>
      </c>
      <c r="U1020" s="11" t="s">
        <v>53</v>
      </c>
    </row>
    <row r="1021" spans="1:21">
      <c r="A1021" s="7">
        <v>250</v>
      </c>
      <c r="B1021" s="8" t="s">
        <v>290</v>
      </c>
      <c r="C1021" s="8" t="s">
        <v>290</v>
      </c>
      <c r="D1021" s="8"/>
      <c r="E1021" s="8"/>
      <c r="F1021" s="8" t="s">
        <v>1114</v>
      </c>
      <c r="G1021" s="14" t="str">
        <f>IFERROR(VLOOKUP(F1021,CATÁLOGOS!$A$6:$B$105,2,FALSE),"")</f>
        <v>🏠 Hogar y varios</v>
      </c>
      <c r="H1021" s="8" t="s">
        <v>1115</v>
      </c>
      <c r="I1021" s="14" t="str">
        <f>IFERROR(VLOOKUP(H1021,CATÁLOGOS!$F$6:$H$305,3,FALSE),"")</f>
        <v>Accesorios de baño</v>
      </c>
      <c r="J1021" s="8" t="s">
        <v>1443</v>
      </c>
      <c r="K1021" s="8" t="s">
        <v>1450</v>
      </c>
      <c r="L1021" s="8"/>
      <c r="M1021" s="8" t="s">
        <v>397</v>
      </c>
      <c r="N1021" s="8" t="s">
        <v>1451</v>
      </c>
      <c r="O1021" s="8" t="s">
        <v>1452</v>
      </c>
      <c r="P1021" s="14"/>
      <c r="Q1021" s="14"/>
      <c r="R1021" s="17"/>
      <c r="S1021" s="17"/>
      <c r="T1021" s="8" t="s">
        <v>329</v>
      </c>
      <c r="U1021" s="11" t="s">
        <v>53</v>
      </c>
    </row>
    <row r="1022" spans="1:21">
      <c r="A1022" s="7">
        <v>251</v>
      </c>
      <c r="B1022" s="8" t="s">
        <v>291</v>
      </c>
      <c r="C1022" s="8" t="s">
        <v>291</v>
      </c>
      <c r="D1022" s="8"/>
      <c r="E1022" s="8"/>
      <c r="F1022" s="8" t="s">
        <v>904</v>
      </c>
      <c r="G1022" s="14"/>
      <c r="H1022" s="8" t="s">
        <v>905</v>
      </c>
      <c r="I1022" s="14"/>
      <c r="J1022" s="8" t="s">
        <v>1443</v>
      </c>
      <c r="K1022" s="8" t="s">
        <v>1453</v>
      </c>
      <c r="L1022" s="8"/>
      <c r="M1022" s="8" t="s">
        <v>397</v>
      </c>
      <c r="N1022" s="8" t="s">
        <v>1454</v>
      </c>
      <c r="O1022" s="8" t="s">
        <v>1455</v>
      </c>
      <c r="P1022" s="14"/>
      <c r="Q1022" s="14"/>
      <c r="R1022" s="17"/>
      <c r="S1022" s="17"/>
      <c r="T1022" s="8" t="s">
        <v>329</v>
      </c>
      <c r="U1022" s="11" t="s">
        <v>53</v>
      </c>
    </row>
    <row r="1023" spans="1:21">
      <c r="A1023" s="7">
        <v>252</v>
      </c>
      <c r="B1023" s="8" t="s">
        <v>292</v>
      </c>
      <c r="C1023" s="8" t="s">
        <v>292</v>
      </c>
      <c r="D1023" s="8"/>
      <c r="E1023" s="8"/>
      <c r="F1023" s="8" t="s">
        <v>904</v>
      </c>
      <c r="G1023" s="14"/>
      <c r="H1023" s="8" t="s">
        <v>905</v>
      </c>
      <c r="I1023" s="14"/>
      <c r="J1023" s="8" t="s">
        <v>1443</v>
      </c>
      <c r="K1023" s="8" t="s">
        <v>1456</v>
      </c>
      <c r="L1023" s="8"/>
      <c r="M1023" s="8" t="s">
        <v>397</v>
      </c>
      <c r="N1023" s="8" t="s">
        <v>1457</v>
      </c>
      <c r="O1023" s="8" t="s">
        <v>1458</v>
      </c>
      <c r="P1023" s="14"/>
      <c r="Q1023" s="14"/>
      <c r="R1023" s="17"/>
      <c r="S1023" s="17"/>
      <c r="T1023" s="8" t="s">
        <v>329</v>
      </c>
      <c r="U1023" s="11" t="s">
        <v>53</v>
      </c>
    </row>
    <row r="1024" spans="1:21">
      <c r="A1024" s="7">
        <v>253</v>
      </c>
      <c r="B1024" s="8" t="s">
        <v>293</v>
      </c>
      <c r="C1024" s="8" t="s">
        <v>293</v>
      </c>
      <c r="D1024" s="8"/>
      <c r="E1024" s="8"/>
      <c r="F1024" s="8" t="s">
        <v>904</v>
      </c>
      <c r="G1024" s="14"/>
      <c r="H1024" s="8" t="s">
        <v>905</v>
      </c>
      <c r="I1024" s="14"/>
      <c r="J1024" s="8" t="s">
        <v>1443</v>
      </c>
      <c r="K1024" s="8" t="s">
        <v>1459</v>
      </c>
      <c r="L1024" s="8"/>
      <c r="M1024" s="8" t="s">
        <v>397</v>
      </c>
      <c r="N1024" s="8" t="s">
        <v>1460</v>
      </c>
      <c r="O1024" s="8" t="s">
        <v>1461</v>
      </c>
      <c r="P1024" s="14"/>
      <c r="Q1024" s="14"/>
      <c r="R1024" s="17"/>
      <c r="S1024" s="17"/>
      <c r="T1024" s="8" t="s">
        <v>329</v>
      </c>
      <c r="U1024" s="11" t="s">
        <v>53</v>
      </c>
    </row>
    <row r="1025" spans="1:21">
      <c r="A1025" s="7">
        <v>254</v>
      </c>
      <c r="B1025" s="8" t="s">
        <v>294</v>
      </c>
      <c r="C1025" s="8" t="s">
        <v>294</v>
      </c>
      <c r="D1025" s="8"/>
      <c r="E1025" s="8"/>
      <c r="F1025" s="8" t="s">
        <v>321</v>
      </c>
      <c r="G1025" s="14" t="str">
        <f>IFERROR(VLOOKUP(F1025,CATÁLOGOS!$A$6:$B$105,2,FALSE),"")</f>
        <v>Nuestros productos</v>
      </c>
      <c r="H1025" s="8" t="s">
        <v>331</v>
      </c>
      <c r="I1025" s="14" t="str">
        <f>IFERROR(VLOOKUP(H1025,CATÁLOGOS!$F$6:$H$305,3,FALSE),"")</f>
        <v>Detergentes y Lavavajillas</v>
      </c>
      <c r="J1025" s="8" t="s">
        <v>1443</v>
      </c>
      <c r="K1025" s="8" t="s">
        <v>1462</v>
      </c>
      <c r="L1025" s="8"/>
      <c r="M1025" s="8" t="s">
        <v>1405</v>
      </c>
      <c r="N1025" s="8" t="s">
        <v>1463</v>
      </c>
      <c r="O1025" s="8" t="s">
        <v>1464</v>
      </c>
      <c r="P1025" s="14"/>
      <c r="Q1025" s="14"/>
      <c r="R1025" s="17"/>
      <c r="S1025" s="17"/>
      <c r="T1025" s="8" t="s">
        <v>329</v>
      </c>
      <c r="U1025" s="11" t="s">
        <v>53</v>
      </c>
    </row>
    <row r="1026" spans="1:21">
      <c r="A1026" s="7">
        <v>255</v>
      </c>
      <c r="B1026" s="8" t="s">
        <v>295</v>
      </c>
      <c r="C1026" s="8" t="s">
        <v>295</v>
      </c>
      <c r="D1026" s="8"/>
      <c r="E1026" s="8"/>
      <c r="F1026" s="8" t="s">
        <v>321</v>
      </c>
      <c r="G1026" s="14" t="str">
        <f>IFERROR(VLOOKUP(F1026,CATÁLOGOS!$A$6:$B$105,2,FALSE),"")</f>
        <v>Nuestros productos</v>
      </c>
      <c r="H1026" s="8" t="s">
        <v>373</v>
      </c>
      <c r="I1026" s="14" t="str">
        <f>IFERROR(VLOOKUP(H1026,CATÁLOGOS!$F$6:$H$305,3,FALSE),"")</f>
        <v>Desengrasantes</v>
      </c>
      <c r="J1026" s="8" t="s">
        <v>1443</v>
      </c>
      <c r="K1026" s="8" t="s">
        <v>1465</v>
      </c>
      <c r="L1026" s="8"/>
      <c r="M1026" s="8" t="s">
        <v>1405</v>
      </c>
      <c r="N1026" s="8" t="s">
        <v>1466</v>
      </c>
      <c r="O1026" s="8" t="s">
        <v>1467</v>
      </c>
      <c r="P1026" s="14"/>
      <c r="Q1026" s="14"/>
      <c r="R1026" s="17"/>
      <c r="S1026" s="17"/>
      <c r="T1026" s="8" t="s">
        <v>329</v>
      </c>
      <c r="U1026" s="11" t="s">
        <v>53</v>
      </c>
    </row>
    <row r="1027" spans="1:21">
      <c r="A1027" s="7">
        <v>256</v>
      </c>
      <c r="B1027" s="8" t="s">
        <v>296</v>
      </c>
      <c r="C1027" s="8" t="s">
        <v>296</v>
      </c>
      <c r="D1027" s="8"/>
      <c r="E1027" s="8"/>
      <c r="F1027" s="8" t="s">
        <v>904</v>
      </c>
      <c r="G1027" s="14"/>
      <c r="H1027" s="8" t="s">
        <v>905</v>
      </c>
      <c r="I1027" s="14"/>
      <c r="J1027" s="8" t="s">
        <v>1443</v>
      </c>
      <c r="K1027" s="8" t="s">
        <v>1468</v>
      </c>
      <c r="L1027" s="8"/>
      <c r="M1027" s="8" t="s">
        <v>397</v>
      </c>
      <c r="N1027" s="8" t="s">
        <v>1469</v>
      </c>
      <c r="O1027" s="8" t="s">
        <v>1470</v>
      </c>
      <c r="P1027" s="14"/>
      <c r="Q1027" s="14"/>
      <c r="R1027" s="17"/>
      <c r="S1027" s="17"/>
      <c r="T1027" s="8" t="s">
        <v>329</v>
      </c>
      <c r="U1027" s="11" t="s">
        <v>53</v>
      </c>
    </row>
    <row r="1028" spans="1:21">
      <c r="A1028" s="7">
        <v>257</v>
      </c>
      <c r="B1028" s="8" t="s">
        <v>297</v>
      </c>
      <c r="C1028" s="8" t="s">
        <v>297</v>
      </c>
      <c r="D1028" s="8"/>
      <c r="E1028" s="8"/>
      <c r="F1028" s="8" t="s">
        <v>904</v>
      </c>
      <c r="G1028" s="14"/>
      <c r="H1028" s="8" t="s">
        <v>905</v>
      </c>
      <c r="I1028" s="14"/>
      <c r="J1028" s="8" t="s">
        <v>1443</v>
      </c>
      <c r="K1028" s="8" t="s">
        <v>1471</v>
      </c>
      <c r="L1028" s="8"/>
      <c r="M1028" s="8" t="s">
        <v>397</v>
      </c>
      <c r="N1028" s="8" t="s">
        <v>1472</v>
      </c>
      <c r="O1028" s="8" t="s">
        <v>1473</v>
      </c>
      <c r="P1028" s="14"/>
      <c r="Q1028" s="14"/>
      <c r="R1028" s="17"/>
      <c r="S1028" s="17"/>
      <c r="T1028" s="8" t="s">
        <v>329</v>
      </c>
      <c r="U1028" s="11" t="s">
        <v>53</v>
      </c>
    </row>
  </sheetData>
  <mergeCells count="2">
    <mergeCell ref="A1:U1"/>
    <mergeCell ref="A2:U2"/>
  </mergeCells>
  <dataValidations count="2">
    <dataValidation type="list" sqref="T5:T1028" xr:uid="{00000000-0002-0000-0000-000000000000}">
      <formula1>"Activo,Inactivo"</formula1>
    </dataValidation>
    <dataValidation type="list" sqref="U5:U1028" xr:uid="{00000000-0002-0000-0000-000001000000}">
      <formula1>"SI,NO"</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14"/>
  <sheetViews>
    <sheetView showGridLines="0" topLeftCell="A240" zoomScale="55" zoomScaleNormal="55" workbookViewId="0">
      <selection activeCell="D270" sqref="D270"/>
    </sheetView>
  </sheetViews>
  <sheetFormatPr defaultRowHeight="13.8"/>
  <cols>
    <col min="1" max="1" width="15" customWidth="1"/>
    <col min="2" max="2" width="14" customWidth="1"/>
    <col min="3" max="3" width="16" customWidth="1"/>
    <col min="4" max="4" width="20" customWidth="1"/>
    <col min="5" max="5" width="18" customWidth="1"/>
    <col min="6" max="7" width="20" customWidth="1"/>
    <col min="8" max="8" width="16" customWidth="1"/>
    <col min="9" max="9" width="18" customWidth="1"/>
    <col min="10" max="11" width="20" customWidth="1"/>
    <col min="12" max="12" width="18" customWidth="1"/>
  </cols>
  <sheetData>
    <row r="1" spans="1:12" ht="30" customHeight="1">
      <c r="A1" s="78" t="s">
        <v>0</v>
      </c>
      <c r="B1" s="74"/>
      <c r="C1" s="74"/>
      <c r="D1" s="74"/>
      <c r="E1" s="74"/>
      <c r="F1" s="74"/>
      <c r="G1" s="74"/>
      <c r="H1" s="74"/>
      <c r="I1" s="74"/>
      <c r="J1" s="74"/>
      <c r="K1" s="33"/>
      <c r="L1" s="33"/>
    </row>
    <row r="2" spans="1:12" ht="24" customHeight="1">
      <c r="A2" s="80" t="s">
        <v>1</v>
      </c>
      <c r="B2" s="74"/>
      <c r="C2" s="74"/>
      <c r="D2" s="74"/>
      <c r="E2" s="74"/>
      <c r="F2" s="74"/>
      <c r="G2" s="74"/>
      <c r="H2" s="74"/>
      <c r="I2" s="74"/>
      <c r="J2" s="74"/>
      <c r="K2" s="34"/>
      <c r="L2" s="34"/>
    </row>
    <row r="3" spans="1:12">
      <c r="A3" s="37"/>
      <c r="B3" s="37"/>
      <c r="C3" s="37"/>
      <c r="D3" s="37"/>
      <c r="E3" s="37"/>
      <c r="F3" s="37"/>
      <c r="G3" s="37"/>
      <c r="H3" s="37"/>
      <c r="I3" s="37"/>
      <c r="J3" s="37"/>
      <c r="K3" s="37"/>
      <c r="L3" s="37"/>
    </row>
    <row r="4" spans="1:12" ht="25.95" customHeight="1">
      <c r="A4" s="35" t="s">
        <v>2</v>
      </c>
      <c r="B4" s="35" t="s">
        <v>3</v>
      </c>
      <c r="C4" s="35" t="s">
        <v>4</v>
      </c>
      <c r="D4" s="35" t="s">
        <v>5</v>
      </c>
      <c r="E4" s="37"/>
      <c r="F4" s="79" t="s">
        <v>6</v>
      </c>
      <c r="G4" s="74"/>
      <c r="H4" s="74"/>
      <c r="I4" s="74"/>
      <c r="J4" s="74"/>
      <c r="K4" s="37"/>
      <c r="L4" s="37"/>
    </row>
    <row r="5" spans="1:12">
      <c r="A5" s="38" t="s">
        <v>7</v>
      </c>
      <c r="B5" s="39">
        <v>0.33300000000000002</v>
      </c>
      <c r="C5" s="38" t="s">
        <v>8</v>
      </c>
      <c r="D5" s="38" t="s">
        <v>9</v>
      </c>
      <c r="E5" s="37"/>
      <c r="F5" s="37"/>
      <c r="G5" s="37"/>
      <c r="H5" s="37"/>
      <c r="I5" s="37"/>
      <c r="J5" s="37"/>
      <c r="K5" s="37"/>
      <c r="L5" s="37"/>
    </row>
    <row r="6" spans="1:12">
      <c r="A6" s="38" t="s">
        <v>10</v>
      </c>
      <c r="B6" s="40">
        <v>4</v>
      </c>
      <c r="C6" s="38" t="s">
        <v>11</v>
      </c>
      <c r="D6" s="38" t="s">
        <v>12</v>
      </c>
      <c r="E6" s="37"/>
      <c r="F6" s="37"/>
      <c r="G6" s="37"/>
      <c r="H6" s="37"/>
      <c r="I6" s="37"/>
      <c r="J6" s="37"/>
      <c r="K6" s="37"/>
      <c r="L6" s="37"/>
    </row>
    <row r="7" spans="1:12">
      <c r="A7" s="38" t="s">
        <v>13</v>
      </c>
      <c r="B7" s="41">
        <v>100</v>
      </c>
      <c r="C7" s="38" t="s">
        <v>14</v>
      </c>
      <c r="D7" s="38" t="s">
        <v>15</v>
      </c>
      <c r="E7" s="37"/>
      <c r="F7" s="37"/>
      <c r="G7" s="37"/>
      <c r="H7" s="37"/>
      <c r="I7" s="37"/>
      <c r="J7" s="37"/>
      <c r="K7" s="37"/>
      <c r="L7" s="37"/>
    </row>
    <row r="8" spans="1:12">
      <c r="A8" s="38" t="s">
        <v>16</v>
      </c>
      <c r="B8" s="41">
        <v>100</v>
      </c>
      <c r="C8" s="38" t="s">
        <v>14</v>
      </c>
      <c r="D8" s="38" t="s">
        <v>17</v>
      </c>
      <c r="E8" s="37"/>
      <c r="F8" s="37"/>
      <c r="G8" s="37"/>
      <c r="H8" s="37"/>
      <c r="I8" s="37"/>
      <c r="J8" s="37"/>
      <c r="K8" s="37"/>
      <c r="L8" s="37"/>
    </row>
    <row r="9" spans="1:12">
      <c r="A9" s="38" t="s">
        <v>18</v>
      </c>
      <c r="B9" s="41">
        <v>100</v>
      </c>
      <c r="C9" s="38" t="s">
        <v>14</v>
      </c>
      <c r="D9" s="38" t="s">
        <v>19</v>
      </c>
      <c r="E9" s="37"/>
      <c r="F9" s="37"/>
      <c r="G9" s="37"/>
      <c r="H9" s="37"/>
      <c r="I9" s="37"/>
      <c r="J9" s="37"/>
      <c r="K9" s="37"/>
      <c r="L9" s="37"/>
    </row>
    <row r="10" spans="1:12">
      <c r="A10" s="38" t="s">
        <v>20</v>
      </c>
      <c r="B10" s="42">
        <v>0</v>
      </c>
      <c r="C10" s="38" t="s">
        <v>8</v>
      </c>
      <c r="D10" s="38" t="s">
        <v>21</v>
      </c>
      <c r="E10" s="37"/>
      <c r="F10" s="37"/>
      <c r="G10" s="37"/>
      <c r="H10" s="37"/>
      <c r="I10" s="37"/>
      <c r="J10" s="37"/>
      <c r="K10" s="37"/>
      <c r="L10" s="37"/>
    </row>
    <row r="11" spans="1:12">
      <c r="A11" s="38" t="s">
        <v>22</v>
      </c>
      <c r="B11" s="41">
        <v>1000</v>
      </c>
      <c r="C11" s="38" t="s">
        <v>23</v>
      </c>
      <c r="D11" s="38" t="s">
        <v>24</v>
      </c>
      <c r="E11" s="37"/>
      <c r="F11" s="37"/>
      <c r="G11" s="37"/>
      <c r="H11" s="37"/>
      <c r="I11" s="37"/>
      <c r="J11" s="37"/>
      <c r="K11" s="37"/>
      <c r="L11" s="37"/>
    </row>
    <row r="12" spans="1:12">
      <c r="A12" s="37"/>
      <c r="B12" s="37"/>
      <c r="C12" s="37"/>
      <c r="D12" s="37"/>
      <c r="E12" s="37"/>
      <c r="F12" s="37"/>
      <c r="G12" s="37"/>
      <c r="H12" s="37"/>
      <c r="I12" s="37"/>
      <c r="J12" s="37"/>
      <c r="K12" s="37"/>
      <c r="L12" s="37"/>
    </row>
    <row r="13" spans="1:12">
      <c r="A13" s="37"/>
      <c r="B13" s="37"/>
      <c r="C13" s="37"/>
      <c r="D13" s="37"/>
      <c r="E13" s="37"/>
      <c r="F13" s="37"/>
      <c r="G13" s="37"/>
      <c r="H13" s="37"/>
      <c r="I13" s="37"/>
      <c r="J13" s="37"/>
      <c r="K13" s="37"/>
      <c r="L13" s="37"/>
    </row>
    <row r="14" spans="1:12" ht="34.049999999999997" customHeight="1">
      <c r="A14" s="36" t="s">
        <v>25</v>
      </c>
      <c r="B14" s="36" t="s">
        <v>26</v>
      </c>
      <c r="C14" s="36" t="s">
        <v>27</v>
      </c>
      <c r="D14" s="36" t="s">
        <v>28</v>
      </c>
      <c r="E14" s="36" t="s">
        <v>29</v>
      </c>
      <c r="F14" s="36" t="s">
        <v>30</v>
      </c>
      <c r="G14" s="36" t="s">
        <v>31</v>
      </c>
      <c r="H14" s="36" t="s">
        <v>32</v>
      </c>
      <c r="I14" s="36" t="s">
        <v>33</v>
      </c>
      <c r="J14" s="36" t="s">
        <v>34</v>
      </c>
      <c r="K14" s="36" t="s">
        <v>35</v>
      </c>
      <c r="L14" s="36" t="s">
        <v>36</v>
      </c>
    </row>
    <row r="15" spans="1:12">
      <c r="A15" s="43" t="s">
        <v>37</v>
      </c>
      <c r="B15" s="44">
        <v>1150</v>
      </c>
      <c r="C15" s="45" t="s">
        <v>38</v>
      </c>
      <c r="D15" s="41">
        <v>1000</v>
      </c>
      <c r="E15" s="46">
        <f t="shared" ref="E15:E78" si="0">IF(A15="","",IF(C15="NO",0,IF(D15&lt;&gt;"",D15,$B$11)))</f>
        <v>1000</v>
      </c>
      <c r="F15" s="46">
        <f t="shared" ref="F15:F78" si="1">IF(A15="","",$B$7/$B$6)</f>
        <v>25</v>
      </c>
      <c r="G15" s="46">
        <f t="shared" ref="G15:G78" si="2">IF(A15="","",($B$8-$B$9)/$B$6)</f>
        <v>0</v>
      </c>
      <c r="H15" s="47">
        <f t="shared" ref="H15:H78" si="3">IF(A15="","",$B$10)</f>
        <v>0</v>
      </c>
      <c r="I15" s="47">
        <f t="shared" ref="I15:I78" si="4">IF(A15="","",$B$5)</f>
        <v>0.33300000000000002</v>
      </c>
      <c r="J15" s="46">
        <f t="shared" ref="J15:J78" si="5">IF(OR(A15="",B15=""),"",ROUND((B15+E15+F15+G15)/(1-H15-I15),-1))</f>
        <v>3260</v>
      </c>
      <c r="K15" s="46">
        <f t="shared" ref="K15:K78" si="6">IF(J15="","",J15-B15-E15-F15-G15-(J15*H15))</f>
        <v>1085</v>
      </c>
      <c r="L15" s="48">
        <f t="shared" ref="L15:L78" si="7">IF(J15="","",K15/J15)</f>
        <v>0.33282208588957057</v>
      </c>
    </row>
    <row r="16" spans="1:12">
      <c r="A16" s="43" t="s">
        <v>39</v>
      </c>
      <c r="B16" s="44">
        <v>9000</v>
      </c>
      <c r="C16" s="45" t="s">
        <v>38</v>
      </c>
      <c r="D16" s="41">
        <v>1000</v>
      </c>
      <c r="E16" s="46">
        <f t="shared" si="0"/>
        <v>1000</v>
      </c>
      <c r="F16" s="46">
        <f t="shared" si="1"/>
        <v>25</v>
      </c>
      <c r="G16" s="46">
        <f t="shared" si="2"/>
        <v>0</v>
      </c>
      <c r="H16" s="47">
        <f t="shared" si="3"/>
        <v>0</v>
      </c>
      <c r="I16" s="47">
        <f t="shared" si="4"/>
        <v>0.33300000000000002</v>
      </c>
      <c r="J16" s="46">
        <f t="shared" si="5"/>
        <v>15030</v>
      </c>
      <c r="K16" s="46">
        <f t="shared" si="6"/>
        <v>5005</v>
      </c>
      <c r="L16" s="48">
        <f t="shared" si="7"/>
        <v>0.33300066533599465</v>
      </c>
    </row>
    <row r="17" spans="1:12">
      <c r="A17" s="43" t="s">
        <v>40</v>
      </c>
      <c r="B17" s="44">
        <v>2750</v>
      </c>
      <c r="C17" s="45" t="s">
        <v>38</v>
      </c>
      <c r="D17" s="41">
        <v>1000</v>
      </c>
      <c r="E17" s="46">
        <f t="shared" si="0"/>
        <v>1000</v>
      </c>
      <c r="F17" s="46">
        <f t="shared" si="1"/>
        <v>25</v>
      </c>
      <c r="G17" s="46">
        <f t="shared" si="2"/>
        <v>0</v>
      </c>
      <c r="H17" s="47">
        <f t="shared" si="3"/>
        <v>0</v>
      </c>
      <c r="I17" s="47">
        <f t="shared" si="4"/>
        <v>0.33300000000000002</v>
      </c>
      <c r="J17" s="46">
        <f t="shared" si="5"/>
        <v>5660</v>
      </c>
      <c r="K17" s="46">
        <f t="shared" si="6"/>
        <v>1885</v>
      </c>
      <c r="L17" s="48">
        <f t="shared" si="7"/>
        <v>0.33303886925795051</v>
      </c>
    </row>
    <row r="18" spans="1:12">
      <c r="A18" s="43" t="s">
        <v>41</v>
      </c>
      <c r="B18" s="44">
        <v>3250</v>
      </c>
      <c r="C18" s="45" t="s">
        <v>38</v>
      </c>
      <c r="D18" s="41">
        <v>1000</v>
      </c>
      <c r="E18" s="46">
        <f t="shared" si="0"/>
        <v>1000</v>
      </c>
      <c r="F18" s="46">
        <f t="shared" si="1"/>
        <v>25</v>
      </c>
      <c r="G18" s="46">
        <f t="shared" si="2"/>
        <v>0</v>
      </c>
      <c r="H18" s="47">
        <f t="shared" si="3"/>
        <v>0</v>
      </c>
      <c r="I18" s="47">
        <f t="shared" si="4"/>
        <v>0.33300000000000002</v>
      </c>
      <c r="J18" s="46">
        <f t="shared" si="5"/>
        <v>6410</v>
      </c>
      <c r="K18" s="46">
        <f t="shared" si="6"/>
        <v>2135</v>
      </c>
      <c r="L18" s="48">
        <f t="shared" si="7"/>
        <v>0.3330733229329173</v>
      </c>
    </row>
    <row r="19" spans="1:12">
      <c r="A19" s="43" t="s">
        <v>42</v>
      </c>
      <c r="B19" s="44">
        <v>2250</v>
      </c>
      <c r="C19" s="45" t="s">
        <v>38</v>
      </c>
      <c r="D19" s="41">
        <v>1000</v>
      </c>
      <c r="E19" s="46">
        <f t="shared" si="0"/>
        <v>1000</v>
      </c>
      <c r="F19" s="46">
        <f t="shared" si="1"/>
        <v>25</v>
      </c>
      <c r="G19" s="46">
        <f t="shared" si="2"/>
        <v>0</v>
      </c>
      <c r="H19" s="47">
        <f t="shared" si="3"/>
        <v>0</v>
      </c>
      <c r="I19" s="47">
        <f t="shared" si="4"/>
        <v>0.33300000000000002</v>
      </c>
      <c r="J19" s="46">
        <f t="shared" si="5"/>
        <v>4910</v>
      </c>
      <c r="K19" s="46">
        <f t="shared" si="6"/>
        <v>1635</v>
      </c>
      <c r="L19" s="48">
        <f t="shared" si="7"/>
        <v>0.33299389002036661</v>
      </c>
    </row>
    <row r="20" spans="1:12">
      <c r="A20" s="43" t="s">
        <v>43</v>
      </c>
      <c r="B20" s="44">
        <v>1650</v>
      </c>
      <c r="C20" s="45" t="s">
        <v>38</v>
      </c>
      <c r="D20" s="41">
        <v>1000</v>
      </c>
      <c r="E20" s="46">
        <f t="shared" si="0"/>
        <v>1000</v>
      </c>
      <c r="F20" s="46">
        <f t="shared" si="1"/>
        <v>25</v>
      </c>
      <c r="G20" s="46">
        <f t="shared" si="2"/>
        <v>0</v>
      </c>
      <c r="H20" s="47">
        <f t="shared" si="3"/>
        <v>0</v>
      </c>
      <c r="I20" s="47">
        <f t="shared" si="4"/>
        <v>0.33300000000000002</v>
      </c>
      <c r="J20" s="46">
        <f t="shared" si="5"/>
        <v>4010</v>
      </c>
      <c r="K20" s="46">
        <f t="shared" si="6"/>
        <v>1335</v>
      </c>
      <c r="L20" s="48">
        <f t="shared" si="7"/>
        <v>0.33291770573566087</v>
      </c>
    </row>
    <row r="21" spans="1:12">
      <c r="A21" s="43" t="s">
        <v>44</v>
      </c>
      <c r="B21" s="44">
        <v>20000</v>
      </c>
      <c r="C21" s="45" t="s">
        <v>38</v>
      </c>
      <c r="D21" s="41">
        <v>1000</v>
      </c>
      <c r="E21" s="46">
        <f t="shared" si="0"/>
        <v>1000</v>
      </c>
      <c r="F21" s="46">
        <f t="shared" si="1"/>
        <v>25</v>
      </c>
      <c r="G21" s="46">
        <f t="shared" si="2"/>
        <v>0</v>
      </c>
      <c r="H21" s="47">
        <f t="shared" si="3"/>
        <v>0</v>
      </c>
      <c r="I21" s="47">
        <f t="shared" si="4"/>
        <v>0.33300000000000002</v>
      </c>
      <c r="J21" s="46">
        <f t="shared" si="5"/>
        <v>31520</v>
      </c>
      <c r="K21" s="46">
        <f t="shared" si="6"/>
        <v>10495</v>
      </c>
      <c r="L21" s="48">
        <f t="shared" si="7"/>
        <v>0.33296319796954316</v>
      </c>
    </row>
    <row r="22" spans="1:12">
      <c r="A22" s="43" t="s">
        <v>45</v>
      </c>
      <c r="B22" s="44">
        <v>2200</v>
      </c>
      <c r="C22" s="45" t="s">
        <v>38</v>
      </c>
      <c r="D22" s="41">
        <v>1000</v>
      </c>
      <c r="E22" s="46">
        <f t="shared" si="0"/>
        <v>1000</v>
      </c>
      <c r="F22" s="46">
        <f t="shared" si="1"/>
        <v>25</v>
      </c>
      <c r="G22" s="46">
        <f t="shared" si="2"/>
        <v>0</v>
      </c>
      <c r="H22" s="47">
        <f t="shared" si="3"/>
        <v>0</v>
      </c>
      <c r="I22" s="47">
        <f t="shared" si="4"/>
        <v>0.33300000000000002</v>
      </c>
      <c r="J22" s="46">
        <f t="shared" si="5"/>
        <v>4840</v>
      </c>
      <c r="K22" s="46">
        <f t="shared" si="6"/>
        <v>1615</v>
      </c>
      <c r="L22" s="48">
        <f t="shared" si="7"/>
        <v>0.33367768595041325</v>
      </c>
    </row>
    <row r="23" spans="1:12">
      <c r="A23" s="43" t="s">
        <v>46</v>
      </c>
      <c r="B23" s="44">
        <v>16000</v>
      </c>
      <c r="C23" s="45" t="s">
        <v>38</v>
      </c>
      <c r="D23" s="41">
        <v>1000</v>
      </c>
      <c r="E23" s="46">
        <f t="shared" si="0"/>
        <v>1000</v>
      </c>
      <c r="F23" s="46">
        <f t="shared" si="1"/>
        <v>25</v>
      </c>
      <c r="G23" s="46">
        <f t="shared" si="2"/>
        <v>0</v>
      </c>
      <c r="H23" s="47">
        <f t="shared" si="3"/>
        <v>0</v>
      </c>
      <c r="I23" s="47">
        <f t="shared" si="4"/>
        <v>0.33300000000000002</v>
      </c>
      <c r="J23" s="46">
        <f t="shared" si="5"/>
        <v>25520</v>
      </c>
      <c r="K23" s="46">
        <f t="shared" si="6"/>
        <v>8495</v>
      </c>
      <c r="L23" s="48">
        <f t="shared" si="7"/>
        <v>0.33287617554858934</v>
      </c>
    </row>
    <row r="24" spans="1:12">
      <c r="A24" s="43" t="s">
        <v>47</v>
      </c>
      <c r="B24" s="44">
        <v>4600</v>
      </c>
      <c r="C24" s="45" t="s">
        <v>38</v>
      </c>
      <c r="D24" s="41">
        <v>1000</v>
      </c>
      <c r="E24" s="46">
        <f t="shared" si="0"/>
        <v>1000</v>
      </c>
      <c r="F24" s="46">
        <f t="shared" si="1"/>
        <v>25</v>
      </c>
      <c r="G24" s="46">
        <f t="shared" si="2"/>
        <v>0</v>
      </c>
      <c r="H24" s="47">
        <f t="shared" si="3"/>
        <v>0</v>
      </c>
      <c r="I24" s="47">
        <f t="shared" si="4"/>
        <v>0.33300000000000002</v>
      </c>
      <c r="J24" s="46">
        <f t="shared" si="5"/>
        <v>8430</v>
      </c>
      <c r="K24" s="46">
        <f t="shared" si="6"/>
        <v>2805</v>
      </c>
      <c r="L24" s="48">
        <f t="shared" si="7"/>
        <v>0.33274021352313166</v>
      </c>
    </row>
    <row r="25" spans="1:12">
      <c r="A25" s="43" t="s">
        <v>48</v>
      </c>
      <c r="B25" s="44">
        <v>5400</v>
      </c>
      <c r="C25" s="45" t="s">
        <v>38</v>
      </c>
      <c r="D25" s="41">
        <v>1000</v>
      </c>
      <c r="E25" s="46">
        <f t="shared" si="0"/>
        <v>1000</v>
      </c>
      <c r="F25" s="46">
        <f t="shared" si="1"/>
        <v>25</v>
      </c>
      <c r="G25" s="46">
        <f t="shared" si="2"/>
        <v>0</v>
      </c>
      <c r="H25" s="47">
        <f t="shared" si="3"/>
        <v>0</v>
      </c>
      <c r="I25" s="47">
        <f t="shared" si="4"/>
        <v>0.33300000000000002</v>
      </c>
      <c r="J25" s="46">
        <f t="shared" si="5"/>
        <v>9630</v>
      </c>
      <c r="K25" s="46">
        <f t="shared" si="6"/>
        <v>3205</v>
      </c>
      <c r="L25" s="48">
        <f t="shared" si="7"/>
        <v>0.3328141225337487</v>
      </c>
    </row>
    <row r="26" spans="1:12">
      <c r="A26" s="43" t="s">
        <v>49</v>
      </c>
      <c r="B26" s="44">
        <v>5400</v>
      </c>
      <c r="C26" s="45" t="s">
        <v>38</v>
      </c>
      <c r="D26" s="41">
        <v>1000</v>
      </c>
      <c r="E26" s="46">
        <f t="shared" si="0"/>
        <v>1000</v>
      </c>
      <c r="F26" s="46">
        <f t="shared" si="1"/>
        <v>25</v>
      </c>
      <c r="G26" s="46">
        <f t="shared" si="2"/>
        <v>0</v>
      </c>
      <c r="H26" s="47">
        <f t="shared" si="3"/>
        <v>0</v>
      </c>
      <c r="I26" s="47">
        <f t="shared" si="4"/>
        <v>0.33300000000000002</v>
      </c>
      <c r="J26" s="46">
        <f t="shared" si="5"/>
        <v>9630</v>
      </c>
      <c r="K26" s="46">
        <f t="shared" si="6"/>
        <v>3205</v>
      </c>
      <c r="L26" s="48">
        <f t="shared" si="7"/>
        <v>0.3328141225337487</v>
      </c>
    </row>
    <row r="27" spans="1:12">
      <c r="A27" s="43" t="s">
        <v>50</v>
      </c>
      <c r="B27" s="44">
        <v>5400</v>
      </c>
      <c r="C27" s="45" t="s">
        <v>38</v>
      </c>
      <c r="D27" s="41">
        <v>1000</v>
      </c>
      <c r="E27" s="46">
        <f t="shared" si="0"/>
        <v>1000</v>
      </c>
      <c r="F27" s="46">
        <f t="shared" si="1"/>
        <v>25</v>
      </c>
      <c r="G27" s="46">
        <f t="shared" si="2"/>
        <v>0</v>
      </c>
      <c r="H27" s="47">
        <f t="shared" si="3"/>
        <v>0</v>
      </c>
      <c r="I27" s="47">
        <f t="shared" si="4"/>
        <v>0.33300000000000002</v>
      </c>
      <c r="J27" s="46">
        <f t="shared" si="5"/>
        <v>9630</v>
      </c>
      <c r="K27" s="46">
        <f t="shared" si="6"/>
        <v>3205</v>
      </c>
      <c r="L27" s="48">
        <f t="shared" si="7"/>
        <v>0.3328141225337487</v>
      </c>
    </row>
    <row r="28" spans="1:12">
      <c r="A28" s="43" t="s">
        <v>51</v>
      </c>
      <c r="B28" s="44">
        <v>7300</v>
      </c>
      <c r="C28" s="45" t="s">
        <v>38</v>
      </c>
      <c r="D28" s="41">
        <v>1000</v>
      </c>
      <c r="E28" s="46">
        <f t="shared" si="0"/>
        <v>1000</v>
      </c>
      <c r="F28" s="46">
        <f t="shared" si="1"/>
        <v>25</v>
      </c>
      <c r="G28" s="46">
        <f t="shared" si="2"/>
        <v>0</v>
      </c>
      <c r="H28" s="47">
        <f t="shared" si="3"/>
        <v>0</v>
      </c>
      <c r="I28" s="47">
        <f t="shared" si="4"/>
        <v>0.33300000000000002</v>
      </c>
      <c r="J28" s="46">
        <f t="shared" si="5"/>
        <v>12480</v>
      </c>
      <c r="K28" s="46">
        <f t="shared" si="6"/>
        <v>4155</v>
      </c>
      <c r="L28" s="48">
        <f t="shared" si="7"/>
        <v>0.33293269230769229</v>
      </c>
    </row>
    <row r="29" spans="1:12">
      <c r="A29" s="43" t="s">
        <v>52</v>
      </c>
      <c r="B29" s="44">
        <v>700</v>
      </c>
      <c r="C29" s="45" t="s">
        <v>53</v>
      </c>
      <c r="D29" s="44">
        <f t="shared" ref="D29:D60" si="8">IF(A29="","",$B$7/$B$6)</f>
        <v>25</v>
      </c>
      <c r="E29" s="46">
        <f t="shared" si="0"/>
        <v>0</v>
      </c>
      <c r="F29" s="46">
        <f t="shared" si="1"/>
        <v>25</v>
      </c>
      <c r="G29" s="46">
        <f t="shared" si="2"/>
        <v>0</v>
      </c>
      <c r="H29" s="47">
        <f t="shared" si="3"/>
        <v>0</v>
      </c>
      <c r="I29" s="47">
        <f t="shared" si="4"/>
        <v>0.33300000000000002</v>
      </c>
      <c r="J29" s="46">
        <f t="shared" si="5"/>
        <v>1090</v>
      </c>
      <c r="K29" s="46">
        <f t="shared" si="6"/>
        <v>365</v>
      </c>
      <c r="L29" s="48">
        <f t="shared" si="7"/>
        <v>0.33486238532110091</v>
      </c>
    </row>
    <row r="30" spans="1:12">
      <c r="A30" s="43" t="s">
        <v>54</v>
      </c>
      <c r="B30" s="44">
        <v>300</v>
      </c>
      <c r="C30" s="45" t="s">
        <v>53</v>
      </c>
      <c r="D30" s="44">
        <f t="shared" si="8"/>
        <v>25</v>
      </c>
      <c r="E30" s="46">
        <f t="shared" si="0"/>
        <v>0</v>
      </c>
      <c r="F30" s="46">
        <f t="shared" si="1"/>
        <v>25</v>
      </c>
      <c r="G30" s="46">
        <f t="shared" si="2"/>
        <v>0</v>
      </c>
      <c r="H30" s="47">
        <f t="shared" si="3"/>
        <v>0</v>
      </c>
      <c r="I30" s="47">
        <f t="shared" si="4"/>
        <v>0.33300000000000002</v>
      </c>
      <c r="J30" s="46">
        <f t="shared" si="5"/>
        <v>490</v>
      </c>
      <c r="K30" s="46">
        <f t="shared" si="6"/>
        <v>165</v>
      </c>
      <c r="L30" s="48">
        <f t="shared" si="7"/>
        <v>0.33673469387755101</v>
      </c>
    </row>
    <row r="31" spans="1:12">
      <c r="A31" s="43" t="s">
        <v>55</v>
      </c>
      <c r="B31" s="44">
        <v>500</v>
      </c>
      <c r="C31" s="45" t="s">
        <v>53</v>
      </c>
      <c r="D31" s="44">
        <f t="shared" si="8"/>
        <v>25</v>
      </c>
      <c r="E31" s="46">
        <f t="shared" si="0"/>
        <v>0</v>
      </c>
      <c r="F31" s="46">
        <f t="shared" si="1"/>
        <v>25</v>
      </c>
      <c r="G31" s="46">
        <f t="shared" si="2"/>
        <v>0</v>
      </c>
      <c r="H31" s="47">
        <f t="shared" si="3"/>
        <v>0</v>
      </c>
      <c r="I31" s="47">
        <f t="shared" si="4"/>
        <v>0.33300000000000002</v>
      </c>
      <c r="J31" s="46">
        <f t="shared" si="5"/>
        <v>790</v>
      </c>
      <c r="K31" s="46">
        <f t="shared" si="6"/>
        <v>265</v>
      </c>
      <c r="L31" s="48">
        <f t="shared" si="7"/>
        <v>0.33544303797468356</v>
      </c>
    </row>
    <row r="32" spans="1:12">
      <c r="A32" s="43" t="s">
        <v>56</v>
      </c>
      <c r="B32" s="44">
        <v>500</v>
      </c>
      <c r="C32" s="45" t="s">
        <v>53</v>
      </c>
      <c r="D32" s="44">
        <f t="shared" si="8"/>
        <v>25</v>
      </c>
      <c r="E32" s="46">
        <f t="shared" si="0"/>
        <v>0</v>
      </c>
      <c r="F32" s="46">
        <f t="shared" si="1"/>
        <v>25</v>
      </c>
      <c r="G32" s="46">
        <f t="shared" si="2"/>
        <v>0</v>
      </c>
      <c r="H32" s="47">
        <f t="shared" si="3"/>
        <v>0</v>
      </c>
      <c r="I32" s="47">
        <f t="shared" si="4"/>
        <v>0.33300000000000002</v>
      </c>
      <c r="J32" s="46">
        <f t="shared" si="5"/>
        <v>790</v>
      </c>
      <c r="K32" s="46">
        <f t="shared" si="6"/>
        <v>265</v>
      </c>
      <c r="L32" s="48">
        <f t="shared" si="7"/>
        <v>0.33544303797468356</v>
      </c>
    </row>
    <row r="33" spans="1:12">
      <c r="A33" s="43" t="s">
        <v>57</v>
      </c>
      <c r="B33" s="44">
        <v>500</v>
      </c>
      <c r="C33" s="45" t="s">
        <v>53</v>
      </c>
      <c r="D33" s="44">
        <f t="shared" si="8"/>
        <v>25</v>
      </c>
      <c r="E33" s="46">
        <f t="shared" si="0"/>
        <v>0</v>
      </c>
      <c r="F33" s="46">
        <f t="shared" si="1"/>
        <v>25</v>
      </c>
      <c r="G33" s="46">
        <f t="shared" si="2"/>
        <v>0</v>
      </c>
      <c r="H33" s="47">
        <f t="shared" si="3"/>
        <v>0</v>
      </c>
      <c r="I33" s="47">
        <f t="shared" si="4"/>
        <v>0.33300000000000002</v>
      </c>
      <c r="J33" s="46">
        <f t="shared" si="5"/>
        <v>790</v>
      </c>
      <c r="K33" s="46">
        <f t="shared" si="6"/>
        <v>265</v>
      </c>
      <c r="L33" s="48">
        <f t="shared" si="7"/>
        <v>0.33544303797468356</v>
      </c>
    </row>
    <row r="34" spans="1:12">
      <c r="A34" s="43" t="s">
        <v>58</v>
      </c>
      <c r="B34" s="44">
        <v>2050</v>
      </c>
      <c r="C34" s="45" t="s">
        <v>53</v>
      </c>
      <c r="D34" s="44">
        <f t="shared" si="8"/>
        <v>25</v>
      </c>
      <c r="E34" s="46">
        <f t="shared" si="0"/>
        <v>0</v>
      </c>
      <c r="F34" s="46">
        <f t="shared" si="1"/>
        <v>25</v>
      </c>
      <c r="G34" s="46">
        <f t="shared" si="2"/>
        <v>0</v>
      </c>
      <c r="H34" s="47">
        <f t="shared" si="3"/>
        <v>0</v>
      </c>
      <c r="I34" s="47">
        <f t="shared" si="4"/>
        <v>0.33300000000000002</v>
      </c>
      <c r="J34" s="46">
        <f t="shared" si="5"/>
        <v>3110</v>
      </c>
      <c r="K34" s="46">
        <f t="shared" si="6"/>
        <v>1035</v>
      </c>
      <c r="L34" s="48">
        <f t="shared" si="7"/>
        <v>0.33279742765273312</v>
      </c>
    </row>
    <row r="35" spans="1:12">
      <c r="A35" s="43" t="s">
        <v>59</v>
      </c>
      <c r="B35" s="44">
        <v>2050</v>
      </c>
      <c r="C35" s="45" t="s">
        <v>53</v>
      </c>
      <c r="D35" s="44">
        <f t="shared" si="8"/>
        <v>25</v>
      </c>
      <c r="E35" s="46">
        <f t="shared" si="0"/>
        <v>0</v>
      </c>
      <c r="F35" s="46">
        <f t="shared" si="1"/>
        <v>25</v>
      </c>
      <c r="G35" s="46">
        <f t="shared" si="2"/>
        <v>0</v>
      </c>
      <c r="H35" s="47">
        <f t="shared" si="3"/>
        <v>0</v>
      </c>
      <c r="I35" s="47">
        <f t="shared" si="4"/>
        <v>0.33300000000000002</v>
      </c>
      <c r="J35" s="46">
        <f t="shared" si="5"/>
        <v>3110</v>
      </c>
      <c r="K35" s="46">
        <f t="shared" si="6"/>
        <v>1035</v>
      </c>
      <c r="L35" s="48">
        <f t="shared" si="7"/>
        <v>0.33279742765273312</v>
      </c>
    </row>
    <row r="36" spans="1:12">
      <c r="A36" s="43" t="s">
        <v>60</v>
      </c>
      <c r="B36" s="44">
        <v>750</v>
      </c>
      <c r="C36" s="45" t="s">
        <v>53</v>
      </c>
      <c r="D36" s="44">
        <f t="shared" si="8"/>
        <v>25</v>
      </c>
      <c r="E36" s="46">
        <f t="shared" si="0"/>
        <v>0</v>
      </c>
      <c r="F36" s="46">
        <f t="shared" si="1"/>
        <v>25</v>
      </c>
      <c r="G36" s="46">
        <f t="shared" si="2"/>
        <v>0</v>
      </c>
      <c r="H36" s="47">
        <f t="shared" si="3"/>
        <v>0</v>
      </c>
      <c r="I36" s="47">
        <f t="shared" si="4"/>
        <v>0.33300000000000002</v>
      </c>
      <c r="J36" s="46">
        <f t="shared" si="5"/>
        <v>1160</v>
      </c>
      <c r="K36" s="46">
        <f t="shared" si="6"/>
        <v>385</v>
      </c>
      <c r="L36" s="48">
        <f t="shared" si="7"/>
        <v>0.33189655172413796</v>
      </c>
    </row>
    <row r="37" spans="1:12">
      <c r="A37" s="43" t="s">
        <v>61</v>
      </c>
      <c r="B37" s="44">
        <v>650</v>
      </c>
      <c r="C37" s="45" t="s">
        <v>53</v>
      </c>
      <c r="D37" s="44">
        <f t="shared" si="8"/>
        <v>25</v>
      </c>
      <c r="E37" s="46">
        <f t="shared" si="0"/>
        <v>0</v>
      </c>
      <c r="F37" s="46">
        <f t="shared" si="1"/>
        <v>25</v>
      </c>
      <c r="G37" s="46">
        <f t="shared" si="2"/>
        <v>0</v>
      </c>
      <c r="H37" s="47">
        <f t="shared" si="3"/>
        <v>0</v>
      </c>
      <c r="I37" s="47">
        <f t="shared" si="4"/>
        <v>0.33300000000000002</v>
      </c>
      <c r="J37" s="46">
        <f t="shared" si="5"/>
        <v>1010</v>
      </c>
      <c r="K37" s="46">
        <f t="shared" si="6"/>
        <v>335</v>
      </c>
      <c r="L37" s="48">
        <f t="shared" si="7"/>
        <v>0.3316831683168317</v>
      </c>
    </row>
    <row r="38" spans="1:12">
      <c r="A38" s="43" t="s">
        <v>62</v>
      </c>
      <c r="B38" s="44">
        <v>260</v>
      </c>
      <c r="C38" s="45" t="s">
        <v>53</v>
      </c>
      <c r="D38" s="44">
        <f t="shared" si="8"/>
        <v>25</v>
      </c>
      <c r="E38" s="46">
        <f t="shared" si="0"/>
        <v>0</v>
      </c>
      <c r="F38" s="46">
        <f t="shared" si="1"/>
        <v>25</v>
      </c>
      <c r="G38" s="46">
        <f t="shared" si="2"/>
        <v>0</v>
      </c>
      <c r="H38" s="47">
        <f t="shared" si="3"/>
        <v>0</v>
      </c>
      <c r="I38" s="47">
        <f t="shared" si="4"/>
        <v>0.33300000000000002</v>
      </c>
      <c r="J38" s="46">
        <f t="shared" si="5"/>
        <v>430</v>
      </c>
      <c r="K38" s="46">
        <f t="shared" si="6"/>
        <v>145</v>
      </c>
      <c r="L38" s="48">
        <f t="shared" si="7"/>
        <v>0.33720930232558138</v>
      </c>
    </row>
    <row r="39" spans="1:12">
      <c r="A39" s="43" t="s">
        <v>63</v>
      </c>
      <c r="B39" s="44">
        <v>300</v>
      </c>
      <c r="C39" s="45" t="s">
        <v>53</v>
      </c>
      <c r="D39" s="44">
        <f t="shared" si="8"/>
        <v>25</v>
      </c>
      <c r="E39" s="46">
        <f t="shared" si="0"/>
        <v>0</v>
      </c>
      <c r="F39" s="46">
        <f t="shared" si="1"/>
        <v>25</v>
      </c>
      <c r="G39" s="46">
        <f t="shared" si="2"/>
        <v>0</v>
      </c>
      <c r="H39" s="47">
        <f t="shared" si="3"/>
        <v>0</v>
      </c>
      <c r="I39" s="47">
        <f t="shared" si="4"/>
        <v>0.33300000000000002</v>
      </c>
      <c r="J39" s="46">
        <f t="shared" si="5"/>
        <v>490</v>
      </c>
      <c r="K39" s="46">
        <f t="shared" si="6"/>
        <v>165</v>
      </c>
      <c r="L39" s="48">
        <f t="shared" si="7"/>
        <v>0.33673469387755101</v>
      </c>
    </row>
    <row r="40" spans="1:12">
      <c r="A40" s="43" t="s">
        <v>64</v>
      </c>
      <c r="B40" s="44">
        <v>300</v>
      </c>
      <c r="C40" s="45" t="s">
        <v>53</v>
      </c>
      <c r="D40" s="44">
        <f t="shared" si="8"/>
        <v>25</v>
      </c>
      <c r="E40" s="46">
        <f t="shared" si="0"/>
        <v>0</v>
      </c>
      <c r="F40" s="46">
        <f t="shared" si="1"/>
        <v>25</v>
      </c>
      <c r="G40" s="46">
        <f t="shared" si="2"/>
        <v>0</v>
      </c>
      <c r="H40" s="47">
        <f t="shared" si="3"/>
        <v>0</v>
      </c>
      <c r="I40" s="47">
        <f t="shared" si="4"/>
        <v>0.33300000000000002</v>
      </c>
      <c r="J40" s="46">
        <f t="shared" si="5"/>
        <v>490</v>
      </c>
      <c r="K40" s="46">
        <f t="shared" si="6"/>
        <v>165</v>
      </c>
      <c r="L40" s="48">
        <f t="shared" si="7"/>
        <v>0.33673469387755101</v>
      </c>
    </row>
    <row r="41" spans="1:12">
      <c r="A41" s="43" t="s">
        <v>65</v>
      </c>
      <c r="B41" s="44">
        <v>1100</v>
      </c>
      <c r="C41" s="45" t="s">
        <v>53</v>
      </c>
      <c r="D41" s="44">
        <f t="shared" si="8"/>
        <v>25</v>
      </c>
      <c r="E41" s="46">
        <f t="shared" si="0"/>
        <v>0</v>
      </c>
      <c r="F41" s="46">
        <f t="shared" si="1"/>
        <v>25</v>
      </c>
      <c r="G41" s="46">
        <f t="shared" si="2"/>
        <v>0</v>
      </c>
      <c r="H41" s="47">
        <f t="shared" si="3"/>
        <v>0</v>
      </c>
      <c r="I41" s="47">
        <f t="shared" si="4"/>
        <v>0.33300000000000002</v>
      </c>
      <c r="J41" s="46">
        <f t="shared" si="5"/>
        <v>1690</v>
      </c>
      <c r="K41" s="46">
        <f t="shared" si="6"/>
        <v>565</v>
      </c>
      <c r="L41" s="48">
        <f t="shared" si="7"/>
        <v>0.33431952662721892</v>
      </c>
    </row>
    <row r="42" spans="1:12">
      <c r="A42" s="43" t="s">
        <v>66</v>
      </c>
      <c r="B42" s="44">
        <v>1700</v>
      </c>
      <c r="C42" s="45" t="s">
        <v>53</v>
      </c>
      <c r="D42" s="44">
        <f t="shared" si="8"/>
        <v>25</v>
      </c>
      <c r="E42" s="46">
        <f t="shared" si="0"/>
        <v>0</v>
      </c>
      <c r="F42" s="46">
        <f t="shared" si="1"/>
        <v>25</v>
      </c>
      <c r="G42" s="46">
        <f t="shared" si="2"/>
        <v>0</v>
      </c>
      <c r="H42" s="47">
        <f t="shared" si="3"/>
        <v>0</v>
      </c>
      <c r="I42" s="47">
        <f t="shared" si="4"/>
        <v>0.33300000000000002</v>
      </c>
      <c r="J42" s="46">
        <f t="shared" si="5"/>
        <v>2590</v>
      </c>
      <c r="K42" s="46">
        <f t="shared" si="6"/>
        <v>865</v>
      </c>
      <c r="L42" s="48">
        <f t="shared" si="7"/>
        <v>0.33397683397683398</v>
      </c>
    </row>
    <row r="43" spans="1:12">
      <c r="A43" s="43" t="s">
        <v>67</v>
      </c>
      <c r="B43" s="44">
        <v>600</v>
      </c>
      <c r="C43" s="45" t="s">
        <v>53</v>
      </c>
      <c r="D43" s="44">
        <f t="shared" si="8"/>
        <v>25</v>
      </c>
      <c r="E43" s="46">
        <f t="shared" si="0"/>
        <v>0</v>
      </c>
      <c r="F43" s="46">
        <f t="shared" si="1"/>
        <v>25</v>
      </c>
      <c r="G43" s="46">
        <f t="shared" si="2"/>
        <v>0</v>
      </c>
      <c r="H43" s="47">
        <f t="shared" si="3"/>
        <v>0</v>
      </c>
      <c r="I43" s="47">
        <f t="shared" si="4"/>
        <v>0.33300000000000002</v>
      </c>
      <c r="J43" s="46">
        <f t="shared" si="5"/>
        <v>940</v>
      </c>
      <c r="K43" s="46">
        <f t="shared" si="6"/>
        <v>315</v>
      </c>
      <c r="L43" s="48">
        <f t="shared" si="7"/>
        <v>0.33510638297872342</v>
      </c>
    </row>
    <row r="44" spans="1:12">
      <c r="A44" s="43" t="s">
        <v>68</v>
      </c>
      <c r="B44" s="44">
        <v>1150</v>
      </c>
      <c r="C44" s="45" t="s">
        <v>53</v>
      </c>
      <c r="D44" s="44">
        <f t="shared" si="8"/>
        <v>25</v>
      </c>
      <c r="E44" s="46">
        <f t="shared" si="0"/>
        <v>0</v>
      </c>
      <c r="F44" s="46">
        <f t="shared" si="1"/>
        <v>25</v>
      </c>
      <c r="G44" s="46">
        <f t="shared" si="2"/>
        <v>0</v>
      </c>
      <c r="H44" s="47">
        <f t="shared" si="3"/>
        <v>0</v>
      </c>
      <c r="I44" s="47">
        <f t="shared" si="4"/>
        <v>0.33300000000000002</v>
      </c>
      <c r="J44" s="46">
        <f t="shared" si="5"/>
        <v>1760</v>
      </c>
      <c r="K44" s="46">
        <f t="shared" si="6"/>
        <v>585</v>
      </c>
      <c r="L44" s="48">
        <f t="shared" si="7"/>
        <v>0.33238636363636365</v>
      </c>
    </row>
    <row r="45" spans="1:12">
      <c r="A45" s="43" t="s">
        <v>69</v>
      </c>
      <c r="B45" s="44">
        <v>1150</v>
      </c>
      <c r="C45" s="45" t="s">
        <v>53</v>
      </c>
      <c r="D45" s="44">
        <f t="shared" si="8"/>
        <v>25</v>
      </c>
      <c r="E45" s="46">
        <f t="shared" si="0"/>
        <v>0</v>
      </c>
      <c r="F45" s="46">
        <f t="shared" si="1"/>
        <v>25</v>
      </c>
      <c r="G45" s="46">
        <f t="shared" si="2"/>
        <v>0</v>
      </c>
      <c r="H45" s="47">
        <f t="shared" si="3"/>
        <v>0</v>
      </c>
      <c r="I45" s="47">
        <f t="shared" si="4"/>
        <v>0.33300000000000002</v>
      </c>
      <c r="J45" s="46">
        <f t="shared" si="5"/>
        <v>1760</v>
      </c>
      <c r="K45" s="46">
        <f t="shared" si="6"/>
        <v>585</v>
      </c>
      <c r="L45" s="48">
        <f t="shared" si="7"/>
        <v>0.33238636363636365</v>
      </c>
    </row>
    <row r="46" spans="1:12">
      <c r="A46" s="43" t="s">
        <v>70</v>
      </c>
      <c r="B46" s="44">
        <v>1000</v>
      </c>
      <c r="C46" s="45" t="s">
        <v>53</v>
      </c>
      <c r="D46" s="44">
        <f t="shared" si="8"/>
        <v>25</v>
      </c>
      <c r="E46" s="46">
        <f t="shared" si="0"/>
        <v>0</v>
      </c>
      <c r="F46" s="46">
        <f t="shared" si="1"/>
        <v>25</v>
      </c>
      <c r="G46" s="46">
        <f t="shared" si="2"/>
        <v>0</v>
      </c>
      <c r="H46" s="47">
        <f t="shared" si="3"/>
        <v>0</v>
      </c>
      <c r="I46" s="47">
        <f t="shared" si="4"/>
        <v>0.33300000000000002</v>
      </c>
      <c r="J46" s="46">
        <f t="shared" si="5"/>
        <v>1540</v>
      </c>
      <c r="K46" s="46">
        <f t="shared" si="6"/>
        <v>515</v>
      </c>
      <c r="L46" s="48">
        <f t="shared" si="7"/>
        <v>0.33441558441558439</v>
      </c>
    </row>
    <row r="47" spans="1:12">
      <c r="A47" s="43" t="s">
        <v>71</v>
      </c>
      <c r="B47" s="44">
        <v>650</v>
      </c>
      <c r="C47" s="45" t="s">
        <v>53</v>
      </c>
      <c r="D47" s="44">
        <f t="shared" si="8"/>
        <v>25</v>
      </c>
      <c r="E47" s="46">
        <f t="shared" si="0"/>
        <v>0</v>
      </c>
      <c r="F47" s="46">
        <f t="shared" si="1"/>
        <v>25</v>
      </c>
      <c r="G47" s="46">
        <f t="shared" si="2"/>
        <v>0</v>
      </c>
      <c r="H47" s="47">
        <f t="shared" si="3"/>
        <v>0</v>
      </c>
      <c r="I47" s="47">
        <f t="shared" si="4"/>
        <v>0.33300000000000002</v>
      </c>
      <c r="J47" s="46">
        <f t="shared" si="5"/>
        <v>1010</v>
      </c>
      <c r="K47" s="46">
        <f t="shared" si="6"/>
        <v>335</v>
      </c>
      <c r="L47" s="48">
        <f t="shared" si="7"/>
        <v>0.3316831683168317</v>
      </c>
    </row>
    <row r="48" spans="1:12">
      <c r="A48" s="43" t="s">
        <v>72</v>
      </c>
      <c r="B48" s="44">
        <v>1300</v>
      </c>
      <c r="C48" s="45" t="s">
        <v>53</v>
      </c>
      <c r="D48" s="44">
        <f t="shared" si="8"/>
        <v>25</v>
      </c>
      <c r="E48" s="46">
        <f t="shared" si="0"/>
        <v>0</v>
      </c>
      <c r="F48" s="46">
        <f t="shared" si="1"/>
        <v>25</v>
      </c>
      <c r="G48" s="46">
        <f t="shared" si="2"/>
        <v>0</v>
      </c>
      <c r="H48" s="47">
        <f t="shared" si="3"/>
        <v>0</v>
      </c>
      <c r="I48" s="47">
        <f t="shared" si="4"/>
        <v>0.33300000000000002</v>
      </c>
      <c r="J48" s="46">
        <f t="shared" si="5"/>
        <v>1990</v>
      </c>
      <c r="K48" s="46">
        <f t="shared" si="6"/>
        <v>665</v>
      </c>
      <c r="L48" s="48">
        <f t="shared" si="7"/>
        <v>0.33417085427135679</v>
      </c>
    </row>
    <row r="49" spans="1:12">
      <c r="A49" s="43" t="s">
        <v>73</v>
      </c>
      <c r="B49" s="44"/>
      <c r="C49" s="45" t="s">
        <v>53</v>
      </c>
      <c r="D49" s="44">
        <f t="shared" si="8"/>
        <v>25</v>
      </c>
      <c r="E49" s="46">
        <f t="shared" si="0"/>
        <v>0</v>
      </c>
      <c r="F49" s="46">
        <f t="shared" si="1"/>
        <v>25</v>
      </c>
      <c r="G49" s="46">
        <f t="shared" si="2"/>
        <v>0</v>
      </c>
      <c r="H49" s="47">
        <f t="shared" si="3"/>
        <v>0</v>
      </c>
      <c r="I49" s="47">
        <f t="shared" si="4"/>
        <v>0.33300000000000002</v>
      </c>
      <c r="J49" s="46" t="str">
        <f t="shared" si="5"/>
        <v/>
      </c>
      <c r="K49" s="46" t="str">
        <f t="shared" si="6"/>
        <v/>
      </c>
      <c r="L49" s="48" t="str">
        <f t="shared" si="7"/>
        <v/>
      </c>
    </row>
    <row r="50" spans="1:12">
      <c r="A50" s="43" t="s">
        <v>74</v>
      </c>
      <c r="B50" s="44">
        <v>1100</v>
      </c>
      <c r="C50" s="45" t="s">
        <v>53</v>
      </c>
      <c r="D50" s="44">
        <f t="shared" si="8"/>
        <v>25</v>
      </c>
      <c r="E50" s="46">
        <f t="shared" si="0"/>
        <v>0</v>
      </c>
      <c r="F50" s="46">
        <f t="shared" si="1"/>
        <v>25</v>
      </c>
      <c r="G50" s="46">
        <f t="shared" si="2"/>
        <v>0</v>
      </c>
      <c r="H50" s="47">
        <f t="shared" si="3"/>
        <v>0</v>
      </c>
      <c r="I50" s="47">
        <f t="shared" si="4"/>
        <v>0.33300000000000002</v>
      </c>
      <c r="J50" s="46">
        <f t="shared" si="5"/>
        <v>1690</v>
      </c>
      <c r="K50" s="46">
        <f t="shared" si="6"/>
        <v>565</v>
      </c>
      <c r="L50" s="48">
        <f t="shared" si="7"/>
        <v>0.33431952662721892</v>
      </c>
    </row>
    <row r="51" spans="1:12">
      <c r="A51" s="43" t="s">
        <v>75</v>
      </c>
      <c r="B51" s="44">
        <v>1150</v>
      </c>
      <c r="C51" s="45" t="s">
        <v>53</v>
      </c>
      <c r="D51" s="44">
        <f t="shared" si="8"/>
        <v>25</v>
      </c>
      <c r="E51" s="46">
        <f t="shared" si="0"/>
        <v>0</v>
      </c>
      <c r="F51" s="46">
        <f t="shared" si="1"/>
        <v>25</v>
      </c>
      <c r="G51" s="46">
        <f t="shared" si="2"/>
        <v>0</v>
      </c>
      <c r="H51" s="47">
        <f t="shared" si="3"/>
        <v>0</v>
      </c>
      <c r="I51" s="47">
        <f t="shared" si="4"/>
        <v>0.33300000000000002</v>
      </c>
      <c r="J51" s="46">
        <f t="shared" si="5"/>
        <v>1760</v>
      </c>
      <c r="K51" s="46">
        <f t="shared" si="6"/>
        <v>585</v>
      </c>
      <c r="L51" s="48">
        <f t="shared" si="7"/>
        <v>0.33238636363636365</v>
      </c>
    </row>
    <row r="52" spans="1:12">
      <c r="A52" s="43" t="s">
        <v>76</v>
      </c>
      <c r="B52" s="44">
        <v>5100</v>
      </c>
      <c r="C52" s="45" t="s">
        <v>53</v>
      </c>
      <c r="D52" s="44">
        <f t="shared" si="8"/>
        <v>25</v>
      </c>
      <c r="E52" s="46">
        <f t="shared" si="0"/>
        <v>0</v>
      </c>
      <c r="F52" s="46">
        <f t="shared" si="1"/>
        <v>25</v>
      </c>
      <c r="G52" s="46">
        <f t="shared" si="2"/>
        <v>0</v>
      </c>
      <c r="H52" s="47">
        <f t="shared" si="3"/>
        <v>0</v>
      </c>
      <c r="I52" s="47">
        <f t="shared" si="4"/>
        <v>0.33300000000000002</v>
      </c>
      <c r="J52" s="46">
        <f t="shared" si="5"/>
        <v>7680</v>
      </c>
      <c r="K52" s="46">
        <f t="shared" si="6"/>
        <v>2555</v>
      </c>
      <c r="L52" s="48">
        <f t="shared" si="7"/>
        <v>0.33268229166666669</v>
      </c>
    </row>
    <row r="53" spans="1:12">
      <c r="A53" s="43" t="s">
        <v>77</v>
      </c>
      <c r="B53" s="44">
        <v>7200</v>
      </c>
      <c r="C53" s="45" t="s">
        <v>53</v>
      </c>
      <c r="D53" s="44">
        <f t="shared" si="8"/>
        <v>25</v>
      </c>
      <c r="E53" s="46">
        <f t="shared" si="0"/>
        <v>0</v>
      </c>
      <c r="F53" s="46">
        <f t="shared" si="1"/>
        <v>25</v>
      </c>
      <c r="G53" s="46">
        <f t="shared" si="2"/>
        <v>0</v>
      </c>
      <c r="H53" s="47">
        <f t="shared" si="3"/>
        <v>0</v>
      </c>
      <c r="I53" s="47">
        <f t="shared" si="4"/>
        <v>0.33300000000000002</v>
      </c>
      <c r="J53" s="46">
        <f t="shared" si="5"/>
        <v>10830</v>
      </c>
      <c r="K53" s="46">
        <f t="shared" si="6"/>
        <v>3605</v>
      </c>
      <c r="L53" s="48">
        <f t="shared" si="7"/>
        <v>0.33287165281625114</v>
      </c>
    </row>
    <row r="54" spans="1:12">
      <c r="A54" s="43" t="s">
        <v>78</v>
      </c>
      <c r="B54" s="44">
        <v>8900</v>
      </c>
      <c r="C54" s="45" t="s">
        <v>53</v>
      </c>
      <c r="D54" s="44">
        <f t="shared" si="8"/>
        <v>25</v>
      </c>
      <c r="E54" s="46">
        <f t="shared" si="0"/>
        <v>0</v>
      </c>
      <c r="F54" s="46">
        <f t="shared" si="1"/>
        <v>25</v>
      </c>
      <c r="G54" s="46">
        <f t="shared" si="2"/>
        <v>0</v>
      </c>
      <c r="H54" s="47">
        <f t="shared" si="3"/>
        <v>0</v>
      </c>
      <c r="I54" s="47">
        <f t="shared" si="4"/>
        <v>0.33300000000000002</v>
      </c>
      <c r="J54" s="46">
        <f t="shared" si="5"/>
        <v>13380</v>
      </c>
      <c r="K54" s="46">
        <f t="shared" si="6"/>
        <v>4455</v>
      </c>
      <c r="L54" s="48">
        <f t="shared" si="7"/>
        <v>0.3329596412556054</v>
      </c>
    </row>
    <row r="55" spans="1:12">
      <c r="A55" s="43" t="s">
        <v>79</v>
      </c>
      <c r="B55" s="44">
        <v>11500</v>
      </c>
      <c r="C55" s="45" t="s">
        <v>53</v>
      </c>
      <c r="D55" s="44">
        <f t="shared" si="8"/>
        <v>25</v>
      </c>
      <c r="E55" s="46">
        <f t="shared" si="0"/>
        <v>0</v>
      </c>
      <c r="F55" s="46">
        <f t="shared" si="1"/>
        <v>25</v>
      </c>
      <c r="G55" s="46">
        <f t="shared" si="2"/>
        <v>0</v>
      </c>
      <c r="H55" s="47">
        <f t="shared" si="3"/>
        <v>0</v>
      </c>
      <c r="I55" s="47">
        <f t="shared" si="4"/>
        <v>0.33300000000000002</v>
      </c>
      <c r="J55" s="46">
        <f t="shared" si="5"/>
        <v>17280</v>
      </c>
      <c r="K55" s="46">
        <f t="shared" si="6"/>
        <v>5755</v>
      </c>
      <c r="L55" s="48">
        <f t="shared" si="7"/>
        <v>0.33304398148148145</v>
      </c>
    </row>
    <row r="56" spans="1:12">
      <c r="A56" s="43" t="s">
        <v>80</v>
      </c>
      <c r="B56" s="44">
        <v>6200</v>
      </c>
      <c r="C56" s="45" t="s">
        <v>53</v>
      </c>
      <c r="D56" s="44">
        <f t="shared" si="8"/>
        <v>25</v>
      </c>
      <c r="E56" s="46">
        <f t="shared" si="0"/>
        <v>0</v>
      </c>
      <c r="F56" s="46">
        <f t="shared" si="1"/>
        <v>25</v>
      </c>
      <c r="G56" s="46">
        <f t="shared" si="2"/>
        <v>0</v>
      </c>
      <c r="H56" s="47">
        <f t="shared" si="3"/>
        <v>0</v>
      </c>
      <c r="I56" s="47">
        <f t="shared" si="4"/>
        <v>0.33300000000000002</v>
      </c>
      <c r="J56" s="46">
        <f t="shared" si="5"/>
        <v>9330</v>
      </c>
      <c r="K56" s="46">
        <f t="shared" si="6"/>
        <v>3105</v>
      </c>
      <c r="L56" s="48">
        <f t="shared" si="7"/>
        <v>0.33279742765273312</v>
      </c>
    </row>
    <row r="57" spans="1:12">
      <c r="A57" s="43" t="s">
        <v>81</v>
      </c>
      <c r="B57" s="44">
        <v>7100</v>
      </c>
      <c r="C57" s="45" t="s">
        <v>53</v>
      </c>
      <c r="D57" s="44">
        <f t="shared" si="8"/>
        <v>25</v>
      </c>
      <c r="E57" s="46">
        <f t="shared" si="0"/>
        <v>0</v>
      </c>
      <c r="F57" s="46">
        <f t="shared" si="1"/>
        <v>25</v>
      </c>
      <c r="G57" s="46">
        <f t="shared" si="2"/>
        <v>0</v>
      </c>
      <c r="H57" s="47">
        <f t="shared" si="3"/>
        <v>0</v>
      </c>
      <c r="I57" s="47">
        <f t="shared" si="4"/>
        <v>0.33300000000000002</v>
      </c>
      <c r="J57" s="46">
        <f t="shared" si="5"/>
        <v>10680</v>
      </c>
      <c r="K57" s="46">
        <f t="shared" si="6"/>
        <v>3555</v>
      </c>
      <c r="L57" s="48">
        <f t="shared" si="7"/>
        <v>0.33286516853932585</v>
      </c>
    </row>
    <row r="58" spans="1:12">
      <c r="A58" s="43" t="s">
        <v>82</v>
      </c>
      <c r="B58" s="44">
        <v>5500</v>
      </c>
      <c r="C58" s="45" t="s">
        <v>53</v>
      </c>
      <c r="D58" s="44">
        <f t="shared" si="8"/>
        <v>25</v>
      </c>
      <c r="E58" s="46">
        <f t="shared" si="0"/>
        <v>0</v>
      </c>
      <c r="F58" s="46">
        <f t="shared" si="1"/>
        <v>25</v>
      </c>
      <c r="G58" s="46">
        <f t="shared" si="2"/>
        <v>0</v>
      </c>
      <c r="H58" s="47">
        <f t="shared" si="3"/>
        <v>0</v>
      </c>
      <c r="I58" s="47">
        <f t="shared" si="4"/>
        <v>0.33300000000000002</v>
      </c>
      <c r="J58" s="46">
        <f t="shared" si="5"/>
        <v>8280</v>
      </c>
      <c r="K58" s="46">
        <f t="shared" si="6"/>
        <v>2755</v>
      </c>
      <c r="L58" s="48">
        <f t="shared" si="7"/>
        <v>0.3327294685990338</v>
      </c>
    </row>
    <row r="59" spans="1:12">
      <c r="A59" s="43" t="s">
        <v>83</v>
      </c>
      <c r="B59" s="44">
        <v>7000</v>
      </c>
      <c r="C59" s="45" t="s">
        <v>53</v>
      </c>
      <c r="D59" s="44">
        <f t="shared" si="8"/>
        <v>25</v>
      </c>
      <c r="E59" s="46">
        <f t="shared" si="0"/>
        <v>0</v>
      </c>
      <c r="F59" s="46">
        <f t="shared" si="1"/>
        <v>25</v>
      </c>
      <c r="G59" s="46">
        <f t="shared" si="2"/>
        <v>0</v>
      </c>
      <c r="H59" s="47">
        <f t="shared" si="3"/>
        <v>0</v>
      </c>
      <c r="I59" s="47">
        <f t="shared" si="4"/>
        <v>0.33300000000000002</v>
      </c>
      <c r="J59" s="46">
        <f t="shared" si="5"/>
        <v>10530</v>
      </c>
      <c r="K59" s="46">
        <f t="shared" si="6"/>
        <v>3505</v>
      </c>
      <c r="L59" s="48">
        <f t="shared" si="7"/>
        <v>0.33285849952516622</v>
      </c>
    </row>
    <row r="60" spans="1:12">
      <c r="A60" s="43" t="s">
        <v>84</v>
      </c>
      <c r="B60" s="44">
        <v>8000</v>
      </c>
      <c r="C60" s="45" t="s">
        <v>53</v>
      </c>
      <c r="D60" s="44">
        <f t="shared" si="8"/>
        <v>25</v>
      </c>
      <c r="E60" s="46">
        <f t="shared" si="0"/>
        <v>0</v>
      </c>
      <c r="F60" s="46">
        <f t="shared" si="1"/>
        <v>25</v>
      </c>
      <c r="G60" s="46">
        <f t="shared" si="2"/>
        <v>0</v>
      </c>
      <c r="H60" s="47">
        <f t="shared" si="3"/>
        <v>0</v>
      </c>
      <c r="I60" s="47">
        <f t="shared" si="4"/>
        <v>0.33300000000000002</v>
      </c>
      <c r="J60" s="46">
        <f t="shared" si="5"/>
        <v>12030</v>
      </c>
      <c r="K60" s="46">
        <f t="shared" si="6"/>
        <v>4005</v>
      </c>
      <c r="L60" s="48">
        <f t="shared" si="7"/>
        <v>0.33291770573566087</v>
      </c>
    </row>
    <row r="61" spans="1:12">
      <c r="A61" s="43" t="s">
        <v>85</v>
      </c>
      <c r="B61" s="44">
        <v>9900</v>
      </c>
      <c r="C61" s="45" t="s">
        <v>53</v>
      </c>
      <c r="D61" s="44">
        <f t="shared" ref="D61:D91" si="9">IF(A61="","",$B$7/$B$6)</f>
        <v>25</v>
      </c>
      <c r="E61" s="46">
        <f t="shared" si="0"/>
        <v>0</v>
      </c>
      <c r="F61" s="46">
        <f t="shared" si="1"/>
        <v>25</v>
      </c>
      <c r="G61" s="46">
        <f t="shared" si="2"/>
        <v>0</v>
      </c>
      <c r="H61" s="47">
        <f t="shared" si="3"/>
        <v>0</v>
      </c>
      <c r="I61" s="47">
        <f t="shared" si="4"/>
        <v>0.33300000000000002</v>
      </c>
      <c r="J61" s="46">
        <f t="shared" si="5"/>
        <v>14880</v>
      </c>
      <c r="K61" s="46">
        <f t="shared" si="6"/>
        <v>4955</v>
      </c>
      <c r="L61" s="48">
        <f t="shared" si="7"/>
        <v>0.332997311827957</v>
      </c>
    </row>
    <row r="62" spans="1:12">
      <c r="A62" s="43" t="s">
        <v>86</v>
      </c>
      <c r="B62" s="44">
        <v>1800</v>
      </c>
      <c r="C62" s="45" t="s">
        <v>53</v>
      </c>
      <c r="D62" s="44">
        <f t="shared" si="9"/>
        <v>25</v>
      </c>
      <c r="E62" s="46">
        <f t="shared" si="0"/>
        <v>0</v>
      </c>
      <c r="F62" s="46">
        <f t="shared" si="1"/>
        <v>25</v>
      </c>
      <c r="G62" s="46">
        <f t="shared" si="2"/>
        <v>0</v>
      </c>
      <c r="H62" s="47">
        <f t="shared" si="3"/>
        <v>0</v>
      </c>
      <c r="I62" s="47">
        <f t="shared" si="4"/>
        <v>0.33300000000000002</v>
      </c>
      <c r="J62" s="46">
        <f t="shared" si="5"/>
        <v>2740</v>
      </c>
      <c r="K62" s="46">
        <f t="shared" si="6"/>
        <v>915</v>
      </c>
      <c r="L62" s="48">
        <f t="shared" si="7"/>
        <v>0.33394160583941607</v>
      </c>
    </row>
    <row r="63" spans="1:12">
      <c r="A63" s="43" t="s">
        <v>87</v>
      </c>
      <c r="B63" s="44">
        <v>2900</v>
      </c>
      <c r="C63" s="45" t="s">
        <v>53</v>
      </c>
      <c r="D63" s="44">
        <f t="shared" si="9"/>
        <v>25</v>
      </c>
      <c r="E63" s="46">
        <f t="shared" si="0"/>
        <v>0</v>
      </c>
      <c r="F63" s="46">
        <f t="shared" si="1"/>
        <v>25</v>
      </c>
      <c r="G63" s="46">
        <f t="shared" si="2"/>
        <v>0</v>
      </c>
      <c r="H63" s="47">
        <f t="shared" si="3"/>
        <v>0</v>
      </c>
      <c r="I63" s="47">
        <f t="shared" si="4"/>
        <v>0.33300000000000002</v>
      </c>
      <c r="J63" s="46">
        <f t="shared" si="5"/>
        <v>4390</v>
      </c>
      <c r="K63" s="46">
        <f t="shared" si="6"/>
        <v>1465</v>
      </c>
      <c r="L63" s="48">
        <f t="shared" si="7"/>
        <v>0.3337129840546697</v>
      </c>
    </row>
    <row r="64" spans="1:12">
      <c r="A64" s="43" t="s">
        <v>88</v>
      </c>
      <c r="B64" s="44">
        <v>6500</v>
      </c>
      <c r="C64" s="45" t="s">
        <v>53</v>
      </c>
      <c r="D64" s="44">
        <f t="shared" si="9"/>
        <v>25</v>
      </c>
      <c r="E64" s="46">
        <f t="shared" si="0"/>
        <v>0</v>
      </c>
      <c r="F64" s="46">
        <f t="shared" si="1"/>
        <v>25</v>
      </c>
      <c r="G64" s="46">
        <f t="shared" si="2"/>
        <v>0</v>
      </c>
      <c r="H64" s="47">
        <f t="shared" si="3"/>
        <v>0</v>
      </c>
      <c r="I64" s="47">
        <f t="shared" si="4"/>
        <v>0.33300000000000002</v>
      </c>
      <c r="J64" s="46">
        <f t="shared" si="5"/>
        <v>9780</v>
      </c>
      <c r="K64" s="46">
        <f t="shared" si="6"/>
        <v>3255</v>
      </c>
      <c r="L64" s="48">
        <f t="shared" si="7"/>
        <v>0.33282208588957057</v>
      </c>
    </row>
    <row r="65" spans="1:12">
      <c r="A65" s="43" t="s">
        <v>89</v>
      </c>
      <c r="B65" s="44">
        <v>2000</v>
      </c>
      <c r="C65" s="45" t="s">
        <v>53</v>
      </c>
      <c r="D65" s="44">
        <f t="shared" si="9"/>
        <v>25</v>
      </c>
      <c r="E65" s="46">
        <f t="shared" si="0"/>
        <v>0</v>
      </c>
      <c r="F65" s="46">
        <f t="shared" si="1"/>
        <v>25</v>
      </c>
      <c r="G65" s="46">
        <f t="shared" si="2"/>
        <v>0</v>
      </c>
      <c r="H65" s="47">
        <f t="shared" si="3"/>
        <v>0</v>
      </c>
      <c r="I65" s="47">
        <f t="shared" si="4"/>
        <v>0.33300000000000002</v>
      </c>
      <c r="J65" s="46">
        <f t="shared" si="5"/>
        <v>3040</v>
      </c>
      <c r="K65" s="46">
        <f t="shared" si="6"/>
        <v>1015</v>
      </c>
      <c r="L65" s="48">
        <f t="shared" si="7"/>
        <v>0.33388157894736842</v>
      </c>
    </row>
    <row r="66" spans="1:12">
      <c r="A66" s="43" t="s">
        <v>90</v>
      </c>
      <c r="B66" s="44">
        <v>2600</v>
      </c>
      <c r="C66" s="45" t="s">
        <v>53</v>
      </c>
      <c r="D66" s="44">
        <f t="shared" si="9"/>
        <v>25</v>
      </c>
      <c r="E66" s="46">
        <f t="shared" si="0"/>
        <v>0</v>
      </c>
      <c r="F66" s="46">
        <f t="shared" si="1"/>
        <v>25</v>
      </c>
      <c r="G66" s="46">
        <f t="shared" si="2"/>
        <v>0</v>
      </c>
      <c r="H66" s="47">
        <f t="shared" si="3"/>
        <v>0</v>
      </c>
      <c r="I66" s="47">
        <f t="shared" si="4"/>
        <v>0.33300000000000002</v>
      </c>
      <c r="J66" s="46">
        <f t="shared" si="5"/>
        <v>3940</v>
      </c>
      <c r="K66" s="46">
        <f t="shared" si="6"/>
        <v>1315</v>
      </c>
      <c r="L66" s="48">
        <f t="shared" si="7"/>
        <v>0.33375634517766495</v>
      </c>
    </row>
    <row r="67" spans="1:12">
      <c r="A67" s="43" t="s">
        <v>91</v>
      </c>
      <c r="B67" s="44">
        <v>2000</v>
      </c>
      <c r="C67" s="45" t="s">
        <v>53</v>
      </c>
      <c r="D67" s="44">
        <f t="shared" si="9"/>
        <v>25</v>
      </c>
      <c r="E67" s="46">
        <f t="shared" si="0"/>
        <v>0</v>
      </c>
      <c r="F67" s="46">
        <f t="shared" si="1"/>
        <v>25</v>
      </c>
      <c r="G67" s="46">
        <f t="shared" si="2"/>
        <v>0</v>
      </c>
      <c r="H67" s="47">
        <f t="shared" si="3"/>
        <v>0</v>
      </c>
      <c r="I67" s="47">
        <f t="shared" si="4"/>
        <v>0.33300000000000002</v>
      </c>
      <c r="J67" s="46">
        <f t="shared" si="5"/>
        <v>3040</v>
      </c>
      <c r="K67" s="46">
        <f t="shared" si="6"/>
        <v>1015</v>
      </c>
      <c r="L67" s="48">
        <f t="shared" si="7"/>
        <v>0.33388157894736842</v>
      </c>
    </row>
    <row r="68" spans="1:12">
      <c r="A68" s="43" t="s">
        <v>92</v>
      </c>
      <c r="B68" s="44">
        <v>9100</v>
      </c>
      <c r="C68" s="45" t="s">
        <v>53</v>
      </c>
      <c r="D68" s="44">
        <f t="shared" si="9"/>
        <v>25</v>
      </c>
      <c r="E68" s="46">
        <f t="shared" si="0"/>
        <v>0</v>
      </c>
      <c r="F68" s="46">
        <f t="shared" si="1"/>
        <v>25</v>
      </c>
      <c r="G68" s="46">
        <f t="shared" si="2"/>
        <v>0</v>
      </c>
      <c r="H68" s="47">
        <f t="shared" si="3"/>
        <v>0</v>
      </c>
      <c r="I68" s="47">
        <f t="shared" si="4"/>
        <v>0.33300000000000002</v>
      </c>
      <c r="J68" s="46">
        <f t="shared" si="5"/>
        <v>13680</v>
      </c>
      <c r="K68" s="46">
        <f t="shared" si="6"/>
        <v>4555</v>
      </c>
      <c r="L68" s="48">
        <f t="shared" si="7"/>
        <v>0.33296783625730997</v>
      </c>
    </row>
    <row r="69" spans="1:12">
      <c r="A69" s="43" t="s">
        <v>93</v>
      </c>
      <c r="B69" s="44">
        <v>3000</v>
      </c>
      <c r="C69" s="45" t="s">
        <v>53</v>
      </c>
      <c r="D69" s="44">
        <f t="shared" si="9"/>
        <v>25</v>
      </c>
      <c r="E69" s="46">
        <f t="shared" si="0"/>
        <v>0</v>
      </c>
      <c r="F69" s="46">
        <f t="shared" si="1"/>
        <v>25</v>
      </c>
      <c r="G69" s="46">
        <f t="shared" si="2"/>
        <v>0</v>
      </c>
      <c r="H69" s="47">
        <f t="shared" si="3"/>
        <v>0</v>
      </c>
      <c r="I69" s="47">
        <f t="shared" si="4"/>
        <v>0.33300000000000002</v>
      </c>
      <c r="J69" s="46">
        <f t="shared" si="5"/>
        <v>4540</v>
      </c>
      <c r="K69" s="46">
        <f t="shared" si="6"/>
        <v>1515</v>
      </c>
      <c r="L69" s="48">
        <f t="shared" si="7"/>
        <v>0.33370044052863435</v>
      </c>
    </row>
    <row r="70" spans="1:12">
      <c r="A70" s="43" t="s">
        <v>94</v>
      </c>
      <c r="B70" s="44">
        <v>3000</v>
      </c>
      <c r="C70" s="45" t="s">
        <v>53</v>
      </c>
      <c r="D70" s="44">
        <f t="shared" si="9"/>
        <v>25</v>
      </c>
      <c r="E70" s="46">
        <f t="shared" si="0"/>
        <v>0</v>
      </c>
      <c r="F70" s="46">
        <f t="shared" si="1"/>
        <v>25</v>
      </c>
      <c r="G70" s="46">
        <f t="shared" si="2"/>
        <v>0</v>
      </c>
      <c r="H70" s="47">
        <f t="shared" si="3"/>
        <v>0</v>
      </c>
      <c r="I70" s="47">
        <f t="shared" si="4"/>
        <v>0.33300000000000002</v>
      </c>
      <c r="J70" s="46">
        <f t="shared" si="5"/>
        <v>4540</v>
      </c>
      <c r="K70" s="46">
        <f t="shared" si="6"/>
        <v>1515</v>
      </c>
      <c r="L70" s="48">
        <f t="shared" si="7"/>
        <v>0.33370044052863435</v>
      </c>
    </row>
    <row r="71" spans="1:12">
      <c r="A71" s="43" t="s">
        <v>95</v>
      </c>
      <c r="B71" s="44">
        <v>4200</v>
      </c>
      <c r="C71" s="45" t="s">
        <v>53</v>
      </c>
      <c r="D71" s="44">
        <f t="shared" si="9"/>
        <v>25</v>
      </c>
      <c r="E71" s="46">
        <f t="shared" si="0"/>
        <v>0</v>
      </c>
      <c r="F71" s="46">
        <f t="shared" si="1"/>
        <v>25</v>
      </c>
      <c r="G71" s="46">
        <f t="shared" si="2"/>
        <v>0</v>
      </c>
      <c r="H71" s="47">
        <f t="shared" si="3"/>
        <v>0</v>
      </c>
      <c r="I71" s="47">
        <f t="shared" si="4"/>
        <v>0.33300000000000002</v>
      </c>
      <c r="J71" s="46">
        <f t="shared" si="5"/>
        <v>6330</v>
      </c>
      <c r="K71" s="46">
        <f t="shared" si="6"/>
        <v>2105</v>
      </c>
      <c r="L71" s="48">
        <f t="shared" si="7"/>
        <v>0.33254344391785151</v>
      </c>
    </row>
    <row r="72" spans="1:12">
      <c r="A72" s="43" t="s">
        <v>96</v>
      </c>
      <c r="B72" s="44">
        <v>3100</v>
      </c>
      <c r="C72" s="45" t="s">
        <v>53</v>
      </c>
      <c r="D72" s="44">
        <f t="shared" si="9"/>
        <v>25</v>
      </c>
      <c r="E72" s="46">
        <f t="shared" si="0"/>
        <v>0</v>
      </c>
      <c r="F72" s="46">
        <f t="shared" si="1"/>
        <v>25</v>
      </c>
      <c r="G72" s="46">
        <f t="shared" si="2"/>
        <v>0</v>
      </c>
      <c r="H72" s="47">
        <f t="shared" si="3"/>
        <v>0</v>
      </c>
      <c r="I72" s="47">
        <f t="shared" si="4"/>
        <v>0.33300000000000002</v>
      </c>
      <c r="J72" s="46">
        <f t="shared" si="5"/>
        <v>4690</v>
      </c>
      <c r="K72" s="46">
        <f t="shared" si="6"/>
        <v>1565</v>
      </c>
      <c r="L72" s="48">
        <f t="shared" si="7"/>
        <v>0.33368869936034118</v>
      </c>
    </row>
    <row r="73" spans="1:12">
      <c r="A73" s="43" t="s">
        <v>97</v>
      </c>
      <c r="B73" s="44">
        <v>4000</v>
      </c>
      <c r="C73" s="45" t="s">
        <v>53</v>
      </c>
      <c r="D73" s="44">
        <f t="shared" si="9"/>
        <v>25</v>
      </c>
      <c r="E73" s="46">
        <f t="shared" si="0"/>
        <v>0</v>
      </c>
      <c r="F73" s="46">
        <f t="shared" si="1"/>
        <v>25</v>
      </c>
      <c r="G73" s="46">
        <f t="shared" si="2"/>
        <v>0</v>
      </c>
      <c r="H73" s="47">
        <f t="shared" si="3"/>
        <v>0</v>
      </c>
      <c r="I73" s="47">
        <f t="shared" si="4"/>
        <v>0.33300000000000002</v>
      </c>
      <c r="J73" s="46">
        <f t="shared" si="5"/>
        <v>6030</v>
      </c>
      <c r="K73" s="46">
        <f t="shared" si="6"/>
        <v>2005</v>
      </c>
      <c r="L73" s="48">
        <f t="shared" si="7"/>
        <v>0.33250414593698174</v>
      </c>
    </row>
    <row r="74" spans="1:12">
      <c r="A74" s="43" t="s">
        <v>98</v>
      </c>
      <c r="B74" s="44">
        <v>2000</v>
      </c>
      <c r="C74" s="45" t="s">
        <v>53</v>
      </c>
      <c r="D74" s="44">
        <f t="shared" si="9"/>
        <v>25</v>
      </c>
      <c r="E74" s="46">
        <f t="shared" si="0"/>
        <v>0</v>
      </c>
      <c r="F74" s="46">
        <f t="shared" si="1"/>
        <v>25</v>
      </c>
      <c r="G74" s="46">
        <f t="shared" si="2"/>
        <v>0</v>
      </c>
      <c r="H74" s="47">
        <f t="shared" si="3"/>
        <v>0</v>
      </c>
      <c r="I74" s="47">
        <f t="shared" si="4"/>
        <v>0.33300000000000002</v>
      </c>
      <c r="J74" s="46">
        <f t="shared" si="5"/>
        <v>3040</v>
      </c>
      <c r="K74" s="46">
        <f t="shared" si="6"/>
        <v>1015</v>
      </c>
      <c r="L74" s="48">
        <f t="shared" si="7"/>
        <v>0.33388157894736842</v>
      </c>
    </row>
    <row r="75" spans="1:12">
      <c r="A75" s="43" t="s">
        <v>99</v>
      </c>
      <c r="B75" s="44">
        <v>7500</v>
      </c>
      <c r="C75" s="45" t="s">
        <v>53</v>
      </c>
      <c r="D75" s="44">
        <f t="shared" si="9"/>
        <v>25</v>
      </c>
      <c r="E75" s="46">
        <f t="shared" si="0"/>
        <v>0</v>
      </c>
      <c r="F75" s="46">
        <f t="shared" si="1"/>
        <v>25</v>
      </c>
      <c r="G75" s="46">
        <f t="shared" si="2"/>
        <v>0</v>
      </c>
      <c r="H75" s="47">
        <f t="shared" si="3"/>
        <v>0</v>
      </c>
      <c r="I75" s="47">
        <f t="shared" si="4"/>
        <v>0.33300000000000002</v>
      </c>
      <c r="J75" s="46">
        <f t="shared" si="5"/>
        <v>11280</v>
      </c>
      <c r="K75" s="46">
        <f t="shared" si="6"/>
        <v>3755</v>
      </c>
      <c r="L75" s="48">
        <f t="shared" si="7"/>
        <v>0.3328900709219858</v>
      </c>
    </row>
    <row r="76" spans="1:12">
      <c r="A76" s="43" t="s">
        <v>100</v>
      </c>
      <c r="B76" s="44">
        <v>5700</v>
      </c>
      <c r="C76" s="45" t="s">
        <v>53</v>
      </c>
      <c r="D76" s="44">
        <f t="shared" si="9"/>
        <v>25</v>
      </c>
      <c r="E76" s="46">
        <f t="shared" si="0"/>
        <v>0</v>
      </c>
      <c r="F76" s="46">
        <f t="shared" si="1"/>
        <v>25</v>
      </c>
      <c r="G76" s="46">
        <f t="shared" si="2"/>
        <v>0</v>
      </c>
      <c r="H76" s="47">
        <f t="shared" si="3"/>
        <v>0</v>
      </c>
      <c r="I76" s="47">
        <f t="shared" si="4"/>
        <v>0.33300000000000002</v>
      </c>
      <c r="J76" s="46">
        <f t="shared" si="5"/>
        <v>8580</v>
      </c>
      <c r="K76" s="46">
        <f t="shared" si="6"/>
        <v>2855</v>
      </c>
      <c r="L76" s="48">
        <f t="shared" si="7"/>
        <v>0.33275058275058272</v>
      </c>
    </row>
    <row r="77" spans="1:12">
      <c r="A77" s="43" t="s">
        <v>101</v>
      </c>
      <c r="B77" s="44">
        <v>5000</v>
      </c>
      <c r="C77" s="45" t="s">
        <v>53</v>
      </c>
      <c r="D77" s="44">
        <f t="shared" si="9"/>
        <v>25</v>
      </c>
      <c r="E77" s="46">
        <f t="shared" si="0"/>
        <v>0</v>
      </c>
      <c r="F77" s="46">
        <f t="shared" si="1"/>
        <v>25</v>
      </c>
      <c r="G77" s="46">
        <f t="shared" si="2"/>
        <v>0</v>
      </c>
      <c r="H77" s="47">
        <f t="shared" si="3"/>
        <v>0</v>
      </c>
      <c r="I77" s="47">
        <f t="shared" si="4"/>
        <v>0.33300000000000002</v>
      </c>
      <c r="J77" s="46">
        <f t="shared" si="5"/>
        <v>7530</v>
      </c>
      <c r="K77" s="46">
        <f t="shared" si="6"/>
        <v>2505</v>
      </c>
      <c r="L77" s="48">
        <f t="shared" si="7"/>
        <v>0.33266932270916333</v>
      </c>
    </row>
    <row r="78" spans="1:12">
      <c r="A78" s="43" t="s">
        <v>102</v>
      </c>
      <c r="B78" s="44">
        <v>1600</v>
      </c>
      <c r="C78" s="45" t="s">
        <v>53</v>
      </c>
      <c r="D78" s="44">
        <f t="shared" si="9"/>
        <v>25</v>
      </c>
      <c r="E78" s="46">
        <f t="shared" si="0"/>
        <v>0</v>
      </c>
      <c r="F78" s="46">
        <f t="shared" si="1"/>
        <v>25</v>
      </c>
      <c r="G78" s="46">
        <f t="shared" si="2"/>
        <v>0</v>
      </c>
      <c r="H78" s="47">
        <f t="shared" si="3"/>
        <v>0</v>
      </c>
      <c r="I78" s="47">
        <f t="shared" si="4"/>
        <v>0.33300000000000002</v>
      </c>
      <c r="J78" s="46">
        <f t="shared" si="5"/>
        <v>2440</v>
      </c>
      <c r="K78" s="46">
        <f t="shared" si="6"/>
        <v>815</v>
      </c>
      <c r="L78" s="48">
        <f t="shared" si="7"/>
        <v>0.33401639344262296</v>
      </c>
    </row>
    <row r="79" spans="1:12">
      <c r="A79" s="43" t="s">
        <v>103</v>
      </c>
      <c r="B79" s="44">
        <v>4400</v>
      </c>
      <c r="C79" s="45" t="s">
        <v>53</v>
      </c>
      <c r="D79" s="44">
        <f t="shared" si="9"/>
        <v>25</v>
      </c>
      <c r="E79" s="46">
        <f t="shared" ref="E79:E142" si="10">IF(A79="","",IF(C79="NO",0,IF(D79&lt;&gt;"",D79,$B$11)))</f>
        <v>0</v>
      </c>
      <c r="F79" s="46">
        <f t="shared" ref="F79:F142" si="11">IF(A79="","",$B$7/$B$6)</f>
        <v>25</v>
      </c>
      <c r="G79" s="46">
        <f t="shared" ref="G79:G142" si="12">IF(A79="","",($B$8-$B$9)/$B$6)</f>
        <v>0</v>
      </c>
      <c r="H79" s="47">
        <f t="shared" ref="H79:H142" si="13">IF(A79="","",$B$10)</f>
        <v>0</v>
      </c>
      <c r="I79" s="47">
        <f t="shared" ref="I79:I142" si="14">IF(A79="","",$B$5)</f>
        <v>0.33300000000000002</v>
      </c>
      <c r="J79" s="46">
        <f t="shared" ref="J79:J142" si="15">IF(OR(A79="",B79=""),"",ROUND((B79+E79+F79+G79)/(1-H79-I79),-1))</f>
        <v>6630</v>
      </c>
      <c r="K79" s="46">
        <f t="shared" ref="K79:K142" si="16">IF(J79="","",J79-B79-E79-F79-G79-(J79*H79))</f>
        <v>2205</v>
      </c>
      <c r="L79" s="48">
        <f t="shared" ref="L79:L142" si="17">IF(J79="","",K79/J79)</f>
        <v>0.33257918552036198</v>
      </c>
    </row>
    <row r="80" spans="1:12">
      <c r="A80" s="43" t="s">
        <v>104</v>
      </c>
      <c r="B80" s="44">
        <v>4300</v>
      </c>
      <c r="C80" s="45" t="s">
        <v>53</v>
      </c>
      <c r="D80" s="44">
        <f t="shared" si="9"/>
        <v>25</v>
      </c>
      <c r="E80" s="46">
        <f t="shared" si="10"/>
        <v>0</v>
      </c>
      <c r="F80" s="46">
        <f t="shared" si="11"/>
        <v>25</v>
      </c>
      <c r="G80" s="46">
        <f t="shared" si="12"/>
        <v>0</v>
      </c>
      <c r="H80" s="47">
        <f t="shared" si="13"/>
        <v>0</v>
      </c>
      <c r="I80" s="47">
        <f t="shared" si="14"/>
        <v>0.33300000000000002</v>
      </c>
      <c r="J80" s="46">
        <f t="shared" si="15"/>
        <v>6480</v>
      </c>
      <c r="K80" s="46">
        <f t="shared" si="16"/>
        <v>2155</v>
      </c>
      <c r="L80" s="48">
        <f t="shared" si="17"/>
        <v>0.33256172839506171</v>
      </c>
    </row>
    <row r="81" spans="1:12">
      <c r="A81" s="43" t="s">
        <v>105</v>
      </c>
      <c r="B81" s="44">
        <v>2200</v>
      </c>
      <c r="C81" s="45" t="s">
        <v>53</v>
      </c>
      <c r="D81" s="44">
        <f t="shared" si="9"/>
        <v>25</v>
      </c>
      <c r="E81" s="46">
        <f t="shared" si="10"/>
        <v>0</v>
      </c>
      <c r="F81" s="46">
        <f t="shared" si="11"/>
        <v>25</v>
      </c>
      <c r="G81" s="46">
        <f t="shared" si="12"/>
        <v>0</v>
      </c>
      <c r="H81" s="47">
        <f t="shared" si="13"/>
        <v>0</v>
      </c>
      <c r="I81" s="47">
        <f t="shared" si="14"/>
        <v>0.33300000000000002</v>
      </c>
      <c r="J81" s="46">
        <f t="shared" si="15"/>
        <v>3340</v>
      </c>
      <c r="K81" s="46">
        <f t="shared" si="16"/>
        <v>1115</v>
      </c>
      <c r="L81" s="48">
        <f t="shared" si="17"/>
        <v>0.33383233532934131</v>
      </c>
    </row>
    <row r="82" spans="1:12">
      <c r="A82" s="43" t="s">
        <v>106</v>
      </c>
      <c r="B82" s="44">
        <v>1900</v>
      </c>
      <c r="C82" s="45" t="s">
        <v>53</v>
      </c>
      <c r="D82" s="44">
        <f t="shared" si="9"/>
        <v>25</v>
      </c>
      <c r="E82" s="46">
        <f t="shared" si="10"/>
        <v>0</v>
      </c>
      <c r="F82" s="46">
        <f t="shared" si="11"/>
        <v>25</v>
      </c>
      <c r="G82" s="46">
        <f t="shared" si="12"/>
        <v>0</v>
      </c>
      <c r="H82" s="47">
        <f t="shared" si="13"/>
        <v>0</v>
      </c>
      <c r="I82" s="47">
        <f t="shared" si="14"/>
        <v>0.33300000000000002</v>
      </c>
      <c r="J82" s="46">
        <f t="shared" si="15"/>
        <v>2890</v>
      </c>
      <c r="K82" s="46">
        <f t="shared" si="16"/>
        <v>965</v>
      </c>
      <c r="L82" s="48">
        <f t="shared" si="17"/>
        <v>0.33391003460207613</v>
      </c>
    </row>
    <row r="83" spans="1:12">
      <c r="A83" s="43" t="s">
        <v>107</v>
      </c>
      <c r="B83" s="44">
        <v>4500</v>
      </c>
      <c r="C83" s="45" t="s">
        <v>53</v>
      </c>
      <c r="D83" s="44">
        <f t="shared" si="9"/>
        <v>25</v>
      </c>
      <c r="E83" s="46">
        <f t="shared" si="10"/>
        <v>0</v>
      </c>
      <c r="F83" s="46">
        <f t="shared" si="11"/>
        <v>25</v>
      </c>
      <c r="G83" s="46">
        <f t="shared" si="12"/>
        <v>0</v>
      </c>
      <c r="H83" s="47">
        <f t="shared" si="13"/>
        <v>0</v>
      </c>
      <c r="I83" s="47">
        <f t="shared" si="14"/>
        <v>0.33300000000000002</v>
      </c>
      <c r="J83" s="46">
        <f t="shared" si="15"/>
        <v>6780</v>
      </c>
      <c r="K83" s="46">
        <f t="shared" si="16"/>
        <v>2255</v>
      </c>
      <c r="L83" s="48">
        <f t="shared" si="17"/>
        <v>0.33259587020648967</v>
      </c>
    </row>
    <row r="84" spans="1:12">
      <c r="A84" s="43" t="s">
        <v>108</v>
      </c>
      <c r="B84" s="44">
        <v>2700</v>
      </c>
      <c r="C84" s="45" t="s">
        <v>53</v>
      </c>
      <c r="D84" s="44">
        <f t="shared" si="9"/>
        <v>25</v>
      </c>
      <c r="E84" s="46">
        <f t="shared" si="10"/>
        <v>0</v>
      </c>
      <c r="F84" s="46">
        <f t="shared" si="11"/>
        <v>25</v>
      </c>
      <c r="G84" s="46">
        <f t="shared" si="12"/>
        <v>0</v>
      </c>
      <c r="H84" s="47">
        <f t="shared" si="13"/>
        <v>0</v>
      </c>
      <c r="I84" s="47">
        <f t="shared" si="14"/>
        <v>0.33300000000000002</v>
      </c>
      <c r="J84" s="46">
        <f t="shared" si="15"/>
        <v>4090</v>
      </c>
      <c r="K84" s="46">
        <f t="shared" si="16"/>
        <v>1365</v>
      </c>
      <c r="L84" s="48">
        <f t="shared" si="17"/>
        <v>0.33374083129584353</v>
      </c>
    </row>
    <row r="85" spans="1:12">
      <c r="A85" s="43" t="s">
        <v>109</v>
      </c>
      <c r="B85" s="44">
        <v>2600</v>
      </c>
      <c r="C85" s="45" t="s">
        <v>53</v>
      </c>
      <c r="D85" s="44">
        <f t="shared" si="9"/>
        <v>25</v>
      </c>
      <c r="E85" s="46">
        <f t="shared" si="10"/>
        <v>0</v>
      </c>
      <c r="F85" s="46">
        <f t="shared" si="11"/>
        <v>25</v>
      </c>
      <c r="G85" s="46">
        <f t="shared" si="12"/>
        <v>0</v>
      </c>
      <c r="H85" s="47">
        <f t="shared" si="13"/>
        <v>0</v>
      </c>
      <c r="I85" s="47">
        <f t="shared" si="14"/>
        <v>0.33300000000000002</v>
      </c>
      <c r="J85" s="46">
        <f t="shared" si="15"/>
        <v>3940</v>
      </c>
      <c r="K85" s="46">
        <f t="shared" si="16"/>
        <v>1315</v>
      </c>
      <c r="L85" s="48">
        <f t="shared" si="17"/>
        <v>0.33375634517766495</v>
      </c>
    </row>
    <row r="86" spans="1:12">
      <c r="A86" s="43" t="s">
        <v>110</v>
      </c>
      <c r="B86" s="44">
        <v>3700</v>
      </c>
      <c r="C86" s="45" t="s">
        <v>53</v>
      </c>
      <c r="D86" s="44">
        <f t="shared" si="9"/>
        <v>25</v>
      </c>
      <c r="E86" s="46">
        <f t="shared" si="10"/>
        <v>0</v>
      </c>
      <c r="F86" s="46">
        <f t="shared" si="11"/>
        <v>25</v>
      </c>
      <c r="G86" s="46">
        <f t="shared" si="12"/>
        <v>0</v>
      </c>
      <c r="H86" s="47">
        <f t="shared" si="13"/>
        <v>0</v>
      </c>
      <c r="I86" s="47">
        <f t="shared" si="14"/>
        <v>0.33300000000000002</v>
      </c>
      <c r="J86" s="46">
        <f t="shared" si="15"/>
        <v>5580</v>
      </c>
      <c r="K86" s="46">
        <f t="shared" si="16"/>
        <v>1855</v>
      </c>
      <c r="L86" s="48">
        <f t="shared" si="17"/>
        <v>0.33243727598566308</v>
      </c>
    </row>
    <row r="87" spans="1:12">
      <c r="A87" s="43" t="s">
        <v>111</v>
      </c>
      <c r="B87" s="44">
        <v>4000</v>
      </c>
      <c r="C87" s="45" t="s">
        <v>53</v>
      </c>
      <c r="D87" s="44">
        <f t="shared" si="9"/>
        <v>25</v>
      </c>
      <c r="E87" s="46">
        <f t="shared" si="10"/>
        <v>0</v>
      </c>
      <c r="F87" s="46">
        <f t="shared" si="11"/>
        <v>25</v>
      </c>
      <c r="G87" s="46">
        <f t="shared" si="12"/>
        <v>0</v>
      </c>
      <c r="H87" s="47">
        <f t="shared" si="13"/>
        <v>0</v>
      </c>
      <c r="I87" s="47">
        <f t="shared" si="14"/>
        <v>0.33300000000000002</v>
      </c>
      <c r="J87" s="46">
        <f t="shared" si="15"/>
        <v>6030</v>
      </c>
      <c r="K87" s="46">
        <f t="shared" si="16"/>
        <v>2005</v>
      </c>
      <c r="L87" s="48">
        <f t="shared" si="17"/>
        <v>0.33250414593698174</v>
      </c>
    </row>
    <row r="88" spans="1:12">
      <c r="A88" s="43" t="s">
        <v>112</v>
      </c>
      <c r="B88" s="44">
        <v>4900</v>
      </c>
      <c r="C88" s="45" t="s">
        <v>53</v>
      </c>
      <c r="D88" s="44">
        <f t="shared" si="9"/>
        <v>25</v>
      </c>
      <c r="E88" s="46">
        <f t="shared" si="10"/>
        <v>0</v>
      </c>
      <c r="F88" s="46">
        <f t="shared" si="11"/>
        <v>25</v>
      </c>
      <c r="G88" s="46">
        <f t="shared" si="12"/>
        <v>0</v>
      </c>
      <c r="H88" s="47">
        <f t="shared" si="13"/>
        <v>0</v>
      </c>
      <c r="I88" s="47">
        <f t="shared" si="14"/>
        <v>0.33300000000000002</v>
      </c>
      <c r="J88" s="46">
        <f t="shared" si="15"/>
        <v>7380</v>
      </c>
      <c r="K88" s="46">
        <f t="shared" si="16"/>
        <v>2455</v>
      </c>
      <c r="L88" s="48">
        <f t="shared" si="17"/>
        <v>0.33265582655826559</v>
      </c>
    </row>
    <row r="89" spans="1:12">
      <c r="A89" s="43" t="s">
        <v>113</v>
      </c>
      <c r="B89" s="44">
        <v>2200</v>
      </c>
      <c r="C89" s="45" t="s">
        <v>53</v>
      </c>
      <c r="D89" s="44">
        <f t="shared" si="9"/>
        <v>25</v>
      </c>
      <c r="E89" s="46">
        <f t="shared" si="10"/>
        <v>0</v>
      </c>
      <c r="F89" s="46">
        <f t="shared" si="11"/>
        <v>25</v>
      </c>
      <c r="G89" s="46">
        <f t="shared" si="12"/>
        <v>0</v>
      </c>
      <c r="H89" s="47">
        <f t="shared" si="13"/>
        <v>0</v>
      </c>
      <c r="I89" s="47">
        <f t="shared" si="14"/>
        <v>0.33300000000000002</v>
      </c>
      <c r="J89" s="46">
        <f t="shared" si="15"/>
        <v>3340</v>
      </c>
      <c r="K89" s="46">
        <f t="shared" si="16"/>
        <v>1115</v>
      </c>
      <c r="L89" s="48">
        <f t="shared" si="17"/>
        <v>0.33383233532934131</v>
      </c>
    </row>
    <row r="90" spans="1:12">
      <c r="A90" s="43" t="s">
        <v>114</v>
      </c>
      <c r="B90" s="44">
        <v>1900</v>
      </c>
      <c r="C90" s="45" t="s">
        <v>53</v>
      </c>
      <c r="D90" s="44">
        <f t="shared" si="9"/>
        <v>25</v>
      </c>
      <c r="E90" s="46">
        <f t="shared" si="10"/>
        <v>0</v>
      </c>
      <c r="F90" s="46">
        <f t="shared" si="11"/>
        <v>25</v>
      </c>
      <c r="G90" s="46">
        <f t="shared" si="12"/>
        <v>0</v>
      </c>
      <c r="H90" s="47">
        <f t="shared" si="13"/>
        <v>0</v>
      </c>
      <c r="I90" s="47">
        <f t="shared" si="14"/>
        <v>0.33300000000000002</v>
      </c>
      <c r="J90" s="46">
        <f t="shared" si="15"/>
        <v>2890</v>
      </c>
      <c r="K90" s="46">
        <f t="shared" si="16"/>
        <v>965</v>
      </c>
      <c r="L90" s="48">
        <f t="shared" si="17"/>
        <v>0.33391003460207613</v>
      </c>
    </row>
    <row r="91" spans="1:12">
      <c r="A91" s="43" t="s">
        <v>115</v>
      </c>
      <c r="B91" s="44">
        <v>800</v>
      </c>
      <c r="C91" s="45" t="s">
        <v>53</v>
      </c>
      <c r="D91" s="44">
        <f t="shared" si="9"/>
        <v>25</v>
      </c>
      <c r="E91" s="46">
        <f t="shared" si="10"/>
        <v>0</v>
      </c>
      <c r="F91" s="46">
        <f t="shared" si="11"/>
        <v>25</v>
      </c>
      <c r="G91" s="46">
        <f t="shared" si="12"/>
        <v>0</v>
      </c>
      <c r="H91" s="47">
        <f t="shared" si="13"/>
        <v>0</v>
      </c>
      <c r="I91" s="47">
        <f t="shared" si="14"/>
        <v>0.33300000000000002</v>
      </c>
      <c r="J91" s="46">
        <f t="shared" si="15"/>
        <v>1240</v>
      </c>
      <c r="K91" s="46">
        <f t="shared" si="16"/>
        <v>415</v>
      </c>
      <c r="L91" s="48">
        <f t="shared" si="17"/>
        <v>0.33467741935483869</v>
      </c>
    </row>
    <row r="92" spans="1:12">
      <c r="A92" s="43" t="s">
        <v>116</v>
      </c>
      <c r="B92" s="44">
        <v>5000</v>
      </c>
      <c r="C92" s="45" t="s">
        <v>38</v>
      </c>
      <c r="D92" s="44">
        <v>1000</v>
      </c>
      <c r="E92" s="46">
        <f t="shared" si="10"/>
        <v>1000</v>
      </c>
      <c r="F92" s="46">
        <f t="shared" si="11"/>
        <v>25</v>
      </c>
      <c r="G92" s="46">
        <f t="shared" si="12"/>
        <v>0</v>
      </c>
      <c r="H92" s="47">
        <f t="shared" si="13"/>
        <v>0</v>
      </c>
      <c r="I92" s="47">
        <f t="shared" si="14"/>
        <v>0.33300000000000002</v>
      </c>
      <c r="J92" s="46">
        <f t="shared" si="15"/>
        <v>9030</v>
      </c>
      <c r="K92" s="46">
        <f t="shared" si="16"/>
        <v>3005</v>
      </c>
      <c r="L92" s="48">
        <f t="shared" si="17"/>
        <v>0.33277962347729789</v>
      </c>
    </row>
    <row r="93" spans="1:12">
      <c r="A93" s="43" t="s">
        <v>117</v>
      </c>
      <c r="B93" s="44">
        <v>4100</v>
      </c>
      <c r="C93" s="45" t="s">
        <v>53</v>
      </c>
      <c r="D93" s="44">
        <f t="shared" ref="D93:D101" si="18">IF(A93="","",$B$7/$B$6)</f>
        <v>25</v>
      </c>
      <c r="E93" s="46">
        <f t="shared" si="10"/>
        <v>0</v>
      </c>
      <c r="F93" s="46">
        <f t="shared" si="11"/>
        <v>25</v>
      </c>
      <c r="G93" s="46">
        <f t="shared" si="12"/>
        <v>0</v>
      </c>
      <c r="H93" s="47">
        <f t="shared" si="13"/>
        <v>0</v>
      </c>
      <c r="I93" s="47">
        <f t="shared" si="14"/>
        <v>0.33300000000000002</v>
      </c>
      <c r="J93" s="46">
        <f t="shared" si="15"/>
        <v>6180</v>
      </c>
      <c r="K93" s="46">
        <f t="shared" si="16"/>
        <v>2055</v>
      </c>
      <c r="L93" s="48">
        <f t="shared" si="17"/>
        <v>0.33252427184466021</v>
      </c>
    </row>
    <row r="94" spans="1:12">
      <c r="A94" s="43" t="s">
        <v>118</v>
      </c>
      <c r="B94" s="44">
        <v>4100</v>
      </c>
      <c r="C94" s="45" t="s">
        <v>53</v>
      </c>
      <c r="D94" s="44">
        <f t="shared" si="18"/>
        <v>25</v>
      </c>
      <c r="E94" s="46">
        <f t="shared" si="10"/>
        <v>0</v>
      </c>
      <c r="F94" s="46">
        <f t="shared" si="11"/>
        <v>25</v>
      </c>
      <c r="G94" s="46">
        <f t="shared" si="12"/>
        <v>0</v>
      </c>
      <c r="H94" s="47">
        <f t="shared" si="13"/>
        <v>0</v>
      </c>
      <c r="I94" s="47">
        <f t="shared" si="14"/>
        <v>0.33300000000000002</v>
      </c>
      <c r="J94" s="46">
        <f t="shared" si="15"/>
        <v>6180</v>
      </c>
      <c r="K94" s="46">
        <f t="shared" si="16"/>
        <v>2055</v>
      </c>
      <c r="L94" s="48">
        <f t="shared" si="17"/>
        <v>0.33252427184466021</v>
      </c>
    </row>
    <row r="95" spans="1:12">
      <c r="A95" s="43" t="s">
        <v>119</v>
      </c>
      <c r="B95" s="44">
        <v>4100</v>
      </c>
      <c r="C95" s="45" t="s">
        <v>53</v>
      </c>
      <c r="D95" s="44">
        <f t="shared" si="18"/>
        <v>25</v>
      </c>
      <c r="E95" s="46">
        <f t="shared" si="10"/>
        <v>0</v>
      </c>
      <c r="F95" s="46">
        <f t="shared" si="11"/>
        <v>25</v>
      </c>
      <c r="G95" s="46">
        <f t="shared" si="12"/>
        <v>0</v>
      </c>
      <c r="H95" s="47">
        <f t="shared" si="13"/>
        <v>0</v>
      </c>
      <c r="I95" s="47">
        <f t="shared" si="14"/>
        <v>0.33300000000000002</v>
      </c>
      <c r="J95" s="46">
        <f t="shared" si="15"/>
        <v>6180</v>
      </c>
      <c r="K95" s="46">
        <f t="shared" si="16"/>
        <v>2055</v>
      </c>
      <c r="L95" s="48">
        <f t="shared" si="17"/>
        <v>0.33252427184466021</v>
      </c>
    </row>
    <row r="96" spans="1:12">
      <c r="A96" s="43" t="s">
        <v>120</v>
      </c>
      <c r="B96" s="44">
        <v>4100</v>
      </c>
      <c r="C96" s="45" t="s">
        <v>53</v>
      </c>
      <c r="D96" s="44">
        <f t="shared" si="18"/>
        <v>25</v>
      </c>
      <c r="E96" s="46">
        <f t="shared" si="10"/>
        <v>0</v>
      </c>
      <c r="F96" s="46">
        <f t="shared" si="11"/>
        <v>25</v>
      </c>
      <c r="G96" s="46">
        <f t="shared" si="12"/>
        <v>0</v>
      </c>
      <c r="H96" s="47">
        <f t="shared" si="13"/>
        <v>0</v>
      </c>
      <c r="I96" s="47">
        <f t="shared" si="14"/>
        <v>0.33300000000000002</v>
      </c>
      <c r="J96" s="46">
        <f t="shared" si="15"/>
        <v>6180</v>
      </c>
      <c r="K96" s="46">
        <f t="shared" si="16"/>
        <v>2055</v>
      </c>
      <c r="L96" s="48">
        <f t="shared" si="17"/>
        <v>0.33252427184466021</v>
      </c>
    </row>
    <row r="97" spans="1:12">
      <c r="A97" s="43" t="s">
        <v>121</v>
      </c>
      <c r="B97" s="44">
        <v>4100</v>
      </c>
      <c r="C97" s="45" t="s">
        <v>53</v>
      </c>
      <c r="D97" s="44">
        <f t="shared" si="18"/>
        <v>25</v>
      </c>
      <c r="E97" s="46">
        <f t="shared" si="10"/>
        <v>0</v>
      </c>
      <c r="F97" s="46">
        <f t="shared" si="11"/>
        <v>25</v>
      </c>
      <c r="G97" s="46">
        <f t="shared" si="12"/>
        <v>0</v>
      </c>
      <c r="H97" s="47">
        <f t="shared" si="13"/>
        <v>0</v>
      </c>
      <c r="I97" s="47">
        <f t="shared" si="14"/>
        <v>0.33300000000000002</v>
      </c>
      <c r="J97" s="46">
        <f t="shared" si="15"/>
        <v>6180</v>
      </c>
      <c r="K97" s="46">
        <f t="shared" si="16"/>
        <v>2055</v>
      </c>
      <c r="L97" s="48">
        <f t="shared" si="17"/>
        <v>0.33252427184466021</v>
      </c>
    </row>
    <row r="98" spans="1:12">
      <c r="A98" s="43" t="s">
        <v>122</v>
      </c>
      <c r="B98" s="44">
        <v>4100</v>
      </c>
      <c r="C98" s="45" t="s">
        <v>53</v>
      </c>
      <c r="D98" s="44">
        <f t="shared" si="18"/>
        <v>25</v>
      </c>
      <c r="E98" s="46">
        <f t="shared" si="10"/>
        <v>0</v>
      </c>
      <c r="F98" s="46">
        <f t="shared" si="11"/>
        <v>25</v>
      </c>
      <c r="G98" s="46">
        <f t="shared" si="12"/>
        <v>0</v>
      </c>
      <c r="H98" s="47">
        <f t="shared" si="13"/>
        <v>0</v>
      </c>
      <c r="I98" s="47">
        <f t="shared" si="14"/>
        <v>0.33300000000000002</v>
      </c>
      <c r="J98" s="46">
        <f t="shared" si="15"/>
        <v>6180</v>
      </c>
      <c r="K98" s="46">
        <f t="shared" si="16"/>
        <v>2055</v>
      </c>
      <c r="L98" s="48">
        <f t="shared" si="17"/>
        <v>0.33252427184466021</v>
      </c>
    </row>
    <row r="99" spans="1:12">
      <c r="A99" s="43" t="s">
        <v>123</v>
      </c>
      <c r="B99" s="44">
        <v>4100</v>
      </c>
      <c r="C99" s="45" t="s">
        <v>53</v>
      </c>
      <c r="D99" s="44">
        <f t="shared" si="18"/>
        <v>25</v>
      </c>
      <c r="E99" s="46">
        <f t="shared" si="10"/>
        <v>0</v>
      </c>
      <c r="F99" s="46">
        <f t="shared" si="11"/>
        <v>25</v>
      </c>
      <c r="G99" s="46">
        <f t="shared" si="12"/>
        <v>0</v>
      </c>
      <c r="H99" s="47">
        <f t="shared" si="13"/>
        <v>0</v>
      </c>
      <c r="I99" s="47">
        <f t="shared" si="14"/>
        <v>0.33300000000000002</v>
      </c>
      <c r="J99" s="46">
        <f t="shared" si="15"/>
        <v>6180</v>
      </c>
      <c r="K99" s="46">
        <f t="shared" si="16"/>
        <v>2055</v>
      </c>
      <c r="L99" s="48">
        <f t="shared" si="17"/>
        <v>0.33252427184466021</v>
      </c>
    </row>
    <row r="100" spans="1:12">
      <c r="A100" s="43" t="s">
        <v>124</v>
      </c>
      <c r="B100" s="44">
        <v>4100</v>
      </c>
      <c r="C100" s="45" t="s">
        <v>53</v>
      </c>
      <c r="D100" s="44">
        <f t="shared" si="18"/>
        <v>25</v>
      </c>
      <c r="E100" s="46">
        <f t="shared" si="10"/>
        <v>0</v>
      </c>
      <c r="F100" s="46">
        <f t="shared" si="11"/>
        <v>25</v>
      </c>
      <c r="G100" s="46">
        <f t="shared" si="12"/>
        <v>0</v>
      </c>
      <c r="H100" s="47">
        <f t="shared" si="13"/>
        <v>0</v>
      </c>
      <c r="I100" s="47">
        <f t="shared" si="14"/>
        <v>0.33300000000000002</v>
      </c>
      <c r="J100" s="46">
        <f t="shared" si="15"/>
        <v>6180</v>
      </c>
      <c r="K100" s="46">
        <f t="shared" si="16"/>
        <v>2055</v>
      </c>
      <c r="L100" s="48">
        <f t="shared" si="17"/>
        <v>0.33252427184466021</v>
      </c>
    </row>
    <row r="101" spans="1:12">
      <c r="A101" s="43" t="s">
        <v>125</v>
      </c>
      <c r="B101" s="44">
        <v>4100</v>
      </c>
      <c r="C101" s="45" t="s">
        <v>53</v>
      </c>
      <c r="D101" s="44">
        <f t="shared" si="18"/>
        <v>25</v>
      </c>
      <c r="E101" s="46">
        <f t="shared" si="10"/>
        <v>0</v>
      </c>
      <c r="F101" s="46">
        <f t="shared" si="11"/>
        <v>25</v>
      </c>
      <c r="G101" s="46">
        <f t="shared" si="12"/>
        <v>0</v>
      </c>
      <c r="H101" s="47">
        <f t="shared" si="13"/>
        <v>0</v>
      </c>
      <c r="I101" s="47">
        <f t="shared" si="14"/>
        <v>0.33300000000000002</v>
      </c>
      <c r="J101" s="46">
        <f t="shared" si="15"/>
        <v>6180</v>
      </c>
      <c r="K101" s="46">
        <f t="shared" si="16"/>
        <v>2055</v>
      </c>
      <c r="L101" s="48">
        <f t="shared" si="17"/>
        <v>0.33252427184466021</v>
      </c>
    </row>
    <row r="102" spans="1:12">
      <c r="A102" s="43" t="s">
        <v>126</v>
      </c>
      <c r="B102" s="44">
        <v>3000</v>
      </c>
      <c r="C102" s="45" t="s">
        <v>38</v>
      </c>
      <c r="D102" s="44">
        <v>1000</v>
      </c>
      <c r="E102" s="46">
        <f t="shared" si="10"/>
        <v>1000</v>
      </c>
      <c r="F102" s="46">
        <f t="shared" si="11"/>
        <v>25</v>
      </c>
      <c r="G102" s="46">
        <f t="shared" si="12"/>
        <v>0</v>
      </c>
      <c r="H102" s="47">
        <f t="shared" si="13"/>
        <v>0</v>
      </c>
      <c r="I102" s="47">
        <f t="shared" si="14"/>
        <v>0.33300000000000002</v>
      </c>
      <c r="J102" s="46">
        <f t="shared" si="15"/>
        <v>6030</v>
      </c>
      <c r="K102" s="46">
        <f t="shared" si="16"/>
        <v>2005</v>
      </c>
      <c r="L102" s="48">
        <f t="shared" si="17"/>
        <v>0.33250414593698174</v>
      </c>
    </row>
    <row r="103" spans="1:12">
      <c r="A103" s="43" t="s">
        <v>127</v>
      </c>
      <c r="B103" s="44">
        <v>4300</v>
      </c>
      <c r="C103" s="45" t="s">
        <v>53</v>
      </c>
      <c r="D103" s="44">
        <f t="shared" ref="D103:D108" si="19">IF(A103="","",$B$7/$B$6)</f>
        <v>25</v>
      </c>
      <c r="E103" s="46">
        <f t="shared" si="10"/>
        <v>0</v>
      </c>
      <c r="F103" s="46">
        <f t="shared" si="11"/>
        <v>25</v>
      </c>
      <c r="G103" s="46">
        <f t="shared" si="12"/>
        <v>0</v>
      </c>
      <c r="H103" s="47">
        <f t="shared" si="13"/>
        <v>0</v>
      </c>
      <c r="I103" s="47">
        <f t="shared" si="14"/>
        <v>0.33300000000000002</v>
      </c>
      <c r="J103" s="46">
        <f t="shared" si="15"/>
        <v>6480</v>
      </c>
      <c r="K103" s="46">
        <f t="shared" si="16"/>
        <v>2155</v>
      </c>
      <c r="L103" s="48">
        <f t="shared" si="17"/>
        <v>0.33256172839506171</v>
      </c>
    </row>
    <row r="104" spans="1:12">
      <c r="A104" s="43" t="s">
        <v>128</v>
      </c>
      <c r="B104" s="44">
        <v>6500</v>
      </c>
      <c r="C104" s="45" t="s">
        <v>53</v>
      </c>
      <c r="D104" s="44">
        <f t="shared" si="19"/>
        <v>25</v>
      </c>
      <c r="E104" s="46">
        <f t="shared" si="10"/>
        <v>0</v>
      </c>
      <c r="F104" s="46">
        <f t="shared" si="11"/>
        <v>25</v>
      </c>
      <c r="G104" s="46">
        <f t="shared" si="12"/>
        <v>0</v>
      </c>
      <c r="H104" s="47">
        <f t="shared" si="13"/>
        <v>0</v>
      </c>
      <c r="I104" s="47">
        <f t="shared" si="14"/>
        <v>0.33300000000000002</v>
      </c>
      <c r="J104" s="46">
        <f t="shared" si="15"/>
        <v>9780</v>
      </c>
      <c r="K104" s="46">
        <f t="shared" si="16"/>
        <v>3255</v>
      </c>
      <c r="L104" s="48">
        <f t="shared" si="17"/>
        <v>0.33282208588957057</v>
      </c>
    </row>
    <row r="105" spans="1:12">
      <c r="A105" s="43" t="s">
        <v>129</v>
      </c>
      <c r="B105" s="44">
        <v>6500</v>
      </c>
      <c r="C105" s="45" t="s">
        <v>53</v>
      </c>
      <c r="D105" s="44">
        <f t="shared" si="19"/>
        <v>25</v>
      </c>
      <c r="E105" s="46">
        <f t="shared" si="10"/>
        <v>0</v>
      </c>
      <c r="F105" s="46">
        <f t="shared" si="11"/>
        <v>25</v>
      </c>
      <c r="G105" s="46">
        <f t="shared" si="12"/>
        <v>0</v>
      </c>
      <c r="H105" s="47">
        <f t="shared" si="13"/>
        <v>0</v>
      </c>
      <c r="I105" s="47">
        <f t="shared" si="14"/>
        <v>0.33300000000000002</v>
      </c>
      <c r="J105" s="46">
        <f t="shared" si="15"/>
        <v>9780</v>
      </c>
      <c r="K105" s="46">
        <f t="shared" si="16"/>
        <v>3255</v>
      </c>
      <c r="L105" s="48">
        <f t="shared" si="17"/>
        <v>0.33282208588957057</v>
      </c>
    </row>
    <row r="106" spans="1:12">
      <c r="A106" s="43" t="s">
        <v>130</v>
      </c>
      <c r="B106" s="44">
        <v>6500</v>
      </c>
      <c r="C106" s="45" t="s">
        <v>53</v>
      </c>
      <c r="D106" s="44">
        <f t="shared" si="19"/>
        <v>25</v>
      </c>
      <c r="E106" s="46">
        <f t="shared" si="10"/>
        <v>0</v>
      </c>
      <c r="F106" s="46">
        <f t="shared" si="11"/>
        <v>25</v>
      </c>
      <c r="G106" s="46">
        <f t="shared" si="12"/>
        <v>0</v>
      </c>
      <c r="H106" s="47">
        <f t="shared" si="13"/>
        <v>0</v>
      </c>
      <c r="I106" s="47">
        <f t="shared" si="14"/>
        <v>0.33300000000000002</v>
      </c>
      <c r="J106" s="46">
        <f t="shared" si="15"/>
        <v>9780</v>
      </c>
      <c r="K106" s="46">
        <f t="shared" si="16"/>
        <v>3255</v>
      </c>
      <c r="L106" s="48">
        <f t="shared" si="17"/>
        <v>0.33282208588957057</v>
      </c>
    </row>
    <row r="107" spans="1:12">
      <c r="A107" s="43" t="s">
        <v>131</v>
      </c>
      <c r="B107" s="44">
        <v>6500</v>
      </c>
      <c r="C107" s="45" t="s">
        <v>53</v>
      </c>
      <c r="D107" s="44">
        <f t="shared" si="19"/>
        <v>25</v>
      </c>
      <c r="E107" s="46">
        <f t="shared" si="10"/>
        <v>0</v>
      </c>
      <c r="F107" s="46">
        <f t="shared" si="11"/>
        <v>25</v>
      </c>
      <c r="G107" s="46">
        <f t="shared" si="12"/>
        <v>0</v>
      </c>
      <c r="H107" s="47">
        <f t="shared" si="13"/>
        <v>0</v>
      </c>
      <c r="I107" s="47">
        <f t="shared" si="14"/>
        <v>0.33300000000000002</v>
      </c>
      <c r="J107" s="46">
        <f t="shared" si="15"/>
        <v>9780</v>
      </c>
      <c r="K107" s="46">
        <f t="shared" si="16"/>
        <v>3255</v>
      </c>
      <c r="L107" s="48">
        <f t="shared" si="17"/>
        <v>0.33282208588957057</v>
      </c>
    </row>
    <row r="108" spans="1:12">
      <c r="A108" s="43" t="s">
        <v>132</v>
      </c>
      <c r="B108" s="44">
        <v>6500</v>
      </c>
      <c r="C108" s="45" t="s">
        <v>53</v>
      </c>
      <c r="D108" s="44">
        <f t="shared" si="19"/>
        <v>25</v>
      </c>
      <c r="E108" s="46">
        <f t="shared" si="10"/>
        <v>0</v>
      </c>
      <c r="F108" s="46">
        <f t="shared" si="11"/>
        <v>25</v>
      </c>
      <c r="G108" s="46">
        <f t="shared" si="12"/>
        <v>0</v>
      </c>
      <c r="H108" s="47">
        <f t="shared" si="13"/>
        <v>0</v>
      </c>
      <c r="I108" s="47">
        <f t="shared" si="14"/>
        <v>0.33300000000000002</v>
      </c>
      <c r="J108" s="46">
        <f t="shared" si="15"/>
        <v>9780</v>
      </c>
      <c r="K108" s="46">
        <f t="shared" si="16"/>
        <v>3255</v>
      </c>
      <c r="L108" s="48">
        <f t="shared" si="17"/>
        <v>0.33282208588957057</v>
      </c>
    </row>
    <row r="109" spans="1:12">
      <c r="A109" s="43" t="s">
        <v>133</v>
      </c>
      <c r="B109" s="44">
        <v>2500</v>
      </c>
      <c r="C109" s="45" t="s">
        <v>38</v>
      </c>
      <c r="D109" s="44">
        <v>1000</v>
      </c>
      <c r="E109" s="46">
        <f t="shared" si="10"/>
        <v>1000</v>
      </c>
      <c r="F109" s="46">
        <f t="shared" si="11"/>
        <v>25</v>
      </c>
      <c r="G109" s="46">
        <f t="shared" si="12"/>
        <v>0</v>
      </c>
      <c r="H109" s="47">
        <f t="shared" si="13"/>
        <v>0</v>
      </c>
      <c r="I109" s="47">
        <f t="shared" si="14"/>
        <v>0.33300000000000002</v>
      </c>
      <c r="J109" s="46">
        <f t="shared" si="15"/>
        <v>5280</v>
      </c>
      <c r="K109" s="46">
        <f t="shared" si="16"/>
        <v>1755</v>
      </c>
      <c r="L109" s="48">
        <f t="shared" si="17"/>
        <v>0.33238636363636365</v>
      </c>
    </row>
    <row r="110" spans="1:12">
      <c r="A110" s="43" t="s">
        <v>134</v>
      </c>
      <c r="B110" s="44">
        <v>3400</v>
      </c>
      <c r="C110" s="45" t="s">
        <v>38</v>
      </c>
      <c r="D110" s="44">
        <v>1000</v>
      </c>
      <c r="E110" s="46">
        <f t="shared" si="10"/>
        <v>1000</v>
      </c>
      <c r="F110" s="46">
        <f t="shared" si="11"/>
        <v>25</v>
      </c>
      <c r="G110" s="46">
        <f t="shared" si="12"/>
        <v>0</v>
      </c>
      <c r="H110" s="47">
        <f t="shared" si="13"/>
        <v>0</v>
      </c>
      <c r="I110" s="47">
        <f t="shared" si="14"/>
        <v>0.33300000000000002</v>
      </c>
      <c r="J110" s="46">
        <f t="shared" si="15"/>
        <v>6630</v>
      </c>
      <c r="K110" s="46">
        <f t="shared" si="16"/>
        <v>2205</v>
      </c>
      <c r="L110" s="48">
        <f t="shared" si="17"/>
        <v>0.33257918552036198</v>
      </c>
    </row>
    <row r="111" spans="1:12">
      <c r="A111" s="43" t="s">
        <v>135</v>
      </c>
      <c r="B111" s="44">
        <v>4300</v>
      </c>
      <c r="C111" s="45" t="s">
        <v>38</v>
      </c>
      <c r="D111" s="44">
        <v>1000</v>
      </c>
      <c r="E111" s="46">
        <f t="shared" si="10"/>
        <v>1000</v>
      </c>
      <c r="F111" s="46">
        <f t="shared" si="11"/>
        <v>25</v>
      </c>
      <c r="G111" s="46">
        <f t="shared" si="12"/>
        <v>0</v>
      </c>
      <c r="H111" s="47">
        <f t="shared" si="13"/>
        <v>0</v>
      </c>
      <c r="I111" s="47">
        <f t="shared" si="14"/>
        <v>0.33300000000000002</v>
      </c>
      <c r="J111" s="46">
        <f t="shared" si="15"/>
        <v>7980</v>
      </c>
      <c r="K111" s="46">
        <f t="shared" si="16"/>
        <v>2655</v>
      </c>
      <c r="L111" s="48">
        <f t="shared" si="17"/>
        <v>0.33270676691729323</v>
      </c>
    </row>
    <row r="112" spans="1:12">
      <c r="A112" s="43" t="s">
        <v>136</v>
      </c>
      <c r="B112" s="44">
        <v>4300</v>
      </c>
      <c r="C112" s="45" t="s">
        <v>38</v>
      </c>
      <c r="D112" s="44">
        <v>1000</v>
      </c>
      <c r="E112" s="46">
        <f t="shared" si="10"/>
        <v>1000</v>
      </c>
      <c r="F112" s="46">
        <f t="shared" si="11"/>
        <v>25</v>
      </c>
      <c r="G112" s="46">
        <f t="shared" si="12"/>
        <v>0</v>
      </c>
      <c r="H112" s="47">
        <f t="shared" si="13"/>
        <v>0</v>
      </c>
      <c r="I112" s="47">
        <f t="shared" si="14"/>
        <v>0.33300000000000002</v>
      </c>
      <c r="J112" s="46">
        <f t="shared" si="15"/>
        <v>7980</v>
      </c>
      <c r="K112" s="46">
        <f t="shared" si="16"/>
        <v>2655</v>
      </c>
      <c r="L112" s="48">
        <f t="shared" si="17"/>
        <v>0.33270676691729323</v>
      </c>
    </row>
    <row r="113" spans="1:12">
      <c r="A113" s="43" t="s">
        <v>137</v>
      </c>
      <c r="B113" s="44">
        <v>4300</v>
      </c>
      <c r="C113" s="45" t="s">
        <v>38</v>
      </c>
      <c r="D113" s="44">
        <v>1000</v>
      </c>
      <c r="E113" s="46">
        <f t="shared" si="10"/>
        <v>1000</v>
      </c>
      <c r="F113" s="46">
        <f t="shared" si="11"/>
        <v>25</v>
      </c>
      <c r="G113" s="46">
        <f t="shared" si="12"/>
        <v>0</v>
      </c>
      <c r="H113" s="47">
        <f t="shared" si="13"/>
        <v>0</v>
      </c>
      <c r="I113" s="47">
        <f t="shared" si="14"/>
        <v>0.33300000000000002</v>
      </c>
      <c r="J113" s="46">
        <f t="shared" si="15"/>
        <v>7980</v>
      </c>
      <c r="K113" s="46">
        <f t="shared" si="16"/>
        <v>2655</v>
      </c>
      <c r="L113" s="48">
        <f t="shared" si="17"/>
        <v>0.33270676691729323</v>
      </c>
    </row>
    <row r="114" spans="1:12">
      <c r="A114" s="43" t="s">
        <v>138</v>
      </c>
      <c r="B114" s="44">
        <v>4300</v>
      </c>
      <c r="C114" s="45" t="s">
        <v>38</v>
      </c>
      <c r="D114" s="44">
        <v>1000</v>
      </c>
      <c r="E114" s="46">
        <f t="shared" si="10"/>
        <v>1000</v>
      </c>
      <c r="F114" s="46">
        <f t="shared" si="11"/>
        <v>25</v>
      </c>
      <c r="G114" s="46">
        <f t="shared" si="12"/>
        <v>0</v>
      </c>
      <c r="H114" s="47">
        <f t="shared" si="13"/>
        <v>0</v>
      </c>
      <c r="I114" s="47">
        <f t="shared" si="14"/>
        <v>0.33300000000000002</v>
      </c>
      <c r="J114" s="46">
        <f t="shared" si="15"/>
        <v>7980</v>
      </c>
      <c r="K114" s="46">
        <f t="shared" si="16"/>
        <v>2655</v>
      </c>
      <c r="L114" s="48">
        <f t="shared" si="17"/>
        <v>0.33270676691729323</v>
      </c>
    </row>
    <row r="115" spans="1:12">
      <c r="A115" s="43" t="s">
        <v>139</v>
      </c>
      <c r="B115" s="44">
        <v>4300</v>
      </c>
      <c r="C115" s="45" t="s">
        <v>38</v>
      </c>
      <c r="D115" s="44">
        <v>1000</v>
      </c>
      <c r="E115" s="46">
        <f t="shared" si="10"/>
        <v>1000</v>
      </c>
      <c r="F115" s="46">
        <f t="shared" si="11"/>
        <v>25</v>
      </c>
      <c r="G115" s="46">
        <f t="shared" si="12"/>
        <v>0</v>
      </c>
      <c r="H115" s="47">
        <f t="shared" si="13"/>
        <v>0</v>
      </c>
      <c r="I115" s="47">
        <f t="shared" si="14"/>
        <v>0.33300000000000002</v>
      </c>
      <c r="J115" s="46">
        <f t="shared" si="15"/>
        <v>7980</v>
      </c>
      <c r="K115" s="46">
        <f t="shared" si="16"/>
        <v>2655</v>
      </c>
      <c r="L115" s="48">
        <f t="shared" si="17"/>
        <v>0.33270676691729323</v>
      </c>
    </row>
    <row r="116" spans="1:12">
      <c r="A116" s="43" t="s">
        <v>140</v>
      </c>
      <c r="B116" s="44">
        <v>4300</v>
      </c>
      <c r="C116" s="45" t="s">
        <v>38</v>
      </c>
      <c r="D116" s="44">
        <v>1000</v>
      </c>
      <c r="E116" s="46">
        <f t="shared" si="10"/>
        <v>1000</v>
      </c>
      <c r="F116" s="46">
        <f t="shared" si="11"/>
        <v>25</v>
      </c>
      <c r="G116" s="46">
        <f t="shared" si="12"/>
        <v>0</v>
      </c>
      <c r="H116" s="47">
        <f t="shared" si="13"/>
        <v>0</v>
      </c>
      <c r="I116" s="47">
        <f t="shared" si="14"/>
        <v>0.33300000000000002</v>
      </c>
      <c r="J116" s="46">
        <f t="shared" si="15"/>
        <v>7980</v>
      </c>
      <c r="K116" s="46">
        <f t="shared" si="16"/>
        <v>2655</v>
      </c>
      <c r="L116" s="48">
        <f t="shared" si="17"/>
        <v>0.33270676691729323</v>
      </c>
    </row>
    <row r="117" spans="1:12">
      <c r="A117" s="43" t="s">
        <v>141</v>
      </c>
      <c r="B117" s="44">
        <v>1600</v>
      </c>
      <c r="C117" s="45" t="s">
        <v>53</v>
      </c>
      <c r="D117" s="44">
        <f t="shared" ref="D117:D140" si="20">IF(A117="","",$B$7/$B$6)</f>
        <v>25</v>
      </c>
      <c r="E117" s="46">
        <f t="shared" si="10"/>
        <v>0</v>
      </c>
      <c r="F117" s="46">
        <f t="shared" si="11"/>
        <v>25</v>
      </c>
      <c r="G117" s="46">
        <f t="shared" si="12"/>
        <v>0</v>
      </c>
      <c r="H117" s="47">
        <f t="shared" si="13"/>
        <v>0</v>
      </c>
      <c r="I117" s="47">
        <f t="shared" si="14"/>
        <v>0.33300000000000002</v>
      </c>
      <c r="J117" s="46">
        <f t="shared" si="15"/>
        <v>2440</v>
      </c>
      <c r="K117" s="46">
        <f t="shared" si="16"/>
        <v>815</v>
      </c>
      <c r="L117" s="48">
        <f t="shared" si="17"/>
        <v>0.33401639344262296</v>
      </c>
    </row>
    <row r="118" spans="1:12">
      <c r="A118" s="43" t="s">
        <v>142</v>
      </c>
      <c r="B118" s="44">
        <v>1600</v>
      </c>
      <c r="C118" s="45" t="s">
        <v>53</v>
      </c>
      <c r="D118" s="44">
        <f t="shared" si="20"/>
        <v>25</v>
      </c>
      <c r="E118" s="46">
        <f t="shared" si="10"/>
        <v>0</v>
      </c>
      <c r="F118" s="46">
        <f t="shared" si="11"/>
        <v>25</v>
      </c>
      <c r="G118" s="46">
        <f t="shared" si="12"/>
        <v>0</v>
      </c>
      <c r="H118" s="47">
        <f t="shared" si="13"/>
        <v>0</v>
      </c>
      <c r="I118" s="47">
        <f t="shared" si="14"/>
        <v>0.33300000000000002</v>
      </c>
      <c r="J118" s="46">
        <f t="shared" si="15"/>
        <v>2440</v>
      </c>
      <c r="K118" s="46">
        <f t="shared" si="16"/>
        <v>815</v>
      </c>
      <c r="L118" s="48">
        <f t="shared" si="17"/>
        <v>0.33401639344262296</v>
      </c>
    </row>
    <row r="119" spans="1:12">
      <c r="A119" s="43" t="s">
        <v>143</v>
      </c>
      <c r="B119" s="44">
        <v>1600</v>
      </c>
      <c r="C119" s="45" t="s">
        <v>53</v>
      </c>
      <c r="D119" s="44">
        <f t="shared" si="20"/>
        <v>25</v>
      </c>
      <c r="E119" s="46">
        <f t="shared" si="10"/>
        <v>0</v>
      </c>
      <c r="F119" s="46">
        <f t="shared" si="11"/>
        <v>25</v>
      </c>
      <c r="G119" s="46">
        <f t="shared" si="12"/>
        <v>0</v>
      </c>
      <c r="H119" s="47">
        <f t="shared" si="13"/>
        <v>0</v>
      </c>
      <c r="I119" s="47">
        <f t="shared" si="14"/>
        <v>0.33300000000000002</v>
      </c>
      <c r="J119" s="46">
        <f t="shared" si="15"/>
        <v>2440</v>
      </c>
      <c r="K119" s="46">
        <f t="shared" si="16"/>
        <v>815</v>
      </c>
      <c r="L119" s="48">
        <f t="shared" si="17"/>
        <v>0.33401639344262296</v>
      </c>
    </row>
    <row r="120" spans="1:12">
      <c r="A120" s="43" t="s">
        <v>144</v>
      </c>
      <c r="B120" s="44">
        <v>1600</v>
      </c>
      <c r="C120" s="45" t="s">
        <v>53</v>
      </c>
      <c r="D120" s="44">
        <f t="shared" si="20"/>
        <v>25</v>
      </c>
      <c r="E120" s="46">
        <f t="shared" si="10"/>
        <v>0</v>
      </c>
      <c r="F120" s="46">
        <f t="shared" si="11"/>
        <v>25</v>
      </c>
      <c r="G120" s="46">
        <f t="shared" si="12"/>
        <v>0</v>
      </c>
      <c r="H120" s="47">
        <f t="shared" si="13"/>
        <v>0</v>
      </c>
      <c r="I120" s="47">
        <f t="shared" si="14"/>
        <v>0.33300000000000002</v>
      </c>
      <c r="J120" s="46">
        <f t="shared" si="15"/>
        <v>2440</v>
      </c>
      <c r="K120" s="46">
        <f t="shared" si="16"/>
        <v>815</v>
      </c>
      <c r="L120" s="48">
        <f t="shared" si="17"/>
        <v>0.33401639344262296</v>
      </c>
    </row>
    <row r="121" spans="1:12">
      <c r="A121" s="43" t="s">
        <v>145</v>
      </c>
      <c r="B121" s="44">
        <v>1600</v>
      </c>
      <c r="C121" s="45" t="s">
        <v>53</v>
      </c>
      <c r="D121" s="44">
        <f t="shared" si="20"/>
        <v>25</v>
      </c>
      <c r="E121" s="46">
        <f t="shared" si="10"/>
        <v>0</v>
      </c>
      <c r="F121" s="46">
        <f t="shared" si="11"/>
        <v>25</v>
      </c>
      <c r="G121" s="46">
        <f t="shared" si="12"/>
        <v>0</v>
      </c>
      <c r="H121" s="47">
        <f t="shared" si="13"/>
        <v>0</v>
      </c>
      <c r="I121" s="47">
        <f t="shared" si="14"/>
        <v>0.33300000000000002</v>
      </c>
      <c r="J121" s="46">
        <f t="shared" si="15"/>
        <v>2440</v>
      </c>
      <c r="K121" s="46">
        <f t="shared" si="16"/>
        <v>815</v>
      </c>
      <c r="L121" s="48">
        <f t="shared" si="17"/>
        <v>0.33401639344262296</v>
      </c>
    </row>
    <row r="122" spans="1:12">
      <c r="A122" s="43" t="s">
        <v>146</v>
      </c>
      <c r="B122" s="44">
        <v>1600</v>
      </c>
      <c r="C122" s="45" t="s">
        <v>53</v>
      </c>
      <c r="D122" s="44">
        <f t="shared" si="20"/>
        <v>25</v>
      </c>
      <c r="E122" s="46">
        <f t="shared" si="10"/>
        <v>0</v>
      </c>
      <c r="F122" s="46">
        <f t="shared" si="11"/>
        <v>25</v>
      </c>
      <c r="G122" s="46">
        <f t="shared" si="12"/>
        <v>0</v>
      </c>
      <c r="H122" s="47">
        <f t="shared" si="13"/>
        <v>0</v>
      </c>
      <c r="I122" s="47">
        <f t="shared" si="14"/>
        <v>0.33300000000000002</v>
      </c>
      <c r="J122" s="46">
        <f t="shared" si="15"/>
        <v>2440</v>
      </c>
      <c r="K122" s="46">
        <f t="shared" si="16"/>
        <v>815</v>
      </c>
      <c r="L122" s="48">
        <f t="shared" si="17"/>
        <v>0.33401639344262296</v>
      </c>
    </row>
    <row r="123" spans="1:12">
      <c r="A123" s="43" t="s">
        <v>147</v>
      </c>
      <c r="B123" s="44">
        <v>1600</v>
      </c>
      <c r="C123" s="45" t="s">
        <v>53</v>
      </c>
      <c r="D123" s="44">
        <f t="shared" si="20"/>
        <v>25</v>
      </c>
      <c r="E123" s="46">
        <f t="shared" si="10"/>
        <v>0</v>
      </c>
      <c r="F123" s="46">
        <f t="shared" si="11"/>
        <v>25</v>
      </c>
      <c r="G123" s="46">
        <f t="shared" si="12"/>
        <v>0</v>
      </c>
      <c r="H123" s="47">
        <f t="shared" si="13"/>
        <v>0</v>
      </c>
      <c r="I123" s="47">
        <f t="shared" si="14"/>
        <v>0.33300000000000002</v>
      </c>
      <c r="J123" s="46">
        <f t="shared" si="15"/>
        <v>2440</v>
      </c>
      <c r="K123" s="46">
        <f t="shared" si="16"/>
        <v>815</v>
      </c>
      <c r="L123" s="48">
        <f t="shared" si="17"/>
        <v>0.33401639344262296</v>
      </c>
    </row>
    <row r="124" spans="1:12">
      <c r="A124" s="43" t="s">
        <v>148</v>
      </c>
      <c r="B124" s="44">
        <v>1600</v>
      </c>
      <c r="C124" s="45" t="s">
        <v>53</v>
      </c>
      <c r="D124" s="44">
        <f t="shared" si="20"/>
        <v>25</v>
      </c>
      <c r="E124" s="46">
        <f t="shared" si="10"/>
        <v>0</v>
      </c>
      <c r="F124" s="46">
        <f t="shared" si="11"/>
        <v>25</v>
      </c>
      <c r="G124" s="46">
        <f t="shared" si="12"/>
        <v>0</v>
      </c>
      <c r="H124" s="47">
        <f t="shared" si="13"/>
        <v>0</v>
      </c>
      <c r="I124" s="47">
        <f t="shared" si="14"/>
        <v>0.33300000000000002</v>
      </c>
      <c r="J124" s="46">
        <f t="shared" si="15"/>
        <v>2440</v>
      </c>
      <c r="K124" s="46">
        <f t="shared" si="16"/>
        <v>815</v>
      </c>
      <c r="L124" s="48">
        <f t="shared" si="17"/>
        <v>0.33401639344262296</v>
      </c>
    </row>
    <row r="125" spans="1:12">
      <c r="A125" s="43" t="s">
        <v>149</v>
      </c>
      <c r="B125" s="44">
        <v>1600</v>
      </c>
      <c r="C125" s="45" t="s">
        <v>53</v>
      </c>
      <c r="D125" s="44">
        <f t="shared" si="20"/>
        <v>25</v>
      </c>
      <c r="E125" s="46">
        <f t="shared" si="10"/>
        <v>0</v>
      </c>
      <c r="F125" s="46">
        <f t="shared" si="11"/>
        <v>25</v>
      </c>
      <c r="G125" s="46">
        <f t="shared" si="12"/>
        <v>0</v>
      </c>
      <c r="H125" s="47">
        <f t="shared" si="13"/>
        <v>0</v>
      </c>
      <c r="I125" s="47">
        <f t="shared" si="14"/>
        <v>0.33300000000000002</v>
      </c>
      <c r="J125" s="46">
        <f t="shared" si="15"/>
        <v>2440</v>
      </c>
      <c r="K125" s="46">
        <f t="shared" si="16"/>
        <v>815</v>
      </c>
      <c r="L125" s="48">
        <f t="shared" si="17"/>
        <v>0.33401639344262296</v>
      </c>
    </row>
    <row r="126" spans="1:12">
      <c r="A126" s="43" t="s">
        <v>150</v>
      </c>
      <c r="B126" s="44">
        <v>1600</v>
      </c>
      <c r="C126" s="45" t="s">
        <v>53</v>
      </c>
      <c r="D126" s="44">
        <f t="shared" si="20"/>
        <v>25</v>
      </c>
      <c r="E126" s="46">
        <f t="shared" si="10"/>
        <v>0</v>
      </c>
      <c r="F126" s="46">
        <f t="shared" si="11"/>
        <v>25</v>
      </c>
      <c r="G126" s="46">
        <f t="shared" si="12"/>
        <v>0</v>
      </c>
      <c r="H126" s="47">
        <f t="shared" si="13"/>
        <v>0</v>
      </c>
      <c r="I126" s="47">
        <f t="shared" si="14"/>
        <v>0.33300000000000002</v>
      </c>
      <c r="J126" s="46">
        <f t="shared" si="15"/>
        <v>2440</v>
      </c>
      <c r="K126" s="46">
        <f t="shared" si="16"/>
        <v>815</v>
      </c>
      <c r="L126" s="48">
        <f t="shared" si="17"/>
        <v>0.33401639344262296</v>
      </c>
    </row>
    <row r="127" spans="1:12">
      <c r="A127" s="43" t="s">
        <v>151</v>
      </c>
      <c r="B127" s="44">
        <v>1600</v>
      </c>
      <c r="C127" s="45" t="s">
        <v>53</v>
      </c>
      <c r="D127" s="44">
        <f t="shared" si="20"/>
        <v>25</v>
      </c>
      <c r="E127" s="46">
        <f t="shared" si="10"/>
        <v>0</v>
      </c>
      <c r="F127" s="46">
        <f t="shared" si="11"/>
        <v>25</v>
      </c>
      <c r="G127" s="46">
        <f t="shared" si="12"/>
        <v>0</v>
      </c>
      <c r="H127" s="47">
        <f t="shared" si="13"/>
        <v>0</v>
      </c>
      <c r="I127" s="47">
        <f t="shared" si="14"/>
        <v>0.33300000000000002</v>
      </c>
      <c r="J127" s="46">
        <f t="shared" si="15"/>
        <v>2440</v>
      </c>
      <c r="K127" s="46">
        <f t="shared" si="16"/>
        <v>815</v>
      </c>
      <c r="L127" s="48">
        <f t="shared" si="17"/>
        <v>0.33401639344262296</v>
      </c>
    </row>
    <row r="128" spans="1:12">
      <c r="A128" s="43" t="s">
        <v>152</v>
      </c>
      <c r="B128" s="44">
        <v>1600</v>
      </c>
      <c r="C128" s="45" t="s">
        <v>53</v>
      </c>
      <c r="D128" s="44">
        <f t="shared" si="20"/>
        <v>25</v>
      </c>
      <c r="E128" s="46">
        <f t="shared" si="10"/>
        <v>0</v>
      </c>
      <c r="F128" s="46">
        <f t="shared" si="11"/>
        <v>25</v>
      </c>
      <c r="G128" s="46">
        <f t="shared" si="12"/>
        <v>0</v>
      </c>
      <c r="H128" s="47">
        <f t="shared" si="13"/>
        <v>0</v>
      </c>
      <c r="I128" s="47">
        <f t="shared" si="14"/>
        <v>0.33300000000000002</v>
      </c>
      <c r="J128" s="46">
        <f t="shared" si="15"/>
        <v>2440</v>
      </c>
      <c r="K128" s="46">
        <f t="shared" si="16"/>
        <v>815</v>
      </c>
      <c r="L128" s="48">
        <f t="shared" si="17"/>
        <v>0.33401639344262296</v>
      </c>
    </row>
    <row r="129" spans="1:12">
      <c r="A129" s="43" t="s">
        <v>153</v>
      </c>
      <c r="B129" s="44">
        <v>1600</v>
      </c>
      <c r="C129" s="45" t="s">
        <v>53</v>
      </c>
      <c r="D129" s="44">
        <f t="shared" si="20"/>
        <v>25</v>
      </c>
      <c r="E129" s="46">
        <f t="shared" si="10"/>
        <v>0</v>
      </c>
      <c r="F129" s="46">
        <f t="shared" si="11"/>
        <v>25</v>
      </c>
      <c r="G129" s="46">
        <f t="shared" si="12"/>
        <v>0</v>
      </c>
      <c r="H129" s="47">
        <f t="shared" si="13"/>
        <v>0</v>
      </c>
      <c r="I129" s="47">
        <f t="shared" si="14"/>
        <v>0.33300000000000002</v>
      </c>
      <c r="J129" s="46">
        <f t="shared" si="15"/>
        <v>2440</v>
      </c>
      <c r="K129" s="46">
        <f t="shared" si="16"/>
        <v>815</v>
      </c>
      <c r="L129" s="48">
        <f t="shared" si="17"/>
        <v>0.33401639344262296</v>
      </c>
    </row>
    <row r="130" spans="1:12">
      <c r="A130" s="43" t="s">
        <v>154</v>
      </c>
      <c r="B130" s="44">
        <v>1600</v>
      </c>
      <c r="C130" s="45" t="s">
        <v>53</v>
      </c>
      <c r="D130" s="44">
        <f t="shared" si="20"/>
        <v>25</v>
      </c>
      <c r="E130" s="46">
        <f t="shared" si="10"/>
        <v>0</v>
      </c>
      <c r="F130" s="46">
        <f t="shared" si="11"/>
        <v>25</v>
      </c>
      <c r="G130" s="46">
        <f t="shared" si="12"/>
        <v>0</v>
      </c>
      <c r="H130" s="47">
        <f t="shared" si="13"/>
        <v>0</v>
      </c>
      <c r="I130" s="47">
        <f t="shared" si="14"/>
        <v>0.33300000000000002</v>
      </c>
      <c r="J130" s="46">
        <f t="shared" si="15"/>
        <v>2440</v>
      </c>
      <c r="K130" s="46">
        <f t="shared" si="16"/>
        <v>815</v>
      </c>
      <c r="L130" s="48">
        <f t="shared" si="17"/>
        <v>0.33401639344262296</v>
      </c>
    </row>
    <row r="131" spans="1:12">
      <c r="A131" s="43" t="s">
        <v>155</v>
      </c>
      <c r="B131" s="44">
        <v>2000</v>
      </c>
      <c r="C131" s="45" t="s">
        <v>53</v>
      </c>
      <c r="D131" s="44">
        <f t="shared" si="20"/>
        <v>25</v>
      </c>
      <c r="E131" s="46">
        <f t="shared" si="10"/>
        <v>0</v>
      </c>
      <c r="F131" s="46">
        <f t="shared" si="11"/>
        <v>25</v>
      </c>
      <c r="G131" s="46">
        <f t="shared" si="12"/>
        <v>0</v>
      </c>
      <c r="H131" s="47">
        <f t="shared" si="13"/>
        <v>0</v>
      </c>
      <c r="I131" s="47">
        <f t="shared" si="14"/>
        <v>0.33300000000000002</v>
      </c>
      <c r="J131" s="46">
        <f t="shared" si="15"/>
        <v>3040</v>
      </c>
      <c r="K131" s="46">
        <f t="shared" si="16"/>
        <v>1015</v>
      </c>
      <c r="L131" s="48">
        <f t="shared" si="17"/>
        <v>0.33388157894736842</v>
      </c>
    </row>
    <row r="132" spans="1:12">
      <c r="A132" s="43" t="s">
        <v>156</v>
      </c>
      <c r="B132" s="44">
        <v>2000</v>
      </c>
      <c r="C132" s="45" t="s">
        <v>53</v>
      </c>
      <c r="D132" s="44">
        <f t="shared" si="20"/>
        <v>25</v>
      </c>
      <c r="E132" s="46">
        <f t="shared" si="10"/>
        <v>0</v>
      </c>
      <c r="F132" s="46">
        <f t="shared" si="11"/>
        <v>25</v>
      </c>
      <c r="G132" s="46">
        <f t="shared" si="12"/>
        <v>0</v>
      </c>
      <c r="H132" s="47">
        <f t="shared" si="13"/>
        <v>0</v>
      </c>
      <c r="I132" s="47">
        <f t="shared" si="14"/>
        <v>0.33300000000000002</v>
      </c>
      <c r="J132" s="46">
        <f t="shared" si="15"/>
        <v>3040</v>
      </c>
      <c r="K132" s="46">
        <f t="shared" si="16"/>
        <v>1015</v>
      </c>
      <c r="L132" s="48">
        <f t="shared" si="17"/>
        <v>0.33388157894736842</v>
      </c>
    </row>
    <row r="133" spans="1:12">
      <c r="A133" s="43" t="s">
        <v>157</v>
      </c>
      <c r="B133" s="44">
        <v>2000</v>
      </c>
      <c r="C133" s="45" t="s">
        <v>53</v>
      </c>
      <c r="D133" s="44">
        <f t="shared" si="20"/>
        <v>25</v>
      </c>
      <c r="E133" s="46">
        <f t="shared" si="10"/>
        <v>0</v>
      </c>
      <c r="F133" s="46">
        <f t="shared" si="11"/>
        <v>25</v>
      </c>
      <c r="G133" s="46">
        <f t="shared" si="12"/>
        <v>0</v>
      </c>
      <c r="H133" s="47">
        <f t="shared" si="13"/>
        <v>0</v>
      </c>
      <c r="I133" s="47">
        <f t="shared" si="14"/>
        <v>0.33300000000000002</v>
      </c>
      <c r="J133" s="46">
        <f t="shared" si="15"/>
        <v>3040</v>
      </c>
      <c r="K133" s="46">
        <f t="shared" si="16"/>
        <v>1015</v>
      </c>
      <c r="L133" s="48">
        <f t="shared" si="17"/>
        <v>0.33388157894736842</v>
      </c>
    </row>
    <row r="134" spans="1:12">
      <c r="A134" s="43" t="s">
        <v>158</v>
      </c>
      <c r="B134" s="44">
        <v>2000</v>
      </c>
      <c r="C134" s="45" t="s">
        <v>53</v>
      </c>
      <c r="D134" s="44">
        <f t="shared" si="20"/>
        <v>25</v>
      </c>
      <c r="E134" s="46">
        <f t="shared" si="10"/>
        <v>0</v>
      </c>
      <c r="F134" s="46">
        <f t="shared" si="11"/>
        <v>25</v>
      </c>
      <c r="G134" s="46">
        <f t="shared" si="12"/>
        <v>0</v>
      </c>
      <c r="H134" s="47">
        <f t="shared" si="13"/>
        <v>0</v>
      </c>
      <c r="I134" s="47">
        <f t="shared" si="14"/>
        <v>0.33300000000000002</v>
      </c>
      <c r="J134" s="46">
        <f t="shared" si="15"/>
        <v>3040</v>
      </c>
      <c r="K134" s="46">
        <f t="shared" si="16"/>
        <v>1015</v>
      </c>
      <c r="L134" s="48">
        <f t="shared" si="17"/>
        <v>0.33388157894736842</v>
      </c>
    </row>
    <row r="135" spans="1:12">
      <c r="A135" s="43" t="s">
        <v>159</v>
      </c>
      <c r="B135" s="44">
        <v>2000</v>
      </c>
      <c r="C135" s="45" t="s">
        <v>53</v>
      </c>
      <c r="D135" s="44">
        <f t="shared" si="20"/>
        <v>25</v>
      </c>
      <c r="E135" s="46">
        <f t="shared" si="10"/>
        <v>0</v>
      </c>
      <c r="F135" s="46">
        <f t="shared" si="11"/>
        <v>25</v>
      </c>
      <c r="G135" s="46">
        <f t="shared" si="12"/>
        <v>0</v>
      </c>
      <c r="H135" s="47">
        <f t="shared" si="13"/>
        <v>0</v>
      </c>
      <c r="I135" s="47">
        <f t="shared" si="14"/>
        <v>0.33300000000000002</v>
      </c>
      <c r="J135" s="46">
        <f t="shared" si="15"/>
        <v>3040</v>
      </c>
      <c r="K135" s="46">
        <f t="shared" si="16"/>
        <v>1015</v>
      </c>
      <c r="L135" s="48">
        <f t="shared" si="17"/>
        <v>0.33388157894736842</v>
      </c>
    </row>
    <row r="136" spans="1:12">
      <c r="A136" s="43" t="s">
        <v>160</v>
      </c>
      <c r="B136" s="44">
        <v>2000</v>
      </c>
      <c r="C136" s="45" t="s">
        <v>53</v>
      </c>
      <c r="D136" s="44">
        <f t="shared" si="20"/>
        <v>25</v>
      </c>
      <c r="E136" s="46">
        <f t="shared" si="10"/>
        <v>0</v>
      </c>
      <c r="F136" s="46">
        <f t="shared" si="11"/>
        <v>25</v>
      </c>
      <c r="G136" s="46">
        <f t="shared" si="12"/>
        <v>0</v>
      </c>
      <c r="H136" s="47">
        <f t="shared" si="13"/>
        <v>0</v>
      </c>
      <c r="I136" s="47">
        <f t="shared" si="14"/>
        <v>0.33300000000000002</v>
      </c>
      <c r="J136" s="46">
        <f t="shared" si="15"/>
        <v>3040</v>
      </c>
      <c r="K136" s="46">
        <f t="shared" si="16"/>
        <v>1015</v>
      </c>
      <c r="L136" s="48">
        <f t="shared" si="17"/>
        <v>0.33388157894736842</v>
      </c>
    </row>
    <row r="137" spans="1:12">
      <c r="A137" s="43" t="s">
        <v>161</v>
      </c>
      <c r="B137" s="44">
        <v>2000</v>
      </c>
      <c r="C137" s="45" t="s">
        <v>53</v>
      </c>
      <c r="D137" s="44">
        <f t="shared" si="20"/>
        <v>25</v>
      </c>
      <c r="E137" s="46">
        <f t="shared" si="10"/>
        <v>0</v>
      </c>
      <c r="F137" s="46">
        <f t="shared" si="11"/>
        <v>25</v>
      </c>
      <c r="G137" s="46">
        <f t="shared" si="12"/>
        <v>0</v>
      </c>
      <c r="H137" s="47">
        <f t="shared" si="13"/>
        <v>0</v>
      </c>
      <c r="I137" s="47">
        <f t="shared" si="14"/>
        <v>0.33300000000000002</v>
      </c>
      <c r="J137" s="46">
        <f t="shared" si="15"/>
        <v>3040</v>
      </c>
      <c r="K137" s="46">
        <f t="shared" si="16"/>
        <v>1015</v>
      </c>
      <c r="L137" s="48">
        <f t="shared" si="17"/>
        <v>0.33388157894736842</v>
      </c>
    </row>
    <row r="138" spans="1:12">
      <c r="A138" s="43" t="s">
        <v>162</v>
      </c>
      <c r="B138" s="44">
        <v>2000</v>
      </c>
      <c r="C138" s="45" t="s">
        <v>53</v>
      </c>
      <c r="D138" s="44">
        <f t="shared" si="20"/>
        <v>25</v>
      </c>
      <c r="E138" s="46">
        <f t="shared" si="10"/>
        <v>0</v>
      </c>
      <c r="F138" s="46">
        <f t="shared" si="11"/>
        <v>25</v>
      </c>
      <c r="G138" s="46">
        <f t="shared" si="12"/>
        <v>0</v>
      </c>
      <c r="H138" s="47">
        <f t="shared" si="13"/>
        <v>0</v>
      </c>
      <c r="I138" s="47">
        <f t="shared" si="14"/>
        <v>0.33300000000000002</v>
      </c>
      <c r="J138" s="46">
        <f t="shared" si="15"/>
        <v>3040</v>
      </c>
      <c r="K138" s="46">
        <f t="shared" si="16"/>
        <v>1015</v>
      </c>
      <c r="L138" s="48">
        <f t="shared" si="17"/>
        <v>0.33388157894736842</v>
      </c>
    </row>
    <row r="139" spans="1:12">
      <c r="A139" s="43" t="s">
        <v>163</v>
      </c>
      <c r="B139" s="44">
        <v>2000</v>
      </c>
      <c r="C139" s="45" t="s">
        <v>53</v>
      </c>
      <c r="D139" s="44">
        <f t="shared" si="20"/>
        <v>25</v>
      </c>
      <c r="E139" s="46">
        <f t="shared" si="10"/>
        <v>0</v>
      </c>
      <c r="F139" s="46">
        <f t="shared" si="11"/>
        <v>25</v>
      </c>
      <c r="G139" s="46">
        <f t="shared" si="12"/>
        <v>0</v>
      </c>
      <c r="H139" s="47">
        <f t="shared" si="13"/>
        <v>0</v>
      </c>
      <c r="I139" s="47">
        <f t="shared" si="14"/>
        <v>0.33300000000000002</v>
      </c>
      <c r="J139" s="46">
        <f t="shared" si="15"/>
        <v>3040</v>
      </c>
      <c r="K139" s="46">
        <f t="shared" si="16"/>
        <v>1015</v>
      </c>
      <c r="L139" s="48">
        <f t="shared" si="17"/>
        <v>0.33388157894736842</v>
      </c>
    </row>
    <row r="140" spans="1:12">
      <c r="A140" s="43" t="s">
        <v>164</v>
      </c>
      <c r="B140" s="44">
        <v>2000</v>
      </c>
      <c r="C140" s="45" t="s">
        <v>53</v>
      </c>
      <c r="D140" s="44">
        <f t="shared" si="20"/>
        <v>25</v>
      </c>
      <c r="E140" s="46">
        <f t="shared" si="10"/>
        <v>0</v>
      </c>
      <c r="F140" s="46">
        <f t="shared" si="11"/>
        <v>25</v>
      </c>
      <c r="G140" s="46">
        <f t="shared" si="12"/>
        <v>0</v>
      </c>
      <c r="H140" s="47">
        <f t="shared" si="13"/>
        <v>0</v>
      </c>
      <c r="I140" s="47">
        <f t="shared" si="14"/>
        <v>0.33300000000000002</v>
      </c>
      <c r="J140" s="46">
        <f t="shared" si="15"/>
        <v>3040</v>
      </c>
      <c r="K140" s="46">
        <f t="shared" si="16"/>
        <v>1015</v>
      </c>
      <c r="L140" s="48">
        <f t="shared" si="17"/>
        <v>0.33388157894736842</v>
      </c>
    </row>
    <row r="141" spans="1:12">
      <c r="A141" s="43" t="s">
        <v>165</v>
      </c>
      <c r="B141" s="44">
        <v>2000</v>
      </c>
      <c r="C141" s="45" t="s">
        <v>53</v>
      </c>
      <c r="D141" s="44">
        <v>1000</v>
      </c>
      <c r="E141" s="46">
        <f t="shared" si="10"/>
        <v>0</v>
      </c>
      <c r="F141" s="46">
        <f t="shared" si="11"/>
        <v>25</v>
      </c>
      <c r="G141" s="46">
        <f t="shared" si="12"/>
        <v>0</v>
      </c>
      <c r="H141" s="47">
        <f t="shared" si="13"/>
        <v>0</v>
      </c>
      <c r="I141" s="47">
        <f t="shared" si="14"/>
        <v>0.33300000000000002</v>
      </c>
      <c r="J141" s="46">
        <f t="shared" si="15"/>
        <v>3040</v>
      </c>
      <c r="K141" s="46">
        <f t="shared" si="16"/>
        <v>1015</v>
      </c>
      <c r="L141" s="48">
        <f t="shared" si="17"/>
        <v>0.33388157894736842</v>
      </c>
    </row>
    <row r="142" spans="1:12">
      <c r="A142" s="43" t="s">
        <v>166</v>
      </c>
      <c r="B142" s="44">
        <v>2000</v>
      </c>
      <c r="C142" s="45" t="s">
        <v>53</v>
      </c>
      <c r="D142" s="44">
        <v>1000</v>
      </c>
      <c r="E142" s="46">
        <f t="shared" si="10"/>
        <v>0</v>
      </c>
      <c r="F142" s="46">
        <f t="shared" si="11"/>
        <v>25</v>
      </c>
      <c r="G142" s="46">
        <f t="shared" si="12"/>
        <v>0</v>
      </c>
      <c r="H142" s="47">
        <f t="shared" si="13"/>
        <v>0</v>
      </c>
      <c r="I142" s="47">
        <f t="shared" si="14"/>
        <v>0.33300000000000002</v>
      </c>
      <c r="J142" s="46">
        <f t="shared" si="15"/>
        <v>3040</v>
      </c>
      <c r="K142" s="46">
        <f t="shared" si="16"/>
        <v>1015</v>
      </c>
      <c r="L142" s="48">
        <f t="shared" si="17"/>
        <v>0.33388157894736842</v>
      </c>
    </row>
    <row r="143" spans="1:12">
      <c r="A143" s="43" t="s">
        <v>167</v>
      </c>
      <c r="B143" s="44">
        <v>2000</v>
      </c>
      <c r="C143" s="45" t="s">
        <v>53</v>
      </c>
      <c r="D143" s="44">
        <v>1000</v>
      </c>
      <c r="E143" s="46">
        <f t="shared" ref="E143:E206" si="21">IF(A143="","",IF(C143="NO",0,IF(D143&lt;&gt;"",D143,$B$11)))</f>
        <v>0</v>
      </c>
      <c r="F143" s="46">
        <f t="shared" ref="F143:F206" si="22">IF(A143="","",$B$7/$B$6)</f>
        <v>25</v>
      </c>
      <c r="G143" s="46">
        <f t="shared" ref="G143:G206" si="23">IF(A143="","",($B$8-$B$9)/$B$6)</f>
        <v>0</v>
      </c>
      <c r="H143" s="47">
        <f t="shared" ref="H143:H206" si="24">IF(A143="","",$B$10)</f>
        <v>0</v>
      </c>
      <c r="I143" s="47">
        <f t="shared" ref="I143:I206" si="25">IF(A143="","",$B$5)</f>
        <v>0.33300000000000002</v>
      </c>
      <c r="J143" s="46">
        <f t="shared" ref="J143:J206" si="26">IF(OR(A143="",B143=""),"",ROUND((B143+E143+F143+G143)/(1-H143-I143),-1))</f>
        <v>3040</v>
      </c>
      <c r="K143" s="46">
        <f t="shared" ref="K143:K206" si="27">IF(J143="","",J143-B143-E143-F143-G143-(J143*H143))</f>
        <v>1015</v>
      </c>
      <c r="L143" s="48">
        <f t="shared" ref="L143:L206" si="28">IF(J143="","",K143/J143)</f>
        <v>0.33388157894736842</v>
      </c>
    </row>
    <row r="144" spans="1:12">
      <c r="A144" s="43" t="s">
        <v>168</v>
      </c>
      <c r="B144" s="44">
        <v>20000</v>
      </c>
      <c r="C144" s="45" t="s">
        <v>169</v>
      </c>
      <c r="D144" s="44">
        <v>3000</v>
      </c>
      <c r="E144" s="46">
        <f t="shared" si="21"/>
        <v>3000</v>
      </c>
      <c r="F144" s="46">
        <f t="shared" si="22"/>
        <v>25</v>
      </c>
      <c r="G144" s="46">
        <f t="shared" si="23"/>
        <v>0</v>
      </c>
      <c r="H144" s="47">
        <f t="shared" si="24"/>
        <v>0</v>
      </c>
      <c r="I144" s="47">
        <f t="shared" si="25"/>
        <v>0.33300000000000002</v>
      </c>
      <c r="J144" s="46">
        <f t="shared" si="26"/>
        <v>34520</v>
      </c>
      <c r="K144" s="46">
        <f t="shared" si="27"/>
        <v>11495</v>
      </c>
      <c r="L144" s="48">
        <f t="shared" si="28"/>
        <v>0.33299536500579374</v>
      </c>
    </row>
    <row r="145" spans="1:12">
      <c r="A145" s="43" t="s">
        <v>170</v>
      </c>
      <c r="B145" s="44">
        <v>6500</v>
      </c>
      <c r="C145" s="45" t="s">
        <v>169</v>
      </c>
      <c r="D145" s="44">
        <v>3000</v>
      </c>
      <c r="E145" s="46">
        <f t="shared" si="21"/>
        <v>3000</v>
      </c>
      <c r="F145" s="46">
        <f t="shared" si="22"/>
        <v>25</v>
      </c>
      <c r="G145" s="46">
        <f t="shared" si="23"/>
        <v>0</v>
      </c>
      <c r="H145" s="47">
        <f t="shared" si="24"/>
        <v>0</v>
      </c>
      <c r="I145" s="47">
        <f t="shared" si="25"/>
        <v>0.33300000000000002</v>
      </c>
      <c r="J145" s="46">
        <f t="shared" si="26"/>
        <v>14280</v>
      </c>
      <c r="K145" s="46">
        <f t="shared" si="27"/>
        <v>4755</v>
      </c>
      <c r="L145" s="48">
        <f t="shared" si="28"/>
        <v>0.33298319327731091</v>
      </c>
    </row>
    <row r="146" spans="1:12">
      <c r="A146" s="43" t="s">
        <v>171</v>
      </c>
      <c r="B146" s="44">
        <v>9000</v>
      </c>
      <c r="C146" s="45" t="s">
        <v>169</v>
      </c>
      <c r="D146" s="44">
        <v>2000</v>
      </c>
      <c r="E146" s="46">
        <f t="shared" si="21"/>
        <v>2000</v>
      </c>
      <c r="F146" s="46">
        <f t="shared" si="22"/>
        <v>25</v>
      </c>
      <c r="G146" s="46">
        <f t="shared" si="23"/>
        <v>0</v>
      </c>
      <c r="H146" s="47">
        <f t="shared" si="24"/>
        <v>0</v>
      </c>
      <c r="I146" s="47">
        <f t="shared" si="25"/>
        <v>0.33300000000000002</v>
      </c>
      <c r="J146" s="46">
        <f t="shared" si="26"/>
        <v>16530</v>
      </c>
      <c r="K146" s="46">
        <f t="shared" si="27"/>
        <v>5505</v>
      </c>
      <c r="L146" s="48">
        <f t="shared" si="28"/>
        <v>0.33303085299455537</v>
      </c>
    </row>
    <row r="147" spans="1:12">
      <c r="A147" s="43" t="s">
        <v>172</v>
      </c>
      <c r="B147" s="44">
        <v>1660</v>
      </c>
      <c r="C147" s="45" t="s">
        <v>38</v>
      </c>
      <c r="D147" s="44">
        <v>1000</v>
      </c>
      <c r="E147" s="46">
        <f t="shared" si="21"/>
        <v>1000</v>
      </c>
      <c r="F147" s="46">
        <f t="shared" si="22"/>
        <v>25</v>
      </c>
      <c r="G147" s="46">
        <f t="shared" si="23"/>
        <v>0</v>
      </c>
      <c r="H147" s="47">
        <f t="shared" si="24"/>
        <v>0</v>
      </c>
      <c r="I147" s="47">
        <f t="shared" si="25"/>
        <v>0.33300000000000002</v>
      </c>
      <c r="J147" s="46">
        <f t="shared" si="26"/>
        <v>4030</v>
      </c>
      <c r="K147" s="46">
        <f t="shared" si="27"/>
        <v>1345</v>
      </c>
      <c r="L147" s="48">
        <f t="shared" si="28"/>
        <v>0.33374689826302728</v>
      </c>
    </row>
    <row r="148" spans="1:12">
      <c r="A148" s="43" t="s">
        <v>173</v>
      </c>
      <c r="B148" s="44">
        <v>9960</v>
      </c>
      <c r="C148" s="45" t="s">
        <v>38</v>
      </c>
      <c r="D148" s="44">
        <v>1000</v>
      </c>
      <c r="E148" s="46">
        <f t="shared" si="21"/>
        <v>1000</v>
      </c>
      <c r="F148" s="46">
        <f t="shared" si="22"/>
        <v>25</v>
      </c>
      <c r="G148" s="46">
        <f t="shared" si="23"/>
        <v>0</v>
      </c>
      <c r="H148" s="47">
        <f t="shared" si="24"/>
        <v>0</v>
      </c>
      <c r="I148" s="47">
        <f t="shared" si="25"/>
        <v>0.33300000000000002</v>
      </c>
      <c r="J148" s="46">
        <f t="shared" si="26"/>
        <v>16470</v>
      </c>
      <c r="K148" s="46">
        <f t="shared" si="27"/>
        <v>5485</v>
      </c>
      <c r="L148" s="48">
        <f t="shared" si="28"/>
        <v>0.33302975106253796</v>
      </c>
    </row>
    <row r="149" spans="1:12">
      <c r="A149" s="43" t="s">
        <v>174</v>
      </c>
      <c r="B149" s="44">
        <v>1800</v>
      </c>
      <c r="C149" s="45" t="s">
        <v>38</v>
      </c>
      <c r="D149" s="44">
        <v>1000</v>
      </c>
      <c r="E149" s="46">
        <f t="shared" si="21"/>
        <v>1000</v>
      </c>
      <c r="F149" s="46">
        <f t="shared" si="22"/>
        <v>25</v>
      </c>
      <c r="G149" s="46">
        <f t="shared" si="23"/>
        <v>0</v>
      </c>
      <c r="H149" s="47">
        <f t="shared" si="24"/>
        <v>0</v>
      </c>
      <c r="I149" s="47">
        <f t="shared" si="25"/>
        <v>0.33300000000000002</v>
      </c>
      <c r="J149" s="46">
        <f t="shared" si="26"/>
        <v>4240</v>
      </c>
      <c r="K149" s="46">
        <f t="shared" si="27"/>
        <v>1415</v>
      </c>
      <c r="L149" s="48">
        <f t="shared" si="28"/>
        <v>0.33372641509433965</v>
      </c>
    </row>
    <row r="150" spans="1:12">
      <c r="A150" s="43" t="s">
        <v>175</v>
      </c>
      <c r="B150" s="44">
        <v>10800</v>
      </c>
      <c r="C150" s="45" t="s">
        <v>38</v>
      </c>
      <c r="D150" s="44">
        <v>6000</v>
      </c>
      <c r="E150" s="46">
        <f t="shared" si="21"/>
        <v>6000</v>
      </c>
      <c r="F150" s="46">
        <f t="shared" si="22"/>
        <v>25</v>
      </c>
      <c r="G150" s="46">
        <f t="shared" si="23"/>
        <v>0</v>
      </c>
      <c r="H150" s="47">
        <f t="shared" si="24"/>
        <v>0</v>
      </c>
      <c r="I150" s="47">
        <f t="shared" si="25"/>
        <v>0.33300000000000002</v>
      </c>
      <c r="J150" s="46">
        <f t="shared" si="26"/>
        <v>25220</v>
      </c>
      <c r="K150" s="46">
        <f t="shared" si="27"/>
        <v>8395</v>
      </c>
      <c r="L150" s="48">
        <f t="shared" si="28"/>
        <v>0.33287073750991275</v>
      </c>
    </row>
    <row r="151" spans="1:12">
      <c r="A151" s="43" t="s">
        <v>176</v>
      </c>
      <c r="B151" s="44">
        <v>1550</v>
      </c>
      <c r="C151" s="45" t="s">
        <v>38</v>
      </c>
      <c r="D151" s="44">
        <v>1000</v>
      </c>
      <c r="E151" s="46">
        <f t="shared" si="21"/>
        <v>1000</v>
      </c>
      <c r="F151" s="46">
        <f t="shared" si="22"/>
        <v>25</v>
      </c>
      <c r="G151" s="46">
        <f t="shared" si="23"/>
        <v>0</v>
      </c>
      <c r="H151" s="47">
        <f t="shared" si="24"/>
        <v>0</v>
      </c>
      <c r="I151" s="47">
        <f t="shared" si="25"/>
        <v>0.33300000000000002</v>
      </c>
      <c r="J151" s="46">
        <f t="shared" si="26"/>
        <v>3860</v>
      </c>
      <c r="K151" s="46">
        <f t="shared" si="27"/>
        <v>1285</v>
      </c>
      <c r="L151" s="48">
        <f t="shared" si="28"/>
        <v>0.33290155440414509</v>
      </c>
    </row>
    <row r="152" spans="1:12">
      <c r="A152" s="43" t="s">
        <v>177</v>
      </c>
      <c r="B152" s="44">
        <v>9300</v>
      </c>
      <c r="C152" s="45" t="s">
        <v>38</v>
      </c>
      <c r="D152" s="44">
        <v>1000</v>
      </c>
      <c r="E152" s="46">
        <f t="shared" si="21"/>
        <v>1000</v>
      </c>
      <c r="F152" s="46">
        <f t="shared" si="22"/>
        <v>25</v>
      </c>
      <c r="G152" s="46">
        <f t="shared" si="23"/>
        <v>0</v>
      </c>
      <c r="H152" s="47">
        <f t="shared" si="24"/>
        <v>0</v>
      </c>
      <c r="I152" s="47">
        <f t="shared" si="25"/>
        <v>0.33300000000000002</v>
      </c>
      <c r="J152" s="46">
        <f t="shared" si="26"/>
        <v>15480</v>
      </c>
      <c r="K152" s="46">
        <f t="shared" si="27"/>
        <v>5155</v>
      </c>
      <c r="L152" s="48">
        <f t="shared" si="28"/>
        <v>0.33301033591731266</v>
      </c>
    </row>
    <row r="153" spans="1:12">
      <c r="A153" s="43" t="s">
        <v>178</v>
      </c>
      <c r="B153" s="44">
        <v>1650</v>
      </c>
      <c r="C153" s="45" t="s">
        <v>38</v>
      </c>
      <c r="D153" s="44">
        <v>1000</v>
      </c>
      <c r="E153" s="46">
        <f t="shared" si="21"/>
        <v>1000</v>
      </c>
      <c r="F153" s="46">
        <f t="shared" si="22"/>
        <v>25</v>
      </c>
      <c r="G153" s="46">
        <f t="shared" si="23"/>
        <v>0</v>
      </c>
      <c r="H153" s="47">
        <f t="shared" si="24"/>
        <v>0</v>
      </c>
      <c r="I153" s="47">
        <f t="shared" si="25"/>
        <v>0.33300000000000002</v>
      </c>
      <c r="J153" s="46">
        <f t="shared" si="26"/>
        <v>4010</v>
      </c>
      <c r="K153" s="46">
        <f t="shared" si="27"/>
        <v>1335</v>
      </c>
      <c r="L153" s="48">
        <f t="shared" si="28"/>
        <v>0.33291770573566087</v>
      </c>
    </row>
    <row r="154" spans="1:12">
      <c r="A154" s="43" t="s">
        <v>179</v>
      </c>
      <c r="B154" s="44">
        <v>9900</v>
      </c>
      <c r="C154" s="45" t="s">
        <v>38</v>
      </c>
      <c r="D154" s="44">
        <v>1000</v>
      </c>
      <c r="E154" s="46">
        <f t="shared" si="21"/>
        <v>1000</v>
      </c>
      <c r="F154" s="46">
        <f t="shared" si="22"/>
        <v>25</v>
      </c>
      <c r="G154" s="46">
        <f t="shared" si="23"/>
        <v>0</v>
      </c>
      <c r="H154" s="47">
        <f t="shared" si="24"/>
        <v>0</v>
      </c>
      <c r="I154" s="47">
        <f t="shared" si="25"/>
        <v>0.33300000000000002</v>
      </c>
      <c r="J154" s="46">
        <f t="shared" si="26"/>
        <v>16380</v>
      </c>
      <c r="K154" s="46">
        <f t="shared" si="27"/>
        <v>5455</v>
      </c>
      <c r="L154" s="48">
        <f t="shared" si="28"/>
        <v>0.33302808302808301</v>
      </c>
    </row>
    <row r="155" spans="1:12">
      <c r="A155" s="43" t="s">
        <v>180</v>
      </c>
      <c r="B155" s="44">
        <v>450</v>
      </c>
      <c r="C155" s="45" t="s">
        <v>38</v>
      </c>
      <c r="D155" s="44">
        <v>2000</v>
      </c>
      <c r="E155" s="46">
        <f t="shared" si="21"/>
        <v>2000</v>
      </c>
      <c r="F155" s="46">
        <f t="shared" si="22"/>
        <v>25</v>
      </c>
      <c r="G155" s="46">
        <f t="shared" si="23"/>
        <v>0</v>
      </c>
      <c r="H155" s="47">
        <f t="shared" si="24"/>
        <v>0</v>
      </c>
      <c r="I155" s="47">
        <f t="shared" si="25"/>
        <v>0.33300000000000002</v>
      </c>
      <c r="J155" s="46">
        <f t="shared" si="26"/>
        <v>3710</v>
      </c>
      <c r="K155" s="46">
        <f t="shared" si="27"/>
        <v>1235</v>
      </c>
      <c r="L155" s="48">
        <f t="shared" si="28"/>
        <v>0.3328840970350404</v>
      </c>
    </row>
    <row r="156" spans="1:12">
      <c r="A156" s="43" t="s">
        <v>181</v>
      </c>
      <c r="B156" s="44">
        <v>2700</v>
      </c>
      <c r="C156" s="45" t="s">
        <v>38</v>
      </c>
      <c r="D156" s="44">
        <v>6000</v>
      </c>
      <c r="E156" s="46">
        <f t="shared" si="21"/>
        <v>6000</v>
      </c>
      <c r="F156" s="46">
        <f t="shared" si="22"/>
        <v>25</v>
      </c>
      <c r="G156" s="46">
        <f t="shared" si="23"/>
        <v>0</v>
      </c>
      <c r="H156" s="47">
        <f t="shared" si="24"/>
        <v>0</v>
      </c>
      <c r="I156" s="47">
        <f t="shared" si="25"/>
        <v>0.33300000000000002</v>
      </c>
      <c r="J156" s="46">
        <f t="shared" si="26"/>
        <v>13080</v>
      </c>
      <c r="K156" s="46">
        <f t="shared" si="27"/>
        <v>4355</v>
      </c>
      <c r="L156" s="48">
        <f t="shared" si="28"/>
        <v>0.33295107033639143</v>
      </c>
    </row>
    <row r="157" spans="1:12">
      <c r="A157" s="43" t="s">
        <v>182</v>
      </c>
      <c r="B157" s="44">
        <v>330</v>
      </c>
      <c r="C157" s="45" t="s">
        <v>38</v>
      </c>
      <c r="D157" s="44">
        <v>2000</v>
      </c>
      <c r="E157" s="46">
        <f t="shared" si="21"/>
        <v>2000</v>
      </c>
      <c r="F157" s="46">
        <f t="shared" si="22"/>
        <v>25</v>
      </c>
      <c r="G157" s="46">
        <f t="shared" si="23"/>
        <v>0</v>
      </c>
      <c r="H157" s="47">
        <f t="shared" si="24"/>
        <v>0</v>
      </c>
      <c r="I157" s="47">
        <f t="shared" si="25"/>
        <v>0.33300000000000002</v>
      </c>
      <c r="J157" s="46">
        <f t="shared" si="26"/>
        <v>3530</v>
      </c>
      <c r="K157" s="46">
        <f t="shared" si="27"/>
        <v>1175</v>
      </c>
      <c r="L157" s="48">
        <f t="shared" si="28"/>
        <v>0.33286118980169971</v>
      </c>
    </row>
    <row r="158" spans="1:12">
      <c r="A158" s="43" t="s">
        <v>183</v>
      </c>
      <c r="B158" s="44">
        <v>1980</v>
      </c>
      <c r="C158" s="45" t="s">
        <v>38</v>
      </c>
      <c r="D158" s="44">
        <v>6000</v>
      </c>
      <c r="E158" s="46">
        <f t="shared" si="21"/>
        <v>6000</v>
      </c>
      <c r="F158" s="46">
        <f t="shared" si="22"/>
        <v>25</v>
      </c>
      <c r="G158" s="46">
        <f t="shared" si="23"/>
        <v>0</v>
      </c>
      <c r="H158" s="47">
        <f t="shared" si="24"/>
        <v>0</v>
      </c>
      <c r="I158" s="47">
        <f t="shared" si="25"/>
        <v>0.33300000000000002</v>
      </c>
      <c r="J158" s="46">
        <f t="shared" si="26"/>
        <v>12000</v>
      </c>
      <c r="K158" s="46">
        <f t="shared" si="27"/>
        <v>3995</v>
      </c>
      <c r="L158" s="48">
        <f t="shared" si="28"/>
        <v>0.33291666666666669</v>
      </c>
    </row>
    <row r="159" spans="1:12">
      <c r="A159" s="43" t="s">
        <v>184</v>
      </c>
      <c r="B159" s="44">
        <v>833</v>
      </c>
      <c r="C159" s="45" t="s">
        <v>38</v>
      </c>
      <c r="D159" s="44">
        <v>1000</v>
      </c>
      <c r="E159" s="46">
        <f t="shared" si="21"/>
        <v>1000</v>
      </c>
      <c r="F159" s="46">
        <f t="shared" si="22"/>
        <v>25</v>
      </c>
      <c r="G159" s="46">
        <f t="shared" si="23"/>
        <v>0</v>
      </c>
      <c r="H159" s="47">
        <f t="shared" si="24"/>
        <v>0</v>
      </c>
      <c r="I159" s="47">
        <f t="shared" si="25"/>
        <v>0.33300000000000002</v>
      </c>
      <c r="J159" s="46">
        <f t="shared" si="26"/>
        <v>2790</v>
      </c>
      <c r="K159" s="46">
        <f t="shared" si="27"/>
        <v>932</v>
      </c>
      <c r="L159" s="48">
        <f t="shared" si="28"/>
        <v>0.33405017921146951</v>
      </c>
    </row>
    <row r="160" spans="1:12">
      <c r="A160" s="43" t="s">
        <v>185</v>
      </c>
      <c r="B160" s="44">
        <v>167</v>
      </c>
      <c r="C160" s="45" t="s">
        <v>38</v>
      </c>
      <c r="D160" s="44">
        <v>1000</v>
      </c>
      <c r="E160" s="46">
        <f t="shared" si="21"/>
        <v>1000</v>
      </c>
      <c r="F160" s="46">
        <f t="shared" si="22"/>
        <v>25</v>
      </c>
      <c r="G160" s="46">
        <f t="shared" si="23"/>
        <v>0</v>
      </c>
      <c r="H160" s="47">
        <f t="shared" si="24"/>
        <v>0</v>
      </c>
      <c r="I160" s="47">
        <f t="shared" si="25"/>
        <v>0.33300000000000002</v>
      </c>
      <c r="J160" s="46">
        <f t="shared" si="26"/>
        <v>1790</v>
      </c>
      <c r="K160" s="46">
        <f t="shared" si="27"/>
        <v>598</v>
      </c>
      <c r="L160" s="48">
        <f t="shared" si="28"/>
        <v>0.33407821229050277</v>
      </c>
    </row>
    <row r="161" spans="1:12">
      <c r="A161" s="43" t="s">
        <v>186</v>
      </c>
      <c r="B161" s="44">
        <v>1002</v>
      </c>
      <c r="C161" s="45" t="s">
        <v>38</v>
      </c>
      <c r="D161" s="44">
        <v>6000</v>
      </c>
      <c r="E161" s="46">
        <f t="shared" si="21"/>
        <v>6000</v>
      </c>
      <c r="F161" s="46">
        <f t="shared" si="22"/>
        <v>25</v>
      </c>
      <c r="G161" s="46">
        <f t="shared" si="23"/>
        <v>0</v>
      </c>
      <c r="H161" s="47">
        <f t="shared" si="24"/>
        <v>0</v>
      </c>
      <c r="I161" s="47">
        <f t="shared" si="25"/>
        <v>0.33300000000000002</v>
      </c>
      <c r="J161" s="46">
        <f t="shared" si="26"/>
        <v>10540</v>
      </c>
      <c r="K161" s="46">
        <f t="shared" si="27"/>
        <v>3513</v>
      </c>
      <c r="L161" s="48">
        <f t="shared" si="28"/>
        <v>0.33330170777988616</v>
      </c>
    </row>
    <row r="162" spans="1:12">
      <c r="A162" s="43" t="s">
        <v>187</v>
      </c>
      <c r="B162" s="44">
        <v>833</v>
      </c>
      <c r="C162" s="45" t="s">
        <v>38</v>
      </c>
      <c r="D162" s="44">
        <v>1000</v>
      </c>
      <c r="E162" s="46">
        <f t="shared" si="21"/>
        <v>1000</v>
      </c>
      <c r="F162" s="46">
        <f t="shared" si="22"/>
        <v>25</v>
      </c>
      <c r="G162" s="46">
        <f t="shared" si="23"/>
        <v>0</v>
      </c>
      <c r="H162" s="47">
        <f t="shared" si="24"/>
        <v>0</v>
      </c>
      <c r="I162" s="47">
        <f t="shared" si="25"/>
        <v>0.33300000000000002</v>
      </c>
      <c r="J162" s="46">
        <f t="shared" si="26"/>
        <v>2790</v>
      </c>
      <c r="K162" s="46">
        <f t="shared" si="27"/>
        <v>932</v>
      </c>
      <c r="L162" s="48">
        <f t="shared" si="28"/>
        <v>0.33405017921146951</v>
      </c>
    </row>
    <row r="163" spans="1:12">
      <c r="A163" s="43" t="s">
        <v>188</v>
      </c>
      <c r="B163" s="44">
        <v>167</v>
      </c>
      <c r="C163" s="45" t="s">
        <v>38</v>
      </c>
      <c r="D163" s="44">
        <v>1000</v>
      </c>
      <c r="E163" s="46">
        <f t="shared" si="21"/>
        <v>1000</v>
      </c>
      <c r="F163" s="46">
        <f t="shared" si="22"/>
        <v>25</v>
      </c>
      <c r="G163" s="46">
        <f t="shared" si="23"/>
        <v>0</v>
      </c>
      <c r="H163" s="47">
        <f t="shared" si="24"/>
        <v>0</v>
      </c>
      <c r="I163" s="47">
        <f t="shared" si="25"/>
        <v>0.33300000000000002</v>
      </c>
      <c r="J163" s="46">
        <f t="shared" si="26"/>
        <v>1790</v>
      </c>
      <c r="K163" s="46">
        <f t="shared" si="27"/>
        <v>598</v>
      </c>
      <c r="L163" s="48">
        <f t="shared" si="28"/>
        <v>0.33407821229050277</v>
      </c>
    </row>
    <row r="164" spans="1:12">
      <c r="A164" s="43" t="s">
        <v>189</v>
      </c>
      <c r="B164" s="44">
        <v>1002</v>
      </c>
      <c r="C164" s="45" t="s">
        <v>38</v>
      </c>
      <c r="D164" s="44">
        <v>6000</v>
      </c>
      <c r="E164" s="46">
        <f t="shared" si="21"/>
        <v>6000</v>
      </c>
      <c r="F164" s="46">
        <f t="shared" si="22"/>
        <v>25</v>
      </c>
      <c r="G164" s="46">
        <f t="shared" si="23"/>
        <v>0</v>
      </c>
      <c r="H164" s="47">
        <f t="shared" si="24"/>
        <v>0</v>
      </c>
      <c r="I164" s="47">
        <f t="shared" si="25"/>
        <v>0.33300000000000002</v>
      </c>
      <c r="J164" s="46">
        <f t="shared" si="26"/>
        <v>10540</v>
      </c>
      <c r="K164" s="46">
        <f t="shared" si="27"/>
        <v>3513</v>
      </c>
      <c r="L164" s="48">
        <f t="shared" si="28"/>
        <v>0.33330170777988616</v>
      </c>
    </row>
    <row r="165" spans="1:12">
      <c r="A165" s="43" t="s">
        <v>190</v>
      </c>
      <c r="B165" s="44">
        <v>833</v>
      </c>
      <c r="C165" s="45" t="s">
        <v>38</v>
      </c>
      <c r="D165" s="44">
        <v>1000</v>
      </c>
      <c r="E165" s="46">
        <f t="shared" si="21"/>
        <v>1000</v>
      </c>
      <c r="F165" s="46">
        <f t="shared" si="22"/>
        <v>25</v>
      </c>
      <c r="G165" s="46">
        <f t="shared" si="23"/>
        <v>0</v>
      </c>
      <c r="H165" s="47">
        <f t="shared" si="24"/>
        <v>0</v>
      </c>
      <c r="I165" s="47">
        <f t="shared" si="25"/>
        <v>0.33300000000000002</v>
      </c>
      <c r="J165" s="46">
        <f t="shared" si="26"/>
        <v>2790</v>
      </c>
      <c r="K165" s="46">
        <f t="shared" si="27"/>
        <v>932</v>
      </c>
      <c r="L165" s="48">
        <f t="shared" si="28"/>
        <v>0.33405017921146951</v>
      </c>
    </row>
    <row r="166" spans="1:12">
      <c r="A166" s="43" t="s">
        <v>191</v>
      </c>
      <c r="B166" s="44">
        <v>167</v>
      </c>
      <c r="C166" s="45" t="s">
        <v>38</v>
      </c>
      <c r="D166" s="44">
        <v>1000</v>
      </c>
      <c r="E166" s="46">
        <f t="shared" si="21"/>
        <v>1000</v>
      </c>
      <c r="F166" s="46">
        <f t="shared" si="22"/>
        <v>25</v>
      </c>
      <c r="G166" s="46">
        <f t="shared" si="23"/>
        <v>0</v>
      </c>
      <c r="H166" s="47">
        <f t="shared" si="24"/>
        <v>0</v>
      </c>
      <c r="I166" s="47">
        <f t="shared" si="25"/>
        <v>0.33300000000000002</v>
      </c>
      <c r="J166" s="46">
        <f t="shared" si="26"/>
        <v>1790</v>
      </c>
      <c r="K166" s="46">
        <f t="shared" si="27"/>
        <v>598</v>
      </c>
      <c r="L166" s="48">
        <f t="shared" si="28"/>
        <v>0.33407821229050277</v>
      </c>
    </row>
    <row r="167" spans="1:12">
      <c r="A167" s="43" t="s">
        <v>192</v>
      </c>
      <c r="B167" s="44">
        <v>1002</v>
      </c>
      <c r="C167" s="45" t="s">
        <v>38</v>
      </c>
      <c r="D167" s="44">
        <v>6000</v>
      </c>
      <c r="E167" s="46">
        <f t="shared" si="21"/>
        <v>6000</v>
      </c>
      <c r="F167" s="46">
        <f t="shared" si="22"/>
        <v>25</v>
      </c>
      <c r="G167" s="46">
        <f t="shared" si="23"/>
        <v>0</v>
      </c>
      <c r="H167" s="47">
        <f t="shared" si="24"/>
        <v>0</v>
      </c>
      <c r="I167" s="47">
        <f t="shared" si="25"/>
        <v>0.33300000000000002</v>
      </c>
      <c r="J167" s="46">
        <f t="shared" si="26"/>
        <v>10540</v>
      </c>
      <c r="K167" s="46">
        <f t="shared" si="27"/>
        <v>3513</v>
      </c>
      <c r="L167" s="48">
        <f t="shared" si="28"/>
        <v>0.33330170777988616</v>
      </c>
    </row>
    <row r="168" spans="1:12">
      <c r="A168" s="43" t="s">
        <v>193</v>
      </c>
      <c r="B168" s="44">
        <v>833</v>
      </c>
      <c r="C168" s="45" t="s">
        <v>38</v>
      </c>
      <c r="D168" s="44">
        <v>1000</v>
      </c>
      <c r="E168" s="46">
        <f t="shared" si="21"/>
        <v>1000</v>
      </c>
      <c r="F168" s="46">
        <f t="shared" si="22"/>
        <v>25</v>
      </c>
      <c r="G168" s="46">
        <f t="shared" si="23"/>
        <v>0</v>
      </c>
      <c r="H168" s="47">
        <f t="shared" si="24"/>
        <v>0</v>
      </c>
      <c r="I168" s="47">
        <f t="shared" si="25"/>
        <v>0.33300000000000002</v>
      </c>
      <c r="J168" s="46">
        <f t="shared" si="26"/>
        <v>2790</v>
      </c>
      <c r="K168" s="46">
        <f t="shared" si="27"/>
        <v>932</v>
      </c>
      <c r="L168" s="48">
        <f t="shared" si="28"/>
        <v>0.33405017921146951</v>
      </c>
    </row>
    <row r="169" spans="1:12">
      <c r="A169" s="43" t="s">
        <v>194</v>
      </c>
      <c r="B169" s="44">
        <v>167</v>
      </c>
      <c r="C169" s="45" t="s">
        <v>38</v>
      </c>
      <c r="D169" s="44">
        <v>1000</v>
      </c>
      <c r="E169" s="46">
        <f t="shared" si="21"/>
        <v>1000</v>
      </c>
      <c r="F169" s="46">
        <f t="shared" si="22"/>
        <v>25</v>
      </c>
      <c r="G169" s="46">
        <f t="shared" si="23"/>
        <v>0</v>
      </c>
      <c r="H169" s="47">
        <f t="shared" si="24"/>
        <v>0</v>
      </c>
      <c r="I169" s="47">
        <f t="shared" si="25"/>
        <v>0.33300000000000002</v>
      </c>
      <c r="J169" s="46">
        <f t="shared" si="26"/>
        <v>1790</v>
      </c>
      <c r="K169" s="46">
        <f t="shared" si="27"/>
        <v>598</v>
      </c>
      <c r="L169" s="48">
        <f t="shared" si="28"/>
        <v>0.33407821229050277</v>
      </c>
    </row>
    <row r="170" spans="1:12">
      <c r="A170" s="43" t="s">
        <v>195</v>
      </c>
      <c r="B170" s="44">
        <v>1002</v>
      </c>
      <c r="C170" s="45" t="s">
        <v>38</v>
      </c>
      <c r="D170" s="44">
        <v>6000</v>
      </c>
      <c r="E170" s="46">
        <f t="shared" si="21"/>
        <v>6000</v>
      </c>
      <c r="F170" s="46">
        <f t="shared" si="22"/>
        <v>25</v>
      </c>
      <c r="G170" s="46">
        <f t="shared" si="23"/>
        <v>0</v>
      </c>
      <c r="H170" s="47">
        <f t="shared" si="24"/>
        <v>0</v>
      </c>
      <c r="I170" s="47">
        <f t="shared" si="25"/>
        <v>0.33300000000000002</v>
      </c>
      <c r="J170" s="46">
        <f t="shared" si="26"/>
        <v>10540</v>
      </c>
      <c r="K170" s="46">
        <f t="shared" si="27"/>
        <v>3513</v>
      </c>
      <c r="L170" s="48">
        <f t="shared" si="28"/>
        <v>0.33330170777988616</v>
      </c>
    </row>
    <row r="171" spans="1:12">
      <c r="A171" s="43" t="s">
        <v>196</v>
      </c>
      <c r="B171" s="44">
        <v>1000</v>
      </c>
      <c r="C171" s="45" t="s">
        <v>53</v>
      </c>
      <c r="D171" s="44">
        <f t="shared" ref="D171:D202" si="29">IF(A171="","",$B$7/$B$6)</f>
        <v>25</v>
      </c>
      <c r="E171" s="46">
        <f t="shared" si="21"/>
        <v>0</v>
      </c>
      <c r="F171" s="46">
        <f t="shared" si="22"/>
        <v>25</v>
      </c>
      <c r="G171" s="46">
        <f t="shared" si="23"/>
        <v>0</v>
      </c>
      <c r="H171" s="47">
        <f t="shared" si="24"/>
        <v>0</v>
      </c>
      <c r="I171" s="47">
        <f t="shared" si="25"/>
        <v>0.33300000000000002</v>
      </c>
      <c r="J171" s="46">
        <f t="shared" si="26"/>
        <v>1540</v>
      </c>
      <c r="K171" s="46">
        <f t="shared" si="27"/>
        <v>515</v>
      </c>
      <c r="L171" s="48">
        <f t="shared" si="28"/>
        <v>0.33441558441558439</v>
      </c>
    </row>
    <row r="172" spans="1:12">
      <c r="A172" s="43" t="s">
        <v>197</v>
      </c>
      <c r="B172" s="44">
        <v>1200</v>
      </c>
      <c r="C172" s="45" t="s">
        <v>53</v>
      </c>
      <c r="D172" s="44">
        <f t="shared" si="29"/>
        <v>25</v>
      </c>
      <c r="E172" s="46">
        <f t="shared" si="21"/>
        <v>0</v>
      </c>
      <c r="F172" s="46">
        <f t="shared" si="22"/>
        <v>25</v>
      </c>
      <c r="G172" s="46">
        <f t="shared" si="23"/>
        <v>0</v>
      </c>
      <c r="H172" s="47">
        <f t="shared" si="24"/>
        <v>0</v>
      </c>
      <c r="I172" s="47">
        <f t="shared" si="25"/>
        <v>0.33300000000000002</v>
      </c>
      <c r="J172" s="46">
        <f t="shared" si="26"/>
        <v>1840</v>
      </c>
      <c r="K172" s="46">
        <f t="shared" si="27"/>
        <v>615</v>
      </c>
      <c r="L172" s="48">
        <f t="shared" si="28"/>
        <v>0.33423913043478259</v>
      </c>
    </row>
    <row r="173" spans="1:12">
      <c r="A173" s="43" t="s">
        <v>198</v>
      </c>
      <c r="B173" s="44">
        <v>1400</v>
      </c>
      <c r="C173" s="45" t="s">
        <v>53</v>
      </c>
      <c r="D173" s="44">
        <f t="shared" si="29"/>
        <v>25</v>
      </c>
      <c r="E173" s="46">
        <f t="shared" si="21"/>
        <v>0</v>
      </c>
      <c r="F173" s="46">
        <f t="shared" si="22"/>
        <v>25</v>
      </c>
      <c r="G173" s="46">
        <f t="shared" si="23"/>
        <v>0</v>
      </c>
      <c r="H173" s="47">
        <f t="shared" si="24"/>
        <v>0</v>
      </c>
      <c r="I173" s="47">
        <f t="shared" si="25"/>
        <v>0.33300000000000002</v>
      </c>
      <c r="J173" s="46">
        <f t="shared" si="26"/>
        <v>2140</v>
      </c>
      <c r="K173" s="46">
        <f t="shared" si="27"/>
        <v>715</v>
      </c>
      <c r="L173" s="48">
        <f t="shared" si="28"/>
        <v>0.33411214953271029</v>
      </c>
    </row>
    <row r="174" spans="1:12">
      <c r="A174" s="43" t="s">
        <v>199</v>
      </c>
      <c r="B174" s="44">
        <v>2000</v>
      </c>
      <c r="C174" s="45" t="s">
        <v>53</v>
      </c>
      <c r="D174" s="44">
        <f t="shared" si="29"/>
        <v>25</v>
      </c>
      <c r="E174" s="46">
        <f t="shared" si="21"/>
        <v>0</v>
      </c>
      <c r="F174" s="46">
        <f t="shared" si="22"/>
        <v>25</v>
      </c>
      <c r="G174" s="46">
        <f t="shared" si="23"/>
        <v>0</v>
      </c>
      <c r="H174" s="47">
        <f t="shared" si="24"/>
        <v>0</v>
      </c>
      <c r="I174" s="47">
        <f t="shared" si="25"/>
        <v>0.33300000000000002</v>
      </c>
      <c r="J174" s="46">
        <f t="shared" si="26"/>
        <v>3040</v>
      </c>
      <c r="K174" s="46">
        <f t="shared" si="27"/>
        <v>1015</v>
      </c>
      <c r="L174" s="48">
        <f t="shared" si="28"/>
        <v>0.33388157894736842</v>
      </c>
    </row>
    <row r="175" spans="1:12">
      <c r="A175" s="43" t="s">
        <v>200</v>
      </c>
      <c r="B175" s="44">
        <v>4400</v>
      </c>
      <c r="C175" s="45" t="s">
        <v>53</v>
      </c>
      <c r="D175" s="44">
        <f t="shared" si="29"/>
        <v>25</v>
      </c>
      <c r="E175" s="46">
        <f t="shared" si="21"/>
        <v>0</v>
      </c>
      <c r="F175" s="46">
        <f t="shared" si="22"/>
        <v>25</v>
      </c>
      <c r="G175" s="46">
        <f t="shared" si="23"/>
        <v>0</v>
      </c>
      <c r="H175" s="47">
        <f t="shared" si="24"/>
        <v>0</v>
      </c>
      <c r="I175" s="47">
        <f t="shared" si="25"/>
        <v>0.33300000000000002</v>
      </c>
      <c r="J175" s="46">
        <f t="shared" si="26"/>
        <v>6630</v>
      </c>
      <c r="K175" s="46">
        <f t="shared" si="27"/>
        <v>2205</v>
      </c>
      <c r="L175" s="48">
        <f t="shared" si="28"/>
        <v>0.33257918552036198</v>
      </c>
    </row>
    <row r="176" spans="1:12">
      <c r="A176" s="43" t="s">
        <v>201</v>
      </c>
      <c r="B176" s="44">
        <v>7000</v>
      </c>
      <c r="C176" s="45" t="s">
        <v>53</v>
      </c>
      <c r="D176" s="44">
        <f t="shared" si="29"/>
        <v>25</v>
      </c>
      <c r="E176" s="46">
        <f t="shared" si="21"/>
        <v>0</v>
      </c>
      <c r="F176" s="46">
        <f t="shared" si="22"/>
        <v>25</v>
      </c>
      <c r="G176" s="46">
        <f t="shared" si="23"/>
        <v>0</v>
      </c>
      <c r="H176" s="47">
        <f t="shared" si="24"/>
        <v>0</v>
      </c>
      <c r="I176" s="47">
        <f t="shared" si="25"/>
        <v>0.33300000000000002</v>
      </c>
      <c r="J176" s="46">
        <f t="shared" si="26"/>
        <v>10530</v>
      </c>
      <c r="K176" s="46">
        <f t="shared" si="27"/>
        <v>3505</v>
      </c>
      <c r="L176" s="48">
        <f t="shared" si="28"/>
        <v>0.33285849952516622</v>
      </c>
    </row>
    <row r="177" spans="1:12">
      <c r="A177" s="43" t="s">
        <v>202</v>
      </c>
      <c r="B177" s="44">
        <v>8800</v>
      </c>
      <c r="C177" s="45" t="s">
        <v>53</v>
      </c>
      <c r="D177" s="44">
        <f t="shared" si="29"/>
        <v>25</v>
      </c>
      <c r="E177" s="46">
        <f t="shared" si="21"/>
        <v>0</v>
      </c>
      <c r="F177" s="46">
        <f t="shared" si="22"/>
        <v>25</v>
      </c>
      <c r="G177" s="46">
        <f t="shared" si="23"/>
        <v>0</v>
      </c>
      <c r="H177" s="47">
        <f t="shared" si="24"/>
        <v>0</v>
      </c>
      <c r="I177" s="47">
        <f t="shared" si="25"/>
        <v>0.33300000000000002</v>
      </c>
      <c r="J177" s="46">
        <f t="shared" si="26"/>
        <v>13230</v>
      </c>
      <c r="K177" s="46">
        <f t="shared" si="27"/>
        <v>4405</v>
      </c>
      <c r="L177" s="48">
        <f t="shared" si="28"/>
        <v>0.33295540438397581</v>
      </c>
    </row>
    <row r="178" spans="1:12">
      <c r="A178" s="43" t="s">
        <v>203</v>
      </c>
      <c r="B178" s="44">
        <v>300</v>
      </c>
      <c r="C178" s="45" t="s">
        <v>53</v>
      </c>
      <c r="D178" s="44">
        <f t="shared" si="29"/>
        <v>25</v>
      </c>
      <c r="E178" s="46">
        <f t="shared" si="21"/>
        <v>0</v>
      </c>
      <c r="F178" s="46">
        <f t="shared" si="22"/>
        <v>25</v>
      </c>
      <c r="G178" s="46">
        <f t="shared" si="23"/>
        <v>0</v>
      </c>
      <c r="H178" s="47">
        <f t="shared" si="24"/>
        <v>0</v>
      </c>
      <c r="I178" s="47">
        <f t="shared" si="25"/>
        <v>0.33300000000000002</v>
      </c>
      <c r="J178" s="46">
        <f t="shared" si="26"/>
        <v>490</v>
      </c>
      <c r="K178" s="46">
        <f t="shared" si="27"/>
        <v>165</v>
      </c>
      <c r="L178" s="48">
        <f t="shared" si="28"/>
        <v>0.33673469387755101</v>
      </c>
    </row>
    <row r="179" spans="1:12">
      <c r="A179" s="43" t="s">
        <v>204</v>
      </c>
      <c r="B179" s="44">
        <v>1400</v>
      </c>
      <c r="C179" s="45" t="s">
        <v>53</v>
      </c>
      <c r="D179" s="44">
        <f t="shared" si="29"/>
        <v>25</v>
      </c>
      <c r="E179" s="46">
        <f t="shared" si="21"/>
        <v>0</v>
      </c>
      <c r="F179" s="46">
        <f t="shared" si="22"/>
        <v>25</v>
      </c>
      <c r="G179" s="46">
        <f t="shared" si="23"/>
        <v>0</v>
      </c>
      <c r="H179" s="47">
        <f t="shared" si="24"/>
        <v>0</v>
      </c>
      <c r="I179" s="47">
        <f t="shared" si="25"/>
        <v>0.33300000000000002</v>
      </c>
      <c r="J179" s="46">
        <f t="shared" si="26"/>
        <v>2140</v>
      </c>
      <c r="K179" s="46">
        <f t="shared" si="27"/>
        <v>715</v>
      </c>
      <c r="L179" s="48">
        <f t="shared" si="28"/>
        <v>0.33411214953271029</v>
      </c>
    </row>
    <row r="180" spans="1:12">
      <c r="A180" s="43" t="s">
        <v>205</v>
      </c>
      <c r="B180" s="44">
        <v>400</v>
      </c>
      <c r="C180" s="45" t="s">
        <v>53</v>
      </c>
      <c r="D180" s="44">
        <f t="shared" si="29"/>
        <v>25</v>
      </c>
      <c r="E180" s="46">
        <f t="shared" si="21"/>
        <v>0</v>
      </c>
      <c r="F180" s="46">
        <f t="shared" si="22"/>
        <v>25</v>
      </c>
      <c r="G180" s="46">
        <f t="shared" si="23"/>
        <v>0</v>
      </c>
      <c r="H180" s="47">
        <f t="shared" si="24"/>
        <v>0</v>
      </c>
      <c r="I180" s="47">
        <f t="shared" si="25"/>
        <v>0.33300000000000002</v>
      </c>
      <c r="J180" s="46">
        <f t="shared" si="26"/>
        <v>640</v>
      </c>
      <c r="K180" s="46">
        <f t="shared" si="27"/>
        <v>215</v>
      </c>
      <c r="L180" s="48">
        <f t="shared" si="28"/>
        <v>0.3359375</v>
      </c>
    </row>
    <row r="181" spans="1:12">
      <c r="A181" s="43" t="s">
        <v>206</v>
      </c>
      <c r="B181" s="44">
        <v>2280</v>
      </c>
      <c r="C181" s="45" t="s">
        <v>53</v>
      </c>
      <c r="D181" s="44">
        <f t="shared" si="29"/>
        <v>25</v>
      </c>
      <c r="E181" s="46">
        <f t="shared" si="21"/>
        <v>0</v>
      </c>
      <c r="F181" s="46">
        <f t="shared" si="22"/>
        <v>25</v>
      </c>
      <c r="G181" s="46">
        <f t="shared" si="23"/>
        <v>0</v>
      </c>
      <c r="H181" s="47">
        <f t="shared" si="24"/>
        <v>0</v>
      </c>
      <c r="I181" s="47">
        <f t="shared" si="25"/>
        <v>0.33300000000000002</v>
      </c>
      <c r="J181" s="46">
        <f t="shared" si="26"/>
        <v>3460</v>
      </c>
      <c r="K181" s="46">
        <f t="shared" si="27"/>
        <v>1155</v>
      </c>
      <c r="L181" s="48">
        <f t="shared" si="28"/>
        <v>0.33381502890173409</v>
      </c>
    </row>
    <row r="182" spans="1:12">
      <c r="A182" s="43" t="s">
        <v>207</v>
      </c>
      <c r="B182" s="44">
        <v>14000</v>
      </c>
      <c r="C182" s="45" t="s">
        <v>53</v>
      </c>
      <c r="D182" s="44">
        <f t="shared" si="29"/>
        <v>25</v>
      </c>
      <c r="E182" s="46">
        <f t="shared" si="21"/>
        <v>0</v>
      </c>
      <c r="F182" s="46">
        <f t="shared" si="22"/>
        <v>25</v>
      </c>
      <c r="G182" s="46">
        <f t="shared" si="23"/>
        <v>0</v>
      </c>
      <c r="H182" s="47">
        <f t="shared" si="24"/>
        <v>0</v>
      </c>
      <c r="I182" s="47">
        <f t="shared" si="25"/>
        <v>0.33300000000000002</v>
      </c>
      <c r="J182" s="46">
        <f t="shared" si="26"/>
        <v>21030</v>
      </c>
      <c r="K182" s="46">
        <f t="shared" si="27"/>
        <v>7005</v>
      </c>
      <c r="L182" s="48">
        <f t="shared" si="28"/>
        <v>0.33309557774607701</v>
      </c>
    </row>
    <row r="183" spans="1:12">
      <c r="A183" s="43" t="s">
        <v>208</v>
      </c>
      <c r="B183" s="44">
        <v>650</v>
      </c>
      <c r="C183" s="45" t="s">
        <v>53</v>
      </c>
      <c r="D183" s="44">
        <f t="shared" si="29"/>
        <v>25</v>
      </c>
      <c r="E183" s="46">
        <f t="shared" si="21"/>
        <v>0</v>
      </c>
      <c r="F183" s="46">
        <f t="shared" si="22"/>
        <v>25</v>
      </c>
      <c r="G183" s="46">
        <f t="shared" si="23"/>
        <v>0</v>
      </c>
      <c r="H183" s="47">
        <f t="shared" si="24"/>
        <v>0</v>
      </c>
      <c r="I183" s="47">
        <f t="shared" si="25"/>
        <v>0.33300000000000002</v>
      </c>
      <c r="J183" s="46">
        <f t="shared" si="26"/>
        <v>1010</v>
      </c>
      <c r="K183" s="46">
        <f t="shared" si="27"/>
        <v>335</v>
      </c>
      <c r="L183" s="48">
        <f t="shared" si="28"/>
        <v>0.3316831683168317</v>
      </c>
    </row>
    <row r="184" spans="1:12">
      <c r="A184" s="43" t="s">
        <v>209</v>
      </c>
      <c r="B184" s="44">
        <v>1700</v>
      </c>
      <c r="C184" s="45" t="s">
        <v>53</v>
      </c>
      <c r="D184" s="44">
        <f t="shared" si="29"/>
        <v>25</v>
      </c>
      <c r="E184" s="46">
        <f t="shared" si="21"/>
        <v>0</v>
      </c>
      <c r="F184" s="46">
        <f t="shared" si="22"/>
        <v>25</v>
      </c>
      <c r="G184" s="46">
        <f t="shared" si="23"/>
        <v>0</v>
      </c>
      <c r="H184" s="47">
        <f t="shared" si="24"/>
        <v>0</v>
      </c>
      <c r="I184" s="47">
        <f t="shared" si="25"/>
        <v>0.33300000000000002</v>
      </c>
      <c r="J184" s="46">
        <f t="shared" si="26"/>
        <v>2590</v>
      </c>
      <c r="K184" s="46">
        <f t="shared" si="27"/>
        <v>865</v>
      </c>
      <c r="L184" s="48">
        <f t="shared" si="28"/>
        <v>0.33397683397683398</v>
      </c>
    </row>
    <row r="185" spans="1:12">
      <c r="A185" s="43" t="s">
        <v>210</v>
      </c>
      <c r="B185" s="44">
        <v>20000</v>
      </c>
      <c r="C185" s="45" t="s">
        <v>53</v>
      </c>
      <c r="D185" s="44">
        <f t="shared" si="29"/>
        <v>25</v>
      </c>
      <c r="E185" s="46">
        <f t="shared" si="21"/>
        <v>0</v>
      </c>
      <c r="F185" s="46">
        <f t="shared" si="22"/>
        <v>25</v>
      </c>
      <c r="G185" s="46">
        <f t="shared" si="23"/>
        <v>0</v>
      </c>
      <c r="H185" s="47">
        <f t="shared" si="24"/>
        <v>0</v>
      </c>
      <c r="I185" s="47">
        <f t="shared" si="25"/>
        <v>0.33300000000000002</v>
      </c>
      <c r="J185" s="46">
        <f t="shared" si="26"/>
        <v>30020</v>
      </c>
      <c r="K185" s="46">
        <f t="shared" si="27"/>
        <v>9995</v>
      </c>
      <c r="L185" s="48">
        <f t="shared" si="28"/>
        <v>0.33294470353097932</v>
      </c>
    </row>
    <row r="186" spans="1:12">
      <c r="A186" s="43" t="s">
        <v>211</v>
      </c>
      <c r="B186" s="44">
        <v>4000</v>
      </c>
      <c r="C186" s="45" t="s">
        <v>53</v>
      </c>
      <c r="D186" s="44">
        <f t="shared" si="29"/>
        <v>25</v>
      </c>
      <c r="E186" s="46">
        <f t="shared" si="21"/>
        <v>0</v>
      </c>
      <c r="F186" s="46">
        <f t="shared" si="22"/>
        <v>25</v>
      </c>
      <c r="G186" s="46">
        <f t="shared" si="23"/>
        <v>0</v>
      </c>
      <c r="H186" s="47">
        <f t="shared" si="24"/>
        <v>0</v>
      </c>
      <c r="I186" s="47">
        <f t="shared" si="25"/>
        <v>0.33300000000000002</v>
      </c>
      <c r="J186" s="46">
        <f t="shared" si="26"/>
        <v>6030</v>
      </c>
      <c r="K186" s="46">
        <f t="shared" si="27"/>
        <v>2005</v>
      </c>
      <c r="L186" s="48">
        <f t="shared" si="28"/>
        <v>0.33250414593698174</v>
      </c>
    </row>
    <row r="187" spans="1:12">
      <c r="A187" s="43" t="s">
        <v>212</v>
      </c>
      <c r="B187" s="44">
        <v>27000</v>
      </c>
      <c r="C187" s="45" t="s">
        <v>53</v>
      </c>
      <c r="D187" s="44">
        <f t="shared" si="29"/>
        <v>25</v>
      </c>
      <c r="E187" s="46">
        <f t="shared" si="21"/>
        <v>0</v>
      </c>
      <c r="F187" s="46">
        <f t="shared" si="22"/>
        <v>25</v>
      </c>
      <c r="G187" s="46">
        <f t="shared" si="23"/>
        <v>0</v>
      </c>
      <c r="H187" s="47">
        <f t="shared" si="24"/>
        <v>0</v>
      </c>
      <c r="I187" s="47">
        <f t="shared" si="25"/>
        <v>0.33300000000000002</v>
      </c>
      <c r="J187" s="46">
        <f t="shared" si="26"/>
        <v>40520</v>
      </c>
      <c r="K187" s="46">
        <f t="shared" si="27"/>
        <v>13495</v>
      </c>
      <c r="L187" s="48">
        <f t="shared" si="28"/>
        <v>0.33304540967423496</v>
      </c>
    </row>
    <row r="188" spans="1:12">
      <c r="A188" s="43" t="s">
        <v>213</v>
      </c>
      <c r="B188" s="44">
        <v>700</v>
      </c>
      <c r="C188" s="45" t="s">
        <v>53</v>
      </c>
      <c r="D188" s="44">
        <f t="shared" si="29"/>
        <v>25</v>
      </c>
      <c r="E188" s="46">
        <f t="shared" si="21"/>
        <v>0</v>
      </c>
      <c r="F188" s="46">
        <f t="shared" si="22"/>
        <v>25</v>
      </c>
      <c r="G188" s="46">
        <f t="shared" si="23"/>
        <v>0</v>
      </c>
      <c r="H188" s="47">
        <f t="shared" si="24"/>
        <v>0</v>
      </c>
      <c r="I188" s="47">
        <f t="shared" si="25"/>
        <v>0.33300000000000002</v>
      </c>
      <c r="J188" s="46">
        <f t="shared" si="26"/>
        <v>1090</v>
      </c>
      <c r="K188" s="46">
        <f t="shared" si="27"/>
        <v>365</v>
      </c>
      <c r="L188" s="48">
        <f t="shared" si="28"/>
        <v>0.33486238532110091</v>
      </c>
    </row>
    <row r="189" spans="1:12">
      <c r="A189" s="43" t="s">
        <v>214</v>
      </c>
      <c r="B189" s="44">
        <v>800</v>
      </c>
      <c r="C189" s="45" t="s">
        <v>53</v>
      </c>
      <c r="D189" s="44">
        <f t="shared" si="29"/>
        <v>25</v>
      </c>
      <c r="E189" s="46">
        <f t="shared" si="21"/>
        <v>0</v>
      </c>
      <c r="F189" s="46">
        <f t="shared" si="22"/>
        <v>25</v>
      </c>
      <c r="G189" s="46">
        <f t="shared" si="23"/>
        <v>0</v>
      </c>
      <c r="H189" s="47">
        <f t="shared" si="24"/>
        <v>0</v>
      </c>
      <c r="I189" s="47">
        <f t="shared" si="25"/>
        <v>0.33300000000000002</v>
      </c>
      <c r="J189" s="46">
        <f t="shared" si="26"/>
        <v>1240</v>
      </c>
      <c r="K189" s="46">
        <f t="shared" si="27"/>
        <v>415</v>
      </c>
      <c r="L189" s="48">
        <f t="shared" si="28"/>
        <v>0.33467741935483869</v>
      </c>
    </row>
    <row r="190" spans="1:12">
      <c r="A190" s="43" t="s">
        <v>215</v>
      </c>
      <c r="B190" s="44">
        <v>1400</v>
      </c>
      <c r="C190" s="45" t="s">
        <v>53</v>
      </c>
      <c r="D190" s="44">
        <f t="shared" si="29"/>
        <v>25</v>
      </c>
      <c r="E190" s="46">
        <f t="shared" si="21"/>
        <v>0</v>
      </c>
      <c r="F190" s="46">
        <f t="shared" si="22"/>
        <v>25</v>
      </c>
      <c r="G190" s="46">
        <f t="shared" si="23"/>
        <v>0</v>
      </c>
      <c r="H190" s="47">
        <f t="shared" si="24"/>
        <v>0</v>
      </c>
      <c r="I190" s="47">
        <f t="shared" si="25"/>
        <v>0.33300000000000002</v>
      </c>
      <c r="J190" s="46">
        <f t="shared" si="26"/>
        <v>2140</v>
      </c>
      <c r="K190" s="46">
        <f t="shared" si="27"/>
        <v>715</v>
      </c>
      <c r="L190" s="48">
        <f t="shared" si="28"/>
        <v>0.33411214953271029</v>
      </c>
    </row>
    <row r="191" spans="1:12">
      <c r="A191" s="43" t="s">
        <v>216</v>
      </c>
      <c r="B191" s="44">
        <v>700</v>
      </c>
      <c r="C191" s="45" t="s">
        <v>53</v>
      </c>
      <c r="D191" s="44">
        <f t="shared" si="29"/>
        <v>25</v>
      </c>
      <c r="E191" s="46">
        <f t="shared" si="21"/>
        <v>0</v>
      </c>
      <c r="F191" s="46">
        <f t="shared" si="22"/>
        <v>25</v>
      </c>
      <c r="G191" s="46">
        <f t="shared" si="23"/>
        <v>0</v>
      </c>
      <c r="H191" s="47">
        <f t="shared" si="24"/>
        <v>0</v>
      </c>
      <c r="I191" s="47">
        <f t="shared" si="25"/>
        <v>0.33300000000000002</v>
      </c>
      <c r="J191" s="46">
        <f t="shared" si="26"/>
        <v>1090</v>
      </c>
      <c r="K191" s="46">
        <f t="shared" si="27"/>
        <v>365</v>
      </c>
      <c r="L191" s="48">
        <f t="shared" si="28"/>
        <v>0.33486238532110091</v>
      </c>
    </row>
    <row r="192" spans="1:12">
      <c r="A192" s="43" t="s">
        <v>217</v>
      </c>
      <c r="B192" s="44">
        <v>1800</v>
      </c>
      <c r="C192" s="45" t="s">
        <v>53</v>
      </c>
      <c r="D192" s="44">
        <f t="shared" si="29"/>
        <v>25</v>
      </c>
      <c r="E192" s="46">
        <f t="shared" si="21"/>
        <v>0</v>
      </c>
      <c r="F192" s="46">
        <f t="shared" si="22"/>
        <v>25</v>
      </c>
      <c r="G192" s="46">
        <f t="shared" si="23"/>
        <v>0</v>
      </c>
      <c r="H192" s="47">
        <f t="shared" si="24"/>
        <v>0</v>
      </c>
      <c r="I192" s="47">
        <f t="shared" si="25"/>
        <v>0.33300000000000002</v>
      </c>
      <c r="J192" s="46">
        <f t="shared" si="26"/>
        <v>2740</v>
      </c>
      <c r="K192" s="46">
        <f t="shared" si="27"/>
        <v>915</v>
      </c>
      <c r="L192" s="48">
        <f t="shared" si="28"/>
        <v>0.33394160583941607</v>
      </c>
    </row>
    <row r="193" spans="1:12">
      <c r="A193" s="43" t="s">
        <v>218</v>
      </c>
      <c r="B193" s="44">
        <v>1400</v>
      </c>
      <c r="C193" s="45" t="s">
        <v>53</v>
      </c>
      <c r="D193" s="44">
        <f t="shared" si="29"/>
        <v>25</v>
      </c>
      <c r="E193" s="46">
        <f t="shared" si="21"/>
        <v>0</v>
      </c>
      <c r="F193" s="46">
        <f t="shared" si="22"/>
        <v>25</v>
      </c>
      <c r="G193" s="46">
        <f t="shared" si="23"/>
        <v>0</v>
      </c>
      <c r="H193" s="47">
        <f t="shared" si="24"/>
        <v>0</v>
      </c>
      <c r="I193" s="47">
        <f t="shared" si="25"/>
        <v>0.33300000000000002</v>
      </c>
      <c r="J193" s="46">
        <f t="shared" si="26"/>
        <v>2140</v>
      </c>
      <c r="K193" s="46">
        <f t="shared" si="27"/>
        <v>715</v>
      </c>
      <c r="L193" s="48">
        <f t="shared" si="28"/>
        <v>0.33411214953271029</v>
      </c>
    </row>
    <row r="194" spans="1:12">
      <c r="A194" s="43" t="s">
        <v>219</v>
      </c>
      <c r="B194" s="44">
        <v>2600</v>
      </c>
      <c r="C194" s="45" t="s">
        <v>53</v>
      </c>
      <c r="D194" s="44">
        <f t="shared" si="29"/>
        <v>25</v>
      </c>
      <c r="E194" s="46">
        <f t="shared" si="21"/>
        <v>0</v>
      </c>
      <c r="F194" s="46">
        <f t="shared" si="22"/>
        <v>25</v>
      </c>
      <c r="G194" s="46">
        <f t="shared" si="23"/>
        <v>0</v>
      </c>
      <c r="H194" s="47">
        <f t="shared" si="24"/>
        <v>0</v>
      </c>
      <c r="I194" s="47">
        <f t="shared" si="25"/>
        <v>0.33300000000000002</v>
      </c>
      <c r="J194" s="46">
        <f t="shared" si="26"/>
        <v>3940</v>
      </c>
      <c r="K194" s="46">
        <f t="shared" si="27"/>
        <v>1315</v>
      </c>
      <c r="L194" s="48">
        <f t="shared" si="28"/>
        <v>0.33375634517766495</v>
      </c>
    </row>
    <row r="195" spans="1:12">
      <c r="A195" s="43" t="s">
        <v>220</v>
      </c>
      <c r="B195" s="44">
        <v>2600</v>
      </c>
      <c r="C195" s="45" t="s">
        <v>53</v>
      </c>
      <c r="D195" s="44">
        <f t="shared" si="29"/>
        <v>25</v>
      </c>
      <c r="E195" s="46">
        <f t="shared" si="21"/>
        <v>0</v>
      </c>
      <c r="F195" s="46">
        <f t="shared" si="22"/>
        <v>25</v>
      </c>
      <c r="G195" s="46">
        <f t="shared" si="23"/>
        <v>0</v>
      </c>
      <c r="H195" s="47">
        <f t="shared" si="24"/>
        <v>0</v>
      </c>
      <c r="I195" s="47">
        <f t="shared" si="25"/>
        <v>0.33300000000000002</v>
      </c>
      <c r="J195" s="46">
        <f t="shared" si="26"/>
        <v>3940</v>
      </c>
      <c r="K195" s="46">
        <f t="shared" si="27"/>
        <v>1315</v>
      </c>
      <c r="L195" s="48">
        <f t="shared" si="28"/>
        <v>0.33375634517766495</v>
      </c>
    </row>
    <row r="196" spans="1:12">
      <c r="A196" s="43" t="s">
        <v>221</v>
      </c>
      <c r="B196" s="44">
        <v>3200</v>
      </c>
      <c r="C196" s="45" t="s">
        <v>53</v>
      </c>
      <c r="D196" s="44">
        <f t="shared" si="29"/>
        <v>25</v>
      </c>
      <c r="E196" s="46">
        <f t="shared" si="21"/>
        <v>0</v>
      </c>
      <c r="F196" s="46">
        <f t="shared" si="22"/>
        <v>25</v>
      </c>
      <c r="G196" s="46">
        <f t="shared" si="23"/>
        <v>0</v>
      </c>
      <c r="H196" s="47">
        <f t="shared" si="24"/>
        <v>0</v>
      </c>
      <c r="I196" s="47">
        <f t="shared" si="25"/>
        <v>0.33300000000000002</v>
      </c>
      <c r="J196" s="46">
        <f t="shared" si="26"/>
        <v>4840</v>
      </c>
      <c r="K196" s="46">
        <f t="shared" si="27"/>
        <v>1615</v>
      </c>
      <c r="L196" s="48">
        <f t="shared" si="28"/>
        <v>0.33367768595041325</v>
      </c>
    </row>
    <row r="197" spans="1:12">
      <c r="A197" s="43" t="s">
        <v>222</v>
      </c>
      <c r="B197" s="44">
        <v>4600</v>
      </c>
      <c r="C197" s="45" t="s">
        <v>53</v>
      </c>
      <c r="D197" s="44">
        <f t="shared" si="29"/>
        <v>25</v>
      </c>
      <c r="E197" s="46">
        <f t="shared" si="21"/>
        <v>0</v>
      </c>
      <c r="F197" s="46">
        <f t="shared" si="22"/>
        <v>25</v>
      </c>
      <c r="G197" s="46">
        <f t="shared" si="23"/>
        <v>0</v>
      </c>
      <c r="H197" s="47">
        <f t="shared" si="24"/>
        <v>0</v>
      </c>
      <c r="I197" s="47">
        <f t="shared" si="25"/>
        <v>0.33300000000000002</v>
      </c>
      <c r="J197" s="46">
        <f t="shared" si="26"/>
        <v>6930</v>
      </c>
      <c r="K197" s="46">
        <f t="shared" si="27"/>
        <v>2305</v>
      </c>
      <c r="L197" s="48">
        <f t="shared" si="28"/>
        <v>0.33261183261183264</v>
      </c>
    </row>
    <row r="198" spans="1:12">
      <c r="A198" s="43" t="s">
        <v>223</v>
      </c>
      <c r="B198" s="44">
        <v>2600</v>
      </c>
      <c r="C198" s="45" t="s">
        <v>53</v>
      </c>
      <c r="D198" s="44">
        <f t="shared" si="29"/>
        <v>25</v>
      </c>
      <c r="E198" s="46">
        <f t="shared" si="21"/>
        <v>0</v>
      </c>
      <c r="F198" s="46">
        <f t="shared" si="22"/>
        <v>25</v>
      </c>
      <c r="G198" s="46">
        <f t="shared" si="23"/>
        <v>0</v>
      </c>
      <c r="H198" s="47">
        <f t="shared" si="24"/>
        <v>0</v>
      </c>
      <c r="I198" s="47">
        <f t="shared" si="25"/>
        <v>0.33300000000000002</v>
      </c>
      <c r="J198" s="46">
        <f t="shared" si="26"/>
        <v>3940</v>
      </c>
      <c r="K198" s="46">
        <f t="shared" si="27"/>
        <v>1315</v>
      </c>
      <c r="L198" s="48">
        <f t="shared" si="28"/>
        <v>0.33375634517766495</v>
      </c>
    </row>
    <row r="199" spans="1:12">
      <c r="A199" s="43" t="s">
        <v>224</v>
      </c>
      <c r="B199" s="44">
        <v>2900</v>
      </c>
      <c r="C199" s="45" t="s">
        <v>53</v>
      </c>
      <c r="D199" s="44">
        <f t="shared" si="29"/>
        <v>25</v>
      </c>
      <c r="E199" s="46">
        <f t="shared" si="21"/>
        <v>0</v>
      </c>
      <c r="F199" s="46">
        <f t="shared" si="22"/>
        <v>25</v>
      </c>
      <c r="G199" s="46">
        <f t="shared" si="23"/>
        <v>0</v>
      </c>
      <c r="H199" s="47">
        <f t="shared" si="24"/>
        <v>0</v>
      </c>
      <c r="I199" s="47">
        <f t="shared" si="25"/>
        <v>0.33300000000000002</v>
      </c>
      <c r="J199" s="46">
        <f t="shared" si="26"/>
        <v>4390</v>
      </c>
      <c r="K199" s="46">
        <f t="shared" si="27"/>
        <v>1465</v>
      </c>
      <c r="L199" s="48">
        <f t="shared" si="28"/>
        <v>0.3337129840546697</v>
      </c>
    </row>
    <row r="200" spans="1:12">
      <c r="A200" s="43" t="s">
        <v>225</v>
      </c>
      <c r="B200" s="44">
        <v>4200</v>
      </c>
      <c r="C200" s="45" t="s">
        <v>53</v>
      </c>
      <c r="D200" s="44">
        <f t="shared" si="29"/>
        <v>25</v>
      </c>
      <c r="E200" s="46">
        <f t="shared" si="21"/>
        <v>0</v>
      </c>
      <c r="F200" s="46">
        <f t="shared" si="22"/>
        <v>25</v>
      </c>
      <c r="G200" s="46">
        <f t="shared" si="23"/>
        <v>0</v>
      </c>
      <c r="H200" s="47">
        <f t="shared" si="24"/>
        <v>0</v>
      </c>
      <c r="I200" s="47">
        <f t="shared" si="25"/>
        <v>0.33300000000000002</v>
      </c>
      <c r="J200" s="46">
        <f t="shared" si="26"/>
        <v>6330</v>
      </c>
      <c r="K200" s="46">
        <f t="shared" si="27"/>
        <v>2105</v>
      </c>
      <c r="L200" s="48">
        <f t="shared" si="28"/>
        <v>0.33254344391785151</v>
      </c>
    </row>
    <row r="201" spans="1:12">
      <c r="A201" s="43" t="s">
        <v>226</v>
      </c>
      <c r="B201" s="44">
        <v>6000</v>
      </c>
      <c r="C201" s="45" t="s">
        <v>53</v>
      </c>
      <c r="D201" s="44">
        <f t="shared" si="29"/>
        <v>25</v>
      </c>
      <c r="E201" s="46">
        <f t="shared" si="21"/>
        <v>0</v>
      </c>
      <c r="F201" s="46">
        <f t="shared" si="22"/>
        <v>25</v>
      </c>
      <c r="G201" s="46">
        <f t="shared" si="23"/>
        <v>0</v>
      </c>
      <c r="H201" s="47">
        <f t="shared" si="24"/>
        <v>0</v>
      </c>
      <c r="I201" s="47">
        <f t="shared" si="25"/>
        <v>0.33300000000000002</v>
      </c>
      <c r="J201" s="46">
        <f t="shared" si="26"/>
        <v>9030</v>
      </c>
      <c r="K201" s="46">
        <f t="shared" si="27"/>
        <v>3005</v>
      </c>
      <c r="L201" s="48">
        <f t="shared" si="28"/>
        <v>0.33277962347729789</v>
      </c>
    </row>
    <row r="202" spans="1:12">
      <c r="A202" s="43" t="s">
        <v>227</v>
      </c>
      <c r="B202" s="44">
        <v>5000</v>
      </c>
      <c r="C202" s="45" t="s">
        <v>53</v>
      </c>
      <c r="D202" s="44">
        <f t="shared" si="29"/>
        <v>25</v>
      </c>
      <c r="E202" s="46">
        <f t="shared" si="21"/>
        <v>0</v>
      </c>
      <c r="F202" s="46">
        <f t="shared" si="22"/>
        <v>25</v>
      </c>
      <c r="G202" s="46">
        <f t="shared" si="23"/>
        <v>0</v>
      </c>
      <c r="H202" s="47">
        <f t="shared" si="24"/>
        <v>0</v>
      </c>
      <c r="I202" s="47">
        <f t="shared" si="25"/>
        <v>0.33300000000000002</v>
      </c>
      <c r="J202" s="46">
        <f t="shared" si="26"/>
        <v>7530</v>
      </c>
      <c r="K202" s="46">
        <f t="shared" si="27"/>
        <v>2505</v>
      </c>
      <c r="L202" s="48">
        <f t="shared" si="28"/>
        <v>0.33266932270916333</v>
      </c>
    </row>
    <row r="203" spans="1:12">
      <c r="A203" s="43" t="s">
        <v>228</v>
      </c>
      <c r="B203" s="44">
        <v>1300</v>
      </c>
      <c r="C203" s="45" t="s">
        <v>53</v>
      </c>
      <c r="D203" s="44">
        <f t="shared" ref="D203:D234" si="30">IF(A203="","",$B$7/$B$6)</f>
        <v>25</v>
      </c>
      <c r="E203" s="46">
        <f t="shared" si="21"/>
        <v>0</v>
      </c>
      <c r="F203" s="46">
        <f t="shared" si="22"/>
        <v>25</v>
      </c>
      <c r="G203" s="46">
        <f t="shared" si="23"/>
        <v>0</v>
      </c>
      <c r="H203" s="47">
        <f t="shared" si="24"/>
        <v>0</v>
      </c>
      <c r="I203" s="47">
        <f t="shared" si="25"/>
        <v>0.33300000000000002</v>
      </c>
      <c r="J203" s="46">
        <f t="shared" si="26"/>
        <v>1990</v>
      </c>
      <c r="K203" s="46">
        <f t="shared" si="27"/>
        <v>665</v>
      </c>
      <c r="L203" s="48">
        <f t="shared" si="28"/>
        <v>0.33417085427135679</v>
      </c>
    </row>
    <row r="204" spans="1:12">
      <c r="A204" s="43" t="s">
        <v>229</v>
      </c>
      <c r="B204" s="44">
        <v>1300</v>
      </c>
      <c r="C204" s="45" t="s">
        <v>53</v>
      </c>
      <c r="D204" s="44">
        <f t="shared" si="30"/>
        <v>25</v>
      </c>
      <c r="E204" s="46">
        <f t="shared" si="21"/>
        <v>0</v>
      </c>
      <c r="F204" s="46">
        <f t="shared" si="22"/>
        <v>25</v>
      </c>
      <c r="G204" s="46">
        <f t="shared" si="23"/>
        <v>0</v>
      </c>
      <c r="H204" s="47">
        <f t="shared" si="24"/>
        <v>0</v>
      </c>
      <c r="I204" s="47">
        <f t="shared" si="25"/>
        <v>0.33300000000000002</v>
      </c>
      <c r="J204" s="46">
        <f t="shared" si="26"/>
        <v>1990</v>
      </c>
      <c r="K204" s="46">
        <f t="shared" si="27"/>
        <v>665</v>
      </c>
      <c r="L204" s="48">
        <f t="shared" si="28"/>
        <v>0.33417085427135679</v>
      </c>
    </row>
    <row r="205" spans="1:12">
      <c r="A205" s="43" t="s">
        <v>230</v>
      </c>
      <c r="B205" s="44">
        <v>1300</v>
      </c>
      <c r="C205" s="45" t="s">
        <v>53</v>
      </c>
      <c r="D205" s="44">
        <f t="shared" si="30"/>
        <v>25</v>
      </c>
      <c r="E205" s="46">
        <f t="shared" si="21"/>
        <v>0</v>
      </c>
      <c r="F205" s="46">
        <f t="shared" si="22"/>
        <v>25</v>
      </c>
      <c r="G205" s="46">
        <f t="shared" si="23"/>
        <v>0</v>
      </c>
      <c r="H205" s="47">
        <f t="shared" si="24"/>
        <v>0</v>
      </c>
      <c r="I205" s="47">
        <f t="shared" si="25"/>
        <v>0.33300000000000002</v>
      </c>
      <c r="J205" s="46">
        <f t="shared" si="26"/>
        <v>1990</v>
      </c>
      <c r="K205" s="46">
        <f t="shared" si="27"/>
        <v>665</v>
      </c>
      <c r="L205" s="48">
        <f t="shared" si="28"/>
        <v>0.33417085427135679</v>
      </c>
    </row>
    <row r="206" spans="1:12">
      <c r="A206" s="43" t="s">
        <v>231</v>
      </c>
      <c r="B206" s="44">
        <v>1300</v>
      </c>
      <c r="C206" s="45" t="s">
        <v>53</v>
      </c>
      <c r="D206" s="44">
        <f t="shared" si="30"/>
        <v>25</v>
      </c>
      <c r="E206" s="46">
        <f t="shared" si="21"/>
        <v>0</v>
      </c>
      <c r="F206" s="46">
        <f t="shared" si="22"/>
        <v>25</v>
      </c>
      <c r="G206" s="46">
        <f t="shared" si="23"/>
        <v>0</v>
      </c>
      <c r="H206" s="47">
        <f t="shared" si="24"/>
        <v>0</v>
      </c>
      <c r="I206" s="47">
        <f t="shared" si="25"/>
        <v>0.33300000000000002</v>
      </c>
      <c r="J206" s="46">
        <f t="shared" si="26"/>
        <v>1990</v>
      </c>
      <c r="K206" s="46">
        <f t="shared" si="27"/>
        <v>665</v>
      </c>
      <c r="L206" s="48">
        <f t="shared" si="28"/>
        <v>0.33417085427135679</v>
      </c>
    </row>
    <row r="207" spans="1:12">
      <c r="A207" s="43" t="s">
        <v>232</v>
      </c>
      <c r="B207" s="44">
        <v>7000</v>
      </c>
      <c r="C207" s="45" t="s">
        <v>53</v>
      </c>
      <c r="D207" s="44">
        <f t="shared" si="30"/>
        <v>25</v>
      </c>
      <c r="E207" s="46">
        <f t="shared" ref="E207:E251" si="31">IF(A207="","",IF(C207="NO",0,IF(D207&lt;&gt;"",D207,$B$11)))</f>
        <v>0</v>
      </c>
      <c r="F207" s="46">
        <f t="shared" ref="F207:F251" si="32">IF(A207="","",$B$7/$B$6)</f>
        <v>25</v>
      </c>
      <c r="G207" s="46">
        <f t="shared" ref="G207:G251" si="33">IF(A207="","",($B$8-$B$9)/$B$6)</f>
        <v>0</v>
      </c>
      <c r="H207" s="47">
        <f t="shared" ref="H207:H251" si="34">IF(A207="","",$B$10)</f>
        <v>0</v>
      </c>
      <c r="I207" s="47">
        <f t="shared" ref="I207:I251" si="35">IF(A207="","",$B$5)</f>
        <v>0.33300000000000002</v>
      </c>
      <c r="J207" s="46">
        <f t="shared" ref="J207:J251" si="36">IF(OR(A207="",B207=""),"",ROUND((B207+E207+F207+G207)/(1-H207-I207),-1))</f>
        <v>10530</v>
      </c>
      <c r="K207" s="46">
        <f t="shared" ref="K207:K251" si="37">IF(J207="","",J207-B207-E207-F207-G207-(J207*H207))</f>
        <v>3505</v>
      </c>
      <c r="L207" s="48">
        <f t="shared" ref="L207:L251" si="38">IF(J207="","",K207/J207)</f>
        <v>0.33285849952516622</v>
      </c>
    </row>
    <row r="208" spans="1:12">
      <c r="A208" s="43" t="s">
        <v>233</v>
      </c>
      <c r="B208" s="44">
        <v>8000</v>
      </c>
      <c r="C208" s="45" t="s">
        <v>53</v>
      </c>
      <c r="D208" s="44">
        <f t="shared" si="30"/>
        <v>25</v>
      </c>
      <c r="E208" s="46">
        <f t="shared" si="31"/>
        <v>0</v>
      </c>
      <c r="F208" s="46">
        <f t="shared" si="32"/>
        <v>25</v>
      </c>
      <c r="G208" s="46">
        <f t="shared" si="33"/>
        <v>0</v>
      </c>
      <c r="H208" s="47">
        <f t="shared" si="34"/>
        <v>0</v>
      </c>
      <c r="I208" s="47">
        <f t="shared" si="35"/>
        <v>0.33300000000000002</v>
      </c>
      <c r="J208" s="46">
        <f t="shared" si="36"/>
        <v>12030</v>
      </c>
      <c r="K208" s="46">
        <f t="shared" si="37"/>
        <v>4005</v>
      </c>
      <c r="L208" s="48">
        <f t="shared" si="38"/>
        <v>0.33291770573566087</v>
      </c>
    </row>
    <row r="209" spans="1:12">
      <c r="A209" s="43" t="s">
        <v>234</v>
      </c>
      <c r="B209" s="44">
        <v>7000</v>
      </c>
      <c r="C209" s="45" t="s">
        <v>53</v>
      </c>
      <c r="D209" s="44">
        <f t="shared" si="30"/>
        <v>25</v>
      </c>
      <c r="E209" s="46">
        <f t="shared" si="31"/>
        <v>0</v>
      </c>
      <c r="F209" s="46">
        <f t="shared" si="32"/>
        <v>25</v>
      </c>
      <c r="G209" s="46">
        <f t="shared" si="33"/>
        <v>0</v>
      </c>
      <c r="H209" s="47">
        <f t="shared" si="34"/>
        <v>0</v>
      </c>
      <c r="I209" s="47">
        <f t="shared" si="35"/>
        <v>0.33300000000000002</v>
      </c>
      <c r="J209" s="46">
        <f t="shared" si="36"/>
        <v>10530</v>
      </c>
      <c r="K209" s="46">
        <f t="shared" si="37"/>
        <v>3505</v>
      </c>
      <c r="L209" s="48">
        <f t="shared" si="38"/>
        <v>0.33285849952516622</v>
      </c>
    </row>
    <row r="210" spans="1:12">
      <c r="A210" s="43" t="s">
        <v>235</v>
      </c>
      <c r="B210" s="44">
        <v>1300</v>
      </c>
      <c r="C210" s="45" t="s">
        <v>53</v>
      </c>
      <c r="D210" s="44">
        <f t="shared" si="30"/>
        <v>25</v>
      </c>
      <c r="E210" s="46">
        <f t="shared" si="31"/>
        <v>0</v>
      </c>
      <c r="F210" s="46">
        <f t="shared" si="32"/>
        <v>25</v>
      </c>
      <c r="G210" s="46">
        <f t="shared" si="33"/>
        <v>0</v>
      </c>
      <c r="H210" s="47">
        <f t="shared" si="34"/>
        <v>0</v>
      </c>
      <c r="I210" s="47">
        <f t="shared" si="35"/>
        <v>0.33300000000000002</v>
      </c>
      <c r="J210" s="46">
        <f t="shared" si="36"/>
        <v>1990</v>
      </c>
      <c r="K210" s="46">
        <f t="shared" si="37"/>
        <v>665</v>
      </c>
      <c r="L210" s="48">
        <f t="shared" si="38"/>
        <v>0.33417085427135679</v>
      </c>
    </row>
    <row r="211" spans="1:12">
      <c r="A211" s="43" t="s">
        <v>236</v>
      </c>
      <c r="B211" s="44">
        <v>2100</v>
      </c>
      <c r="C211" s="45" t="s">
        <v>53</v>
      </c>
      <c r="D211" s="44">
        <f t="shared" si="30"/>
        <v>25</v>
      </c>
      <c r="E211" s="46">
        <f t="shared" si="31"/>
        <v>0</v>
      </c>
      <c r="F211" s="46">
        <f t="shared" si="32"/>
        <v>25</v>
      </c>
      <c r="G211" s="46">
        <f t="shared" si="33"/>
        <v>0</v>
      </c>
      <c r="H211" s="47">
        <f t="shared" si="34"/>
        <v>0</v>
      </c>
      <c r="I211" s="47">
        <f t="shared" si="35"/>
        <v>0.33300000000000002</v>
      </c>
      <c r="J211" s="46">
        <f t="shared" si="36"/>
        <v>3190</v>
      </c>
      <c r="K211" s="46">
        <f t="shared" si="37"/>
        <v>1065</v>
      </c>
      <c r="L211" s="48">
        <f t="shared" si="38"/>
        <v>0.33385579937304077</v>
      </c>
    </row>
    <row r="212" spans="1:12">
      <c r="A212" s="43" t="s">
        <v>237</v>
      </c>
      <c r="B212" s="44">
        <v>2000</v>
      </c>
      <c r="C212" s="45" t="s">
        <v>53</v>
      </c>
      <c r="D212" s="44">
        <f t="shared" si="30"/>
        <v>25</v>
      </c>
      <c r="E212" s="46">
        <f t="shared" si="31"/>
        <v>0</v>
      </c>
      <c r="F212" s="46">
        <f t="shared" si="32"/>
        <v>25</v>
      </c>
      <c r="G212" s="46">
        <f t="shared" si="33"/>
        <v>0</v>
      </c>
      <c r="H212" s="47">
        <f t="shared" si="34"/>
        <v>0</v>
      </c>
      <c r="I212" s="47">
        <f t="shared" si="35"/>
        <v>0.33300000000000002</v>
      </c>
      <c r="J212" s="46">
        <f t="shared" si="36"/>
        <v>3040</v>
      </c>
      <c r="K212" s="46">
        <f t="shared" si="37"/>
        <v>1015</v>
      </c>
      <c r="L212" s="48">
        <f t="shared" si="38"/>
        <v>0.33388157894736842</v>
      </c>
    </row>
    <row r="213" spans="1:12">
      <c r="A213" s="43" t="s">
        <v>238</v>
      </c>
      <c r="B213" s="44">
        <v>6600</v>
      </c>
      <c r="C213" s="45" t="s">
        <v>53</v>
      </c>
      <c r="D213" s="44">
        <f t="shared" si="30"/>
        <v>25</v>
      </c>
      <c r="E213" s="46">
        <f t="shared" si="31"/>
        <v>0</v>
      </c>
      <c r="F213" s="46">
        <f t="shared" si="32"/>
        <v>25</v>
      </c>
      <c r="G213" s="46">
        <f t="shared" si="33"/>
        <v>0</v>
      </c>
      <c r="H213" s="47">
        <f t="shared" si="34"/>
        <v>0</v>
      </c>
      <c r="I213" s="47">
        <f t="shared" si="35"/>
        <v>0.33300000000000002</v>
      </c>
      <c r="J213" s="46">
        <f t="shared" si="36"/>
        <v>9930</v>
      </c>
      <c r="K213" s="46">
        <f t="shared" si="37"/>
        <v>3305</v>
      </c>
      <c r="L213" s="48">
        <f t="shared" si="38"/>
        <v>0.33282980866062439</v>
      </c>
    </row>
    <row r="214" spans="1:12">
      <c r="A214" s="43" t="s">
        <v>239</v>
      </c>
      <c r="B214" s="44">
        <v>1000</v>
      </c>
      <c r="C214" s="45" t="s">
        <v>53</v>
      </c>
      <c r="D214" s="44">
        <f t="shared" si="30"/>
        <v>25</v>
      </c>
      <c r="E214" s="46">
        <f t="shared" si="31"/>
        <v>0</v>
      </c>
      <c r="F214" s="46">
        <f t="shared" si="32"/>
        <v>25</v>
      </c>
      <c r="G214" s="46">
        <f t="shared" si="33"/>
        <v>0</v>
      </c>
      <c r="H214" s="47">
        <f t="shared" si="34"/>
        <v>0</v>
      </c>
      <c r="I214" s="47">
        <f t="shared" si="35"/>
        <v>0.33300000000000002</v>
      </c>
      <c r="J214" s="46">
        <f t="shared" si="36"/>
        <v>1540</v>
      </c>
      <c r="K214" s="46">
        <f t="shared" si="37"/>
        <v>515</v>
      </c>
      <c r="L214" s="48">
        <f t="shared" si="38"/>
        <v>0.33441558441558439</v>
      </c>
    </row>
    <row r="215" spans="1:12">
      <c r="A215" s="43" t="s">
        <v>240</v>
      </c>
      <c r="B215" s="44">
        <v>6600</v>
      </c>
      <c r="C215" s="45" t="s">
        <v>53</v>
      </c>
      <c r="D215" s="44">
        <f t="shared" si="30"/>
        <v>25</v>
      </c>
      <c r="E215" s="46">
        <f t="shared" si="31"/>
        <v>0</v>
      </c>
      <c r="F215" s="46">
        <f t="shared" si="32"/>
        <v>25</v>
      </c>
      <c r="G215" s="46">
        <f t="shared" si="33"/>
        <v>0</v>
      </c>
      <c r="H215" s="47">
        <f t="shared" si="34"/>
        <v>0</v>
      </c>
      <c r="I215" s="47">
        <f t="shared" si="35"/>
        <v>0.33300000000000002</v>
      </c>
      <c r="J215" s="46">
        <f t="shared" si="36"/>
        <v>9930</v>
      </c>
      <c r="K215" s="46">
        <f t="shared" si="37"/>
        <v>3305</v>
      </c>
      <c r="L215" s="48">
        <f t="shared" si="38"/>
        <v>0.33282980866062439</v>
      </c>
    </row>
    <row r="216" spans="1:12">
      <c r="A216" s="43" t="s">
        <v>241</v>
      </c>
      <c r="B216" s="44">
        <v>6400</v>
      </c>
      <c r="C216" s="45" t="s">
        <v>53</v>
      </c>
      <c r="D216" s="44">
        <f t="shared" si="30"/>
        <v>25</v>
      </c>
      <c r="E216" s="46">
        <f t="shared" si="31"/>
        <v>0</v>
      </c>
      <c r="F216" s="46">
        <f t="shared" si="32"/>
        <v>25</v>
      </c>
      <c r="G216" s="46">
        <f t="shared" si="33"/>
        <v>0</v>
      </c>
      <c r="H216" s="47">
        <f t="shared" si="34"/>
        <v>0</v>
      </c>
      <c r="I216" s="47">
        <f t="shared" si="35"/>
        <v>0.33300000000000002</v>
      </c>
      <c r="J216" s="46">
        <f t="shared" si="36"/>
        <v>9630</v>
      </c>
      <c r="K216" s="46">
        <f t="shared" si="37"/>
        <v>3205</v>
      </c>
      <c r="L216" s="48">
        <f t="shared" si="38"/>
        <v>0.3328141225337487</v>
      </c>
    </row>
    <row r="217" spans="1:12">
      <c r="A217" s="43" t="s">
        <v>242</v>
      </c>
      <c r="B217" s="44">
        <v>10000</v>
      </c>
      <c r="C217" s="45" t="s">
        <v>53</v>
      </c>
      <c r="D217" s="44">
        <f t="shared" si="30"/>
        <v>25</v>
      </c>
      <c r="E217" s="46">
        <f t="shared" si="31"/>
        <v>0</v>
      </c>
      <c r="F217" s="46">
        <f t="shared" si="32"/>
        <v>25</v>
      </c>
      <c r="G217" s="46">
        <f t="shared" si="33"/>
        <v>0</v>
      </c>
      <c r="H217" s="47">
        <f t="shared" si="34"/>
        <v>0</v>
      </c>
      <c r="I217" s="47">
        <f t="shared" si="35"/>
        <v>0.33300000000000002</v>
      </c>
      <c r="J217" s="46">
        <f t="shared" si="36"/>
        <v>15030</v>
      </c>
      <c r="K217" s="46">
        <f t="shared" si="37"/>
        <v>5005</v>
      </c>
      <c r="L217" s="48">
        <f t="shared" si="38"/>
        <v>0.33300066533599465</v>
      </c>
    </row>
    <row r="218" spans="1:12">
      <c r="A218" s="43" t="s">
        <v>243</v>
      </c>
      <c r="B218" s="44">
        <v>2400</v>
      </c>
      <c r="C218" s="45" t="s">
        <v>53</v>
      </c>
      <c r="D218" s="44">
        <f t="shared" si="30"/>
        <v>25</v>
      </c>
      <c r="E218" s="46">
        <f t="shared" si="31"/>
        <v>0</v>
      </c>
      <c r="F218" s="46">
        <f t="shared" si="32"/>
        <v>25</v>
      </c>
      <c r="G218" s="46">
        <f t="shared" si="33"/>
        <v>0</v>
      </c>
      <c r="H218" s="47">
        <f t="shared" si="34"/>
        <v>0</v>
      </c>
      <c r="I218" s="47">
        <f t="shared" si="35"/>
        <v>0.33300000000000002</v>
      </c>
      <c r="J218" s="46">
        <f t="shared" si="36"/>
        <v>3640</v>
      </c>
      <c r="K218" s="46">
        <f t="shared" si="37"/>
        <v>1215</v>
      </c>
      <c r="L218" s="48">
        <f t="shared" si="38"/>
        <v>0.33379120879120877</v>
      </c>
    </row>
    <row r="219" spans="1:12">
      <c r="A219" s="43" t="s">
        <v>244</v>
      </c>
      <c r="B219" s="44">
        <v>3200</v>
      </c>
      <c r="C219" s="45" t="s">
        <v>53</v>
      </c>
      <c r="D219" s="44">
        <f t="shared" si="30"/>
        <v>25</v>
      </c>
      <c r="E219" s="46">
        <f t="shared" si="31"/>
        <v>0</v>
      </c>
      <c r="F219" s="46">
        <f t="shared" si="32"/>
        <v>25</v>
      </c>
      <c r="G219" s="46">
        <f t="shared" si="33"/>
        <v>0</v>
      </c>
      <c r="H219" s="47">
        <f t="shared" si="34"/>
        <v>0</v>
      </c>
      <c r="I219" s="47">
        <f t="shared" si="35"/>
        <v>0.33300000000000002</v>
      </c>
      <c r="J219" s="46">
        <f t="shared" si="36"/>
        <v>4840</v>
      </c>
      <c r="K219" s="46">
        <f t="shared" si="37"/>
        <v>1615</v>
      </c>
      <c r="L219" s="48">
        <f t="shared" si="38"/>
        <v>0.33367768595041325</v>
      </c>
    </row>
    <row r="220" spans="1:12">
      <c r="A220" s="43" t="s">
        <v>245</v>
      </c>
      <c r="B220" s="44">
        <v>11800</v>
      </c>
      <c r="C220" s="45" t="s">
        <v>53</v>
      </c>
      <c r="D220" s="44">
        <f t="shared" si="30"/>
        <v>25</v>
      </c>
      <c r="E220" s="46">
        <f t="shared" si="31"/>
        <v>0</v>
      </c>
      <c r="F220" s="46">
        <f t="shared" si="32"/>
        <v>25</v>
      </c>
      <c r="G220" s="46">
        <f t="shared" si="33"/>
        <v>0</v>
      </c>
      <c r="H220" s="47">
        <f t="shared" si="34"/>
        <v>0</v>
      </c>
      <c r="I220" s="47">
        <f t="shared" si="35"/>
        <v>0.33300000000000002</v>
      </c>
      <c r="J220" s="46">
        <f t="shared" si="36"/>
        <v>17730</v>
      </c>
      <c r="K220" s="46">
        <f t="shared" si="37"/>
        <v>5905</v>
      </c>
      <c r="L220" s="48">
        <f t="shared" si="38"/>
        <v>0.33305132543711224</v>
      </c>
    </row>
    <row r="221" spans="1:12">
      <c r="A221" s="43" t="s">
        <v>246</v>
      </c>
      <c r="B221" s="44">
        <v>11000</v>
      </c>
      <c r="C221" s="45" t="s">
        <v>53</v>
      </c>
      <c r="D221" s="44">
        <f t="shared" si="30"/>
        <v>25</v>
      </c>
      <c r="E221" s="46">
        <f t="shared" si="31"/>
        <v>0</v>
      </c>
      <c r="F221" s="46">
        <f t="shared" si="32"/>
        <v>25</v>
      </c>
      <c r="G221" s="46">
        <f t="shared" si="33"/>
        <v>0</v>
      </c>
      <c r="H221" s="47">
        <f t="shared" si="34"/>
        <v>0</v>
      </c>
      <c r="I221" s="47">
        <f t="shared" si="35"/>
        <v>0.33300000000000002</v>
      </c>
      <c r="J221" s="46">
        <f t="shared" si="36"/>
        <v>16530</v>
      </c>
      <c r="K221" s="46">
        <f t="shared" si="37"/>
        <v>5505</v>
      </c>
      <c r="L221" s="48">
        <f t="shared" si="38"/>
        <v>0.33303085299455537</v>
      </c>
    </row>
    <row r="222" spans="1:12">
      <c r="A222" s="43" t="s">
        <v>247</v>
      </c>
      <c r="B222" s="44">
        <v>5000</v>
      </c>
      <c r="C222" s="45" t="s">
        <v>53</v>
      </c>
      <c r="D222" s="44">
        <f t="shared" si="30"/>
        <v>25</v>
      </c>
      <c r="E222" s="46">
        <f t="shared" si="31"/>
        <v>0</v>
      </c>
      <c r="F222" s="46">
        <f t="shared" si="32"/>
        <v>25</v>
      </c>
      <c r="G222" s="46">
        <f t="shared" si="33"/>
        <v>0</v>
      </c>
      <c r="H222" s="47">
        <f t="shared" si="34"/>
        <v>0</v>
      </c>
      <c r="I222" s="47">
        <f t="shared" si="35"/>
        <v>0.33300000000000002</v>
      </c>
      <c r="J222" s="46">
        <f t="shared" si="36"/>
        <v>7530</v>
      </c>
      <c r="K222" s="46">
        <f t="shared" si="37"/>
        <v>2505</v>
      </c>
      <c r="L222" s="48">
        <f t="shared" si="38"/>
        <v>0.33266932270916333</v>
      </c>
    </row>
    <row r="223" spans="1:12">
      <c r="A223" s="43" t="s">
        <v>248</v>
      </c>
      <c r="B223" s="44">
        <v>4500</v>
      </c>
      <c r="C223" s="45" t="s">
        <v>53</v>
      </c>
      <c r="D223" s="44">
        <f t="shared" si="30"/>
        <v>25</v>
      </c>
      <c r="E223" s="46">
        <f t="shared" si="31"/>
        <v>0</v>
      </c>
      <c r="F223" s="46">
        <f t="shared" si="32"/>
        <v>25</v>
      </c>
      <c r="G223" s="46">
        <f t="shared" si="33"/>
        <v>0</v>
      </c>
      <c r="H223" s="47">
        <f t="shared" si="34"/>
        <v>0</v>
      </c>
      <c r="I223" s="47">
        <f t="shared" si="35"/>
        <v>0.33300000000000002</v>
      </c>
      <c r="J223" s="46">
        <f t="shared" si="36"/>
        <v>6780</v>
      </c>
      <c r="K223" s="46">
        <f t="shared" si="37"/>
        <v>2255</v>
      </c>
      <c r="L223" s="48">
        <f t="shared" si="38"/>
        <v>0.33259587020648967</v>
      </c>
    </row>
    <row r="224" spans="1:12">
      <c r="A224" s="43" t="s">
        <v>249</v>
      </c>
      <c r="B224" s="44">
        <v>5800</v>
      </c>
      <c r="C224" s="45" t="s">
        <v>53</v>
      </c>
      <c r="D224" s="44">
        <f t="shared" si="30"/>
        <v>25</v>
      </c>
      <c r="E224" s="46">
        <f t="shared" si="31"/>
        <v>0</v>
      </c>
      <c r="F224" s="46">
        <f t="shared" si="32"/>
        <v>25</v>
      </c>
      <c r="G224" s="46">
        <f t="shared" si="33"/>
        <v>0</v>
      </c>
      <c r="H224" s="47">
        <f t="shared" si="34"/>
        <v>0</v>
      </c>
      <c r="I224" s="47">
        <f t="shared" si="35"/>
        <v>0.33300000000000002</v>
      </c>
      <c r="J224" s="46">
        <f t="shared" si="36"/>
        <v>8730</v>
      </c>
      <c r="K224" s="46">
        <f t="shared" si="37"/>
        <v>2905</v>
      </c>
      <c r="L224" s="48">
        <f t="shared" si="38"/>
        <v>0.33276059564719357</v>
      </c>
    </row>
    <row r="225" spans="1:12">
      <c r="A225" s="43" t="s">
        <v>250</v>
      </c>
      <c r="B225" s="44">
        <v>185000</v>
      </c>
      <c r="C225" s="45" t="s">
        <v>53</v>
      </c>
      <c r="D225" s="44">
        <f t="shared" si="30"/>
        <v>25</v>
      </c>
      <c r="E225" s="46">
        <f t="shared" si="31"/>
        <v>0</v>
      </c>
      <c r="F225" s="46">
        <f t="shared" si="32"/>
        <v>25</v>
      </c>
      <c r="G225" s="46">
        <f t="shared" si="33"/>
        <v>0</v>
      </c>
      <c r="H225" s="47">
        <f t="shared" si="34"/>
        <v>0</v>
      </c>
      <c r="I225" s="47">
        <f t="shared" si="35"/>
        <v>0.33300000000000002</v>
      </c>
      <c r="J225" s="46">
        <f t="shared" si="36"/>
        <v>277400</v>
      </c>
      <c r="K225" s="46">
        <f t="shared" si="37"/>
        <v>92375</v>
      </c>
      <c r="L225" s="48">
        <f t="shared" si="38"/>
        <v>0.33300288392213412</v>
      </c>
    </row>
    <row r="226" spans="1:12">
      <c r="A226" s="43" t="s">
        <v>251</v>
      </c>
      <c r="B226" s="44">
        <v>4800</v>
      </c>
      <c r="C226" s="45" t="s">
        <v>53</v>
      </c>
      <c r="D226" s="44">
        <f t="shared" si="30"/>
        <v>25</v>
      </c>
      <c r="E226" s="46">
        <f t="shared" si="31"/>
        <v>0</v>
      </c>
      <c r="F226" s="46">
        <f t="shared" si="32"/>
        <v>25</v>
      </c>
      <c r="G226" s="46">
        <f t="shared" si="33"/>
        <v>0</v>
      </c>
      <c r="H226" s="47">
        <f t="shared" si="34"/>
        <v>0</v>
      </c>
      <c r="I226" s="47">
        <f t="shared" si="35"/>
        <v>0.33300000000000002</v>
      </c>
      <c r="J226" s="46">
        <f t="shared" si="36"/>
        <v>7230</v>
      </c>
      <c r="K226" s="46">
        <f t="shared" si="37"/>
        <v>2405</v>
      </c>
      <c r="L226" s="48">
        <f t="shared" si="38"/>
        <v>0.33264177040110648</v>
      </c>
    </row>
    <row r="227" spans="1:12">
      <c r="A227" s="43" t="s">
        <v>252</v>
      </c>
      <c r="B227" s="44">
        <v>4400</v>
      </c>
      <c r="C227" s="45" t="s">
        <v>53</v>
      </c>
      <c r="D227" s="44">
        <f t="shared" si="30"/>
        <v>25</v>
      </c>
      <c r="E227" s="46">
        <f t="shared" si="31"/>
        <v>0</v>
      </c>
      <c r="F227" s="46">
        <f t="shared" si="32"/>
        <v>25</v>
      </c>
      <c r="G227" s="46">
        <f t="shared" si="33"/>
        <v>0</v>
      </c>
      <c r="H227" s="47">
        <f t="shared" si="34"/>
        <v>0</v>
      </c>
      <c r="I227" s="47">
        <f t="shared" si="35"/>
        <v>0.33300000000000002</v>
      </c>
      <c r="J227" s="46">
        <f t="shared" si="36"/>
        <v>6630</v>
      </c>
      <c r="K227" s="46">
        <f t="shared" si="37"/>
        <v>2205</v>
      </c>
      <c r="L227" s="48">
        <f t="shared" si="38"/>
        <v>0.33257918552036198</v>
      </c>
    </row>
    <row r="228" spans="1:12">
      <c r="A228" s="43" t="s">
        <v>253</v>
      </c>
      <c r="B228" s="44">
        <v>26000</v>
      </c>
      <c r="C228" s="45" t="s">
        <v>53</v>
      </c>
      <c r="D228" s="44">
        <f t="shared" si="30"/>
        <v>25</v>
      </c>
      <c r="E228" s="46">
        <f t="shared" si="31"/>
        <v>0</v>
      </c>
      <c r="F228" s="46">
        <f t="shared" si="32"/>
        <v>25</v>
      </c>
      <c r="G228" s="46">
        <f t="shared" si="33"/>
        <v>0</v>
      </c>
      <c r="H228" s="47">
        <f t="shared" si="34"/>
        <v>0</v>
      </c>
      <c r="I228" s="47">
        <f t="shared" si="35"/>
        <v>0.33300000000000002</v>
      </c>
      <c r="J228" s="46">
        <f t="shared" si="36"/>
        <v>39020</v>
      </c>
      <c r="K228" s="46">
        <f t="shared" si="37"/>
        <v>12995</v>
      </c>
      <c r="L228" s="48">
        <f t="shared" si="38"/>
        <v>0.33303434136340337</v>
      </c>
    </row>
    <row r="229" spans="1:12">
      <c r="A229" s="43" t="s">
        <v>254</v>
      </c>
      <c r="B229" s="44">
        <v>7000</v>
      </c>
      <c r="C229" s="45" t="s">
        <v>53</v>
      </c>
      <c r="D229" s="44">
        <f t="shared" si="30"/>
        <v>25</v>
      </c>
      <c r="E229" s="46">
        <f t="shared" si="31"/>
        <v>0</v>
      </c>
      <c r="F229" s="46">
        <f t="shared" si="32"/>
        <v>25</v>
      </c>
      <c r="G229" s="46">
        <f t="shared" si="33"/>
        <v>0</v>
      </c>
      <c r="H229" s="47">
        <f t="shared" si="34"/>
        <v>0</v>
      </c>
      <c r="I229" s="47">
        <f t="shared" si="35"/>
        <v>0.33300000000000002</v>
      </c>
      <c r="J229" s="46">
        <f t="shared" si="36"/>
        <v>10530</v>
      </c>
      <c r="K229" s="46">
        <f t="shared" si="37"/>
        <v>3505</v>
      </c>
      <c r="L229" s="48">
        <f t="shared" si="38"/>
        <v>0.33285849952516622</v>
      </c>
    </row>
    <row r="230" spans="1:12">
      <c r="A230" s="43" t="s">
        <v>255</v>
      </c>
      <c r="B230" s="44">
        <v>12700</v>
      </c>
      <c r="C230" s="45" t="s">
        <v>53</v>
      </c>
      <c r="D230" s="44">
        <f t="shared" si="30"/>
        <v>25</v>
      </c>
      <c r="E230" s="46">
        <f t="shared" si="31"/>
        <v>0</v>
      </c>
      <c r="F230" s="46">
        <f t="shared" si="32"/>
        <v>25</v>
      </c>
      <c r="G230" s="46">
        <f t="shared" si="33"/>
        <v>0</v>
      </c>
      <c r="H230" s="47">
        <f t="shared" si="34"/>
        <v>0</v>
      </c>
      <c r="I230" s="47">
        <f t="shared" si="35"/>
        <v>0.33300000000000002</v>
      </c>
      <c r="J230" s="46">
        <f t="shared" si="36"/>
        <v>19080</v>
      </c>
      <c r="K230" s="46">
        <f t="shared" si="37"/>
        <v>6355</v>
      </c>
      <c r="L230" s="48">
        <f t="shared" si="38"/>
        <v>0.3330712788259958</v>
      </c>
    </row>
    <row r="231" spans="1:12">
      <c r="A231" s="43" t="s">
        <v>256</v>
      </c>
      <c r="B231" s="44">
        <v>9000</v>
      </c>
      <c r="C231" s="45" t="s">
        <v>53</v>
      </c>
      <c r="D231" s="44">
        <f t="shared" si="30"/>
        <v>25</v>
      </c>
      <c r="E231" s="46">
        <f t="shared" si="31"/>
        <v>0</v>
      </c>
      <c r="F231" s="46">
        <f t="shared" si="32"/>
        <v>25</v>
      </c>
      <c r="G231" s="46">
        <f t="shared" si="33"/>
        <v>0</v>
      </c>
      <c r="H231" s="47">
        <f t="shared" si="34"/>
        <v>0</v>
      </c>
      <c r="I231" s="47">
        <f t="shared" si="35"/>
        <v>0.33300000000000002</v>
      </c>
      <c r="J231" s="46">
        <f t="shared" si="36"/>
        <v>13530</v>
      </c>
      <c r="K231" s="46">
        <f t="shared" si="37"/>
        <v>4505</v>
      </c>
      <c r="L231" s="48">
        <f t="shared" si="38"/>
        <v>0.33296378418329636</v>
      </c>
    </row>
    <row r="232" spans="1:12">
      <c r="A232" s="43" t="s">
        <v>257</v>
      </c>
      <c r="B232" s="44">
        <v>4500</v>
      </c>
      <c r="C232" s="45" t="s">
        <v>53</v>
      </c>
      <c r="D232" s="44">
        <f t="shared" si="30"/>
        <v>25</v>
      </c>
      <c r="E232" s="46">
        <f t="shared" si="31"/>
        <v>0</v>
      </c>
      <c r="F232" s="46">
        <f t="shared" si="32"/>
        <v>25</v>
      </c>
      <c r="G232" s="46">
        <f t="shared" si="33"/>
        <v>0</v>
      </c>
      <c r="H232" s="47">
        <f t="shared" si="34"/>
        <v>0</v>
      </c>
      <c r="I232" s="47">
        <f t="shared" si="35"/>
        <v>0.33300000000000002</v>
      </c>
      <c r="J232" s="46">
        <f t="shared" si="36"/>
        <v>6780</v>
      </c>
      <c r="K232" s="46">
        <f t="shared" si="37"/>
        <v>2255</v>
      </c>
      <c r="L232" s="48">
        <f t="shared" si="38"/>
        <v>0.33259587020648967</v>
      </c>
    </row>
    <row r="233" spans="1:12">
      <c r="A233" s="43" t="s">
        <v>258</v>
      </c>
      <c r="B233" s="44">
        <v>19000</v>
      </c>
      <c r="C233" s="45" t="s">
        <v>53</v>
      </c>
      <c r="D233" s="44">
        <f t="shared" si="30"/>
        <v>25</v>
      </c>
      <c r="E233" s="46">
        <f t="shared" si="31"/>
        <v>0</v>
      </c>
      <c r="F233" s="46">
        <f t="shared" si="32"/>
        <v>25</v>
      </c>
      <c r="G233" s="46">
        <f t="shared" si="33"/>
        <v>0</v>
      </c>
      <c r="H233" s="47">
        <f t="shared" si="34"/>
        <v>0</v>
      </c>
      <c r="I233" s="47">
        <f t="shared" si="35"/>
        <v>0.33300000000000002</v>
      </c>
      <c r="J233" s="46">
        <f t="shared" si="36"/>
        <v>28520</v>
      </c>
      <c r="K233" s="46">
        <f t="shared" si="37"/>
        <v>9495</v>
      </c>
      <c r="L233" s="48">
        <f t="shared" si="38"/>
        <v>0.33292426367461431</v>
      </c>
    </row>
    <row r="234" spans="1:12">
      <c r="A234" s="43" t="s">
        <v>259</v>
      </c>
      <c r="B234" s="44">
        <v>1000</v>
      </c>
      <c r="C234" s="45" t="s">
        <v>53</v>
      </c>
      <c r="D234" s="44">
        <f t="shared" si="30"/>
        <v>25</v>
      </c>
      <c r="E234" s="46">
        <f t="shared" si="31"/>
        <v>0</v>
      </c>
      <c r="F234" s="46">
        <f t="shared" si="32"/>
        <v>25</v>
      </c>
      <c r="G234" s="46">
        <f t="shared" si="33"/>
        <v>0</v>
      </c>
      <c r="H234" s="47">
        <f t="shared" si="34"/>
        <v>0</v>
      </c>
      <c r="I234" s="47">
        <f t="shared" si="35"/>
        <v>0.33300000000000002</v>
      </c>
      <c r="J234" s="46">
        <f t="shared" si="36"/>
        <v>1540</v>
      </c>
      <c r="K234" s="46">
        <f t="shared" si="37"/>
        <v>515</v>
      </c>
      <c r="L234" s="48">
        <f t="shared" si="38"/>
        <v>0.33441558441558439</v>
      </c>
    </row>
    <row r="235" spans="1:12">
      <c r="A235" s="43" t="s">
        <v>260</v>
      </c>
      <c r="B235" s="44">
        <v>14000</v>
      </c>
      <c r="C235" s="45" t="s">
        <v>53</v>
      </c>
      <c r="D235" s="44">
        <f t="shared" ref="D235:D247" si="39">IF(A235="","",$B$7/$B$6)</f>
        <v>25</v>
      </c>
      <c r="E235" s="46">
        <f t="shared" si="31"/>
        <v>0</v>
      </c>
      <c r="F235" s="46">
        <f t="shared" si="32"/>
        <v>25</v>
      </c>
      <c r="G235" s="46">
        <f t="shared" si="33"/>
        <v>0</v>
      </c>
      <c r="H235" s="47">
        <f t="shared" si="34"/>
        <v>0</v>
      </c>
      <c r="I235" s="47">
        <f t="shared" si="35"/>
        <v>0.33300000000000002</v>
      </c>
      <c r="J235" s="46">
        <f t="shared" si="36"/>
        <v>21030</v>
      </c>
      <c r="K235" s="46">
        <f t="shared" si="37"/>
        <v>7005</v>
      </c>
      <c r="L235" s="48">
        <f t="shared" si="38"/>
        <v>0.33309557774607701</v>
      </c>
    </row>
    <row r="236" spans="1:12">
      <c r="A236" s="43" t="s">
        <v>261</v>
      </c>
      <c r="B236" s="44">
        <v>11000</v>
      </c>
      <c r="C236" s="45" t="s">
        <v>53</v>
      </c>
      <c r="D236" s="44">
        <f t="shared" si="39"/>
        <v>25</v>
      </c>
      <c r="E236" s="46">
        <f t="shared" si="31"/>
        <v>0</v>
      </c>
      <c r="F236" s="46">
        <f t="shared" si="32"/>
        <v>25</v>
      </c>
      <c r="G236" s="46">
        <f t="shared" si="33"/>
        <v>0</v>
      </c>
      <c r="H236" s="47">
        <f t="shared" si="34"/>
        <v>0</v>
      </c>
      <c r="I236" s="47">
        <f t="shared" si="35"/>
        <v>0.33300000000000002</v>
      </c>
      <c r="J236" s="46">
        <f t="shared" si="36"/>
        <v>16530</v>
      </c>
      <c r="K236" s="46">
        <f t="shared" si="37"/>
        <v>5505</v>
      </c>
      <c r="L236" s="48">
        <f t="shared" si="38"/>
        <v>0.33303085299455537</v>
      </c>
    </row>
    <row r="237" spans="1:12">
      <c r="A237" s="43" t="s">
        <v>262</v>
      </c>
      <c r="B237" s="44">
        <v>2000</v>
      </c>
      <c r="C237" s="45" t="s">
        <v>53</v>
      </c>
      <c r="D237" s="44">
        <f t="shared" si="39"/>
        <v>25</v>
      </c>
      <c r="E237" s="46">
        <f t="shared" si="31"/>
        <v>0</v>
      </c>
      <c r="F237" s="46">
        <f t="shared" si="32"/>
        <v>25</v>
      </c>
      <c r="G237" s="46">
        <f t="shared" si="33"/>
        <v>0</v>
      </c>
      <c r="H237" s="47">
        <f t="shared" si="34"/>
        <v>0</v>
      </c>
      <c r="I237" s="47">
        <f t="shared" si="35"/>
        <v>0.33300000000000002</v>
      </c>
      <c r="J237" s="46">
        <f t="shared" si="36"/>
        <v>3040</v>
      </c>
      <c r="K237" s="46">
        <f t="shared" si="37"/>
        <v>1015</v>
      </c>
      <c r="L237" s="48">
        <f t="shared" si="38"/>
        <v>0.33388157894736842</v>
      </c>
    </row>
    <row r="238" spans="1:12">
      <c r="A238" s="43" t="s">
        <v>263</v>
      </c>
      <c r="B238" s="44">
        <v>2400</v>
      </c>
      <c r="C238" s="45" t="s">
        <v>53</v>
      </c>
      <c r="D238" s="44">
        <f t="shared" si="39"/>
        <v>25</v>
      </c>
      <c r="E238" s="46">
        <f t="shared" si="31"/>
        <v>0</v>
      </c>
      <c r="F238" s="46">
        <f t="shared" si="32"/>
        <v>25</v>
      </c>
      <c r="G238" s="46">
        <f t="shared" si="33"/>
        <v>0</v>
      </c>
      <c r="H238" s="47">
        <f t="shared" si="34"/>
        <v>0</v>
      </c>
      <c r="I238" s="47">
        <f t="shared" si="35"/>
        <v>0.33300000000000002</v>
      </c>
      <c r="J238" s="46">
        <f t="shared" si="36"/>
        <v>3640</v>
      </c>
      <c r="K238" s="46">
        <f t="shared" si="37"/>
        <v>1215</v>
      </c>
      <c r="L238" s="48">
        <f t="shared" si="38"/>
        <v>0.33379120879120877</v>
      </c>
    </row>
    <row r="239" spans="1:12">
      <c r="A239" s="43" t="s">
        <v>264</v>
      </c>
      <c r="B239" s="44">
        <v>1050</v>
      </c>
      <c r="C239" s="45" t="s">
        <v>53</v>
      </c>
      <c r="D239" s="44">
        <f t="shared" si="39"/>
        <v>25</v>
      </c>
      <c r="E239" s="46">
        <f t="shared" si="31"/>
        <v>0</v>
      </c>
      <c r="F239" s="46">
        <f t="shared" si="32"/>
        <v>25</v>
      </c>
      <c r="G239" s="46">
        <f t="shared" si="33"/>
        <v>0</v>
      </c>
      <c r="H239" s="47">
        <f t="shared" si="34"/>
        <v>0</v>
      </c>
      <c r="I239" s="47">
        <f t="shared" si="35"/>
        <v>0.33300000000000002</v>
      </c>
      <c r="J239" s="46">
        <f t="shared" si="36"/>
        <v>1610</v>
      </c>
      <c r="K239" s="46">
        <f t="shared" si="37"/>
        <v>535</v>
      </c>
      <c r="L239" s="48">
        <f t="shared" si="38"/>
        <v>0.33229813664596275</v>
      </c>
    </row>
    <row r="240" spans="1:12">
      <c r="A240" s="43" t="s">
        <v>265</v>
      </c>
      <c r="B240" s="44">
        <v>2500</v>
      </c>
      <c r="C240" s="45" t="s">
        <v>53</v>
      </c>
      <c r="D240" s="44">
        <f t="shared" si="39"/>
        <v>25</v>
      </c>
      <c r="E240" s="46">
        <f t="shared" si="31"/>
        <v>0</v>
      </c>
      <c r="F240" s="46">
        <f t="shared" si="32"/>
        <v>25</v>
      </c>
      <c r="G240" s="46">
        <f t="shared" si="33"/>
        <v>0</v>
      </c>
      <c r="H240" s="47">
        <f t="shared" si="34"/>
        <v>0</v>
      </c>
      <c r="I240" s="47">
        <f t="shared" si="35"/>
        <v>0.33300000000000002</v>
      </c>
      <c r="J240" s="46">
        <f t="shared" si="36"/>
        <v>3790</v>
      </c>
      <c r="K240" s="46">
        <f t="shared" si="37"/>
        <v>1265</v>
      </c>
      <c r="L240" s="48">
        <f t="shared" si="38"/>
        <v>0.33377308707124009</v>
      </c>
    </row>
    <row r="241" spans="1:12">
      <c r="A241" s="43" t="s">
        <v>266</v>
      </c>
      <c r="B241" s="44">
        <v>1250</v>
      </c>
      <c r="C241" s="45" t="s">
        <v>53</v>
      </c>
      <c r="D241" s="44">
        <f t="shared" si="39"/>
        <v>25</v>
      </c>
      <c r="E241" s="46">
        <f t="shared" si="31"/>
        <v>0</v>
      </c>
      <c r="F241" s="46">
        <f t="shared" si="32"/>
        <v>25</v>
      </c>
      <c r="G241" s="46">
        <f t="shared" si="33"/>
        <v>0</v>
      </c>
      <c r="H241" s="47">
        <f t="shared" si="34"/>
        <v>0</v>
      </c>
      <c r="I241" s="47">
        <f t="shared" si="35"/>
        <v>0.33300000000000002</v>
      </c>
      <c r="J241" s="46">
        <f t="shared" si="36"/>
        <v>1910</v>
      </c>
      <c r="K241" s="46">
        <f t="shared" si="37"/>
        <v>635</v>
      </c>
      <c r="L241" s="48">
        <f t="shared" si="38"/>
        <v>0.33246073298429318</v>
      </c>
    </row>
    <row r="242" spans="1:12">
      <c r="A242" s="43" t="s">
        <v>267</v>
      </c>
      <c r="B242" s="44">
        <v>1200</v>
      </c>
      <c r="C242" s="45" t="s">
        <v>53</v>
      </c>
      <c r="D242" s="44">
        <f t="shared" si="39"/>
        <v>25</v>
      </c>
      <c r="E242" s="46">
        <f t="shared" si="31"/>
        <v>0</v>
      </c>
      <c r="F242" s="46">
        <f t="shared" si="32"/>
        <v>25</v>
      </c>
      <c r="G242" s="46">
        <f t="shared" si="33"/>
        <v>0</v>
      </c>
      <c r="H242" s="47">
        <f t="shared" si="34"/>
        <v>0</v>
      </c>
      <c r="I242" s="47">
        <f t="shared" si="35"/>
        <v>0.33300000000000002</v>
      </c>
      <c r="J242" s="46">
        <f t="shared" si="36"/>
        <v>1840</v>
      </c>
      <c r="K242" s="46">
        <f t="shared" si="37"/>
        <v>615</v>
      </c>
      <c r="L242" s="48">
        <f t="shared" si="38"/>
        <v>0.33423913043478259</v>
      </c>
    </row>
    <row r="243" spans="1:12">
      <c r="A243" s="43" t="s">
        <v>268</v>
      </c>
      <c r="B243" s="44">
        <v>1500</v>
      </c>
      <c r="C243" s="45" t="s">
        <v>53</v>
      </c>
      <c r="D243" s="44">
        <f t="shared" si="39"/>
        <v>25</v>
      </c>
      <c r="E243" s="46">
        <f t="shared" si="31"/>
        <v>0</v>
      </c>
      <c r="F243" s="46">
        <f t="shared" si="32"/>
        <v>25</v>
      </c>
      <c r="G243" s="46">
        <f t="shared" si="33"/>
        <v>0</v>
      </c>
      <c r="H243" s="47">
        <f t="shared" si="34"/>
        <v>0</v>
      </c>
      <c r="I243" s="47">
        <f t="shared" si="35"/>
        <v>0.33300000000000002</v>
      </c>
      <c r="J243" s="46">
        <f t="shared" si="36"/>
        <v>2290</v>
      </c>
      <c r="K243" s="46">
        <f t="shared" si="37"/>
        <v>765</v>
      </c>
      <c r="L243" s="48">
        <f t="shared" si="38"/>
        <v>0.33406113537117904</v>
      </c>
    </row>
    <row r="244" spans="1:12">
      <c r="A244" s="43" t="s">
        <v>269</v>
      </c>
      <c r="B244" s="44">
        <v>2800</v>
      </c>
      <c r="C244" s="45" t="s">
        <v>53</v>
      </c>
      <c r="D244" s="44">
        <f t="shared" si="39"/>
        <v>25</v>
      </c>
      <c r="E244" s="46">
        <f t="shared" si="31"/>
        <v>0</v>
      </c>
      <c r="F244" s="46">
        <f t="shared" si="32"/>
        <v>25</v>
      </c>
      <c r="G244" s="46">
        <f t="shared" si="33"/>
        <v>0</v>
      </c>
      <c r="H244" s="47">
        <f t="shared" si="34"/>
        <v>0</v>
      </c>
      <c r="I244" s="47">
        <f t="shared" si="35"/>
        <v>0.33300000000000002</v>
      </c>
      <c r="J244" s="46">
        <f t="shared" si="36"/>
        <v>4240</v>
      </c>
      <c r="K244" s="46">
        <f t="shared" si="37"/>
        <v>1415</v>
      </c>
      <c r="L244" s="48">
        <f t="shared" si="38"/>
        <v>0.33372641509433965</v>
      </c>
    </row>
    <row r="245" spans="1:12">
      <c r="A245" s="43" t="s">
        <v>270</v>
      </c>
      <c r="B245" s="44">
        <v>2500</v>
      </c>
      <c r="C245" s="45" t="s">
        <v>53</v>
      </c>
      <c r="D245" s="44">
        <f t="shared" si="39"/>
        <v>25</v>
      </c>
      <c r="E245" s="46">
        <f t="shared" si="31"/>
        <v>0</v>
      </c>
      <c r="F245" s="46">
        <f t="shared" si="32"/>
        <v>25</v>
      </c>
      <c r="G245" s="46">
        <f t="shared" si="33"/>
        <v>0</v>
      </c>
      <c r="H245" s="47">
        <f t="shared" si="34"/>
        <v>0</v>
      </c>
      <c r="I245" s="47">
        <f t="shared" si="35"/>
        <v>0.33300000000000002</v>
      </c>
      <c r="J245" s="46">
        <f t="shared" si="36"/>
        <v>3790</v>
      </c>
      <c r="K245" s="46">
        <f t="shared" si="37"/>
        <v>1265</v>
      </c>
      <c r="L245" s="48">
        <f t="shared" si="38"/>
        <v>0.33377308707124009</v>
      </c>
    </row>
    <row r="246" spans="1:12">
      <c r="A246" s="43" t="s">
        <v>271</v>
      </c>
      <c r="B246" s="44">
        <v>500</v>
      </c>
      <c r="C246" s="45" t="s">
        <v>53</v>
      </c>
      <c r="D246" s="44">
        <f t="shared" si="39"/>
        <v>25</v>
      </c>
      <c r="E246" s="46">
        <f t="shared" si="31"/>
        <v>0</v>
      </c>
      <c r="F246" s="46">
        <f t="shared" si="32"/>
        <v>25</v>
      </c>
      <c r="G246" s="46">
        <f t="shared" si="33"/>
        <v>0</v>
      </c>
      <c r="H246" s="47">
        <f t="shared" si="34"/>
        <v>0</v>
      </c>
      <c r="I246" s="47">
        <f t="shared" si="35"/>
        <v>0.33300000000000002</v>
      </c>
      <c r="J246" s="46">
        <f t="shared" si="36"/>
        <v>790</v>
      </c>
      <c r="K246" s="46">
        <f t="shared" si="37"/>
        <v>265</v>
      </c>
      <c r="L246" s="48">
        <f t="shared" si="38"/>
        <v>0.33544303797468356</v>
      </c>
    </row>
    <row r="247" spans="1:12">
      <c r="A247" s="43" t="s">
        <v>272</v>
      </c>
      <c r="B247" s="44">
        <v>5000</v>
      </c>
      <c r="C247" s="45" t="s">
        <v>53</v>
      </c>
      <c r="D247" s="44">
        <f t="shared" si="39"/>
        <v>25</v>
      </c>
      <c r="E247" s="46">
        <f t="shared" si="31"/>
        <v>0</v>
      </c>
      <c r="F247" s="46">
        <f t="shared" si="32"/>
        <v>25</v>
      </c>
      <c r="G247" s="46">
        <f t="shared" si="33"/>
        <v>0</v>
      </c>
      <c r="H247" s="47">
        <f t="shared" si="34"/>
        <v>0</v>
      </c>
      <c r="I247" s="47">
        <f t="shared" si="35"/>
        <v>0.33300000000000002</v>
      </c>
      <c r="J247" s="46">
        <f t="shared" si="36"/>
        <v>7530</v>
      </c>
      <c r="K247" s="46">
        <f t="shared" si="37"/>
        <v>2505</v>
      </c>
      <c r="L247" s="48">
        <f t="shared" si="38"/>
        <v>0.33266932270916333</v>
      </c>
    </row>
    <row r="248" spans="1:12">
      <c r="A248" s="43" t="s">
        <v>273</v>
      </c>
      <c r="B248" s="44">
        <v>8000</v>
      </c>
      <c r="C248" s="45" t="s">
        <v>38</v>
      </c>
      <c r="D248" s="44">
        <v>1000</v>
      </c>
      <c r="E248" s="46">
        <f t="shared" si="31"/>
        <v>1000</v>
      </c>
      <c r="F248" s="46">
        <f t="shared" si="32"/>
        <v>25</v>
      </c>
      <c r="G248" s="46">
        <f t="shared" si="33"/>
        <v>0</v>
      </c>
      <c r="H248" s="47">
        <f t="shared" si="34"/>
        <v>0</v>
      </c>
      <c r="I248" s="47">
        <f t="shared" si="35"/>
        <v>0.33300000000000002</v>
      </c>
      <c r="J248" s="46">
        <f t="shared" si="36"/>
        <v>13530</v>
      </c>
      <c r="K248" s="46">
        <f t="shared" si="37"/>
        <v>4505</v>
      </c>
      <c r="L248" s="48">
        <f t="shared" si="38"/>
        <v>0.33296378418329636</v>
      </c>
    </row>
    <row r="249" spans="1:12">
      <c r="A249" s="43" t="s">
        <v>274</v>
      </c>
      <c r="B249" s="44">
        <v>1600</v>
      </c>
      <c r="C249" s="45" t="s">
        <v>38</v>
      </c>
      <c r="D249" s="44">
        <v>1000</v>
      </c>
      <c r="E249" s="46">
        <f t="shared" si="31"/>
        <v>1000</v>
      </c>
      <c r="F249" s="46">
        <f t="shared" si="32"/>
        <v>25</v>
      </c>
      <c r="G249" s="46">
        <f t="shared" si="33"/>
        <v>0</v>
      </c>
      <c r="H249" s="47">
        <f t="shared" si="34"/>
        <v>0</v>
      </c>
      <c r="I249" s="47">
        <f t="shared" si="35"/>
        <v>0.33300000000000002</v>
      </c>
      <c r="J249" s="46">
        <f t="shared" si="36"/>
        <v>3940</v>
      </c>
      <c r="K249" s="46">
        <f t="shared" si="37"/>
        <v>1315</v>
      </c>
      <c r="L249" s="48">
        <f t="shared" si="38"/>
        <v>0.33375634517766495</v>
      </c>
    </row>
    <row r="250" spans="1:12">
      <c r="A250" s="43" t="s">
        <v>275</v>
      </c>
      <c r="B250" s="44">
        <v>800</v>
      </c>
      <c r="C250" s="45" t="s">
        <v>53</v>
      </c>
      <c r="D250" s="44">
        <f>IF(A250="","",$B$7/$B$6)</f>
        <v>25</v>
      </c>
      <c r="E250" s="46">
        <f t="shared" si="31"/>
        <v>0</v>
      </c>
      <c r="F250" s="46">
        <f t="shared" si="32"/>
        <v>25</v>
      </c>
      <c r="G250" s="46">
        <f t="shared" si="33"/>
        <v>0</v>
      </c>
      <c r="H250" s="47">
        <f t="shared" si="34"/>
        <v>0</v>
      </c>
      <c r="I250" s="47">
        <f t="shared" si="35"/>
        <v>0.33300000000000002</v>
      </c>
      <c r="J250" s="46">
        <f t="shared" si="36"/>
        <v>1240</v>
      </c>
      <c r="K250" s="46">
        <f t="shared" si="37"/>
        <v>415</v>
      </c>
      <c r="L250" s="48">
        <f t="shared" si="38"/>
        <v>0.33467741935483869</v>
      </c>
    </row>
    <row r="251" spans="1:12">
      <c r="A251" s="55" t="s">
        <v>275</v>
      </c>
      <c r="B251" s="56">
        <v>800</v>
      </c>
      <c r="C251" s="57" t="s">
        <v>53</v>
      </c>
      <c r="D251" s="56">
        <f>IF(A251="","",$B$7/$B$6)</f>
        <v>25</v>
      </c>
      <c r="E251" s="58">
        <f t="shared" si="31"/>
        <v>0</v>
      </c>
      <c r="F251" s="58">
        <f t="shared" si="32"/>
        <v>25</v>
      </c>
      <c r="G251" s="58">
        <f t="shared" si="33"/>
        <v>0</v>
      </c>
      <c r="H251" s="59">
        <f t="shared" si="34"/>
        <v>0</v>
      </c>
      <c r="I251" s="59">
        <f t="shared" si="35"/>
        <v>0.33300000000000002</v>
      </c>
      <c r="J251" s="58">
        <f t="shared" si="36"/>
        <v>1240</v>
      </c>
      <c r="K251" s="58">
        <f t="shared" si="37"/>
        <v>415</v>
      </c>
      <c r="L251" s="60">
        <f t="shared" si="38"/>
        <v>0.33467741935483869</v>
      </c>
    </row>
    <row r="252" spans="1:12">
      <c r="A252" s="55"/>
      <c r="B252" s="56"/>
      <c r="C252" s="57"/>
      <c r="D252" s="56"/>
      <c r="E252" s="58"/>
      <c r="F252" s="58"/>
      <c r="G252" s="58"/>
      <c r="H252" s="59"/>
      <c r="I252" s="59"/>
      <c r="J252" s="58"/>
      <c r="K252" s="58"/>
      <c r="L252" s="60"/>
    </row>
    <row r="253" spans="1:12">
      <c r="A253" s="55" t="s">
        <v>276</v>
      </c>
      <c r="B253" s="56">
        <v>230</v>
      </c>
      <c r="C253" s="57" t="s">
        <v>169</v>
      </c>
      <c r="D253" s="56"/>
      <c r="E253" s="58">
        <f t="shared" ref="E253:E274" si="40">IF(A253="","",IF(C253="NO",0,IF(D253&lt;&gt;"",D253,$B$11)))</f>
        <v>1000</v>
      </c>
      <c r="F253" s="58">
        <f t="shared" ref="F253:F274" si="41">IF(A253="","",$B$7/$B$6)</f>
        <v>25</v>
      </c>
      <c r="G253" s="58">
        <f t="shared" ref="G253:G274" si="42">IF(A253="","",($B$8-$B$9)/$B$6)</f>
        <v>0</v>
      </c>
      <c r="H253" s="59">
        <f t="shared" ref="H253:H274" si="43">IF(A253="","",$B$10)</f>
        <v>0</v>
      </c>
      <c r="I253" s="59">
        <f t="shared" ref="I253:I274" si="44">IF(A253="","",$B$5)</f>
        <v>0.33300000000000002</v>
      </c>
      <c r="J253" s="58">
        <f t="shared" ref="J253:J274" si="45">IF(OR(A253="",B253=""),"",ROUND((B253+E253+F253+G253)/(1-H253-I253),-1))</f>
        <v>1880</v>
      </c>
      <c r="K253" s="58">
        <f t="shared" ref="K253:K274" si="46">IF(J253="","",J253-B253-E253-F253-G253-(J253*H253))</f>
        <v>625</v>
      </c>
      <c r="L253" s="60">
        <f t="shared" ref="L253:L274" si="47">IF(J253="","",K253/J253)</f>
        <v>0.33244680851063829</v>
      </c>
    </row>
    <row r="254" spans="1:12">
      <c r="A254" s="55" t="s">
        <v>277</v>
      </c>
      <c r="B254" s="56">
        <v>19800</v>
      </c>
      <c r="C254" s="57" t="s">
        <v>53</v>
      </c>
      <c r="D254" s="56"/>
      <c r="E254" s="58">
        <f t="shared" si="40"/>
        <v>0</v>
      </c>
      <c r="F254" s="58">
        <f t="shared" si="41"/>
        <v>25</v>
      </c>
      <c r="G254" s="58">
        <f t="shared" si="42"/>
        <v>0</v>
      </c>
      <c r="H254" s="59">
        <f t="shared" si="43"/>
        <v>0</v>
      </c>
      <c r="I254" s="59">
        <f t="shared" si="44"/>
        <v>0.33300000000000002</v>
      </c>
      <c r="J254" s="58">
        <f t="shared" si="45"/>
        <v>29720</v>
      </c>
      <c r="K254" s="58">
        <f t="shared" si="46"/>
        <v>9895</v>
      </c>
      <c r="L254" s="60">
        <f t="shared" si="47"/>
        <v>0.3329407806191117</v>
      </c>
    </row>
    <row r="255" spans="1:12">
      <c r="A255" s="55" t="s">
        <v>278</v>
      </c>
      <c r="B255" s="56">
        <v>10200</v>
      </c>
      <c r="C255" s="57" t="s">
        <v>53</v>
      </c>
      <c r="D255" s="56"/>
      <c r="E255" s="58">
        <f t="shared" si="40"/>
        <v>0</v>
      </c>
      <c r="F255" s="58">
        <f t="shared" si="41"/>
        <v>25</v>
      </c>
      <c r="G255" s="58">
        <f t="shared" si="42"/>
        <v>0</v>
      </c>
      <c r="H255" s="59">
        <f t="shared" si="43"/>
        <v>0</v>
      </c>
      <c r="I255" s="59">
        <f t="shared" si="44"/>
        <v>0.33300000000000002</v>
      </c>
      <c r="J255" s="58">
        <f t="shared" si="45"/>
        <v>15330</v>
      </c>
      <c r="K255" s="58">
        <f t="shared" si="46"/>
        <v>5105</v>
      </c>
      <c r="L255" s="60">
        <f t="shared" si="47"/>
        <v>0.33300717547292891</v>
      </c>
    </row>
    <row r="256" spans="1:12">
      <c r="A256" s="55" t="s">
        <v>279</v>
      </c>
      <c r="B256" s="56">
        <v>7100</v>
      </c>
      <c r="C256" s="57" t="s">
        <v>53</v>
      </c>
      <c r="D256" s="56"/>
      <c r="E256" s="58">
        <f t="shared" si="40"/>
        <v>0</v>
      </c>
      <c r="F256" s="58">
        <f t="shared" si="41"/>
        <v>25</v>
      </c>
      <c r="G256" s="58">
        <f t="shared" si="42"/>
        <v>0</v>
      </c>
      <c r="H256" s="59">
        <f t="shared" si="43"/>
        <v>0</v>
      </c>
      <c r="I256" s="59">
        <f t="shared" si="44"/>
        <v>0.33300000000000002</v>
      </c>
      <c r="J256" s="58">
        <f t="shared" si="45"/>
        <v>10680</v>
      </c>
      <c r="K256" s="58">
        <f t="shared" si="46"/>
        <v>3555</v>
      </c>
      <c r="L256" s="60">
        <f t="shared" si="47"/>
        <v>0.33286516853932585</v>
      </c>
    </row>
    <row r="257" spans="1:12">
      <c r="A257" s="55" t="s">
        <v>280</v>
      </c>
      <c r="B257" s="56">
        <v>17200</v>
      </c>
      <c r="C257" s="57" t="s">
        <v>53</v>
      </c>
      <c r="D257" s="56"/>
      <c r="E257" s="58">
        <f t="shared" si="40"/>
        <v>0</v>
      </c>
      <c r="F257" s="58">
        <f t="shared" si="41"/>
        <v>25</v>
      </c>
      <c r="G257" s="58">
        <f t="shared" si="42"/>
        <v>0</v>
      </c>
      <c r="H257" s="59">
        <f t="shared" si="43"/>
        <v>0</v>
      </c>
      <c r="I257" s="59">
        <f t="shared" si="44"/>
        <v>0.33300000000000002</v>
      </c>
      <c r="J257" s="58">
        <f t="shared" si="45"/>
        <v>25820</v>
      </c>
      <c r="K257" s="58">
        <f t="shared" si="46"/>
        <v>8595</v>
      </c>
      <c r="L257" s="60">
        <f t="shared" si="47"/>
        <v>0.3328814872192099</v>
      </c>
    </row>
    <row r="258" spans="1:12">
      <c r="A258" s="55" t="s">
        <v>281</v>
      </c>
      <c r="B258" s="56">
        <v>9300</v>
      </c>
      <c r="C258" s="57" t="s">
        <v>53</v>
      </c>
      <c r="D258" s="56"/>
      <c r="E258" s="58">
        <f t="shared" si="40"/>
        <v>0</v>
      </c>
      <c r="F258" s="58">
        <f t="shared" si="41"/>
        <v>25</v>
      </c>
      <c r="G258" s="58">
        <f t="shared" si="42"/>
        <v>0</v>
      </c>
      <c r="H258" s="59">
        <f t="shared" si="43"/>
        <v>0</v>
      </c>
      <c r="I258" s="59">
        <f t="shared" si="44"/>
        <v>0.33300000000000002</v>
      </c>
      <c r="J258" s="58">
        <f t="shared" si="45"/>
        <v>13980</v>
      </c>
      <c r="K258" s="58">
        <f t="shared" si="46"/>
        <v>4655</v>
      </c>
      <c r="L258" s="60">
        <f t="shared" si="47"/>
        <v>0.33297567954220314</v>
      </c>
    </row>
    <row r="259" spans="1:12">
      <c r="A259" s="55" t="s">
        <v>282</v>
      </c>
      <c r="B259" s="56">
        <v>20000</v>
      </c>
      <c r="C259" s="57" t="s">
        <v>53</v>
      </c>
      <c r="D259" s="56"/>
      <c r="E259" s="58">
        <f t="shared" si="40"/>
        <v>0</v>
      </c>
      <c r="F259" s="58">
        <f t="shared" si="41"/>
        <v>25</v>
      </c>
      <c r="G259" s="58">
        <f t="shared" si="42"/>
        <v>0</v>
      </c>
      <c r="H259" s="59">
        <f t="shared" si="43"/>
        <v>0</v>
      </c>
      <c r="I259" s="59">
        <f t="shared" si="44"/>
        <v>0.33300000000000002</v>
      </c>
      <c r="J259" s="58">
        <f t="shared" si="45"/>
        <v>30020</v>
      </c>
      <c r="K259" s="58">
        <f t="shared" si="46"/>
        <v>9995</v>
      </c>
      <c r="L259" s="60">
        <f t="shared" si="47"/>
        <v>0.33294470353097932</v>
      </c>
    </row>
    <row r="260" spans="1:12">
      <c r="A260" s="55" t="s">
        <v>283</v>
      </c>
      <c r="B260" s="56">
        <v>15800</v>
      </c>
      <c r="C260" s="57" t="s">
        <v>53</v>
      </c>
      <c r="D260" s="56"/>
      <c r="E260" s="58">
        <f t="shared" si="40"/>
        <v>0</v>
      </c>
      <c r="F260" s="58">
        <f t="shared" si="41"/>
        <v>25</v>
      </c>
      <c r="G260" s="58">
        <f t="shared" si="42"/>
        <v>0</v>
      </c>
      <c r="H260" s="59">
        <f t="shared" si="43"/>
        <v>0</v>
      </c>
      <c r="I260" s="59">
        <f t="shared" si="44"/>
        <v>0.33300000000000002</v>
      </c>
      <c r="J260" s="58">
        <f t="shared" si="45"/>
        <v>23730</v>
      </c>
      <c r="K260" s="58">
        <f t="shared" si="46"/>
        <v>7905</v>
      </c>
      <c r="L260" s="60">
        <f t="shared" si="47"/>
        <v>0.33312262958280658</v>
      </c>
    </row>
    <row r="261" spans="1:12">
      <c r="A261" s="55" t="s">
        <v>284</v>
      </c>
      <c r="B261" s="56">
        <v>10000</v>
      </c>
      <c r="C261" s="57" t="s">
        <v>53</v>
      </c>
      <c r="D261" s="56"/>
      <c r="E261" s="58">
        <f t="shared" si="40"/>
        <v>0</v>
      </c>
      <c r="F261" s="58">
        <f t="shared" si="41"/>
        <v>25</v>
      </c>
      <c r="G261" s="58">
        <f t="shared" si="42"/>
        <v>0</v>
      </c>
      <c r="H261" s="59">
        <f t="shared" si="43"/>
        <v>0</v>
      </c>
      <c r="I261" s="59">
        <f t="shared" si="44"/>
        <v>0.33300000000000002</v>
      </c>
      <c r="J261" s="58">
        <f t="shared" si="45"/>
        <v>15030</v>
      </c>
      <c r="K261" s="58">
        <f t="shared" si="46"/>
        <v>5005</v>
      </c>
      <c r="L261" s="60">
        <f t="shared" si="47"/>
        <v>0.33300066533599465</v>
      </c>
    </row>
    <row r="262" spans="1:12">
      <c r="A262" s="55" t="s">
        <v>285</v>
      </c>
      <c r="B262" s="56">
        <v>1850</v>
      </c>
      <c r="C262" s="57" t="s">
        <v>53</v>
      </c>
      <c r="D262" s="56"/>
      <c r="E262" s="58">
        <f t="shared" si="40"/>
        <v>0</v>
      </c>
      <c r="F262" s="58">
        <f t="shared" si="41"/>
        <v>25</v>
      </c>
      <c r="G262" s="58">
        <f t="shared" si="42"/>
        <v>0</v>
      </c>
      <c r="H262" s="59">
        <f t="shared" si="43"/>
        <v>0</v>
      </c>
      <c r="I262" s="59">
        <f t="shared" si="44"/>
        <v>0.33300000000000002</v>
      </c>
      <c r="J262" s="58">
        <f t="shared" si="45"/>
        <v>2810</v>
      </c>
      <c r="K262" s="58">
        <f t="shared" si="46"/>
        <v>935</v>
      </c>
      <c r="L262" s="60">
        <f t="shared" si="47"/>
        <v>0.33274021352313166</v>
      </c>
    </row>
    <row r="263" spans="1:12">
      <c r="A263" s="55" t="s">
        <v>286</v>
      </c>
      <c r="B263" s="56">
        <v>2050</v>
      </c>
      <c r="C263" s="57" t="s">
        <v>53</v>
      </c>
      <c r="D263" s="56"/>
      <c r="E263" s="58">
        <f t="shared" si="40"/>
        <v>0</v>
      </c>
      <c r="F263" s="58">
        <f t="shared" si="41"/>
        <v>25</v>
      </c>
      <c r="G263" s="58">
        <f t="shared" si="42"/>
        <v>0</v>
      </c>
      <c r="H263" s="59">
        <f t="shared" si="43"/>
        <v>0</v>
      </c>
      <c r="I263" s="59">
        <f t="shared" si="44"/>
        <v>0.33300000000000002</v>
      </c>
      <c r="J263" s="58">
        <f t="shared" si="45"/>
        <v>3110</v>
      </c>
      <c r="K263" s="58">
        <f t="shared" si="46"/>
        <v>1035</v>
      </c>
      <c r="L263" s="60">
        <f t="shared" si="47"/>
        <v>0.33279742765273312</v>
      </c>
    </row>
    <row r="264" spans="1:12">
      <c r="A264" s="55" t="s">
        <v>287</v>
      </c>
      <c r="B264" s="56">
        <v>2600</v>
      </c>
      <c r="C264" s="57" t="s">
        <v>53</v>
      </c>
      <c r="D264" s="56"/>
      <c r="E264" s="58">
        <f t="shared" si="40"/>
        <v>0</v>
      </c>
      <c r="F264" s="58">
        <f t="shared" si="41"/>
        <v>25</v>
      </c>
      <c r="G264" s="58">
        <f t="shared" si="42"/>
        <v>0</v>
      </c>
      <c r="H264" s="59">
        <f t="shared" si="43"/>
        <v>0</v>
      </c>
      <c r="I264" s="59">
        <f t="shared" si="44"/>
        <v>0.33300000000000002</v>
      </c>
      <c r="J264" s="58">
        <f t="shared" si="45"/>
        <v>3940</v>
      </c>
      <c r="K264" s="58">
        <f t="shared" si="46"/>
        <v>1315</v>
      </c>
      <c r="L264" s="60">
        <f t="shared" si="47"/>
        <v>0.33375634517766495</v>
      </c>
    </row>
    <row r="265" spans="1:12">
      <c r="A265" s="55" t="s">
        <v>288</v>
      </c>
      <c r="B265" s="56">
        <v>8500</v>
      </c>
      <c r="C265" s="57" t="s">
        <v>53</v>
      </c>
      <c r="D265" s="56"/>
      <c r="E265" s="58">
        <f t="shared" si="40"/>
        <v>0</v>
      </c>
      <c r="F265" s="58">
        <f t="shared" si="41"/>
        <v>25</v>
      </c>
      <c r="G265" s="58">
        <f t="shared" si="42"/>
        <v>0</v>
      </c>
      <c r="H265" s="59">
        <f t="shared" si="43"/>
        <v>0</v>
      </c>
      <c r="I265" s="59">
        <f t="shared" si="44"/>
        <v>0.33300000000000002</v>
      </c>
      <c r="J265" s="58">
        <f t="shared" si="45"/>
        <v>12780</v>
      </c>
      <c r="K265" s="58">
        <f t="shared" si="46"/>
        <v>4255</v>
      </c>
      <c r="L265" s="60">
        <f t="shared" si="47"/>
        <v>0.33294209702660404</v>
      </c>
    </row>
    <row r="266" spans="1:12">
      <c r="A266" s="55" t="s">
        <v>289</v>
      </c>
      <c r="B266" s="56">
        <v>1250</v>
      </c>
      <c r="C266" s="57" t="s">
        <v>53</v>
      </c>
      <c r="D266" s="56"/>
      <c r="E266" s="58">
        <f t="shared" si="40"/>
        <v>0</v>
      </c>
      <c r="F266" s="58">
        <f t="shared" si="41"/>
        <v>25</v>
      </c>
      <c r="G266" s="58">
        <f t="shared" si="42"/>
        <v>0</v>
      </c>
      <c r="H266" s="59">
        <f t="shared" si="43"/>
        <v>0</v>
      </c>
      <c r="I266" s="59">
        <f t="shared" si="44"/>
        <v>0.33300000000000002</v>
      </c>
      <c r="J266" s="58">
        <f t="shared" si="45"/>
        <v>1910</v>
      </c>
      <c r="K266" s="58">
        <f t="shared" si="46"/>
        <v>635</v>
      </c>
      <c r="L266" s="60">
        <f t="shared" si="47"/>
        <v>0.33246073298429318</v>
      </c>
    </row>
    <row r="267" spans="1:12">
      <c r="A267" s="55" t="s">
        <v>290</v>
      </c>
      <c r="B267" s="56">
        <v>1550</v>
      </c>
      <c r="C267" s="57" t="s">
        <v>53</v>
      </c>
      <c r="D267" s="56"/>
      <c r="E267" s="58">
        <f t="shared" si="40"/>
        <v>0</v>
      </c>
      <c r="F267" s="58">
        <f t="shared" si="41"/>
        <v>25</v>
      </c>
      <c r="G267" s="58">
        <f t="shared" si="42"/>
        <v>0</v>
      </c>
      <c r="H267" s="59">
        <f t="shared" si="43"/>
        <v>0</v>
      </c>
      <c r="I267" s="59">
        <f t="shared" si="44"/>
        <v>0.33300000000000002</v>
      </c>
      <c r="J267" s="58">
        <f t="shared" si="45"/>
        <v>2360</v>
      </c>
      <c r="K267" s="58">
        <f t="shared" si="46"/>
        <v>785</v>
      </c>
      <c r="L267" s="60">
        <f t="shared" si="47"/>
        <v>0.3326271186440678</v>
      </c>
    </row>
    <row r="268" spans="1:12">
      <c r="A268" s="55" t="s">
        <v>291</v>
      </c>
      <c r="B268" s="56">
        <v>4500</v>
      </c>
      <c r="C268" s="57" t="s">
        <v>169</v>
      </c>
      <c r="D268" s="56">
        <v>3000</v>
      </c>
      <c r="E268" s="58">
        <f t="shared" si="40"/>
        <v>3000</v>
      </c>
      <c r="F268" s="58">
        <f t="shared" si="41"/>
        <v>25</v>
      </c>
      <c r="G268" s="58">
        <f t="shared" si="42"/>
        <v>0</v>
      </c>
      <c r="H268" s="59">
        <f t="shared" si="43"/>
        <v>0</v>
      </c>
      <c r="I268" s="59">
        <f t="shared" si="44"/>
        <v>0.33300000000000002</v>
      </c>
      <c r="J268" s="58">
        <f t="shared" si="45"/>
        <v>11280</v>
      </c>
      <c r="K268" s="58">
        <f t="shared" si="46"/>
        <v>3755</v>
      </c>
      <c r="L268" s="60">
        <f t="shared" si="47"/>
        <v>0.3328900709219858</v>
      </c>
    </row>
    <row r="269" spans="1:12">
      <c r="A269" s="55" t="s">
        <v>292</v>
      </c>
      <c r="B269" s="56">
        <v>4350</v>
      </c>
      <c r="C269" s="57" t="s">
        <v>169</v>
      </c>
      <c r="D269" s="56">
        <v>3000</v>
      </c>
      <c r="E269" s="58">
        <f t="shared" si="40"/>
        <v>3000</v>
      </c>
      <c r="F269" s="58">
        <f t="shared" si="41"/>
        <v>25</v>
      </c>
      <c r="G269" s="58">
        <f t="shared" si="42"/>
        <v>0</v>
      </c>
      <c r="H269" s="59">
        <f t="shared" si="43"/>
        <v>0</v>
      </c>
      <c r="I269" s="59">
        <f t="shared" si="44"/>
        <v>0.33300000000000002</v>
      </c>
      <c r="J269" s="58">
        <f t="shared" si="45"/>
        <v>11060</v>
      </c>
      <c r="K269" s="58">
        <f t="shared" si="46"/>
        <v>3685</v>
      </c>
      <c r="L269" s="60">
        <f t="shared" si="47"/>
        <v>0.33318264014466548</v>
      </c>
    </row>
    <row r="270" spans="1:12">
      <c r="A270" s="55" t="s">
        <v>293</v>
      </c>
      <c r="B270" s="56">
        <v>6250</v>
      </c>
      <c r="C270" s="57" t="s">
        <v>169</v>
      </c>
      <c r="D270" s="56">
        <v>4000</v>
      </c>
      <c r="E270" s="58">
        <f t="shared" si="40"/>
        <v>4000</v>
      </c>
      <c r="F270" s="58">
        <f t="shared" si="41"/>
        <v>25</v>
      </c>
      <c r="G270" s="58">
        <f t="shared" si="42"/>
        <v>0</v>
      </c>
      <c r="H270" s="59">
        <f t="shared" si="43"/>
        <v>0</v>
      </c>
      <c r="I270" s="59">
        <f t="shared" si="44"/>
        <v>0.33300000000000002</v>
      </c>
      <c r="J270" s="58">
        <f t="shared" si="45"/>
        <v>15400</v>
      </c>
      <c r="K270" s="58">
        <f t="shared" si="46"/>
        <v>5125</v>
      </c>
      <c r="L270" s="60">
        <f t="shared" si="47"/>
        <v>0.33279220779220781</v>
      </c>
    </row>
    <row r="271" spans="1:12">
      <c r="A271" s="55" t="s">
        <v>294</v>
      </c>
      <c r="B271" s="56">
        <v>1800</v>
      </c>
      <c r="C271" s="57" t="s">
        <v>169</v>
      </c>
      <c r="D271" s="56">
        <v>2000</v>
      </c>
      <c r="E271" s="58">
        <f t="shared" si="40"/>
        <v>2000</v>
      </c>
      <c r="F271" s="58">
        <f t="shared" si="41"/>
        <v>25</v>
      </c>
      <c r="G271" s="58">
        <f t="shared" si="42"/>
        <v>0</v>
      </c>
      <c r="H271" s="59">
        <f t="shared" si="43"/>
        <v>0</v>
      </c>
      <c r="I271" s="59">
        <f t="shared" si="44"/>
        <v>0.33300000000000002</v>
      </c>
      <c r="J271" s="58">
        <f t="shared" si="45"/>
        <v>5730</v>
      </c>
      <c r="K271" s="58">
        <f t="shared" si="46"/>
        <v>1905</v>
      </c>
      <c r="L271" s="60">
        <f t="shared" si="47"/>
        <v>0.33246073298429318</v>
      </c>
    </row>
    <row r="272" spans="1:12">
      <c r="A272" s="55" t="s">
        <v>295</v>
      </c>
      <c r="B272" s="56">
        <v>1600</v>
      </c>
      <c r="C272" s="57" t="s">
        <v>169</v>
      </c>
      <c r="D272" s="56">
        <v>2000</v>
      </c>
      <c r="E272" s="58">
        <f t="shared" si="40"/>
        <v>2000</v>
      </c>
      <c r="F272" s="58">
        <f t="shared" si="41"/>
        <v>25</v>
      </c>
      <c r="G272" s="58">
        <f t="shared" si="42"/>
        <v>0</v>
      </c>
      <c r="H272" s="59">
        <f t="shared" si="43"/>
        <v>0</v>
      </c>
      <c r="I272" s="59">
        <f t="shared" si="44"/>
        <v>0.33300000000000002</v>
      </c>
      <c r="J272" s="58">
        <f t="shared" si="45"/>
        <v>5430</v>
      </c>
      <c r="K272" s="58">
        <f t="shared" si="46"/>
        <v>1805</v>
      </c>
      <c r="L272" s="60">
        <f t="shared" si="47"/>
        <v>0.33241252302025781</v>
      </c>
    </row>
    <row r="273" spans="1:12">
      <c r="A273" s="55" t="s">
        <v>296</v>
      </c>
      <c r="B273" s="56">
        <v>3400</v>
      </c>
      <c r="C273" s="57" t="s">
        <v>169</v>
      </c>
      <c r="D273" s="56">
        <v>4000</v>
      </c>
      <c r="E273" s="58">
        <f t="shared" si="40"/>
        <v>4000</v>
      </c>
      <c r="F273" s="58">
        <f t="shared" si="41"/>
        <v>25</v>
      </c>
      <c r="G273" s="58">
        <f t="shared" si="42"/>
        <v>0</v>
      </c>
      <c r="H273" s="59">
        <f t="shared" si="43"/>
        <v>0</v>
      </c>
      <c r="I273" s="59">
        <f t="shared" si="44"/>
        <v>0.33300000000000002</v>
      </c>
      <c r="J273" s="58">
        <f t="shared" si="45"/>
        <v>11130</v>
      </c>
      <c r="K273" s="58">
        <f t="shared" si="46"/>
        <v>3705</v>
      </c>
      <c r="L273" s="60">
        <f t="shared" si="47"/>
        <v>0.3328840970350404</v>
      </c>
    </row>
    <row r="274" spans="1:12">
      <c r="A274" s="55" t="s">
        <v>297</v>
      </c>
      <c r="B274" s="56">
        <v>6250</v>
      </c>
      <c r="C274" s="57" t="s">
        <v>169</v>
      </c>
      <c r="D274" s="56">
        <v>5800</v>
      </c>
      <c r="E274" s="58">
        <f t="shared" si="40"/>
        <v>5800</v>
      </c>
      <c r="F274" s="58">
        <f t="shared" si="41"/>
        <v>25</v>
      </c>
      <c r="G274" s="58">
        <f t="shared" si="42"/>
        <v>0</v>
      </c>
      <c r="H274" s="59">
        <f t="shared" si="43"/>
        <v>0</v>
      </c>
      <c r="I274" s="59">
        <f t="shared" si="44"/>
        <v>0.33300000000000002</v>
      </c>
      <c r="J274" s="58">
        <f t="shared" si="45"/>
        <v>18100</v>
      </c>
      <c r="K274" s="58">
        <f t="shared" si="46"/>
        <v>6025</v>
      </c>
      <c r="L274" s="60">
        <f t="shared" si="47"/>
        <v>0.33287292817679559</v>
      </c>
    </row>
    <row r="275" spans="1:12">
      <c r="A275" s="5"/>
      <c r="B275" s="21"/>
      <c r="C275" s="22"/>
      <c r="D275" s="22"/>
      <c r="E275" s="22"/>
      <c r="F275" s="25"/>
      <c r="G275" s="25"/>
      <c r="H275" s="22"/>
      <c r="I275" s="22"/>
      <c r="J275" s="27"/>
    </row>
    <row r="276" spans="1:12">
      <c r="A276" s="5"/>
      <c r="B276" s="21"/>
      <c r="C276" s="22"/>
      <c r="D276" s="22"/>
      <c r="E276" s="22"/>
      <c r="F276" s="25"/>
      <c r="G276" s="25"/>
      <c r="H276" s="22"/>
      <c r="I276" s="22"/>
      <c r="J276" s="27"/>
    </row>
    <row r="277" spans="1:12">
      <c r="A277" s="5"/>
      <c r="B277" s="21"/>
      <c r="C277" s="22"/>
      <c r="D277" s="22"/>
      <c r="E277" s="22"/>
      <c r="F277" s="25"/>
      <c r="G277" s="25"/>
      <c r="H277" s="22"/>
      <c r="I277" s="22"/>
      <c r="J277" s="27"/>
    </row>
    <row r="278" spans="1:12">
      <c r="A278" s="5"/>
      <c r="B278" s="21"/>
      <c r="C278" s="22"/>
      <c r="D278" s="22"/>
      <c r="E278" s="22"/>
      <c r="F278" s="25"/>
      <c r="G278" s="25"/>
      <c r="H278" s="22"/>
      <c r="I278" s="22"/>
      <c r="J278" s="27"/>
    </row>
    <row r="279" spans="1:12">
      <c r="A279" s="5"/>
      <c r="B279" s="21"/>
      <c r="C279" s="22"/>
      <c r="D279" s="22"/>
      <c r="E279" s="22"/>
      <c r="F279" s="25"/>
      <c r="G279" s="25"/>
      <c r="H279" s="22"/>
      <c r="I279" s="22"/>
      <c r="J279" s="27"/>
    </row>
    <row r="280" spans="1:12">
      <c r="A280" s="5"/>
      <c r="B280" s="21"/>
      <c r="C280" s="22"/>
      <c r="D280" s="22"/>
      <c r="E280" s="22"/>
      <c r="F280" s="25"/>
      <c r="G280" s="25"/>
      <c r="H280" s="22"/>
      <c r="I280" s="22"/>
      <c r="J280" s="27"/>
    </row>
    <row r="281" spans="1:12">
      <c r="A281" s="5"/>
      <c r="B281" s="21"/>
      <c r="C281" s="22"/>
      <c r="D281" s="22"/>
      <c r="E281" s="22"/>
      <c r="F281" s="25"/>
      <c r="G281" s="25"/>
      <c r="H281" s="22"/>
      <c r="I281" s="22"/>
      <c r="J281" s="27"/>
    </row>
    <row r="282" spans="1:12">
      <c r="A282" s="5"/>
      <c r="B282" s="21"/>
      <c r="C282" s="22"/>
      <c r="D282" s="22"/>
      <c r="E282" s="22"/>
      <c r="F282" s="25"/>
      <c r="G282" s="25"/>
      <c r="H282" s="22"/>
      <c r="I282" s="22"/>
      <c r="J282" s="27"/>
    </row>
    <row r="283" spans="1:12">
      <c r="A283" s="5"/>
      <c r="B283" s="21"/>
      <c r="C283" s="22"/>
      <c r="D283" s="22"/>
      <c r="E283" s="22"/>
      <c r="F283" s="25"/>
      <c r="G283" s="25"/>
      <c r="H283" s="22"/>
      <c r="I283" s="22"/>
      <c r="J283" s="27"/>
    </row>
    <row r="284" spans="1:12">
      <c r="A284" s="5"/>
      <c r="B284" s="21"/>
      <c r="C284" s="22"/>
      <c r="D284" s="22"/>
      <c r="E284" s="22"/>
      <c r="F284" s="25"/>
      <c r="G284" s="25"/>
      <c r="H284" s="22"/>
      <c r="I284" s="22"/>
      <c r="J284" s="27"/>
    </row>
    <row r="285" spans="1:12">
      <c r="A285" s="5"/>
      <c r="B285" s="21"/>
      <c r="C285" s="22"/>
      <c r="D285" s="22"/>
      <c r="E285" s="22"/>
      <c r="F285" s="25"/>
      <c r="G285" s="25"/>
      <c r="H285" s="22"/>
      <c r="I285" s="22"/>
      <c r="J285" s="27"/>
    </row>
    <row r="286" spans="1:12">
      <c r="A286" s="5"/>
      <c r="B286" s="21"/>
      <c r="C286" s="22"/>
      <c r="D286" s="22"/>
      <c r="E286" s="22"/>
      <c r="F286" s="25"/>
      <c r="G286" s="25"/>
      <c r="H286" s="22"/>
      <c r="I286" s="22"/>
      <c r="J286" s="27"/>
    </row>
    <row r="287" spans="1:12">
      <c r="A287" s="5"/>
      <c r="B287" s="21"/>
      <c r="C287" s="22"/>
      <c r="D287" s="22"/>
      <c r="E287" s="22"/>
      <c r="F287" s="25"/>
      <c r="G287" s="25"/>
      <c r="H287" s="22"/>
      <c r="I287" s="22"/>
      <c r="J287" s="27"/>
    </row>
    <row r="288" spans="1:12">
      <c r="A288" s="5"/>
      <c r="B288" s="21"/>
      <c r="C288" s="22"/>
      <c r="D288" s="22"/>
      <c r="E288" s="22"/>
      <c r="F288" s="25"/>
      <c r="G288" s="25"/>
      <c r="H288" s="22"/>
      <c r="I288" s="22"/>
      <c r="J288" s="27"/>
    </row>
    <row r="289" spans="1:10">
      <c r="A289" s="5"/>
      <c r="B289" s="21"/>
      <c r="C289" s="22"/>
      <c r="D289" s="22"/>
      <c r="E289" s="22"/>
      <c r="F289" s="25"/>
      <c r="G289" s="25"/>
      <c r="H289" s="22"/>
      <c r="I289" s="22"/>
      <c r="J289" s="27"/>
    </row>
    <row r="290" spans="1:10">
      <c r="A290" s="5"/>
      <c r="B290" s="21"/>
      <c r="C290" s="22"/>
      <c r="D290" s="22"/>
      <c r="E290" s="22"/>
      <c r="F290" s="25"/>
      <c r="G290" s="25"/>
      <c r="H290" s="22"/>
      <c r="I290" s="22"/>
      <c r="J290" s="27"/>
    </row>
    <row r="291" spans="1:10">
      <c r="A291" s="5"/>
      <c r="B291" s="21"/>
      <c r="C291" s="22"/>
      <c r="D291" s="22"/>
      <c r="E291" s="22"/>
      <c r="F291" s="25"/>
      <c r="G291" s="25"/>
      <c r="H291" s="22"/>
      <c r="I291" s="22"/>
      <c r="J291" s="27"/>
    </row>
    <row r="292" spans="1:10">
      <c r="A292" s="5"/>
      <c r="B292" s="21"/>
      <c r="C292" s="22"/>
      <c r="D292" s="22"/>
      <c r="E292" s="22"/>
      <c r="F292" s="25"/>
      <c r="G292" s="25"/>
      <c r="H292" s="22"/>
      <c r="I292" s="22"/>
      <c r="J292" s="27"/>
    </row>
    <row r="293" spans="1:10">
      <c r="A293" s="5"/>
      <c r="B293" s="21"/>
      <c r="C293" s="22"/>
      <c r="D293" s="22"/>
      <c r="E293" s="22"/>
      <c r="F293" s="25"/>
      <c r="G293" s="25"/>
      <c r="H293" s="22"/>
      <c r="I293" s="22"/>
      <c r="J293" s="27"/>
    </row>
    <row r="294" spans="1:10">
      <c r="A294" s="5"/>
      <c r="B294" s="21"/>
      <c r="C294" s="22"/>
      <c r="D294" s="22"/>
      <c r="E294" s="22"/>
      <c r="F294" s="25"/>
      <c r="G294" s="25"/>
      <c r="H294" s="22"/>
      <c r="I294" s="22"/>
      <c r="J294" s="27"/>
    </row>
    <row r="295" spans="1:10">
      <c r="A295" s="5"/>
      <c r="B295" s="21"/>
      <c r="C295" s="22"/>
      <c r="D295" s="22"/>
      <c r="E295" s="22"/>
      <c r="F295" s="25"/>
      <c r="G295" s="25"/>
      <c r="H295" s="22"/>
      <c r="I295" s="22"/>
      <c r="J295" s="27"/>
    </row>
    <row r="296" spans="1:10">
      <c r="A296" s="5"/>
      <c r="B296" s="21"/>
      <c r="C296" s="22"/>
      <c r="D296" s="22"/>
      <c r="E296" s="22"/>
      <c r="F296" s="25"/>
      <c r="G296" s="25"/>
      <c r="H296" s="22"/>
      <c r="I296" s="22"/>
      <c r="J296" s="27"/>
    </row>
    <row r="297" spans="1:10">
      <c r="A297" s="5"/>
      <c r="B297" s="21"/>
      <c r="C297" s="22"/>
      <c r="D297" s="22"/>
      <c r="E297" s="22"/>
      <c r="F297" s="25"/>
      <c r="G297" s="25"/>
      <c r="H297" s="22"/>
      <c r="I297" s="22"/>
      <c r="J297" s="27"/>
    </row>
    <row r="298" spans="1:10">
      <c r="A298" s="5"/>
      <c r="B298" s="21"/>
      <c r="C298" s="22"/>
      <c r="D298" s="22"/>
      <c r="E298" s="22"/>
      <c r="F298" s="25"/>
      <c r="G298" s="25"/>
      <c r="H298" s="22"/>
      <c r="I298" s="22"/>
      <c r="J298" s="27"/>
    </row>
    <row r="299" spans="1:10">
      <c r="A299" s="5"/>
      <c r="B299" s="21"/>
      <c r="C299" s="22"/>
      <c r="D299" s="22"/>
      <c r="E299" s="22"/>
      <c r="F299" s="25"/>
      <c r="G299" s="25"/>
      <c r="H299" s="22"/>
      <c r="I299" s="22"/>
      <c r="J299" s="27"/>
    </row>
    <row r="300" spans="1:10">
      <c r="A300" s="5"/>
      <c r="B300" s="21"/>
      <c r="C300" s="22"/>
      <c r="D300" s="22"/>
      <c r="E300" s="22"/>
      <c r="F300" s="25"/>
      <c r="G300" s="25"/>
      <c r="H300" s="22"/>
      <c r="I300" s="22"/>
      <c r="J300" s="27"/>
    </row>
    <row r="301" spans="1:10">
      <c r="A301" s="5"/>
      <c r="B301" s="21"/>
      <c r="C301" s="22"/>
      <c r="D301" s="22"/>
      <c r="E301" s="22"/>
      <c r="F301" s="25"/>
      <c r="G301" s="25"/>
      <c r="H301" s="22"/>
      <c r="I301" s="22"/>
      <c r="J301" s="27"/>
    </row>
    <row r="302" spans="1:10">
      <c r="A302" s="5"/>
      <c r="B302" s="21"/>
      <c r="C302" s="22"/>
      <c r="D302" s="22"/>
      <c r="E302" s="22"/>
      <c r="F302" s="25"/>
      <c r="G302" s="25"/>
      <c r="H302" s="22"/>
      <c r="I302" s="22"/>
      <c r="J302" s="27"/>
    </row>
    <row r="303" spans="1:10">
      <c r="A303" s="5"/>
      <c r="B303" s="21"/>
      <c r="C303" s="22"/>
      <c r="D303" s="22"/>
      <c r="E303" s="22"/>
      <c r="F303" s="25"/>
      <c r="G303" s="25"/>
      <c r="H303" s="22"/>
      <c r="I303" s="22"/>
      <c r="J303" s="27"/>
    </row>
    <row r="304" spans="1:10">
      <c r="A304" s="5"/>
      <c r="B304" s="21"/>
      <c r="C304" s="22"/>
      <c r="D304" s="22"/>
      <c r="E304" s="22"/>
      <c r="F304" s="25"/>
      <c r="G304" s="25"/>
      <c r="H304" s="22"/>
      <c r="I304" s="22"/>
      <c r="J304" s="27"/>
    </row>
    <row r="305" spans="1:10">
      <c r="A305" s="5"/>
      <c r="B305" s="21"/>
      <c r="C305" s="22"/>
      <c r="D305" s="22"/>
      <c r="E305" s="22"/>
      <c r="F305" s="25"/>
      <c r="G305" s="25"/>
      <c r="H305" s="22"/>
      <c r="I305" s="22"/>
      <c r="J305" s="27"/>
    </row>
    <row r="306" spans="1:10">
      <c r="A306" s="5"/>
      <c r="B306" s="21"/>
      <c r="C306" s="22"/>
      <c r="D306" s="22"/>
      <c r="E306" s="22"/>
      <c r="F306" s="25"/>
      <c r="G306" s="25"/>
      <c r="H306" s="22"/>
      <c r="I306" s="22"/>
      <c r="J306" s="27"/>
    </row>
    <row r="307" spans="1:10">
      <c r="A307" s="5"/>
      <c r="B307" s="21"/>
      <c r="C307" s="22"/>
      <c r="D307" s="22"/>
      <c r="E307" s="22"/>
      <c r="F307" s="25"/>
      <c r="G307" s="25"/>
      <c r="H307" s="22"/>
      <c r="I307" s="22"/>
      <c r="J307" s="27"/>
    </row>
    <row r="308" spans="1:10">
      <c r="A308" s="5"/>
      <c r="B308" s="21"/>
      <c r="C308" s="22"/>
      <c r="D308" s="22"/>
      <c r="E308" s="22"/>
      <c r="F308" s="25"/>
      <c r="G308" s="25"/>
      <c r="H308" s="22"/>
      <c r="I308" s="22"/>
      <c r="J308" s="27"/>
    </row>
    <row r="309" spans="1:10">
      <c r="A309" s="5"/>
      <c r="B309" s="21"/>
      <c r="C309" s="22"/>
      <c r="D309" s="22"/>
      <c r="E309" s="22"/>
      <c r="F309" s="25"/>
      <c r="G309" s="25"/>
      <c r="H309" s="22"/>
      <c r="I309" s="22"/>
      <c r="J309" s="27"/>
    </row>
    <row r="310" spans="1:10">
      <c r="A310" s="5"/>
      <c r="B310" s="21"/>
      <c r="C310" s="22"/>
      <c r="D310" s="22"/>
      <c r="E310" s="22"/>
      <c r="F310" s="25"/>
      <c r="G310" s="25"/>
      <c r="H310" s="22"/>
      <c r="I310" s="22"/>
      <c r="J310" s="27"/>
    </row>
    <row r="311" spans="1:10">
      <c r="A311" s="5"/>
      <c r="B311" s="21"/>
      <c r="C311" s="22"/>
      <c r="D311" s="22"/>
      <c r="E311" s="22"/>
      <c r="F311" s="25"/>
      <c r="G311" s="25"/>
      <c r="H311" s="22"/>
      <c r="I311" s="22"/>
      <c r="J311" s="27"/>
    </row>
    <row r="312" spans="1:10">
      <c r="A312" s="5"/>
      <c r="B312" s="21"/>
      <c r="C312" s="22"/>
      <c r="D312" s="22"/>
      <c r="E312" s="22"/>
      <c r="F312" s="25"/>
      <c r="G312" s="25"/>
      <c r="H312" s="22"/>
      <c r="I312" s="22"/>
      <c r="J312" s="27"/>
    </row>
    <row r="313" spans="1:10">
      <c r="A313" s="5"/>
      <c r="B313" s="21"/>
      <c r="C313" s="22"/>
      <c r="D313" s="22"/>
      <c r="E313" s="22"/>
      <c r="F313" s="25"/>
      <c r="G313" s="25"/>
      <c r="H313" s="22"/>
      <c r="I313" s="22"/>
      <c r="J313" s="27"/>
    </row>
    <row r="314" spans="1:10">
      <c r="A314" s="5"/>
      <c r="B314" s="21"/>
      <c r="C314" s="22"/>
      <c r="D314" s="22"/>
      <c r="E314" s="22"/>
      <c r="F314" s="25"/>
      <c r="G314" s="25"/>
      <c r="H314" s="22"/>
      <c r="I314" s="22"/>
      <c r="J314" s="27"/>
    </row>
    <row r="315" spans="1:10">
      <c r="A315" s="5"/>
      <c r="B315" s="21"/>
      <c r="C315" s="22"/>
      <c r="D315" s="22"/>
      <c r="E315" s="22"/>
      <c r="F315" s="25"/>
      <c r="G315" s="25"/>
      <c r="H315" s="22"/>
      <c r="I315" s="22"/>
      <c r="J315" s="27"/>
    </row>
    <row r="316" spans="1:10">
      <c r="A316" s="5"/>
      <c r="B316" s="21"/>
      <c r="C316" s="22"/>
      <c r="D316" s="22"/>
      <c r="E316" s="22"/>
      <c r="F316" s="25"/>
      <c r="G316" s="25"/>
      <c r="H316" s="22"/>
      <c r="I316" s="22"/>
      <c r="J316" s="27"/>
    </row>
    <row r="317" spans="1:10">
      <c r="A317" s="5"/>
      <c r="B317" s="21"/>
      <c r="C317" s="22"/>
      <c r="D317" s="22"/>
      <c r="E317" s="22"/>
      <c r="F317" s="25"/>
      <c r="G317" s="25"/>
      <c r="H317" s="22"/>
      <c r="I317" s="22"/>
      <c r="J317" s="27"/>
    </row>
    <row r="318" spans="1:10">
      <c r="A318" s="5"/>
      <c r="B318" s="21"/>
      <c r="C318" s="22"/>
      <c r="D318" s="22"/>
      <c r="E318" s="22"/>
      <c r="F318" s="25"/>
      <c r="G318" s="25"/>
      <c r="H318" s="22"/>
      <c r="I318" s="22"/>
      <c r="J318" s="27"/>
    </row>
    <row r="319" spans="1:10">
      <c r="A319" s="5"/>
      <c r="B319" s="21"/>
      <c r="C319" s="22"/>
      <c r="D319" s="22"/>
      <c r="E319" s="22"/>
      <c r="F319" s="25"/>
      <c r="G319" s="25"/>
      <c r="H319" s="22"/>
      <c r="I319" s="22"/>
      <c r="J319" s="27"/>
    </row>
    <row r="320" spans="1:10">
      <c r="A320" s="5"/>
      <c r="B320" s="21"/>
      <c r="C320" s="22"/>
      <c r="D320" s="22"/>
      <c r="E320" s="22"/>
      <c r="F320" s="25"/>
      <c r="G320" s="25"/>
      <c r="H320" s="22"/>
      <c r="I320" s="22"/>
      <c r="J320" s="27"/>
    </row>
    <row r="321" spans="1:10">
      <c r="A321" s="5"/>
      <c r="B321" s="21"/>
      <c r="C321" s="22"/>
      <c r="D321" s="22"/>
      <c r="E321" s="22"/>
      <c r="F321" s="25"/>
      <c r="G321" s="25"/>
      <c r="H321" s="22"/>
      <c r="I321" s="22"/>
      <c r="J321" s="27"/>
    </row>
    <row r="322" spans="1:10">
      <c r="A322" s="5"/>
      <c r="B322" s="21"/>
      <c r="C322" s="22"/>
      <c r="D322" s="22"/>
      <c r="E322" s="22"/>
      <c r="F322" s="25"/>
      <c r="G322" s="25"/>
      <c r="H322" s="22"/>
      <c r="I322" s="22"/>
      <c r="J322" s="27"/>
    </row>
    <row r="323" spans="1:10">
      <c r="A323" s="5"/>
      <c r="B323" s="21"/>
      <c r="C323" s="22"/>
      <c r="D323" s="22"/>
      <c r="E323" s="22"/>
      <c r="F323" s="25"/>
      <c r="G323" s="25"/>
      <c r="H323" s="22"/>
      <c r="I323" s="22"/>
      <c r="J323" s="27"/>
    </row>
    <row r="324" spans="1:10">
      <c r="A324" s="5"/>
      <c r="B324" s="21"/>
      <c r="C324" s="22"/>
      <c r="D324" s="22"/>
      <c r="E324" s="22"/>
      <c r="F324" s="25"/>
      <c r="G324" s="25"/>
      <c r="H324" s="22"/>
      <c r="I324" s="22"/>
      <c r="J324" s="27"/>
    </row>
    <row r="325" spans="1:10">
      <c r="A325" s="5"/>
      <c r="B325" s="21"/>
      <c r="C325" s="22"/>
      <c r="D325" s="22"/>
      <c r="E325" s="22"/>
      <c r="F325" s="25"/>
      <c r="G325" s="25"/>
      <c r="H325" s="22"/>
      <c r="I325" s="22"/>
      <c r="J325" s="27"/>
    </row>
    <row r="326" spans="1:10">
      <c r="A326" s="5"/>
      <c r="B326" s="21"/>
      <c r="C326" s="22"/>
      <c r="D326" s="22"/>
      <c r="E326" s="22"/>
      <c r="F326" s="25"/>
      <c r="G326" s="25"/>
      <c r="H326" s="22"/>
      <c r="I326" s="22"/>
      <c r="J326" s="27"/>
    </row>
    <row r="327" spans="1:10">
      <c r="A327" s="5"/>
      <c r="B327" s="21"/>
      <c r="C327" s="22"/>
      <c r="D327" s="22"/>
      <c r="E327" s="22"/>
      <c r="F327" s="25"/>
      <c r="G327" s="25"/>
      <c r="H327" s="22"/>
      <c r="I327" s="22"/>
      <c r="J327" s="27"/>
    </row>
    <row r="328" spans="1:10">
      <c r="A328" s="5"/>
      <c r="B328" s="21"/>
      <c r="C328" s="22"/>
      <c r="D328" s="22"/>
      <c r="E328" s="22"/>
      <c r="F328" s="25"/>
      <c r="G328" s="25"/>
      <c r="H328" s="22"/>
      <c r="I328" s="22"/>
      <c r="J328" s="27"/>
    </row>
    <row r="329" spans="1:10">
      <c r="A329" s="5"/>
      <c r="B329" s="21"/>
      <c r="C329" s="22"/>
      <c r="D329" s="22"/>
      <c r="E329" s="22"/>
      <c r="F329" s="25"/>
      <c r="G329" s="25"/>
      <c r="H329" s="22"/>
      <c r="I329" s="22"/>
      <c r="J329" s="27"/>
    </row>
    <row r="330" spans="1:10">
      <c r="A330" s="5"/>
      <c r="B330" s="21"/>
      <c r="C330" s="22"/>
      <c r="D330" s="22"/>
      <c r="E330" s="22"/>
      <c r="F330" s="25"/>
      <c r="G330" s="25"/>
      <c r="H330" s="22"/>
      <c r="I330" s="22"/>
      <c r="J330" s="27"/>
    </row>
    <row r="331" spans="1:10">
      <c r="A331" s="5"/>
      <c r="B331" s="21"/>
      <c r="C331" s="22"/>
      <c r="D331" s="22"/>
      <c r="E331" s="22"/>
      <c r="F331" s="25"/>
      <c r="G331" s="25"/>
      <c r="H331" s="22"/>
      <c r="I331" s="22"/>
      <c r="J331" s="27"/>
    </row>
    <row r="332" spans="1:10">
      <c r="A332" s="5"/>
      <c r="B332" s="21"/>
      <c r="C332" s="22"/>
      <c r="D332" s="22"/>
      <c r="E332" s="22"/>
      <c r="F332" s="25"/>
      <c r="G332" s="25"/>
      <c r="H332" s="22"/>
      <c r="I332" s="22"/>
      <c r="J332" s="27"/>
    </row>
    <row r="333" spans="1:10">
      <c r="A333" s="5"/>
      <c r="B333" s="21"/>
      <c r="C333" s="22"/>
      <c r="D333" s="22"/>
      <c r="E333" s="22"/>
      <c r="F333" s="25"/>
      <c r="G333" s="25"/>
      <c r="H333" s="22"/>
      <c r="I333" s="22"/>
      <c r="J333" s="27"/>
    </row>
    <row r="334" spans="1:10">
      <c r="A334" s="5"/>
      <c r="B334" s="21"/>
      <c r="C334" s="22"/>
      <c r="D334" s="22"/>
      <c r="E334" s="22"/>
      <c r="F334" s="25"/>
      <c r="G334" s="25"/>
      <c r="H334" s="22"/>
      <c r="I334" s="22"/>
      <c r="J334" s="27"/>
    </row>
    <row r="335" spans="1:10">
      <c r="A335" s="5"/>
      <c r="B335" s="21"/>
      <c r="C335" s="22"/>
      <c r="D335" s="22"/>
      <c r="E335" s="22"/>
      <c r="F335" s="25"/>
      <c r="G335" s="25"/>
      <c r="H335" s="22"/>
      <c r="I335" s="22"/>
      <c r="J335" s="27"/>
    </row>
    <row r="336" spans="1:10">
      <c r="A336" s="5"/>
      <c r="B336" s="21"/>
      <c r="C336" s="22"/>
      <c r="D336" s="22"/>
      <c r="E336" s="22"/>
      <c r="F336" s="25"/>
      <c r="G336" s="25"/>
      <c r="H336" s="22"/>
      <c r="I336" s="22"/>
      <c r="J336" s="27"/>
    </row>
    <row r="337" spans="1:10">
      <c r="A337" s="5"/>
      <c r="B337" s="21"/>
      <c r="C337" s="22"/>
      <c r="D337" s="22"/>
      <c r="E337" s="22"/>
      <c r="F337" s="25"/>
      <c r="G337" s="25"/>
      <c r="H337" s="22"/>
      <c r="I337" s="22"/>
      <c r="J337" s="27"/>
    </row>
    <row r="338" spans="1:10">
      <c r="A338" s="5"/>
      <c r="B338" s="21"/>
      <c r="C338" s="22"/>
      <c r="D338" s="22"/>
      <c r="E338" s="22"/>
      <c r="F338" s="25"/>
      <c r="G338" s="25"/>
      <c r="H338" s="22"/>
      <c r="I338" s="22"/>
      <c r="J338" s="27"/>
    </row>
    <row r="339" spans="1:10">
      <c r="A339" s="5"/>
      <c r="B339" s="21"/>
      <c r="C339" s="22"/>
      <c r="D339" s="22"/>
      <c r="E339" s="22"/>
      <c r="F339" s="25"/>
      <c r="G339" s="25"/>
      <c r="H339" s="22"/>
      <c r="I339" s="22"/>
      <c r="J339" s="27"/>
    </row>
    <row r="340" spans="1:10">
      <c r="A340" s="5"/>
      <c r="B340" s="21"/>
      <c r="C340" s="22"/>
      <c r="D340" s="22"/>
      <c r="E340" s="22"/>
      <c r="F340" s="25"/>
      <c r="G340" s="25"/>
      <c r="H340" s="22"/>
      <c r="I340" s="22"/>
      <c r="J340" s="27"/>
    </row>
    <row r="341" spans="1:10">
      <c r="A341" s="5"/>
      <c r="B341" s="21"/>
      <c r="C341" s="22"/>
      <c r="D341" s="22"/>
      <c r="E341" s="22"/>
      <c r="F341" s="25"/>
      <c r="G341" s="25"/>
      <c r="H341" s="22"/>
      <c r="I341" s="22"/>
      <c r="J341" s="27"/>
    </row>
    <row r="342" spans="1:10">
      <c r="A342" s="5"/>
      <c r="B342" s="21"/>
      <c r="C342" s="22"/>
      <c r="D342" s="22"/>
      <c r="E342" s="22"/>
      <c r="F342" s="25"/>
      <c r="G342" s="25"/>
      <c r="H342" s="22"/>
      <c r="I342" s="22"/>
      <c r="J342" s="27"/>
    </row>
    <row r="343" spans="1:10">
      <c r="A343" s="5"/>
      <c r="B343" s="21"/>
      <c r="C343" s="22"/>
      <c r="D343" s="22"/>
      <c r="E343" s="22"/>
      <c r="F343" s="25"/>
      <c r="G343" s="25"/>
      <c r="H343" s="22"/>
      <c r="I343" s="22"/>
      <c r="J343" s="27"/>
    </row>
    <row r="344" spans="1:10">
      <c r="A344" s="5"/>
      <c r="B344" s="21"/>
      <c r="C344" s="22"/>
      <c r="D344" s="22"/>
      <c r="E344" s="22"/>
      <c r="F344" s="25"/>
      <c r="G344" s="25"/>
      <c r="H344" s="22"/>
      <c r="I344" s="22"/>
      <c r="J344" s="27"/>
    </row>
    <row r="345" spans="1:10">
      <c r="A345" s="5"/>
      <c r="B345" s="21"/>
      <c r="C345" s="22"/>
      <c r="D345" s="22"/>
      <c r="E345" s="22"/>
      <c r="F345" s="25"/>
      <c r="G345" s="25"/>
      <c r="H345" s="22"/>
      <c r="I345" s="22"/>
      <c r="J345" s="27"/>
    </row>
    <row r="346" spans="1:10">
      <c r="A346" s="5"/>
      <c r="B346" s="21"/>
      <c r="C346" s="22"/>
      <c r="D346" s="22"/>
      <c r="E346" s="22"/>
      <c r="F346" s="25"/>
      <c r="G346" s="25"/>
      <c r="H346" s="22"/>
      <c r="I346" s="22"/>
      <c r="J346" s="27"/>
    </row>
    <row r="347" spans="1:10">
      <c r="A347" s="5"/>
      <c r="B347" s="21"/>
      <c r="C347" s="22"/>
      <c r="D347" s="22"/>
      <c r="E347" s="22"/>
      <c r="F347" s="25"/>
      <c r="G347" s="25"/>
      <c r="H347" s="22"/>
      <c r="I347" s="22"/>
      <c r="J347" s="27"/>
    </row>
    <row r="348" spans="1:10">
      <c r="A348" s="5"/>
      <c r="B348" s="21"/>
      <c r="C348" s="22"/>
      <c r="D348" s="22"/>
      <c r="E348" s="22"/>
      <c r="F348" s="25"/>
      <c r="G348" s="25"/>
      <c r="H348" s="22"/>
      <c r="I348" s="22"/>
      <c r="J348" s="27"/>
    </row>
    <row r="349" spans="1:10">
      <c r="A349" s="5"/>
      <c r="B349" s="21"/>
      <c r="C349" s="22"/>
      <c r="D349" s="22"/>
      <c r="E349" s="22"/>
      <c r="F349" s="25"/>
      <c r="G349" s="25"/>
      <c r="H349" s="22"/>
      <c r="I349" s="22"/>
      <c r="J349" s="27"/>
    </row>
    <row r="350" spans="1:10">
      <c r="A350" s="5"/>
      <c r="B350" s="21"/>
      <c r="C350" s="22"/>
      <c r="D350" s="22"/>
      <c r="E350" s="22"/>
      <c r="F350" s="25"/>
      <c r="G350" s="25"/>
      <c r="H350" s="22"/>
      <c r="I350" s="22"/>
      <c r="J350" s="27"/>
    </row>
    <row r="351" spans="1:10">
      <c r="A351" s="5"/>
      <c r="B351" s="21"/>
      <c r="C351" s="22"/>
      <c r="D351" s="22"/>
      <c r="E351" s="22"/>
      <c r="F351" s="25"/>
      <c r="G351" s="25"/>
      <c r="H351" s="22"/>
      <c r="I351" s="22"/>
      <c r="J351" s="27"/>
    </row>
    <row r="352" spans="1:10">
      <c r="A352" s="5"/>
      <c r="B352" s="21"/>
      <c r="C352" s="22"/>
      <c r="D352" s="22"/>
      <c r="E352" s="22"/>
      <c r="F352" s="25"/>
      <c r="G352" s="25"/>
      <c r="H352" s="22"/>
      <c r="I352" s="22"/>
      <c r="J352" s="27"/>
    </row>
    <row r="353" spans="1:10">
      <c r="A353" s="5"/>
      <c r="B353" s="21"/>
      <c r="C353" s="22"/>
      <c r="D353" s="22"/>
      <c r="E353" s="22"/>
      <c r="F353" s="25"/>
      <c r="G353" s="25"/>
      <c r="H353" s="22"/>
      <c r="I353" s="22"/>
      <c r="J353" s="27"/>
    </row>
    <row r="354" spans="1:10">
      <c r="A354" s="5"/>
      <c r="B354" s="21"/>
      <c r="C354" s="22"/>
      <c r="D354" s="22"/>
      <c r="E354" s="22"/>
      <c r="F354" s="25"/>
      <c r="G354" s="25"/>
      <c r="H354" s="22"/>
      <c r="I354" s="22"/>
      <c r="J354" s="27"/>
    </row>
    <row r="355" spans="1:10">
      <c r="A355" s="5"/>
      <c r="B355" s="21"/>
      <c r="C355" s="22"/>
      <c r="D355" s="22"/>
      <c r="E355" s="22"/>
      <c r="F355" s="25"/>
      <c r="G355" s="25"/>
      <c r="H355" s="22"/>
      <c r="I355" s="22"/>
      <c r="J355" s="27"/>
    </row>
    <row r="356" spans="1:10">
      <c r="A356" s="5"/>
      <c r="B356" s="21"/>
      <c r="C356" s="22"/>
      <c r="D356" s="22"/>
      <c r="E356" s="22"/>
      <c r="F356" s="25"/>
      <c r="G356" s="25"/>
      <c r="H356" s="22"/>
      <c r="I356" s="22"/>
      <c r="J356" s="27"/>
    </row>
    <row r="357" spans="1:10">
      <c r="A357" s="5"/>
      <c r="B357" s="21"/>
      <c r="C357" s="22"/>
      <c r="D357" s="22"/>
      <c r="E357" s="22"/>
      <c r="F357" s="25"/>
      <c r="G357" s="25"/>
      <c r="H357" s="22"/>
      <c r="I357" s="22"/>
      <c r="J357" s="27"/>
    </row>
    <row r="358" spans="1:10">
      <c r="A358" s="5"/>
      <c r="B358" s="21"/>
      <c r="C358" s="22"/>
      <c r="D358" s="22"/>
      <c r="E358" s="22"/>
      <c r="F358" s="25"/>
      <c r="G358" s="25"/>
      <c r="H358" s="22"/>
      <c r="I358" s="22"/>
      <c r="J358" s="27"/>
    </row>
    <row r="359" spans="1:10">
      <c r="A359" s="5"/>
      <c r="B359" s="21"/>
      <c r="C359" s="22"/>
      <c r="D359" s="22"/>
      <c r="E359" s="22"/>
      <c r="F359" s="25"/>
      <c r="G359" s="25"/>
      <c r="H359" s="22"/>
      <c r="I359" s="22"/>
      <c r="J359" s="27"/>
    </row>
    <row r="360" spans="1:10">
      <c r="A360" s="5"/>
      <c r="B360" s="21"/>
      <c r="C360" s="22"/>
      <c r="D360" s="22"/>
      <c r="E360" s="22"/>
      <c r="F360" s="25"/>
      <c r="G360" s="25"/>
      <c r="H360" s="22"/>
      <c r="I360" s="22"/>
      <c r="J360" s="27"/>
    </row>
    <row r="361" spans="1:10">
      <c r="A361" s="5"/>
      <c r="B361" s="21"/>
      <c r="C361" s="22"/>
      <c r="D361" s="22"/>
      <c r="E361" s="22"/>
      <c r="F361" s="25"/>
      <c r="G361" s="25"/>
      <c r="H361" s="22"/>
      <c r="I361" s="22"/>
      <c r="J361" s="27"/>
    </row>
    <row r="362" spans="1:10">
      <c r="A362" s="5"/>
      <c r="B362" s="21"/>
      <c r="C362" s="22"/>
      <c r="D362" s="22"/>
      <c r="E362" s="22"/>
      <c r="F362" s="25"/>
      <c r="G362" s="25"/>
      <c r="H362" s="22"/>
      <c r="I362" s="22"/>
      <c r="J362" s="27"/>
    </row>
    <row r="363" spans="1:10">
      <c r="A363" s="5"/>
      <c r="B363" s="21"/>
      <c r="C363" s="22"/>
      <c r="D363" s="22"/>
      <c r="E363" s="22"/>
      <c r="F363" s="25"/>
      <c r="G363" s="25"/>
      <c r="H363" s="22"/>
      <c r="I363" s="22"/>
      <c r="J363" s="27"/>
    </row>
    <row r="364" spans="1:10">
      <c r="A364" s="5"/>
      <c r="B364" s="21"/>
      <c r="C364" s="22"/>
      <c r="D364" s="22"/>
      <c r="E364" s="22"/>
      <c r="F364" s="25"/>
      <c r="G364" s="25"/>
      <c r="H364" s="22"/>
      <c r="I364" s="22"/>
      <c r="J364" s="27"/>
    </row>
    <row r="365" spans="1:10">
      <c r="A365" s="5"/>
      <c r="B365" s="21"/>
      <c r="C365" s="22"/>
      <c r="D365" s="22"/>
      <c r="E365" s="22"/>
      <c r="F365" s="25"/>
      <c r="G365" s="25"/>
      <c r="H365" s="22"/>
      <c r="I365" s="22"/>
      <c r="J365" s="27"/>
    </row>
    <row r="366" spans="1:10">
      <c r="A366" s="5"/>
      <c r="B366" s="21"/>
      <c r="C366" s="22"/>
      <c r="D366" s="22"/>
      <c r="E366" s="22"/>
      <c r="F366" s="25"/>
      <c r="G366" s="25"/>
      <c r="H366" s="22"/>
      <c r="I366" s="22"/>
      <c r="J366" s="27"/>
    </row>
    <row r="367" spans="1:10">
      <c r="A367" s="5"/>
      <c r="B367" s="21"/>
      <c r="C367" s="22"/>
      <c r="D367" s="22"/>
      <c r="E367" s="22"/>
      <c r="F367" s="25"/>
      <c r="G367" s="25"/>
      <c r="H367" s="22"/>
      <c r="I367" s="22"/>
      <c r="J367" s="27"/>
    </row>
    <row r="368" spans="1:10">
      <c r="A368" s="5"/>
      <c r="B368" s="21"/>
      <c r="C368" s="22"/>
      <c r="D368" s="22"/>
      <c r="E368" s="22"/>
      <c r="F368" s="25"/>
      <c r="G368" s="25"/>
      <c r="H368" s="22"/>
      <c r="I368" s="22"/>
      <c r="J368" s="27"/>
    </row>
    <row r="369" spans="1:10">
      <c r="A369" s="5"/>
      <c r="B369" s="21"/>
      <c r="C369" s="22"/>
      <c r="D369" s="22"/>
      <c r="E369" s="22"/>
      <c r="F369" s="25"/>
      <c r="G369" s="25"/>
      <c r="H369" s="22"/>
      <c r="I369" s="22"/>
      <c r="J369" s="27"/>
    </row>
    <row r="370" spans="1:10">
      <c r="A370" s="5"/>
      <c r="B370" s="21"/>
      <c r="C370" s="22"/>
      <c r="D370" s="22"/>
      <c r="E370" s="22"/>
      <c r="F370" s="25"/>
      <c r="G370" s="25"/>
      <c r="H370" s="22"/>
      <c r="I370" s="22"/>
      <c r="J370" s="27"/>
    </row>
    <row r="371" spans="1:10">
      <c r="A371" s="5"/>
      <c r="B371" s="21"/>
      <c r="C371" s="22"/>
      <c r="D371" s="22"/>
      <c r="E371" s="22"/>
      <c r="F371" s="25"/>
      <c r="G371" s="25"/>
      <c r="H371" s="22"/>
      <c r="I371" s="22"/>
      <c r="J371" s="27"/>
    </row>
    <row r="372" spans="1:10">
      <c r="A372" s="5"/>
      <c r="B372" s="21"/>
      <c r="C372" s="22"/>
      <c r="D372" s="22"/>
      <c r="E372" s="22"/>
      <c r="F372" s="25"/>
      <c r="G372" s="25"/>
      <c r="H372" s="22"/>
      <c r="I372" s="22"/>
      <c r="J372" s="27"/>
    </row>
    <row r="373" spans="1:10">
      <c r="A373" s="5"/>
      <c r="B373" s="21"/>
      <c r="C373" s="22"/>
      <c r="D373" s="22"/>
      <c r="E373" s="22"/>
      <c r="F373" s="25"/>
      <c r="G373" s="25"/>
      <c r="H373" s="22"/>
      <c r="I373" s="22"/>
      <c r="J373" s="27"/>
    </row>
    <row r="374" spans="1:10">
      <c r="A374" s="5"/>
      <c r="B374" s="21"/>
      <c r="C374" s="22"/>
      <c r="D374" s="22"/>
      <c r="E374" s="22"/>
      <c r="F374" s="25"/>
      <c r="G374" s="25"/>
      <c r="H374" s="22"/>
      <c r="I374" s="22"/>
      <c r="J374" s="27"/>
    </row>
    <row r="375" spans="1:10">
      <c r="A375" s="5"/>
      <c r="B375" s="21"/>
      <c r="C375" s="22"/>
      <c r="D375" s="22"/>
      <c r="E375" s="22"/>
      <c r="F375" s="25"/>
      <c r="G375" s="25"/>
      <c r="H375" s="22"/>
      <c r="I375" s="22"/>
      <c r="J375" s="27"/>
    </row>
    <row r="376" spans="1:10">
      <c r="A376" s="5"/>
      <c r="B376" s="21"/>
      <c r="C376" s="22"/>
      <c r="D376" s="22"/>
      <c r="E376" s="22"/>
      <c r="F376" s="25"/>
      <c r="G376" s="25"/>
      <c r="H376" s="22"/>
      <c r="I376" s="22"/>
      <c r="J376" s="27"/>
    </row>
    <row r="377" spans="1:10">
      <c r="A377" s="5"/>
      <c r="B377" s="21"/>
      <c r="C377" s="22"/>
      <c r="D377" s="22"/>
      <c r="E377" s="22"/>
      <c r="F377" s="25"/>
      <c r="G377" s="25"/>
      <c r="H377" s="22"/>
      <c r="I377" s="22"/>
      <c r="J377" s="27"/>
    </row>
    <row r="378" spans="1:10">
      <c r="A378" s="5"/>
      <c r="B378" s="21"/>
      <c r="C378" s="22"/>
      <c r="D378" s="22"/>
      <c r="E378" s="22"/>
      <c r="F378" s="25"/>
      <c r="G378" s="25"/>
      <c r="H378" s="22"/>
      <c r="I378" s="22"/>
      <c r="J378" s="27"/>
    </row>
    <row r="379" spans="1:10">
      <c r="A379" s="5"/>
      <c r="B379" s="21"/>
      <c r="C379" s="22"/>
      <c r="D379" s="22"/>
      <c r="E379" s="22"/>
      <c r="F379" s="25"/>
      <c r="G379" s="25"/>
      <c r="H379" s="22"/>
      <c r="I379" s="22"/>
      <c r="J379" s="27"/>
    </row>
    <row r="380" spans="1:10">
      <c r="A380" s="5"/>
      <c r="B380" s="21"/>
      <c r="C380" s="22"/>
      <c r="D380" s="22"/>
      <c r="E380" s="22"/>
      <c r="F380" s="25"/>
      <c r="G380" s="25"/>
      <c r="H380" s="22"/>
      <c r="I380" s="22"/>
      <c r="J380" s="27"/>
    </row>
    <row r="381" spans="1:10">
      <c r="A381" s="5"/>
      <c r="B381" s="21"/>
      <c r="C381" s="22"/>
      <c r="D381" s="22"/>
      <c r="E381" s="22"/>
      <c r="F381" s="25"/>
      <c r="G381" s="25"/>
      <c r="H381" s="22"/>
      <c r="I381" s="22"/>
      <c r="J381" s="27"/>
    </row>
    <row r="382" spans="1:10">
      <c r="A382" s="5"/>
      <c r="B382" s="21"/>
      <c r="C382" s="22"/>
      <c r="D382" s="22"/>
      <c r="E382" s="22"/>
      <c r="F382" s="25"/>
      <c r="G382" s="25"/>
      <c r="H382" s="22"/>
      <c r="I382" s="22"/>
      <c r="J382" s="27"/>
    </row>
    <row r="383" spans="1:10">
      <c r="A383" s="5"/>
      <c r="B383" s="21"/>
      <c r="C383" s="22"/>
      <c r="D383" s="22"/>
      <c r="E383" s="22"/>
      <c r="F383" s="25"/>
      <c r="G383" s="25"/>
      <c r="H383" s="22"/>
      <c r="I383" s="22"/>
      <c r="J383" s="27"/>
    </row>
    <row r="384" spans="1:10">
      <c r="A384" s="5"/>
      <c r="B384" s="21"/>
      <c r="C384" s="22"/>
      <c r="D384" s="22"/>
      <c r="E384" s="22"/>
      <c r="F384" s="25"/>
      <c r="G384" s="25"/>
      <c r="H384" s="22"/>
      <c r="I384" s="22"/>
      <c r="J384" s="27"/>
    </row>
    <row r="385" spans="1:10">
      <c r="A385" s="5"/>
      <c r="B385" s="21"/>
      <c r="C385" s="22"/>
      <c r="D385" s="22"/>
      <c r="E385" s="22"/>
      <c r="F385" s="25"/>
      <c r="G385" s="25"/>
      <c r="H385" s="22"/>
      <c r="I385" s="22"/>
      <c r="J385" s="27"/>
    </row>
    <row r="386" spans="1:10">
      <c r="A386" s="5"/>
      <c r="B386" s="21"/>
      <c r="C386" s="22"/>
      <c r="D386" s="22"/>
      <c r="E386" s="22"/>
      <c r="F386" s="25"/>
      <c r="G386" s="25"/>
      <c r="H386" s="22"/>
      <c r="I386" s="22"/>
      <c r="J386" s="27"/>
    </row>
    <row r="387" spans="1:10">
      <c r="A387" s="5"/>
      <c r="B387" s="21"/>
      <c r="C387" s="22"/>
      <c r="D387" s="22"/>
      <c r="E387" s="22"/>
      <c r="F387" s="25"/>
      <c r="G387" s="25"/>
      <c r="H387" s="22"/>
      <c r="I387" s="22"/>
      <c r="J387" s="27"/>
    </row>
    <row r="388" spans="1:10">
      <c r="A388" s="5"/>
      <c r="B388" s="21"/>
      <c r="C388" s="22"/>
      <c r="D388" s="22"/>
      <c r="E388" s="22"/>
      <c r="F388" s="25"/>
      <c r="G388" s="25"/>
      <c r="H388" s="22"/>
      <c r="I388" s="22"/>
      <c r="J388" s="27"/>
    </row>
    <row r="389" spans="1:10">
      <c r="A389" s="5"/>
      <c r="B389" s="21"/>
      <c r="C389" s="22"/>
      <c r="D389" s="22"/>
      <c r="E389" s="22"/>
      <c r="F389" s="25"/>
      <c r="G389" s="25"/>
      <c r="H389" s="22"/>
      <c r="I389" s="22"/>
      <c r="J389" s="27"/>
    </row>
    <row r="390" spans="1:10">
      <c r="A390" s="5"/>
      <c r="B390" s="21"/>
      <c r="C390" s="22"/>
      <c r="D390" s="22"/>
      <c r="E390" s="22"/>
      <c r="F390" s="25"/>
      <c r="G390" s="25"/>
      <c r="H390" s="22"/>
      <c r="I390" s="22"/>
      <c r="J390" s="27"/>
    </row>
    <row r="391" spans="1:10">
      <c r="A391" s="5"/>
      <c r="B391" s="21"/>
      <c r="C391" s="22"/>
      <c r="D391" s="22"/>
      <c r="E391" s="22"/>
      <c r="F391" s="25"/>
      <c r="G391" s="25"/>
      <c r="H391" s="22"/>
      <c r="I391" s="22"/>
      <c r="J391" s="27"/>
    </row>
    <row r="392" spans="1:10">
      <c r="A392" s="5"/>
      <c r="B392" s="21"/>
      <c r="C392" s="22"/>
      <c r="D392" s="22"/>
      <c r="E392" s="22"/>
      <c r="F392" s="25"/>
      <c r="G392" s="25"/>
      <c r="H392" s="22"/>
      <c r="I392" s="22"/>
      <c r="J392" s="27"/>
    </row>
    <row r="393" spans="1:10">
      <c r="A393" s="5"/>
      <c r="B393" s="21"/>
      <c r="C393" s="22"/>
      <c r="D393" s="22"/>
      <c r="E393" s="22"/>
      <c r="F393" s="25"/>
      <c r="G393" s="25"/>
      <c r="H393" s="22"/>
      <c r="I393" s="22"/>
      <c r="J393" s="27"/>
    </row>
    <row r="394" spans="1:10">
      <c r="A394" s="5"/>
      <c r="B394" s="21"/>
      <c r="C394" s="22"/>
      <c r="D394" s="22"/>
      <c r="E394" s="22"/>
      <c r="F394" s="25"/>
      <c r="G394" s="25"/>
      <c r="H394" s="22"/>
      <c r="I394" s="22"/>
      <c r="J394" s="27"/>
    </row>
    <row r="395" spans="1:10">
      <c r="A395" s="5"/>
      <c r="B395" s="21"/>
      <c r="C395" s="22"/>
      <c r="D395" s="22"/>
      <c r="E395" s="22"/>
      <c r="F395" s="25"/>
      <c r="G395" s="25"/>
      <c r="H395" s="22"/>
      <c r="I395" s="22"/>
      <c r="J395" s="27"/>
    </row>
    <row r="396" spans="1:10">
      <c r="A396" s="5"/>
      <c r="B396" s="21"/>
      <c r="C396" s="22"/>
      <c r="D396" s="22"/>
      <c r="E396" s="22"/>
      <c r="F396" s="25"/>
      <c r="G396" s="25"/>
      <c r="H396" s="22"/>
      <c r="I396" s="22"/>
      <c r="J396" s="27"/>
    </row>
    <row r="397" spans="1:10">
      <c r="A397" s="5"/>
      <c r="B397" s="21"/>
      <c r="C397" s="22"/>
      <c r="D397" s="22"/>
      <c r="E397" s="22"/>
      <c r="F397" s="25"/>
      <c r="G397" s="25"/>
      <c r="H397" s="22"/>
      <c r="I397" s="22"/>
      <c r="J397" s="27"/>
    </row>
    <row r="398" spans="1:10">
      <c r="A398" s="5"/>
      <c r="B398" s="21"/>
      <c r="C398" s="22"/>
      <c r="D398" s="22"/>
      <c r="E398" s="22"/>
      <c r="F398" s="25"/>
      <c r="G398" s="25"/>
      <c r="H398" s="22"/>
      <c r="I398" s="22"/>
      <c r="J398" s="27"/>
    </row>
    <row r="399" spans="1:10">
      <c r="A399" s="5"/>
      <c r="B399" s="21"/>
      <c r="C399" s="22"/>
      <c r="D399" s="22"/>
      <c r="E399" s="22"/>
      <c r="F399" s="25"/>
      <c r="G399" s="25"/>
      <c r="H399" s="22"/>
      <c r="I399" s="22"/>
      <c r="J399" s="27"/>
    </row>
    <row r="400" spans="1:10">
      <c r="A400" s="5"/>
      <c r="B400" s="21"/>
      <c r="C400" s="22"/>
      <c r="D400" s="22"/>
      <c r="E400" s="22"/>
      <c r="F400" s="25"/>
      <c r="G400" s="25"/>
      <c r="H400" s="22"/>
      <c r="I400" s="22"/>
      <c r="J400" s="27"/>
    </row>
    <row r="401" spans="1:10">
      <c r="A401" s="5"/>
      <c r="B401" s="21"/>
      <c r="C401" s="22"/>
      <c r="D401" s="22"/>
      <c r="E401" s="22"/>
      <c r="F401" s="25"/>
      <c r="G401" s="25"/>
      <c r="H401" s="22"/>
      <c r="I401" s="22"/>
      <c r="J401" s="27"/>
    </row>
    <row r="402" spans="1:10">
      <c r="A402" s="5"/>
      <c r="B402" s="21"/>
      <c r="C402" s="22"/>
      <c r="D402" s="22"/>
      <c r="E402" s="22"/>
      <c r="F402" s="25"/>
      <c r="G402" s="25"/>
      <c r="H402" s="22"/>
      <c r="I402" s="22"/>
      <c r="J402" s="27"/>
    </row>
    <row r="403" spans="1:10">
      <c r="A403" s="5"/>
      <c r="B403" s="21"/>
      <c r="C403" s="22"/>
      <c r="D403" s="22"/>
      <c r="E403" s="22"/>
      <c r="F403" s="25"/>
      <c r="G403" s="25"/>
      <c r="H403" s="22"/>
      <c r="I403" s="22"/>
      <c r="J403" s="27"/>
    </row>
    <row r="404" spans="1:10">
      <c r="A404" s="5"/>
      <c r="B404" s="21"/>
      <c r="C404" s="22"/>
      <c r="D404" s="22"/>
      <c r="E404" s="22"/>
      <c r="F404" s="25"/>
      <c r="G404" s="25"/>
      <c r="H404" s="22"/>
      <c r="I404" s="22"/>
      <c r="J404" s="27"/>
    </row>
    <row r="405" spans="1:10">
      <c r="A405" s="5"/>
      <c r="B405" s="21"/>
      <c r="C405" s="22"/>
      <c r="D405" s="22"/>
      <c r="E405" s="22"/>
      <c r="F405" s="25"/>
      <c r="G405" s="25"/>
      <c r="H405" s="22"/>
      <c r="I405" s="22"/>
      <c r="J405" s="27"/>
    </row>
    <row r="406" spans="1:10">
      <c r="A406" s="5"/>
      <c r="B406" s="21"/>
      <c r="C406" s="22"/>
      <c r="D406" s="22"/>
      <c r="E406" s="22"/>
      <c r="F406" s="25"/>
      <c r="G406" s="25"/>
      <c r="H406" s="22"/>
      <c r="I406" s="22"/>
      <c r="J406" s="27"/>
    </row>
    <row r="407" spans="1:10">
      <c r="A407" s="5"/>
      <c r="B407" s="21"/>
      <c r="C407" s="22"/>
      <c r="D407" s="22"/>
      <c r="E407" s="22"/>
      <c r="F407" s="25"/>
      <c r="G407" s="25"/>
      <c r="H407" s="22"/>
      <c r="I407" s="22"/>
      <c r="J407" s="27"/>
    </row>
    <row r="408" spans="1:10">
      <c r="A408" s="5"/>
      <c r="B408" s="21"/>
      <c r="C408" s="22"/>
      <c r="D408" s="22"/>
      <c r="E408" s="22"/>
      <c r="F408" s="25"/>
      <c r="G408" s="25"/>
      <c r="H408" s="22"/>
      <c r="I408" s="22"/>
      <c r="J408" s="27"/>
    </row>
    <row r="409" spans="1:10">
      <c r="A409" s="5"/>
      <c r="B409" s="21"/>
      <c r="C409" s="22"/>
      <c r="D409" s="22"/>
      <c r="E409" s="22"/>
      <c r="F409" s="25"/>
      <c r="G409" s="25"/>
      <c r="H409" s="22"/>
      <c r="I409" s="22"/>
      <c r="J409" s="27"/>
    </row>
    <row r="410" spans="1:10">
      <c r="A410" s="5"/>
      <c r="B410" s="21"/>
      <c r="C410" s="22"/>
      <c r="D410" s="22"/>
      <c r="E410" s="22"/>
      <c r="F410" s="25"/>
      <c r="G410" s="25"/>
      <c r="H410" s="22"/>
      <c r="I410" s="22"/>
      <c r="J410" s="27"/>
    </row>
    <row r="411" spans="1:10">
      <c r="A411" s="5"/>
      <c r="B411" s="21"/>
      <c r="C411" s="22"/>
      <c r="D411" s="22"/>
      <c r="E411" s="22"/>
      <c r="F411" s="25"/>
      <c r="G411" s="25"/>
      <c r="H411" s="22"/>
      <c r="I411" s="22"/>
      <c r="J411" s="27"/>
    </row>
    <row r="412" spans="1:10">
      <c r="A412" s="5"/>
      <c r="B412" s="21"/>
      <c r="C412" s="22"/>
      <c r="D412" s="22"/>
      <c r="E412" s="22"/>
      <c r="F412" s="25"/>
      <c r="G412" s="25"/>
      <c r="H412" s="22"/>
      <c r="I412" s="22"/>
      <c r="J412" s="27"/>
    </row>
    <row r="413" spans="1:10">
      <c r="A413" s="5"/>
      <c r="B413" s="21"/>
      <c r="C413" s="22"/>
      <c r="D413" s="22"/>
      <c r="E413" s="22"/>
      <c r="F413" s="25"/>
      <c r="G413" s="25"/>
      <c r="H413" s="22"/>
      <c r="I413" s="22"/>
      <c r="J413" s="27"/>
    </row>
    <row r="414" spans="1:10">
      <c r="A414" s="5"/>
      <c r="B414" s="21"/>
      <c r="C414" s="22"/>
      <c r="D414" s="22"/>
      <c r="E414" s="22"/>
      <c r="F414" s="25"/>
      <c r="G414" s="25"/>
      <c r="H414" s="22"/>
      <c r="I414" s="22"/>
      <c r="J414" s="27"/>
    </row>
    <row r="415" spans="1:10">
      <c r="A415" s="5"/>
      <c r="B415" s="21"/>
      <c r="C415" s="22"/>
      <c r="D415" s="22"/>
      <c r="E415" s="22"/>
      <c r="F415" s="25"/>
      <c r="G415" s="25"/>
      <c r="H415" s="22"/>
      <c r="I415" s="22"/>
      <c r="J415" s="27"/>
    </row>
    <row r="416" spans="1:10">
      <c r="A416" s="5"/>
      <c r="B416" s="21"/>
      <c r="C416" s="22"/>
      <c r="D416" s="22"/>
      <c r="E416" s="22"/>
      <c r="F416" s="25"/>
      <c r="G416" s="25"/>
      <c r="H416" s="22"/>
      <c r="I416" s="22"/>
      <c r="J416" s="27"/>
    </row>
    <row r="417" spans="1:10">
      <c r="A417" s="5"/>
      <c r="B417" s="21"/>
      <c r="C417" s="22"/>
      <c r="D417" s="22"/>
      <c r="E417" s="22"/>
      <c r="F417" s="25"/>
      <c r="G417" s="25"/>
      <c r="H417" s="22"/>
      <c r="I417" s="22"/>
      <c r="J417" s="27"/>
    </row>
    <row r="418" spans="1:10">
      <c r="A418" s="5"/>
      <c r="B418" s="21"/>
      <c r="C418" s="22"/>
      <c r="D418" s="22"/>
      <c r="E418" s="22"/>
      <c r="F418" s="25"/>
      <c r="G418" s="25"/>
      <c r="H418" s="22"/>
      <c r="I418" s="22"/>
      <c r="J418" s="27"/>
    </row>
    <row r="419" spans="1:10">
      <c r="A419" s="5"/>
      <c r="B419" s="21"/>
      <c r="C419" s="22"/>
      <c r="D419" s="22"/>
      <c r="E419" s="22"/>
      <c r="F419" s="25"/>
      <c r="G419" s="25"/>
      <c r="H419" s="22"/>
      <c r="I419" s="22"/>
      <c r="J419" s="27"/>
    </row>
    <row r="420" spans="1:10">
      <c r="A420" s="5"/>
      <c r="B420" s="21"/>
      <c r="C420" s="22"/>
      <c r="D420" s="22"/>
      <c r="E420" s="22"/>
      <c r="F420" s="25"/>
      <c r="G420" s="25"/>
      <c r="H420" s="22"/>
      <c r="I420" s="22"/>
      <c r="J420" s="27"/>
    </row>
    <row r="421" spans="1:10">
      <c r="A421" s="5"/>
      <c r="B421" s="21"/>
      <c r="C421" s="22"/>
      <c r="D421" s="22"/>
      <c r="E421" s="22"/>
      <c r="F421" s="25"/>
      <c r="G421" s="25"/>
      <c r="H421" s="22"/>
      <c r="I421" s="22"/>
      <c r="J421" s="27"/>
    </row>
    <row r="422" spans="1:10">
      <c r="A422" s="5"/>
      <c r="B422" s="21"/>
      <c r="C422" s="22"/>
      <c r="D422" s="22"/>
      <c r="E422" s="22"/>
      <c r="F422" s="25"/>
      <c r="G422" s="25"/>
      <c r="H422" s="22"/>
      <c r="I422" s="22"/>
      <c r="J422" s="27"/>
    </row>
    <row r="423" spans="1:10">
      <c r="A423" s="5"/>
      <c r="B423" s="21"/>
      <c r="C423" s="22"/>
      <c r="D423" s="22"/>
      <c r="E423" s="22"/>
      <c r="F423" s="25"/>
      <c r="G423" s="25"/>
      <c r="H423" s="22"/>
      <c r="I423" s="22"/>
      <c r="J423" s="27"/>
    </row>
    <row r="424" spans="1:10">
      <c r="A424" s="5"/>
      <c r="B424" s="21"/>
      <c r="C424" s="22"/>
      <c r="D424" s="22"/>
      <c r="E424" s="22"/>
      <c r="F424" s="25"/>
      <c r="G424" s="25"/>
      <c r="H424" s="22"/>
      <c r="I424" s="22"/>
      <c r="J424" s="27"/>
    </row>
    <row r="425" spans="1:10">
      <c r="A425" s="5"/>
      <c r="B425" s="21"/>
      <c r="C425" s="22"/>
      <c r="D425" s="22"/>
      <c r="E425" s="22"/>
      <c r="F425" s="25"/>
      <c r="G425" s="25"/>
      <c r="H425" s="22"/>
      <c r="I425" s="22"/>
      <c r="J425" s="27"/>
    </row>
    <row r="426" spans="1:10">
      <c r="A426" s="5"/>
      <c r="B426" s="21"/>
      <c r="C426" s="22"/>
      <c r="D426" s="22"/>
      <c r="E426" s="22"/>
      <c r="F426" s="25"/>
      <c r="G426" s="25"/>
      <c r="H426" s="22"/>
      <c r="I426" s="22"/>
      <c r="J426" s="27"/>
    </row>
    <row r="427" spans="1:10">
      <c r="A427" s="5"/>
      <c r="B427" s="21"/>
      <c r="C427" s="22"/>
      <c r="D427" s="22"/>
      <c r="E427" s="22"/>
      <c r="F427" s="25"/>
      <c r="G427" s="25"/>
      <c r="H427" s="22"/>
      <c r="I427" s="22"/>
      <c r="J427" s="27"/>
    </row>
    <row r="428" spans="1:10">
      <c r="A428" s="5"/>
      <c r="B428" s="21"/>
      <c r="C428" s="22"/>
      <c r="D428" s="22"/>
      <c r="E428" s="22"/>
      <c r="F428" s="25"/>
      <c r="G428" s="25"/>
      <c r="H428" s="22"/>
      <c r="I428" s="22"/>
      <c r="J428" s="27"/>
    </row>
    <row r="429" spans="1:10">
      <c r="A429" s="5"/>
      <c r="B429" s="21"/>
      <c r="C429" s="22"/>
      <c r="D429" s="22"/>
      <c r="E429" s="22"/>
      <c r="F429" s="25"/>
      <c r="G429" s="25"/>
      <c r="H429" s="22"/>
      <c r="I429" s="22"/>
      <c r="J429" s="27"/>
    </row>
    <row r="430" spans="1:10">
      <c r="A430" s="5"/>
      <c r="B430" s="21"/>
      <c r="C430" s="22"/>
      <c r="D430" s="22"/>
      <c r="E430" s="22"/>
      <c r="F430" s="25"/>
      <c r="G430" s="25"/>
      <c r="H430" s="22"/>
      <c r="I430" s="22"/>
      <c r="J430" s="27"/>
    </row>
    <row r="431" spans="1:10">
      <c r="A431" s="5"/>
      <c r="B431" s="21"/>
      <c r="C431" s="22"/>
      <c r="D431" s="22"/>
      <c r="E431" s="22"/>
      <c r="F431" s="25"/>
      <c r="G431" s="25"/>
      <c r="H431" s="22"/>
      <c r="I431" s="22"/>
      <c r="J431" s="27"/>
    </row>
    <row r="432" spans="1:10">
      <c r="A432" s="5"/>
      <c r="B432" s="21"/>
      <c r="C432" s="22"/>
      <c r="D432" s="22"/>
      <c r="E432" s="22"/>
      <c r="F432" s="25"/>
      <c r="G432" s="25"/>
      <c r="H432" s="22"/>
      <c r="I432" s="22"/>
      <c r="J432" s="27"/>
    </row>
    <row r="433" spans="1:10">
      <c r="A433" s="5"/>
      <c r="B433" s="21"/>
      <c r="C433" s="22"/>
      <c r="D433" s="22"/>
      <c r="E433" s="22"/>
      <c r="F433" s="25"/>
      <c r="G433" s="25"/>
      <c r="H433" s="22"/>
      <c r="I433" s="22"/>
      <c r="J433" s="27"/>
    </row>
    <row r="434" spans="1:10">
      <c r="A434" s="5"/>
      <c r="B434" s="21"/>
      <c r="C434" s="22"/>
      <c r="D434" s="22"/>
      <c r="E434" s="22"/>
      <c r="F434" s="25"/>
      <c r="G434" s="25"/>
      <c r="H434" s="22"/>
      <c r="I434" s="22"/>
      <c r="J434" s="27"/>
    </row>
    <row r="435" spans="1:10">
      <c r="A435" s="5"/>
      <c r="B435" s="21"/>
      <c r="C435" s="22"/>
      <c r="D435" s="22"/>
      <c r="E435" s="22"/>
      <c r="F435" s="25"/>
      <c r="G435" s="25"/>
      <c r="H435" s="22"/>
      <c r="I435" s="22"/>
      <c r="J435" s="27"/>
    </row>
    <row r="436" spans="1:10">
      <c r="A436" s="5"/>
      <c r="B436" s="21"/>
      <c r="C436" s="22"/>
      <c r="D436" s="22"/>
      <c r="E436" s="22"/>
      <c r="F436" s="25"/>
      <c r="G436" s="25"/>
      <c r="H436" s="22"/>
      <c r="I436" s="22"/>
      <c r="J436" s="27"/>
    </row>
    <row r="437" spans="1:10">
      <c r="A437" s="5"/>
      <c r="B437" s="21"/>
      <c r="C437" s="22"/>
      <c r="D437" s="22"/>
      <c r="E437" s="22"/>
      <c r="F437" s="25"/>
      <c r="G437" s="25"/>
      <c r="H437" s="22"/>
      <c r="I437" s="22"/>
      <c r="J437" s="27"/>
    </row>
    <row r="438" spans="1:10">
      <c r="A438" s="5"/>
      <c r="B438" s="21"/>
      <c r="C438" s="22"/>
      <c r="D438" s="22"/>
      <c r="E438" s="22"/>
      <c r="F438" s="25"/>
      <c r="G438" s="25"/>
      <c r="H438" s="22"/>
      <c r="I438" s="22"/>
      <c r="J438" s="27"/>
    </row>
    <row r="439" spans="1:10">
      <c r="A439" s="5"/>
      <c r="B439" s="21"/>
      <c r="C439" s="22"/>
      <c r="D439" s="22"/>
      <c r="E439" s="22"/>
      <c r="F439" s="25"/>
      <c r="G439" s="25"/>
      <c r="H439" s="22"/>
      <c r="I439" s="22"/>
      <c r="J439" s="27"/>
    </row>
    <row r="440" spans="1:10">
      <c r="A440" s="5"/>
      <c r="B440" s="21"/>
      <c r="C440" s="22"/>
      <c r="D440" s="22"/>
      <c r="E440" s="22"/>
      <c r="F440" s="25"/>
      <c r="G440" s="25"/>
      <c r="H440" s="22"/>
      <c r="I440" s="22"/>
      <c r="J440" s="27"/>
    </row>
    <row r="441" spans="1:10">
      <c r="A441" s="5"/>
      <c r="B441" s="21"/>
      <c r="C441" s="22"/>
      <c r="D441" s="22"/>
      <c r="E441" s="22"/>
      <c r="F441" s="25"/>
      <c r="G441" s="25"/>
      <c r="H441" s="22"/>
      <c r="I441" s="22"/>
      <c r="J441" s="27"/>
    </row>
    <row r="442" spans="1:10">
      <c r="A442" s="5"/>
      <c r="B442" s="21"/>
      <c r="C442" s="22"/>
      <c r="D442" s="22"/>
      <c r="E442" s="22"/>
      <c r="F442" s="25"/>
      <c r="G442" s="25"/>
      <c r="H442" s="22"/>
      <c r="I442" s="22"/>
      <c r="J442" s="27"/>
    </row>
    <row r="443" spans="1:10">
      <c r="A443" s="5"/>
      <c r="B443" s="21"/>
      <c r="C443" s="22"/>
      <c r="D443" s="22"/>
      <c r="E443" s="22"/>
      <c r="F443" s="25"/>
      <c r="G443" s="25"/>
      <c r="H443" s="22"/>
      <c r="I443" s="22"/>
      <c r="J443" s="27"/>
    </row>
    <row r="444" spans="1:10">
      <c r="A444" s="5"/>
      <c r="B444" s="21"/>
      <c r="C444" s="22"/>
      <c r="D444" s="22"/>
      <c r="E444" s="22"/>
      <c r="F444" s="25"/>
      <c r="G444" s="25"/>
      <c r="H444" s="22"/>
      <c r="I444" s="22"/>
      <c r="J444" s="27"/>
    </row>
    <row r="445" spans="1:10">
      <c r="A445" s="5"/>
      <c r="B445" s="21"/>
      <c r="C445" s="22"/>
      <c r="D445" s="22"/>
      <c r="E445" s="22"/>
      <c r="F445" s="25"/>
      <c r="G445" s="25"/>
      <c r="H445" s="22"/>
      <c r="I445" s="22"/>
      <c r="J445" s="27"/>
    </row>
    <row r="446" spans="1:10">
      <c r="A446" s="5"/>
      <c r="B446" s="21"/>
      <c r="C446" s="22"/>
      <c r="D446" s="22"/>
      <c r="E446" s="22"/>
      <c r="F446" s="25"/>
      <c r="G446" s="25"/>
      <c r="H446" s="22"/>
      <c r="I446" s="22"/>
      <c r="J446" s="27"/>
    </row>
    <row r="447" spans="1:10">
      <c r="A447" s="5"/>
      <c r="B447" s="21"/>
      <c r="C447" s="22"/>
      <c r="D447" s="22"/>
      <c r="E447" s="22"/>
      <c r="F447" s="25"/>
      <c r="G447" s="25"/>
      <c r="H447" s="22"/>
      <c r="I447" s="22"/>
      <c r="J447" s="27"/>
    </row>
    <row r="448" spans="1:10">
      <c r="A448" s="5"/>
      <c r="B448" s="21"/>
      <c r="C448" s="22"/>
      <c r="D448" s="22"/>
      <c r="E448" s="22"/>
      <c r="F448" s="25"/>
      <c r="G448" s="25"/>
      <c r="H448" s="22"/>
      <c r="I448" s="22"/>
      <c r="J448" s="27"/>
    </row>
    <row r="449" spans="1:10">
      <c r="A449" s="5"/>
      <c r="B449" s="21"/>
      <c r="C449" s="22"/>
      <c r="D449" s="22"/>
      <c r="E449" s="22"/>
      <c r="F449" s="25"/>
      <c r="G449" s="25"/>
      <c r="H449" s="22"/>
      <c r="I449" s="22"/>
      <c r="J449" s="27"/>
    </row>
    <row r="450" spans="1:10">
      <c r="A450" s="5"/>
      <c r="B450" s="21"/>
      <c r="C450" s="22"/>
      <c r="D450" s="22"/>
      <c r="E450" s="22"/>
      <c r="F450" s="25"/>
      <c r="G450" s="25"/>
      <c r="H450" s="22"/>
      <c r="I450" s="22"/>
      <c r="J450" s="27"/>
    </row>
    <row r="451" spans="1:10">
      <c r="A451" s="5"/>
      <c r="B451" s="21"/>
      <c r="C451" s="22"/>
      <c r="D451" s="22"/>
      <c r="E451" s="22"/>
      <c r="F451" s="25"/>
      <c r="G451" s="25"/>
      <c r="H451" s="22"/>
      <c r="I451" s="22"/>
      <c r="J451" s="27"/>
    </row>
    <row r="452" spans="1:10">
      <c r="A452" s="5"/>
      <c r="B452" s="21"/>
      <c r="C452" s="22"/>
      <c r="D452" s="22"/>
      <c r="E452" s="22"/>
      <c r="F452" s="25"/>
      <c r="G452" s="25"/>
      <c r="H452" s="22"/>
      <c r="I452" s="22"/>
      <c r="J452" s="27"/>
    </row>
    <row r="453" spans="1:10">
      <c r="A453" s="5"/>
      <c r="B453" s="21"/>
      <c r="C453" s="22"/>
      <c r="D453" s="22"/>
      <c r="E453" s="22"/>
      <c r="F453" s="25"/>
      <c r="G453" s="25"/>
      <c r="H453" s="22"/>
      <c r="I453" s="22"/>
      <c r="J453" s="27"/>
    </row>
    <row r="454" spans="1:10">
      <c r="A454" s="5"/>
      <c r="B454" s="21"/>
      <c r="C454" s="22"/>
      <c r="D454" s="22"/>
      <c r="E454" s="22"/>
      <c r="F454" s="25"/>
      <c r="G454" s="25"/>
      <c r="H454" s="22"/>
      <c r="I454" s="22"/>
      <c r="J454" s="27"/>
    </row>
    <row r="455" spans="1:10">
      <c r="A455" s="5"/>
      <c r="B455" s="21"/>
      <c r="C455" s="22"/>
      <c r="D455" s="22"/>
      <c r="E455" s="22"/>
      <c r="F455" s="25"/>
      <c r="G455" s="25"/>
      <c r="H455" s="22"/>
      <c r="I455" s="22"/>
      <c r="J455" s="27"/>
    </row>
    <row r="456" spans="1:10">
      <c r="A456" s="5"/>
      <c r="B456" s="21"/>
      <c r="C456" s="22"/>
      <c r="D456" s="22"/>
      <c r="E456" s="22"/>
      <c r="F456" s="25"/>
      <c r="G456" s="25"/>
      <c r="H456" s="22"/>
      <c r="I456" s="22"/>
      <c r="J456" s="27"/>
    </row>
    <row r="457" spans="1:10">
      <c r="A457" s="5"/>
      <c r="B457" s="21"/>
      <c r="C457" s="22"/>
      <c r="D457" s="22"/>
      <c r="E457" s="22"/>
      <c r="F457" s="25"/>
      <c r="G457" s="25"/>
      <c r="H457" s="22"/>
      <c r="I457" s="22"/>
      <c r="J457" s="27"/>
    </row>
    <row r="458" spans="1:10">
      <c r="A458" s="5"/>
      <c r="B458" s="21"/>
      <c r="C458" s="22"/>
      <c r="D458" s="22"/>
      <c r="E458" s="22"/>
      <c r="F458" s="25"/>
      <c r="G458" s="25"/>
      <c r="H458" s="22"/>
      <c r="I458" s="22"/>
      <c r="J458" s="27"/>
    </row>
    <row r="459" spans="1:10">
      <c r="A459" s="5"/>
      <c r="B459" s="21"/>
      <c r="C459" s="22"/>
      <c r="D459" s="22"/>
      <c r="E459" s="22"/>
      <c r="F459" s="25"/>
      <c r="G459" s="25"/>
      <c r="H459" s="22"/>
      <c r="I459" s="22"/>
      <c r="J459" s="27"/>
    </row>
    <row r="460" spans="1:10">
      <c r="A460" s="5"/>
      <c r="B460" s="21"/>
      <c r="C460" s="22"/>
      <c r="D460" s="22"/>
      <c r="E460" s="22"/>
      <c r="F460" s="25"/>
      <c r="G460" s="25"/>
      <c r="H460" s="22"/>
      <c r="I460" s="22"/>
      <c r="J460" s="27"/>
    </row>
    <row r="461" spans="1:10">
      <c r="A461" s="5"/>
      <c r="B461" s="21"/>
      <c r="C461" s="22"/>
      <c r="D461" s="22"/>
      <c r="E461" s="22"/>
      <c r="F461" s="25"/>
      <c r="G461" s="25"/>
      <c r="H461" s="22"/>
      <c r="I461" s="22"/>
      <c r="J461" s="27"/>
    </row>
    <row r="462" spans="1:10">
      <c r="A462" s="5"/>
      <c r="B462" s="21"/>
      <c r="C462" s="22"/>
      <c r="D462" s="22"/>
      <c r="E462" s="22"/>
      <c r="F462" s="25"/>
      <c r="G462" s="25"/>
      <c r="H462" s="22"/>
      <c r="I462" s="22"/>
      <c r="J462" s="27"/>
    </row>
    <row r="463" spans="1:10">
      <c r="A463" s="5"/>
      <c r="B463" s="21"/>
      <c r="C463" s="22"/>
      <c r="D463" s="22"/>
      <c r="E463" s="22"/>
      <c r="F463" s="25"/>
      <c r="G463" s="25"/>
      <c r="H463" s="22"/>
      <c r="I463" s="22"/>
      <c r="J463" s="27"/>
    </row>
    <row r="464" spans="1:10">
      <c r="A464" s="5"/>
      <c r="B464" s="21"/>
      <c r="C464" s="22"/>
      <c r="D464" s="22"/>
      <c r="E464" s="22"/>
      <c r="F464" s="25"/>
      <c r="G464" s="25"/>
      <c r="H464" s="22"/>
      <c r="I464" s="22"/>
      <c r="J464" s="27"/>
    </row>
    <row r="465" spans="1:10">
      <c r="A465" s="5"/>
      <c r="B465" s="21"/>
      <c r="C465" s="22"/>
      <c r="D465" s="22"/>
      <c r="E465" s="22"/>
      <c r="F465" s="25"/>
      <c r="G465" s="25"/>
      <c r="H465" s="22"/>
      <c r="I465" s="22"/>
      <c r="J465" s="27"/>
    </row>
    <row r="466" spans="1:10">
      <c r="A466" s="5"/>
      <c r="B466" s="21"/>
      <c r="C466" s="22"/>
      <c r="D466" s="22"/>
      <c r="E466" s="22"/>
      <c r="F466" s="25"/>
      <c r="G466" s="25"/>
      <c r="H466" s="22"/>
      <c r="I466" s="22"/>
      <c r="J466" s="27"/>
    </row>
    <row r="467" spans="1:10">
      <c r="A467" s="5"/>
      <c r="B467" s="21"/>
      <c r="C467" s="22"/>
      <c r="D467" s="22"/>
      <c r="E467" s="22"/>
      <c r="F467" s="25"/>
      <c r="G467" s="25"/>
      <c r="H467" s="22"/>
      <c r="I467" s="22"/>
      <c r="J467" s="27"/>
    </row>
    <row r="468" spans="1:10">
      <c r="A468" s="5"/>
      <c r="B468" s="21"/>
      <c r="C468" s="22"/>
      <c r="D468" s="22"/>
      <c r="E468" s="22"/>
      <c r="F468" s="25"/>
      <c r="G468" s="25"/>
      <c r="H468" s="22"/>
      <c r="I468" s="22"/>
      <c r="J468" s="27"/>
    </row>
    <row r="469" spans="1:10">
      <c r="A469" s="5"/>
      <c r="B469" s="21"/>
      <c r="C469" s="22"/>
      <c r="D469" s="22"/>
      <c r="E469" s="22"/>
      <c r="F469" s="25"/>
      <c r="G469" s="25"/>
      <c r="H469" s="22"/>
      <c r="I469" s="22"/>
      <c r="J469" s="27"/>
    </row>
    <row r="470" spans="1:10">
      <c r="A470" s="5"/>
      <c r="B470" s="21"/>
      <c r="C470" s="22"/>
      <c r="D470" s="22"/>
      <c r="E470" s="22"/>
      <c r="F470" s="25"/>
      <c r="G470" s="25"/>
      <c r="H470" s="22"/>
      <c r="I470" s="22"/>
      <c r="J470" s="27"/>
    </row>
    <row r="471" spans="1:10">
      <c r="A471" s="5"/>
      <c r="B471" s="21"/>
      <c r="C471" s="22"/>
      <c r="D471" s="22"/>
      <c r="E471" s="22"/>
      <c r="F471" s="25"/>
      <c r="G471" s="25"/>
      <c r="H471" s="22"/>
      <c r="I471" s="22"/>
      <c r="J471" s="27"/>
    </row>
    <row r="472" spans="1:10">
      <c r="A472" s="5"/>
      <c r="B472" s="21"/>
      <c r="C472" s="22"/>
      <c r="D472" s="22"/>
      <c r="E472" s="22"/>
      <c r="F472" s="25"/>
      <c r="G472" s="25"/>
      <c r="H472" s="22"/>
      <c r="I472" s="22"/>
      <c r="J472" s="27"/>
    </row>
    <row r="473" spans="1:10">
      <c r="A473" s="5"/>
      <c r="B473" s="21"/>
      <c r="C473" s="22"/>
      <c r="D473" s="22"/>
      <c r="E473" s="22"/>
      <c r="F473" s="25"/>
      <c r="G473" s="25"/>
      <c r="H473" s="22"/>
      <c r="I473" s="22"/>
      <c r="J473" s="27"/>
    </row>
    <row r="474" spans="1:10">
      <c r="A474" s="5"/>
      <c r="B474" s="21"/>
      <c r="C474" s="22"/>
      <c r="D474" s="22"/>
      <c r="E474" s="22"/>
      <c r="F474" s="25"/>
      <c r="G474" s="25"/>
      <c r="H474" s="22"/>
      <c r="I474" s="22"/>
      <c r="J474" s="27"/>
    </row>
    <row r="475" spans="1:10">
      <c r="A475" s="5"/>
      <c r="B475" s="21"/>
      <c r="C475" s="22"/>
      <c r="D475" s="22"/>
      <c r="E475" s="22"/>
      <c r="F475" s="25"/>
      <c r="G475" s="25"/>
      <c r="H475" s="22"/>
      <c r="I475" s="22"/>
      <c r="J475" s="27"/>
    </row>
    <row r="476" spans="1:10">
      <c r="A476" s="5"/>
      <c r="B476" s="21"/>
      <c r="C476" s="22"/>
      <c r="D476" s="22"/>
      <c r="E476" s="22"/>
      <c r="F476" s="25"/>
      <c r="G476" s="25"/>
      <c r="H476" s="22"/>
      <c r="I476" s="22"/>
      <c r="J476" s="27"/>
    </row>
    <row r="477" spans="1:10">
      <c r="A477" s="5"/>
      <c r="B477" s="21"/>
      <c r="C477" s="22"/>
      <c r="D477" s="22"/>
      <c r="E477" s="22"/>
      <c r="F477" s="25"/>
      <c r="G477" s="25"/>
      <c r="H477" s="22"/>
      <c r="I477" s="22"/>
      <c r="J477" s="27"/>
    </row>
    <row r="478" spans="1:10">
      <c r="A478" s="5"/>
      <c r="B478" s="21"/>
      <c r="C478" s="22"/>
      <c r="D478" s="22"/>
      <c r="E478" s="22"/>
      <c r="F478" s="25"/>
      <c r="G478" s="25"/>
      <c r="H478" s="22"/>
      <c r="I478" s="22"/>
      <c r="J478" s="27"/>
    </row>
    <row r="479" spans="1:10">
      <c r="A479" s="5"/>
      <c r="B479" s="21"/>
      <c r="C479" s="22"/>
      <c r="D479" s="22"/>
      <c r="E479" s="22"/>
      <c r="F479" s="25"/>
      <c r="G479" s="25"/>
      <c r="H479" s="22"/>
      <c r="I479" s="22"/>
      <c r="J479" s="27"/>
    </row>
    <row r="480" spans="1:10">
      <c r="A480" s="5"/>
      <c r="B480" s="21"/>
      <c r="C480" s="22"/>
      <c r="D480" s="22"/>
      <c r="E480" s="22"/>
      <c r="F480" s="25"/>
      <c r="G480" s="25"/>
      <c r="H480" s="22"/>
      <c r="I480" s="22"/>
      <c r="J480" s="27"/>
    </row>
    <row r="481" spans="1:10">
      <c r="A481" s="5"/>
      <c r="B481" s="21"/>
      <c r="C481" s="22"/>
      <c r="D481" s="22"/>
      <c r="E481" s="22"/>
      <c r="F481" s="25"/>
      <c r="G481" s="25"/>
      <c r="H481" s="22"/>
      <c r="I481" s="22"/>
      <c r="J481" s="27"/>
    </row>
    <row r="482" spans="1:10">
      <c r="A482" s="5"/>
      <c r="B482" s="21"/>
      <c r="C482" s="22"/>
      <c r="D482" s="22"/>
      <c r="E482" s="22"/>
      <c r="F482" s="25"/>
      <c r="G482" s="25"/>
      <c r="H482" s="22"/>
      <c r="I482" s="22"/>
      <c r="J482" s="27"/>
    </row>
    <row r="483" spans="1:10">
      <c r="A483" s="5"/>
      <c r="B483" s="21"/>
      <c r="C483" s="22"/>
      <c r="D483" s="22"/>
      <c r="E483" s="22"/>
      <c r="F483" s="25"/>
      <c r="G483" s="25"/>
      <c r="H483" s="22"/>
      <c r="I483" s="22"/>
      <c r="J483" s="27"/>
    </row>
    <row r="484" spans="1:10">
      <c r="A484" s="5"/>
      <c r="B484" s="21"/>
      <c r="C484" s="22"/>
      <c r="D484" s="22"/>
      <c r="E484" s="22"/>
      <c r="F484" s="25"/>
      <c r="G484" s="25"/>
      <c r="H484" s="22"/>
      <c r="I484" s="22"/>
      <c r="J484" s="27"/>
    </row>
    <row r="485" spans="1:10">
      <c r="A485" s="5"/>
      <c r="B485" s="21"/>
      <c r="C485" s="22"/>
      <c r="D485" s="22"/>
      <c r="E485" s="22"/>
      <c r="F485" s="25"/>
      <c r="G485" s="25"/>
      <c r="H485" s="22"/>
      <c r="I485" s="22"/>
      <c r="J485" s="27"/>
    </row>
    <row r="486" spans="1:10">
      <c r="A486" s="5"/>
      <c r="B486" s="21"/>
      <c r="C486" s="22"/>
      <c r="D486" s="22"/>
      <c r="E486" s="22"/>
      <c r="F486" s="25"/>
      <c r="G486" s="25"/>
      <c r="H486" s="22"/>
      <c r="I486" s="22"/>
      <c r="J486" s="27"/>
    </row>
    <row r="487" spans="1:10">
      <c r="A487" s="5"/>
      <c r="B487" s="21"/>
      <c r="C487" s="22"/>
      <c r="D487" s="22"/>
      <c r="E487" s="22"/>
      <c r="F487" s="25"/>
      <c r="G487" s="25"/>
      <c r="H487" s="22"/>
      <c r="I487" s="22"/>
      <c r="J487" s="27"/>
    </row>
    <row r="488" spans="1:10">
      <c r="A488" s="5"/>
      <c r="B488" s="21"/>
      <c r="C488" s="22"/>
      <c r="D488" s="22"/>
      <c r="E488" s="22"/>
      <c r="F488" s="25"/>
      <c r="G488" s="25"/>
      <c r="H488" s="22"/>
      <c r="I488" s="22"/>
      <c r="J488" s="27"/>
    </row>
    <row r="489" spans="1:10">
      <c r="A489" s="5"/>
      <c r="B489" s="21"/>
      <c r="C489" s="22"/>
      <c r="D489" s="22"/>
      <c r="E489" s="22"/>
      <c r="F489" s="25"/>
      <c r="G489" s="25"/>
      <c r="H489" s="22"/>
      <c r="I489" s="22"/>
      <c r="J489" s="27"/>
    </row>
    <row r="490" spans="1:10">
      <c r="A490" s="5"/>
      <c r="B490" s="21"/>
      <c r="C490" s="22"/>
      <c r="D490" s="22"/>
      <c r="E490" s="22"/>
      <c r="F490" s="25"/>
      <c r="G490" s="25"/>
      <c r="H490" s="22"/>
      <c r="I490" s="22"/>
      <c r="J490" s="27"/>
    </row>
    <row r="491" spans="1:10">
      <c r="A491" s="5"/>
      <c r="B491" s="21"/>
      <c r="C491" s="22"/>
      <c r="D491" s="22"/>
      <c r="E491" s="22"/>
      <c r="F491" s="25"/>
      <c r="G491" s="25"/>
      <c r="H491" s="22"/>
      <c r="I491" s="22"/>
      <c r="J491" s="27"/>
    </row>
    <row r="492" spans="1:10">
      <c r="A492" s="5"/>
      <c r="B492" s="21"/>
      <c r="C492" s="22"/>
      <c r="D492" s="22"/>
      <c r="E492" s="22"/>
      <c r="F492" s="25"/>
      <c r="G492" s="25"/>
      <c r="H492" s="22"/>
      <c r="I492" s="22"/>
      <c r="J492" s="27"/>
    </row>
    <row r="493" spans="1:10">
      <c r="A493" s="5"/>
      <c r="B493" s="21"/>
      <c r="C493" s="22"/>
      <c r="D493" s="22"/>
      <c r="E493" s="22"/>
      <c r="F493" s="25"/>
      <c r="G493" s="25"/>
      <c r="H493" s="22"/>
      <c r="I493" s="22"/>
      <c r="J493" s="27"/>
    </row>
    <row r="494" spans="1:10">
      <c r="A494" s="5"/>
      <c r="B494" s="21"/>
      <c r="C494" s="22"/>
      <c r="D494" s="22"/>
      <c r="E494" s="22"/>
      <c r="F494" s="25"/>
      <c r="G494" s="25"/>
      <c r="H494" s="22"/>
      <c r="I494" s="22"/>
      <c r="J494" s="27"/>
    </row>
    <row r="495" spans="1:10">
      <c r="A495" s="5"/>
      <c r="B495" s="21"/>
      <c r="C495" s="22"/>
      <c r="D495" s="22"/>
      <c r="E495" s="22"/>
      <c r="F495" s="25"/>
      <c r="G495" s="25"/>
      <c r="H495" s="22"/>
      <c r="I495" s="22"/>
      <c r="J495" s="27"/>
    </row>
    <row r="496" spans="1:10">
      <c r="A496" s="5"/>
      <c r="B496" s="21"/>
      <c r="C496" s="22"/>
      <c r="D496" s="22"/>
      <c r="E496" s="22"/>
      <c r="F496" s="25"/>
      <c r="G496" s="25"/>
      <c r="H496" s="22"/>
      <c r="I496" s="22"/>
      <c r="J496" s="27"/>
    </row>
    <row r="497" spans="1:10">
      <c r="A497" s="5"/>
      <c r="B497" s="21"/>
      <c r="C497" s="22"/>
      <c r="D497" s="22"/>
      <c r="E497" s="22"/>
      <c r="F497" s="25"/>
      <c r="G497" s="25"/>
      <c r="H497" s="22"/>
      <c r="I497" s="22"/>
      <c r="J497" s="27"/>
    </row>
    <row r="498" spans="1:10">
      <c r="A498" s="5"/>
      <c r="B498" s="21"/>
      <c r="C498" s="22"/>
      <c r="D498" s="22"/>
      <c r="E498" s="22"/>
      <c r="F498" s="25"/>
      <c r="G498" s="25"/>
      <c r="H498" s="22"/>
      <c r="I498" s="22"/>
      <c r="J498" s="27"/>
    </row>
    <row r="499" spans="1:10">
      <c r="A499" s="5"/>
      <c r="B499" s="21"/>
      <c r="C499" s="22"/>
      <c r="D499" s="22"/>
      <c r="E499" s="22"/>
      <c r="F499" s="25"/>
      <c r="G499" s="25"/>
      <c r="H499" s="22"/>
      <c r="I499" s="22"/>
      <c r="J499" s="27"/>
    </row>
    <row r="500" spans="1:10">
      <c r="A500" s="5"/>
      <c r="B500" s="21"/>
      <c r="C500" s="22"/>
      <c r="D500" s="22"/>
      <c r="E500" s="22"/>
      <c r="F500" s="25"/>
      <c r="G500" s="25"/>
      <c r="H500" s="22"/>
      <c r="I500" s="22"/>
      <c r="J500" s="27"/>
    </row>
    <row r="501" spans="1:10">
      <c r="A501" s="5"/>
      <c r="B501" s="21"/>
      <c r="C501" s="22"/>
      <c r="D501" s="22"/>
      <c r="E501" s="22"/>
      <c r="F501" s="25"/>
      <c r="G501" s="25"/>
      <c r="H501" s="22"/>
      <c r="I501" s="22"/>
      <c r="J501" s="27"/>
    </row>
    <row r="502" spans="1:10">
      <c r="A502" s="5"/>
      <c r="B502" s="21"/>
      <c r="C502" s="22"/>
      <c r="D502" s="22"/>
      <c r="E502" s="22"/>
      <c r="F502" s="25"/>
      <c r="G502" s="25"/>
      <c r="H502" s="22"/>
      <c r="I502" s="22"/>
      <c r="J502" s="27"/>
    </row>
    <row r="503" spans="1:10">
      <c r="A503" s="5"/>
      <c r="B503" s="21"/>
      <c r="C503" s="22"/>
      <c r="D503" s="22"/>
      <c r="E503" s="22"/>
      <c r="F503" s="25"/>
      <c r="G503" s="25"/>
      <c r="H503" s="22"/>
      <c r="I503" s="22"/>
      <c r="J503" s="27"/>
    </row>
    <row r="504" spans="1:10">
      <c r="A504" s="5"/>
      <c r="B504" s="21"/>
      <c r="C504" s="22"/>
      <c r="D504" s="22"/>
      <c r="E504" s="22"/>
      <c r="F504" s="25"/>
      <c r="G504" s="25"/>
      <c r="H504" s="22"/>
      <c r="I504" s="22"/>
      <c r="J504" s="27"/>
    </row>
    <row r="505" spans="1:10">
      <c r="A505" s="5"/>
      <c r="B505" s="21"/>
      <c r="C505" s="22"/>
      <c r="D505" s="22"/>
      <c r="E505" s="22"/>
      <c r="F505" s="25"/>
      <c r="G505" s="25"/>
      <c r="H505" s="22"/>
      <c r="I505" s="22"/>
      <c r="J505" s="27"/>
    </row>
    <row r="506" spans="1:10">
      <c r="A506" s="5"/>
      <c r="B506" s="21"/>
      <c r="C506" s="22"/>
      <c r="D506" s="22"/>
      <c r="E506" s="22"/>
      <c r="F506" s="25"/>
      <c r="G506" s="25"/>
      <c r="H506" s="22"/>
      <c r="I506" s="22"/>
      <c r="J506" s="27"/>
    </row>
    <row r="507" spans="1:10">
      <c r="A507" s="5"/>
      <c r="B507" s="21"/>
      <c r="C507" s="22"/>
      <c r="D507" s="22"/>
      <c r="E507" s="22"/>
      <c r="F507" s="25"/>
      <c r="G507" s="25"/>
      <c r="H507" s="22"/>
      <c r="I507" s="22"/>
      <c r="J507" s="27"/>
    </row>
    <row r="508" spans="1:10">
      <c r="A508" s="5"/>
      <c r="B508" s="21"/>
      <c r="C508" s="22"/>
      <c r="D508" s="22"/>
      <c r="E508" s="22"/>
      <c r="F508" s="25"/>
      <c r="G508" s="25"/>
      <c r="H508" s="22"/>
      <c r="I508" s="22"/>
      <c r="J508" s="27"/>
    </row>
    <row r="509" spans="1:10">
      <c r="A509" s="5"/>
      <c r="B509" s="21"/>
      <c r="C509" s="22"/>
      <c r="D509" s="22"/>
      <c r="E509" s="22"/>
      <c r="F509" s="25"/>
      <c r="G509" s="25"/>
      <c r="H509" s="22"/>
      <c r="I509" s="22"/>
      <c r="J509" s="27"/>
    </row>
    <row r="510" spans="1:10">
      <c r="A510" s="5"/>
      <c r="B510" s="21"/>
      <c r="C510" s="22"/>
      <c r="D510" s="22"/>
      <c r="E510" s="22"/>
      <c r="F510" s="25"/>
      <c r="G510" s="25"/>
      <c r="H510" s="22"/>
      <c r="I510" s="22"/>
      <c r="J510" s="27"/>
    </row>
    <row r="511" spans="1:10">
      <c r="A511" s="5"/>
      <c r="B511" s="21"/>
      <c r="C511" s="22"/>
      <c r="D511" s="22"/>
      <c r="E511" s="22"/>
      <c r="F511" s="25"/>
      <c r="G511" s="25"/>
      <c r="H511" s="22"/>
      <c r="I511" s="22"/>
      <c r="J511" s="27"/>
    </row>
    <row r="512" spans="1:10">
      <c r="A512" s="5"/>
      <c r="B512" s="21"/>
      <c r="C512" s="22"/>
      <c r="D512" s="22"/>
      <c r="E512" s="22"/>
      <c r="F512" s="25"/>
      <c r="G512" s="25"/>
      <c r="H512" s="22"/>
      <c r="I512" s="22"/>
      <c r="J512" s="27"/>
    </row>
    <row r="513" spans="1:10">
      <c r="A513" s="5"/>
      <c r="B513" s="21"/>
      <c r="C513" s="22"/>
      <c r="D513" s="22"/>
      <c r="E513" s="22"/>
      <c r="F513" s="25"/>
      <c r="G513" s="25"/>
      <c r="H513" s="22"/>
      <c r="I513" s="22"/>
      <c r="J513" s="27"/>
    </row>
    <row r="514" spans="1:10">
      <c r="A514" s="5"/>
      <c r="B514" s="21"/>
      <c r="C514" s="22"/>
      <c r="D514" s="22"/>
      <c r="E514" s="22"/>
      <c r="F514" s="25"/>
      <c r="G514" s="25"/>
      <c r="H514" s="22"/>
      <c r="I514" s="22"/>
      <c r="J514" s="27"/>
    </row>
    <row r="515" spans="1:10">
      <c r="A515" s="5"/>
      <c r="B515" s="21"/>
      <c r="C515" s="22"/>
      <c r="D515" s="22"/>
      <c r="E515" s="22"/>
      <c r="F515" s="25"/>
      <c r="G515" s="25"/>
      <c r="H515" s="22"/>
      <c r="I515" s="22"/>
      <c r="J515" s="27"/>
    </row>
    <row r="516" spans="1:10">
      <c r="A516" s="5"/>
      <c r="B516" s="21"/>
      <c r="C516" s="22"/>
      <c r="D516" s="22"/>
      <c r="E516" s="22"/>
      <c r="F516" s="25"/>
      <c r="G516" s="25"/>
      <c r="H516" s="22"/>
      <c r="I516" s="22"/>
      <c r="J516" s="27"/>
    </row>
    <row r="517" spans="1:10">
      <c r="A517" s="5"/>
      <c r="B517" s="21"/>
      <c r="C517" s="22"/>
      <c r="D517" s="22"/>
      <c r="E517" s="22"/>
      <c r="F517" s="25"/>
      <c r="G517" s="25"/>
      <c r="H517" s="22"/>
      <c r="I517" s="22"/>
      <c r="J517" s="27"/>
    </row>
    <row r="518" spans="1:10">
      <c r="A518" s="5"/>
      <c r="B518" s="21"/>
      <c r="C518" s="22"/>
      <c r="D518" s="22"/>
      <c r="E518" s="22"/>
      <c r="F518" s="25"/>
      <c r="G518" s="25"/>
      <c r="H518" s="22"/>
      <c r="I518" s="22"/>
      <c r="J518" s="27"/>
    </row>
    <row r="519" spans="1:10">
      <c r="A519" s="5"/>
      <c r="B519" s="21"/>
      <c r="C519" s="22"/>
      <c r="D519" s="22"/>
      <c r="E519" s="22"/>
      <c r="F519" s="25"/>
      <c r="G519" s="25"/>
      <c r="H519" s="22"/>
      <c r="I519" s="22"/>
      <c r="J519" s="27"/>
    </row>
    <row r="520" spans="1:10">
      <c r="A520" s="5"/>
      <c r="B520" s="21"/>
      <c r="C520" s="22"/>
      <c r="D520" s="22"/>
      <c r="E520" s="22"/>
      <c r="F520" s="25"/>
      <c r="G520" s="25"/>
      <c r="H520" s="22"/>
      <c r="I520" s="22"/>
      <c r="J520" s="27"/>
    </row>
    <row r="521" spans="1:10">
      <c r="A521" s="5"/>
      <c r="B521" s="21"/>
      <c r="C521" s="22"/>
      <c r="D521" s="22"/>
      <c r="E521" s="22"/>
      <c r="F521" s="25"/>
      <c r="G521" s="25"/>
      <c r="H521" s="22"/>
      <c r="I521" s="22"/>
      <c r="J521" s="27"/>
    </row>
    <row r="522" spans="1:10">
      <c r="A522" s="5"/>
      <c r="B522" s="21"/>
      <c r="C522" s="22"/>
      <c r="D522" s="22"/>
      <c r="E522" s="22"/>
      <c r="F522" s="25"/>
      <c r="G522" s="25"/>
      <c r="H522" s="22"/>
      <c r="I522" s="22"/>
      <c r="J522" s="27"/>
    </row>
    <row r="523" spans="1:10">
      <c r="A523" s="5"/>
      <c r="B523" s="21"/>
      <c r="C523" s="22"/>
      <c r="D523" s="22"/>
      <c r="E523" s="22"/>
      <c r="F523" s="25"/>
      <c r="G523" s="25"/>
      <c r="H523" s="22"/>
      <c r="I523" s="22"/>
      <c r="J523" s="27"/>
    </row>
    <row r="524" spans="1:10">
      <c r="A524" s="5"/>
      <c r="B524" s="21"/>
      <c r="C524" s="22"/>
      <c r="D524" s="22"/>
      <c r="E524" s="22"/>
      <c r="F524" s="25"/>
      <c r="G524" s="25"/>
      <c r="H524" s="22"/>
      <c r="I524" s="22"/>
      <c r="J524" s="27"/>
    </row>
    <row r="525" spans="1:10">
      <c r="A525" s="5"/>
      <c r="B525" s="21"/>
      <c r="C525" s="22"/>
      <c r="D525" s="22"/>
      <c r="E525" s="22"/>
      <c r="F525" s="25"/>
      <c r="G525" s="25"/>
      <c r="H525" s="22"/>
      <c r="I525" s="22"/>
      <c r="J525" s="27"/>
    </row>
    <row r="526" spans="1:10">
      <c r="A526" s="5"/>
      <c r="B526" s="21"/>
      <c r="C526" s="22"/>
      <c r="D526" s="22"/>
      <c r="E526" s="22"/>
      <c r="F526" s="25"/>
      <c r="G526" s="25"/>
      <c r="H526" s="22"/>
      <c r="I526" s="22"/>
      <c r="J526" s="27"/>
    </row>
    <row r="527" spans="1:10">
      <c r="A527" s="5"/>
      <c r="B527" s="21"/>
      <c r="C527" s="22"/>
      <c r="D527" s="22"/>
      <c r="E527" s="22"/>
      <c r="F527" s="25"/>
      <c r="G527" s="25"/>
      <c r="H527" s="22"/>
      <c r="I527" s="22"/>
      <c r="J527" s="27"/>
    </row>
    <row r="528" spans="1:10">
      <c r="A528" s="5"/>
      <c r="B528" s="21"/>
      <c r="C528" s="22"/>
      <c r="D528" s="22"/>
      <c r="E528" s="22"/>
      <c r="F528" s="25"/>
      <c r="G528" s="25"/>
      <c r="H528" s="22"/>
      <c r="I528" s="22"/>
      <c r="J528" s="27"/>
    </row>
    <row r="529" spans="1:10">
      <c r="A529" s="5"/>
      <c r="B529" s="21"/>
      <c r="C529" s="22"/>
      <c r="D529" s="22"/>
      <c r="E529" s="22"/>
      <c r="F529" s="25"/>
      <c r="G529" s="25"/>
      <c r="H529" s="22"/>
      <c r="I529" s="22"/>
      <c r="J529" s="27"/>
    </row>
    <row r="530" spans="1:10">
      <c r="A530" s="5"/>
      <c r="B530" s="21"/>
      <c r="C530" s="22"/>
      <c r="D530" s="22"/>
      <c r="E530" s="22"/>
      <c r="F530" s="25"/>
      <c r="G530" s="25"/>
      <c r="H530" s="22"/>
      <c r="I530" s="22"/>
      <c r="J530" s="27"/>
    </row>
    <row r="531" spans="1:10">
      <c r="A531" s="5"/>
      <c r="B531" s="21"/>
      <c r="C531" s="22"/>
      <c r="D531" s="22"/>
      <c r="E531" s="22"/>
      <c r="F531" s="25"/>
      <c r="G531" s="25"/>
      <c r="H531" s="22"/>
      <c r="I531" s="22"/>
      <c r="J531" s="27"/>
    </row>
    <row r="532" spans="1:10">
      <c r="A532" s="5"/>
      <c r="B532" s="21"/>
      <c r="C532" s="22"/>
      <c r="D532" s="22"/>
      <c r="E532" s="22"/>
      <c r="F532" s="25"/>
      <c r="G532" s="25"/>
      <c r="H532" s="22"/>
      <c r="I532" s="22"/>
      <c r="J532" s="27"/>
    </row>
    <row r="533" spans="1:10">
      <c r="A533" s="5"/>
      <c r="B533" s="21"/>
      <c r="C533" s="22"/>
      <c r="D533" s="22"/>
      <c r="E533" s="22"/>
      <c r="F533" s="25"/>
      <c r="G533" s="25"/>
      <c r="H533" s="22"/>
      <c r="I533" s="22"/>
      <c r="J533" s="27"/>
    </row>
    <row r="534" spans="1:10">
      <c r="A534" s="5"/>
      <c r="B534" s="21"/>
      <c r="C534" s="22"/>
      <c r="D534" s="22"/>
      <c r="E534" s="22"/>
      <c r="F534" s="25"/>
      <c r="G534" s="25"/>
      <c r="H534" s="22"/>
      <c r="I534" s="22"/>
      <c r="J534" s="27"/>
    </row>
    <row r="535" spans="1:10">
      <c r="A535" s="5"/>
      <c r="B535" s="21"/>
      <c r="C535" s="22"/>
      <c r="D535" s="22"/>
      <c r="E535" s="22"/>
      <c r="F535" s="25"/>
      <c r="G535" s="25"/>
      <c r="H535" s="22"/>
      <c r="I535" s="22"/>
      <c r="J535" s="27"/>
    </row>
    <row r="536" spans="1:10">
      <c r="A536" s="5"/>
      <c r="B536" s="21"/>
      <c r="C536" s="22"/>
      <c r="D536" s="22"/>
      <c r="E536" s="22"/>
      <c r="F536" s="25"/>
      <c r="G536" s="25"/>
      <c r="H536" s="22"/>
      <c r="I536" s="22"/>
      <c r="J536" s="27"/>
    </row>
    <row r="537" spans="1:10">
      <c r="A537" s="5"/>
      <c r="B537" s="21"/>
      <c r="C537" s="22"/>
      <c r="D537" s="22"/>
      <c r="E537" s="22"/>
      <c r="F537" s="25"/>
      <c r="G537" s="25"/>
      <c r="H537" s="22"/>
      <c r="I537" s="22"/>
      <c r="J537" s="27"/>
    </row>
    <row r="538" spans="1:10">
      <c r="A538" s="5"/>
      <c r="B538" s="21"/>
      <c r="C538" s="22"/>
      <c r="D538" s="22"/>
      <c r="E538" s="22"/>
      <c r="F538" s="25"/>
      <c r="G538" s="25"/>
      <c r="H538" s="22"/>
      <c r="I538" s="22"/>
      <c r="J538" s="27"/>
    </row>
    <row r="539" spans="1:10">
      <c r="A539" s="5"/>
      <c r="B539" s="21"/>
      <c r="C539" s="22"/>
      <c r="D539" s="22"/>
      <c r="E539" s="22"/>
      <c r="F539" s="25"/>
      <c r="G539" s="25"/>
      <c r="H539" s="22"/>
      <c r="I539" s="22"/>
      <c r="J539" s="27"/>
    </row>
    <row r="540" spans="1:10">
      <c r="A540" s="5"/>
      <c r="B540" s="21"/>
      <c r="C540" s="22"/>
      <c r="D540" s="22"/>
      <c r="E540" s="22"/>
      <c r="F540" s="25"/>
      <c r="G540" s="25"/>
      <c r="H540" s="22"/>
      <c r="I540" s="22"/>
      <c r="J540" s="27"/>
    </row>
    <row r="541" spans="1:10">
      <c r="A541" s="5"/>
      <c r="B541" s="21"/>
      <c r="C541" s="22"/>
      <c r="D541" s="22"/>
      <c r="E541" s="22"/>
      <c r="F541" s="25"/>
      <c r="G541" s="25"/>
      <c r="H541" s="22"/>
      <c r="I541" s="22"/>
      <c r="J541" s="27"/>
    </row>
    <row r="542" spans="1:10">
      <c r="A542" s="5"/>
      <c r="B542" s="21"/>
      <c r="C542" s="22"/>
      <c r="D542" s="22"/>
      <c r="E542" s="22"/>
      <c r="F542" s="25"/>
      <c r="G542" s="25"/>
      <c r="H542" s="22"/>
      <c r="I542" s="22"/>
      <c r="J542" s="27"/>
    </row>
    <row r="543" spans="1:10">
      <c r="A543" s="5"/>
      <c r="B543" s="21"/>
      <c r="C543" s="22"/>
      <c r="D543" s="22"/>
      <c r="E543" s="22"/>
      <c r="F543" s="25"/>
      <c r="G543" s="25"/>
      <c r="H543" s="22"/>
      <c r="I543" s="22"/>
      <c r="J543" s="27"/>
    </row>
    <row r="544" spans="1:10">
      <c r="A544" s="5"/>
      <c r="B544" s="21"/>
      <c r="C544" s="22"/>
      <c r="D544" s="22"/>
      <c r="E544" s="22"/>
      <c r="F544" s="25"/>
      <c r="G544" s="25"/>
      <c r="H544" s="22"/>
      <c r="I544" s="22"/>
      <c r="J544" s="27"/>
    </row>
    <row r="545" spans="1:10">
      <c r="A545" s="5"/>
      <c r="B545" s="21"/>
      <c r="C545" s="22"/>
      <c r="D545" s="22"/>
      <c r="E545" s="22"/>
      <c r="F545" s="25"/>
      <c r="G545" s="25"/>
      <c r="H545" s="22"/>
      <c r="I545" s="22"/>
      <c r="J545" s="27"/>
    </row>
    <row r="546" spans="1:10">
      <c r="A546" s="5"/>
      <c r="B546" s="21"/>
      <c r="C546" s="22"/>
      <c r="D546" s="22"/>
      <c r="E546" s="22"/>
      <c r="F546" s="25"/>
      <c r="G546" s="25"/>
      <c r="H546" s="22"/>
      <c r="I546" s="22"/>
      <c r="J546" s="27"/>
    </row>
    <row r="547" spans="1:10">
      <c r="A547" s="5"/>
      <c r="B547" s="21"/>
      <c r="C547" s="22"/>
      <c r="D547" s="22"/>
      <c r="E547" s="22"/>
      <c r="F547" s="25"/>
      <c r="G547" s="25"/>
      <c r="H547" s="22"/>
      <c r="I547" s="22"/>
      <c r="J547" s="27"/>
    </row>
    <row r="548" spans="1:10">
      <c r="A548" s="5"/>
      <c r="B548" s="21"/>
      <c r="C548" s="22"/>
      <c r="D548" s="22"/>
      <c r="E548" s="22"/>
      <c r="F548" s="25"/>
      <c r="G548" s="25"/>
      <c r="H548" s="22"/>
      <c r="I548" s="22"/>
      <c r="J548" s="27"/>
    </row>
    <row r="549" spans="1:10">
      <c r="A549" s="5"/>
      <c r="B549" s="21"/>
      <c r="C549" s="22"/>
      <c r="D549" s="22"/>
      <c r="E549" s="22"/>
      <c r="F549" s="25"/>
      <c r="G549" s="25"/>
      <c r="H549" s="22"/>
      <c r="I549" s="22"/>
      <c r="J549" s="27"/>
    </row>
    <row r="550" spans="1:10">
      <c r="A550" s="5"/>
      <c r="B550" s="21"/>
      <c r="C550" s="22"/>
      <c r="D550" s="22"/>
      <c r="E550" s="22"/>
      <c r="F550" s="25"/>
      <c r="G550" s="25"/>
      <c r="H550" s="22"/>
      <c r="I550" s="22"/>
      <c r="J550" s="27"/>
    </row>
    <row r="551" spans="1:10">
      <c r="A551" s="5"/>
      <c r="B551" s="21"/>
      <c r="C551" s="22"/>
      <c r="D551" s="22"/>
      <c r="E551" s="22"/>
      <c r="F551" s="25"/>
      <c r="G551" s="25"/>
      <c r="H551" s="22"/>
      <c r="I551" s="22"/>
      <c r="J551" s="27"/>
    </row>
    <row r="552" spans="1:10">
      <c r="A552" s="5"/>
      <c r="B552" s="21"/>
      <c r="C552" s="22"/>
      <c r="D552" s="22"/>
      <c r="E552" s="22"/>
      <c r="F552" s="25"/>
      <c r="G552" s="25"/>
      <c r="H552" s="22"/>
      <c r="I552" s="22"/>
      <c r="J552" s="27"/>
    </row>
    <row r="553" spans="1:10">
      <c r="A553" s="5"/>
      <c r="B553" s="21"/>
      <c r="C553" s="22"/>
      <c r="D553" s="22"/>
      <c r="E553" s="22"/>
      <c r="F553" s="25"/>
      <c r="G553" s="25"/>
      <c r="H553" s="22"/>
      <c r="I553" s="22"/>
      <c r="J553" s="27"/>
    </row>
    <row r="554" spans="1:10">
      <c r="A554" s="5"/>
      <c r="B554" s="21"/>
      <c r="C554" s="22"/>
      <c r="D554" s="22"/>
      <c r="E554" s="22"/>
      <c r="F554" s="25"/>
      <c r="G554" s="25"/>
      <c r="H554" s="22"/>
      <c r="I554" s="22"/>
      <c r="J554" s="27"/>
    </row>
    <row r="555" spans="1:10">
      <c r="A555" s="5"/>
      <c r="B555" s="21"/>
      <c r="C555" s="22"/>
      <c r="D555" s="22"/>
      <c r="E555" s="22"/>
      <c r="F555" s="25"/>
      <c r="G555" s="25"/>
      <c r="H555" s="22"/>
      <c r="I555" s="22"/>
      <c r="J555" s="27"/>
    </row>
    <row r="556" spans="1:10">
      <c r="A556" s="5"/>
      <c r="B556" s="21"/>
      <c r="C556" s="22"/>
      <c r="D556" s="22"/>
      <c r="E556" s="22"/>
      <c r="F556" s="25"/>
      <c r="G556" s="25"/>
      <c r="H556" s="22"/>
      <c r="I556" s="22"/>
      <c r="J556" s="27"/>
    </row>
    <row r="557" spans="1:10">
      <c r="A557" s="5"/>
      <c r="B557" s="21"/>
      <c r="C557" s="22"/>
      <c r="D557" s="22"/>
      <c r="E557" s="22"/>
      <c r="F557" s="25"/>
      <c r="G557" s="25"/>
      <c r="H557" s="22"/>
      <c r="I557" s="22"/>
      <c r="J557" s="27"/>
    </row>
    <row r="558" spans="1:10">
      <c r="A558" s="5"/>
      <c r="B558" s="21"/>
      <c r="C558" s="22"/>
      <c r="D558" s="22"/>
      <c r="E558" s="22"/>
      <c r="F558" s="25"/>
      <c r="G558" s="25"/>
      <c r="H558" s="22"/>
      <c r="I558" s="22"/>
      <c r="J558" s="27"/>
    </row>
    <row r="559" spans="1:10">
      <c r="A559" s="5"/>
      <c r="B559" s="21"/>
      <c r="C559" s="22"/>
      <c r="D559" s="22"/>
      <c r="E559" s="22"/>
      <c r="F559" s="25"/>
      <c r="G559" s="25"/>
      <c r="H559" s="22"/>
      <c r="I559" s="22"/>
      <c r="J559" s="27"/>
    </row>
    <row r="560" spans="1:10">
      <c r="A560" s="5"/>
      <c r="B560" s="21"/>
      <c r="C560" s="22"/>
      <c r="D560" s="22"/>
      <c r="E560" s="22"/>
      <c r="F560" s="25"/>
      <c r="G560" s="25"/>
      <c r="H560" s="22"/>
      <c r="I560" s="22"/>
      <c r="J560" s="27"/>
    </row>
    <row r="561" spans="1:10">
      <c r="A561" s="5"/>
      <c r="B561" s="21"/>
      <c r="C561" s="22"/>
      <c r="D561" s="22"/>
      <c r="E561" s="22"/>
      <c r="F561" s="25"/>
      <c r="G561" s="25"/>
      <c r="H561" s="22"/>
      <c r="I561" s="22"/>
      <c r="J561" s="27"/>
    </row>
    <row r="562" spans="1:10">
      <c r="A562" s="5"/>
      <c r="B562" s="21"/>
      <c r="C562" s="22"/>
      <c r="D562" s="22"/>
      <c r="E562" s="22"/>
      <c r="F562" s="25"/>
      <c r="G562" s="25"/>
      <c r="H562" s="22"/>
      <c r="I562" s="22"/>
      <c r="J562" s="27"/>
    </row>
    <row r="563" spans="1:10">
      <c r="A563" s="5"/>
      <c r="B563" s="21"/>
      <c r="C563" s="22"/>
      <c r="D563" s="22"/>
      <c r="E563" s="22"/>
      <c r="F563" s="25"/>
      <c r="G563" s="25"/>
      <c r="H563" s="22"/>
      <c r="I563" s="22"/>
      <c r="J563" s="27"/>
    </row>
    <row r="564" spans="1:10">
      <c r="A564" s="5"/>
      <c r="B564" s="21"/>
      <c r="C564" s="22"/>
      <c r="D564" s="22"/>
      <c r="E564" s="22"/>
      <c r="F564" s="25"/>
      <c r="G564" s="25"/>
      <c r="H564" s="22"/>
      <c r="I564" s="22"/>
      <c r="J564" s="27"/>
    </row>
    <row r="565" spans="1:10">
      <c r="A565" s="5"/>
      <c r="B565" s="21"/>
      <c r="C565" s="22"/>
      <c r="D565" s="22"/>
      <c r="E565" s="22"/>
      <c r="F565" s="25"/>
      <c r="G565" s="25"/>
      <c r="H565" s="22"/>
      <c r="I565" s="22"/>
      <c r="J565" s="27"/>
    </row>
    <row r="566" spans="1:10">
      <c r="A566" s="5"/>
      <c r="B566" s="21"/>
      <c r="C566" s="22"/>
      <c r="D566" s="22"/>
      <c r="E566" s="22"/>
      <c r="F566" s="25"/>
      <c r="G566" s="25"/>
      <c r="H566" s="22"/>
      <c r="I566" s="22"/>
      <c r="J566" s="27"/>
    </row>
    <row r="567" spans="1:10">
      <c r="A567" s="5"/>
      <c r="B567" s="21"/>
      <c r="C567" s="22"/>
      <c r="D567" s="22"/>
      <c r="E567" s="22"/>
      <c r="F567" s="25"/>
      <c r="G567" s="25"/>
      <c r="H567" s="22"/>
      <c r="I567" s="22"/>
      <c r="J567" s="27"/>
    </row>
    <row r="568" spans="1:10">
      <c r="A568" s="5"/>
      <c r="B568" s="21"/>
      <c r="C568" s="22"/>
      <c r="D568" s="22"/>
      <c r="E568" s="22"/>
      <c r="F568" s="25"/>
      <c r="G568" s="25"/>
      <c r="H568" s="22"/>
      <c r="I568" s="22"/>
      <c r="J568" s="27"/>
    </row>
    <row r="569" spans="1:10">
      <c r="A569" s="5"/>
      <c r="B569" s="21"/>
      <c r="C569" s="22"/>
      <c r="D569" s="22"/>
      <c r="E569" s="22"/>
      <c r="F569" s="25"/>
      <c r="G569" s="25"/>
      <c r="H569" s="22"/>
      <c r="I569" s="22"/>
      <c r="J569" s="27"/>
    </row>
    <row r="570" spans="1:10">
      <c r="A570" s="5"/>
      <c r="B570" s="21"/>
      <c r="C570" s="22"/>
      <c r="D570" s="22"/>
      <c r="E570" s="22"/>
      <c r="F570" s="25"/>
      <c r="G570" s="25"/>
      <c r="H570" s="22"/>
      <c r="I570" s="22"/>
      <c r="J570" s="27"/>
    </row>
    <row r="571" spans="1:10">
      <c r="A571" s="5"/>
      <c r="B571" s="21"/>
      <c r="C571" s="22"/>
      <c r="D571" s="22"/>
      <c r="E571" s="22"/>
      <c r="F571" s="25"/>
      <c r="G571" s="25"/>
      <c r="H571" s="22"/>
      <c r="I571" s="22"/>
      <c r="J571" s="27"/>
    </row>
    <row r="572" spans="1:10">
      <c r="A572" s="5"/>
      <c r="B572" s="21"/>
      <c r="C572" s="22"/>
      <c r="D572" s="22"/>
      <c r="E572" s="22"/>
      <c r="F572" s="25"/>
      <c r="G572" s="25"/>
      <c r="H572" s="22"/>
      <c r="I572" s="22"/>
      <c r="J572" s="27"/>
    </row>
    <row r="573" spans="1:10">
      <c r="A573" s="5"/>
      <c r="B573" s="21"/>
      <c r="C573" s="22"/>
      <c r="D573" s="22"/>
      <c r="E573" s="22"/>
      <c r="F573" s="25"/>
      <c r="G573" s="25"/>
      <c r="H573" s="22"/>
      <c r="I573" s="22"/>
      <c r="J573" s="27"/>
    </row>
    <row r="574" spans="1:10">
      <c r="A574" s="5"/>
      <c r="B574" s="21"/>
      <c r="C574" s="22"/>
      <c r="D574" s="22"/>
      <c r="E574" s="22"/>
      <c r="F574" s="25"/>
      <c r="G574" s="25"/>
      <c r="H574" s="22"/>
      <c r="I574" s="22"/>
      <c r="J574" s="27"/>
    </row>
    <row r="575" spans="1:10">
      <c r="A575" s="5"/>
      <c r="B575" s="21"/>
      <c r="C575" s="22"/>
      <c r="D575" s="22"/>
      <c r="E575" s="22"/>
      <c r="F575" s="25"/>
      <c r="G575" s="25"/>
      <c r="H575" s="22"/>
      <c r="I575" s="22"/>
      <c r="J575" s="27"/>
    </row>
    <row r="576" spans="1:10">
      <c r="A576" s="5"/>
      <c r="B576" s="21"/>
      <c r="C576" s="22"/>
      <c r="D576" s="22"/>
      <c r="E576" s="22"/>
      <c r="F576" s="25"/>
      <c r="G576" s="25"/>
      <c r="H576" s="22"/>
      <c r="I576" s="22"/>
      <c r="J576" s="27"/>
    </row>
    <row r="577" spans="1:10">
      <c r="A577" s="5"/>
      <c r="B577" s="21"/>
      <c r="C577" s="22"/>
      <c r="D577" s="22"/>
      <c r="E577" s="22"/>
      <c r="F577" s="25"/>
      <c r="G577" s="25"/>
      <c r="H577" s="22"/>
      <c r="I577" s="22"/>
      <c r="J577" s="27"/>
    </row>
    <row r="578" spans="1:10">
      <c r="A578" s="5"/>
      <c r="B578" s="21"/>
      <c r="C578" s="22"/>
      <c r="D578" s="22"/>
      <c r="E578" s="22"/>
      <c r="F578" s="25"/>
      <c r="G578" s="25"/>
      <c r="H578" s="22"/>
      <c r="I578" s="22"/>
      <c r="J578" s="27"/>
    </row>
    <row r="579" spans="1:10">
      <c r="A579" s="5"/>
      <c r="B579" s="21"/>
      <c r="C579" s="22"/>
      <c r="D579" s="22"/>
      <c r="E579" s="22"/>
      <c r="F579" s="25"/>
      <c r="G579" s="25"/>
      <c r="H579" s="22"/>
      <c r="I579" s="22"/>
      <c r="J579" s="27"/>
    </row>
    <row r="580" spans="1:10">
      <c r="A580" s="5"/>
      <c r="B580" s="21"/>
      <c r="C580" s="22"/>
      <c r="D580" s="22"/>
      <c r="E580" s="22"/>
      <c r="F580" s="25"/>
      <c r="G580" s="25"/>
      <c r="H580" s="22"/>
      <c r="I580" s="22"/>
      <c r="J580" s="27"/>
    </row>
    <row r="581" spans="1:10">
      <c r="A581" s="5"/>
      <c r="B581" s="21"/>
      <c r="C581" s="22"/>
      <c r="D581" s="22"/>
      <c r="E581" s="22"/>
      <c r="F581" s="25"/>
      <c r="G581" s="25"/>
      <c r="H581" s="22"/>
      <c r="I581" s="22"/>
      <c r="J581" s="27"/>
    </row>
    <row r="582" spans="1:10">
      <c r="A582" s="5"/>
      <c r="B582" s="21"/>
      <c r="C582" s="22"/>
      <c r="D582" s="22"/>
      <c r="E582" s="22"/>
      <c r="F582" s="25"/>
      <c r="G582" s="25"/>
      <c r="H582" s="22"/>
      <c r="I582" s="22"/>
      <c r="J582" s="27"/>
    </row>
    <row r="583" spans="1:10">
      <c r="A583" s="5"/>
      <c r="B583" s="21"/>
      <c r="C583" s="22"/>
      <c r="D583" s="22"/>
      <c r="E583" s="22"/>
      <c r="F583" s="25"/>
      <c r="G583" s="25"/>
      <c r="H583" s="22"/>
      <c r="I583" s="22"/>
      <c r="J583" s="27"/>
    </row>
    <row r="584" spans="1:10">
      <c r="A584" s="5"/>
      <c r="B584" s="21"/>
      <c r="C584" s="22"/>
      <c r="D584" s="22"/>
      <c r="E584" s="22"/>
      <c r="F584" s="25"/>
      <c r="G584" s="25"/>
      <c r="H584" s="22"/>
      <c r="I584" s="22"/>
      <c r="J584" s="27"/>
    </row>
    <row r="585" spans="1:10">
      <c r="A585" s="5"/>
      <c r="B585" s="21"/>
      <c r="C585" s="22"/>
      <c r="D585" s="22"/>
      <c r="E585" s="22"/>
      <c r="F585" s="25"/>
      <c r="G585" s="25"/>
      <c r="H585" s="22"/>
      <c r="I585" s="22"/>
      <c r="J585" s="27"/>
    </row>
    <row r="586" spans="1:10">
      <c r="A586" s="5"/>
      <c r="B586" s="21"/>
      <c r="C586" s="22"/>
      <c r="D586" s="22"/>
      <c r="E586" s="22"/>
      <c r="F586" s="25"/>
      <c r="G586" s="25"/>
      <c r="H586" s="22"/>
      <c r="I586" s="22"/>
      <c r="J586" s="27"/>
    </row>
    <row r="587" spans="1:10">
      <c r="A587" s="5"/>
      <c r="B587" s="21"/>
      <c r="C587" s="22"/>
      <c r="D587" s="22"/>
      <c r="E587" s="22"/>
      <c r="F587" s="25"/>
      <c r="G587" s="25"/>
      <c r="H587" s="22"/>
      <c r="I587" s="22"/>
      <c r="J587" s="27"/>
    </row>
    <row r="588" spans="1:10">
      <c r="A588" s="5"/>
      <c r="B588" s="21"/>
      <c r="C588" s="22"/>
      <c r="D588" s="22"/>
      <c r="E588" s="22"/>
      <c r="F588" s="25"/>
      <c r="G588" s="25"/>
      <c r="H588" s="22"/>
      <c r="I588" s="22"/>
      <c r="J588" s="27"/>
    </row>
    <row r="589" spans="1:10">
      <c r="A589" s="5"/>
      <c r="B589" s="21"/>
      <c r="C589" s="22"/>
      <c r="D589" s="22"/>
      <c r="E589" s="22"/>
      <c r="F589" s="25"/>
      <c r="G589" s="25"/>
      <c r="H589" s="22"/>
      <c r="I589" s="22"/>
      <c r="J589" s="27"/>
    </row>
    <row r="590" spans="1:10">
      <c r="A590" s="5"/>
      <c r="B590" s="21"/>
      <c r="C590" s="22"/>
      <c r="D590" s="22"/>
      <c r="E590" s="22"/>
      <c r="F590" s="25"/>
      <c r="G590" s="25"/>
      <c r="H590" s="22"/>
      <c r="I590" s="22"/>
      <c r="J590" s="27"/>
    </row>
    <row r="591" spans="1:10">
      <c r="A591" s="5"/>
      <c r="B591" s="21"/>
      <c r="C591" s="22"/>
      <c r="D591" s="22"/>
      <c r="E591" s="22"/>
      <c r="F591" s="25"/>
      <c r="G591" s="25"/>
      <c r="H591" s="22"/>
      <c r="I591" s="22"/>
      <c r="J591" s="27"/>
    </row>
    <row r="592" spans="1:10">
      <c r="A592" s="5"/>
      <c r="B592" s="21"/>
      <c r="C592" s="22"/>
      <c r="D592" s="22"/>
      <c r="E592" s="22"/>
      <c r="F592" s="25"/>
      <c r="G592" s="25"/>
      <c r="H592" s="22"/>
      <c r="I592" s="22"/>
      <c r="J592" s="27"/>
    </row>
    <row r="593" spans="1:10">
      <c r="A593" s="5"/>
      <c r="B593" s="21"/>
      <c r="C593" s="22"/>
      <c r="D593" s="22"/>
      <c r="E593" s="22"/>
      <c r="F593" s="25"/>
      <c r="G593" s="25"/>
      <c r="H593" s="22"/>
      <c r="I593" s="22"/>
      <c r="J593" s="27"/>
    </row>
    <row r="594" spans="1:10">
      <c r="A594" s="5"/>
      <c r="B594" s="21"/>
      <c r="C594" s="22"/>
      <c r="D594" s="22"/>
      <c r="E594" s="22"/>
      <c r="F594" s="25"/>
      <c r="G594" s="25"/>
      <c r="H594" s="22"/>
      <c r="I594" s="22"/>
      <c r="J594" s="27"/>
    </row>
    <row r="595" spans="1:10">
      <c r="A595" s="5"/>
      <c r="B595" s="21"/>
      <c r="C595" s="22"/>
      <c r="D595" s="22"/>
      <c r="E595" s="22"/>
      <c r="F595" s="25"/>
      <c r="G595" s="25"/>
      <c r="H595" s="22"/>
      <c r="I595" s="22"/>
      <c r="J595" s="27"/>
    </row>
    <row r="596" spans="1:10">
      <c r="A596" s="5"/>
      <c r="B596" s="21"/>
      <c r="C596" s="22"/>
      <c r="D596" s="22"/>
      <c r="E596" s="22"/>
      <c r="F596" s="25"/>
      <c r="G596" s="25"/>
      <c r="H596" s="22"/>
      <c r="I596" s="22"/>
      <c r="J596" s="27"/>
    </row>
    <row r="597" spans="1:10">
      <c r="A597" s="5"/>
      <c r="B597" s="21"/>
      <c r="C597" s="22"/>
      <c r="D597" s="22"/>
      <c r="E597" s="22"/>
      <c r="F597" s="25"/>
      <c r="G597" s="25"/>
      <c r="H597" s="22"/>
      <c r="I597" s="22"/>
      <c r="J597" s="27"/>
    </row>
    <row r="598" spans="1:10">
      <c r="A598" s="5"/>
      <c r="B598" s="21"/>
      <c r="C598" s="22"/>
      <c r="D598" s="22"/>
      <c r="E598" s="22"/>
      <c r="F598" s="25"/>
      <c r="G598" s="25"/>
      <c r="H598" s="22"/>
      <c r="I598" s="22"/>
      <c r="J598" s="27"/>
    </row>
    <row r="599" spans="1:10">
      <c r="A599" s="5"/>
      <c r="B599" s="21"/>
      <c r="C599" s="22"/>
      <c r="D599" s="22"/>
      <c r="E599" s="22"/>
      <c r="F599" s="25"/>
      <c r="G599" s="25"/>
      <c r="H599" s="22"/>
      <c r="I599" s="22"/>
      <c r="J599" s="27"/>
    </row>
    <row r="600" spans="1:10">
      <c r="A600" s="5"/>
      <c r="B600" s="21"/>
      <c r="C600" s="22"/>
      <c r="D600" s="22"/>
      <c r="E600" s="22"/>
      <c r="F600" s="25"/>
      <c r="G600" s="25"/>
      <c r="H600" s="22"/>
      <c r="I600" s="22"/>
      <c r="J600" s="27"/>
    </row>
    <row r="601" spans="1:10">
      <c r="A601" s="5"/>
      <c r="B601" s="21"/>
      <c r="C601" s="22"/>
      <c r="D601" s="22"/>
      <c r="E601" s="22"/>
      <c r="F601" s="25"/>
      <c r="G601" s="25"/>
      <c r="H601" s="22"/>
      <c r="I601" s="22"/>
      <c r="J601" s="27"/>
    </row>
    <row r="602" spans="1:10">
      <c r="A602" s="5"/>
      <c r="B602" s="21"/>
      <c r="C602" s="22"/>
      <c r="D602" s="22"/>
      <c r="E602" s="22"/>
      <c r="F602" s="25"/>
      <c r="G602" s="25"/>
      <c r="H602" s="22"/>
      <c r="I602" s="22"/>
      <c r="J602" s="27"/>
    </row>
    <row r="603" spans="1:10">
      <c r="A603" s="5"/>
      <c r="B603" s="21"/>
      <c r="C603" s="22"/>
      <c r="D603" s="22"/>
      <c r="E603" s="22"/>
      <c r="F603" s="25"/>
      <c r="G603" s="25"/>
      <c r="H603" s="22"/>
      <c r="I603" s="22"/>
      <c r="J603" s="27"/>
    </row>
    <row r="604" spans="1:10">
      <c r="A604" s="5"/>
      <c r="B604" s="21"/>
      <c r="C604" s="22"/>
      <c r="D604" s="22"/>
      <c r="E604" s="22"/>
      <c r="F604" s="25"/>
      <c r="G604" s="25"/>
      <c r="H604" s="22"/>
      <c r="I604" s="22"/>
      <c r="J604" s="27"/>
    </row>
    <row r="605" spans="1:10">
      <c r="A605" s="5"/>
      <c r="B605" s="21"/>
      <c r="C605" s="22"/>
      <c r="D605" s="22"/>
      <c r="E605" s="22"/>
      <c r="F605" s="25"/>
      <c r="G605" s="25"/>
      <c r="H605" s="22"/>
      <c r="I605" s="22"/>
      <c r="J605" s="27"/>
    </row>
    <row r="606" spans="1:10">
      <c r="A606" s="5"/>
      <c r="B606" s="21"/>
      <c r="C606" s="22"/>
      <c r="D606" s="22"/>
      <c r="E606" s="22"/>
      <c r="F606" s="25"/>
      <c r="G606" s="25"/>
      <c r="H606" s="22"/>
      <c r="I606" s="22"/>
      <c r="J606" s="27"/>
    </row>
    <row r="607" spans="1:10">
      <c r="A607" s="5"/>
      <c r="B607" s="21"/>
      <c r="C607" s="22"/>
      <c r="D607" s="22"/>
      <c r="E607" s="22"/>
      <c r="F607" s="25"/>
      <c r="G607" s="25"/>
      <c r="H607" s="22"/>
      <c r="I607" s="22"/>
      <c r="J607" s="27"/>
    </row>
    <row r="608" spans="1:10">
      <c r="A608" s="5"/>
      <c r="B608" s="21"/>
      <c r="C608" s="22"/>
      <c r="D608" s="22"/>
      <c r="E608" s="22"/>
      <c r="F608" s="25"/>
      <c r="G608" s="25"/>
      <c r="H608" s="22"/>
      <c r="I608" s="22"/>
      <c r="J608" s="27"/>
    </row>
    <row r="609" spans="1:10">
      <c r="A609" s="5"/>
      <c r="B609" s="21"/>
      <c r="C609" s="22"/>
      <c r="D609" s="22"/>
      <c r="E609" s="22"/>
      <c r="F609" s="25"/>
      <c r="G609" s="25"/>
      <c r="H609" s="22"/>
      <c r="I609" s="22"/>
      <c r="J609" s="27"/>
    </row>
    <row r="610" spans="1:10">
      <c r="A610" s="5"/>
      <c r="B610" s="21"/>
      <c r="C610" s="22"/>
      <c r="D610" s="22"/>
      <c r="E610" s="22"/>
      <c r="F610" s="25"/>
      <c r="G610" s="25"/>
      <c r="H610" s="22"/>
      <c r="I610" s="22"/>
      <c r="J610" s="27"/>
    </row>
    <row r="611" spans="1:10">
      <c r="A611" s="5"/>
      <c r="B611" s="21"/>
      <c r="C611" s="22"/>
      <c r="D611" s="22"/>
      <c r="E611" s="22"/>
      <c r="F611" s="25"/>
      <c r="G611" s="25"/>
      <c r="H611" s="22"/>
      <c r="I611" s="22"/>
      <c r="J611" s="27"/>
    </row>
    <row r="612" spans="1:10">
      <c r="A612" s="5"/>
      <c r="B612" s="21"/>
      <c r="C612" s="22"/>
      <c r="D612" s="22"/>
      <c r="E612" s="22"/>
      <c r="F612" s="25"/>
      <c r="G612" s="25"/>
      <c r="H612" s="22"/>
      <c r="I612" s="22"/>
      <c r="J612" s="27"/>
    </row>
    <row r="613" spans="1:10">
      <c r="A613" s="5"/>
      <c r="B613" s="21"/>
      <c r="C613" s="22"/>
      <c r="D613" s="22"/>
      <c r="E613" s="22"/>
      <c r="F613" s="25"/>
      <c r="G613" s="25"/>
      <c r="H613" s="22"/>
      <c r="I613" s="22"/>
      <c r="J613" s="27"/>
    </row>
    <row r="614" spans="1:10">
      <c r="A614" s="5"/>
      <c r="B614" s="21"/>
      <c r="C614" s="22"/>
      <c r="D614" s="22"/>
      <c r="E614" s="22"/>
      <c r="F614" s="25"/>
      <c r="G614" s="25"/>
      <c r="H614" s="22"/>
      <c r="I614" s="22"/>
      <c r="J614" s="27"/>
    </row>
    <row r="615" spans="1:10">
      <c r="A615" s="5"/>
      <c r="B615" s="21"/>
      <c r="C615" s="22"/>
      <c r="D615" s="22"/>
      <c r="E615" s="22"/>
      <c r="F615" s="25"/>
      <c r="G615" s="25"/>
      <c r="H615" s="22"/>
      <c r="I615" s="22"/>
      <c r="J615" s="27"/>
    </row>
    <row r="616" spans="1:10">
      <c r="A616" s="5"/>
      <c r="B616" s="21"/>
      <c r="C616" s="22"/>
      <c r="D616" s="22"/>
      <c r="E616" s="22"/>
      <c r="F616" s="25"/>
      <c r="G616" s="25"/>
      <c r="H616" s="22"/>
      <c r="I616" s="22"/>
      <c r="J616" s="27"/>
    </row>
    <row r="617" spans="1:10">
      <c r="A617" s="5"/>
      <c r="B617" s="21"/>
      <c r="C617" s="22"/>
      <c r="D617" s="22"/>
      <c r="E617" s="22"/>
      <c r="F617" s="25"/>
      <c r="G617" s="25"/>
      <c r="H617" s="22"/>
      <c r="I617" s="22"/>
      <c r="J617" s="27"/>
    </row>
    <row r="618" spans="1:10">
      <c r="A618" s="5"/>
      <c r="B618" s="21"/>
      <c r="C618" s="22"/>
      <c r="D618" s="22"/>
      <c r="E618" s="22"/>
      <c r="F618" s="25"/>
      <c r="G618" s="25"/>
      <c r="H618" s="22"/>
      <c r="I618" s="22"/>
      <c r="J618" s="27"/>
    </row>
    <row r="619" spans="1:10">
      <c r="A619" s="5"/>
      <c r="B619" s="21"/>
      <c r="C619" s="22"/>
      <c r="D619" s="22"/>
      <c r="E619" s="22"/>
      <c r="F619" s="25"/>
      <c r="G619" s="25"/>
      <c r="H619" s="22"/>
      <c r="I619" s="22"/>
      <c r="J619" s="27"/>
    </row>
    <row r="620" spans="1:10">
      <c r="A620" s="5"/>
      <c r="B620" s="21"/>
      <c r="C620" s="22"/>
      <c r="D620" s="22"/>
      <c r="E620" s="22"/>
      <c r="F620" s="25"/>
      <c r="G620" s="25"/>
      <c r="H620" s="22"/>
      <c r="I620" s="22"/>
      <c r="J620" s="27"/>
    </row>
    <row r="621" spans="1:10">
      <c r="A621" s="5"/>
      <c r="B621" s="21"/>
      <c r="C621" s="22"/>
      <c r="D621" s="22"/>
      <c r="E621" s="22"/>
      <c r="F621" s="25"/>
      <c r="G621" s="25"/>
      <c r="H621" s="22"/>
      <c r="I621" s="22"/>
      <c r="J621" s="27"/>
    </row>
    <row r="622" spans="1:10">
      <c r="A622" s="5"/>
      <c r="B622" s="21"/>
      <c r="C622" s="22"/>
      <c r="D622" s="22"/>
      <c r="E622" s="22"/>
      <c r="F622" s="25"/>
      <c r="G622" s="25"/>
      <c r="H622" s="22"/>
      <c r="I622" s="22"/>
      <c r="J622" s="27"/>
    </row>
    <row r="623" spans="1:10">
      <c r="A623" s="5"/>
      <c r="B623" s="21"/>
      <c r="C623" s="22"/>
      <c r="D623" s="22"/>
      <c r="E623" s="22"/>
      <c r="F623" s="25"/>
      <c r="G623" s="25"/>
      <c r="H623" s="22"/>
      <c r="I623" s="22"/>
      <c r="J623" s="27"/>
    </row>
    <row r="624" spans="1:10">
      <c r="A624" s="5"/>
      <c r="B624" s="21"/>
      <c r="C624" s="22"/>
      <c r="D624" s="22"/>
      <c r="E624" s="22"/>
      <c r="F624" s="25"/>
      <c r="G624" s="25"/>
      <c r="H624" s="22"/>
      <c r="I624" s="22"/>
      <c r="J624" s="27"/>
    </row>
    <row r="625" spans="1:10">
      <c r="A625" s="5"/>
      <c r="B625" s="21"/>
      <c r="C625" s="22"/>
      <c r="D625" s="22"/>
      <c r="E625" s="22"/>
      <c r="F625" s="25"/>
      <c r="G625" s="25"/>
      <c r="H625" s="22"/>
      <c r="I625" s="22"/>
      <c r="J625" s="27"/>
    </row>
    <row r="626" spans="1:10">
      <c r="A626" s="5"/>
      <c r="B626" s="21"/>
      <c r="C626" s="22"/>
      <c r="D626" s="22"/>
      <c r="E626" s="22"/>
      <c r="F626" s="25"/>
      <c r="G626" s="25"/>
      <c r="H626" s="22"/>
      <c r="I626" s="22"/>
      <c r="J626" s="27"/>
    </row>
    <row r="627" spans="1:10">
      <c r="A627" s="5"/>
      <c r="B627" s="21"/>
      <c r="C627" s="22"/>
      <c r="D627" s="22"/>
      <c r="E627" s="22"/>
      <c r="F627" s="25"/>
      <c r="G627" s="25"/>
      <c r="H627" s="22"/>
      <c r="I627" s="22"/>
      <c r="J627" s="27"/>
    </row>
    <row r="628" spans="1:10">
      <c r="A628" s="5"/>
      <c r="B628" s="21"/>
      <c r="C628" s="22"/>
      <c r="D628" s="22"/>
      <c r="E628" s="22"/>
      <c r="F628" s="25"/>
      <c r="G628" s="25"/>
      <c r="H628" s="22"/>
      <c r="I628" s="22"/>
      <c r="J628" s="27"/>
    </row>
    <row r="629" spans="1:10">
      <c r="A629" s="5"/>
      <c r="B629" s="21"/>
      <c r="C629" s="22"/>
      <c r="D629" s="22"/>
      <c r="E629" s="22"/>
      <c r="F629" s="25"/>
      <c r="G629" s="25"/>
      <c r="H629" s="22"/>
      <c r="I629" s="22"/>
      <c r="J629" s="27"/>
    </row>
    <row r="630" spans="1:10">
      <c r="A630" s="5"/>
      <c r="B630" s="21"/>
      <c r="C630" s="22"/>
      <c r="D630" s="22"/>
      <c r="E630" s="22"/>
      <c r="F630" s="25"/>
      <c r="G630" s="25"/>
      <c r="H630" s="22"/>
      <c r="I630" s="22"/>
      <c r="J630" s="27"/>
    </row>
    <row r="631" spans="1:10">
      <c r="A631" s="5"/>
      <c r="B631" s="21"/>
      <c r="C631" s="22"/>
      <c r="D631" s="22"/>
      <c r="E631" s="22"/>
      <c r="F631" s="25"/>
      <c r="G631" s="25"/>
      <c r="H631" s="22"/>
      <c r="I631" s="22"/>
      <c r="J631" s="27"/>
    </row>
    <row r="632" spans="1:10">
      <c r="A632" s="5"/>
      <c r="B632" s="21"/>
      <c r="C632" s="22"/>
      <c r="D632" s="22"/>
      <c r="E632" s="22"/>
      <c r="F632" s="25"/>
      <c r="G632" s="25"/>
      <c r="H632" s="22"/>
      <c r="I632" s="22"/>
      <c r="J632" s="27"/>
    </row>
    <row r="633" spans="1:10">
      <c r="A633" s="5"/>
      <c r="B633" s="21"/>
      <c r="C633" s="22"/>
      <c r="D633" s="22"/>
      <c r="E633" s="22"/>
      <c r="F633" s="25"/>
      <c r="G633" s="25"/>
      <c r="H633" s="22"/>
      <c r="I633" s="22"/>
      <c r="J633" s="27"/>
    </row>
    <row r="634" spans="1:10">
      <c r="A634" s="5"/>
      <c r="B634" s="21"/>
      <c r="C634" s="22"/>
      <c r="D634" s="22"/>
      <c r="E634" s="22"/>
      <c r="F634" s="25"/>
      <c r="G634" s="25"/>
      <c r="H634" s="22"/>
      <c r="I634" s="22"/>
      <c r="J634" s="27"/>
    </row>
    <row r="635" spans="1:10">
      <c r="A635" s="5"/>
      <c r="B635" s="21"/>
      <c r="C635" s="22"/>
      <c r="D635" s="22"/>
      <c r="E635" s="22"/>
      <c r="F635" s="25"/>
      <c r="G635" s="25"/>
      <c r="H635" s="22"/>
      <c r="I635" s="22"/>
      <c r="J635" s="27"/>
    </row>
    <row r="636" spans="1:10">
      <c r="A636" s="5"/>
      <c r="B636" s="21"/>
      <c r="C636" s="22"/>
      <c r="D636" s="22"/>
      <c r="E636" s="22"/>
      <c r="F636" s="25"/>
      <c r="G636" s="25"/>
      <c r="H636" s="22"/>
      <c r="I636" s="22"/>
      <c r="J636" s="27"/>
    </row>
    <row r="637" spans="1:10">
      <c r="A637" s="5"/>
      <c r="B637" s="21"/>
      <c r="C637" s="22"/>
      <c r="D637" s="22"/>
      <c r="E637" s="22"/>
      <c r="F637" s="25"/>
      <c r="G637" s="25"/>
      <c r="H637" s="22"/>
      <c r="I637" s="22"/>
      <c r="J637" s="27"/>
    </row>
    <row r="638" spans="1:10">
      <c r="A638" s="5"/>
      <c r="B638" s="21"/>
      <c r="C638" s="22"/>
      <c r="D638" s="22"/>
      <c r="E638" s="22"/>
      <c r="F638" s="25"/>
      <c r="G638" s="25"/>
      <c r="H638" s="22"/>
      <c r="I638" s="22"/>
      <c r="J638" s="27"/>
    </row>
    <row r="639" spans="1:10">
      <c r="A639" s="5"/>
      <c r="B639" s="21"/>
      <c r="C639" s="22"/>
      <c r="D639" s="22"/>
      <c r="E639" s="22"/>
      <c r="F639" s="25"/>
      <c r="G639" s="25"/>
      <c r="H639" s="22"/>
      <c r="I639" s="22"/>
      <c r="J639" s="27"/>
    </row>
    <row r="640" spans="1:10">
      <c r="A640" s="5"/>
      <c r="B640" s="21"/>
      <c r="C640" s="22"/>
      <c r="D640" s="22"/>
      <c r="E640" s="22"/>
      <c r="F640" s="25"/>
      <c r="G640" s="25"/>
      <c r="H640" s="22"/>
      <c r="I640" s="22"/>
      <c r="J640" s="27"/>
    </row>
    <row r="641" spans="1:10">
      <c r="A641" s="5"/>
      <c r="B641" s="21"/>
      <c r="C641" s="22"/>
      <c r="D641" s="22"/>
      <c r="E641" s="22"/>
      <c r="F641" s="25"/>
      <c r="G641" s="25"/>
      <c r="H641" s="22"/>
      <c r="I641" s="22"/>
      <c r="J641" s="27"/>
    </row>
    <row r="642" spans="1:10">
      <c r="A642" s="5"/>
      <c r="B642" s="21"/>
      <c r="C642" s="22"/>
      <c r="D642" s="22"/>
      <c r="E642" s="22"/>
      <c r="F642" s="25"/>
      <c r="G642" s="25"/>
      <c r="H642" s="22"/>
      <c r="I642" s="22"/>
      <c r="J642" s="27"/>
    </row>
    <row r="643" spans="1:10">
      <c r="A643" s="5"/>
      <c r="B643" s="21"/>
      <c r="C643" s="22"/>
      <c r="D643" s="22"/>
      <c r="E643" s="22"/>
      <c r="F643" s="25"/>
      <c r="G643" s="25"/>
      <c r="H643" s="22"/>
      <c r="I643" s="22"/>
      <c r="J643" s="27"/>
    </row>
    <row r="644" spans="1:10">
      <c r="A644" s="5"/>
      <c r="B644" s="21"/>
      <c r="C644" s="22"/>
      <c r="D644" s="22"/>
      <c r="E644" s="22"/>
      <c r="F644" s="25"/>
      <c r="G644" s="25"/>
      <c r="H644" s="22"/>
      <c r="I644" s="22"/>
      <c r="J644" s="27"/>
    </row>
    <row r="645" spans="1:10">
      <c r="A645" s="5"/>
      <c r="B645" s="21"/>
      <c r="C645" s="22"/>
      <c r="D645" s="22"/>
      <c r="E645" s="22"/>
      <c r="F645" s="25"/>
      <c r="G645" s="25"/>
      <c r="H645" s="22"/>
      <c r="I645" s="22"/>
      <c r="J645" s="27"/>
    </row>
    <row r="646" spans="1:10">
      <c r="A646" s="5"/>
      <c r="B646" s="21"/>
      <c r="C646" s="22"/>
      <c r="D646" s="22"/>
      <c r="E646" s="22"/>
      <c r="F646" s="25"/>
      <c r="G646" s="25"/>
      <c r="H646" s="22"/>
      <c r="I646" s="22"/>
      <c r="J646" s="27"/>
    </row>
    <row r="647" spans="1:10">
      <c r="A647" s="5"/>
      <c r="B647" s="21"/>
      <c r="C647" s="22"/>
      <c r="D647" s="22"/>
      <c r="E647" s="22"/>
      <c r="F647" s="25"/>
      <c r="G647" s="25"/>
      <c r="H647" s="22"/>
      <c r="I647" s="22"/>
      <c r="J647" s="27"/>
    </row>
    <row r="648" spans="1:10">
      <c r="A648" s="5"/>
      <c r="B648" s="21"/>
      <c r="C648" s="22"/>
      <c r="D648" s="22"/>
      <c r="E648" s="22"/>
      <c r="F648" s="25"/>
      <c r="G648" s="25"/>
      <c r="H648" s="22"/>
      <c r="I648" s="22"/>
      <c r="J648" s="27"/>
    </row>
    <row r="649" spans="1:10">
      <c r="A649" s="5"/>
      <c r="B649" s="21"/>
      <c r="C649" s="22"/>
      <c r="D649" s="22"/>
      <c r="E649" s="22"/>
      <c r="F649" s="25"/>
      <c r="G649" s="25"/>
      <c r="H649" s="22"/>
      <c r="I649" s="22"/>
      <c r="J649" s="27"/>
    </row>
    <row r="650" spans="1:10">
      <c r="A650" s="5"/>
      <c r="B650" s="21"/>
      <c r="C650" s="22"/>
      <c r="D650" s="22"/>
      <c r="E650" s="22"/>
      <c r="F650" s="25"/>
      <c r="G650" s="25"/>
      <c r="H650" s="22"/>
      <c r="I650" s="22"/>
      <c r="J650" s="27"/>
    </row>
    <row r="651" spans="1:10">
      <c r="A651" s="5"/>
      <c r="B651" s="21"/>
      <c r="C651" s="22"/>
      <c r="D651" s="22"/>
      <c r="E651" s="22"/>
      <c r="F651" s="25"/>
      <c r="G651" s="25"/>
      <c r="H651" s="22"/>
      <c r="I651" s="22"/>
      <c r="J651" s="27"/>
    </row>
    <row r="652" spans="1:10">
      <c r="A652" s="5"/>
      <c r="B652" s="21"/>
      <c r="C652" s="22"/>
      <c r="D652" s="22"/>
      <c r="E652" s="22"/>
      <c r="F652" s="25"/>
      <c r="G652" s="25"/>
      <c r="H652" s="22"/>
      <c r="I652" s="22"/>
      <c r="J652" s="27"/>
    </row>
    <row r="653" spans="1:10">
      <c r="A653" s="5"/>
      <c r="B653" s="21"/>
      <c r="C653" s="22"/>
      <c r="D653" s="22"/>
      <c r="E653" s="22"/>
      <c r="F653" s="25"/>
      <c r="G653" s="25"/>
      <c r="H653" s="22"/>
      <c r="I653" s="22"/>
      <c r="J653" s="27"/>
    </row>
    <row r="654" spans="1:10">
      <c r="A654" s="5"/>
      <c r="B654" s="21"/>
      <c r="C654" s="22"/>
      <c r="D654" s="22"/>
      <c r="E654" s="22"/>
      <c r="F654" s="25"/>
      <c r="G654" s="25"/>
      <c r="H654" s="22"/>
      <c r="I654" s="22"/>
      <c r="J654" s="27"/>
    </row>
    <row r="655" spans="1:10">
      <c r="A655" s="5"/>
      <c r="B655" s="21"/>
      <c r="C655" s="22"/>
      <c r="D655" s="22"/>
      <c r="E655" s="22"/>
      <c r="F655" s="25"/>
      <c r="G655" s="25"/>
      <c r="H655" s="22"/>
      <c r="I655" s="22"/>
      <c r="J655" s="27"/>
    </row>
    <row r="656" spans="1:10">
      <c r="A656" s="5"/>
      <c r="B656" s="21"/>
      <c r="C656" s="22"/>
      <c r="D656" s="22"/>
      <c r="E656" s="22"/>
      <c r="F656" s="25"/>
      <c r="G656" s="25"/>
      <c r="H656" s="22"/>
      <c r="I656" s="22"/>
      <c r="J656" s="27"/>
    </row>
    <row r="657" spans="1:10">
      <c r="A657" s="5"/>
      <c r="B657" s="21"/>
      <c r="C657" s="22"/>
      <c r="D657" s="22"/>
      <c r="E657" s="22"/>
      <c r="F657" s="25"/>
      <c r="G657" s="25"/>
      <c r="H657" s="22"/>
      <c r="I657" s="22"/>
      <c r="J657" s="27"/>
    </row>
    <row r="658" spans="1:10">
      <c r="A658" s="5"/>
      <c r="B658" s="21"/>
      <c r="C658" s="22"/>
      <c r="D658" s="22"/>
      <c r="E658" s="22"/>
      <c r="F658" s="25"/>
      <c r="G658" s="25"/>
      <c r="H658" s="22"/>
      <c r="I658" s="22"/>
      <c r="J658" s="27"/>
    </row>
    <row r="659" spans="1:10">
      <c r="A659" s="5"/>
      <c r="B659" s="21"/>
      <c r="C659" s="22"/>
      <c r="D659" s="22"/>
      <c r="E659" s="22"/>
      <c r="F659" s="25"/>
      <c r="G659" s="25"/>
      <c r="H659" s="22"/>
      <c r="I659" s="22"/>
      <c r="J659" s="27"/>
    </row>
    <row r="660" spans="1:10">
      <c r="A660" s="5"/>
      <c r="B660" s="21"/>
      <c r="C660" s="22"/>
      <c r="D660" s="22"/>
      <c r="E660" s="22"/>
      <c r="F660" s="25"/>
      <c r="G660" s="25"/>
      <c r="H660" s="22"/>
      <c r="I660" s="22"/>
      <c r="J660" s="27"/>
    </row>
    <row r="661" spans="1:10">
      <c r="A661" s="5"/>
      <c r="B661" s="21"/>
      <c r="C661" s="22"/>
      <c r="D661" s="22"/>
      <c r="E661" s="22"/>
      <c r="F661" s="25"/>
      <c r="G661" s="25"/>
      <c r="H661" s="22"/>
      <c r="I661" s="22"/>
      <c r="J661" s="27"/>
    </row>
    <row r="662" spans="1:10">
      <c r="A662" s="5"/>
      <c r="B662" s="21"/>
      <c r="C662" s="22"/>
      <c r="D662" s="22"/>
      <c r="E662" s="22"/>
      <c r="F662" s="25"/>
      <c r="G662" s="25"/>
      <c r="H662" s="22"/>
      <c r="I662" s="22"/>
      <c r="J662" s="27"/>
    </row>
    <row r="663" spans="1:10">
      <c r="A663" s="5"/>
      <c r="B663" s="21"/>
      <c r="C663" s="22"/>
      <c r="D663" s="22"/>
      <c r="E663" s="22"/>
      <c r="F663" s="25"/>
      <c r="G663" s="25"/>
      <c r="H663" s="22"/>
      <c r="I663" s="22"/>
      <c r="J663" s="27"/>
    </row>
    <row r="664" spans="1:10">
      <c r="A664" s="5"/>
      <c r="B664" s="21"/>
      <c r="C664" s="22"/>
      <c r="D664" s="22"/>
      <c r="E664" s="22"/>
      <c r="F664" s="25"/>
      <c r="G664" s="25"/>
      <c r="H664" s="22"/>
      <c r="I664" s="22"/>
      <c r="J664" s="27"/>
    </row>
    <row r="665" spans="1:10">
      <c r="A665" s="5"/>
      <c r="B665" s="21"/>
      <c r="C665" s="22"/>
      <c r="D665" s="22"/>
      <c r="E665" s="22"/>
      <c r="F665" s="25"/>
      <c r="G665" s="25"/>
      <c r="H665" s="22"/>
      <c r="I665" s="22"/>
      <c r="J665" s="27"/>
    </row>
    <row r="666" spans="1:10">
      <c r="A666" s="5"/>
      <c r="B666" s="21"/>
      <c r="C666" s="22"/>
      <c r="D666" s="22"/>
      <c r="E666" s="22"/>
      <c r="F666" s="25"/>
      <c r="G666" s="25"/>
      <c r="H666" s="22"/>
      <c r="I666" s="22"/>
      <c r="J666" s="27"/>
    </row>
    <row r="667" spans="1:10">
      <c r="A667" s="5"/>
      <c r="B667" s="21"/>
      <c r="C667" s="22"/>
      <c r="D667" s="22"/>
      <c r="E667" s="22"/>
      <c r="F667" s="25"/>
      <c r="G667" s="25"/>
      <c r="H667" s="22"/>
      <c r="I667" s="22"/>
      <c r="J667" s="27"/>
    </row>
    <row r="668" spans="1:10">
      <c r="A668" s="5"/>
      <c r="B668" s="21"/>
      <c r="C668" s="22"/>
      <c r="D668" s="22"/>
      <c r="E668" s="22"/>
      <c r="F668" s="25"/>
      <c r="G668" s="25"/>
      <c r="H668" s="22"/>
      <c r="I668" s="22"/>
      <c r="J668" s="27"/>
    </row>
    <row r="669" spans="1:10">
      <c r="A669" s="5"/>
      <c r="B669" s="21"/>
      <c r="C669" s="22"/>
      <c r="D669" s="22"/>
      <c r="E669" s="22"/>
      <c r="F669" s="25"/>
      <c r="G669" s="25"/>
      <c r="H669" s="22"/>
      <c r="I669" s="22"/>
      <c r="J669" s="27"/>
    </row>
    <row r="670" spans="1:10">
      <c r="A670" s="5"/>
      <c r="B670" s="21"/>
      <c r="C670" s="22"/>
      <c r="D670" s="22"/>
      <c r="E670" s="22"/>
      <c r="F670" s="25"/>
      <c r="G670" s="25"/>
      <c r="H670" s="22"/>
      <c r="I670" s="22"/>
      <c r="J670" s="27"/>
    </row>
    <row r="671" spans="1:10">
      <c r="A671" s="5"/>
      <c r="B671" s="21"/>
      <c r="C671" s="22"/>
      <c r="D671" s="22"/>
      <c r="E671" s="22"/>
      <c r="F671" s="25"/>
      <c r="G671" s="25"/>
      <c r="H671" s="22"/>
      <c r="I671" s="22"/>
      <c r="J671" s="27"/>
    </row>
    <row r="672" spans="1:10">
      <c r="A672" s="5"/>
      <c r="B672" s="21"/>
      <c r="C672" s="22"/>
      <c r="D672" s="22"/>
      <c r="E672" s="22"/>
      <c r="F672" s="25"/>
      <c r="G672" s="25"/>
      <c r="H672" s="22"/>
      <c r="I672" s="22"/>
      <c r="J672" s="27"/>
    </row>
    <row r="673" spans="1:10">
      <c r="A673" s="5"/>
      <c r="B673" s="21"/>
      <c r="C673" s="22"/>
      <c r="D673" s="22"/>
      <c r="E673" s="22"/>
      <c r="F673" s="25"/>
      <c r="G673" s="25"/>
      <c r="H673" s="22"/>
      <c r="I673" s="22"/>
      <c r="J673" s="27"/>
    </row>
    <row r="674" spans="1:10">
      <c r="A674" s="5"/>
      <c r="B674" s="21"/>
      <c r="C674" s="22"/>
      <c r="D674" s="22"/>
      <c r="E674" s="22"/>
      <c r="F674" s="25"/>
      <c r="G674" s="25"/>
      <c r="H674" s="22"/>
      <c r="I674" s="22"/>
      <c r="J674" s="27"/>
    </row>
    <row r="675" spans="1:10">
      <c r="A675" s="5"/>
      <c r="B675" s="21"/>
      <c r="C675" s="22"/>
      <c r="D675" s="22"/>
      <c r="E675" s="22"/>
      <c r="F675" s="25"/>
      <c r="G675" s="25"/>
      <c r="H675" s="22"/>
      <c r="I675" s="22"/>
      <c r="J675" s="27"/>
    </row>
    <row r="676" spans="1:10">
      <c r="A676" s="5"/>
      <c r="B676" s="21"/>
      <c r="C676" s="22"/>
      <c r="D676" s="22"/>
      <c r="E676" s="22"/>
      <c r="F676" s="25"/>
      <c r="G676" s="25"/>
      <c r="H676" s="22"/>
      <c r="I676" s="22"/>
      <c r="J676" s="27"/>
    </row>
    <row r="677" spans="1:10">
      <c r="A677" s="5"/>
      <c r="B677" s="21"/>
      <c r="C677" s="22"/>
      <c r="D677" s="22"/>
      <c r="E677" s="22"/>
      <c r="F677" s="25"/>
      <c r="G677" s="25"/>
      <c r="H677" s="22"/>
      <c r="I677" s="22"/>
      <c r="J677" s="27"/>
    </row>
    <row r="678" spans="1:10">
      <c r="A678" s="5"/>
      <c r="B678" s="21"/>
      <c r="C678" s="22"/>
      <c r="D678" s="22"/>
      <c r="E678" s="22"/>
      <c r="F678" s="25"/>
      <c r="G678" s="25"/>
      <c r="H678" s="22"/>
      <c r="I678" s="22"/>
      <c r="J678" s="27"/>
    </row>
    <row r="679" spans="1:10">
      <c r="A679" s="5"/>
      <c r="B679" s="21"/>
      <c r="C679" s="22"/>
      <c r="D679" s="22"/>
      <c r="E679" s="22"/>
      <c r="F679" s="25"/>
      <c r="G679" s="25"/>
      <c r="H679" s="22"/>
      <c r="I679" s="22"/>
      <c r="J679" s="27"/>
    </row>
    <row r="680" spans="1:10">
      <c r="A680" s="5"/>
      <c r="B680" s="21"/>
      <c r="C680" s="22"/>
      <c r="D680" s="22"/>
      <c r="E680" s="22"/>
      <c r="F680" s="25"/>
      <c r="G680" s="25"/>
      <c r="H680" s="22"/>
      <c r="I680" s="22"/>
      <c r="J680" s="27"/>
    </row>
    <row r="681" spans="1:10">
      <c r="A681" s="5"/>
      <c r="B681" s="21"/>
      <c r="C681" s="22"/>
      <c r="D681" s="22"/>
      <c r="E681" s="22"/>
      <c r="F681" s="25"/>
      <c r="G681" s="25"/>
      <c r="H681" s="22"/>
      <c r="I681" s="22"/>
      <c r="J681" s="27"/>
    </row>
    <row r="682" spans="1:10">
      <c r="A682" s="5"/>
      <c r="B682" s="21"/>
      <c r="C682" s="22"/>
      <c r="D682" s="22"/>
      <c r="E682" s="22"/>
      <c r="F682" s="25"/>
      <c r="G682" s="25"/>
      <c r="H682" s="22"/>
      <c r="I682" s="22"/>
      <c r="J682" s="27"/>
    </row>
    <row r="683" spans="1:10">
      <c r="A683" s="5"/>
      <c r="B683" s="21"/>
      <c r="C683" s="22"/>
      <c r="D683" s="22"/>
      <c r="E683" s="22"/>
      <c r="F683" s="25"/>
      <c r="G683" s="25"/>
      <c r="H683" s="22"/>
      <c r="I683" s="22"/>
      <c r="J683" s="27"/>
    </row>
    <row r="684" spans="1:10">
      <c r="A684" s="5"/>
      <c r="B684" s="21"/>
      <c r="C684" s="22"/>
      <c r="D684" s="22"/>
      <c r="E684" s="22"/>
      <c r="F684" s="25"/>
      <c r="G684" s="25"/>
      <c r="H684" s="22"/>
      <c r="I684" s="22"/>
      <c r="J684" s="27"/>
    </row>
    <row r="685" spans="1:10">
      <c r="A685" s="5"/>
      <c r="B685" s="21"/>
      <c r="C685" s="22"/>
      <c r="D685" s="22"/>
      <c r="E685" s="22"/>
      <c r="F685" s="25"/>
      <c r="G685" s="25"/>
      <c r="H685" s="22"/>
      <c r="I685" s="22"/>
      <c r="J685" s="27"/>
    </row>
    <row r="686" spans="1:10">
      <c r="A686" s="5"/>
      <c r="B686" s="21"/>
      <c r="C686" s="22"/>
      <c r="D686" s="22"/>
      <c r="E686" s="22"/>
      <c r="F686" s="25"/>
      <c r="G686" s="25"/>
      <c r="H686" s="22"/>
      <c r="I686" s="22"/>
      <c r="J686" s="27"/>
    </row>
    <row r="687" spans="1:10">
      <c r="A687" s="5"/>
      <c r="B687" s="21"/>
      <c r="C687" s="22"/>
      <c r="D687" s="22"/>
      <c r="E687" s="22"/>
      <c r="F687" s="25"/>
      <c r="G687" s="25"/>
      <c r="H687" s="22"/>
      <c r="I687" s="22"/>
      <c r="J687" s="27"/>
    </row>
    <row r="688" spans="1:10">
      <c r="A688" s="5"/>
      <c r="B688" s="21"/>
      <c r="C688" s="22"/>
      <c r="D688" s="22"/>
      <c r="E688" s="22"/>
      <c r="F688" s="25"/>
      <c r="G688" s="25"/>
      <c r="H688" s="22"/>
      <c r="I688" s="22"/>
      <c r="J688" s="27"/>
    </row>
    <row r="689" spans="1:10">
      <c r="A689" s="5"/>
      <c r="B689" s="21"/>
      <c r="C689" s="22"/>
      <c r="D689" s="22"/>
      <c r="E689" s="22"/>
      <c r="F689" s="25"/>
      <c r="G689" s="25"/>
      <c r="H689" s="22"/>
      <c r="I689" s="22"/>
      <c r="J689" s="27"/>
    </row>
    <row r="690" spans="1:10">
      <c r="A690" s="5"/>
      <c r="B690" s="21"/>
      <c r="C690" s="22"/>
      <c r="D690" s="22"/>
      <c r="E690" s="22"/>
      <c r="F690" s="25"/>
      <c r="G690" s="25"/>
      <c r="H690" s="22"/>
      <c r="I690" s="22"/>
      <c r="J690" s="27"/>
    </row>
    <row r="691" spans="1:10">
      <c r="A691" s="5"/>
      <c r="B691" s="21"/>
      <c r="C691" s="22"/>
      <c r="D691" s="22"/>
      <c r="E691" s="22"/>
      <c r="F691" s="25"/>
      <c r="G691" s="25"/>
      <c r="H691" s="22"/>
      <c r="I691" s="22"/>
      <c r="J691" s="27"/>
    </row>
    <row r="692" spans="1:10">
      <c r="A692" s="5"/>
      <c r="B692" s="21"/>
      <c r="C692" s="22"/>
      <c r="D692" s="22"/>
      <c r="E692" s="22"/>
      <c r="F692" s="25"/>
      <c r="G692" s="25"/>
      <c r="H692" s="22"/>
      <c r="I692" s="22"/>
      <c r="J692" s="27"/>
    </row>
    <row r="693" spans="1:10">
      <c r="A693" s="5"/>
      <c r="B693" s="21"/>
      <c r="C693" s="22"/>
      <c r="D693" s="22"/>
      <c r="E693" s="22"/>
      <c r="F693" s="25"/>
      <c r="G693" s="25"/>
      <c r="H693" s="22"/>
      <c r="I693" s="22"/>
      <c r="J693" s="27"/>
    </row>
    <row r="694" spans="1:10">
      <c r="A694" s="5"/>
      <c r="B694" s="21"/>
      <c r="C694" s="22"/>
      <c r="D694" s="22"/>
      <c r="E694" s="22"/>
      <c r="F694" s="25"/>
      <c r="G694" s="25"/>
      <c r="H694" s="22"/>
      <c r="I694" s="22"/>
      <c r="J694" s="27"/>
    </row>
    <row r="695" spans="1:10">
      <c r="A695" s="5"/>
      <c r="B695" s="21"/>
      <c r="C695" s="22"/>
      <c r="D695" s="22"/>
      <c r="E695" s="22"/>
      <c r="F695" s="25"/>
      <c r="G695" s="25"/>
      <c r="H695" s="22"/>
      <c r="I695" s="22"/>
      <c r="J695" s="27"/>
    </row>
    <row r="696" spans="1:10">
      <c r="A696" s="5"/>
      <c r="B696" s="21"/>
      <c r="C696" s="22"/>
      <c r="D696" s="22"/>
      <c r="E696" s="22"/>
      <c r="F696" s="25"/>
      <c r="G696" s="25"/>
      <c r="H696" s="22"/>
      <c r="I696" s="22"/>
      <c r="J696" s="27"/>
    </row>
    <row r="697" spans="1:10">
      <c r="A697" s="5"/>
      <c r="B697" s="21"/>
      <c r="C697" s="22"/>
      <c r="D697" s="22"/>
      <c r="E697" s="22"/>
      <c r="F697" s="25"/>
      <c r="G697" s="25"/>
      <c r="H697" s="22"/>
      <c r="I697" s="22"/>
      <c r="J697" s="27"/>
    </row>
    <row r="698" spans="1:10">
      <c r="A698" s="5"/>
      <c r="B698" s="21"/>
      <c r="C698" s="22"/>
      <c r="D698" s="22"/>
      <c r="E698" s="22"/>
      <c r="F698" s="25"/>
      <c r="G698" s="25"/>
      <c r="H698" s="22"/>
      <c r="I698" s="22"/>
      <c r="J698" s="27"/>
    </row>
    <row r="699" spans="1:10">
      <c r="A699" s="5"/>
      <c r="B699" s="21"/>
      <c r="C699" s="22"/>
      <c r="D699" s="22"/>
      <c r="E699" s="22"/>
      <c r="F699" s="25"/>
      <c r="G699" s="25"/>
      <c r="H699" s="22"/>
      <c r="I699" s="22"/>
      <c r="J699" s="27"/>
    </row>
    <row r="700" spans="1:10">
      <c r="A700" s="5"/>
      <c r="B700" s="21"/>
      <c r="C700" s="22"/>
      <c r="D700" s="22"/>
      <c r="E700" s="22"/>
      <c r="F700" s="25"/>
      <c r="G700" s="25"/>
      <c r="H700" s="22"/>
      <c r="I700" s="22"/>
      <c r="J700" s="27"/>
    </row>
    <row r="701" spans="1:10">
      <c r="A701" s="5"/>
      <c r="B701" s="21"/>
      <c r="C701" s="22"/>
      <c r="D701" s="22"/>
      <c r="E701" s="22"/>
      <c r="F701" s="25"/>
      <c r="G701" s="25"/>
      <c r="H701" s="22"/>
      <c r="I701" s="22"/>
      <c r="J701" s="27"/>
    </row>
    <row r="702" spans="1:10">
      <c r="A702" s="5"/>
      <c r="B702" s="21"/>
      <c r="C702" s="22"/>
      <c r="D702" s="22"/>
      <c r="E702" s="22"/>
      <c r="F702" s="25"/>
      <c r="G702" s="25"/>
      <c r="H702" s="22"/>
      <c r="I702" s="22"/>
      <c r="J702" s="27"/>
    </row>
    <row r="703" spans="1:10">
      <c r="A703" s="5"/>
      <c r="B703" s="21"/>
      <c r="C703" s="22"/>
      <c r="D703" s="22"/>
      <c r="E703" s="22"/>
      <c r="F703" s="25"/>
      <c r="G703" s="25"/>
      <c r="H703" s="22"/>
      <c r="I703" s="22"/>
      <c r="J703" s="27"/>
    </row>
    <row r="704" spans="1:10">
      <c r="A704" s="5"/>
      <c r="B704" s="21"/>
      <c r="C704" s="22"/>
      <c r="D704" s="22"/>
      <c r="E704" s="22"/>
      <c r="F704" s="25"/>
      <c r="G704" s="25"/>
      <c r="H704" s="22"/>
      <c r="I704" s="22"/>
      <c r="J704" s="27"/>
    </row>
    <row r="705" spans="1:10">
      <c r="A705" s="5"/>
      <c r="B705" s="21"/>
      <c r="C705" s="22"/>
      <c r="D705" s="22"/>
      <c r="E705" s="22"/>
      <c r="F705" s="25"/>
      <c r="G705" s="25"/>
      <c r="H705" s="22"/>
      <c r="I705" s="22"/>
      <c r="J705" s="27"/>
    </row>
    <row r="706" spans="1:10">
      <c r="A706" s="5"/>
      <c r="B706" s="21"/>
      <c r="C706" s="22"/>
      <c r="D706" s="22"/>
      <c r="E706" s="22"/>
      <c r="F706" s="25"/>
      <c r="G706" s="25"/>
      <c r="H706" s="22"/>
      <c r="I706" s="22"/>
      <c r="J706" s="27"/>
    </row>
    <row r="707" spans="1:10">
      <c r="A707" s="5"/>
      <c r="B707" s="21"/>
      <c r="C707" s="22"/>
      <c r="D707" s="22"/>
      <c r="E707" s="22"/>
      <c r="F707" s="25"/>
      <c r="G707" s="25"/>
      <c r="H707" s="22"/>
      <c r="I707" s="22"/>
      <c r="J707" s="27"/>
    </row>
    <row r="708" spans="1:10">
      <c r="A708" s="5"/>
      <c r="B708" s="21"/>
      <c r="C708" s="22"/>
      <c r="D708" s="22"/>
      <c r="E708" s="22"/>
      <c r="F708" s="25"/>
      <c r="G708" s="25"/>
      <c r="H708" s="22"/>
      <c r="I708" s="22"/>
      <c r="J708" s="27"/>
    </row>
    <row r="709" spans="1:10">
      <c r="A709" s="5"/>
      <c r="B709" s="21"/>
      <c r="C709" s="22"/>
      <c r="D709" s="22"/>
      <c r="E709" s="22"/>
      <c r="F709" s="25"/>
      <c r="G709" s="25"/>
      <c r="H709" s="22"/>
      <c r="I709" s="22"/>
      <c r="J709" s="27"/>
    </row>
    <row r="710" spans="1:10">
      <c r="A710" s="5"/>
      <c r="B710" s="21"/>
      <c r="C710" s="22"/>
      <c r="D710" s="22"/>
      <c r="E710" s="22"/>
      <c r="F710" s="25"/>
      <c r="G710" s="25"/>
      <c r="H710" s="22"/>
      <c r="I710" s="22"/>
      <c r="J710" s="27"/>
    </row>
    <row r="711" spans="1:10">
      <c r="A711" s="5"/>
      <c r="B711" s="21"/>
      <c r="C711" s="22"/>
      <c r="D711" s="22"/>
      <c r="E711" s="22"/>
      <c r="F711" s="25"/>
      <c r="G711" s="25"/>
      <c r="H711" s="22"/>
      <c r="I711" s="22"/>
      <c r="J711" s="27"/>
    </row>
    <row r="712" spans="1:10">
      <c r="A712" s="5"/>
      <c r="B712" s="21"/>
      <c r="C712" s="22"/>
      <c r="D712" s="22"/>
      <c r="E712" s="22"/>
      <c r="F712" s="25"/>
      <c r="G712" s="25"/>
      <c r="H712" s="22"/>
      <c r="I712" s="22"/>
      <c r="J712" s="27"/>
    </row>
    <row r="713" spans="1:10">
      <c r="A713" s="5"/>
      <c r="B713" s="21"/>
      <c r="C713" s="22"/>
      <c r="D713" s="22"/>
      <c r="E713" s="22"/>
      <c r="F713" s="25"/>
      <c r="G713" s="25"/>
      <c r="H713" s="22"/>
      <c r="I713" s="22"/>
      <c r="J713" s="27"/>
    </row>
    <row r="714" spans="1:10">
      <c r="A714" s="5"/>
      <c r="B714" s="21"/>
      <c r="C714" s="22"/>
      <c r="D714" s="22"/>
      <c r="E714" s="22"/>
      <c r="F714" s="25"/>
      <c r="G714" s="25"/>
      <c r="H714" s="22"/>
      <c r="I714" s="22"/>
      <c r="J714" s="27"/>
    </row>
    <row r="715" spans="1:10">
      <c r="A715" s="5"/>
      <c r="B715" s="21"/>
      <c r="C715" s="22"/>
      <c r="D715" s="22"/>
      <c r="E715" s="22"/>
      <c r="F715" s="25"/>
      <c r="G715" s="25"/>
      <c r="H715" s="22"/>
      <c r="I715" s="22"/>
      <c r="J715" s="27"/>
    </row>
    <row r="716" spans="1:10">
      <c r="A716" s="5"/>
      <c r="B716" s="21"/>
      <c r="C716" s="22"/>
      <c r="D716" s="22"/>
      <c r="E716" s="22"/>
      <c r="F716" s="25"/>
      <c r="G716" s="25"/>
      <c r="H716" s="22"/>
      <c r="I716" s="22"/>
      <c r="J716" s="27"/>
    </row>
    <row r="717" spans="1:10">
      <c r="A717" s="5"/>
      <c r="B717" s="21"/>
      <c r="C717" s="22"/>
      <c r="D717" s="22"/>
      <c r="E717" s="22"/>
      <c r="F717" s="25"/>
      <c r="G717" s="25"/>
      <c r="H717" s="22"/>
      <c r="I717" s="22"/>
      <c r="J717" s="27"/>
    </row>
    <row r="718" spans="1:10">
      <c r="A718" s="5"/>
      <c r="B718" s="21"/>
      <c r="C718" s="22"/>
      <c r="D718" s="22"/>
      <c r="E718" s="22"/>
      <c r="F718" s="25"/>
      <c r="G718" s="25"/>
      <c r="H718" s="22"/>
      <c r="I718" s="22"/>
      <c r="J718" s="27"/>
    </row>
    <row r="719" spans="1:10">
      <c r="A719" s="5"/>
      <c r="B719" s="21"/>
      <c r="C719" s="22"/>
      <c r="D719" s="22"/>
      <c r="E719" s="22"/>
      <c r="F719" s="25"/>
      <c r="G719" s="25"/>
      <c r="H719" s="22"/>
      <c r="I719" s="22"/>
      <c r="J719" s="27"/>
    </row>
    <row r="720" spans="1:10">
      <c r="A720" s="5"/>
      <c r="B720" s="21"/>
      <c r="C720" s="22"/>
      <c r="D720" s="22"/>
      <c r="E720" s="22"/>
      <c r="F720" s="25"/>
      <c r="G720" s="25"/>
      <c r="H720" s="22"/>
      <c r="I720" s="22"/>
      <c r="J720" s="27"/>
    </row>
    <row r="721" spans="1:10">
      <c r="A721" s="5"/>
      <c r="B721" s="21"/>
      <c r="C721" s="22"/>
      <c r="D721" s="22"/>
      <c r="E721" s="22"/>
      <c r="F721" s="25"/>
      <c r="G721" s="25"/>
      <c r="H721" s="22"/>
      <c r="I721" s="22"/>
      <c r="J721" s="27"/>
    </row>
    <row r="722" spans="1:10">
      <c r="A722" s="5"/>
      <c r="B722" s="21"/>
      <c r="C722" s="22"/>
      <c r="D722" s="22"/>
      <c r="E722" s="22"/>
      <c r="F722" s="25"/>
      <c r="G722" s="25"/>
      <c r="H722" s="22"/>
      <c r="I722" s="22"/>
      <c r="J722" s="27"/>
    </row>
    <row r="723" spans="1:10">
      <c r="A723" s="5"/>
      <c r="B723" s="21"/>
      <c r="C723" s="22"/>
      <c r="D723" s="22"/>
      <c r="E723" s="22"/>
      <c r="F723" s="25"/>
      <c r="G723" s="25"/>
      <c r="H723" s="22"/>
      <c r="I723" s="22"/>
      <c r="J723" s="27"/>
    </row>
    <row r="724" spans="1:10">
      <c r="A724" s="5"/>
      <c r="B724" s="21"/>
      <c r="C724" s="22"/>
      <c r="D724" s="22"/>
      <c r="E724" s="22"/>
      <c r="F724" s="25"/>
      <c r="G724" s="25"/>
      <c r="H724" s="22"/>
      <c r="I724" s="22"/>
      <c r="J724" s="27"/>
    </row>
    <row r="725" spans="1:10">
      <c r="A725" s="5"/>
      <c r="B725" s="21"/>
      <c r="C725" s="22"/>
      <c r="D725" s="22"/>
      <c r="E725" s="22"/>
      <c r="F725" s="25"/>
      <c r="G725" s="25"/>
      <c r="H725" s="22"/>
      <c r="I725" s="22"/>
      <c r="J725" s="27"/>
    </row>
    <row r="726" spans="1:10">
      <c r="A726" s="5"/>
      <c r="B726" s="21"/>
      <c r="C726" s="22"/>
      <c r="D726" s="22"/>
      <c r="E726" s="22"/>
      <c r="F726" s="25"/>
      <c r="G726" s="25"/>
      <c r="H726" s="22"/>
      <c r="I726" s="22"/>
      <c r="J726" s="27"/>
    </row>
    <row r="727" spans="1:10">
      <c r="A727" s="5"/>
      <c r="B727" s="21"/>
      <c r="C727" s="22"/>
      <c r="D727" s="22"/>
      <c r="E727" s="22"/>
      <c r="F727" s="25"/>
      <c r="G727" s="25"/>
      <c r="H727" s="22"/>
      <c r="I727" s="22"/>
      <c r="J727" s="27"/>
    </row>
    <row r="728" spans="1:10">
      <c r="A728" s="5"/>
      <c r="B728" s="21"/>
      <c r="C728" s="22"/>
      <c r="D728" s="22"/>
      <c r="E728" s="22"/>
      <c r="F728" s="25"/>
      <c r="G728" s="25"/>
      <c r="H728" s="22"/>
      <c r="I728" s="22"/>
      <c r="J728" s="27"/>
    </row>
    <row r="729" spans="1:10">
      <c r="A729" s="5"/>
      <c r="B729" s="21"/>
      <c r="C729" s="22"/>
      <c r="D729" s="22"/>
      <c r="E729" s="22"/>
      <c r="F729" s="25"/>
      <c r="G729" s="25"/>
      <c r="H729" s="22"/>
      <c r="I729" s="22"/>
      <c r="J729" s="27"/>
    </row>
    <row r="730" spans="1:10">
      <c r="A730" s="5"/>
      <c r="B730" s="21"/>
      <c r="C730" s="22"/>
      <c r="D730" s="22"/>
      <c r="E730" s="22"/>
      <c r="F730" s="25"/>
      <c r="G730" s="25"/>
      <c r="H730" s="22"/>
      <c r="I730" s="22"/>
      <c r="J730" s="27"/>
    </row>
    <row r="731" spans="1:10">
      <c r="A731" s="5"/>
      <c r="B731" s="21"/>
      <c r="C731" s="22"/>
      <c r="D731" s="22"/>
      <c r="E731" s="22"/>
      <c r="F731" s="25"/>
      <c r="G731" s="25"/>
      <c r="H731" s="22"/>
      <c r="I731" s="22"/>
      <c r="J731" s="27"/>
    </row>
    <row r="732" spans="1:10">
      <c r="A732" s="5"/>
      <c r="B732" s="21"/>
      <c r="C732" s="22"/>
      <c r="D732" s="22"/>
      <c r="E732" s="22"/>
      <c r="F732" s="25"/>
      <c r="G732" s="25"/>
      <c r="H732" s="22"/>
      <c r="I732" s="22"/>
      <c r="J732" s="27"/>
    </row>
    <row r="733" spans="1:10">
      <c r="A733" s="5"/>
      <c r="B733" s="21"/>
      <c r="C733" s="22"/>
      <c r="D733" s="22"/>
      <c r="E733" s="22"/>
      <c r="F733" s="25"/>
      <c r="G733" s="25"/>
      <c r="H733" s="22"/>
      <c r="I733" s="22"/>
      <c r="J733" s="27"/>
    </row>
    <row r="734" spans="1:10">
      <c r="A734" s="5"/>
      <c r="B734" s="21"/>
      <c r="C734" s="22"/>
      <c r="D734" s="22"/>
      <c r="E734" s="22"/>
      <c r="F734" s="25"/>
      <c r="G734" s="25"/>
      <c r="H734" s="22"/>
      <c r="I734" s="22"/>
      <c r="J734" s="27"/>
    </row>
    <row r="735" spans="1:10">
      <c r="A735" s="5"/>
      <c r="B735" s="21"/>
      <c r="C735" s="22"/>
      <c r="D735" s="22"/>
      <c r="E735" s="22"/>
      <c r="F735" s="25"/>
      <c r="G735" s="25"/>
      <c r="H735" s="22"/>
      <c r="I735" s="22"/>
      <c r="J735" s="27"/>
    </row>
    <row r="736" spans="1:10">
      <c r="A736" s="5"/>
      <c r="B736" s="21"/>
      <c r="C736" s="22"/>
      <c r="D736" s="22"/>
      <c r="E736" s="22"/>
      <c r="F736" s="25"/>
      <c r="G736" s="25"/>
      <c r="H736" s="22"/>
      <c r="I736" s="22"/>
      <c r="J736" s="27"/>
    </row>
    <row r="737" spans="1:10">
      <c r="A737" s="5"/>
      <c r="B737" s="21"/>
      <c r="C737" s="22"/>
      <c r="D737" s="22"/>
      <c r="E737" s="22"/>
      <c r="F737" s="25"/>
      <c r="G737" s="25"/>
      <c r="H737" s="22"/>
      <c r="I737" s="22"/>
      <c r="J737" s="27"/>
    </row>
    <row r="738" spans="1:10">
      <c r="A738" s="5"/>
      <c r="B738" s="21"/>
      <c r="C738" s="22"/>
      <c r="D738" s="22"/>
      <c r="E738" s="22"/>
      <c r="F738" s="25"/>
      <c r="G738" s="25"/>
      <c r="H738" s="22"/>
      <c r="I738" s="22"/>
      <c r="J738" s="27"/>
    </row>
    <row r="739" spans="1:10">
      <c r="A739" s="5"/>
      <c r="B739" s="21"/>
      <c r="C739" s="22"/>
      <c r="D739" s="22"/>
      <c r="E739" s="22"/>
      <c r="F739" s="25"/>
      <c r="G739" s="25"/>
      <c r="H739" s="22"/>
      <c r="I739" s="22"/>
      <c r="J739" s="27"/>
    </row>
    <row r="740" spans="1:10">
      <c r="A740" s="5"/>
      <c r="B740" s="21"/>
      <c r="C740" s="22"/>
      <c r="D740" s="22"/>
      <c r="E740" s="22"/>
      <c r="F740" s="25"/>
      <c r="G740" s="25"/>
      <c r="H740" s="22"/>
      <c r="I740" s="22"/>
      <c r="J740" s="27"/>
    </row>
    <row r="741" spans="1:10">
      <c r="A741" s="5"/>
      <c r="B741" s="21"/>
      <c r="C741" s="22"/>
      <c r="D741" s="22"/>
      <c r="E741" s="22"/>
      <c r="F741" s="25"/>
      <c r="G741" s="25"/>
      <c r="H741" s="22"/>
      <c r="I741" s="22"/>
      <c r="J741" s="27"/>
    </row>
    <row r="742" spans="1:10">
      <c r="A742" s="5"/>
      <c r="B742" s="21"/>
      <c r="C742" s="22"/>
      <c r="D742" s="22"/>
      <c r="E742" s="22"/>
      <c r="F742" s="25"/>
      <c r="G742" s="25"/>
      <c r="H742" s="22"/>
      <c r="I742" s="22"/>
      <c r="J742" s="27"/>
    </row>
    <row r="743" spans="1:10">
      <c r="A743" s="5"/>
      <c r="B743" s="21"/>
      <c r="C743" s="22"/>
      <c r="D743" s="22"/>
      <c r="E743" s="22"/>
      <c r="F743" s="25"/>
      <c r="G743" s="25"/>
      <c r="H743" s="22"/>
      <c r="I743" s="22"/>
      <c r="J743" s="27"/>
    </row>
    <row r="744" spans="1:10">
      <c r="A744" s="5"/>
      <c r="B744" s="21"/>
      <c r="C744" s="22"/>
      <c r="D744" s="22"/>
      <c r="E744" s="22"/>
      <c r="F744" s="25"/>
      <c r="G744" s="25"/>
      <c r="H744" s="22"/>
      <c r="I744" s="22"/>
      <c r="J744" s="27"/>
    </row>
    <row r="745" spans="1:10">
      <c r="A745" s="5"/>
      <c r="B745" s="21"/>
      <c r="C745" s="22"/>
      <c r="D745" s="22"/>
      <c r="E745" s="22"/>
      <c r="F745" s="25"/>
      <c r="G745" s="25"/>
      <c r="H745" s="22"/>
      <c r="I745" s="22"/>
      <c r="J745" s="27"/>
    </row>
    <row r="746" spans="1:10">
      <c r="A746" s="5"/>
      <c r="B746" s="21"/>
      <c r="C746" s="22"/>
      <c r="D746" s="22"/>
      <c r="E746" s="22"/>
      <c r="F746" s="25"/>
      <c r="G746" s="25"/>
      <c r="H746" s="22"/>
      <c r="I746" s="22"/>
      <c r="J746" s="27"/>
    </row>
    <row r="747" spans="1:10">
      <c r="A747" s="5"/>
      <c r="B747" s="21"/>
      <c r="C747" s="22"/>
      <c r="D747" s="22"/>
      <c r="E747" s="22"/>
      <c r="F747" s="25"/>
      <c r="G747" s="25"/>
      <c r="H747" s="22"/>
      <c r="I747" s="22"/>
      <c r="J747" s="27"/>
    </row>
    <row r="748" spans="1:10">
      <c r="A748" s="5"/>
      <c r="B748" s="21"/>
      <c r="C748" s="22"/>
      <c r="D748" s="22"/>
      <c r="E748" s="22"/>
      <c r="F748" s="25"/>
      <c r="G748" s="25"/>
      <c r="H748" s="22"/>
      <c r="I748" s="22"/>
      <c r="J748" s="27"/>
    </row>
    <row r="749" spans="1:10">
      <c r="A749" s="5"/>
      <c r="B749" s="21"/>
      <c r="C749" s="22"/>
      <c r="D749" s="22"/>
      <c r="E749" s="22"/>
      <c r="F749" s="25"/>
      <c r="G749" s="25"/>
      <c r="H749" s="22"/>
      <c r="I749" s="22"/>
      <c r="J749" s="27"/>
    </row>
    <row r="750" spans="1:10">
      <c r="A750" s="5"/>
      <c r="B750" s="21"/>
      <c r="C750" s="22"/>
      <c r="D750" s="22"/>
      <c r="E750" s="22"/>
      <c r="F750" s="25"/>
      <c r="G750" s="25"/>
      <c r="H750" s="22"/>
      <c r="I750" s="22"/>
      <c r="J750" s="27"/>
    </row>
    <row r="751" spans="1:10">
      <c r="A751" s="5"/>
      <c r="B751" s="21"/>
      <c r="C751" s="22"/>
      <c r="D751" s="22"/>
      <c r="E751" s="22"/>
      <c r="F751" s="25"/>
      <c r="G751" s="25"/>
      <c r="H751" s="22"/>
      <c r="I751" s="22"/>
      <c r="J751" s="27"/>
    </row>
    <row r="752" spans="1:10">
      <c r="A752" s="5"/>
      <c r="B752" s="21"/>
      <c r="C752" s="22"/>
      <c r="D752" s="22"/>
      <c r="E752" s="22"/>
      <c r="F752" s="25"/>
      <c r="G752" s="25"/>
      <c r="H752" s="22"/>
      <c r="I752" s="22"/>
      <c r="J752" s="27"/>
    </row>
    <row r="753" spans="1:10">
      <c r="A753" s="5"/>
      <c r="B753" s="21"/>
      <c r="C753" s="22"/>
      <c r="D753" s="22"/>
      <c r="E753" s="22"/>
      <c r="F753" s="25"/>
      <c r="G753" s="25"/>
      <c r="H753" s="22"/>
      <c r="I753" s="22"/>
      <c r="J753" s="27"/>
    </row>
    <row r="754" spans="1:10">
      <c r="A754" s="5"/>
      <c r="B754" s="21"/>
      <c r="C754" s="22"/>
      <c r="D754" s="22"/>
      <c r="E754" s="22"/>
      <c r="F754" s="25"/>
      <c r="G754" s="25"/>
      <c r="H754" s="22"/>
      <c r="I754" s="22"/>
      <c r="J754" s="27"/>
    </row>
    <row r="755" spans="1:10">
      <c r="A755" s="5"/>
      <c r="B755" s="21"/>
      <c r="C755" s="22"/>
      <c r="D755" s="22"/>
      <c r="E755" s="22"/>
      <c r="F755" s="25"/>
      <c r="G755" s="25"/>
      <c r="H755" s="22"/>
      <c r="I755" s="22"/>
      <c r="J755" s="27"/>
    </row>
    <row r="756" spans="1:10">
      <c r="A756" s="5"/>
      <c r="B756" s="21"/>
      <c r="C756" s="22"/>
      <c r="D756" s="22"/>
      <c r="E756" s="22"/>
      <c r="F756" s="25"/>
      <c r="G756" s="25"/>
      <c r="H756" s="22"/>
      <c r="I756" s="22"/>
      <c r="J756" s="27"/>
    </row>
    <row r="757" spans="1:10">
      <c r="A757" s="5"/>
      <c r="B757" s="21"/>
      <c r="C757" s="22"/>
      <c r="D757" s="22"/>
      <c r="E757" s="22"/>
      <c r="F757" s="25"/>
      <c r="G757" s="25"/>
      <c r="H757" s="22"/>
      <c r="I757" s="22"/>
      <c r="J757" s="27"/>
    </row>
    <row r="758" spans="1:10">
      <c r="A758" s="5"/>
      <c r="B758" s="21"/>
      <c r="C758" s="22"/>
      <c r="D758" s="22"/>
      <c r="E758" s="22"/>
      <c r="F758" s="25"/>
      <c r="G758" s="25"/>
      <c r="H758" s="22"/>
      <c r="I758" s="22"/>
      <c r="J758" s="27"/>
    </row>
    <row r="759" spans="1:10">
      <c r="A759" s="5"/>
      <c r="B759" s="21"/>
      <c r="C759" s="22"/>
      <c r="D759" s="22"/>
      <c r="E759" s="22"/>
      <c r="F759" s="25"/>
      <c r="G759" s="25"/>
      <c r="H759" s="22"/>
      <c r="I759" s="22"/>
      <c r="J759" s="27"/>
    </row>
    <row r="760" spans="1:10">
      <c r="A760" s="5"/>
      <c r="B760" s="21"/>
      <c r="C760" s="22"/>
      <c r="D760" s="22"/>
      <c r="E760" s="22"/>
      <c r="F760" s="25"/>
      <c r="G760" s="25"/>
      <c r="H760" s="22"/>
      <c r="I760" s="22"/>
      <c r="J760" s="27"/>
    </row>
    <row r="761" spans="1:10">
      <c r="A761" s="5"/>
      <c r="B761" s="21"/>
      <c r="C761" s="22"/>
      <c r="D761" s="22"/>
      <c r="E761" s="22"/>
      <c r="F761" s="25"/>
      <c r="G761" s="25"/>
      <c r="H761" s="22"/>
      <c r="I761" s="22"/>
      <c r="J761" s="27"/>
    </row>
    <row r="762" spans="1:10">
      <c r="A762" s="5"/>
      <c r="B762" s="21"/>
      <c r="C762" s="22"/>
      <c r="D762" s="22"/>
      <c r="E762" s="22"/>
      <c r="F762" s="25"/>
      <c r="G762" s="25"/>
      <c r="H762" s="22"/>
      <c r="I762" s="22"/>
      <c r="J762" s="27"/>
    </row>
    <row r="763" spans="1:10">
      <c r="A763" s="5"/>
      <c r="B763" s="21"/>
      <c r="C763" s="22"/>
      <c r="D763" s="22"/>
      <c r="E763" s="22"/>
      <c r="F763" s="25"/>
      <c r="G763" s="25"/>
      <c r="H763" s="22"/>
      <c r="I763" s="22"/>
      <c r="J763" s="27"/>
    </row>
    <row r="764" spans="1:10">
      <c r="A764" s="5"/>
      <c r="B764" s="21"/>
      <c r="C764" s="22"/>
      <c r="D764" s="22"/>
      <c r="E764" s="22"/>
      <c r="F764" s="25"/>
      <c r="G764" s="25"/>
      <c r="H764" s="22"/>
      <c r="I764" s="22"/>
      <c r="J764" s="27"/>
    </row>
    <row r="765" spans="1:10">
      <c r="A765" s="5"/>
      <c r="B765" s="21"/>
      <c r="C765" s="22"/>
      <c r="D765" s="22"/>
      <c r="E765" s="22"/>
      <c r="F765" s="25"/>
      <c r="G765" s="25"/>
      <c r="H765" s="22"/>
      <c r="I765" s="22"/>
      <c r="J765" s="27"/>
    </row>
    <row r="766" spans="1:10">
      <c r="A766" s="5"/>
      <c r="B766" s="21"/>
      <c r="C766" s="22"/>
      <c r="D766" s="22"/>
      <c r="E766" s="22"/>
      <c r="F766" s="25"/>
      <c r="G766" s="25"/>
      <c r="H766" s="22"/>
      <c r="I766" s="22"/>
      <c r="J766" s="27"/>
    </row>
    <row r="767" spans="1:10">
      <c r="A767" s="5"/>
      <c r="B767" s="21"/>
      <c r="C767" s="22"/>
      <c r="D767" s="22"/>
      <c r="E767" s="22"/>
      <c r="F767" s="25"/>
      <c r="G767" s="25"/>
      <c r="H767" s="22"/>
      <c r="I767" s="22"/>
      <c r="J767" s="27"/>
    </row>
    <row r="768" spans="1:10">
      <c r="A768" s="5"/>
      <c r="B768" s="21"/>
      <c r="C768" s="22"/>
      <c r="D768" s="22"/>
      <c r="E768" s="22"/>
      <c r="F768" s="25"/>
      <c r="G768" s="25"/>
      <c r="H768" s="22"/>
      <c r="I768" s="22"/>
      <c r="J768" s="27"/>
    </row>
    <row r="769" spans="1:10">
      <c r="A769" s="5"/>
      <c r="B769" s="21"/>
      <c r="C769" s="22"/>
      <c r="D769" s="22"/>
      <c r="E769" s="22"/>
      <c r="F769" s="25"/>
      <c r="G769" s="25"/>
      <c r="H769" s="22"/>
      <c r="I769" s="22"/>
      <c r="J769" s="27"/>
    </row>
    <row r="770" spans="1:10">
      <c r="A770" s="5"/>
      <c r="B770" s="21"/>
      <c r="C770" s="22"/>
      <c r="D770" s="22"/>
      <c r="E770" s="22"/>
      <c r="F770" s="25"/>
      <c r="G770" s="25"/>
      <c r="H770" s="22"/>
      <c r="I770" s="22"/>
      <c r="J770" s="27"/>
    </row>
    <row r="771" spans="1:10">
      <c r="A771" s="5"/>
      <c r="B771" s="21"/>
      <c r="C771" s="22"/>
      <c r="D771" s="22"/>
      <c r="E771" s="22"/>
      <c r="F771" s="25"/>
      <c r="G771" s="25"/>
      <c r="H771" s="22"/>
      <c r="I771" s="22"/>
      <c r="J771" s="27"/>
    </row>
    <row r="772" spans="1:10">
      <c r="A772" s="5"/>
      <c r="B772" s="21"/>
      <c r="C772" s="22"/>
      <c r="D772" s="22"/>
      <c r="E772" s="22"/>
      <c r="F772" s="25"/>
      <c r="G772" s="25"/>
      <c r="H772" s="22"/>
      <c r="I772" s="22"/>
      <c r="J772" s="27"/>
    </row>
    <row r="773" spans="1:10">
      <c r="A773" s="5"/>
      <c r="B773" s="21"/>
      <c r="C773" s="22"/>
      <c r="D773" s="22"/>
      <c r="E773" s="22"/>
      <c r="F773" s="25"/>
      <c r="G773" s="25"/>
      <c r="H773" s="22"/>
      <c r="I773" s="22"/>
      <c r="J773" s="27"/>
    </row>
    <row r="774" spans="1:10">
      <c r="A774" s="5"/>
      <c r="B774" s="21"/>
      <c r="C774" s="22"/>
      <c r="D774" s="22"/>
      <c r="E774" s="22"/>
      <c r="F774" s="25"/>
      <c r="G774" s="25"/>
      <c r="H774" s="22"/>
      <c r="I774" s="22"/>
      <c r="J774" s="27"/>
    </row>
    <row r="775" spans="1:10">
      <c r="A775" s="5"/>
      <c r="B775" s="21"/>
      <c r="C775" s="22"/>
      <c r="D775" s="22"/>
      <c r="E775" s="22"/>
      <c r="F775" s="25"/>
      <c r="G775" s="25"/>
      <c r="H775" s="22"/>
      <c r="I775" s="22"/>
      <c r="J775" s="27"/>
    </row>
    <row r="776" spans="1:10">
      <c r="A776" s="5"/>
      <c r="B776" s="21"/>
      <c r="C776" s="22"/>
      <c r="D776" s="22"/>
      <c r="E776" s="22"/>
      <c r="F776" s="25"/>
      <c r="G776" s="25"/>
      <c r="H776" s="22"/>
      <c r="I776" s="22"/>
      <c r="J776" s="27"/>
    </row>
    <row r="777" spans="1:10">
      <c r="A777" s="5"/>
      <c r="B777" s="21"/>
      <c r="C777" s="22"/>
      <c r="D777" s="22"/>
      <c r="E777" s="22"/>
      <c r="F777" s="25"/>
      <c r="G777" s="25"/>
      <c r="H777" s="22"/>
      <c r="I777" s="22"/>
      <c r="J777" s="27"/>
    </row>
    <row r="778" spans="1:10">
      <c r="A778" s="5"/>
      <c r="B778" s="21"/>
      <c r="C778" s="22"/>
      <c r="D778" s="22"/>
      <c r="E778" s="22"/>
      <c r="F778" s="25"/>
      <c r="G778" s="25"/>
      <c r="H778" s="22"/>
      <c r="I778" s="22"/>
      <c r="J778" s="27"/>
    </row>
    <row r="779" spans="1:10">
      <c r="A779" s="5"/>
      <c r="B779" s="21"/>
      <c r="C779" s="22"/>
      <c r="D779" s="22"/>
      <c r="E779" s="22"/>
      <c r="F779" s="25"/>
      <c r="G779" s="25"/>
      <c r="H779" s="22"/>
      <c r="I779" s="22"/>
      <c r="J779" s="27"/>
    </row>
    <row r="780" spans="1:10">
      <c r="A780" s="5"/>
      <c r="B780" s="21"/>
      <c r="C780" s="22"/>
      <c r="D780" s="22"/>
      <c r="E780" s="22"/>
      <c r="F780" s="25"/>
      <c r="G780" s="25"/>
      <c r="H780" s="22"/>
      <c r="I780" s="22"/>
      <c r="J780" s="27"/>
    </row>
    <row r="781" spans="1:10">
      <c r="A781" s="5"/>
      <c r="B781" s="21"/>
      <c r="C781" s="22"/>
      <c r="D781" s="22"/>
      <c r="E781" s="22"/>
      <c r="F781" s="25"/>
      <c r="G781" s="25"/>
      <c r="H781" s="22"/>
      <c r="I781" s="22"/>
      <c r="J781" s="27"/>
    </row>
    <row r="782" spans="1:10">
      <c r="A782" s="5"/>
      <c r="B782" s="21"/>
      <c r="C782" s="22"/>
      <c r="D782" s="22"/>
      <c r="E782" s="22"/>
      <c r="F782" s="25"/>
      <c r="G782" s="25"/>
      <c r="H782" s="22"/>
      <c r="I782" s="22"/>
      <c r="J782" s="27"/>
    </row>
    <row r="783" spans="1:10">
      <c r="A783" s="5"/>
      <c r="B783" s="21"/>
      <c r="C783" s="22"/>
      <c r="D783" s="22"/>
      <c r="E783" s="22"/>
      <c r="F783" s="25"/>
      <c r="G783" s="25"/>
      <c r="H783" s="22"/>
      <c r="I783" s="22"/>
      <c r="J783" s="27"/>
    </row>
    <row r="784" spans="1:10">
      <c r="A784" s="5"/>
      <c r="B784" s="21"/>
      <c r="C784" s="22"/>
      <c r="D784" s="22"/>
      <c r="E784" s="22"/>
      <c r="F784" s="25"/>
      <c r="G784" s="25"/>
      <c r="H784" s="22"/>
      <c r="I784" s="22"/>
      <c r="J784" s="27"/>
    </row>
    <row r="785" spans="1:10">
      <c r="A785" s="5"/>
      <c r="B785" s="21"/>
      <c r="C785" s="22"/>
      <c r="D785" s="22"/>
      <c r="E785" s="22"/>
      <c r="F785" s="25"/>
      <c r="G785" s="25"/>
      <c r="H785" s="22"/>
      <c r="I785" s="22"/>
      <c r="J785" s="27"/>
    </row>
    <row r="786" spans="1:10">
      <c r="A786" s="5"/>
      <c r="B786" s="21"/>
      <c r="C786" s="22"/>
      <c r="D786" s="22"/>
      <c r="E786" s="22"/>
      <c r="F786" s="25"/>
      <c r="G786" s="25"/>
      <c r="H786" s="22"/>
      <c r="I786" s="22"/>
      <c r="J786" s="27"/>
    </row>
    <row r="787" spans="1:10">
      <c r="A787" s="5"/>
      <c r="B787" s="21"/>
      <c r="C787" s="22"/>
      <c r="D787" s="22"/>
      <c r="E787" s="22"/>
      <c r="F787" s="25"/>
      <c r="G787" s="25"/>
      <c r="H787" s="22"/>
      <c r="I787" s="22"/>
      <c r="J787" s="27"/>
    </row>
    <row r="788" spans="1:10">
      <c r="A788" s="5"/>
      <c r="B788" s="21"/>
      <c r="C788" s="22"/>
      <c r="D788" s="22"/>
      <c r="E788" s="22"/>
      <c r="F788" s="25"/>
      <c r="G788" s="25"/>
      <c r="H788" s="22"/>
      <c r="I788" s="22"/>
      <c r="J788" s="27"/>
    </row>
    <row r="789" spans="1:10">
      <c r="A789" s="5"/>
      <c r="B789" s="21"/>
      <c r="C789" s="22"/>
      <c r="D789" s="22"/>
      <c r="E789" s="22"/>
      <c r="F789" s="25"/>
      <c r="G789" s="25"/>
      <c r="H789" s="22"/>
      <c r="I789" s="22"/>
      <c r="J789" s="27"/>
    </row>
    <row r="790" spans="1:10">
      <c r="A790" s="5"/>
      <c r="B790" s="21"/>
      <c r="C790" s="22"/>
      <c r="D790" s="22"/>
      <c r="E790" s="22"/>
      <c r="F790" s="25"/>
      <c r="G790" s="25"/>
      <c r="H790" s="22"/>
      <c r="I790" s="22"/>
      <c r="J790" s="27"/>
    </row>
    <row r="791" spans="1:10">
      <c r="A791" s="5"/>
      <c r="B791" s="21"/>
      <c r="C791" s="22"/>
      <c r="D791" s="22"/>
      <c r="E791" s="22"/>
      <c r="F791" s="25"/>
      <c r="G791" s="25"/>
      <c r="H791" s="22"/>
      <c r="I791" s="22"/>
      <c r="J791" s="27"/>
    </row>
    <row r="792" spans="1:10">
      <c r="A792" s="5"/>
      <c r="B792" s="21"/>
      <c r="C792" s="22"/>
      <c r="D792" s="22"/>
      <c r="E792" s="22"/>
      <c r="F792" s="25"/>
      <c r="G792" s="25"/>
      <c r="H792" s="22"/>
      <c r="I792" s="22"/>
      <c r="J792" s="27"/>
    </row>
    <row r="793" spans="1:10">
      <c r="A793" s="5"/>
      <c r="B793" s="21"/>
      <c r="C793" s="22"/>
      <c r="D793" s="22"/>
      <c r="E793" s="22"/>
      <c r="F793" s="25"/>
      <c r="G793" s="25"/>
      <c r="H793" s="22"/>
      <c r="I793" s="22"/>
      <c r="J793" s="27"/>
    </row>
    <row r="794" spans="1:10">
      <c r="A794" s="5"/>
      <c r="B794" s="21"/>
      <c r="C794" s="22"/>
      <c r="D794" s="22"/>
      <c r="E794" s="22"/>
      <c r="F794" s="25"/>
      <c r="G794" s="25"/>
      <c r="H794" s="22"/>
      <c r="I794" s="22"/>
      <c r="J794" s="27"/>
    </row>
    <row r="795" spans="1:10">
      <c r="A795" s="5"/>
      <c r="B795" s="21"/>
      <c r="C795" s="22"/>
      <c r="D795" s="22"/>
      <c r="E795" s="22"/>
      <c r="F795" s="25"/>
      <c r="G795" s="25"/>
      <c r="H795" s="22"/>
      <c r="I795" s="22"/>
      <c r="J795" s="27"/>
    </row>
    <row r="796" spans="1:10">
      <c r="A796" s="5"/>
      <c r="B796" s="21"/>
      <c r="C796" s="22"/>
      <c r="D796" s="22"/>
      <c r="E796" s="22"/>
      <c r="F796" s="25"/>
      <c r="G796" s="25"/>
      <c r="H796" s="22"/>
      <c r="I796" s="22"/>
      <c r="J796" s="27"/>
    </row>
    <row r="797" spans="1:10">
      <c r="A797" s="5"/>
      <c r="B797" s="21"/>
      <c r="C797" s="22"/>
      <c r="D797" s="22"/>
      <c r="E797" s="22"/>
      <c r="F797" s="25"/>
      <c r="G797" s="25"/>
      <c r="H797" s="22"/>
      <c r="I797" s="22"/>
      <c r="J797" s="27"/>
    </row>
    <row r="798" spans="1:10">
      <c r="A798" s="5"/>
      <c r="B798" s="21"/>
      <c r="C798" s="22"/>
      <c r="D798" s="22"/>
      <c r="E798" s="22"/>
      <c r="F798" s="25"/>
      <c r="G798" s="25"/>
      <c r="H798" s="22"/>
      <c r="I798" s="22"/>
      <c r="J798" s="27"/>
    </row>
    <row r="799" spans="1:10">
      <c r="A799" s="5"/>
      <c r="B799" s="21"/>
      <c r="C799" s="22"/>
      <c r="D799" s="22"/>
      <c r="E799" s="22"/>
      <c r="F799" s="25"/>
      <c r="G799" s="25"/>
      <c r="H799" s="22"/>
      <c r="I799" s="22"/>
      <c r="J799" s="27"/>
    </row>
    <row r="800" spans="1:10">
      <c r="A800" s="5"/>
      <c r="B800" s="21"/>
      <c r="C800" s="22"/>
      <c r="D800" s="22"/>
      <c r="E800" s="22"/>
      <c r="F800" s="25"/>
      <c r="G800" s="25"/>
      <c r="H800" s="22"/>
      <c r="I800" s="22"/>
      <c r="J800" s="27"/>
    </row>
    <row r="801" spans="1:10">
      <c r="A801" s="5"/>
      <c r="B801" s="21"/>
      <c r="C801" s="22"/>
      <c r="D801" s="22"/>
      <c r="E801" s="22"/>
      <c r="F801" s="25"/>
      <c r="G801" s="25"/>
      <c r="H801" s="22"/>
      <c r="I801" s="22"/>
      <c r="J801" s="27"/>
    </row>
    <row r="802" spans="1:10">
      <c r="A802" s="5"/>
      <c r="B802" s="21"/>
      <c r="C802" s="22"/>
      <c r="D802" s="22"/>
      <c r="E802" s="22"/>
      <c r="F802" s="25"/>
      <c r="G802" s="25"/>
      <c r="H802" s="22"/>
      <c r="I802" s="22"/>
      <c r="J802" s="27"/>
    </row>
    <row r="803" spans="1:10">
      <c r="A803" s="5"/>
      <c r="B803" s="21"/>
      <c r="C803" s="22"/>
      <c r="D803" s="22"/>
      <c r="E803" s="22"/>
      <c r="F803" s="25"/>
      <c r="G803" s="25"/>
      <c r="H803" s="22"/>
      <c r="I803" s="22"/>
      <c r="J803" s="27"/>
    </row>
    <row r="804" spans="1:10">
      <c r="A804" s="5"/>
      <c r="B804" s="21"/>
      <c r="C804" s="22"/>
      <c r="D804" s="22"/>
      <c r="E804" s="22"/>
      <c r="F804" s="25"/>
      <c r="G804" s="25"/>
      <c r="H804" s="22"/>
      <c r="I804" s="22"/>
      <c r="J804" s="27"/>
    </row>
    <row r="805" spans="1:10">
      <c r="A805" s="5"/>
      <c r="B805" s="21"/>
      <c r="C805" s="22"/>
      <c r="D805" s="22"/>
      <c r="E805" s="22"/>
      <c r="F805" s="25"/>
      <c r="G805" s="25"/>
      <c r="H805" s="22"/>
      <c r="I805" s="22"/>
      <c r="J805" s="27"/>
    </row>
    <row r="806" spans="1:10">
      <c r="A806" s="5"/>
      <c r="B806" s="21"/>
      <c r="C806" s="22"/>
      <c r="D806" s="22"/>
      <c r="E806" s="22"/>
      <c r="F806" s="25"/>
      <c r="G806" s="25"/>
      <c r="H806" s="22"/>
      <c r="I806" s="22"/>
      <c r="J806" s="27"/>
    </row>
    <row r="807" spans="1:10">
      <c r="A807" s="5"/>
      <c r="B807" s="21"/>
      <c r="C807" s="22"/>
      <c r="D807" s="22"/>
      <c r="E807" s="22"/>
      <c r="F807" s="25"/>
      <c r="G807" s="25"/>
      <c r="H807" s="22"/>
      <c r="I807" s="22"/>
      <c r="J807" s="27"/>
    </row>
    <row r="808" spans="1:10">
      <c r="A808" s="5"/>
      <c r="B808" s="21"/>
      <c r="C808" s="22"/>
      <c r="D808" s="22"/>
      <c r="E808" s="22"/>
      <c r="F808" s="25"/>
      <c r="G808" s="25"/>
      <c r="H808" s="22"/>
      <c r="I808" s="22"/>
      <c r="J808" s="27"/>
    </row>
    <row r="809" spans="1:10">
      <c r="A809" s="5"/>
      <c r="B809" s="21"/>
      <c r="C809" s="22"/>
      <c r="D809" s="22"/>
      <c r="E809" s="22"/>
      <c r="F809" s="25"/>
      <c r="G809" s="25"/>
      <c r="H809" s="22"/>
      <c r="I809" s="22"/>
      <c r="J809" s="27"/>
    </row>
    <row r="810" spans="1:10">
      <c r="A810" s="5"/>
      <c r="B810" s="21"/>
      <c r="C810" s="22"/>
      <c r="D810" s="22"/>
      <c r="E810" s="22"/>
      <c r="F810" s="25"/>
      <c r="G810" s="25"/>
      <c r="H810" s="22"/>
      <c r="I810" s="22"/>
      <c r="J810" s="27"/>
    </row>
    <row r="811" spans="1:10">
      <c r="A811" s="5"/>
      <c r="B811" s="21"/>
      <c r="C811" s="22"/>
      <c r="D811" s="22"/>
      <c r="E811" s="22"/>
      <c r="F811" s="25"/>
      <c r="G811" s="25"/>
      <c r="H811" s="22"/>
      <c r="I811" s="22"/>
      <c r="J811" s="27"/>
    </row>
    <row r="812" spans="1:10">
      <c r="A812" s="5"/>
      <c r="B812" s="21"/>
      <c r="C812" s="22"/>
      <c r="D812" s="22"/>
      <c r="E812" s="22"/>
      <c r="F812" s="25"/>
      <c r="G812" s="25"/>
      <c r="H812" s="22"/>
      <c r="I812" s="22"/>
      <c r="J812" s="27"/>
    </row>
    <row r="813" spans="1:10">
      <c r="A813" s="5"/>
      <c r="B813" s="21"/>
      <c r="C813" s="22"/>
      <c r="D813" s="22"/>
      <c r="E813" s="22"/>
      <c r="F813" s="25"/>
      <c r="G813" s="25"/>
      <c r="H813" s="22"/>
      <c r="I813" s="22"/>
      <c r="J813" s="27"/>
    </row>
    <row r="814" spans="1:10">
      <c r="A814" s="5"/>
      <c r="B814" s="21"/>
      <c r="C814" s="22"/>
      <c r="D814" s="22"/>
      <c r="E814" s="22"/>
      <c r="F814" s="25"/>
      <c r="G814" s="25"/>
      <c r="H814" s="22"/>
      <c r="I814" s="22"/>
      <c r="J814" s="27"/>
    </row>
    <row r="815" spans="1:10">
      <c r="A815" s="5"/>
      <c r="B815" s="21"/>
      <c r="C815" s="22"/>
      <c r="D815" s="22"/>
      <c r="E815" s="22"/>
      <c r="F815" s="25"/>
      <c r="G815" s="25"/>
      <c r="H815" s="22"/>
      <c r="I815" s="22"/>
      <c r="J815" s="27"/>
    </row>
    <row r="816" spans="1:10">
      <c r="A816" s="5"/>
      <c r="B816" s="21"/>
      <c r="C816" s="22"/>
      <c r="D816" s="22"/>
      <c r="E816" s="22"/>
      <c r="F816" s="25"/>
      <c r="G816" s="25"/>
      <c r="H816" s="22"/>
      <c r="I816" s="22"/>
      <c r="J816" s="27"/>
    </row>
    <row r="817" spans="1:10">
      <c r="A817" s="5"/>
      <c r="B817" s="21"/>
      <c r="C817" s="22"/>
      <c r="D817" s="22"/>
      <c r="E817" s="22"/>
      <c r="F817" s="25"/>
      <c r="G817" s="25"/>
      <c r="H817" s="22"/>
      <c r="I817" s="22"/>
      <c r="J817" s="27"/>
    </row>
    <row r="818" spans="1:10">
      <c r="A818" s="5"/>
      <c r="B818" s="21"/>
      <c r="C818" s="22"/>
      <c r="D818" s="22"/>
      <c r="E818" s="22"/>
      <c r="F818" s="25"/>
      <c r="G818" s="25"/>
      <c r="H818" s="22"/>
      <c r="I818" s="22"/>
      <c r="J818" s="27"/>
    </row>
    <row r="819" spans="1:10">
      <c r="A819" s="5"/>
      <c r="B819" s="21"/>
      <c r="C819" s="22"/>
      <c r="D819" s="22"/>
      <c r="E819" s="22"/>
      <c r="F819" s="25"/>
      <c r="G819" s="25"/>
      <c r="H819" s="22"/>
      <c r="I819" s="22"/>
      <c r="J819" s="27"/>
    </row>
    <row r="820" spans="1:10">
      <c r="A820" s="5"/>
      <c r="B820" s="21"/>
      <c r="C820" s="22"/>
      <c r="D820" s="22"/>
      <c r="E820" s="22"/>
      <c r="F820" s="25"/>
      <c r="G820" s="25"/>
      <c r="H820" s="22"/>
      <c r="I820" s="22"/>
      <c r="J820" s="27"/>
    </row>
    <row r="821" spans="1:10">
      <c r="A821" s="5"/>
      <c r="B821" s="21"/>
      <c r="C821" s="22"/>
      <c r="D821" s="22"/>
      <c r="E821" s="22"/>
      <c r="F821" s="25"/>
      <c r="G821" s="25"/>
      <c r="H821" s="22"/>
      <c r="I821" s="22"/>
      <c r="J821" s="27"/>
    </row>
    <row r="822" spans="1:10">
      <c r="A822" s="5"/>
      <c r="B822" s="21"/>
      <c r="C822" s="22"/>
      <c r="D822" s="22"/>
      <c r="E822" s="22"/>
      <c r="F822" s="25"/>
      <c r="G822" s="25"/>
      <c r="H822" s="22"/>
      <c r="I822" s="22"/>
      <c r="J822" s="27"/>
    </row>
    <row r="823" spans="1:10">
      <c r="A823" s="5"/>
      <c r="B823" s="21"/>
      <c r="C823" s="22"/>
      <c r="D823" s="22"/>
      <c r="E823" s="22"/>
      <c r="F823" s="25"/>
      <c r="G823" s="25"/>
      <c r="H823" s="22"/>
      <c r="I823" s="22"/>
      <c r="J823" s="27"/>
    </row>
    <row r="824" spans="1:10">
      <c r="A824" s="5"/>
      <c r="B824" s="21"/>
      <c r="C824" s="22"/>
      <c r="D824" s="22"/>
      <c r="E824" s="22"/>
      <c r="F824" s="25"/>
      <c r="G824" s="25"/>
      <c r="H824" s="22"/>
      <c r="I824" s="22"/>
      <c r="J824" s="27"/>
    </row>
    <row r="825" spans="1:10">
      <c r="A825" s="5"/>
      <c r="B825" s="21"/>
      <c r="C825" s="22"/>
      <c r="D825" s="22"/>
      <c r="E825" s="22"/>
      <c r="F825" s="25"/>
      <c r="G825" s="25"/>
      <c r="H825" s="22"/>
      <c r="I825" s="22"/>
      <c r="J825" s="27"/>
    </row>
    <row r="826" spans="1:10">
      <c r="A826" s="5"/>
      <c r="B826" s="21"/>
      <c r="C826" s="22"/>
      <c r="D826" s="22"/>
      <c r="E826" s="22"/>
      <c r="F826" s="25"/>
      <c r="G826" s="25"/>
      <c r="H826" s="22"/>
      <c r="I826" s="22"/>
      <c r="J826" s="27"/>
    </row>
    <row r="827" spans="1:10">
      <c r="A827" s="5"/>
      <c r="B827" s="21"/>
      <c r="C827" s="22"/>
      <c r="D827" s="22"/>
      <c r="E827" s="22"/>
      <c r="F827" s="25"/>
      <c r="G827" s="25"/>
      <c r="H827" s="22"/>
      <c r="I827" s="22"/>
      <c r="J827" s="27"/>
    </row>
    <row r="828" spans="1:10">
      <c r="A828" s="5"/>
      <c r="B828" s="21"/>
      <c r="C828" s="22"/>
      <c r="D828" s="22"/>
      <c r="E828" s="22"/>
      <c r="F828" s="25"/>
      <c r="G828" s="25"/>
      <c r="H828" s="22"/>
      <c r="I828" s="22"/>
      <c r="J828" s="27"/>
    </row>
    <row r="829" spans="1:10">
      <c r="A829" s="5"/>
      <c r="B829" s="21"/>
      <c r="C829" s="22"/>
      <c r="D829" s="22"/>
      <c r="E829" s="22"/>
      <c r="F829" s="25"/>
      <c r="G829" s="25"/>
      <c r="H829" s="22"/>
      <c r="I829" s="22"/>
      <c r="J829" s="27"/>
    </row>
    <row r="830" spans="1:10">
      <c r="A830" s="5"/>
      <c r="B830" s="21"/>
      <c r="C830" s="22"/>
      <c r="D830" s="22"/>
      <c r="E830" s="22"/>
      <c r="F830" s="25"/>
      <c r="G830" s="25"/>
      <c r="H830" s="22"/>
      <c r="I830" s="22"/>
      <c r="J830" s="27"/>
    </row>
    <row r="831" spans="1:10">
      <c r="A831" s="5"/>
      <c r="B831" s="21"/>
      <c r="C831" s="22"/>
      <c r="D831" s="22"/>
      <c r="E831" s="22"/>
      <c r="F831" s="25"/>
      <c r="G831" s="25"/>
      <c r="H831" s="22"/>
      <c r="I831" s="22"/>
      <c r="J831" s="27"/>
    </row>
    <row r="832" spans="1:10">
      <c r="A832" s="5"/>
      <c r="B832" s="21"/>
      <c r="C832" s="22"/>
      <c r="D832" s="22"/>
      <c r="E832" s="22"/>
      <c r="F832" s="25"/>
      <c r="G832" s="25"/>
      <c r="H832" s="22"/>
      <c r="I832" s="22"/>
      <c r="J832" s="27"/>
    </row>
    <row r="833" spans="1:10">
      <c r="A833" s="5"/>
      <c r="B833" s="21"/>
      <c r="C833" s="22"/>
      <c r="D833" s="22"/>
      <c r="E833" s="22"/>
      <c r="F833" s="25"/>
      <c r="G833" s="25"/>
      <c r="H833" s="22"/>
      <c r="I833" s="22"/>
      <c r="J833" s="27"/>
    </row>
    <row r="834" spans="1:10">
      <c r="A834" s="5"/>
      <c r="B834" s="21"/>
      <c r="C834" s="22"/>
      <c r="D834" s="22"/>
      <c r="E834" s="22"/>
      <c r="F834" s="25"/>
      <c r="G834" s="25"/>
      <c r="H834" s="22"/>
      <c r="I834" s="22"/>
      <c r="J834" s="27"/>
    </row>
    <row r="835" spans="1:10">
      <c r="A835" s="5"/>
      <c r="B835" s="21"/>
      <c r="C835" s="22"/>
      <c r="D835" s="22"/>
      <c r="E835" s="22"/>
      <c r="F835" s="25"/>
      <c r="G835" s="25"/>
      <c r="H835" s="22"/>
      <c r="I835" s="22"/>
      <c r="J835" s="27"/>
    </row>
    <row r="836" spans="1:10">
      <c r="A836" s="5"/>
      <c r="B836" s="21"/>
      <c r="C836" s="22"/>
      <c r="D836" s="22"/>
      <c r="E836" s="22"/>
      <c r="F836" s="25"/>
      <c r="G836" s="25"/>
      <c r="H836" s="22"/>
      <c r="I836" s="22"/>
      <c r="J836" s="27"/>
    </row>
    <row r="837" spans="1:10">
      <c r="A837" s="5"/>
      <c r="B837" s="21"/>
      <c r="C837" s="22"/>
      <c r="D837" s="22"/>
      <c r="E837" s="22"/>
      <c r="F837" s="25"/>
      <c r="G837" s="25"/>
      <c r="H837" s="22"/>
      <c r="I837" s="22"/>
      <c r="J837" s="27"/>
    </row>
    <row r="838" spans="1:10">
      <c r="A838" s="5"/>
      <c r="B838" s="21"/>
      <c r="C838" s="22"/>
      <c r="D838" s="22"/>
      <c r="E838" s="22"/>
      <c r="F838" s="25"/>
      <c r="G838" s="25"/>
      <c r="H838" s="22"/>
      <c r="I838" s="22"/>
      <c r="J838" s="27"/>
    </row>
    <row r="839" spans="1:10">
      <c r="A839" s="5"/>
      <c r="B839" s="21"/>
      <c r="C839" s="22"/>
      <c r="D839" s="22"/>
      <c r="E839" s="22"/>
      <c r="F839" s="25"/>
      <c r="G839" s="25"/>
      <c r="H839" s="22"/>
      <c r="I839" s="22"/>
      <c r="J839" s="27"/>
    </row>
    <row r="840" spans="1:10">
      <c r="A840" s="5"/>
      <c r="B840" s="21"/>
      <c r="C840" s="22"/>
      <c r="D840" s="22"/>
      <c r="E840" s="22"/>
      <c r="F840" s="25"/>
      <c r="G840" s="25"/>
      <c r="H840" s="22"/>
      <c r="I840" s="22"/>
      <c r="J840" s="27"/>
    </row>
    <row r="841" spans="1:10">
      <c r="A841" s="5"/>
      <c r="B841" s="21"/>
      <c r="C841" s="22"/>
      <c r="D841" s="22"/>
      <c r="E841" s="22"/>
      <c r="F841" s="25"/>
      <c r="G841" s="25"/>
      <c r="H841" s="22"/>
      <c r="I841" s="22"/>
      <c r="J841" s="27"/>
    </row>
    <row r="842" spans="1:10">
      <c r="A842" s="5"/>
      <c r="B842" s="21"/>
      <c r="C842" s="22"/>
      <c r="D842" s="22"/>
      <c r="E842" s="22"/>
      <c r="F842" s="25"/>
      <c r="G842" s="25"/>
      <c r="H842" s="22"/>
      <c r="I842" s="22"/>
      <c r="J842" s="27"/>
    </row>
    <row r="843" spans="1:10">
      <c r="A843" s="5"/>
      <c r="B843" s="21"/>
      <c r="C843" s="22"/>
      <c r="D843" s="22"/>
      <c r="E843" s="22"/>
      <c r="F843" s="25"/>
      <c r="G843" s="25"/>
      <c r="H843" s="22"/>
      <c r="I843" s="22"/>
      <c r="J843" s="27"/>
    </row>
    <row r="844" spans="1:10">
      <c r="A844" s="5"/>
      <c r="B844" s="21"/>
      <c r="C844" s="22"/>
      <c r="D844" s="22"/>
      <c r="E844" s="22"/>
      <c r="F844" s="25"/>
      <c r="G844" s="25"/>
      <c r="H844" s="22"/>
      <c r="I844" s="22"/>
      <c r="J844" s="27"/>
    </row>
    <row r="845" spans="1:10">
      <c r="A845" s="5"/>
      <c r="B845" s="21"/>
      <c r="C845" s="22"/>
      <c r="D845" s="22"/>
      <c r="E845" s="22"/>
      <c r="F845" s="25"/>
      <c r="G845" s="25"/>
      <c r="H845" s="22"/>
      <c r="I845" s="22"/>
      <c r="J845" s="27"/>
    </row>
    <row r="846" spans="1:10">
      <c r="A846" s="5"/>
      <c r="B846" s="21"/>
      <c r="C846" s="22"/>
      <c r="D846" s="22"/>
      <c r="E846" s="22"/>
      <c r="F846" s="25"/>
      <c r="G846" s="25"/>
      <c r="H846" s="22"/>
      <c r="I846" s="22"/>
      <c r="J846" s="27"/>
    </row>
    <row r="847" spans="1:10">
      <c r="A847" s="5"/>
      <c r="B847" s="21"/>
      <c r="C847" s="22"/>
      <c r="D847" s="22"/>
      <c r="E847" s="22"/>
      <c r="F847" s="25"/>
      <c r="G847" s="25"/>
      <c r="H847" s="22"/>
      <c r="I847" s="22"/>
      <c r="J847" s="27"/>
    </row>
    <row r="848" spans="1:10">
      <c r="A848" s="5"/>
      <c r="B848" s="21"/>
      <c r="C848" s="22"/>
      <c r="D848" s="22"/>
      <c r="E848" s="22"/>
      <c r="F848" s="25"/>
      <c r="G848" s="25"/>
      <c r="H848" s="22"/>
      <c r="I848" s="22"/>
      <c r="J848" s="27"/>
    </row>
    <row r="849" spans="1:10">
      <c r="A849" s="5"/>
      <c r="B849" s="21"/>
      <c r="C849" s="22"/>
      <c r="D849" s="22"/>
      <c r="E849" s="22"/>
      <c r="F849" s="25"/>
      <c r="G849" s="25"/>
      <c r="H849" s="22"/>
      <c r="I849" s="22"/>
      <c r="J849" s="27"/>
    </row>
    <row r="850" spans="1:10">
      <c r="A850" s="5"/>
      <c r="B850" s="21"/>
      <c r="C850" s="22"/>
      <c r="D850" s="22"/>
      <c r="E850" s="22"/>
      <c r="F850" s="25"/>
      <c r="G850" s="25"/>
      <c r="H850" s="22"/>
      <c r="I850" s="22"/>
      <c r="J850" s="27"/>
    </row>
    <row r="851" spans="1:10">
      <c r="A851" s="5"/>
      <c r="B851" s="21"/>
      <c r="C851" s="22"/>
      <c r="D851" s="22"/>
      <c r="E851" s="22"/>
      <c r="F851" s="25"/>
      <c r="G851" s="25"/>
      <c r="H851" s="22"/>
      <c r="I851" s="22"/>
      <c r="J851" s="27"/>
    </row>
    <row r="852" spans="1:10">
      <c r="A852" s="5"/>
      <c r="B852" s="21"/>
      <c r="C852" s="22"/>
      <c r="D852" s="22"/>
      <c r="E852" s="22"/>
      <c r="F852" s="25"/>
      <c r="G852" s="25"/>
      <c r="H852" s="22"/>
      <c r="I852" s="22"/>
      <c r="J852" s="27"/>
    </row>
    <row r="853" spans="1:10">
      <c r="A853" s="5"/>
      <c r="B853" s="21"/>
      <c r="C853" s="22"/>
      <c r="D853" s="22"/>
      <c r="E853" s="22"/>
      <c r="F853" s="25"/>
      <c r="G853" s="25"/>
      <c r="H853" s="22"/>
      <c r="I853" s="22"/>
      <c r="J853" s="27"/>
    </row>
    <row r="854" spans="1:10">
      <c r="A854" s="5"/>
      <c r="B854" s="21"/>
      <c r="C854" s="22"/>
      <c r="D854" s="22"/>
      <c r="E854" s="22"/>
      <c r="F854" s="25"/>
      <c r="G854" s="25"/>
      <c r="H854" s="22"/>
      <c r="I854" s="22"/>
      <c r="J854" s="27"/>
    </row>
    <row r="855" spans="1:10">
      <c r="A855" s="5"/>
      <c r="B855" s="21"/>
      <c r="C855" s="22"/>
      <c r="D855" s="22"/>
      <c r="E855" s="22"/>
      <c r="F855" s="25"/>
      <c r="G855" s="25"/>
      <c r="H855" s="22"/>
      <c r="I855" s="22"/>
      <c r="J855" s="27"/>
    </row>
    <row r="856" spans="1:10">
      <c r="A856" s="5"/>
      <c r="B856" s="21"/>
      <c r="C856" s="22"/>
      <c r="D856" s="22"/>
      <c r="E856" s="22"/>
      <c r="F856" s="25"/>
      <c r="G856" s="25"/>
      <c r="H856" s="22"/>
      <c r="I856" s="22"/>
      <c r="J856" s="27"/>
    </row>
    <row r="857" spans="1:10">
      <c r="A857" s="5"/>
      <c r="B857" s="21"/>
      <c r="C857" s="22"/>
      <c r="D857" s="22"/>
      <c r="E857" s="22"/>
      <c r="F857" s="25"/>
      <c r="G857" s="25"/>
      <c r="H857" s="22"/>
      <c r="I857" s="22"/>
      <c r="J857" s="27"/>
    </row>
    <row r="858" spans="1:10">
      <c r="A858" s="5"/>
      <c r="B858" s="21"/>
      <c r="C858" s="22"/>
      <c r="D858" s="22"/>
      <c r="E858" s="22"/>
      <c r="F858" s="25"/>
      <c r="G858" s="25"/>
      <c r="H858" s="22"/>
      <c r="I858" s="22"/>
      <c r="J858" s="27"/>
    </row>
    <row r="859" spans="1:10">
      <c r="A859" s="5"/>
      <c r="B859" s="21"/>
      <c r="C859" s="22"/>
      <c r="D859" s="22"/>
      <c r="E859" s="22"/>
      <c r="F859" s="25"/>
      <c r="G859" s="25"/>
      <c r="H859" s="22"/>
      <c r="I859" s="22"/>
      <c r="J859" s="27"/>
    </row>
    <row r="860" spans="1:10">
      <c r="A860" s="5"/>
      <c r="B860" s="21"/>
      <c r="C860" s="22"/>
      <c r="D860" s="22"/>
      <c r="E860" s="22"/>
      <c r="F860" s="25"/>
      <c r="G860" s="25"/>
      <c r="H860" s="22"/>
      <c r="I860" s="22"/>
      <c r="J860" s="27"/>
    </row>
    <row r="861" spans="1:10">
      <c r="A861" s="5"/>
      <c r="B861" s="21"/>
      <c r="C861" s="22"/>
      <c r="D861" s="22"/>
      <c r="E861" s="22"/>
      <c r="F861" s="25"/>
      <c r="G861" s="25"/>
      <c r="H861" s="22"/>
      <c r="I861" s="22"/>
      <c r="J861" s="27"/>
    </row>
    <row r="862" spans="1:10">
      <c r="A862" s="5"/>
      <c r="B862" s="21"/>
      <c r="C862" s="22"/>
      <c r="D862" s="22"/>
      <c r="E862" s="22"/>
      <c r="F862" s="25"/>
      <c r="G862" s="25"/>
      <c r="H862" s="22"/>
      <c r="I862" s="22"/>
      <c r="J862" s="27"/>
    </row>
    <row r="863" spans="1:10">
      <c r="A863" s="5"/>
      <c r="B863" s="21"/>
      <c r="C863" s="22"/>
      <c r="D863" s="22"/>
      <c r="E863" s="22"/>
      <c r="F863" s="25"/>
      <c r="G863" s="25"/>
      <c r="H863" s="22"/>
      <c r="I863" s="22"/>
      <c r="J863" s="27"/>
    </row>
    <row r="864" spans="1:10">
      <c r="A864" s="5"/>
      <c r="B864" s="21"/>
      <c r="C864" s="22"/>
      <c r="D864" s="22"/>
      <c r="E864" s="22"/>
      <c r="F864" s="25"/>
      <c r="G864" s="25"/>
      <c r="H864" s="22"/>
      <c r="I864" s="22"/>
      <c r="J864" s="27"/>
    </row>
    <row r="865" spans="1:10">
      <c r="A865" s="5"/>
      <c r="B865" s="21"/>
      <c r="C865" s="22"/>
      <c r="D865" s="22"/>
      <c r="E865" s="22"/>
      <c r="F865" s="25"/>
      <c r="G865" s="25"/>
      <c r="H865" s="22"/>
      <c r="I865" s="22"/>
      <c r="J865" s="27"/>
    </row>
    <row r="866" spans="1:10">
      <c r="A866" s="5"/>
      <c r="B866" s="21"/>
      <c r="C866" s="22"/>
      <c r="D866" s="22"/>
      <c r="E866" s="22"/>
      <c r="F866" s="25"/>
      <c r="G866" s="25"/>
      <c r="H866" s="22"/>
      <c r="I866" s="22"/>
      <c r="J866" s="27"/>
    </row>
    <row r="867" spans="1:10">
      <c r="A867" s="5"/>
      <c r="B867" s="21"/>
      <c r="C867" s="22"/>
      <c r="D867" s="22"/>
      <c r="E867" s="22"/>
      <c r="F867" s="25"/>
      <c r="G867" s="25"/>
      <c r="H867" s="22"/>
      <c r="I867" s="22"/>
      <c r="J867" s="27"/>
    </row>
    <row r="868" spans="1:10">
      <c r="A868" s="5"/>
      <c r="B868" s="21"/>
      <c r="C868" s="22"/>
      <c r="D868" s="22"/>
      <c r="E868" s="22"/>
      <c r="F868" s="25"/>
      <c r="G868" s="25"/>
      <c r="H868" s="22"/>
      <c r="I868" s="22"/>
      <c r="J868" s="27"/>
    </row>
    <row r="869" spans="1:10">
      <c r="A869" s="5"/>
      <c r="B869" s="21"/>
      <c r="C869" s="22"/>
      <c r="D869" s="22"/>
      <c r="E869" s="22"/>
      <c r="F869" s="25"/>
      <c r="G869" s="25"/>
      <c r="H869" s="22"/>
      <c r="I869" s="22"/>
      <c r="J869" s="27"/>
    </row>
    <row r="870" spans="1:10">
      <c r="A870" s="5"/>
      <c r="B870" s="21"/>
      <c r="C870" s="22"/>
      <c r="D870" s="22"/>
      <c r="E870" s="22"/>
      <c r="F870" s="25"/>
      <c r="G870" s="25"/>
      <c r="H870" s="22"/>
      <c r="I870" s="22"/>
      <c r="J870" s="27"/>
    </row>
    <row r="871" spans="1:10">
      <c r="A871" s="5"/>
      <c r="B871" s="21"/>
      <c r="C871" s="22"/>
      <c r="D871" s="22"/>
      <c r="E871" s="22"/>
      <c r="F871" s="25"/>
      <c r="G871" s="25"/>
      <c r="H871" s="22"/>
      <c r="I871" s="22"/>
      <c r="J871" s="27"/>
    </row>
    <row r="872" spans="1:10">
      <c r="A872" s="5"/>
      <c r="B872" s="21"/>
      <c r="C872" s="22"/>
      <c r="D872" s="22"/>
      <c r="E872" s="22"/>
      <c r="F872" s="25"/>
      <c r="G872" s="25"/>
      <c r="H872" s="22"/>
      <c r="I872" s="22"/>
      <c r="J872" s="27"/>
    </row>
    <row r="873" spans="1:10">
      <c r="A873" s="5"/>
      <c r="B873" s="21"/>
      <c r="C873" s="22"/>
      <c r="D873" s="22"/>
      <c r="E873" s="22"/>
      <c r="F873" s="25"/>
      <c r="G873" s="25"/>
      <c r="H873" s="22"/>
      <c r="I873" s="22"/>
      <c r="J873" s="27"/>
    </row>
    <row r="874" spans="1:10">
      <c r="A874" s="5"/>
      <c r="B874" s="21"/>
      <c r="C874" s="22"/>
      <c r="D874" s="22"/>
      <c r="E874" s="22"/>
      <c r="F874" s="25"/>
      <c r="G874" s="25"/>
      <c r="H874" s="22"/>
      <c r="I874" s="22"/>
      <c r="J874" s="27"/>
    </row>
    <row r="875" spans="1:10">
      <c r="A875" s="5"/>
      <c r="B875" s="21"/>
      <c r="C875" s="22"/>
      <c r="D875" s="22"/>
      <c r="E875" s="22"/>
      <c r="F875" s="25"/>
      <c r="G875" s="25"/>
      <c r="H875" s="22"/>
      <c r="I875" s="22"/>
      <c r="J875" s="27"/>
    </row>
    <row r="876" spans="1:10">
      <c r="A876" s="5"/>
      <c r="B876" s="21"/>
      <c r="C876" s="22"/>
      <c r="D876" s="22"/>
      <c r="E876" s="22"/>
      <c r="F876" s="25"/>
      <c r="G876" s="25"/>
      <c r="H876" s="22"/>
      <c r="I876" s="22"/>
      <c r="J876" s="27"/>
    </row>
    <row r="877" spans="1:10">
      <c r="A877" s="5"/>
      <c r="B877" s="21"/>
      <c r="C877" s="22"/>
      <c r="D877" s="22"/>
      <c r="E877" s="22"/>
      <c r="F877" s="25"/>
      <c r="G877" s="25"/>
      <c r="H877" s="22"/>
      <c r="I877" s="22"/>
      <c r="J877" s="27"/>
    </row>
    <row r="878" spans="1:10">
      <c r="A878" s="5"/>
      <c r="B878" s="21"/>
      <c r="C878" s="22"/>
      <c r="D878" s="22"/>
      <c r="E878" s="22"/>
      <c r="F878" s="25"/>
      <c r="G878" s="25"/>
      <c r="H878" s="22"/>
      <c r="I878" s="22"/>
      <c r="J878" s="27"/>
    </row>
    <row r="879" spans="1:10">
      <c r="A879" s="5"/>
      <c r="B879" s="21"/>
      <c r="C879" s="22"/>
      <c r="D879" s="22"/>
      <c r="E879" s="22"/>
      <c r="F879" s="25"/>
      <c r="G879" s="25"/>
      <c r="H879" s="22"/>
      <c r="I879" s="22"/>
      <c r="J879" s="27"/>
    </row>
    <row r="880" spans="1:10">
      <c r="A880" s="5"/>
      <c r="B880" s="21"/>
      <c r="C880" s="22"/>
      <c r="D880" s="22"/>
      <c r="E880" s="22"/>
      <c r="F880" s="25"/>
      <c r="G880" s="25"/>
      <c r="H880" s="22"/>
      <c r="I880" s="22"/>
      <c r="J880" s="27"/>
    </row>
    <row r="881" spans="1:10">
      <c r="A881" s="5"/>
      <c r="B881" s="21"/>
      <c r="C881" s="22"/>
      <c r="D881" s="22"/>
      <c r="E881" s="22"/>
      <c r="F881" s="25"/>
      <c r="G881" s="25"/>
      <c r="H881" s="22"/>
      <c r="I881" s="22"/>
      <c r="J881" s="27"/>
    </row>
    <row r="882" spans="1:10">
      <c r="A882" s="5"/>
      <c r="B882" s="21"/>
      <c r="C882" s="22"/>
      <c r="D882" s="22"/>
      <c r="E882" s="22"/>
      <c r="F882" s="25"/>
      <c r="G882" s="25"/>
      <c r="H882" s="22"/>
      <c r="I882" s="22"/>
      <c r="J882" s="27"/>
    </row>
    <row r="883" spans="1:10">
      <c r="A883" s="5"/>
      <c r="B883" s="21"/>
      <c r="C883" s="22"/>
      <c r="D883" s="22"/>
      <c r="E883" s="22"/>
      <c r="F883" s="25"/>
      <c r="G883" s="25"/>
      <c r="H883" s="22"/>
      <c r="I883" s="22"/>
      <c r="J883" s="27"/>
    </row>
    <row r="884" spans="1:10">
      <c r="A884" s="5"/>
      <c r="B884" s="21"/>
      <c r="C884" s="22"/>
      <c r="D884" s="22"/>
      <c r="E884" s="22"/>
      <c r="F884" s="25"/>
      <c r="G884" s="25"/>
      <c r="H884" s="22"/>
      <c r="I884" s="22"/>
      <c r="J884" s="27"/>
    </row>
    <row r="885" spans="1:10">
      <c r="A885" s="5"/>
      <c r="B885" s="21"/>
      <c r="C885" s="22"/>
      <c r="D885" s="22"/>
      <c r="E885" s="22"/>
      <c r="F885" s="25"/>
      <c r="G885" s="25"/>
      <c r="H885" s="22"/>
      <c r="I885" s="22"/>
      <c r="J885" s="27"/>
    </row>
    <row r="886" spans="1:10">
      <c r="A886" s="5"/>
      <c r="B886" s="21"/>
      <c r="C886" s="22"/>
      <c r="D886" s="22"/>
      <c r="E886" s="22"/>
      <c r="F886" s="25"/>
      <c r="G886" s="25"/>
      <c r="H886" s="22"/>
      <c r="I886" s="22"/>
      <c r="J886" s="27"/>
    </row>
    <row r="887" spans="1:10">
      <c r="A887" s="5"/>
      <c r="B887" s="21"/>
      <c r="C887" s="22"/>
      <c r="D887" s="22"/>
      <c r="E887" s="22"/>
      <c r="F887" s="25"/>
      <c r="G887" s="25"/>
      <c r="H887" s="22"/>
      <c r="I887" s="22"/>
      <c r="J887" s="27"/>
    </row>
    <row r="888" spans="1:10">
      <c r="A888" s="5"/>
      <c r="B888" s="21"/>
      <c r="C888" s="22"/>
      <c r="D888" s="22"/>
      <c r="E888" s="22"/>
      <c r="F888" s="25"/>
      <c r="G888" s="25"/>
      <c r="H888" s="22"/>
      <c r="I888" s="22"/>
      <c r="J888" s="27"/>
    </row>
    <row r="889" spans="1:10">
      <c r="A889" s="5"/>
      <c r="B889" s="21"/>
      <c r="C889" s="22"/>
      <c r="D889" s="22"/>
      <c r="E889" s="22"/>
      <c r="F889" s="25"/>
      <c r="G889" s="25"/>
      <c r="H889" s="22"/>
      <c r="I889" s="22"/>
      <c r="J889" s="27"/>
    </row>
    <row r="890" spans="1:10">
      <c r="A890" s="5"/>
      <c r="B890" s="21"/>
      <c r="C890" s="22"/>
      <c r="D890" s="22"/>
      <c r="E890" s="22"/>
      <c r="F890" s="25"/>
      <c r="G890" s="25"/>
      <c r="H890" s="22"/>
      <c r="I890" s="22"/>
      <c r="J890" s="27"/>
    </row>
    <row r="891" spans="1:10">
      <c r="A891" s="5"/>
      <c r="B891" s="21"/>
      <c r="C891" s="22"/>
      <c r="D891" s="22"/>
      <c r="E891" s="22"/>
      <c r="F891" s="25"/>
      <c r="G891" s="25"/>
      <c r="H891" s="22"/>
      <c r="I891" s="22"/>
      <c r="J891" s="27"/>
    </row>
    <row r="892" spans="1:10">
      <c r="A892" s="5"/>
      <c r="B892" s="21"/>
      <c r="C892" s="22"/>
      <c r="D892" s="22"/>
      <c r="E892" s="22"/>
      <c r="F892" s="25"/>
      <c r="G892" s="25"/>
      <c r="H892" s="22"/>
      <c r="I892" s="22"/>
      <c r="J892" s="27"/>
    </row>
    <row r="893" spans="1:10">
      <c r="A893" s="5"/>
      <c r="B893" s="21"/>
      <c r="C893" s="22"/>
      <c r="D893" s="22"/>
      <c r="E893" s="22"/>
      <c r="F893" s="25"/>
      <c r="G893" s="25"/>
      <c r="H893" s="22"/>
      <c r="I893" s="22"/>
      <c r="J893" s="27"/>
    </row>
    <row r="894" spans="1:10">
      <c r="A894" s="5"/>
      <c r="B894" s="21"/>
      <c r="C894" s="22"/>
      <c r="D894" s="22"/>
      <c r="E894" s="22"/>
      <c r="F894" s="25"/>
      <c r="G894" s="25"/>
      <c r="H894" s="22"/>
      <c r="I894" s="22"/>
      <c r="J894" s="27"/>
    </row>
    <row r="895" spans="1:10">
      <c r="A895" s="5"/>
      <c r="B895" s="21"/>
      <c r="C895" s="22"/>
      <c r="D895" s="22"/>
      <c r="E895" s="22"/>
      <c r="F895" s="25"/>
      <c r="G895" s="25"/>
      <c r="H895" s="22"/>
      <c r="I895" s="22"/>
      <c r="J895" s="27"/>
    </row>
    <row r="896" spans="1:10">
      <c r="A896" s="5"/>
      <c r="B896" s="21"/>
      <c r="C896" s="22"/>
      <c r="D896" s="22"/>
      <c r="E896" s="22"/>
      <c r="F896" s="25"/>
      <c r="G896" s="25"/>
      <c r="H896" s="22"/>
      <c r="I896" s="22"/>
      <c r="J896" s="27"/>
    </row>
    <row r="897" spans="1:10">
      <c r="A897" s="5"/>
      <c r="B897" s="21"/>
      <c r="C897" s="22"/>
      <c r="D897" s="22"/>
      <c r="E897" s="22"/>
      <c r="F897" s="25"/>
      <c r="G897" s="25"/>
      <c r="H897" s="22"/>
      <c r="I897" s="22"/>
      <c r="J897" s="27"/>
    </row>
    <row r="898" spans="1:10">
      <c r="A898" s="5"/>
      <c r="B898" s="21"/>
      <c r="C898" s="22"/>
      <c r="D898" s="22"/>
      <c r="E898" s="22"/>
      <c r="F898" s="25"/>
      <c r="G898" s="25"/>
      <c r="H898" s="22"/>
      <c r="I898" s="22"/>
      <c r="J898" s="27"/>
    </row>
    <row r="899" spans="1:10">
      <c r="A899" s="5"/>
      <c r="B899" s="21"/>
      <c r="C899" s="22"/>
      <c r="D899" s="22"/>
      <c r="E899" s="22"/>
      <c r="F899" s="25"/>
      <c r="G899" s="25"/>
      <c r="H899" s="22"/>
      <c r="I899" s="22"/>
      <c r="J899" s="27"/>
    </row>
    <row r="900" spans="1:10">
      <c r="A900" s="5"/>
      <c r="B900" s="21"/>
      <c r="C900" s="22"/>
      <c r="D900" s="22"/>
      <c r="E900" s="22"/>
      <c r="F900" s="25"/>
      <c r="G900" s="25"/>
      <c r="H900" s="22"/>
      <c r="I900" s="22"/>
      <c r="J900" s="27"/>
    </row>
    <row r="901" spans="1:10">
      <c r="A901" s="5"/>
      <c r="B901" s="21"/>
      <c r="C901" s="22"/>
      <c r="D901" s="22"/>
      <c r="E901" s="22"/>
      <c r="F901" s="25"/>
      <c r="G901" s="25"/>
      <c r="H901" s="22"/>
      <c r="I901" s="22"/>
      <c r="J901" s="27"/>
    </row>
    <row r="902" spans="1:10">
      <c r="A902" s="5"/>
      <c r="B902" s="21"/>
      <c r="C902" s="22"/>
      <c r="D902" s="22"/>
      <c r="E902" s="22"/>
      <c r="F902" s="25"/>
      <c r="G902" s="25"/>
      <c r="H902" s="22"/>
      <c r="I902" s="22"/>
      <c r="J902" s="27"/>
    </row>
    <row r="903" spans="1:10">
      <c r="A903" s="5"/>
      <c r="B903" s="21"/>
      <c r="C903" s="22"/>
      <c r="D903" s="22"/>
      <c r="E903" s="22"/>
      <c r="F903" s="25"/>
      <c r="G903" s="25"/>
      <c r="H903" s="22"/>
      <c r="I903" s="22"/>
      <c r="J903" s="27"/>
    </row>
    <row r="904" spans="1:10">
      <c r="A904" s="5"/>
      <c r="B904" s="21"/>
      <c r="C904" s="22"/>
      <c r="D904" s="22"/>
      <c r="E904" s="22"/>
      <c r="F904" s="25"/>
      <c r="G904" s="25"/>
      <c r="H904" s="22"/>
      <c r="I904" s="22"/>
      <c r="J904" s="27"/>
    </row>
    <row r="905" spans="1:10">
      <c r="A905" s="5"/>
      <c r="B905" s="21"/>
      <c r="C905" s="22"/>
      <c r="D905" s="22"/>
      <c r="E905" s="22"/>
      <c r="F905" s="25"/>
      <c r="G905" s="25"/>
      <c r="H905" s="22"/>
      <c r="I905" s="22"/>
      <c r="J905" s="27"/>
    </row>
    <row r="906" spans="1:10">
      <c r="A906" s="5"/>
      <c r="B906" s="21"/>
      <c r="C906" s="22"/>
      <c r="D906" s="22"/>
      <c r="E906" s="22"/>
      <c r="F906" s="25"/>
      <c r="G906" s="25"/>
      <c r="H906" s="22"/>
      <c r="I906" s="22"/>
      <c r="J906" s="27"/>
    </row>
    <row r="907" spans="1:10">
      <c r="A907" s="5"/>
      <c r="B907" s="21"/>
      <c r="C907" s="22"/>
      <c r="D907" s="22"/>
      <c r="E907" s="22"/>
      <c r="F907" s="25"/>
      <c r="G907" s="25"/>
      <c r="H907" s="22"/>
      <c r="I907" s="22"/>
      <c r="J907" s="27"/>
    </row>
    <row r="908" spans="1:10">
      <c r="A908" s="5"/>
      <c r="B908" s="21"/>
      <c r="C908" s="22"/>
      <c r="D908" s="22"/>
      <c r="E908" s="22"/>
      <c r="F908" s="25"/>
      <c r="G908" s="25"/>
      <c r="H908" s="22"/>
      <c r="I908" s="22"/>
      <c r="J908" s="27"/>
    </row>
    <row r="909" spans="1:10">
      <c r="A909" s="5"/>
      <c r="B909" s="21"/>
      <c r="C909" s="22"/>
      <c r="D909" s="22"/>
      <c r="E909" s="22"/>
      <c r="F909" s="25"/>
      <c r="G909" s="25"/>
      <c r="H909" s="22"/>
      <c r="I909" s="22"/>
      <c r="J909" s="27"/>
    </row>
    <row r="910" spans="1:10">
      <c r="A910" s="5"/>
      <c r="B910" s="21"/>
      <c r="C910" s="22"/>
      <c r="D910" s="22"/>
      <c r="E910" s="22"/>
      <c r="F910" s="25"/>
      <c r="G910" s="25"/>
      <c r="H910" s="22"/>
      <c r="I910" s="22"/>
      <c r="J910" s="27"/>
    </row>
    <row r="911" spans="1:10">
      <c r="A911" s="5"/>
      <c r="B911" s="21"/>
      <c r="C911" s="22"/>
      <c r="D911" s="22"/>
      <c r="E911" s="22"/>
      <c r="F911" s="25"/>
      <c r="G911" s="25"/>
      <c r="H911" s="22"/>
      <c r="I911" s="22"/>
      <c r="J911" s="27"/>
    </row>
    <row r="912" spans="1:10">
      <c r="A912" s="5"/>
      <c r="B912" s="21"/>
      <c r="C912" s="22"/>
      <c r="D912" s="22"/>
      <c r="E912" s="22"/>
      <c r="F912" s="25"/>
      <c r="G912" s="25"/>
      <c r="H912" s="22"/>
      <c r="I912" s="22"/>
      <c r="J912" s="27"/>
    </row>
    <row r="913" spans="1:10">
      <c r="A913" s="5"/>
      <c r="B913" s="21"/>
      <c r="C913" s="22"/>
      <c r="D913" s="22"/>
      <c r="E913" s="22"/>
      <c r="F913" s="25"/>
      <c r="G913" s="25"/>
      <c r="H913" s="22"/>
      <c r="I913" s="22"/>
      <c r="J913" s="27"/>
    </row>
    <row r="914" spans="1:10">
      <c r="A914" s="5"/>
      <c r="B914" s="21"/>
      <c r="C914" s="22"/>
      <c r="D914" s="22"/>
      <c r="E914" s="22"/>
      <c r="F914" s="25"/>
      <c r="G914" s="25"/>
      <c r="H914" s="22"/>
      <c r="I914" s="22"/>
      <c r="J914" s="27"/>
    </row>
    <row r="915" spans="1:10">
      <c r="A915" s="5"/>
      <c r="B915" s="21"/>
      <c r="C915" s="22"/>
      <c r="D915" s="22"/>
      <c r="E915" s="22"/>
      <c r="F915" s="25"/>
      <c r="G915" s="25"/>
      <c r="H915" s="22"/>
      <c r="I915" s="22"/>
      <c r="J915" s="27"/>
    </row>
    <row r="916" spans="1:10">
      <c r="A916" s="5"/>
      <c r="B916" s="21"/>
      <c r="C916" s="22"/>
      <c r="D916" s="22"/>
      <c r="E916" s="22"/>
      <c r="F916" s="25"/>
      <c r="G916" s="25"/>
      <c r="H916" s="22"/>
      <c r="I916" s="22"/>
      <c r="J916" s="27"/>
    </row>
    <row r="917" spans="1:10">
      <c r="A917" s="5"/>
      <c r="B917" s="21"/>
      <c r="C917" s="22"/>
      <c r="D917" s="22"/>
      <c r="E917" s="22"/>
      <c r="F917" s="25"/>
      <c r="G917" s="25"/>
      <c r="H917" s="22"/>
      <c r="I917" s="22"/>
      <c r="J917" s="27"/>
    </row>
    <row r="918" spans="1:10">
      <c r="A918" s="5"/>
      <c r="B918" s="21"/>
      <c r="C918" s="22"/>
      <c r="D918" s="22"/>
      <c r="E918" s="22"/>
      <c r="F918" s="25"/>
      <c r="G918" s="25"/>
      <c r="H918" s="22"/>
      <c r="I918" s="22"/>
      <c r="J918" s="27"/>
    </row>
    <row r="919" spans="1:10">
      <c r="A919" s="5"/>
      <c r="B919" s="21"/>
      <c r="C919" s="22"/>
      <c r="D919" s="22"/>
      <c r="E919" s="22"/>
      <c r="F919" s="25"/>
      <c r="G919" s="25"/>
      <c r="H919" s="22"/>
      <c r="I919" s="22"/>
      <c r="J919" s="27"/>
    </row>
    <row r="920" spans="1:10">
      <c r="A920" s="5"/>
      <c r="B920" s="21"/>
      <c r="C920" s="22"/>
      <c r="D920" s="22"/>
      <c r="E920" s="22"/>
      <c r="F920" s="25"/>
      <c r="G920" s="25"/>
      <c r="H920" s="22"/>
      <c r="I920" s="22"/>
      <c r="J920" s="27"/>
    </row>
    <row r="921" spans="1:10">
      <c r="A921" s="5"/>
      <c r="B921" s="21"/>
      <c r="C921" s="22"/>
      <c r="D921" s="22"/>
      <c r="E921" s="22"/>
      <c r="F921" s="25"/>
      <c r="G921" s="25"/>
      <c r="H921" s="22"/>
      <c r="I921" s="22"/>
      <c r="J921" s="27"/>
    </row>
    <row r="922" spans="1:10">
      <c r="A922" s="5"/>
      <c r="B922" s="21"/>
      <c r="C922" s="22"/>
      <c r="D922" s="22"/>
      <c r="E922" s="22"/>
      <c r="F922" s="25"/>
      <c r="G922" s="25"/>
      <c r="H922" s="22"/>
      <c r="I922" s="22"/>
      <c r="J922" s="27"/>
    </row>
    <row r="923" spans="1:10">
      <c r="A923" s="5"/>
      <c r="B923" s="21"/>
      <c r="C923" s="22"/>
      <c r="D923" s="22"/>
      <c r="E923" s="22"/>
      <c r="F923" s="25"/>
      <c r="G923" s="25"/>
      <c r="H923" s="22"/>
      <c r="I923" s="22"/>
      <c r="J923" s="27"/>
    </row>
    <row r="924" spans="1:10">
      <c r="A924" s="5"/>
      <c r="B924" s="21"/>
      <c r="C924" s="22"/>
      <c r="D924" s="22"/>
      <c r="E924" s="22"/>
      <c r="F924" s="25"/>
      <c r="G924" s="25"/>
      <c r="H924" s="22"/>
      <c r="I924" s="22"/>
      <c r="J924" s="27"/>
    </row>
    <row r="925" spans="1:10">
      <c r="A925" s="5"/>
      <c r="B925" s="21"/>
      <c r="C925" s="22"/>
      <c r="D925" s="22"/>
      <c r="E925" s="22"/>
      <c r="F925" s="25"/>
      <c r="G925" s="25"/>
      <c r="H925" s="22"/>
      <c r="I925" s="22"/>
      <c r="J925" s="27"/>
    </row>
    <row r="926" spans="1:10">
      <c r="A926" s="5"/>
      <c r="B926" s="21"/>
      <c r="C926" s="22"/>
      <c r="D926" s="22"/>
      <c r="E926" s="22"/>
      <c r="F926" s="25"/>
      <c r="G926" s="25"/>
      <c r="H926" s="22"/>
      <c r="I926" s="22"/>
      <c r="J926" s="27"/>
    </row>
    <row r="927" spans="1:10">
      <c r="A927" s="5"/>
      <c r="B927" s="21"/>
      <c r="C927" s="22"/>
      <c r="D927" s="22"/>
      <c r="E927" s="22"/>
      <c r="F927" s="25"/>
      <c r="G927" s="25"/>
      <c r="H927" s="22"/>
      <c r="I927" s="22"/>
      <c r="J927" s="27"/>
    </row>
    <row r="928" spans="1:10">
      <c r="A928" s="5"/>
      <c r="B928" s="21"/>
      <c r="C928" s="22"/>
      <c r="D928" s="22"/>
      <c r="E928" s="22"/>
      <c r="F928" s="25"/>
      <c r="G928" s="25"/>
      <c r="H928" s="22"/>
      <c r="I928" s="22"/>
      <c r="J928" s="27"/>
    </row>
    <row r="929" spans="1:10">
      <c r="A929" s="5"/>
      <c r="B929" s="21"/>
      <c r="C929" s="22"/>
      <c r="D929" s="22"/>
      <c r="E929" s="22"/>
      <c r="F929" s="25"/>
      <c r="G929" s="25"/>
      <c r="H929" s="22"/>
      <c r="I929" s="22"/>
      <c r="J929" s="27"/>
    </row>
    <row r="930" spans="1:10">
      <c r="A930" s="5"/>
      <c r="B930" s="21"/>
      <c r="C930" s="22"/>
      <c r="D930" s="22"/>
      <c r="E930" s="22"/>
      <c r="F930" s="25"/>
      <c r="G930" s="25"/>
      <c r="H930" s="22"/>
      <c r="I930" s="22"/>
      <c r="J930" s="27"/>
    </row>
    <row r="931" spans="1:10">
      <c r="A931" s="5"/>
      <c r="B931" s="21"/>
      <c r="C931" s="22"/>
      <c r="D931" s="22"/>
      <c r="E931" s="22"/>
      <c r="F931" s="25"/>
      <c r="G931" s="25"/>
      <c r="H931" s="22"/>
      <c r="I931" s="22"/>
      <c r="J931" s="27"/>
    </row>
    <row r="932" spans="1:10">
      <c r="A932" s="5"/>
      <c r="B932" s="21"/>
      <c r="C932" s="22"/>
      <c r="D932" s="22"/>
      <c r="E932" s="22"/>
      <c r="F932" s="25"/>
      <c r="G932" s="25"/>
      <c r="H932" s="22"/>
      <c r="I932" s="22"/>
      <c r="J932" s="27"/>
    </row>
    <row r="933" spans="1:10">
      <c r="A933" s="5"/>
      <c r="B933" s="21"/>
      <c r="C933" s="22"/>
      <c r="D933" s="22"/>
      <c r="E933" s="22"/>
      <c r="F933" s="25"/>
      <c r="G933" s="25"/>
      <c r="H933" s="22"/>
      <c r="I933" s="22"/>
      <c r="J933" s="27"/>
    </row>
    <row r="934" spans="1:10">
      <c r="A934" s="5"/>
      <c r="B934" s="21"/>
      <c r="C934" s="22"/>
      <c r="D934" s="22"/>
      <c r="E934" s="22"/>
      <c r="F934" s="25"/>
      <c r="G934" s="25"/>
      <c r="H934" s="22"/>
      <c r="I934" s="22"/>
      <c r="J934" s="27"/>
    </row>
    <row r="935" spans="1:10">
      <c r="A935" s="5"/>
      <c r="B935" s="21"/>
      <c r="C935" s="22"/>
      <c r="D935" s="22"/>
      <c r="E935" s="22"/>
      <c r="F935" s="25"/>
      <c r="G935" s="25"/>
      <c r="H935" s="22"/>
      <c r="I935" s="22"/>
      <c r="J935" s="27"/>
    </row>
    <row r="936" spans="1:10">
      <c r="A936" s="5"/>
      <c r="B936" s="21"/>
      <c r="C936" s="22"/>
      <c r="D936" s="22"/>
      <c r="E936" s="22"/>
      <c r="F936" s="25"/>
      <c r="G936" s="25"/>
      <c r="H936" s="22"/>
      <c r="I936" s="22"/>
      <c r="J936" s="27"/>
    </row>
    <row r="937" spans="1:10">
      <c r="A937" s="5"/>
      <c r="B937" s="21"/>
      <c r="C937" s="22"/>
      <c r="D937" s="22"/>
      <c r="E937" s="22"/>
      <c r="F937" s="25"/>
      <c r="G937" s="25"/>
      <c r="H937" s="22"/>
      <c r="I937" s="22"/>
      <c r="J937" s="27"/>
    </row>
    <row r="938" spans="1:10">
      <c r="A938" s="5"/>
      <c r="B938" s="21"/>
      <c r="C938" s="22"/>
      <c r="D938" s="22"/>
      <c r="E938" s="22"/>
      <c r="F938" s="25"/>
      <c r="G938" s="25"/>
      <c r="H938" s="22"/>
      <c r="I938" s="22"/>
      <c r="J938" s="27"/>
    </row>
    <row r="939" spans="1:10">
      <c r="A939" s="5"/>
      <c r="B939" s="21"/>
      <c r="C939" s="22"/>
      <c r="D939" s="22"/>
      <c r="E939" s="22"/>
      <c r="F939" s="25"/>
      <c r="G939" s="25"/>
      <c r="H939" s="22"/>
      <c r="I939" s="22"/>
      <c r="J939" s="27"/>
    </row>
    <row r="940" spans="1:10">
      <c r="A940" s="5"/>
      <c r="B940" s="21"/>
      <c r="C940" s="22"/>
      <c r="D940" s="22"/>
      <c r="E940" s="22"/>
      <c r="F940" s="25"/>
      <c r="G940" s="25"/>
      <c r="H940" s="22"/>
      <c r="I940" s="22"/>
      <c r="J940" s="27"/>
    </row>
    <row r="941" spans="1:10">
      <c r="A941" s="5"/>
      <c r="B941" s="21"/>
      <c r="C941" s="22"/>
      <c r="D941" s="22"/>
      <c r="E941" s="22"/>
      <c r="F941" s="25"/>
      <c r="G941" s="25"/>
      <c r="H941" s="22"/>
      <c r="I941" s="22"/>
      <c r="J941" s="27"/>
    </row>
    <row r="942" spans="1:10">
      <c r="A942" s="5"/>
      <c r="B942" s="21"/>
      <c r="C942" s="22"/>
      <c r="D942" s="22"/>
      <c r="E942" s="22"/>
      <c r="F942" s="25"/>
      <c r="G942" s="25"/>
      <c r="H942" s="22"/>
      <c r="I942" s="22"/>
      <c r="J942" s="27"/>
    </row>
    <row r="943" spans="1:10">
      <c r="A943" s="5"/>
      <c r="B943" s="21"/>
      <c r="C943" s="22"/>
      <c r="D943" s="22"/>
      <c r="E943" s="22"/>
      <c r="F943" s="25"/>
      <c r="G943" s="25"/>
      <c r="H943" s="22"/>
      <c r="I943" s="22"/>
      <c r="J943" s="27"/>
    </row>
    <row r="944" spans="1:10">
      <c r="A944" s="5"/>
      <c r="B944" s="21"/>
      <c r="C944" s="22"/>
      <c r="D944" s="22"/>
      <c r="E944" s="22"/>
      <c r="F944" s="25"/>
      <c r="G944" s="25"/>
      <c r="H944" s="22"/>
      <c r="I944" s="22"/>
      <c r="J944" s="27"/>
    </row>
    <row r="945" spans="1:10">
      <c r="A945" s="5"/>
      <c r="B945" s="21"/>
      <c r="C945" s="22"/>
      <c r="D945" s="22"/>
      <c r="E945" s="22"/>
      <c r="F945" s="25"/>
      <c r="G945" s="25"/>
      <c r="H945" s="22"/>
      <c r="I945" s="22"/>
      <c r="J945" s="27"/>
    </row>
    <row r="946" spans="1:10">
      <c r="A946" s="5"/>
      <c r="B946" s="21"/>
      <c r="C946" s="22"/>
      <c r="D946" s="22"/>
      <c r="E946" s="22"/>
      <c r="F946" s="25"/>
      <c r="G946" s="25"/>
      <c r="H946" s="22"/>
      <c r="I946" s="22"/>
      <c r="J946" s="27"/>
    </row>
    <row r="947" spans="1:10">
      <c r="A947" s="5"/>
      <c r="B947" s="21"/>
      <c r="C947" s="22"/>
      <c r="D947" s="22"/>
      <c r="E947" s="22"/>
      <c r="F947" s="25"/>
      <c r="G947" s="25"/>
      <c r="H947" s="22"/>
      <c r="I947" s="22"/>
      <c r="J947" s="27"/>
    </row>
    <row r="948" spans="1:10">
      <c r="A948" s="5"/>
      <c r="B948" s="21"/>
      <c r="C948" s="22"/>
      <c r="D948" s="22"/>
      <c r="E948" s="22"/>
      <c r="F948" s="25"/>
      <c r="G948" s="25"/>
      <c r="H948" s="22"/>
      <c r="I948" s="22"/>
      <c r="J948" s="27"/>
    </row>
    <row r="949" spans="1:10">
      <c r="A949" s="5"/>
      <c r="B949" s="21"/>
      <c r="C949" s="22"/>
      <c r="D949" s="22"/>
      <c r="E949" s="22"/>
      <c r="F949" s="25"/>
      <c r="G949" s="25"/>
      <c r="H949" s="22"/>
      <c r="I949" s="22"/>
      <c r="J949" s="27"/>
    </row>
    <row r="950" spans="1:10">
      <c r="A950" s="5"/>
      <c r="B950" s="21"/>
      <c r="C950" s="22"/>
      <c r="D950" s="22"/>
      <c r="E950" s="22"/>
      <c r="F950" s="25"/>
      <c r="G950" s="25"/>
      <c r="H950" s="22"/>
      <c r="I950" s="22"/>
      <c r="J950" s="27"/>
    </row>
    <row r="951" spans="1:10">
      <c r="A951" s="5"/>
      <c r="B951" s="21"/>
      <c r="C951" s="22"/>
      <c r="D951" s="22"/>
      <c r="E951" s="22"/>
      <c r="F951" s="25"/>
      <c r="G951" s="25"/>
      <c r="H951" s="22"/>
      <c r="I951" s="22"/>
      <c r="J951" s="27"/>
    </row>
    <row r="952" spans="1:10">
      <c r="A952" s="5"/>
      <c r="B952" s="21"/>
      <c r="C952" s="22"/>
      <c r="D952" s="22"/>
      <c r="E952" s="22"/>
      <c r="F952" s="25"/>
      <c r="G952" s="25"/>
      <c r="H952" s="22"/>
      <c r="I952" s="22"/>
      <c r="J952" s="27"/>
    </row>
    <row r="953" spans="1:10">
      <c r="A953" s="5"/>
      <c r="B953" s="21"/>
      <c r="C953" s="22"/>
      <c r="D953" s="22"/>
      <c r="E953" s="22"/>
      <c r="F953" s="25"/>
      <c r="G953" s="25"/>
      <c r="H953" s="22"/>
      <c r="I953" s="22"/>
      <c r="J953" s="27"/>
    </row>
    <row r="954" spans="1:10">
      <c r="A954" s="5"/>
      <c r="B954" s="21"/>
      <c r="C954" s="22"/>
      <c r="D954" s="22"/>
      <c r="E954" s="22"/>
      <c r="F954" s="25"/>
      <c r="G954" s="25"/>
      <c r="H954" s="22"/>
      <c r="I954" s="22"/>
      <c r="J954" s="27"/>
    </row>
    <row r="955" spans="1:10">
      <c r="A955" s="5"/>
      <c r="B955" s="21"/>
      <c r="C955" s="22"/>
      <c r="D955" s="22"/>
      <c r="E955" s="22"/>
      <c r="F955" s="25"/>
      <c r="G955" s="25"/>
      <c r="H955" s="22"/>
      <c r="I955" s="22"/>
      <c r="J955" s="27"/>
    </row>
    <row r="956" spans="1:10">
      <c r="A956" s="5"/>
      <c r="B956" s="21"/>
      <c r="C956" s="22"/>
      <c r="D956" s="22"/>
      <c r="E956" s="22"/>
      <c r="F956" s="25"/>
      <c r="G956" s="25"/>
      <c r="H956" s="22"/>
      <c r="I956" s="22"/>
      <c r="J956" s="27"/>
    </row>
    <row r="957" spans="1:10">
      <c r="A957" s="5"/>
      <c r="B957" s="21"/>
      <c r="C957" s="22"/>
      <c r="D957" s="22"/>
      <c r="E957" s="22"/>
      <c r="F957" s="25"/>
      <c r="G957" s="25"/>
      <c r="H957" s="22"/>
      <c r="I957" s="22"/>
      <c r="J957" s="27"/>
    </row>
    <row r="958" spans="1:10">
      <c r="A958" s="5"/>
      <c r="B958" s="21"/>
      <c r="C958" s="22"/>
      <c r="D958" s="22"/>
      <c r="E958" s="22"/>
      <c r="F958" s="25"/>
      <c r="G958" s="25"/>
      <c r="H958" s="22"/>
      <c r="I958" s="22"/>
      <c r="J958" s="27"/>
    </row>
    <row r="959" spans="1:10">
      <c r="A959" s="5"/>
      <c r="B959" s="21"/>
      <c r="C959" s="22"/>
      <c r="D959" s="22"/>
      <c r="E959" s="22"/>
      <c r="F959" s="25"/>
      <c r="G959" s="25"/>
      <c r="H959" s="22"/>
      <c r="I959" s="22"/>
      <c r="J959" s="27"/>
    </row>
    <row r="960" spans="1:10">
      <c r="A960" s="5"/>
      <c r="B960" s="21"/>
      <c r="C960" s="22"/>
      <c r="D960" s="22"/>
      <c r="E960" s="22"/>
      <c r="F960" s="25"/>
      <c r="G960" s="25"/>
      <c r="H960" s="22"/>
      <c r="I960" s="22"/>
      <c r="J960" s="27"/>
    </row>
    <row r="961" spans="1:10">
      <c r="A961" s="5"/>
      <c r="B961" s="21"/>
      <c r="C961" s="22"/>
      <c r="D961" s="22"/>
      <c r="E961" s="22"/>
      <c r="F961" s="25"/>
      <c r="G961" s="25"/>
      <c r="H961" s="22"/>
      <c r="I961" s="22"/>
      <c r="J961" s="27"/>
    </row>
    <row r="962" spans="1:10">
      <c r="A962" s="5"/>
      <c r="B962" s="21"/>
      <c r="C962" s="22"/>
      <c r="D962" s="22"/>
      <c r="E962" s="22"/>
      <c r="F962" s="25"/>
      <c r="G962" s="25"/>
      <c r="H962" s="22"/>
      <c r="I962" s="22"/>
      <c r="J962" s="27"/>
    </row>
    <row r="963" spans="1:10">
      <c r="A963" s="5"/>
      <c r="B963" s="21"/>
      <c r="C963" s="22"/>
      <c r="D963" s="22"/>
      <c r="E963" s="22"/>
      <c r="F963" s="25"/>
      <c r="G963" s="25"/>
      <c r="H963" s="22"/>
      <c r="I963" s="22"/>
      <c r="J963" s="27"/>
    </row>
    <row r="964" spans="1:10">
      <c r="A964" s="5"/>
      <c r="B964" s="21"/>
      <c r="C964" s="22"/>
      <c r="D964" s="22"/>
      <c r="E964" s="22"/>
      <c r="F964" s="25"/>
      <c r="G964" s="25"/>
      <c r="H964" s="22"/>
      <c r="I964" s="22"/>
      <c r="J964" s="27"/>
    </row>
    <row r="965" spans="1:10">
      <c r="A965" s="5"/>
      <c r="B965" s="21"/>
      <c r="C965" s="22"/>
      <c r="D965" s="22"/>
      <c r="E965" s="22"/>
      <c r="F965" s="25"/>
      <c r="G965" s="25"/>
      <c r="H965" s="22"/>
      <c r="I965" s="22"/>
      <c r="J965" s="27"/>
    </row>
    <row r="966" spans="1:10">
      <c r="A966" s="5"/>
      <c r="B966" s="21"/>
      <c r="C966" s="22"/>
      <c r="D966" s="22"/>
      <c r="E966" s="22"/>
      <c r="F966" s="25"/>
      <c r="G966" s="25"/>
      <c r="H966" s="22"/>
      <c r="I966" s="22"/>
      <c r="J966" s="27"/>
    </row>
    <row r="967" spans="1:10">
      <c r="A967" s="5"/>
      <c r="B967" s="21"/>
      <c r="C967" s="22"/>
      <c r="D967" s="22"/>
      <c r="E967" s="22"/>
      <c r="F967" s="25"/>
      <c r="G967" s="25"/>
      <c r="H967" s="22"/>
      <c r="I967" s="22"/>
      <c r="J967" s="27"/>
    </row>
    <row r="968" spans="1:10">
      <c r="A968" s="5"/>
      <c r="B968" s="21"/>
      <c r="C968" s="22"/>
      <c r="D968" s="22"/>
      <c r="E968" s="22"/>
      <c r="F968" s="25"/>
      <c r="G968" s="25"/>
      <c r="H968" s="22"/>
      <c r="I968" s="22"/>
      <c r="J968" s="27"/>
    </row>
    <row r="969" spans="1:10">
      <c r="A969" s="5"/>
      <c r="B969" s="21"/>
      <c r="C969" s="22"/>
      <c r="D969" s="22"/>
      <c r="E969" s="22"/>
      <c r="F969" s="25"/>
      <c r="G969" s="25"/>
      <c r="H969" s="22"/>
      <c r="I969" s="22"/>
      <c r="J969" s="27"/>
    </row>
    <row r="970" spans="1:10">
      <c r="A970" s="5"/>
      <c r="B970" s="21"/>
      <c r="C970" s="22"/>
      <c r="D970" s="22"/>
      <c r="E970" s="22"/>
      <c r="F970" s="25"/>
      <c r="G970" s="25"/>
      <c r="H970" s="22"/>
      <c r="I970" s="22"/>
      <c r="J970" s="27"/>
    </row>
    <row r="971" spans="1:10">
      <c r="A971" s="5"/>
      <c r="B971" s="21"/>
      <c r="C971" s="22"/>
      <c r="D971" s="22"/>
      <c r="E971" s="22"/>
      <c r="F971" s="25"/>
      <c r="G971" s="25"/>
      <c r="H971" s="22"/>
      <c r="I971" s="22"/>
      <c r="J971" s="27"/>
    </row>
    <row r="972" spans="1:10">
      <c r="A972" s="5"/>
      <c r="B972" s="21"/>
      <c r="C972" s="22"/>
      <c r="D972" s="22"/>
      <c r="E972" s="22"/>
      <c r="F972" s="25"/>
      <c r="G972" s="25"/>
      <c r="H972" s="22"/>
      <c r="I972" s="22"/>
      <c r="J972" s="27"/>
    </row>
    <row r="973" spans="1:10">
      <c r="A973" s="5"/>
      <c r="B973" s="21"/>
      <c r="C973" s="22"/>
      <c r="D973" s="22"/>
      <c r="E973" s="22"/>
      <c r="F973" s="25"/>
      <c r="G973" s="25"/>
      <c r="H973" s="22"/>
      <c r="I973" s="22"/>
      <c r="J973" s="27"/>
    </row>
    <row r="974" spans="1:10">
      <c r="A974" s="5"/>
      <c r="B974" s="21"/>
      <c r="C974" s="22"/>
      <c r="D974" s="22"/>
      <c r="E974" s="22"/>
      <c r="F974" s="25"/>
      <c r="G974" s="25"/>
      <c r="H974" s="22"/>
      <c r="I974" s="22"/>
      <c r="J974" s="27"/>
    </row>
    <row r="975" spans="1:10">
      <c r="A975" s="5"/>
      <c r="B975" s="21"/>
      <c r="C975" s="22"/>
      <c r="D975" s="22"/>
      <c r="E975" s="22"/>
      <c r="F975" s="25"/>
      <c r="G975" s="25"/>
      <c r="H975" s="22"/>
      <c r="I975" s="22"/>
      <c r="J975" s="27"/>
    </row>
    <row r="976" spans="1:10">
      <c r="A976" s="5"/>
      <c r="B976" s="21"/>
      <c r="C976" s="22"/>
      <c r="D976" s="22"/>
      <c r="E976" s="22"/>
      <c r="F976" s="25"/>
      <c r="G976" s="25"/>
      <c r="H976" s="22"/>
      <c r="I976" s="22"/>
      <c r="J976" s="27"/>
    </row>
    <row r="977" spans="1:10">
      <c r="A977" s="5"/>
      <c r="B977" s="21"/>
      <c r="C977" s="22"/>
      <c r="D977" s="22"/>
      <c r="E977" s="22"/>
      <c r="F977" s="25"/>
      <c r="G977" s="25"/>
      <c r="H977" s="22"/>
      <c r="I977" s="22"/>
      <c r="J977" s="27"/>
    </row>
    <row r="978" spans="1:10">
      <c r="A978" s="5"/>
      <c r="B978" s="21"/>
      <c r="C978" s="22"/>
      <c r="D978" s="22"/>
      <c r="E978" s="22"/>
      <c r="F978" s="25"/>
      <c r="G978" s="25"/>
      <c r="H978" s="22"/>
      <c r="I978" s="22"/>
      <c r="J978" s="27"/>
    </row>
    <row r="979" spans="1:10">
      <c r="A979" s="5"/>
      <c r="B979" s="21"/>
      <c r="C979" s="22"/>
      <c r="D979" s="22"/>
      <c r="E979" s="22"/>
      <c r="F979" s="25"/>
      <c r="G979" s="25"/>
      <c r="H979" s="22"/>
      <c r="I979" s="22"/>
      <c r="J979" s="27"/>
    </row>
    <row r="980" spans="1:10">
      <c r="A980" s="5"/>
      <c r="B980" s="21"/>
      <c r="C980" s="22"/>
      <c r="D980" s="22"/>
      <c r="E980" s="22"/>
      <c r="F980" s="25"/>
      <c r="G980" s="25"/>
      <c r="H980" s="22"/>
      <c r="I980" s="22"/>
      <c r="J980" s="27"/>
    </row>
    <row r="981" spans="1:10">
      <c r="A981" s="5"/>
      <c r="B981" s="21"/>
      <c r="C981" s="22"/>
      <c r="D981" s="22"/>
      <c r="E981" s="22"/>
      <c r="F981" s="25"/>
      <c r="G981" s="25"/>
      <c r="H981" s="22"/>
      <c r="I981" s="22"/>
      <c r="J981" s="27"/>
    </row>
    <row r="982" spans="1:10">
      <c r="A982" s="5"/>
      <c r="B982" s="21"/>
      <c r="C982" s="22"/>
      <c r="D982" s="22"/>
      <c r="E982" s="22"/>
      <c r="F982" s="25"/>
      <c r="G982" s="25"/>
      <c r="H982" s="22"/>
      <c r="I982" s="22"/>
      <c r="J982" s="27"/>
    </row>
    <row r="983" spans="1:10">
      <c r="A983" s="5"/>
      <c r="B983" s="21"/>
      <c r="C983" s="22"/>
      <c r="D983" s="22"/>
      <c r="E983" s="22"/>
      <c r="F983" s="25"/>
      <c r="G983" s="25"/>
      <c r="H983" s="22"/>
      <c r="I983" s="22"/>
      <c r="J983" s="27"/>
    </row>
    <row r="984" spans="1:10">
      <c r="A984" s="5"/>
      <c r="B984" s="21"/>
      <c r="C984" s="22"/>
      <c r="D984" s="22"/>
      <c r="E984" s="22"/>
      <c r="F984" s="25"/>
      <c r="G984" s="25"/>
      <c r="H984" s="22"/>
      <c r="I984" s="22"/>
      <c r="J984" s="27"/>
    </row>
    <row r="985" spans="1:10">
      <c r="A985" s="5"/>
      <c r="B985" s="21"/>
      <c r="C985" s="22"/>
      <c r="D985" s="22"/>
      <c r="E985" s="22"/>
      <c r="F985" s="25"/>
      <c r="G985" s="25"/>
      <c r="H985" s="22"/>
      <c r="I985" s="22"/>
      <c r="J985" s="27"/>
    </row>
    <row r="986" spans="1:10">
      <c r="A986" s="5"/>
      <c r="B986" s="21"/>
      <c r="C986" s="22"/>
      <c r="D986" s="22"/>
      <c r="E986" s="22"/>
      <c r="F986" s="25"/>
      <c r="G986" s="25"/>
      <c r="H986" s="22"/>
      <c r="I986" s="22"/>
      <c r="J986" s="27"/>
    </row>
    <row r="987" spans="1:10">
      <c r="A987" s="5"/>
      <c r="B987" s="21"/>
      <c r="C987" s="22"/>
      <c r="D987" s="22"/>
      <c r="E987" s="22"/>
      <c r="F987" s="25"/>
      <c r="G987" s="25"/>
      <c r="H987" s="22"/>
      <c r="I987" s="22"/>
      <c r="J987" s="27"/>
    </row>
    <row r="988" spans="1:10">
      <c r="A988" s="5"/>
      <c r="B988" s="21"/>
      <c r="C988" s="22"/>
      <c r="D988" s="22"/>
      <c r="E988" s="22"/>
      <c r="F988" s="25"/>
      <c r="G988" s="25"/>
      <c r="H988" s="22"/>
      <c r="I988" s="22"/>
      <c r="J988" s="27"/>
    </row>
    <row r="989" spans="1:10">
      <c r="A989" s="5"/>
      <c r="B989" s="21"/>
      <c r="C989" s="22"/>
      <c r="D989" s="22"/>
      <c r="E989" s="22"/>
      <c r="F989" s="25"/>
      <c r="G989" s="25"/>
      <c r="H989" s="22"/>
      <c r="I989" s="22"/>
      <c r="J989" s="27"/>
    </row>
    <row r="990" spans="1:10">
      <c r="A990" s="5"/>
      <c r="B990" s="21"/>
      <c r="C990" s="22"/>
      <c r="D990" s="22"/>
      <c r="E990" s="22"/>
      <c r="F990" s="25"/>
      <c r="G990" s="25"/>
      <c r="H990" s="22"/>
      <c r="I990" s="22"/>
      <c r="J990" s="27"/>
    </row>
    <row r="991" spans="1:10">
      <c r="A991" s="5"/>
      <c r="B991" s="21"/>
      <c r="C991" s="22"/>
      <c r="D991" s="22"/>
      <c r="E991" s="22"/>
      <c r="F991" s="25"/>
      <c r="G991" s="25"/>
      <c r="H991" s="22"/>
      <c r="I991" s="22"/>
      <c r="J991" s="27"/>
    </row>
    <row r="992" spans="1:10">
      <c r="A992" s="5"/>
      <c r="B992" s="21"/>
      <c r="C992" s="22"/>
      <c r="D992" s="22"/>
      <c r="E992" s="22"/>
      <c r="F992" s="25"/>
      <c r="G992" s="25"/>
      <c r="H992" s="22"/>
      <c r="I992" s="22"/>
      <c r="J992" s="27"/>
    </row>
    <row r="993" spans="1:10">
      <c r="A993" s="5"/>
      <c r="B993" s="21"/>
      <c r="C993" s="22"/>
      <c r="D993" s="22"/>
      <c r="E993" s="22"/>
      <c r="F993" s="25"/>
      <c r="G993" s="25"/>
      <c r="H993" s="22"/>
      <c r="I993" s="22"/>
      <c r="J993" s="27"/>
    </row>
    <row r="994" spans="1:10">
      <c r="A994" s="5"/>
      <c r="B994" s="21"/>
      <c r="C994" s="22"/>
      <c r="D994" s="22"/>
      <c r="E994" s="22"/>
      <c r="F994" s="25"/>
      <c r="G994" s="25"/>
      <c r="H994" s="22"/>
      <c r="I994" s="22"/>
      <c r="J994" s="27"/>
    </row>
    <row r="995" spans="1:10">
      <c r="A995" s="5"/>
      <c r="B995" s="21"/>
      <c r="C995" s="22"/>
      <c r="D995" s="22"/>
      <c r="E995" s="22"/>
      <c r="F995" s="25"/>
      <c r="G995" s="25"/>
      <c r="H995" s="22"/>
      <c r="I995" s="22"/>
      <c r="J995" s="27"/>
    </row>
    <row r="996" spans="1:10">
      <c r="A996" s="5"/>
      <c r="B996" s="21"/>
      <c r="C996" s="22"/>
      <c r="D996" s="22"/>
      <c r="E996" s="22"/>
      <c r="F996" s="25"/>
      <c r="G996" s="25"/>
      <c r="H996" s="22"/>
      <c r="I996" s="22"/>
      <c r="J996" s="27"/>
    </row>
    <row r="997" spans="1:10">
      <c r="A997" s="5"/>
      <c r="B997" s="21"/>
      <c r="C997" s="22"/>
      <c r="D997" s="22"/>
      <c r="E997" s="22"/>
      <c r="F997" s="25"/>
      <c r="G997" s="25"/>
      <c r="H997" s="22"/>
      <c r="I997" s="22"/>
      <c r="J997" s="27"/>
    </row>
    <row r="998" spans="1:10">
      <c r="A998" s="5"/>
      <c r="B998" s="21"/>
      <c r="C998" s="22"/>
      <c r="D998" s="22"/>
      <c r="E998" s="22"/>
      <c r="F998" s="25"/>
      <c r="G998" s="25"/>
      <c r="H998" s="22"/>
      <c r="I998" s="22"/>
      <c r="J998" s="27"/>
    </row>
    <row r="999" spans="1:10">
      <c r="A999" s="5"/>
      <c r="B999" s="21"/>
      <c r="C999" s="22"/>
      <c r="D999" s="22"/>
      <c r="E999" s="22"/>
      <c r="F999" s="25"/>
      <c r="G999" s="25"/>
      <c r="H999" s="22"/>
      <c r="I999" s="22"/>
      <c r="J999" s="27"/>
    </row>
    <row r="1000" spans="1:10">
      <c r="A1000" s="5"/>
      <c r="B1000" s="21"/>
      <c r="C1000" s="22"/>
      <c r="D1000" s="22"/>
      <c r="E1000" s="22"/>
      <c r="F1000" s="25"/>
      <c r="G1000" s="25"/>
      <c r="H1000" s="22"/>
      <c r="I1000" s="22"/>
      <c r="J1000" s="27"/>
    </row>
    <row r="1001" spans="1:10">
      <c r="A1001" s="5"/>
      <c r="B1001" s="21"/>
      <c r="C1001" s="22"/>
      <c r="D1001" s="22"/>
      <c r="E1001" s="22"/>
      <c r="F1001" s="25"/>
      <c r="G1001" s="25"/>
      <c r="H1001" s="22"/>
      <c r="I1001" s="22"/>
      <c r="J1001" s="27"/>
    </row>
    <row r="1002" spans="1:10">
      <c r="A1002" s="5"/>
      <c r="B1002" s="21"/>
      <c r="C1002" s="22"/>
      <c r="D1002" s="22"/>
      <c r="E1002" s="22"/>
      <c r="F1002" s="25"/>
      <c r="G1002" s="25"/>
      <c r="H1002" s="22"/>
      <c r="I1002" s="22"/>
      <c r="J1002" s="27"/>
    </row>
    <row r="1003" spans="1:10">
      <c r="A1003" s="5"/>
      <c r="B1003" s="21"/>
      <c r="C1003" s="22"/>
      <c r="D1003" s="22"/>
      <c r="E1003" s="22"/>
      <c r="F1003" s="25"/>
      <c r="G1003" s="25"/>
      <c r="H1003" s="22"/>
      <c r="I1003" s="22"/>
      <c r="J1003" s="27"/>
    </row>
    <row r="1004" spans="1:10">
      <c r="A1004" s="5"/>
      <c r="B1004" s="21"/>
      <c r="C1004" s="22"/>
      <c r="D1004" s="22"/>
      <c r="E1004" s="22"/>
      <c r="F1004" s="25"/>
      <c r="G1004" s="25"/>
      <c r="H1004" s="22"/>
      <c r="I1004" s="22"/>
      <c r="J1004" s="27"/>
    </row>
    <row r="1005" spans="1:10">
      <c r="A1005" s="5"/>
      <c r="B1005" s="21"/>
      <c r="C1005" s="22"/>
      <c r="D1005" s="22"/>
      <c r="E1005" s="22"/>
      <c r="F1005" s="25"/>
      <c r="G1005" s="25"/>
      <c r="H1005" s="22"/>
      <c r="I1005" s="22"/>
      <c r="J1005" s="27"/>
    </row>
    <row r="1006" spans="1:10">
      <c r="A1006" s="5"/>
      <c r="B1006" s="21"/>
      <c r="C1006" s="22"/>
      <c r="D1006" s="22"/>
      <c r="E1006" s="22"/>
      <c r="F1006" s="25"/>
      <c r="G1006" s="25"/>
      <c r="H1006" s="22"/>
      <c r="I1006" s="22"/>
      <c r="J1006" s="27"/>
    </row>
    <row r="1007" spans="1:10">
      <c r="A1007" s="5"/>
      <c r="B1007" s="21"/>
      <c r="C1007" s="22"/>
      <c r="D1007" s="22"/>
      <c r="E1007" s="22"/>
      <c r="F1007" s="25"/>
      <c r="G1007" s="25"/>
      <c r="H1007" s="22"/>
      <c r="I1007" s="22"/>
      <c r="J1007" s="27"/>
    </row>
    <row r="1008" spans="1:10">
      <c r="A1008" s="5"/>
      <c r="B1008" s="21"/>
      <c r="C1008" s="22"/>
      <c r="D1008" s="22"/>
      <c r="E1008" s="22"/>
      <c r="F1008" s="25"/>
      <c r="G1008" s="25"/>
      <c r="H1008" s="22"/>
      <c r="I1008" s="22"/>
      <c r="J1008" s="27"/>
    </row>
    <row r="1009" spans="1:10">
      <c r="A1009" s="5"/>
      <c r="B1009" s="21"/>
      <c r="C1009" s="22"/>
      <c r="D1009" s="22"/>
      <c r="E1009" s="22"/>
      <c r="F1009" s="25"/>
      <c r="G1009" s="25"/>
      <c r="H1009" s="22"/>
      <c r="I1009" s="22"/>
      <c r="J1009" s="27"/>
    </row>
    <row r="1010" spans="1:10">
      <c r="A1010" s="5"/>
      <c r="B1010" s="21"/>
      <c r="C1010" s="22"/>
      <c r="D1010" s="22"/>
      <c r="E1010" s="22"/>
      <c r="F1010" s="25"/>
      <c r="G1010" s="25"/>
      <c r="H1010" s="22"/>
      <c r="I1010" s="22"/>
      <c r="J1010" s="27"/>
    </row>
    <row r="1011" spans="1:10">
      <c r="A1011" s="5"/>
      <c r="B1011" s="21"/>
      <c r="C1011" s="22"/>
      <c r="D1011" s="22"/>
      <c r="E1011" s="22"/>
      <c r="F1011" s="25"/>
      <c r="G1011" s="25"/>
      <c r="H1011" s="22"/>
      <c r="I1011" s="22"/>
      <c r="J1011" s="27"/>
    </row>
    <row r="1012" spans="1:10">
      <c r="A1012" s="5"/>
      <c r="B1012" s="21"/>
      <c r="C1012" s="22"/>
      <c r="D1012" s="22"/>
      <c r="E1012" s="22"/>
      <c r="F1012" s="25"/>
      <c r="G1012" s="25"/>
      <c r="H1012" s="22"/>
      <c r="I1012" s="22"/>
      <c r="J1012" s="27"/>
    </row>
    <row r="1013" spans="1:10">
      <c r="A1013" s="5"/>
      <c r="B1013" s="21"/>
      <c r="C1013" s="22"/>
      <c r="D1013" s="22"/>
      <c r="E1013" s="22"/>
      <c r="F1013" s="25"/>
      <c r="G1013" s="25"/>
      <c r="H1013" s="22"/>
      <c r="I1013" s="22"/>
      <c r="J1013" s="27"/>
    </row>
    <row r="1014" spans="1:10">
      <c r="A1014" s="7"/>
      <c r="B1014" s="23"/>
      <c r="C1014" s="24"/>
      <c r="D1014" s="24"/>
      <c r="E1014" s="24"/>
      <c r="F1014" s="26"/>
      <c r="G1014" s="26"/>
      <c r="H1014" s="24"/>
      <c r="I1014" s="24"/>
      <c r="J1014" s="28"/>
    </row>
  </sheetData>
  <mergeCells count="3">
    <mergeCell ref="A1:J1"/>
    <mergeCell ref="F4:J4"/>
    <mergeCell ref="A2:J2"/>
  </mergeCells>
  <dataValidations count="1">
    <dataValidation type="list" sqref="C15:C274" xr:uid="{00000000-0002-0000-0100-000000000000}">
      <formula1>"SÍ,NO"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05"/>
  <sheetViews>
    <sheetView showGridLines="0" tabSelected="1" topLeftCell="H220" zoomScale="55" zoomScaleNormal="55" workbookViewId="0">
      <selection activeCell="O253" sqref="O253"/>
    </sheetView>
  </sheetViews>
  <sheetFormatPr defaultRowHeight="13.8"/>
  <cols>
    <col min="1" max="1" width="18" customWidth="1"/>
    <col min="2" max="2" width="29" customWidth="1"/>
    <col min="3" max="3" width="12" customWidth="1"/>
    <col min="4" max="4" width="22" customWidth="1"/>
    <col min="5" max="5" width="3" customWidth="1"/>
    <col min="6" max="6" width="20" customWidth="1"/>
    <col min="7" max="7" width="18" customWidth="1"/>
    <col min="8" max="8" width="30" customWidth="1"/>
    <col min="9" max="9" width="12" customWidth="1"/>
    <col min="10" max="10" width="22" customWidth="1"/>
    <col min="11" max="11" width="3" customWidth="1"/>
    <col min="12" max="12" width="19" customWidth="1"/>
    <col min="13" max="13" width="12" customWidth="1"/>
    <col min="14" max="14" width="46" customWidth="1"/>
    <col min="15" max="15" width="52" customWidth="1"/>
  </cols>
  <sheetData>
    <row r="1" spans="1:15" ht="30" customHeight="1">
      <c r="A1" s="76" t="s">
        <v>1474</v>
      </c>
      <c r="B1" s="74"/>
      <c r="C1" s="74"/>
      <c r="D1" s="74"/>
      <c r="E1" s="74"/>
      <c r="F1" s="74"/>
      <c r="G1" s="74"/>
      <c r="H1" s="74"/>
      <c r="I1" s="74"/>
      <c r="J1" s="74"/>
      <c r="K1" s="74"/>
      <c r="L1" s="74"/>
      <c r="M1" s="74"/>
      <c r="N1" s="74"/>
      <c r="O1" s="74"/>
    </row>
    <row r="2" spans="1:15" ht="31.95" customHeight="1">
      <c r="A2" s="73" t="s">
        <v>1475</v>
      </c>
      <c r="B2" s="74"/>
      <c r="C2" s="74"/>
      <c r="D2" s="74"/>
      <c r="E2" s="74"/>
      <c r="F2" s="74"/>
      <c r="G2" s="74"/>
      <c r="H2" s="74"/>
      <c r="I2" s="74"/>
      <c r="J2" s="74"/>
      <c r="K2" s="74"/>
      <c r="L2" s="74"/>
      <c r="M2" s="74"/>
      <c r="N2" s="74"/>
      <c r="O2" s="74"/>
    </row>
    <row r="4" spans="1:15">
      <c r="A4" s="75" t="s">
        <v>1476</v>
      </c>
      <c r="B4" s="74"/>
      <c r="C4" s="74"/>
      <c r="D4" s="74"/>
      <c r="F4" s="75" t="s">
        <v>1477</v>
      </c>
      <c r="G4" s="74"/>
      <c r="H4" s="74"/>
      <c r="I4" s="74"/>
      <c r="J4" s="74"/>
      <c r="L4" s="75" t="s">
        <v>1478</v>
      </c>
      <c r="M4" s="74"/>
      <c r="N4" s="74"/>
      <c r="O4" s="74"/>
    </row>
    <row r="5" spans="1:15" ht="27.6" customHeight="1">
      <c r="A5" s="2" t="s">
        <v>304</v>
      </c>
      <c r="B5" s="2" t="s">
        <v>305</v>
      </c>
      <c r="C5" s="2" t="s">
        <v>318</v>
      </c>
      <c r="D5" s="2" t="s">
        <v>1479</v>
      </c>
      <c r="F5" s="2" t="s">
        <v>306</v>
      </c>
      <c r="G5" s="2" t="s">
        <v>304</v>
      </c>
      <c r="H5" s="2" t="s">
        <v>307</v>
      </c>
      <c r="I5" s="2" t="s">
        <v>318</v>
      </c>
      <c r="J5" s="2" t="s">
        <v>1479</v>
      </c>
      <c r="L5" s="2" t="s">
        <v>313</v>
      </c>
      <c r="M5" s="2" t="s">
        <v>318</v>
      </c>
      <c r="N5" s="2" t="s">
        <v>1480</v>
      </c>
      <c r="O5" s="2" t="s">
        <v>1481</v>
      </c>
    </row>
    <row r="6" spans="1:15">
      <c r="F6" s="29" t="str">
        <f>IF(H6="","","SUB-"&amp;TEXT(ROW()-5,"000"))</f>
        <v>SUB-001</v>
      </c>
      <c r="G6" s="4" t="s">
        <v>321</v>
      </c>
      <c r="H6" s="4" t="s">
        <v>1482</v>
      </c>
      <c r="I6" s="4" t="s">
        <v>329</v>
      </c>
      <c r="J6" s="18" t="str">
        <f>IF(H6="","",IF(COUNTIF($H$6:$H$305,H6)&gt;1,"REVISAR: DUPLICADA","OK"))</f>
        <v>OK</v>
      </c>
      <c r="L6" s="29" t="s">
        <v>328</v>
      </c>
      <c r="M6" s="4" t="s">
        <v>329</v>
      </c>
      <c r="N6" s="4" t="s">
        <v>1483</v>
      </c>
      <c r="O6" s="9" t="s">
        <v>1484</v>
      </c>
    </row>
    <row r="7" spans="1:15">
      <c r="F7" s="30" t="str">
        <f>IF(H7="","","SUB-"&amp;TEXT(ROW()-5,"000"))</f>
        <v>SUB-002</v>
      </c>
      <c r="G7" s="6" t="s">
        <v>321</v>
      </c>
      <c r="H7" s="6" t="s">
        <v>1485</v>
      </c>
      <c r="I7" s="6" t="s">
        <v>329</v>
      </c>
      <c r="J7" s="19" t="str">
        <f>IF(H7="","",IF(COUNTIF($H$6:$H$305,H7)&gt;1,"REVISAR: DUPLICADA","OK"))</f>
        <v>OK</v>
      </c>
      <c r="L7" s="30" t="s">
        <v>334</v>
      </c>
      <c r="M7" s="6" t="s">
        <v>329</v>
      </c>
      <c r="N7" s="6" t="s">
        <v>1486</v>
      </c>
      <c r="O7" s="10" t="s">
        <v>1487</v>
      </c>
    </row>
    <row r="8" spans="1:15">
      <c r="A8" s="30" t="str">
        <f>IF(B8="","","CAT-"&amp;TEXT(ROW()-5,"000"))</f>
        <v>CAT-003</v>
      </c>
      <c r="B8" s="6" t="s">
        <v>1488</v>
      </c>
      <c r="C8" s="6" t="s">
        <v>329</v>
      </c>
      <c r="D8" s="19" t="str">
        <f>IF(B8="","",IF(COUNTIF($B$6:$B$105,B8)&gt;1,"REVISAR: DUPLICADA","OK"))</f>
        <v>OK</v>
      </c>
      <c r="F8" s="30" t="str">
        <f>IF(H8="","","SUB-"&amp;TEXT(ROW()-5,"000"))</f>
        <v/>
      </c>
      <c r="G8" s="6"/>
      <c r="H8" s="6"/>
      <c r="I8" s="6" t="s">
        <v>479</v>
      </c>
      <c r="J8" s="19" t="str">
        <f>IF(H8="","",IF(COUNTIF($H$6:$H$305,H8)&gt;1,"REVISAR: DUPLICADA","OK"))</f>
        <v/>
      </c>
      <c r="L8" s="30" t="s">
        <v>338</v>
      </c>
      <c r="M8" s="6" t="s">
        <v>329</v>
      </c>
      <c r="N8" s="6" t="s">
        <v>1489</v>
      </c>
      <c r="O8" s="10" t="s">
        <v>1490</v>
      </c>
    </row>
    <row r="9" spans="1:15">
      <c r="F9" s="30" t="str">
        <f>IF(H9="","","SUB-"&amp;TEXT(ROW()-5,"000"))</f>
        <v/>
      </c>
      <c r="G9" s="6"/>
      <c r="H9" s="6"/>
      <c r="I9" s="6" t="s">
        <v>479</v>
      </c>
      <c r="J9" s="19" t="str">
        <f>IF(H9="","",IF(COUNTIF($H$6:$H$305,H9)&gt;1,"REVISAR: DUPLICADA","OK"))</f>
        <v/>
      </c>
      <c r="L9" s="30" t="s">
        <v>342</v>
      </c>
      <c r="M9" s="6" t="s">
        <v>329</v>
      </c>
      <c r="N9" s="6" t="s">
        <v>1491</v>
      </c>
      <c r="O9" s="10" t="s">
        <v>1492</v>
      </c>
    </row>
    <row r="10" spans="1:15">
      <c r="F10" s="30" t="str">
        <f>IF(H10="","","SUB-"&amp;TEXT(ROW()-5,"000"))</f>
        <v>SUB-005</v>
      </c>
      <c r="G10" s="6" t="s">
        <v>321</v>
      </c>
      <c r="H10" s="6" t="s">
        <v>1493</v>
      </c>
      <c r="I10" s="6" t="s">
        <v>329</v>
      </c>
      <c r="J10" s="19" t="str">
        <f>IF(H10="","",IF(COUNTIF($H$6:$H$305,H10)&gt;1,"REVISAR: DUPLICADA","OK"))</f>
        <v>OK</v>
      </c>
      <c r="L10" s="30" t="s">
        <v>348</v>
      </c>
      <c r="M10" s="6" t="s">
        <v>329</v>
      </c>
      <c r="N10" s="6" t="s">
        <v>1494</v>
      </c>
      <c r="O10" s="10" t="s">
        <v>1495</v>
      </c>
    </row>
    <row r="11" spans="1:15">
      <c r="A11" s="30" t="s">
        <v>394</v>
      </c>
      <c r="B11" s="6" t="s">
        <v>1496</v>
      </c>
      <c r="C11" s="6" t="s">
        <v>329</v>
      </c>
      <c r="D11" s="19" t="s">
        <v>1497</v>
      </c>
      <c r="L11" s="30" t="s">
        <v>353</v>
      </c>
      <c r="M11" s="6" t="s">
        <v>329</v>
      </c>
      <c r="N11" s="6" t="s">
        <v>1498</v>
      </c>
      <c r="O11" s="10" t="s">
        <v>1499</v>
      </c>
    </row>
    <row r="12" spans="1:15">
      <c r="A12" s="30" t="s">
        <v>644</v>
      </c>
      <c r="B12" s="6" t="s">
        <v>1500</v>
      </c>
      <c r="C12" s="6" t="s">
        <v>329</v>
      </c>
      <c r="D12" s="19" t="s">
        <v>1497</v>
      </c>
      <c r="F12" s="30" t="str">
        <f t="shared" ref="F12:F25" si="0">IF(H12="","","SUB-"&amp;TEXT(ROW()-5,"000"))</f>
        <v>SUB-007</v>
      </c>
      <c r="G12" s="6" t="s">
        <v>361</v>
      </c>
      <c r="H12" s="6" t="s">
        <v>1501</v>
      </c>
      <c r="I12" s="6" t="s">
        <v>329</v>
      </c>
      <c r="J12" s="19" t="str">
        <f t="shared" ref="J12:J25" si="1">IF(H12="","",IF(COUNTIF($H$6:$H$305,H12)&gt;1,"REVISAR: DUPLICADA","OK"))</f>
        <v>OK</v>
      </c>
      <c r="L12" s="30" t="s">
        <v>359</v>
      </c>
      <c r="M12" s="6" t="s">
        <v>329</v>
      </c>
      <c r="N12" s="6" t="s">
        <v>1502</v>
      </c>
      <c r="O12" s="10" t="s">
        <v>1499</v>
      </c>
    </row>
    <row r="13" spans="1:15">
      <c r="A13" s="30" t="s">
        <v>904</v>
      </c>
      <c r="B13" s="6" t="s">
        <v>1503</v>
      </c>
      <c r="C13" s="6" t="s">
        <v>329</v>
      </c>
      <c r="D13" s="19" t="s">
        <v>1497</v>
      </c>
      <c r="F13" s="30" t="str">
        <f t="shared" si="0"/>
        <v>SUB-008</v>
      </c>
      <c r="G13" s="6" t="s">
        <v>321</v>
      </c>
      <c r="H13" s="6" t="s">
        <v>1504</v>
      </c>
      <c r="I13" s="6" t="s">
        <v>329</v>
      </c>
      <c r="J13" s="19" t="str">
        <f t="shared" si="1"/>
        <v>OK</v>
      </c>
      <c r="L13" s="30" t="s">
        <v>367</v>
      </c>
      <c r="M13" s="6" t="s">
        <v>329</v>
      </c>
      <c r="N13" s="6" t="s">
        <v>1505</v>
      </c>
      <c r="O13" s="10" t="s">
        <v>1506</v>
      </c>
    </row>
    <row r="14" spans="1:15">
      <c r="A14" s="30" t="str">
        <f>IF(B14="","","CAT-"&amp;TEXT(ROW()-5,"000"))</f>
        <v>CAT-009</v>
      </c>
      <c r="B14" s="6" t="s">
        <v>1507</v>
      </c>
      <c r="C14" s="6" t="s">
        <v>329</v>
      </c>
      <c r="D14" s="19" t="str">
        <f>IF(B14="","",IF(COUNTIF($B$6:$B$105,B14)&gt;1,"REVISAR: DUPLICADA","OK"))</f>
        <v>OK</v>
      </c>
      <c r="F14" s="30" t="str">
        <f t="shared" si="0"/>
        <v>SUB-009</v>
      </c>
      <c r="G14" s="6" t="s">
        <v>394</v>
      </c>
      <c r="H14" s="6" t="s">
        <v>1508</v>
      </c>
      <c r="I14" s="6" t="s">
        <v>329</v>
      </c>
      <c r="J14" s="19" t="str">
        <f t="shared" si="1"/>
        <v>OK</v>
      </c>
      <c r="L14" s="30" t="s">
        <v>371</v>
      </c>
      <c r="M14" s="6" t="s">
        <v>329</v>
      </c>
      <c r="N14" s="6" t="s">
        <v>1509</v>
      </c>
      <c r="O14" s="10" t="s">
        <v>1506</v>
      </c>
    </row>
    <row r="15" spans="1:15">
      <c r="A15" s="30" t="s">
        <v>1114</v>
      </c>
      <c r="B15" s="6" t="s">
        <v>1510</v>
      </c>
      <c r="C15" s="6" t="s">
        <v>329</v>
      </c>
      <c r="D15" s="19" t="s">
        <v>1497</v>
      </c>
      <c r="F15" s="30" t="str">
        <f t="shared" si="0"/>
        <v>SUB-010</v>
      </c>
      <c r="G15" s="6" t="s">
        <v>394</v>
      </c>
      <c r="H15" s="6" t="s">
        <v>1511</v>
      </c>
      <c r="I15" s="6" t="s">
        <v>329</v>
      </c>
      <c r="J15" s="19" t="str">
        <f t="shared" si="1"/>
        <v>OK</v>
      </c>
      <c r="L15" s="30" t="s">
        <v>376</v>
      </c>
      <c r="M15" s="6" t="s">
        <v>329</v>
      </c>
      <c r="N15" s="6" t="s">
        <v>1512</v>
      </c>
      <c r="O15" s="10" t="s">
        <v>1513</v>
      </c>
    </row>
    <row r="16" spans="1:15">
      <c r="A16" s="30" t="s">
        <v>1273</v>
      </c>
      <c r="B16" s="6" t="s">
        <v>1514</v>
      </c>
      <c r="C16" s="6" t="s">
        <v>329</v>
      </c>
      <c r="D16" s="19" t="s">
        <v>1497</v>
      </c>
      <c r="F16" s="30" t="str">
        <f t="shared" si="0"/>
        <v>SUB-011</v>
      </c>
      <c r="G16" s="6" t="s">
        <v>394</v>
      </c>
      <c r="H16" s="6" t="s">
        <v>1515</v>
      </c>
      <c r="I16" s="6" t="s">
        <v>329</v>
      </c>
      <c r="J16" s="19" t="str">
        <f t="shared" si="1"/>
        <v>OK</v>
      </c>
      <c r="L16" s="30" t="s">
        <v>380</v>
      </c>
      <c r="M16" s="6" t="s">
        <v>329</v>
      </c>
      <c r="N16" s="6" t="s">
        <v>1516</v>
      </c>
      <c r="O16" s="10" t="s">
        <v>1513</v>
      </c>
    </row>
    <row r="17" spans="1:15">
      <c r="A17" s="30" t="str">
        <f>IF(B18="","","CAT-"&amp;TEXT(ROW()-5,"000"))</f>
        <v/>
      </c>
      <c r="C17" s="6"/>
      <c r="D17" s="19" t="str">
        <f>IF(B18="","",IF(COUNTIF($B$6:$B$105,B18)&gt;1,"REVISAR: DUPLICADA","OK"))</f>
        <v/>
      </c>
      <c r="F17" s="30" t="str">
        <f t="shared" si="0"/>
        <v>SUB-012</v>
      </c>
      <c r="G17" s="6" t="s">
        <v>644</v>
      </c>
      <c r="H17" s="6" t="s">
        <v>1517</v>
      </c>
      <c r="I17" s="6" t="s">
        <v>329</v>
      </c>
      <c r="J17" s="19" t="str">
        <f t="shared" si="1"/>
        <v>OK</v>
      </c>
      <c r="L17" s="30" t="s">
        <v>384</v>
      </c>
      <c r="M17" s="6" t="s">
        <v>329</v>
      </c>
      <c r="N17" s="6" t="s">
        <v>1518</v>
      </c>
      <c r="O17" s="10" t="s">
        <v>1513</v>
      </c>
    </row>
    <row r="18" spans="1:15">
      <c r="A18" s="30" t="e">
        <f>IF(#REF!="","","CAT-"&amp;TEXT(ROW()-5,"000"))</f>
        <v>#REF!</v>
      </c>
      <c r="B18" s="6"/>
      <c r="C18" s="6"/>
      <c r="D18" s="19" t="e">
        <f>IF(#REF!="","",IF(COUNTIF($B$6:$B$105,#REF!)&gt;1,"REVISAR: DUPLICADA","OK"))</f>
        <v>#REF!</v>
      </c>
      <c r="F18" s="30" t="str">
        <f t="shared" si="0"/>
        <v>SUB-013</v>
      </c>
      <c r="G18" s="6" t="s">
        <v>644</v>
      </c>
      <c r="H18" s="6" t="s">
        <v>1519</v>
      </c>
      <c r="I18" s="6" t="s">
        <v>329</v>
      </c>
      <c r="J18" s="19" t="str">
        <f t="shared" si="1"/>
        <v>OK</v>
      </c>
      <c r="L18" s="30" t="s">
        <v>388</v>
      </c>
      <c r="M18" s="6" t="s">
        <v>329</v>
      </c>
      <c r="N18" s="6" t="s">
        <v>1520</v>
      </c>
      <c r="O18" s="10" t="s">
        <v>1513</v>
      </c>
    </row>
    <row r="19" spans="1:15">
      <c r="A19" s="30"/>
      <c r="B19" s="6"/>
      <c r="C19" s="6"/>
      <c r="D19" s="19"/>
      <c r="F19" s="30" t="str">
        <f t="shared" si="0"/>
        <v>SUB-014</v>
      </c>
      <c r="G19" s="6" t="s">
        <v>644</v>
      </c>
      <c r="H19" s="6" t="s">
        <v>1521</v>
      </c>
      <c r="I19" s="6" t="s">
        <v>329</v>
      </c>
      <c r="J19" s="19" t="str">
        <f t="shared" si="1"/>
        <v>OK</v>
      </c>
      <c r="L19" s="30" t="s">
        <v>392</v>
      </c>
      <c r="M19" s="6" t="s">
        <v>329</v>
      </c>
      <c r="N19" s="6" t="s">
        <v>1522</v>
      </c>
      <c r="O19" s="10" t="s">
        <v>1513</v>
      </c>
    </row>
    <row r="20" spans="1:15">
      <c r="A20" s="30"/>
      <c r="B20" s="6"/>
      <c r="C20" s="6"/>
      <c r="D20" s="19"/>
      <c r="F20" s="30" t="str">
        <f t="shared" si="0"/>
        <v>SUB-015</v>
      </c>
      <c r="G20" s="6" t="s">
        <v>644</v>
      </c>
      <c r="H20" s="6" t="s">
        <v>664</v>
      </c>
      <c r="I20" s="6" t="s">
        <v>329</v>
      </c>
      <c r="J20" s="19" t="str">
        <f t="shared" si="1"/>
        <v>OK</v>
      </c>
      <c r="L20" s="30" t="s">
        <v>399</v>
      </c>
      <c r="M20" s="6" t="s">
        <v>329</v>
      </c>
      <c r="N20" s="6" t="s">
        <v>1523</v>
      </c>
      <c r="O20" s="10" t="s">
        <v>1524</v>
      </c>
    </row>
    <row r="21" spans="1:15">
      <c r="A21" s="30"/>
      <c r="B21" s="6"/>
      <c r="C21" s="6"/>
      <c r="D21" s="19"/>
      <c r="F21" s="30" t="str">
        <f t="shared" si="0"/>
        <v>SUB-016</v>
      </c>
      <c r="G21" s="6" t="s">
        <v>644</v>
      </c>
      <c r="H21" s="6" t="s">
        <v>1525</v>
      </c>
      <c r="I21" s="6" t="s">
        <v>329</v>
      </c>
      <c r="J21" s="19" t="str">
        <f t="shared" si="1"/>
        <v>OK</v>
      </c>
      <c r="L21" s="30" t="s">
        <v>403</v>
      </c>
      <c r="M21" s="6" t="s">
        <v>329</v>
      </c>
      <c r="N21" s="6" t="s">
        <v>1526</v>
      </c>
      <c r="O21" s="10" t="s">
        <v>1524</v>
      </c>
    </row>
    <row r="22" spans="1:15">
      <c r="A22" s="30"/>
      <c r="B22" s="6"/>
      <c r="C22" s="6"/>
      <c r="D22" s="19"/>
      <c r="F22" s="30" t="str">
        <f t="shared" si="0"/>
        <v>SUB-017</v>
      </c>
      <c r="G22" s="6" t="s">
        <v>644</v>
      </c>
      <c r="H22" s="6" t="s">
        <v>1527</v>
      </c>
      <c r="I22" s="6" t="s">
        <v>329</v>
      </c>
      <c r="J22" s="19" t="str">
        <f t="shared" si="1"/>
        <v>OK</v>
      </c>
      <c r="L22" s="30" t="s">
        <v>407</v>
      </c>
      <c r="M22" s="6" t="s">
        <v>329</v>
      </c>
      <c r="N22" s="6" t="s">
        <v>1528</v>
      </c>
      <c r="O22" s="10" t="s">
        <v>1524</v>
      </c>
    </row>
    <row r="23" spans="1:15">
      <c r="A23" s="30"/>
      <c r="B23" s="6"/>
      <c r="C23" s="6"/>
      <c r="D23" s="19"/>
      <c r="F23" s="30" t="str">
        <f t="shared" si="0"/>
        <v>SUB-018</v>
      </c>
      <c r="G23" s="6" t="s">
        <v>644</v>
      </c>
      <c r="H23" s="6" t="s">
        <v>713</v>
      </c>
      <c r="I23" s="6" t="s">
        <v>329</v>
      </c>
      <c r="J23" s="19" t="str">
        <f t="shared" si="1"/>
        <v>OK</v>
      </c>
      <c r="L23" s="30" t="s">
        <v>413</v>
      </c>
      <c r="M23" s="6" t="s">
        <v>329</v>
      </c>
      <c r="N23" s="6" t="s">
        <v>1529</v>
      </c>
      <c r="O23" s="10" t="s">
        <v>1524</v>
      </c>
    </row>
    <row r="24" spans="1:15">
      <c r="A24" s="30"/>
      <c r="B24" s="6"/>
      <c r="C24" s="6"/>
      <c r="D24" s="19"/>
      <c r="F24" s="30" t="str">
        <f t="shared" si="0"/>
        <v>SUB-019</v>
      </c>
      <c r="G24" s="6" t="s">
        <v>644</v>
      </c>
      <c r="H24" s="6" t="s">
        <v>1530</v>
      </c>
      <c r="I24" s="6" t="s">
        <v>329</v>
      </c>
      <c r="J24" s="19" t="str">
        <f t="shared" si="1"/>
        <v>OK</v>
      </c>
      <c r="L24" s="30" t="s">
        <v>417</v>
      </c>
      <c r="M24" s="6" t="s">
        <v>329</v>
      </c>
      <c r="N24" s="6" t="s">
        <v>1531</v>
      </c>
      <c r="O24" s="10" t="s">
        <v>1524</v>
      </c>
    </row>
    <row r="25" spans="1:15">
      <c r="A25" s="30"/>
      <c r="B25" s="6"/>
      <c r="C25" s="6"/>
      <c r="D25" s="19"/>
      <c r="F25" s="30" t="str">
        <f t="shared" si="0"/>
        <v>SUB-020</v>
      </c>
      <c r="G25" s="6" t="s">
        <v>644</v>
      </c>
      <c r="H25" s="6" t="s">
        <v>737</v>
      </c>
      <c r="I25" s="6" t="s">
        <v>329</v>
      </c>
      <c r="J25" s="19" t="str">
        <f t="shared" si="1"/>
        <v>OK</v>
      </c>
      <c r="L25" s="30" t="s">
        <v>428</v>
      </c>
      <c r="M25" s="6" t="s">
        <v>329</v>
      </c>
      <c r="N25" s="6" t="s">
        <v>1532</v>
      </c>
      <c r="O25" s="10" t="s">
        <v>1524</v>
      </c>
    </row>
    <row r="26" spans="1:15">
      <c r="A26" s="30"/>
      <c r="B26" s="6"/>
      <c r="C26" s="6"/>
      <c r="D26" s="19"/>
      <c r="L26" s="30" t="s">
        <v>432</v>
      </c>
      <c r="M26" s="6" t="s">
        <v>329</v>
      </c>
      <c r="N26" s="6" t="s">
        <v>1533</v>
      </c>
      <c r="O26" s="10" t="s">
        <v>1524</v>
      </c>
    </row>
    <row r="27" spans="1:15">
      <c r="A27" s="30"/>
      <c r="B27" s="6"/>
      <c r="C27" s="6"/>
      <c r="D27" s="19"/>
      <c r="F27" s="30" t="str">
        <f>IF(H27="","","SUB-"&amp;TEXT(ROW()-5,"000"))</f>
        <v>SUB-022</v>
      </c>
      <c r="G27" s="6" t="s">
        <v>361</v>
      </c>
      <c r="H27" s="6" t="s">
        <v>1534</v>
      </c>
      <c r="I27" s="6" t="s">
        <v>329</v>
      </c>
      <c r="J27" s="19" t="str">
        <f>IF(H27="","",IF(COUNTIF($H$6:$H$305,H27)&gt;1,"REVISAR: DUPLICADA","OK"))</f>
        <v>OK</v>
      </c>
      <c r="L27" s="30" t="s">
        <v>436</v>
      </c>
      <c r="M27" s="6" t="s">
        <v>329</v>
      </c>
      <c r="N27" s="6" t="s">
        <v>1535</v>
      </c>
      <c r="O27" s="10" t="s">
        <v>1524</v>
      </c>
    </row>
    <row r="28" spans="1:15">
      <c r="A28" s="30"/>
      <c r="B28" s="6"/>
      <c r="C28" s="6"/>
      <c r="D28" s="19"/>
      <c r="F28" s="30" t="str">
        <f>IF(H28="","","SUB-"&amp;TEXT(ROW()-5,"000"))</f>
        <v>SUB-023</v>
      </c>
      <c r="G28" s="6" t="s">
        <v>904</v>
      </c>
      <c r="H28" s="6" t="s">
        <v>1536</v>
      </c>
      <c r="I28" s="6" t="s">
        <v>329</v>
      </c>
      <c r="J28" s="19" t="str">
        <f>IF(H28="","",IF(COUNTIF($H$6:$H$305,H28)&gt;1,"REVISAR: DUPLICADA","OK"))</f>
        <v>OK</v>
      </c>
      <c r="L28" s="30" t="s">
        <v>444</v>
      </c>
      <c r="M28" s="6" t="s">
        <v>329</v>
      </c>
      <c r="N28" s="6" t="s">
        <v>1537</v>
      </c>
      <c r="O28" s="10" t="s">
        <v>1524</v>
      </c>
    </row>
    <row r="29" spans="1:15">
      <c r="A29" s="30"/>
      <c r="B29" s="6"/>
      <c r="C29" s="6"/>
      <c r="D29" s="19"/>
      <c r="F29" s="30" t="str">
        <f>IF(H29="","","SUB-"&amp;TEXT(ROW()-5,"000"))</f>
        <v/>
      </c>
      <c r="J29" s="19" t="str">
        <f>IF(H29="","",IF(COUNTIF($H$6:$H$305,H29)&gt;1,"REVISAR: DUPLICADA","OK"))</f>
        <v/>
      </c>
      <c r="L29" s="30" t="s">
        <v>451</v>
      </c>
      <c r="M29" s="6" t="s">
        <v>329</v>
      </c>
      <c r="N29" s="6" t="s">
        <v>1538</v>
      </c>
      <c r="O29" s="10" t="s">
        <v>1524</v>
      </c>
    </row>
    <row r="30" spans="1:15">
      <c r="A30" s="30"/>
      <c r="B30" s="6"/>
      <c r="C30" s="6"/>
      <c r="D30" s="19"/>
      <c r="F30" s="30" t="str">
        <f>IF(H30="","","SUB-"&amp;TEXT(ROW()-5,"000"))</f>
        <v/>
      </c>
      <c r="J30" s="19" t="str">
        <f>IF(H30="","",IF(COUNTIF($H$6:$H$305,H30)&gt;1,"REVISAR: DUPLICADA","OK"))</f>
        <v/>
      </c>
      <c r="L30" s="30" t="s">
        <v>456</v>
      </c>
      <c r="M30" s="6" t="s">
        <v>329</v>
      </c>
      <c r="N30" s="6" t="s">
        <v>1539</v>
      </c>
      <c r="O30" s="10" t="s">
        <v>1540</v>
      </c>
    </row>
    <row r="31" spans="1:15">
      <c r="A31" s="30"/>
      <c r="B31" s="6"/>
      <c r="C31" s="6"/>
      <c r="D31" s="19"/>
      <c r="L31" s="30" t="s">
        <v>460</v>
      </c>
      <c r="M31" s="6" t="s">
        <v>329</v>
      </c>
      <c r="N31" s="6" t="s">
        <v>1541</v>
      </c>
      <c r="O31" s="10" t="s">
        <v>1540</v>
      </c>
    </row>
    <row r="32" spans="1:15">
      <c r="A32" s="30"/>
      <c r="B32" s="6"/>
      <c r="C32" s="6"/>
      <c r="D32" s="19"/>
      <c r="F32" s="30" t="str">
        <f t="shared" ref="F32:F38" si="2">IF(H32="","","SUB-"&amp;TEXT(ROW()-5,"000"))</f>
        <v/>
      </c>
      <c r="G32" s="6"/>
      <c r="H32" s="6"/>
      <c r="I32" s="6" t="s">
        <v>479</v>
      </c>
      <c r="J32" s="19" t="str">
        <f t="shared" ref="J32:J38" si="3">IF(H32="","",IF(COUNTIF($H$6:$H$305,H32)&gt;1,"REVISAR: DUPLICADA","OK"))</f>
        <v/>
      </c>
      <c r="L32" s="30" t="s">
        <v>466</v>
      </c>
      <c r="M32" s="6" t="s">
        <v>329</v>
      </c>
      <c r="N32" s="6" t="s">
        <v>1542</v>
      </c>
      <c r="O32" s="10" t="s">
        <v>1540</v>
      </c>
    </row>
    <row r="33" spans="1:15">
      <c r="A33" s="30"/>
      <c r="B33" s="6"/>
      <c r="C33" s="6"/>
      <c r="D33" s="19"/>
      <c r="F33" s="30" t="str">
        <f t="shared" si="2"/>
        <v/>
      </c>
      <c r="G33" s="6"/>
      <c r="H33" s="6"/>
      <c r="I33" s="6" t="s">
        <v>479</v>
      </c>
      <c r="J33" s="19" t="str">
        <f t="shared" si="3"/>
        <v/>
      </c>
      <c r="L33" s="30" t="s">
        <v>470</v>
      </c>
      <c r="M33" s="6" t="s">
        <v>329</v>
      </c>
      <c r="N33" s="6" t="s">
        <v>1543</v>
      </c>
      <c r="O33" s="10" t="s">
        <v>1540</v>
      </c>
    </row>
    <row r="34" spans="1:15">
      <c r="A34" s="30"/>
      <c r="B34" s="6"/>
      <c r="C34" s="6"/>
      <c r="D34" s="19"/>
      <c r="F34" s="30" t="str">
        <f t="shared" si="2"/>
        <v>SUB-029</v>
      </c>
      <c r="G34" s="6" t="s">
        <v>321</v>
      </c>
      <c r="H34" s="6" t="s">
        <v>1544</v>
      </c>
      <c r="I34" s="6" t="s">
        <v>329</v>
      </c>
      <c r="J34" s="19" t="str">
        <f t="shared" si="3"/>
        <v>OK</v>
      </c>
      <c r="L34" s="30" t="s">
        <v>474</v>
      </c>
      <c r="M34" s="6" t="s">
        <v>329</v>
      </c>
      <c r="N34" s="6" t="s">
        <v>1545</v>
      </c>
      <c r="O34" s="10" t="s">
        <v>1540</v>
      </c>
    </row>
    <row r="35" spans="1:15">
      <c r="A35" s="30"/>
      <c r="B35" s="6"/>
      <c r="C35" s="6"/>
      <c r="D35" s="19"/>
      <c r="F35" s="30" t="str">
        <f t="shared" si="2"/>
        <v>SUB-030</v>
      </c>
      <c r="G35" s="6" t="s">
        <v>394</v>
      </c>
      <c r="H35" s="6" t="s">
        <v>1546</v>
      </c>
      <c r="I35" s="6" t="s">
        <v>329</v>
      </c>
      <c r="J35" s="19" t="str">
        <f t="shared" si="3"/>
        <v>OK</v>
      </c>
      <c r="L35" s="30" t="s">
        <v>478</v>
      </c>
      <c r="M35" s="6" t="s">
        <v>329</v>
      </c>
      <c r="N35" s="6" t="s">
        <v>1547</v>
      </c>
      <c r="O35" s="10" t="s">
        <v>1540</v>
      </c>
    </row>
    <row r="36" spans="1:15">
      <c r="A36" s="30"/>
      <c r="B36" s="6"/>
      <c r="C36" s="6"/>
      <c r="D36" s="19"/>
      <c r="F36" s="30" t="str">
        <f t="shared" si="2"/>
        <v>SUB-031</v>
      </c>
      <c r="G36" s="6" t="s">
        <v>394</v>
      </c>
      <c r="H36" s="6" t="s">
        <v>1548</v>
      </c>
      <c r="I36" s="6" t="s">
        <v>329</v>
      </c>
      <c r="J36" s="19" t="str">
        <f t="shared" si="3"/>
        <v>OK</v>
      </c>
      <c r="L36" s="30" t="s">
        <v>484</v>
      </c>
      <c r="M36" s="6" t="s">
        <v>329</v>
      </c>
      <c r="N36" s="6" t="s">
        <v>1549</v>
      </c>
      <c r="O36" s="10" t="s">
        <v>1540</v>
      </c>
    </row>
    <row r="37" spans="1:15">
      <c r="A37" s="30"/>
      <c r="B37" s="6"/>
      <c r="C37" s="6"/>
      <c r="D37" s="19"/>
      <c r="F37" s="30" t="str">
        <f t="shared" si="2"/>
        <v>SUB-032</v>
      </c>
      <c r="G37" s="6" t="s">
        <v>394</v>
      </c>
      <c r="H37" s="6" t="s">
        <v>1550</v>
      </c>
      <c r="I37" s="6" t="s">
        <v>329</v>
      </c>
      <c r="J37" s="19" t="str">
        <f t="shared" si="3"/>
        <v>OK</v>
      </c>
      <c r="L37" s="30" t="s">
        <v>487</v>
      </c>
      <c r="M37" s="6" t="s">
        <v>329</v>
      </c>
      <c r="N37" s="6" t="s">
        <v>1551</v>
      </c>
      <c r="O37" s="10" t="s">
        <v>1540</v>
      </c>
    </row>
    <row r="38" spans="1:15">
      <c r="A38" s="30" t="str">
        <f t="shared" ref="A38:A69" si="4">IF(B38="","","CAT-"&amp;TEXT(ROW()-5,"000"))</f>
        <v/>
      </c>
      <c r="B38" s="6"/>
      <c r="C38" s="6"/>
      <c r="D38" s="19" t="str">
        <f t="shared" ref="D38:D69" si="5">IF(B38="","",IF(COUNTIF($B$6:$B$105,B38)&gt;1,"REVISAR: DUPLICADA","OK"))</f>
        <v/>
      </c>
      <c r="F38" s="30" t="str">
        <f t="shared" si="2"/>
        <v>SUB-033</v>
      </c>
      <c r="G38" s="6" t="s">
        <v>1114</v>
      </c>
      <c r="H38" s="6" t="s">
        <v>1552</v>
      </c>
      <c r="I38" s="6" t="s">
        <v>329</v>
      </c>
      <c r="J38" s="19" t="str">
        <f t="shared" si="3"/>
        <v>OK</v>
      </c>
      <c r="L38" s="30" t="s">
        <v>494</v>
      </c>
      <c r="M38" s="6" t="s">
        <v>329</v>
      </c>
      <c r="N38" s="6" t="s">
        <v>1553</v>
      </c>
      <c r="O38" s="10" t="s">
        <v>1554</v>
      </c>
    </row>
    <row r="39" spans="1:15">
      <c r="A39" s="30" t="str">
        <f t="shared" si="4"/>
        <v/>
      </c>
      <c r="B39" s="6"/>
      <c r="C39" s="6"/>
      <c r="D39" s="19" t="str">
        <f t="shared" si="5"/>
        <v/>
      </c>
      <c r="L39" s="30" t="s">
        <v>499</v>
      </c>
      <c r="M39" s="6" t="s">
        <v>329</v>
      </c>
      <c r="N39" s="6" t="s">
        <v>1555</v>
      </c>
      <c r="O39" s="10" t="s">
        <v>1554</v>
      </c>
    </row>
    <row r="40" spans="1:15">
      <c r="A40" s="30" t="str">
        <f t="shared" si="4"/>
        <v/>
      </c>
      <c r="B40" s="6"/>
      <c r="C40" s="6"/>
      <c r="D40" s="19" t="str">
        <f t="shared" si="5"/>
        <v/>
      </c>
      <c r="L40" s="30" t="s">
        <v>504</v>
      </c>
      <c r="M40" s="6" t="s">
        <v>329</v>
      </c>
      <c r="N40" s="6" t="s">
        <v>1556</v>
      </c>
      <c r="O40" s="10" t="s">
        <v>1554</v>
      </c>
    </row>
    <row r="41" spans="1:15">
      <c r="A41" s="30" t="str">
        <f t="shared" si="4"/>
        <v/>
      </c>
      <c r="B41" s="6"/>
      <c r="C41" s="6"/>
      <c r="D41" s="19" t="str">
        <f t="shared" si="5"/>
        <v/>
      </c>
      <c r="F41" s="30" t="str">
        <f>IF(H41="","","SUB-"&amp;TEXT(ROW()-5,"000"))</f>
        <v>SUB-036</v>
      </c>
      <c r="G41" s="6" t="s">
        <v>1114</v>
      </c>
      <c r="H41" s="6" t="s">
        <v>1557</v>
      </c>
      <c r="I41" s="6" t="s">
        <v>329</v>
      </c>
      <c r="J41" s="19" t="str">
        <f>IF(H41="","",IF(COUNTIF($H$6:$H$305,H41)&gt;1,"REVISAR: DUPLICADA","OK"))</f>
        <v>OK</v>
      </c>
      <c r="L41" s="30" t="s">
        <v>509</v>
      </c>
      <c r="M41" s="6" t="s">
        <v>329</v>
      </c>
      <c r="N41" s="6" t="s">
        <v>1558</v>
      </c>
      <c r="O41" s="10" t="s">
        <v>1554</v>
      </c>
    </row>
    <row r="42" spans="1:15">
      <c r="A42" s="30" t="str">
        <f t="shared" si="4"/>
        <v/>
      </c>
      <c r="B42" s="6"/>
      <c r="C42" s="6"/>
      <c r="D42" s="19" t="str">
        <f t="shared" si="5"/>
        <v/>
      </c>
      <c r="L42" s="30" t="s">
        <v>513</v>
      </c>
      <c r="M42" s="6" t="s">
        <v>329</v>
      </c>
      <c r="N42" s="6" t="s">
        <v>1559</v>
      </c>
      <c r="O42" s="10" t="s">
        <v>1554</v>
      </c>
    </row>
    <row r="43" spans="1:15">
      <c r="A43" s="30" t="str">
        <f t="shared" si="4"/>
        <v/>
      </c>
      <c r="B43" s="6"/>
      <c r="C43" s="6"/>
      <c r="D43" s="19" t="str">
        <f t="shared" si="5"/>
        <v/>
      </c>
      <c r="F43" s="30" t="str">
        <f t="shared" ref="F43:F56" si="6">IF(H43="","","SUB-"&amp;TEXT(ROW()-5,"000"))</f>
        <v>SUB-038</v>
      </c>
      <c r="G43" s="6" t="s">
        <v>361</v>
      </c>
      <c r="H43" s="6" t="s">
        <v>1560</v>
      </c>
      <c r="I43" s="6" t="s">
        <v>329</v>
      </c>
      <c r="J43" s="19" t="str">
        <f t="shared" ref="J43:J56" si="7">IF(H43="","",IF(COUNTIF($H$6:$H$305,H43)&gt;1,"REVISAR: DUPLICADA","OK"))</f>
        <v>REVISAR: DUPLICADA</v>
      </c>
      <c r="L43" s="30" t="s">
        <v>517</v>
      </c>
      <c r="M43" s="6" t="s">
        <v>329</v>
      </c>
      <c r="N43" s="6" t="s">
        <v>1561</v>
      </c>
      <c r="O43" s="10" t="s">
        <v>1554</v>
      </c>
    </row>
    <row r="44" spans="1:15">
      <c r="A44" s="30" t="str">
        <f t="shared" si="4"/>
        <v/>
      </c>
      <c r="B44" s="6"/>
      <c r="C44" s="6"/>
      <c r="D44" s="19" t="str">
        <f t="shared" si="5"/>
        <v/>
      </c>
      <c r="F44" s="30" t="str">
        <f t="shared" si="6"/>
        <v>SUB-039</v>
      </c>
      <c r="G44" s="6" t="s">
        <v>1114</v>
      </c>
      <c r="H44" s="6" t="s">
        <v>1562</v>
      </c>
      <c r="I44" s="6" t="s">
        <v>329</v>
      </c>
      <c r="J44" s="19" t="str">
        <f t="shared" si="7"/>
        <v>OK</v>
      </c>
      <c r="L44" s="30" t="s">
        <v>523</v>
      </c>
      <c r="M44" s="6" t="s">
        <v>329</v>
      </c>
      <c r="N44" s="6" t="s">
        <v>1563</v>
      </c>
      <c r="O44" s="10" t="s">
        <v>1554</v>
      </c>
    </row>
    <row r="45" spans="1:15">
      <c r="A45" s="30" t="str">
        <f t="shared" si="4"/>
        <v/>
      </c>
      <c r="B45" s="6"/>
      <c r="C45" s="6"/>
      <c r="D45" s="19" t="str">
        <f t="shared" si="5"/>
        <v/>
      </c>
      <c r="F45" s="30" t="str">
        <f t="shared" si="6"/>
        <v>SUB-040</v>
      </c>
      <c r="G45" s="6" t="s">
        <v>394</v>
      </c>
      <c r="H45" s="6" t="s">
        <v>1564</v>
      </c>
      <c r="I45" s="6" t="s">
        <v>329</v>
      </c>
      <c r="J45" s="19" t="str">
        <f t="shared" si="7"/>
        <v>OK</v>
      </c>
      <c r="L45" s="30" t="s">
        <v>527</v>
      </c>
      <c r="M45" s="6" t="s">
        <v>329</v>
      </c>
      <c r="N45" s="6" t="s">
        <v>1565</v>
      </c>
      <c r="O45" s="10" t="s">
        <v>1554</v>
      </c>
    </row>
    <row r="46" spans="1:15">
      <c r="A46" s="30" t="str">
        <f t="shared" si="4"/>
        <v/>
      </c>
      <c r="B46" s="6"/>
      <c r="C46" s="6"/>
      <c r="D46" s="19" t="str">
        <f t="shared" si="5"/>
        <v/>
      </c>
      <c r="F46" s="30" t="str">
        <f t="shared" si="6"/>
        <v>SUB-041</v>
      </c>
      <c r="G46" s="6" t="s">
        <v>394</v>
      </c>
      <c r="H46" s="6" t="s">
        <v>1566</v>
      </c>
      <c r="I46" s="6" t="s">
        <v>329</v>
      </c>
      <c r="J46" s="19" t="str">
        <f t="shared" si="7"/>
        <v>OK</v>
      </c>
      <c r="L46" s="30" t="s">
        <v>531</v>
      </c>
      <c r="M46" s="6" t="s">
        <v>329</v>
      </c>
      <c r="N46" s="6" t="s">
        <v>1567</v>
      </c>
      <c r="O46" s="10" t="s">
        <v>1554</v>
      </c>
    </row>
    <row r="47" spans="1:15">
      <c r="A47" s="30" t="str">
        <f t="shared" si="4"/>
        <v/>
      </c>
      <c r="B47" s="6"/>
      <c r="C47" s="6"/>
      <c r="D47" s="19" t="str">
        <f t="shared" si="5"/>
        <v/>
      </c>
      <c r="F47" s="30" t="str">
        <f t="shared" si="6"/>
        <v>SUB-042</v>
      </c>
      <c r="G47" s="6" t="s">
        <v>394</v>
      </c>
      <c r="H47" s="6" t="s">
        <v>1568</v>
      </c>
      <c r="I47" s="6" t="s">
        <v>329</v>
      </c>
      <c r="J47" s="19" t="str">
        <f t="shared" si="7"/>
        <v>OK</v>
      </c>
      <c r="L47" s="30" t="s">
        <v>535</v>
      </c>
      <c r="M47" s="6" t="s">
        <v>329</v>
      </c>
      <c r="N47" s="6" t="s">
        <v>1569</v>
      </c>
      <c r="O47" s="10" t="s">
        <v>1554</v>
      </c>
    </row>
    <row r="48" spans="1:15">
      <c r="A48" s="30" t="str">
        <f t="shared" si="4"/>
        <v/>
      </c>
      <c r="B48" s="6"/>
      <c r="C48" s="6"/>
      <c r="D48" s="19" t="str">
        <f t="shared" si="5"/>
        <v/>
      </c>
      <c r="F48" s="30" t="str">
        <f t="shared" si="6"/>
        <v>SUB-043</v>
      </c>
      <c r="G48" s="6" t="s">
        <v>394</v>
      </c>
      <c r="H48" s="6" t="s">
        <v>1570</v>
      </c>
      <c r="I48" s="6" t="s">
        <v>329</v>
      </c>
      <c r="J48" s="19" t="str">
        <f t="shared" si="7"/>
        <v>OK</v>
      </c>
      <c r="L48" s="30" t="s">
        <v>539</v>
      </c>
      <c r="M48" s="6" t="s">
        <v>329</v>
      </c>
      <c r="N48" s="6" t="s">
        <v>1571</v>
      </c>
      <c r="O48" s="10" t="s">
        <v>1554</v>
      </c>
    </row>
    <row r="49" spans="1:15">
      <c r="A49" s="30" t="str">
        <f t="shared" si="4"/>
        <v/>
      </c>
      <c r="B49" s="6"/>
      <c r="C49" s="6"/>
      <c r="D49" s="19" t="str">
        <f t="shared" si="5"/>
        <v/>
      </c>
      <c r="F49" s="30" t="str">
        <f t="shared" si="6"/>
        <v>SUB-044</v>
      </c>
      <c r="G49" s="6" t="s">
        <v>1273</v>
      </c>
      <c r="H49" s="6" t="s">
        <v>1560</v>
      </c>
      <c r="I49" s="6" t="s">
        <v>329</v>
      </c>
      <c r="J49" s="19" t="str">
        <f t="shared" si="7"/>
        <v>REVISAR: DUPLICADA</v>
      </c>
      <c r="L49" s="30" t="s">
        <v>543</v>
      </c>
      <c r="M49" s="6" t="s">
        <v>329</v>
      </c>
      <c r="N49" s="6" t="s">
        <v>1572</v>
      </c>
      <c r="O49" s="10" t="s">
        <v>1554</v>
      </c>
    </row>
    <row r="50" spans="1:15">
      <c r="A50" s="30" t="str">
        <f t="shared" si="4"/>
        <v/>
      </c>
      <c r="B50" s="6"/>
      <c r="C50" s="6"/>
      <c r="D50" s="19" t="str">
        <f t="shared" si="5"/>
        <v/>
      </c>
      <c r="F50" s="30" t="str">
        <f t="shared" si="6"/>
        <v>SUB-045</v>
      </c>
      <c r="G50" s="6" t="s">
        <v>1273</v>
      </c>
      <c r="H50" s="6" t="s">
        <v>1573</v>
      </c>
      <c r="I50" s="6" t="s">
        <v>329</v>
      </c>
      <c r="J50" s="19" t="str">
        <f t="shared" si="7"/>
        <v>OK</v>
      </c>
      <c r="L50" s="30" t="s">
        <v>547</v>
      </c>
      <c r="M50" s="6" t="s">
        <v>329</v>
      </c>
      <c r="N50" s="6" t="s">
        <v>1574</v>
      </c>
      <c r="O50" s="10" t="s">
        <v>1554</v>
      </c>
    </row>
    <row r="51" spans="1:15">
      <c r="A51" s="30" t="str">
        <f t="shared" si="4"/>
        <v/>
      </c>
      <c r="B51" s="6"/>
      <c r="C51" s="6"/>
      <c r="D51" s="19" t="str">
        <f t="shared" si="5"/>
        <v/>
      </c>
      <c r="F51" s="30" t="str">
        <f t="shared" si="6"/>
        <v>SUB-046</v>
      </c>
      <c r="G51" s="6" t="s">
        <v>1273</v>
      </c>
      <c r="H51" s="6" t="s">
        <v>1575</v>
      </c>
      <c r="I51" s="6" t="s">
        <v>329</v>
      </c>
      <c r="J51" s="19" t="str">
        <f t="shared" si="7"/>
        <v>OK</v>
      </c>
      <c r="L51" s="30" t="s">
        <v>551</v>
      </c>
      <c r="M51" s="6" t="s">
        <v>329</v>
      </c>
      <c r="N51" s="6" t="s">
        <v>1576</v>
      </c>
      <c r="O51" s="10" t="s">
        <v>1554</v>
      </c>
    </row>
    <row r="52" spans="1:15">
      <c r="A52" s="30" t="str">
        <f t="shared" si="4"/>
        <v/>
      </c>
      <c r="B52" s="6"/>
      <c r="C52" s="6"/>
      <c r="D52" s="19" t="str">
        <f t="shared" si="5"/>
        <v/>
      </c>
      <c r="F52" s="30" t="str">
        <f t="shared" si="6"/>
        <v>SUB-047</v>
      </c>
      <c r="G52" s="6" t="s">
        <v>1273</v>
      </c>
      <c r="H52" s="6" t="s">
        <v>1577</v>
      </c>
      <c r="I52" s="6" t="s">
        <v>329</v>
      </c>
      <c r="J52" s="19" t="str">
        <f t="shared" si="7"/>
        <v>OK</v>
      </c>
      <c r="L52" s="30" t="s">
        <v>555</v>
      </c>
      <c r="M52" s="6" t="s">
        <v>329</v>
      </c>
      <c r="N52" s="6" t="s">
        <v>1578</v>
      </c>
      <c r="O52" s="10" t="s">
        <v>1554</v>
      </c>
    </row>
    <row r="53" spans="1:15">
      <c r="A53" s="30" t="str">
        <f t="shared" si="4"/>
        <v/>
      </c>
      <c r="B53" s="6"/>
      <c r="C53" s="6"/>
      <c r="D53" s="19" t="str">
        <f t="shared" si="5"/>
        <v/>
      </c>
      <c r="F53" s="30" t="str">
        <f t="shared" si="6"/>
        <v>SUB-048</v>
      </c>
      <c r="G53" s="6" t="s">
        <v>1114</v>
      </c>
      <c r="H53" s="6" t="s">
        <v>1579</v>
      </c>
      <c r="I53" s="6" t="s">
        <v>329</v>
      </c>
      <c r="J53" s="19" t="str">
        <f t="shared" si="7"/>
        <v>OK</v>
      </c>
      <c r="L53" s="30" t="s">
        <v>559</v>
      </c>
      <c r="M53" s="6" t="s">
        <v>329</v>
      </c>
      <c r="N53" s="6" t="s">
        <v>1580</v>
      </c>
      <c r="O53" s="10" t="s">
        <v>1554</v>
      </c>
    </row>
    <row r="54" spans="1:15">
      <c r="A54" s="30" t="str">
        <f t="shared" si="4"/>
        <v/>
      </c>
      <c r="B54" s="6"/>
      <c r="C54" s="6"/>
      <c r="D54" s="19" t="str">
        <f t="shared" si="5"/>
        <v/>
      </c>
      <c r="F54" s="30" t="str">
        <f t="shared" si="6"/>
        <v>SUB-049</v>
      </c>
      <c r="G54" s="6" t="s">
        <v>1114</v>
      </c>
      <c r="H54" s="6" t="s">
        <v>1581</v>
      </c>
      <c r="I54" s="6" t="s">
        <v>329</v>
      </c>
      <c r="J54" s="19" t="str">
        <f t="shared" si="7"/>
        <v>OK</v>
      </c>
      <c r="L54" s="30" t="s">
        <v>563</v>
      </c>
      <c r="M54" s="6" t="s">
        <v>329</v>
      </c>
      <c r="N54" s="6" t="s">
        <v>1582</v>
      </c>
      <c r="O54" s="10" t="s">
        <v>1554</v>
      </c>
    </row>
    <row r="55" spans="1:15">
      <c r="A55" s="30" t="str">
        <f t="shared" si="4"/>
        <v/>
      </c>
      <c r="B55" s="6"/>
      <c r="C55" s="6"/>
      <c r="D55" s="19" t="str">
        <f t="shared" si="5"/>
        <v/>
      </c>
      <c r="F55" s="30" t="str">
        <f t="shared" si="6"/>
        <v>SUB-050</v>
      </c>
      <c r="G55" s="6" t="s">
        <v>1114</v>
      </c>
      <c r="H55" s="6" t="s">
        <v>1583</v>
      </c>
      <c r="I55" s="6" t="s">
        <v>329</v>
      </c>
      <c r="J55" s="19" t="str">
        <f t="shared" si="7"/>
        <v>OK</v>
      </c>
      <c r="L55" s="30" t="s">
        <v>567</v>
      </c>
      <c r="M55" s="6" t="s">
        <v>329</v>
      </c>
      <c r="N55" s="6" t="s">
        <v>1584</v>
      </c>
      <c r="O55" s="10" t="s">
        <v>1554</v>
      </c>
    </row>
    <row r="56" spans="1:15">
      <c r="A56" s="30" t="str">
        <f t="shared" si="4"/>
        <v/>
      </c>
      <c r="B56" s="6"/>
      <c r="C56" s="6"/>
      <c r="D56" s="19" t="str">
        <f t="shared" si="5"/>
        <v/>
      </c>
      <c r="F56" s="30" t="str">
        <f t="shared" si="6"/>
        <v>SUB-051</v>
      </c>
      <c r="G56" s="6" t="s">
        <v>1114</v>
      </c>
      <c r="H56" s="6" t="s">
        <v>1585</v>
      </c>
      <c r="I56" s="6" t="s">
        <v>329</v>
      </c>
      <c r="J56" s="19" t="str">
        <f t="shared" si="7"/>
        <v>OK</v>
      </c>
      <c r="L56" s="30" t="s">
        <v>572</v>
      </c>
      <c r="M56" s="6" t="s">
        <v>329</v>
      </c>
      <c r="N56" s="6" t="s">
        <v>1586</v>
      </c>
      <c r="O56" s="10" t="s">
        <v>1554</v>
      </c>
    </row>
    <row r="57" spans="1:15">
      <c r="A57" s="30" t="str">
        <f t="shared" si="4"/>
        <v/>
      </c>
      <c r="B57" s="6"/>
      <c r="C57" s="6"/>
      <c r="D57" s="19" t="str">
        <f t="shared" si="5"/>
        <v/>
      </c>
      <c r="L57" s="30" t="s">
        <v>576</v>
      </c>
      <c r="M57" s="6" t="s">
        <v>329</v>
      </c>
      <c r="N57" s="6" t="s">
        <v>1587</v>
      </c>
      <c r="O57" s="10" t="s">
        <v>1554</v>
      </c>
    </row>
    <row r="58" spans="1:15">
      <c r="A58" s="30" t="str">
        <f t="shared" si="4"/>
        <v/>
      </c>
      <c r="B58" s="6"/>
      <c r="C58" s="6"/>
      <c r="D58" s="19" t="str">
        <f t="shared" si="5"/>
        <v/>
      </c>
      <c r="F58" s="30" t="str">
        <f t="shared" ref="F58:F121" si="8">IF(H58="","","SUB-"&amp;TEXT(ROW()-5,"000"))</f>
        <v>SUB-053</v>
      </c>
      <c r="G58" s="6" t="s">
        <v>361</v>
      </c>
      <c r="H58" s="6" t="s">
        <v>1588</v>
      </c>
      <c r="I58" s="6" t="s">
        <v>329</v>
      </c>
      <c r="J58" s="19" t="str">
        <f t="shared" ref="J58:J121" si="9">IF(H58="","",IF(COUNTIF($H$6:$H$305,H58)&gt;1,"REVISAR: DUPLICADA","OK"))</f>
        <v>OK</v>
      </c>
      <c r="L58" s="30" t="s">
        <v>580</v>
      </c>
      <c r="M58" s="6" t="s">
        <v>329</v>
      </c>
      <c r="N58" s="6" t="s">
        <v>1589</v>
      </c>
      <c r="O58" s="10" t="s">
        <v>1554</v>
      </c>
    </row>
    <row r="59" spans="1:15">
      <c r="A59" s="30" t="str">
        <f t="shared" si="4"/>
        <v/>
      </c>
      <c r="B59" s="6"/>
      <c r="C59" s="6"/>
      <c r="D59" s="19" t="str">
        <f t="shared" si="5"/>
        <v/>
      </c>
      <c r="F59" s="30" t="str">
        <f t="shared" si="8"/>
        <v>SUB-054</v>
      </c>
      <c r="G59" s="6" t="s">
        <v>394</v>
      </c>
      <c r="H59" s="6" t="s">
        <v>1590</v>
      </c>
      <c r="I59" s="6" t="s">
        <v>329</v>
      </c>
      <c r="J59" s="19" t="str">
        <f t="shared" si="9"/>
        <v>OK</v>
      </c>
      <c r="L59" s="30" t="s">
        <v>584</v>
      </c>
      <c r="M59" s="6" t="s">
        <v>329</v>
      </c>
      <c r="N59" s="6" t="s">
        <v>1591</v>
      </c>
      <c r="O59" s="10" t="s">
        <v>1554</v>
      </c>
    </row>
    <row r="60" spans="1:15">
      <c r="A60" s="30" t="str">
        <f t="shared" si="4"/>
        <v/>
      </c>
      <c r="B60" s="6"/>
      <c r="C60" s="6"/>
      <c r="D60" s="19" t="str">
        <f t="shared" si="5"/>
        <v/>
      </c>
      <c r="F60" s="30" t="str">
        <f t="shared" si="8"/>
        <v>SUB-055</v>
      </c>
      <c r="G60" s="6" t="s">
        <v>321</v>
      </c>
      <c r="H60" s="6" t="s">
        <v>1592</v>
      </c>
      <c r="I60" s="6" t="s">
        <v>329</v>
      </c>
      <c r="J60" s="19" t="str">
        <f t="shared" si="9"/>
        <v>OK</v>
      </c>
      <c r="L60" s="30" t="s">
        <v>588</v>
      </c>
      <c r="M60" s="6" t="s">
        <v>329</v>
      </c>
      <c r="N60" s="6" t="s">
        <v>1593</v>
      </c>
      <c r="O60" s="10" t="s">
        <v>1554</v>
      </c>
    </row>
    <row r="61" spans="1:15">
      <c r="A61" s="30" t="str">
        <f t="shared" si="4"/>
        <v/>
      </c>
      <c r="B61" s="6"/>
      <c r="C61" s="6"/>
      <c r="D61" s="19" t="str">
        <f t="shared" si="5"/>
        <v/>
      </c>
      <c r="F61" s="30" t="str">
        <f t="shared" si="8"/>
        <v/>
      </c>
      <c r="G61" s="6"/>
      <c r="H61" s="6"/>
      <c r="I61" s="6"/>
      <c r="J61" s="19" t="str">
        <f t="shared" si="9"/>
        <v/>
      </c>
      <c r="L61" s="30" t="s">
        <v>592</v>
      </c>
      <c r="M61" s="6" t="s">
        <v>329</v>
      </c>
      <c r="N61" s="6" t="s">
        <v>1594</v>
      </c>
      <c r="O61" s="10" t="s">
        <v>1554</v>
      </c>
    </row>
    <row r="62" spans="1:15">
      <c r="A62" s="30" t="str">
        <f t="shared" si="4"/>
        <v/>
      </c>
      <c r="B62" s="6"/>
      <c r="C62" s="6"/>
      <c r="D62" s="19" t="str">
        <f t="shared" si="5"/>
        <v/>
      </c>
      <c r="F62" s="30" t="str">
        <f t="shared" si="8"/>
        <v/>
      </c>
      <c r="G62" s="6"/>
      <c r="H62" s="6"/>
      <c r="I62" s="6"/>
      <c r="J62" s="19" t="str">
        <f t="shared" si="9"/>
        <v/>
      </c>
      <c r="L62" s="30" t="s">
        <v>596</v>
      </c>
      <c r="M62" s="6" t="s">
        <v>329</v>
      </c>
      <c r="N62" s="6" t="s">
        <v>1595</v>
      </c>
      <c r="O62" s="10" t="s">
        <v>1554</v>
      </c>
    </row>
    <row r="63" spans="1:15">
      <c r="A63" s="30" t="str">
        <f t="shared" si="4"/>
        <v/>
      </c>
      <c r="B63" s="6"/>
      <c r="C63" s="6"/>
      <c r="D63" s="19" t="str">
        <f t="shared" si="5"/>
        <v/>
      </c>
      <c r="F63" s="30" t="str">
        <f t="shared" si="8"/>
        <v/>
      </c>
      <c r="G63" s="6"/>
      <c r="H63" s="6"/>
      <c r="I63" s="6"/>
      <c r="J63" s="19" t="str">
        <f t="shared" si="9"/>
        <v/>
      </c>
      <c r="L63" s="30" t="s">
        <v>600</v>
      </c>
      <c r="M63" s="6" t="s">
        <v>329</v>
      </c>
      <c r="N63" s="6" t="s">
        <v>1596</v>
      </c>
      <c r="O63" s="10" t="s">
        <v>1554</v>
      </c>
    </row>
    <row r="64" spans="1:15">
      <c r="A64" s="30" t="str">
        <f t="shared" si="4"/>
        <v/>
      </c>
      <c r="B64" s="6"/>
      <c r="C64" s="6"/>
      <c r="D64" s="19" t="str">
        <f t="shared" si="5"/>
        <v/>
      </c>
      <c r="F64" s="30" t="str">
        <f t="shared" si="8"/>
        <v/>
      </c>
      <c r="G64" s="6"/>
      <c r="H64" s="6"/>
      <c r="I64" s="6"/>
      <c r="J64" s="19" t="str">
        <f t="shared" si="9"/>
        <v/>
      </c>
      <c r="L64" s="30" t="s">
        <v>604</v>
      </c>
      <c r="M64" s="6" t="s">
        <v>329</v>
      </c>
      <c r="N64" s="6" t="s">
        <v>1597</v>
      </c>
      <c r="O64" s="10" t="s">
        <v>1554</v>
      </c>
    </row>
    <row r="65" spans="1:15">
      <c r="A65" s="30" t="str">
        <f t="shared" si="4"/>
        <v/>
      </c>
      <c r="B65" s="6"/>
      <c r="C65" s="6"/>
      <c r="D65" s="19" t="str">
        <f t="shared" si="5"/>
        <v/>
      </c>
      <c r="F65" s="30" t="str">
        <f t="shared" si="8"/>
        <v/>
      </c>
      <c r="G65" s="6"/>
      <c r="H65" s="6"/>
      <c r="I65" s="6"/>
      <c r="J65" s="19" t="str">
        <f t="shared" si="9"/>
        <v/>
      </c>
      <c r="L65" s="30" t="s">
        <v>608</v>
      </c>
      <c r="M65" s="6" t="s">
        <v>329</v>
      </c>
      <c r="N65" s="6" t="s">
        <v>1598</v>
      </c>
      <c r="O65" s="10" t="s">
        <v>1554</v>
      </c>
    </row>
    <row r="66" spans="1:15">
      <c r="A66" s="30" t="str">
        <f t="shared" si="4"/>
        <v/>
      </c>
      <c r="B66" s="6"/>
      <c r="C66" s="6"/>
      <c r="D66" s="19" t="str">
        <f t="shared" si="5"/>
        <v/>
      </c>
      <c r="F66" s="30" t="str">
        <f t="shared" si="8"/>
        <v/>
      </c>
      <c r="G66" s="6"/>
      <c r="H66" s="6"/>
      <c r="I66" s="6"/>
      <c r="J66" s="19" t="str">
        <f t="shared" si="9"/>
        <v/>
      </c>
      <c r="L66" s="30" t="s">
        <v>612</v>
      </c>
      <c r="M66" s="6" t="s">
        <v>329</v>
      </c>
      <c r="N66" s="6" t="s">
        <v>1599</v>
      </c>
      <c r="O66" s="10" t="s">
        <v>1554</v>
      </c>
    </row>
    <row r="67" spans="1:15">
      <c r="A67" s="30" t="str">
        <f t="shared" si="4"/>
        <v/>
      </c>
      <c r="B67" s="6"/>
      <c r="C67" s="6"/>
      <c r="D67" s="19" t="str">
        <f t="shared" si="5"/>
        <v/>
      </c>
      <c r="F67" s="30" t="str">
        <f t="shared" si="8"/>
        <v/>
      </c>
      <c r="G67" s="6"/>
      <c r="H67" s="6"/>
      <c r="I67" s="6"/>
      <c r="J67" s="19" t="str">
        <f t="shared" si="9"/>
        <v/>
      </c>
      <c r="L67" s="30" t="s">
        <v>616</v>
      </c>
      <c r="M67" s="6" t="s">
        <v>329</v>
      </c>
      <c r="N67" s="6" t="s">
        <v>1600</v>
      </c>
      <c r="O67" s="10" t="s">
        <v>1554</v>
      </c>
    </row>
    <row r="68" spans="1:15">
      <c r="A68" s="30" t="str">
        <f t="shared" si="4"/>
        <v/>
      </c>
      <c r="B68" s="6"/>
      <c r="C68" s="6"/>
      <c r="D68" s="19" t="str">
        <f t="shared" si="5"/>
        <v/>
      </c>
      <c r="F68" s="30" t="str">
        <f t="shared" si="8"/>
        <v/>
      </c>
      <c r="G68" s="6"/>
      <c r="H68" s="6"/>
      <c r="I68" s="6"/>
      <c r="J68" s="19" t="str">
        <f t="shared" si="9"/>
        <v/>
      </c>
      <c r="L68" s="30" t="s">
        <v>620</v>
      </c>
      <c r="M68" s="6" t="s">
        <v>329</v>
      </c>
      <c r="N68" s="6" t="s">
        <v>1601</v>
      </c>
      <c r="O68" s="10" t="s">
        <v>1554</v>
      </c>
    </row>
    <row r="69" spans="1:15">
      <c r="A69" s="30" t="str">
        <f t="shared" si="4"/>
        <v/>
      </c>
      <c r="B69" s="6"/>
      <c r="C69" s="6"/>
      <c r="D69" s="19" t="str">
        <f t="shared" si="5"/>
        <v/>
      </c>
      <c r="F69" s="30" t="str">
        <f t="shared" si="8"/>
        <v/>
      </c>
      <c r="G69" s="6"/>
      <c r="H69" s="6"/>
      <c r="I69" s="6"/>
      <c r="J69" s="19" t="str">
        <f t="shared" si="9"/>
        <v/>
      </c>
      <c r="L69" s="30" t="s">
        <v>624</v>
      </c>
      <c r="M69" s="6" t="s">
        <v>329</v>
      </c>
      <c r="N69" s="6" t="s">
        <v>1602</v>
      </c>
      <c r="O69" s="10" t="s">
        <v>1554</v>
      </c>
    </row>
    <row r="70" spans="1:15">
      <c r="A70" s="30" t="str">
        <f t="shared" ref="A70:A101" si="10">IF(B70="","","CAT-"&amp;TEXT(ROW()-5,"000"))</f>
        <v/>
      </c>
      <c r="B70" s="6"/>
      <c r="C70" s="6"/>
      <c r="D70" s="19" t="str">
        <f t="shared" ref="D70:D105" si="11">IF(B70="","",IF(COUNTIF($B$6:$B$105,B70)&gt;1,"REVISAR: DUPLICADA","OK"))</f>
        <v/>
      </c>
      <c r="F70" s="30" t="str">
        <f t="shared" si="8"/>
        <v/>
      </c>
      <c r="G70" s="6"/>
      <c r="H70" s="6"/>
      <c r="I70" s="6"/>
      <c r="J70" s="19" t="str">
        <f t="shared" si="9"/>
        <v/>
      </c>
      <c r="L70" s="30" t="s">
        <v>628</v>
      </c>
      <c r="M70" s="6" t="s">
        <v>329</v>
      </c>
      <c r="N70" s="6" t="s">
        <v>1603</v>
      </c>
      <c r="O70" s="10" t="s">
        <v>1554</v>
      </c>
    </row>
    <row r="71" spans="1:15">
      <c r="A71" s="30" t="str">
        <f t="shared" si="10"/>
        <v/>
      </c>
      <c r="B71" s="6"/>
      <c r="C71" s="6"/>
      <c r="D71" s="19" t="str">
        <f t="shared" si="11"/>
        <v/>
      </c>
      <c r="F71" s="30" t="str">
        <f t="shared" si="8"/>
        <v/>
      </c>
      <c r="G71" s="6"/>
      <c r="H71" s="6"/>
      <c r="I71" s="6"/>
      <c r="J71" s="19" t="str">
        <f t="shared" si="9"/>
        <v/>
      </c>
      <c r="L71" s="30" t="s">
        <v>632</v>
      </c>
      <c r="M71" s="6" t="s">
        <v>329</v>
      </c>
      <c r="N71" s="6" t="s">
        <v>1604</v>
      </c>
      <c r="O71" s="10" t="s">
        <v>1554</v>
      </c>
    </row>
    <row r="72" spans="1:15">
      <c r="A72" s="30" t="str">
        <f t="shared" si="10"/>
        <v/>
      </c>
      <c r="B72" s="6"/>
      <c r="C72" s="6"/>
      <c r="D72" s="19" t="str">
        <f t="shared" si="11"/>
        <v/>
      </c>
      <c r="F72" s="30" t="str">
        <f t="shared" si="8"/>
        <v/>
      </c>
      <c r="G72" s="6"/>
      <c r="H72" s="6"/>
      <c r="I72" s="6"/>
      <c r="J72" s="19" t="str">
        <f t="shared" si="9"/>
        <v/>
      </c>
      <c r="L72" s="30" t="s">
        <v>642</v>
      </c>
      <c r="M72" s="6" t="s">
        <v>329</v>
      </c>
      <c r="N72" s="6" t="s">
        <v>1605</v>
      </c>
      <c r="O72" s="10" t="s">
        <v>1554</v>
      </c>
    </row>
    <row r="73" spans="1:15">
      <c r="A73" s="30" t="str">
        <f t="shared" si="10"/>
        <v/>
      </c>
      <c r="B73" s="6"/>
      <c r="C73" s="6"/>
      <c r="D73" s="19" t="str">
        <f t="shared" si="11"/>
        <v/>
      </c>
      <c r="F73" s="30" t="str">
        <f t="shared" si="8"/>
        <v/>
      </c>
      <c r="G73" s="6"/>
      <c r="H73" s="6"/>
      <c r="I73" s="6"/>
      <c r="J73" s="19" t="str">
        <f t="shared" si="9"/>
        <v/>
      </c>
      <c r="L73" s="30" t="s">
        <v>648</v>
      </c>
      <c r="M73" s="6" t="s">
        <v>329</v>
      </c>
      <c r="N73" s="6" t="s">
        <v>1606</v>
      </c>
      <c r="O73" s="10" t="s">
        <v>1607</v>
      </c>
    </row>
    <row r="74" spans="1:15">
      <c r="A74" s="30" t="str">
        <f t="shared" si="10"/>
        <v/>
      </c>
      <c r="B74" s="6"/>
      <c r="C74" s="6"/>
      <c r="D74" s="19" t="str">
        <f t="shared" si="11"/>
        <v/>
      </c>
      <c r="F74" s="30" t="str">
        <f t="shared" si="8"/>
        <v/>
      </c>
      <c r="G74" s="6"/>
      <c r="H74" s="6"/>
      <c r="I74" s="6"/>
      <c r="J74" s="19" t="str">
        <f t="shared" si="9"/>
        <v/>
      </c>
      <c r="L74" s="30" t="s">
        <v>653</v>
      </c>
      <c r="M74" s="6" t="s">
        <v>329</v>
      </c>
      <c r="N74" s="6" t="s">
        <v>1608</v>
      </c>
      <c r="O74" s="10" t="s">
        <v>1609</v>
      </c>
    </row>
    <row r="75" spans="1:15">
      <c r="A75" s="30" t="str">
        <f t="shared" si="10"/>
        <v/>
      </c>
      <c r="B75" s="6"/>
      <c r="C75" s="6"/>
      <c r="D75" s="19" t="str">
        <f t="shared" si="11"/>
        <v/>
      </c>
      <c r="F75" s="30" t="str">
        <f t="shared" si="8"/>
        <v/>
      </c>
      <c r="G75" s="6"/>
      <c r="H75" s="6"/>
      <c r="I75" s="6"/>
      <c r="J75" s="19" t="str">
        <f t="shared" si="9"/>
        <v/>
      </c>
      <c r="L75" s="30" t="s">
        <v>658</v>
      </c>
      <c r="M75" s="6" t="s">
        <v>329</v>
      </c>
      <c r="N75" s="6" t="s">
        <v>1610</v>
      </c>
      <c r="O75" s="10" t="s">
        <v>1611</v>
      </c>
    </row>
    <row r="76" spans="1:15">
      <c r="A76" s="30" t="str">
        <f t="shared" si="10"/>
        <v/>
      </c>
      <c r="B76" s="6"/>
      <c r="C76" s="6"/>
      <c r="D76" s="19" t="str">
        <f t="shared" si="11"/>
        <v/>
      </c>
      <c r="F76" s="30" t="str">
        <f t="shared" si="8"/>
        <v/>
      </c>
      <c r="G76" s="6"/>
      <c r="H76" s="6"/>
      <c r="I76" s="6"/>
      <c r="J76" s="19" t="str">
        <f t="shared" si="9"/>
        <v/>
      </c>
      <c r="L76" s="30" t="s">
        <v>666</v>
      </c>
      <c r="M76" s="6" t="s">
        <v>329</v>
      </c>
      <c r="N76" s="6" t="s">
        <v>1612</v>
      </c>
      <c r="O76" s="10" t="s">
        <v>1613</v>
      </c>
    </row>
    <row r="77" spans="1:15">
      <c r="A77" s="30" t="str">
        <f t="shared" si="10"/>
        <v/>
      </c>
      <c r="B77" s="6"/>
      <c r="C77" s="6"/>
      <c r="D77" s="19" t="str">
        <f t="shared" si="11"/>
        <v/>
      </c>
      <c r="F77" s="30" t="str">
        <f t="shared" si="8"/>
        <v/>
      </c>
      <c r="G77" s="6"/>
      <c r="H77" s="6"/>
      <c r="I77" s="6"/>
      <c r="J77" s="19" t="str">
        <f t="shared" si="9"/>
        <v/>
      </c>
      <c r="L77" s="30" t="s">
        <v>670</v>
      </c>
      <c r="M77" s="6" t="s">
        <v>329</v>
      </c>
      <c r="N77" s="6" t="s">
        <v>1614</v>
      </c>
      <c r="O77" s="10" t="s">
        <v>1613</v>
      </c>
    </row>
    <row r="78" spans="1:15">
      <c r="A78" s="30" t="str">
        <f t="shared" si="10"/>
        <v/>
      </c>
      <c r="B78" s="6"/>
      <c r="C78" s="6"/>
      <c r="D78" s="19" t="str">
        <f t="shared" si="11"/>
        <v/>
      </c>
      <c r="F78" s="30" t="str">
        <f t="shared" si="8"/>
        <v/>
      </c>
      <c r="G78" s="6"/>
      <c r="H78" s="6"/>
      <c r="I78" s="6"/>
      <c r="J78" s="19" t="str">
        <f t="shared" si="9"/>
        <v/>
      </c>
      <c r="L78" s="30" t="s">
        <v>674</v>
      </c>
      <c r="M78" s="6" t="s">
        <v>329</v>
      </c>
      <c r="N78" s="6" t="s">
        <v>1615</v>
      </c>
      <c r="O78" s="10" t="s">
        <v>1613</v>
      </c>
    </row>
    <row r="79" spans="1:15">
      <c r="A79" s="30" t="str">
        <f t="shared" si="10"/>
        <v/>
      </c>
      <c r="B79" s="6"/>
      <c r="C79" s="6"/>
      <c r="D79" s="19" t="str">
        <f t="shared" si="11"/>
        <v/>
      </c>
      <c r="F79" s="30" t="str">
        <f t="shared" si="8"/>
        <v/>
      </c>
      <c r="G79" s="6"/>
      <c r="H79" s="6"/>
      <c r="I79" s="6"/>
      <c r="J79" s="19" t="str">
        <f t="shared" si="9"/>
        <v/>
      </c>
      <c r="L79" s="30" t="s">
        <v>678</v>
      </c>
      <c r="M79" s="6" t="s">
        <v>329</v>
      </c>
      <c r="N79" s="6" t="s">
        <v>1616</v>
      </c>
      <c r="O79" s="10" t="s">
        <v>1613</v>
      </c>
    </row>
    <row r="80" spans="1:15">
      <c r="A80" s="30" t="str">
        <f t="shared" si="10"/>
        <v/>
      </c>
      <c r="B80" s="6"/>
      <c r="C80" s="6"/>
      <c r="D80" s="19" t="str">
        <f t="shared" si="11"/>
        <v/>
      </c>
      <c r="F80" s="30" t="str">
        <f t="shared" si="8"/>
        <v/>
      </c>
      <c r="G80" s="6"/>
      <c r="H80" s="6"/>
      <c r="I80" s="6"/>
      <c r="J80" s="19" t="str">
        <f t="shared" si="9"/>
        <v/>
      </c>
      <c r="L80" s="30" t="s">
        <v>682</v>
      </c>
      <c r="M80" s="6" t="s">
        <v>329</v>
      </c>
      <c r="N80" s="6" t="s">
        <v>1617</v>
      </c>
      <c r="O80" s="10" t="s">
        <v>1613</v>
      </c>
    </row>
    <row r="81" spans="1:15">
      <c r="A81" s="30" t="str">
        <f t="shared" si="10"/>
        <v/>
      </c>
      <c r="B81" s="6"/>
      <c r="C81" s="6"/>
      <c r="D81" s="19" t="str">
        <f t="shared" si="11"/>
        <v/>
      </c>
      <c r="F81" s="30" t="str">
        <f t="shared" si="8"/>
        <v/>
      </c>
      <c r="G81" s="6"/>
      <c r="H81" s="6"/>
      <c r="I81" s="6"/>
      <c r="J81" s="19" t="str">
        <f t="shared" si="9"/>
        <v/>
      </c>
      <c r="L81" s="30" t="s">
        <v>686</v>
      </c>
      <c r="M81" s="6" t="s">
        <v>329</v>
      </c>
      <c r="N81" s="6" t="s">
        <v>1618</v>
      </c>
      <c r="O81" s="10" t="s">
        <v>1613</v>
      </c>
    </row>
    <row r="82" spans="1:15">
      <c r="A82" s="30" t="str">
        <f t="shared" si="10"/>
        <v/>
      </c>
      <c r="B82" s="6"/>
      <c r="C82" s="6"/>
      <c r="D82" s="19" t="str">
        <f t="shared" si="11"/>
        <v/>
      </c>
      <c r="F82" s="30" t="str">
        <f t="shared" si="8"/>
        <v/>
      </c>
      <c r="G82" s="6"/>
      <c r="H82" s="6"/>
      <c r="I82" s="6"/>
      <c r="J82" s="19" t="str">
        <f t="shared" si="9"/>
        <v/>
      </c>
      <c r="L82" s="30" t="s">
        <v>690</v>
      </c>
      <c r="M82" s="6" t="s">
        <v>329</v>
      </c>
      <c r="N82" s="6" t="s">
        <v>1619</v>
      </c>
      <c r="O82" s="10" t="s">
        <v>1613</v>
      </c>
    </row>
    <row r="83" spans="1:15">
      <c r="A83" s="30" t="str">
        <f t="shared" si="10"/>
        <v/>
      </c>
      <c r="B83" s="6"/>
      <c r="C83" s="6"/>
      <c r="D83" s="19" t="str">
        <f t="shared" si="11"/>
        <v/>
      </c>
      <c r="F83" s="30" t="str">
        <f t="shared" si="8"/>
        <v/>
      </c>
      <c r="G83" s="6"/>
      <c r="H83" s="6"/>
      <c r="I83" s="6"/>
      <c r="J83" s="19" t="str">
        <f t="shared" si="9"/>
        <v/>
      </c>
      <c r="L83" s="30" t="s">
        <v>694</v>
      </c>
      <c r="M83" s="6" t="s">
        <v>329</v>
      </c>
      <c r="N83" s="6" t="s">
        <v>1620</v>
      </c>
      <c r="O83" s="10" t="s">
        <v>1613</v>
      </c>
    </row>
    <row r="84" spans="1:15">
      <c r="A84" s="30" t="str">
        <f t="shared" si="10"/>
        <v/>
      </c>
      <c r="B84" s="6"/>
      <c r="C84" s="6"/>
      <c r="D84" s="19" t="str">
        <f t="shared" si="11"/>
        <v/>
      </c>
      <c r="F84" s="30" t="str">
        <f t="shared" si="8"/>
        <v/>
      </c>
      <c r="G84" s="6"/>
      <c r="H84" s="6"/>
      <c r="I84" s="6"/>
      <c r="J84" s="19" t="str">
        <f t="shared" si="9"/>
        <v/>
      </c>
      <c r="L84" s="30" t="s">
        <v>698</v>
      </c>
      <c r="M84" s="6" t="s">
        <v>329</v>
      </c>
      <c r="N84" s="6" t="s">
        <v>1621</v>
      </c>
      <c r="O84" s="10" t="s">
        <v>1613</v>
      </c>
    </row>
    <row r="85" spans="1:15">
      <c r="A85" s="30" t="str">
        <f t="shared" si="10"/>
        <v/>
      </c>
      <c r="B85" s="6"/>
      <c r="C85" s="6"/>
      <c r="D85" s="19" t="str">
        <f t="shared" si="11"/>
        <v/>
      </c>
      <c r="F85" s="30" t="str">
        <f t="shared" si="8"/>
        <v/>
      </c>
      <c r="G85" s="6"/>
      <c r="H85" s="6"/>
      <c r="I85" s="6"/>
      <c r="J85" s="19" t="str">
        <f t="shared" si="9"/>
        <v/>
      </c>
      <c r="L85" s="30" t="s">
        <v>703</v>
      </c>
      <c r="M85" s="6" t="s">
        <v>329</v>
      </c>
      <c r="N85" s="6" t="s">
        <v>1622</v>
      </c>
      <c r="O85" s="10" t="s">
        <v>1623</v>
      </c>
    </row>
    <row r="86" spans="1:15">
      <c r="A86" s="30" t="str">
        <f t="shared" si="10"/>
        <v/>
      </c>
      <c r="B86" s="6"/>
      <c r="C86" s="6"/>
      <c r="D86" s="19" t="str">
        <f t="shared" si="11"/>
        <v/>
      </c>
      <c r="F86" s="30" t="str">
        <f t="shared" si="8"/>
        <v/>
      </c>
      <c r="G86" s="6"/>
      <c r="H86" s="6"/>
      <c r="I86" s="6"/>
      <c r="J86" s="19" t="str">
        <f t="shared" si="9"/>
        <v/>
      </c>
      <c r="L86" s="30" t="s">
        <v>709</v>
      </c>
      <c r="M86" s="6" t="s">
        <v>329</v>
      </c>
      <c r="N86" s="6" t="s">
        <v>1624</v>
      </c>
      <c r="O86" s="10" t="s">
        <v>1625</v>
      </c>
    </row>
    <row r="87" spans="1:15">
      <c r="A87" s="30" t="str">
        <f t="shared" si="10"/>
        <v/>
      </c>
      <c r="B87" s="6"/>
      <c r="C87" s="6"/>
      <c r="D87" s="19" t="str">
        <f t="shared" si="11"/>
        <v/>
      </c>
      <c r="F87" s="30" t="str">
        <f t="shared" si="8"/>
        <v/>
      </c>
      <c r="G87" s="6"/>
      <c r="H87" s="6"/>
      <c r="I87" s="6"/>
      <c r="J87" s="19" t="str">
        <f t="shared" si="9"/>
        <v/>
      </c>
      <c r="L87" s="30" t="s">
        <v>715</v>
      </c>
      <c r="M87" s="6" t="s">
        <v>329</v>
      </c>
      <c r="N87" s="6" t="s">
        <v>1626</v>
      </c>
      <c r="O87" s="10" t="s">
        <v>1627</v>
      </c>
    </row>
    <row r="88" spans="1:15">
      <c r="A88" s="30" t="str">
        <f t="shared" si="10"/>
        <v/>
      </c>
      <c r="B88" s="6"/>
      <c r="C88" s="6"/>
      <c r="D88" s="19" t="str">
        <f t="shared" si="11"/>
        <v/>
      </c>
      <c r="F88" s="30" t="str">
        <f t="shared" si="8"/>
        <v/>
      </c>
      <c r="G88" s="6"/>
      <c r="H88" s="6"/>
      <c r="I88" s="6"/>
      <c r="J88" s="19" t="str">
        <f t="shared" si="9"/>
        <v/>
      </c>
      <c r="L88" s="30" t="s">
        <v>718</v>
      </c>
      <c r="M88" s="6" t="s">
        <v>329</v>
      </c>
      <c r="N88" s="6" t="s">
        <v>1628</v>
      </c>
      <c r="O88" s="10" t="s">
        <v>1627</v>
      </c>
    </row>
    <row r="89" spans="1:15">
      <c r="A89" s="30" t="str">
        <f t="shared" si="10"/>
        <v/>
      </c>
      <c r="B89" s="6"/>
      <c r="C89" s="6"/>
      <c r="D89" s="19" t="str">
        <f t="shared" si="11"/>
        <v/>
      </c>
      <c r="F89" s="30" t="str">
        <f t="shared" si="8"/>
        <v/>
      </c>
      <c r="G89" s="6"/>
      <c r="H89" s="6"/>
      <c r="I89" s="6"/>
      <c r="J89" s="19" t="str">
        <f t="shared" si="9"/>
        <v/>
      </c>
      <c r="L89" s="30" t="s">
        <v>722</v>
      </c>
      <c r="M89" s="6" t="s">
        <v>329</v>
      </c>
      <c r="N89" s="6" t="s">
        <v>1629</v>
      </c>
      <c r="O89" s="10" t="s">
        <v>1627</v>
      </c>
    </row>
    <row r="90" spans="1:15">
      <c r="A90" s="30" t="str">
        <f t="shared" si="10"/>
        <v/>
      </c>
      <c r="B90" s="6"/>
      <c r="C90" s="6"/>
      <c r="D90" s="19" t="str">
        <f t="shared" si="11"/>
        <v/>
      </c>
      <c r="F90" s="30" t="str">
        <f t="shared" si="8"/>
        <v/>
      </c>
      <c r="G90" s="6"/>
      <c r="H90" s="6"/>
      <c r="I90" s="6"/>
      <c r="J90" s="19" t="str">
        <f t="shared" si="9"/>
        <v/>
      </c>
      <c r="L90" s="30" t="s">
        <v>725</v>
      </c>
      <c r="M90" s="6" t="s">
        <v>329</v>
      </c>
      <c r="N90" s="6" t="s">
        <v>1630</v>
      </c>
      <c r="O90" s="10" t="s">
        <v>1627</v>
      </c>
    </row>
    <row r="91" spans="1:15">
      <c r="A91" s="30" t="str">
        <f t="shared" si="10"/>
        <v/>
      </c>
      <c r="B91" s="6"/>
      <c r="C91" s="6"/>
      <c r="D91" s="19" t="str">
        <f t="shared" si="11"/>
        <v/>
      </c>
      <c r="F91" s="30" t="str">
        <f t="shared" si="8"/>
        <v/>
      </c>
      <c r="G91" s="6"/>
      <c r="H91" s="6"/>
      <c r="I91" s="6"/>
      <c r="J91" s="19" t="str">
        <f t="shared" si="9"/>
        <v/>
      </c>
      <c r="L91" s="30" t="s">
        <v>729</v>
      </c>
      <c r="M91" s="6" t="s">
        <v>329</v>
      </c>
      <c r="N91" s="6" t="s">
        <v>1631</v>
      </c>
      <c r="O91" s="10" t="s">
        <v>1627</v>
      </c>
    </row>
    <row r="92" spans="1:15">
      <c r="A92" s="30" t="str">
        <f t="shared" si="10"/>
        <v/>
      </c>
      <c r="B92" s="6"/>
      <c r="C92" s="6"/>
      <c r="D92" s="19" t="str">
        <f t="shared" si="11"/>
        <v/>
      </c>
      <c r="F92" s="30" t="str">
        <f t="shared" si="8"/>
        <v/>
      </c>
      <c r="G92" s="6"/>
      <c r="H92" s="6"/>
      <c r="I92" s="6"/>
      <c r="J92" s="19" t="str">
        <f t="shared" si="9"/>
        <v/>
      </c>
      <c r="L92" s="30" t="s">
        <v>734</v>
      </c>
      <c r="M92" s="6" t="s">
        <v>329</v>
      </c>
      <c r="N92" s="6" t="s">
        <v>1632</v>
      </c>
      <c r="O92" s="10" t="s">
        <v>1633</v>
      </c>
    </row>
    <row r="93" spans="1:15">
      <c r="A93" s="30" t="str">
        <f t="shared" si="10"/>
        <v/>
      </c>
      <c r="B93" s="6"/>
      <c r="C93" s="6"/>
      <c r="D93" s="19" t="str">
        <f t="shared" si="11"/>
        <v/>
      </c>
      <c r="F93" s="30" t="str">
        <f t="shared" si="8"/>
        <v/>
      </c>
      <c r="G93" s="6"/>
      <c r="H93" s="6"/>
      <c r="I93" s="6"/>
      <c r="J93" s="19" t="str">
        <f t="shared" si="9"/>
        <v/>
      </c>
      <c r="L93" s="30" t="s">
        <v>739</v>
      </c>
      <c r="M93" s="6" t="s">
        <v>329</v>
      </c>
      <c r="N93" s="6" t="s">
        <v>1634</v>
      </c>
      <c r="O93" s="10" t="s">
        <v>1635</v>
      </c>
    </row>
    <row r="94" spans="1:15">
      <c r="A94" s="30" t="str">
        <f t="shared" si="10"/>
        <v/>
      </c>
      <c r="B94" s="6"/>
      <c r="C94" s="6"/>
      <c r="D94" s="19" t="str">
        <f t="shared" si="11"/>
        <v/>
      </c>
      <c r="F94" s="30" t="str">
        <f t="shared" si="8"/>
        <v/>
      </c>
      <c r="G94" s="6"/>
      <c r="H94" s="6"/>
      <c r="I94" s="6"/>
      <c r="J94" s="19" t="str">
        <f t="shared" si="9"/>
        <v/>
      </c>
      <c r="L94" s="30" t="s">
        <v>744</v>
      </c>
      <c r="M94" s="6" t="s">
        <v>329</v>
      </c>
      <c r="N94" s="6" t="s">
        <v>1636</v>
      </c>
      <c r="O94" s="10" t="s">
        <v>1637</v>
      </c>
    </row>
    <row r="95" spans="1:15">
      <c r="A95" s="30" t="str">
        <f t="shared" si="10"/>
        <v/>
      </c>
      <c r="B95" s="6"/>
      <c r="C95" s="6"/>
      <c r="D95" s="19" t="str">
        <f t="shared" si="11"/>
        <v/>
      </c>
      <c r="F95" s="30" t="str">
        <f t="shared" si="8"/>
        <v/>
      </c>
      <c r="G95" s="6"/>
      <c r="H95" s="6"/>
      <c r="I95" s="6"/>
      <c r="J95" s="19" t="str">
        <f t="shared" si="9"/>
        <v/>
      </c>
      <c r="L95" s="30" t="s">
        <v>749</v>
      </c>
      <c r="M95" s="6" t="s">
        <v>329</v>
      </c>
      <c r="N95" s="6" t="s">
        <v>1638</v>
      </c>
      <c r="O95" s="10" t="s">
        <v>1637</v>
      </c>
    </row>
    <row r="96" spans="1:15">
      <c r="A96" s="30" t="str">
        <f t="shared" si="10"/>
        <v/>
      </c>
      <c r="B96" s="6"/>
      <c r="C96" s="6"/>
      <c r="D96" s="19" t="str">
        <f t="shared" si="11"/>
        <v/>
      </c>
      <c r="F96" s="30" t="str">
        <f t="shared" si="8"/>
        <v/>
      </c>
      <c r="G96" s="6"/>
      <c r="H96" s="6"/>
      <c r="I96" s="6"/>
      <c r="J96" s="19" t="str">
        <f t="shared" si="9"/>
        <v/>
      </c>
      <c r="L96" s="30" t="s">
        <v>754</v>
      </c>
      <c r="M96" s="6" t="s">
        <v>329</v>
      </c>
      <c r="N96" s="6" t="s">
        <v>1639</v>
      </c>
      <c r="O96" s="10" t="s">
        <v>1637</v>
      </c>
    </row>
    <row r="97" spans="1:15">
      <c r="A97" s="30" t="str">
        <f t="shared" si="10"/>
        <v/>
      </c>
      <c r="B97" s="6"/>
      <c r="C97" s="6"/>
      <c r="D97" s="19" t="str">
        <f t="shared" si="11"/>
        <v/>
      </c>
      <c r="F97" s="30" t="str">
        <f t="shared" si="8"/>
        <v/>
      </c>
      <c r="G97" s="6"/>
      <c r="H97" s="6"/>
      <c r="I97" s="6"/>
      <c r="J97" s="19" t="str">
        <f t="shared" si="9"/>
        <v/>
      </c>
      <c r="L97" s="30" t="s">
        <v>759</v>
      </c>
      <c r="M97" s="6" t="s">
        <v>329</v>
      </c>
      <c r="N97" s="6" t="s">
        <v>1640</v>
      </c>
      <c r="O97" s="10" t="s">
        <v>1637</v>
      </c>
    </row>
    <row r="98" spans="1:15">
      <c r="A98" s="30" t="str">
        <f t="shared" si="10"/>
        <v/>
      </c>
      <c r="B98" s="6"/>
      <c r="C98" s="6"/>
      <c r="D98" s="19" t="str">
        <f t="shared" si="11"/>
        <v/>
      </c>
      <c r="F98" s="30" t="str">
        <f t="shared" si="8"/>
        <v/>
      </c>
      <c r="G98" s="6"/>
      <c r="H98" s="6"/>
      <c r="I98" s="6"/>
      <c r="J98" s="19" t="str">
        <f t="shared" si="9"/>
        <v/>
      </c>
      <c r="L98" s="30" t="s">
        <v>764</v>
      </c>
      <c r="M98" s="6" t="s">
        <v>329</v>
      </c>
      <c r="N98" s="6" t="s">
        <v>1641</v>
      </c>
      <c r="O98" s="10" t="s">
        <v>1637</v>
      </c>
    </row>
    <row r="99" spans="1:15">
      <c r="A99" s="30" t="str">
        <f t="shared" si="10"/>
        <v/>
      </c>
      <c r="B99" s="6"/>
      <c r="C99" s="6"/>
      <c r="D99" s="19" t="str">
        <f t="shared" si="11"/>
        <v/>
      </c>
      <c r="F99" s="30" t="str">
        <f t="shared" si="8"/>
        <v/>
      </c>
      <c r="G99" s="6"/>
      <c r="H99" s="6"/>
      <c r="I99" s="6"/>
      <c r="J99" s="19" t="str">
        <f t="shared" si="9"/>
        <v/>
      </c>
      <c r="L99" s="30" t="s">
        <v>769</v>
      </c>
      <c r="M99" s="6" t="s">
        <v>329</v>
      </c>
      <c r="N99" s="6" t="s">
        <v>1642</v>
      </c>
      <c r="O99" s="10" t="s">
        <v>1637</v>
      </c>
    </row>
    <row r="100" spans="1:15">
      <c r="A100" s="30" t="str">
        <f t="shared" si="10"/>
        <v/>
      </c>
      <c r="B100" s="6"/>
      <c r="C100" s="6"/>
      <c r="D100" s="19" t="str">
        <f t="shared" si="11"/>
        <v/>
      </c>
      <c r="F100" s="30" t="str">
        <f t="shared" si="8"/>
        <v/>
      </c>
      <c r="G100" s="6"/>
      <c r="H100" s="6"/>
      <c r="I100" s="6"/>
      <c r="J100" s="19" t="str">
        <f t="shared" si="9"/>
        <v/>
      </c>
      <c r="L100" s="30" t="s">
        <v>777</v>
      </c>
      <c r="M100" s="6" t="s">
        <v>329</v>
      </c>
      <c r="N100" s="6" t="s">
        <v>1643</v>
      </c>
      <c r="O100" s="10" t="s">
        <v>1644</v>
      </c>
    </row>
    <row r="101" spans="1:15">
      <c r="A101" s="30" t="str">
        <f t="shared" si="10"/>
        <v/>
      </c>
      <c r="B101" s="6"/>
      <c r="C101" s="6"/>
      <c r="D101" s="19" t="str">
        <f t="shared" si="11"/>
        <v/>
      </c>
      <c r="F101" s="30" t="str">
        <f t="shared" si="8"/>
        <v/>
      </c>
      <c r="G101" s="6"/>
      <c r="H101" s="6"/>
      <c r="I101" s="6"/>
      <c r="J101" s="19" t="str">
        <f t="shared" si="9"/>
        <v/>
      </c>
      <c r="L101" s="30" t="s">
        <v>782</v>
      </c>
      <c r="M101" s="6" t="s">
        <v>329</v>
      </c>
      <c r="N101" s="6" t="s">
        <v>1645</v>
      </c>
      <c r="O101" s="10" t="s">
        <v>1644</v>
      </c>
    </row>
    <row r="102" spans="1:15">
      <c r="A102" s="30" t="str">
        <f t="shared" ref="A102:A105" si="12">IF(B102="","","CAT-"&amp;TEXT(ROW()-5,"000"))</f>
        <v/>
      </c>
      <c r="B102" s="6"/>
      <c r="C102" s="6"/>
      <c r="D102" s="19" t="str">
        <f t="shared" si="11"/>
        <v/>
      </c>
      <c r="F102" s="30" t="str">
        <f t="shared" si="8"/>
        <v/>
      </c>
      <c r="G102" s="6"/>
      <c r="H102" s="6"/>
      <c r="I102" s="6"/>
      <c r="J102" s="19" t="str">
        <f t="shared" si="9"/>
        <v/>
      </c>
      <c r="L102" s="30" t="s">
        <v>786</v>
      </c>
      <c r="M102" s="6" t="s">
        <v>329</v>
      </c>
      <c r="N102" s="6" t="s">
        <v>1646</v>
      </c>
      <c r="O102" s="10" t="s">
        <v>1644</v>
      </c>
    </row>
    <row r="103" spans="1:15">
      <c r="A103" s="30" t="str">
        <f t="shared" si="12"/>
        <v/>
      </c>
      <c r="B103" s="6"/>
      <c r="C103" s="6"/>
      <c r="D103" s="19" t="str">
        <f t="shared" si="11"/>
        <v/>
      </c>
      <c r="F103" s="30" t="str">
        <f t="shared" si="8"/>
        <v/>
      </c>
      <c r="G103" s="6"/>
      <c r="H103" s="6"/>
      <c r="I103" s="6"/>
      <c r="J103" s="19" t="str">
        <f t="shared" si="9"/>
        <v/>
      </c>
      <c r="L103" s="30" t="s">
        <v>791</v>
      </c>
      <c r="M103" s="6" t="s">
        <v>329</v>
      </c>
      <c r="N103" s="6" t="s">
        <v>1647</v>
      </c>
      <c r="O103" s="10" t="s">
        <v>1644</v>
      </c>
    </row>
    <row r="104" spans="1:15">
      <c r="A104" s="30" t="str">
        <f t="shared" si="12"/>
        <v/>
      </c>
      <c r="B104" s="6"/>
      <c r="C104" s="6"/>
      <c r="D104" s="19" t="str">
        <f t="shared" si="11"/>
        <v/>
      </c>
      <c r="F104" s="30" t="str">
        <f t="shared" si="8"/>
        <v/>
      </c>
      <c r="G104" s="6"/>
      <c r="H104" s="6"/>
      <c r="I104" s="6"/>
      <c r="J104" s="19" t="str">
        <f t="shared" si="9"/>
        <v/>
      </c>
      <c r="L104" s="30" t="s">
        <v>795</v>
      </c>
      <c r="M104" s="6" t="s">
        <v>329</v>
      </c>
      <c r="N104" s="6" t="s">
        <v>1648</v>
      </c>
      <c r="O104" s="10" t="s">
        <v>1644</v>
      </c>
    </row>
    <row r="105" spans="1:15">
      <c r="A105" s="31" t="str">
        <f t="shared" si="12"/>
        <v/>
      </c>
      <c r="B105" s="8"/>
      <c r="C105" s="8"/>
      <c r="D105" s="20" t="str">
        <f t="shared" si="11"/>
        <v/>
      </c>
      <c r="F105" s="30" t="str">
        <f t="shared" si="8"/>
        <v/>
      </c>
      <c r="G105" s="6"/>
      <c r="H105" s="6"/>
      <c r="I105" s="6"/>
      <c r="J105" s="19" t="str">
        <f t="shared" si="9"/>
        <v/>
      </c>
      <c r="L105" s="30" t="s">
        <v>800</v>
      </c>
      <c r="M105" s="6" t="s">
        <v>329</v>
      </c>
      <c r="N105" s="6" t="s">
        <v>1649</v>
      </c>
      <c r="O105" s="10" t="s">
        <v>1644</v>
      </c>
    </row>
    <row r="106" spans="1:15">
      <c r="F106" s="30" t="str">
        <f t="shared" si="8"/>
        <v/>
      </c>
      <c r="G106" s="6"/>
      <c r="H106" s="6"/>
      <c r="I106" s="6"/>
      <c r="J106" s="19" t="str">
        <f t="shared" si="9"/>
        <v/>
      </c>
      <c r="L106" s="30" t="s">
        <v>805</v>
      </c>
      <c r="M106" s="6" t="s">
        <v>329</v>
      </c>
      <c r="N106" s="6" t="s">
        <v>1650</v>
      </c>
      <c r="O106" s="10" t="s">
        <v>1644</v>
      </c>
    </row>
    <row r="107" spans="1:15">
      <c r="F107" s="30" t="str">
        <f t="shared" si="8"/>
        <v/>
      </c>
      <c r="G107" s="6"/>
      <c r="H107" s="6"/>
      <c r="I107" s="6"/>
      <c r="J107" s="19" t="str">
        <f t="shared" si="9"/>
        <v/>
      </c>
      <c r="L107" s="30" t="s">
        <v>810</v>
      </c>
      <c r="M107" s="6" t="s">
        <v>329</v>
      </c>
      <c r="N107" s="6" t="s">
        <v>1651</v>
      </c>
      <c r="O107" s="10" t="s">
        <v>1644</v>
      </c>
    </row>
    <row r="108" spans="1:15">
      <c r="F108" s="30" t="str">
        <f t="shared" si="8"/>
        <v/>
      </c>
      <c r="G108" s="6"/>
      <c r="H108" s="6"/>
      <c r="I108" s="6"/>
      <c r="J108" s="19" t="str">
        <f t="shared" si="9"/>
        <v/>
      </c>
      <c r="L108" s="30" t="s">
        <v>815</v>
      </c>
      <c r="M108" s="6" t="s">
        <v>329</v>
      </c>
      <c r="N108" s="6" t="s">
        <v>1652</v>
      </c>
      <c r="O108" s="10" t="s">
        <v>1644</v>
      </c>
    </row>
    <row r="109" spans="1:15">
      <c r="F109" s="30" t="str">
        <f t="shared" si="8"/>
        <v/>
      </c>
      <c r="G109" s="6"/>
      <c r="H109" s="6"/>
      <c r="I109" s="6"/>
      <c r="J109" s="19" t="str">
        <f t="shared" si="9"/>
        <v/>
      </c>
      <c r="L109" s="30" t="s">
        <v>820</v>
      </c>
      <c r="M109" s="6" t="s">
        <v>329</v>
      </c>
      <c r="N109" s="6" t="s">
        <v>1653</v>
      </c>
      <c r="O109" s="10" t="s">
        <v>1644</v>
      </c>
    </row>
    <row r="110" spans="1:15">
      <c r="F110" s="30" t="str">
        <f t="shared" si="8"/>
        <v/>
      </c>
      <c r="G110" s="6"/>
      <c r="H110" s="6"/>
      <c r="I110" s="6"/>
      <c r="J110" s="19" t="str">
        <f t="shared" si="9"/>
        <v/>
      </c>
      <c r="L110" s="30" t="s">
        <v>825</v>
      </c>
      <c r="M110" s="6" t="s">
        <v>329</v>
      </c>
      <c r="N110" s="6" t="s">
        <v>1654</v>
      </c>
      <c r="O110" s="10" t="s">
        <v>1644</v>
      </c>
    </row>
    <row r="111" spans="1:15">
      <c r="F111" s="30" t="str">
        <f t="shared" si="8"/>
        <v/>
      </c>
      <c r="G111" s="6"/>
      <c r="H111" s="6"/>
      <c r="I111" s="6"/>
      <c r="J111" s="19" t="str">
        <f t="shared" si="9"/>
        <v/>
      </c>
      <c r="L111" s="30" t="s">
        <v>830</v>
      </c>
      <c r="M111" s="6" t="s">
        <v>329</v>
      </c>
      <c r="N111" s="6" t="s">
        <v>1655</v>
      </c>
      <c r="O111" s="10" t="s">
        <v>1644</v>
      </c>
    </row>
    <row r="112" spans="1:15">
      <c r="F112" s="30" t="str">
        <f t="shared" si="8"/>
        <v/>
      </c>
      <c r="G112" s="6"/>
      <c r="H112" s="6"/>
      <c r="I112" s="6"/>
      <c r="J112" s="19" t="str">
        <f t="shared" si="9"/>
        <v/>
      </c>
      <c r="L112" s="30" t="s">
        <v>835</v>
      </c>
      <c r="M112" s="6" t="s">
        <v>329</v>
      </c>
      <c r="N112" s="6" t="s">
        <v>1656</v>
      </c>
      <c r="O112" s="10" t="s">
        <v>1644</v>
      </c>
    </row>
    <row r="113" spans="6:15">
      <c r="F113" s="30" t="str">
        <f t="shared" si="8"/>
        <v/>
      </c>
      <c r="G113" s="6"/>
      <c r="H113" s="6"/>
      <c r="I113" s="6"/>
      <c r="J113" s="19" t="str">
        <f t="shared" si="9"/>
        <v/>
      </c>
      <c r="L113" s="30" t="s">
        <v>840</v>
      </c>
      <c r="M113" s="6" t="s">
        <v>329</v>
      </c>
      <c r="N113" s="6" t="s">
        <v>1657</v>
      </c>
      <c r="O113" s="10" t="s">
        <v>1644</v>
      </c>
    </row>
    <row r="114" spans="6:15">
      <c r="F114" s="30" t="str">
        <f t="shared" si="8"/>
        <v/>
      </c>
      <c r="G114" s="6"/>
      <c r="H114" s="6"/>
      <c r="I114" s="6"/>
      <c r="J114" s="19" t="str">
        <f t="shared" si="9"/>
        <v/>
      </c>
      <c r="L114" s="30" t="s">
        <v>844</v>
      </c>
      <c r="M114" s="6" t="s">
        <v>329</v>
      </c>
      <c r="N114" s="6" t="s">
        <v>1658</v>
      </c>
      <c r="O114" s="10" t="s">
        <v>1644</v>
      </c>
    </row>
    <row r="115" spans="6:15">
      <c r="F115" s="30" t="str">
        <f t="shared" si="8"/>
        <v/>
      </c>
      <c r="G115" s="6"/>
      <c r="H115" s="6"/>
      <c r="I115" s="6"/>
      <c r="J115" s="19" t="str">
        <f t="shared" si="9"/>
        <v/>
      </c>
      <c r="L115" s="30" t="s">
        <v>848</v>
      </c>
      <c r="M115" s="6" t="s">
        <v>329</v>
      </c>
      <c r="N115" s="6" t="s">
        <v>1659</v>
      </c>
      <c r="O115" s="10" t="s">
        <v>1644</v>
      </c>
    </row>
    <row r="116" spans="6:15">
      <c r="F116" s="30" t="str">
        <f t="shared" si="8"/>
        <v/>
      </c>
      <c r="G116" s="6"/>
      <c r="H116" s="6"/>
      <c r="I116" s="6"/>
      <c r="J116" s="19" t="str">
        <f t="shared" si="9"/>
        <v/>
      </c>
      <c r="L116" s="30" t="s">
        <v>852</v>
      </c>
      <c r="M116" s="6" t="s">
        <v>329</v>
      </c>
      <c r="N116" s="6" t="s">
        <v>1660</v>
      </c>
      <c r="O116" s="10" t="s">
        <v>1644</v>
      </c>
    </row>
    <row r="117" spans="6:15">
      <c r="F117" s="30" t="str">
        <f t="shared" si="8"/>
        <v/>
      </c>
      <c r="G117" s="6"/>
      <c r="H117" s="6"/>
      <c r="I117" s="6"/>
      <c r="J117" s="19" t="str">
        <f t="shared" si="9"/>
        <v/>
      </c>
      <c r="L117" s="30" t="s">
        <v>857</v>
      </c>
      <c r="M117" s="6" t="s">
        <v>329</v>
      </c>
      <c r="N117" s="6" t="s">
        <v>1661</v>
      </c>
      <c r="O117" s="10" t="s">
        <v>1644</v>
      </c>
    </row>
    <row r="118" spans="6:15">
      <c r="F118" s="30" t="str">
        <f t="shared" si="8"/>
        <v/>
      </c>
      <c r="G118" s="6"/>
      <c r="H118" s="6"/>
      <c r="I118" s="6"/>
      <c r="J118" s="19" t="str">
        <f t="shared" si="9"/>
        <v/>
      </c>
      <c r="L118" s="30" t="s">
        <v>862</v>
      </c>
      <c r="M118" s="6" t="s">
        <v>329</v>
      </c>
      <c r="N118" s="6" t="s">
        <v>1662</v>
      </c>
      <c r="O118" s="10" t="s">
        <v>1644</v>
      </c>
    </row>
    <row r="119" spans="6:15">
      <c r="F119" s="30" t="str">
        <f t="shared" si="8"/>
        <v/>
      </c>
      <c r="G119" s="6"/>
      <c r="H119" s="6"/>
      <c r="I119" s="6"/>
      <c r="J119" s="19" t="str">
        <f t="shared" si="9"/>
        <v/>
      </c>
      <c r="L119" s="30" t="s">
        <v>867</v>
      </c>
      <c r="M119" s="6" t="s">
        <v>329</v>
      </c>
      <c r="N119" s="6" t="s">
        <v>1663</v>
      </c>
      <c r="O119" s="10" t="s">
        <v>1644</v>
      </c>
    </row>
    <row r="120" spans="6:15">
      <c r="F120" s="30" t="str">
        <f t="shared" si="8"/>
        <v/>
      </c>
      <c r="G120" s="6"/>
      <c r="H120" s="6"/>
      <c r="I120" s="6"/>
      <c r="J120" s="19" t="str">
        <f t="shared" si="9"/>
        <v/>
      </c>
      <c r="L120" s="30" t="s">
        <v>871</v>
      </c>
      <c r="M120" s="6" t="s">
        <v>329</v>
      </c>
      <c r="N120" s="6" t="s">
        <v>1664</v>
      </c>
      <c r="O120" s="10" t="s">
        <v>1644</v>
      </c>
    </row>
    <row r="121" spans="6:15">
      <c r="F121" s="30" t="str">
        <f t="shared" si="8"/>
        <v/>
      </c>
      <c r="G121" s="6"/>
      <c r="H121" s="6"/>
      <c r="I121" s="6"/>
      <c r="J121" s="19" t="str">
        <f t="shared" si="9"/>
        <v/>
      </c>
      <c r="L121" s="30" t="s">
        <v>876</v>
      </c>
      <c r="M121" s="6" t="s">
        <v>329</v>
      </c>
      <c r="N121" s="6" t="s">
        <v>1665</v>
      </c>
      <c r="O121" s="10" t="s">
        <v>1644</v>
      </c>
    </row>
    <row r="122" spans="6:15">
      <c r="F122" s="30" t="str">
        <f t="shared" ref="F122:F185" si="13">IF(H122="","","SUB-"&amp;TEXT(ROW()-5,"000"))</f>
        <v/>
      </c>
      <c r="G122" s="6"/>
      <c r="H122" s="6"/>
      <c r="I122" s="6"/>
      <c r="J122" s="19" t="str">
        <f t="shared" ref="J122:J185" si="14">IF(H122="","",IF(COUNTIF($H$6:$H$305,H122)&gt;1,"REVISAR: DUPLICADA","OK"))</f>
        <v/>
      </c>
      <c r="L122" s="30" t="s">
        <v>882</v>
      </c>
      <c r="M122" s="6" t="s">
        <v>329</v>
      </c>
      <c r="N122" s="6" t="s">
        <v>1666</v>
      </c>
      <c r="O122" s="10" t="s">
        <v>1644</v>
      </c>
    </row>
    <row r="123" spans="6:15">
      <c r="F123" s="30" t="str">
        <f t="shared" si="13"/>
        <v/>
      </c>
      <c r="G123" s="6"/>
      <c r="H123" s="6"/>
      <c r="I123" s="6"/>
      <c r="J123" s="19" t="str">
        <f t="shared" si="14"/>
        <v/>
      </c>
      <c r="L123" s="30" t="s">
        <v>887</v>
      </c>
      <c r="M123" s="6" t="s">
        <v>329</v>
      </c>
      <c r="N123" s="6" t="s">
        <v>1667</v>
      </c>
      <c r="O123" s="10" t="s">
        <v>1644</v>
      </c>
    </row>
    <row r="124" spans="6:15">
      <c r="F124" s="30" t="str">
        <f t="shared" si="13"/>
        <v/>
      </c>
      <c r="G124" s="6"/>
      <c r="H124" s="6"/>
      <c r="I124" s="6"/>
      <c r="J124" s="19" t="str">
        <f t="shared" si="14"/>
        <v/>
      </c>
      <c r="L124" s="30" t="s">
        <v>892</v>
      </c>
      <c r="M124" s="6" t="s">
        <v>329</v>
      </c>
      <c r="N124" s="6" t="s">
        <v>1668</v>
      </c>
      <c r="O124" s="10" t="s">
        <v>1644</v>
      </c>
    </row>
    <row r="125" spans="6:15">
      <c r="F125" s="30" t="str">
        <f t="shared" si="13"/>
        <v/>
      </c>
      <c r="G125" s="6"/>
      <c r="H125" s="6"/>
      <c r="I125" s="6"/>
      <c r="J125" s="19" t="str">
        <f t="shared" si="14"/>
        <v/>
      </c>
      <c r="L125" s="30" t="s">
        <v>897</v>
      </c>
      <c r="M125" s="6" t="s">
        <v>329</v>
      </c>
      <c r="N125" s="6" t="s">
        <v>1669</v>
      </c>
      <c r="O125" s="10" t="s">
        <v>1644</v>
      </c>
    </row>
    <row r="126" spans="6:15">
      <c r="F126" s="30" t="str">
        <f t="shared" si="13"/>
        <v/>
      </c>
      <c r="G126" s="6"/>
      <c r="H126" s="6"/>
      <c r="I126" s="6"/>
      <c r="J126" s="19" t="str">
        <f t="shared" si="14"/>
        <v/>
      </c>
      <c r="L126" s="30" t="s">
        <v>902</v>
      </c>
      <c r="M126" s="6" t="s">
        <v>329</v>
      </c>
      <c r="N126" s="6" t="s">
        <v>1670</v>
      </c>
      <c r="O126" s="10" t="s">
        <v>1644</v>
      </c>
    </row>
    <row r="127" spans="6:15">
      <c r="F127" s="30" t="str">
        <f t="shared" si="13"/>
        <v/>
      </c>
      <c r="G127" s="6"/>
      <c r="H127" s="6"/>
      <c r="I127" s="6"/>
      <c r="J127" s="19" t="str">
        <f t="shared" si="14"/>
        <v/>
      </c>
      <c r="L127" s="30" t="s">
        <v>908</v>
      </c>
      <c r="M127" s="6" t="s">
        <v>329</v>
      </c>
      <c r="N127" s="10" t="s">
        <v>1969</v>
      </c>
      <c r="O127" s="10" t="s">
        <v>1969</v>
      </c>
    </row>
    <row r="128" spans="6:15">
      <c r="F128" s="30" t="str">
        <f t="shared" si="13"/>
        <v/>
      </c>
      <c r="G128" s="6"/>
      <c r="H128" s="6"/>
      <c r="I128" s="6"/>
      <c r="J128" s="19" t="str">
        <f t="shared" si="14"/>
        <v/>
      </c>
      <c r="L128" s="30" t="s">
        <v>912</v>
      </c>
      <c r="M128" s="6" t="s">
        <v>329</v>
      </c>
      <c r="N128" s="6" t="s">
        <v>1970</v>
      </c>
      <c r="O128" s="6" t="s">
        <v>1970</v>
      </c>
    </row>
    <row r="129" spans="6:15">
      <c r="F129" s="30" t="str">
        <f t="shared" si="13"/>
        <v/>
      </c>
      <c r="G129" s="6"/>
      <c r="H129" s="6"/>
      <c r="I129" s="6"/>
      <c r="J129" s="19" t="str">
        <f t="shared" si="14"/>
        <v/>
      </c>
      <c r="L129" s="30" t="s">
        <v>916</v>
      </c>
      <c r="M129" s="6" t="s">
        <v>329</v>
      </c>
      <c r="N129" s="6" t="s">
        <v>1971</v>
      </c>
      <c r="O129" s="6" t="s">
        <v>1971</v>
      </c>
    </row>
    <row r="130" spans="6:15">
      <c r="F130" s="30" t="str">
        <f t="shared" si="13"/>
        <v/>
      </c>
      <c r="G130" s="6"/>
      <c r="H130" s="6"/>
      <c r="I130" s="6"/>
      <c r="J130" s="19" t="str">
        <f t="shared" si="14"/>
        <v/>
      </c>
      <c r="L130" s="30" t="s">
        <v>921</v>
      </c>
      <c r="M130" s="6" t="s">
        <v>329</v>
      </c>
      <c r="N130" s="6" t="s">
        <v>1671</v>
      </c>
      <c r="O130" s="10" t="s">
        <v>1672</v>
      </c>
    </row>
    <row r="131" spans="6:15">
      <c r="F131" s="30" t="str">
        <f t="shared" si="13"/>
        <v/>
      </c>
      <c r="G131" s="6"/>
      <c r="H131" s="6"/>
      <c r="I131" s="6"/>
      <c r="J131" s="19" t="str">
        <f t="shared" si="14"/>
        <v/>
      </c>
      <c r="L131" s="30" t="s">
        <v>926</v>
      </c>
      <c r="M131" s="6" t="s">
        <v>329</v>
      </c>
      <c r="N131" s="6" t="s">
        <v>1673</v>
      </c>
      <c r="O131" s="10" t="s">
        <v>1672</v>
      </c>
    </row>
    <row r="132" spans="6:15">
      <c r="F132" s="30" t="str">
        <f t="shared" si="13"/>
        <v/>
      </c>
      <c r="G132" s="6"/>
      <c r="H132" s="6"/>
      <c r="I132" s="6"/>
      <c r="J132" s="19" t="str">
        <f t="shared" si="14"/>
        <v/>
      </c>
      <c r="L132" s="30" t="s">
        <v>930</v>
      </c>
      <c r="M132" s="6" t="s">
        <v>329</v>
      </c>
      <c r="N132" s="6" t="s">
        <v>1674</v>
      </c>
      <c r="O132" s="10" t="s">
        <v>1487</v>
      </c>
    </row>
    <row r="133" spans="6:15">
      <c r="F133" s="30" t="str">
        <f t="shared" si="13"/>
        <v/>
      </c>
      <c r="G133" s="6"/>
      <c r="H133" s="6"/>
      <c r="I133" s="6"/>
      <c r="J133" s="19" t="str">
        <f t="shared" si="14"/>
        <v/>
      </c>
      <c r="L133" s="30" t="s">
        <v>934</v>
      </c>
      <c r="M133" s="6" t="s">
        <v>329</v>
      </c>
      <c r="N133" s="6" t="s">
        <v>1675</v>
      </c>
      <c r="O133" s="10" t="s">
        <v>1487</v>
      </c>
    </row>
    <row r="134" spans="6:15">
      <c r="F134" s="30" t="str">
        <f t="shared" si="13"/>
        <v/>
      </c>
      <c r="G134" s="6"/>
      <c r="H134" s="6"/>
      <c r="I134" s="6"/>
      <c r="J134" s="19" t="str">
        <f t="shared" si="14"/>
        <v/>
      </c>
      <c r="L134" s="30" t="s">
        <v>938</v>
      </c>
      <c r="M134" s="6" t="s">
        <v>329</v>
      </c>
      <c r="N134" s="6" t="s">
        <v>1676</v>
      </c>
      <c r="O134" s="10" t="s">
        <v>1677</v>
      </c>
    </row>
    <row r="135" spans="6:15">
      <c r="F135" s="30" t="str">
        <f t="shared" si="13"/>
        <v/>
      </c>
      <c r="G135" s="6"/>
      <c r="H135" s="6"/>
      <c r="I135" s="6"/>
      <c r="J135" s="19" t="str">
        <f t="shared" si="14"/>
        <v/>
      </c>
      <c r="L135" s="30" t="s">
        <v>942</v>
      </c>
      <c r="M135" s="6" t="s">
        <v>329</v>
      </c>
      <c r="N135" s="6" t="s">
        <v>1678</v>
      </c>
      <c r="O135" s="10" t="s">
        <v>1677</v>
      </c>
    </row>
    <row r="136" spans="6:15">
      <c r="F136" s="30" t="str">
        <f t="shared" si="13"/>
        <v/>
      </c>
      <c r="G136" s="6"/>
      <c r="H136" s="6"/>
      <c r="I136" s="6"/>
      <c r="J136" s="19" t="str">
        <f t="shared" si="14"/>
        <v/>
      </c>
      <c r="L136" s="30" t="s">
        <v>946</v>
      </c>
      <c r="M136" s="6" t="s">
        <v>329</v>
      </c>
      <c r="N136" s="6" t="s">
        <v>1679</v>
      </c>
      <c r="O136" s="10" t="s">
        <v>1680</v>
      </c>
    </row>
    <row r="137" spans="6:15">
      <c r="F137" s="30" t="str">
        <f t="shared" si="13"/>
        <v/>
      </c>
      <c r="G137" s="6"/>
      <c r="H137" s="6"/>
      <c r="I137" s="6"/>
      <c r="J137" s="19" t="str">
        <f t="shared" si="14"/>
        <v/>
      </c>
      <c r="L137" s="30" t="s">
        <v>950</v>
      </c>
      <c r="M137" s="6" t="s">
        <v>329</v>
      </c>
      <c r="N137" s="6" t="s">
        <v>1681</v>
      </c>
      <c r="O137" s="10" t="s">
        <v>1680</v>
      </c>
    </row>
    <row r="138" spans="6:15">
      <c r="F138" s="30" t="str">
        <f t="shared" si="13"/>
        <v/>
      </c>
      <c r="G138" s="6"/>
      <c r="H138" s="6"/>
      <c r="I138" s="6"/>
      <c r="J138" s="19" t="str">
        <f t="shared" si="14"/>
        <v/>
      </c>
      <c r="L138" s="30" t="s">
        <v>954</v>
      </c>
      <c r="M138" s="6" t="s">
        <v>329</v>
      </c>
      <c r="N138" s="6" t="s">
        <v>1682</v>
      </c>
      <c r="O138" s="10" t="s">
        <v>1495</v>
      </c>
    </row>
    <row r="139" spans="6:15">
      <c r="F139" s="30" t="str">
        <f t="shared" si="13"/>
        <v/>
      </c>
      <c r="G139" s="6"/>
      <c r="H139" s="6"/>
      <c r="I139" s="6"/>
      <c r="J139" s="19" t="str">
        <f t="shared" si="14"/>
        <v/>
      </c>
      <c r="L139" s="30" t="s">
        <v>958</v>
      </c>
      <c r="M139" s="6" t="s">
        <v>329</v>
      </c>
      <c r="N139" s="6" t="s">
        <v>1683</v>
      </c>
      <c r="O139" s="10" t="s">
        <v>1495</v>
      </c>
    </row>
    <row r="140" spans="6:15">
      <c r="F140" s="30" t="str">
        <f t="shared" si="13"/>
        <v/>
      </c>
      <c r="G140" s="6"/>
      <c r="H140" s="6"/>
      <c r="I140" s="6"/>
      <c r="J140" s="19" t="str">
        <f t="shared" si="14"/>
        <v/>
      </c>
      <c r="L140" s="30" t="s">
        <v>962</v>
      </c>
      <c r="M140" s="6" t="s">
        <v>329</v>
      </c>
      <c r="N140" s="6" t="s">
        <v>1684</v>
      </c>
      <c r="O140" s="10" t="s">
        <v>1495</v>
      </c>
    </row>
    <row r="141" spans="6:15">
      <c r="F141" s="30" t="str">
        <f t="shared" si="13"/>
        <v/>
      </c>
      <c r="G141" s="6"/>
      <c r="H141" s="6"/>
      <c r="I141" s="6"/>
      <c r="J141" s="19" t="str">
        <f t="shared" si="14"/>
        <v/>
      </c>
      <c r="L141" s="30" t="s">
        <v>966</v>
      </c>
      <c r="M141" s="6" t="s">
        <v>329</v>
      </c>
      <c r="N141" s="6" t="s">
        <v>1685</v>
      </c>
      <c r="O141" s="10" t="s">
        <v>1495</v>
      </c>
    </row>
    <row r="142" spans="6:15">
      <c r="F142" s="30" t="str">
        <f t="shared" si="13"/>
        <v/>
      </c>
      <c r="G142" s="6"/>
      <c r="H142" s="6"/>
      <c r="I142" s="6"/>
      <c r="J142" s="19" t="str">
        <f t="shared" si="14"/>
        <v/>
      </c>
      <c r="L142" s="30" t="s">
        <v>973</v>
      </c>
      <c r="M142" s="6" t="s">
        <v>329</v>
      </c>
      <c r="N142" s="6" t="s">
        <v>1686</v>
      </c>
      <c r="O142" s="10" t="s">
        <v>1687</v>
      </c>
    </row>
    <row r="143" spans="6:15">
      <c r="F143" s="30" t="str">
        <f t="shared" si="13"/>
        <v/>
      </c>
      <c r="G143" s="6"/>
      <c r="H143" s="6"/>
      <c r="I143" s="6"/>
      <c r="J143" s="19" t="str">
        <f t="shared" si="14"/>
        <v/>
      </c>
      <c r="L143" s="30" t="s">
        <v>978</v>
      </c>
      <c r="M143" s="6" t="s">
        <v>329</v>
      </c>
      <c r="N143" s="6" t="s">
        <v>1688</v>
      </c>
      <c r="O143" s="10" t="s">
        <v>1687</v>
      </c>
    </row>
    <row r="144" spans="6:15">
      <c r="F144" s="30" t="str">
        <f t="shared" si="13"/>
        <v/>
      </c>
      <c r="G144" s="6"/>
      <c r="H144" s="6"/>
      <c r="I144" s="6"/>
      <c r="J144" s="19" t="str">
        <f t="shared" si="14"/>
        <v/>
      </c>
      <c r="L144" s="30" t="s">
        <v>984</v>
      </c>
      <c r="M144" s="6" t="s">
        <v>329</v>
      </c>
      <c r="N144" s="6" t="s">
        <v>1689</v>
      </c>
      <c r="O144" s="10" t="s">
        <v>1687</v>
      </c>
    </row>
    <row r="145" spans="6:15">
      <c r="F145" s="30" t="str">
        <f t="shared" si="13"/>
        <v/>
      </c>
      <c r="G145" s="6"/>
      <c r="H145" s="6"/>
      <c r="I145" s="6"/>
      <c r="J145" s="19" t="str">
        <f t="shared" si="14"/>
        <v/>
      </c>
      <c r="L145" s="30" t="s">
        <v>990</v>
      </c>
      <c r="M145" s="6" t="s">
        <v>329</v>
      </c>
      <c r="N145" s="6" t="s">
        <v>1690</v>
      </c>
      <c r="O145" s="10" t="s">
        <v>1687</v>
      </c>
    </row>
    <row r="146" spans="6:15">
      <c r="F146" s="30" t="str">
        <f t="shared" si="13"/>
        <v/>
      </c>
      <c r="G146" s="6"/>
      <c r="H146" s="6"/>
      <c r="I146" s="6"/>
      <c r="J146" s="19" t="str">
        <f t="shared" si="14"/>
        <v/>
      </c>
      <c r="L146" s="30" t="s">
        <v>994</v>
      </c>
      <c r="M146" s="6" t="s">
        <v>329</v>
      </c>
      <c r="N146" s="6" t="s">
        <v>1691</v>
      </c>
      <c r="O146" s="10" t="s">
        <v>1687</v>
      </c>
    </row>
    <row r="147" spans="6:15">
      <c r="F147" s="30" t="str">
        <f t="shared" si="13"/>
        <v/>
      </c>
      <c r="G147" s="6"/>
      <c r="H147" s="6"/>
      <c r="I147" s="6"/>
      <c r="J147" s="19" t="str">
        <f t="shared" si="14"/>
        <v/>
      </c>
      <c r="L147" s="30" t="s">
        <v>998</v>
      </c>
      <c r="M147" s="6" t="s">
        <v>329</v>
      </c>
      <c r="N147" s="6" t="s">
        <v>1692</v>
      </c>
      <c r="O147" s="10" t="s">
        <v>1687</v>
      </c>
    </row>
    <row r="148" spans="6:15">
      <c r="F148" s="30" t="str">
        <f t="shared" si="13"/>
        <v/>
      </c>
      <c r="G148" s="6"/>
      <c r="H148" s="6"/>
      <c r="I148" s="6"/>
      <c r="J148" s="19" t="str">
        <f t="shared" si="14"/>
        <v/>
      </c>
      <c r="L148" s="30" t="s">
        <v>1004</v>
      </c>
      <c r="M148" s="6" t="s">
        <v>329</v>
      </c>
      <c r="N148" s="6" t="s">
        <v>1693</v>
      </c>
      <c r="O148" s="10" t="s">
        <v>1687</v>
      </c>
    </row>
    <row r="149" spans="6:15">
      <c r="F149" s="30" t="str">
        <f t="shared" si="13"/>
        <v/>
      </c>
      <c r="G149" s="6"/>
      <c r="H149" s="6"/>
      <c r="I149" s="6"/>
      <c r="J149" s="19" t="str">
        <f t="shared" si="14"/>
        <v/>
      </c>
      <c r="L149" s="30" t="s">
        <v>1008</v>
      </c>
      <c r="M149" s="6" t="s">
        <v>329</v>
      </c>
      <c r="N149" s="6" t="s">
        <v>1694</v>
      </c>
      <c r="O149" s="10" t="s">
        <v>1687</v>
      </c>
    </row>
    <row r="150" spans="6:15">
      <c r="F150" s="30" t="str">
        <f t="shared" si="13"/>
        <v/>
      </c>
      <c r="G150" s="6"/>
      <c r="H150" s="6"/>
      <c r="I150" s="6"/>
      <c r="J150" s="19" t="str">
        <f t="shared" si="14"/>
        <v/>
      </c>
      <c r="L150" s="30" t="s">
        <v>1012</v>
      </c>
      <c r="M150" s="6" t="s">
        <v>329</v>
      </c>
      <c r="N150" s="6" t="s">
        <v>1695</v>
      </c>
      <c r="O150" s="10" t="s">
        <v>1687</v>
      </c>
    </row>
    <row r="151" spans="6:15">
      <c r="F151" s="30" t="str">
        <f t="shared" si="13"/>
        <v/>
      </c>
      <c r="G151" s="6"/>
      <c r="H151" s="6"/>
      <c r="I151" s="6"/>
      <c r="J151" s="19" t="str">
        <f t="shared" si="14"/>
        <v/>
      </c>
      <c r="L151" s="30" t="s">
        <v>1017</v>
      </c>
      <c r="M151" s="6" t="s">
        <v>329</v>
      </c>
      <c r="N151" s="6" t="s">
        <v>1696</v>
      </c>
      <c r="O151" s="10" t="s">
        <v>1687</v>
      </c>
    </row>
    <row r="152" spans="6:15">
      <c r="F152" s="30" t="str">
        <f t="shared" si="13"/>
        <v/>
      </c>
      <c r="G152" s="6"/>
      <c r="H152" s="6"/>
      <c r="I152" s="6"/>
      <c r="J152" s="19" t="str">
        <f t="shared" si="14"/>
        <v/>
      </c>
      <c r="L152" s="30" t="s">
        <v>1021</v>
      </c>
      <c r="M152" s="6" t="s">
        <v>329</v>
      </c>
      <c r="N152" s="6" t="s">
        <v>1697</v>
      </c>
      <c r="O152" s="10" t="s">
        <v>1687</v>
      </c>
    </row>
    <row r="153" spans="6:15">
      <c r="F153" s="30" t="str">
        <f t="shared" si="13"/>
        <v/>
      </c>
      <c r="G153" s="6"/>
      <c r="H153" s="6"/>
      <c r="I153" s="6"/>
      <c r="J153" s="19" t="str">
        <f t="shared" si="14"/>
        <v/>
      </c>
      <c r="L153" s="30" t="s">
        <v>1025</v>
      </c>
      <c r="M153" s="6" t="s">
        <v>329</v>
      </c>
      <c r="N153" s="6" t="s">
        <v>1698</v>
      </c>
      <c r="O153" s="10" t="s">
        <v>1687</v>
      </c>
    </row>
    <row r="154" spans="6:15">
      <c r="F154" s="30" t="str">
        <f t="shared" si="13"/>
        <v/>
      </c>
      <c r="G154" s="6"/>
      <c r="H154" s="6"/>
      <c r="I154" s="6"/>
      <c r="J154" s="19" t="str">
        <f t="shared" si="14"/>
        <v/>
      </c>
      <c r="L154" s="30" t="s">
        <v>1033</v>
      </c>
      <c r="M154" s="6" t="s">
        <v>329</v>
      </c>
      <c r="N154" s="6" t="s">
        <v>1699</v>
      </c>
      <c r="O154" s="10" t="s">
        <v>1700</v>
      </c>
    </row>
    <row r="155" spans="6:15">
      <c r="F155" s="30" t="str">
        <f t="shared" si="13"/>
        <v/>
      </c>
      <c r="G155" s="6"/>
      <c r="H155" s="6"/>
      <c r="I155" s="6"/>
      <c r="J155" s="19" t="str">
        <f t="shared" si="14"/>
        <v/>
      </c>
      <c r="L155" s="30" t="s">
        <v>1039</v>
      </c>
      <c r="M155" s="6" t="s">
        <v>329</v>
      </c>
      <c r="N155" s="6" t="s">
        <v>1701</v>
      </c>
      <c r="O155" s="10" t="s">
        <v>1700</v>
      </c>
    </row>
    <row r="156" spans="6:15">
      <c r="F156" s="30" t="str">
        <f t="shared" si="13"/>
        <v/>
      </c>
      <c r="G156" s="6"/>
      <c r="H156" s="6"/>
      <c r="I156" s="6"/>
      <c r="J156" s="19" t="str">
        <f t="shared" si="14"/>
        <v/>
      </c>
      <c r="L156" s="30" t="s">
        <v>1045</v>
      </c>
      <c r="M156" s="6" t="s">
        <v>329</v>
      </c>
      <c r="N156" s="6" t="s">
        <v>1702</v>
      </c>
      <c r="O156" s="10" t="s">
        <v>1703</v>
      </c>
    </row>
    <row r="157" spans="6:15">
      <c r="F157" s="30" t="str">
        <f t="shared" si="13"/>
        <v/>
      </c>
      <c r="G157" s="6"/>
      <c r="H157" s="6"/>
      <c r="I157" s="6"/>
      <c r="J157" s="19" t="str">
        <f t="shared" si="14"/>
        <v/>
      </c>
      <c r="L157" s="30" t="s">
        <v>1049</v>
      </c>
      <c r="M157" s="6" t="s">
        <v>329</v>
      </c>
      <c r="N157" s="6" t="s">
        <v>1704</v>
      </c>
      <c r="O157" s="10" t="s">
        <v>1703</v>
      </c>
    </row>
    <row r="158" spans="6:15">
      <c r="F158" s="30" t="str">
        <f t="shared" si="13"/>
        <v/>
      </c>
      <c r="G158" s="6"/>
      <c r="H158" s="6"/>
      <c r="I158" s="6"/>
      <c r="J158" s="19" t="str">
        <f t="shared" si="14"/>
        <v/>
      </c>
      <c r="L158" s="30" t="s">
        <v>1053</v>
      </c>
      <c r="M158" s="6" t="s">
        <v>329</v>
      </c>
      <c r="N158" s="6" t="s">
        <v>1705</v>
      </c>
      <c r="O158" s="10" t="s">
        <v>1703</v>
      </c>
    </row>
    <row r="159" spans="6:15">
      <c r="F159" s="30" t="str">
        <f t="shared" si="13"/>
        <v/>
      </c>
      <c r="G159" s="6"/>
      <c r="H159" s="6"/>
      <c r="I159" s="6"/>
      <c r="J159" s="19" t="str">
        <f t="shared" si="14"/>
        <v/>
      </c>
      <c r="L159" s="30" t="s">
        <v>1057</v>
      </c>
      <c r="M159" s="6" t="s">
        <v>329</v>
      </c>
      <c r="N159" s="6" t="s">
        <v>1706</v>
      </c>
      <c r="O159" s="10" t="s">
        <v>1703</v>
      </c>
    </row>
    <row r="160" spans="6:15">
      <c r="F160" s="30" t="str">
        <f t="shared" si="13"/>
        <v/>
      </c>
      <c r="G160" s="6"/>
      <c r="H160" s="6"/>
      <c r="I160" s="6"/>
      <c r="J160" s="19" t="str">
        <f t="shared" si="14"/>
        <v/>
      </c>
      <c r="L160" s="30" t="s">
        <v>1061</v>
      </c>
      <c r="M160" s="6" t="s">
        <v>329</v>
      </c>
      <c r="N160" s="6" t="s">
        <v>1707</v>
      </c>
      <c r="O160" s="10" t="s">
        <v>1703</v>
      </c>
    </row>
    <row r="161" spans="6:15">
      <c r="F161" s="30" t="str">
        <f t="shared" si="13"/>
        <v/>
      </c>
      <c r="G161" s="6"/>
      <c r="H161" s="6"/>
      <c r="I161" s="6"/>
      <c r="J161" s="19" t="str">
        <f t="shared" si="14"/>
        <v/>
      </c>
      <c r="L161" s="30" t="s">
        <v>1067</v>
      </c>
      <c r="M161" s="6" t="s">
        <v>329</v>
      </c>
      <c r="N161" s="6" t="s">
        <v>1708</v>
      </c>
      <c r="O161" s="10" t="s">
        <v>1709</v>
      </c>
    </row>
    <row r="162" spans="6:15">
      <c r="F162" s="30" t="str">
        <f t="shared" si="13"/>
        <v/>
      </c>
      <c r="G162" s="6"/>
      <c r="H162" s="6"/>
      <c r="I162" s="6"/>
      <c r="J162" s="19" t="str">
        <f t="shared" si="14"/>
        <v/>
      </c>
      <c r="L162" s="30" t="s">
        <v>1071</v>
      </c>
      <c r="M162" s="6" t="s">
        <v>329</v>
      </c>
      <c r="N162" s="6" t="s">
        <v>1710</v>
      </c>
      <c r="O162" s="10" t="s">
        <v>1709</v>
      </c>
    </row>
    <row r="163" spans="6:15">
      <c r="F163" s="30" t="str">
        <f t="shared" si="13"/>
        <v/>
      </c>
      <c r="G163" s="6"/>
      <c r="H163" s="6"/>
      <c r="I163" s="6"/>
      <c r="J163" s="19" t="str">
        <f t="shared" si="14"/>
        <v/>
      </c>
      <c r="L163" s="30" t="s">
        <v>1075</v>
      </c>
      <c r="M163" s="6" t="s">
        <v>329</v>
      </c>
      <c r="N163" s="6" t="s">
        <v>1711</v>
      </c>
      <c r="O163" s="10" t="s">
        <v>1709</v>
      </c>
    </row>
    <row r="164" spans="6:15">
      <c r="F164" s="30" t="str">
        <f t="shared" si="13"/>
        <v/>
      </c>
      <c r="G164" s="6"/>
      <c r="H164" s="6"/>
      <c r="I164" s="6"/>
      <c r="J164" s="19" t="str">
        <f t="shared" si="14"/>
        <v/>
      </c>
      <c r="L164" s="30" t="s">
        <v>1079</v>
      </c>
      <c r="M164" s="6" t="s">
        <v>329</v>
      </c>
      <c r="N164" s="6" t="s">
        <v>1712</v>
      </c>
      <c r="O164" s="10" t="s">
        <v>1709</v>
      </c>
    </row>
    <row r="165" spans="6:15">
      <c r="F165" s="30" t="str">
        <f t="shared" si="13"/>
        <v/>
      </c>
      <c r="G165" s="6"/>
      <c r="H165" s="6"/>
      <c r="I165" s="6"/>
      <c r="J165" s="19" t="str">
        <f t="shared" si="14"/>
        <v/>
      </c>
      <c r="L165" s="30" t="s">
        <v>1083</v>
      </c>
      <c r="M165" s="6" t="s">
        <v>329</v>
      </c>
      <c r="N165" s="6" t="s">
        <v>1713</v>
      </c>
      <c r="O165" s="10" t="s">
        <v>1709</v>
      </c>
    </row>
    <row r="166" spans="6:15">
      <c r="F166" s="30" t="str">
        <f t="shared" si="13"/>
        <v/>
      </c>
      <c r="G166" s="6"/>
      <c r="H166" s="6"/>
      <c r="I166" s="6"/>
      <c r="J166" s="19" t="str">
        <f t="shared" si="14"/>
        <v/>
      </c>
      <c r="L166" s="30" t="s">
        <v>1087</v>
      </c>
      <c r="M166" s="6" t="s">
        <v>329</v>
      </c>
      <c r="N166" s="6" t="s">
        <v>1714</v>
      </c>
      <c r="O166" s="10" t="s">
        <v>1709</v>
      </c>
    </row>
    <row r="167" spans="6:15">
      <c r="F167" s="30" t="str">
        <f t="shared" si="13"/>
        <v/>
      </c>
      <c r="G167" s="6"/>
      <c r="H167" s="6"/>
      <c r="I167" s="6"/>
      <c r="J167" s="19" t="str">
        <f t="shared" si="14"/>
        <v/>
      </c>
      <c r="L167" s="30" t="s">
        <v>1091</v>
      </c>
      <c r="M167" s="6" t="s">
        <v>329</v>
      </c>
      <c r="N167" s="6" t="s">
        <v>1715</v>
      </c>
      <c r="O167" s="10" t="s">
        <v>1709</v>
      </c>
    </row>
    <row r="168" spans="6:15">
      <c r="F168" s="30" t="str">
        <f t="shared" si="13"/>
        <v/>
      </c>
      <c r="G168" s="6"/>
      <c r="H168" s="6"/>
      <c r="I168" s="6"/>
      <c r="J168" s="19" t="str">
        <f t="shared" si="14"/>
        <v/>
      </c>
      <c r="L168" s="30" t="s">
        <v>1096</v>
      </c>
      <c r="M168" s="6" t="s">
        <v>329</v>
      </c>
      <c r="N168" s="6" t="s">
        <v>1716</v>
      </c>
      <c r="O168" s="10" t="s">
        <v>1717</v>
      </c>
    </row>
    <row r="169" spans="6:15">
      <c r="F169" s="30" t="str">
        <f t="shared" si="13"/>
        <v/>
      </c>
      <c r="G169" s="6"/>
      <c r="H169" s="6"/>
      <c r="I169" s="6"/>
      <c r="J169" s="19" t="str">
        <f t="shared" si="14"/>
        <v/>
      </c>
      <c r="L169" s="30" t="s">
        <v>1100</v>
      </c>
      <c r="M169" s="6" t="s">
        <v>329</v>
      </c>
      <c r="N169" s="6" t="s">
        <v>1718</v>
      </c>
      <c r="O169" s="10" t="s">
        <v>1717</v>
      </c>
    </row>
    <row r="170" spans="6:15">
      <c r="F170" s="30" t="str">
        <f t="shared" si="13"/>
        <v/>
      </c>
      <c r="G170" s="6"/>
      <c r="H170" s="6"/>
      <c r="I170" s="6"/>
      <c r="J170" s="19" t="str">
        <f t="shared" si="14"/>
        <v/>
      </c>
      <c r="L170" s="30" t="s">
        <v>1104</v>
      </c>
      <c r="M170" s="6" t="s">
        <v>329</v>
      </c>
      <c r="N170" s="6" t="s">
        <v>1719</v>
      </c>
      <c r="O170" s="10" t="s">
        <v>1717</v>
      </c>
    </row>
    <row r="171" spans="6:15">
      <c r="F171" s="30" t="str">
        <f t="shared" si="13"/>
        <v/>
      </c>
      <c r="G171" s="6"/>
      <c r="H171" s="6"/>
      <c r="I171" s="6"/>
      <c r="J171" s="19" t="str">
        <f t="shared" si="14"/>
        <v/>
      </c>
      <c r="L171" s="30" t="s">
        <v>1108</v>
      </c>
      <c r="M171" s="6" t="s">
        <v>329</v>
      </c>
      <c r="N171" s="6" t="s">
        <v>1720</v>
      </c>
      <c r="O171" s="10" t="s">
        <v>1717</v>
      </c>
    </row>
    <row r="172" spans="6:15">
      <c r="F172" s="30" t="str">
        <f t="shared" si="13"/>
        <v/>
      </c>
      <c r="G172" s="6"/>
      <c r="H172" s="6"/>
      <c r="I172" s="6"/>
      <c r="J172" s="19" t="str">
        <f t="shared" si="14"/>
        <v/>
      </c>
      <c r="L172" s="30" t="s">
        <v>1112</v>
      </c>
      <c r="M172" s="6" t="s">
        <v>329</v>
      </c>
      <c r="N172" s="6" t="s">
        <v>1721</v>
      </c>
      <c r="O172" s="10" t="s">
        <v>1717</v>
      </c>
    </row>
    <row r="173" spans="6:15">
      <c r="F173" s="30" t="str">
        <f t="shared" si="13"/>
        <v/>
      </c>
      <c r="G173" s="6"/>
      <c r="H173" s="6"/>
      <c r="I173" s="6"/>
      <c r="J173" s="19" t="str">
        <f t="shared" si="14"/>
        <v/>
      </c>
      <c r="L173" s="30" t="s">
        <v>1118</v>
      </c>
      <c r="M173" s="6" t="s">
        <v>329</v>
      </c>
      <c r="N173" s="6" t="s">
        <v>1722</v>
      </c>
      <c r="O173" s="10" t="s">
        <v>1723</v>
      </c>
    </row>
    <row r="174" spans="6:15">
      <c r="F174" s="30" t="str">
        <f t="shared" si="13"/>
        <v/>
      </c>
      <c r="G174" s="6"/>
      <c r="H174" s="6"/>
      <c r="I174" s="6"/>
      <c r="J174" s="19" t="str">
        <f t="shared" si="14"/>
        <v/>
      </c>
      <c r="L174" s="30" t="s">
        <v>1122</v>
      </c>
      <c r="M174" s="6" t="s">
        <v>329</v>
      </c>
      <c r="N174" s="6" t="s">
        <v>1724</v>
      </c>
      <c r="O174" s="10" t="s">
        <v>1723</v>
      </c>
    </row>
    <row r="175" spans="6:15">
      <c r="F175" s="30" t="str">
        <f t="shared" si="13"/>
        <v/>
      </c>
      <c r="G175" s="6"/>
      <c r="H175" s="6"/>
      <c r="I175" s="6"/>
      <c r="J175" s="19" t="str">
        <f t="shared" si="14"/>
        <v/>
      </c>
      <c r="L175" s="30" t="s">
        <v>1127</v>
      </c>
      <c r="M175" s="6" t="s">
        <v>329</v>
      </c>
      <c r="N175" s="6" t="s">
        <v>1725</v>
      </c>
      <c r="O175" s="10" t="s">
        <v>1723</v>
      </c>
    </row>
    <row r="176" spans="6:15">
      <c r="F176" s="30" t="str">
        <f t="shared" si="13"/>
        <v/>
      </c>
      <c r="G176" s="6"/>
      <c r="H176" s="6"/>
      <c r="I176" s="6"/>
      <c r="J176" s="19" t="str">
        <f t="shared" si="14"/>
        <v/>
      </c>
      <c r="L176" s="30" t="s">
        <v>1132</v>
      </c>
      <c r="M176" s="6" t="s">
        <v>329</v>
      </c>
      <c r="N176" s="6" t="s">
        <v>1726</v>
      </c>
      <c r="O176" s="10" t="s">
        <v>1723</v>
      </c>
    </row>
    <row r="177" spans="6:15">
      <c r="F177" s="30" t="str">
        <f t="shared" si="13"/>
        <v/>
      </c>
      <c r="G177" s="6"/>
      <c r="H177" s="6"/>
      <c r="I177" s="6"/>
      <c r="J177" s="19" t="str">
        <f t="shared" si="14"/>
        <v/>
      </c>
      <c r="L177" s="30" t="s">
        <v>1136</v>
      </c>
      <c r="M177" s="6" t="s">
        <v>329</v>
      </c>
      <c r="N177" s="6" t="s">
        <v>1727</v>
      </c>
      <c r="O177" s="10" t="s">
        <v>1723</v>
      </c>
    </row>
    <row r="178" spans="6:15">
      <c r="F178" s="30" t="str">
        <f t="shared" si="13"/>
        <v/>
      </c>
      <c r="G178" s="6"/>
      <c r="H178" s="6"/>
      <c r="I178" s="6"/>
      <c r="J178" s="19" t="str">
        <f t="shared" si="14"/>
        <v/>
      </c>
      <c r="L178" s="30" t="s">
        <v>1141</v>
      </c>
      <c r="M178" s="6" t="s">
        <v>329</v>
      </c>
      <c r="N178" s="6" t="s">
        <v>1728</v>
      </c>
      <c r="O178" s="10" t="s">
        <v>1729</v>
      </c>
    </row>
    <row r="179" spans="6:15">
      <c r="F179" s="30" t="str">
        <f t="shared" si="13"/>
        <v/>
      </c>
      <c r="G179" s="6"/>
      <c r="H179" s="6"/>
      <c r="I179" s="6"/>
      <c r="J179" s="19" t="str">
        <f t="shared" si="14"/>
        <v/>
      </c>
      <c r="L179" s="30" t="s">
        <v>1147</v>
      </c>
      <c r="M179" s="6" t="s">
        <v>329</v>
      </c>
      <c r="N179" s="6" t="s">
        <v>1730</v>
      </c>
      <c r="O179" s="10" t="s">
        <v>1731</v>
      </c>
    </row>
    <row r="180" spans="6:15">
      <c r="F180" s="30" t="str">
        <f t="shared" si="13"/>
        <v/>
      </c>
      <c r="G180" s="6"/>
      <c r="H180" s="6"/>
      <c r="I180" s="6"/>
      <c r="J180" s="19" t="str">
        <f t="shared" si="14"/>
        <v/>
      </c>
      <c r="L180" s="30" t="s">
        <v>1153</v>
      </c>
      <c r="M180" s="6" t="s">
        <v>329</v>
      </c>
      <c r="N180" s="6" t="s">
        <v>1732</v>
      </c>
      <c r="O180" s="10" t="s">
        <v>1733</v>
      </c>
    </row>
    <row r="181" spans="6:15">
      <c r="F181" s="30" t="str">
        <f t="shared" si="13"/>
        <v/>
      </c>
      <c r="G181" s="6"/>
      <c r="H181" s="6"/>
      <c r="I181" s="6"/>
      <c r="J181" s="19" t="str">
        <f t="shared" si="14"/>
        <v/>
      </c>
      <c r="L181" s="30" t="s">
        <v>1158</v>
      </c>
      <c r="M181" s="6" t="s">
        <v>329</v>
      </c>
      <c r="N181" s="6" t="s">
        <v>1734</v>
      </c>
      <c r="O181" s="10" t="s">
        <v>1735</v>
      </c>
    </row>
    <row r="182" spans="6:15">
      <c r="F182" s="30" t="str">
        <f t="shared" si="13"/>
        <v/>
      </c>
      <c r="G182" s="6"/>
      <c r="H182" s="6"/>
      <c r="I182" s="6"/>
      <c r="J182" s="19" t="str">
        <f t="shared" si="14"/>
        <v/>
      </c>
      <c r="L182" s="30" t="s">
        <v>1163</v>
      </c>
      <c r="M182" s="6" t="s">
        <v>329</v>
      </c>
      <c r="N182" s="6" t="s">
        <v>1736</v>
      </c>
      <c r="O182" s="10" t="s">
        <v>1737</v>
      </c>
    </row>
    <row r="183" spans="6:15">
      <c r="F183" s="30" t="str">
        <f t="shared" si="13"/>
        <v/>
      </c>
      <c r="G183" s="6"/>
      <c r="H183" s="6"/>
      <c r="I183" s="6"/>
      <c r="J183" s="19" t="str">
        <f t="shared" si="14"/>
        <v/>
      </c>
      <c r="L183" s="30" t="s">
        <v>1169</v>
      </c>
      <c r="M183" s="6" t="s">
        <v>329</v>
      </c>
      <c r="N183" s="6" t="s">
        <v>1738</v>
      </c>
      <c r="O183" s="10" t="s">
        <v>1739</v>
      </c>
    </row>
    <row r="184" spans="6:15">
      <c r="F184" s="30" t="str">
        <f t="shared" si="13"/>
        <v/>
      </c>
      <c r="G184" s="6"/>
      <c r="H184" s="6"/>
      <c r="I184" s="6"/>
      <c r="J184" s="19" t="str">
        <f t="shared" si="14"/>
        <v/>
      </c>
      <c r="L184" s="30" t="s">
        <v>1174</v>
      </c>
      <c r="M184" s="6" t="s">
        <v>329</v>
      </c>
      <c r="N184" s="6" t="s">
        <v>1740</v>
      </c>
      <c r="O184" s="10" t="s">
        <v>1739</v>
      </c>
    </row>
    <row r="185" spans="6:15">
      <c r="F185" s="30" t="str">
        <f t="shared" si="13"/>
        <v/>
      </c>
      <c r="G185" s="6"/>
      <c r="H185" s="6"/>
      <c r="I185" s="6"/>
      <c r="J185" s="19" t="str">
        <f t="shared" si="14"/>
        <v/>
      </c>
      <c r="L185" s="30" t="s">
        <v>1178</v>
      </c>
      <c r="M185" s="6" t="s">
        <v>329</v>
      </c>
      <c r="N185" s="6" t="s">
        <v>1741</v>
      </c>
      <c r="O185" s="10" t="s">
        <v>1739</v>
      </c>
    </row>
    <row r="186" spans="6:15">
      <c r="F186" s="30" t="str">
        <f t="shared" ref="F186:F249" si="15">IF(H186="","","SUB-"&amp;TEXT(ROW()-5,"000"))</f>
        <v/>
      </c>
      <c r="G186" s="6"/>
      <c r="H186" s="6"/>
      <c r="I186" s="6"/>
      <c r="J186" s="19" t="str">
        <f t="shared" ref="J186:J249" si="16">IF(H186="","",IF(COUNTIF($H$6:$H$305,H186)&gt;1,"REVISAR: DUPLICADA","OK"))</f>
        <v/>
      </c>
      <c r="L186" s="30" t="s">
        <v>1186</v>
      </c>
      <c r="M186" s="6" t="s">
        <v>329</v>
      </c>
      <c r="N186" s="6" t="s">
        <v>1742</v>
      </c>
      <c r="O186" s="10" t="s">
        <v>1743</v>
      </c>
    </row>
    <row r="187" spans="6:15">
      <c r="F187" s="30" t="str">
        <f t="shared" si="15"/>
        <v/>
      </c>
      <c r="G187" s="6"/>
      <c r="H187" s="6"/>
      <c r="I187" s="6"/>
      <c r="J187" s="19" t="str">
        <f t="shared" si="16"/>
        <v/>
      </c>
      <c r="L187" s="30" t="s">
        <v>1191</v>
      </c>
      <c r="M187" s="6" t="s">
        <v>329</v>
      </c>
      <c r="N187" s="6" t="s">
        <v>1744</v>
      </c>
      <c r="O187" s="10" t="s">
        <v>1743</v>
      </c>
    </row>
    <row r="188" spans="6:15">
      <c r="F188" s="30" t="str">
        <f t="shared" si="15"/>
        <v/>
      </c>
      <c r="G188" s="6"/>
      <c r="H188" s="6"/>
      <c r="I188" s="6"/>
      <c r="J188" s="19" t="str">
        <f t="shared" si="16"/>
        <v/>
      </c>
      <c r="L188" s="30" t="s">
        <v>1196</v>
      </c>
      <c r="M188" s="6" t="s">
        <v>329</v>
      </c>
      <c r="N188" s="6" t="s">
        <v>1745</v>
      </c>
      <c r="O188" s="10" t="s">
        <v>1743</v>
      </c>
    </row>
    <row r="189" spans="6:15">
      <c r="F189" s="30" t="str">
        <f t="shared" si="15"/>
        <v/>
      </c>
      <c r="G189" s="6"/>
      <c r="H189" s="6"/>
      <c r="I189" s="6"/>
      <c r="J189" s="19" t="str">
        <f t="shared" si="16"/>
        <v/>
      </c>
      <c r="L189" s="30" t="s">
        <v>1201</v>
      </c>
      <c r="M189" s="6" t="s">
        <v>329</v>
      </c>
      <c r="N189" s="6" t="s">
        <v>1746</v>
      </c>
      <c r="O189" s="10" t="s">
        <v>1743</v>
      </c>
    </row>
    <row r="190" spans="6:15">
      <c r="F190" s="30" t="str">
        <f t="shared" si="15"/>
        <v/>
      </c>
      <c r="G190" s="6"/>
      <c r="H190" s="6"/>
      <c r="I190" s="6"/>
      <c r="J190" s="19" t="str">
        <f t="shared" si="16"/>
        <v/>
      </c>
      <c r="L190" s="30" t="s">
        <v>1205</v>
      </c>
      <c r="M190" s="6" t="s">
        <v>329</v>
      </c>
      <c r="N190" s="6" t="s">
        <v>1747</v>
      </c>
      <c r="O190" s="10" t="s">
        <v>1743</v>
      </c>
    </row>
    <row r="191" spans="6:15">
      <c r="F191" s="30" t="str">
        <f t="shared" si="15"/>
        <v/>
      </c>
      <c r="G191" s="6"/>
      <c r="H191" s="6"/>
      <c r="I191" s="6"/>
      <c r="J191" s="19" t="str">
        <f t="shared" si="16"/>
        <v/>
      </c>
      <c r="L191" s="30" t="s">
        <v>1209</v>
      </c>
      <c r="M191" s="6" t="s">
        <v>329</v>
      </c>
      <c r="N191" s="6" t="s">
        <v>1748</v>
      </c>
      <c r="O191" s="10" t="s">
        <v>1743</v>
      </c>
    </row>
    <row r="192" spans="6:15">
      <c r="F192" s="30" t="str">
        <f t="shared" si="15"/>
        <v/>
      </c>
      <c r="G192" s="6"/>
      <c r="H192" s="6"/>
      <c r="I192" s="6"/>
      <c r="J192" s="19" t="str">
        <f t="shared" si="16"/>
        <v/>
      </c>
      <c r="L192" s="30" t="s">
        <v>1215</v>
      </c>
      <c r="M192" s="6" t="s">
        <v>329</v>
      </c>
      <c r="N192" s="6" t="s">
        <v>1749</v>
      </c>
      <c r="O192" s="10" t="s">
        <v>1750</v>
      </c>
    </row>
    <row r="193" spans="6:15">
      <c r="F193" s="30" t="str">
        <f t="shared" si="15"/>
        <v/>
      </c>
      <c r="G193" s="6"/>
      <c r="H193" s="6"/>
      <c r="I193" s="6"/>
      <c r="J193" s="19" t="str">
        <f t="shared" si="16"/>
        <v/>
      </c>
      <c r="L193" s="30" t="s">
        <v>1220</v>
      </c>
      <c r="M193" s="6" t="s">
        <v>329</v>
      </c>
      <c r="N193" s="6" t="s">
        <v>1751</v>
      </c>
      <c r="O193" s="10" t="s">
        <v>1750</v>
      </c>
    </row>
    <row r="194" spans="6:15">
      <c r="F194" s="30" t="str">
        <f t="shared" si="15"/>
        <v/>
      </c>
      <c r="G194" s="6"/>
      <c r="H194" s="6"/>
      <c r="I194" s="6"/>
      <c r="J194" s="19" t="str">
        <f t="shared" si="16"/>
        <v/>
      </c>
      <c r="L194" s="30" t="s">
        <v>1225</v>
      </c>
      <c r="M194" s="6" t="s">
        <v>329</v>
      </c>
      <c r="N194" s="6" t="s">
        <v>1752</v>
      </c>
      <c r="O194" s="10" t="s">
        <v>1750</v>
      </c>
    </row>
    <row r="195" spans="6:15">
      <c r="F195" s="30" t="str">
        <f t="shared" si="15"/>
        <v/>
      </c>
      <c r="G195" s="6"/>
      <c r="H195" s="6"/>
      <c r="I195" s="6"/>
      <c r="J195" s="19" t="str">
        <f t="shared" si="16"/>
        <v/>
      </c>
      <c r="L195" s="30" t="s">
        <v>1230</v>
      </c>
      <c r="M195" s="6" t="s">
        <v>329</v>
      </c>
      <c r="N195" s="6" t="s">
        <v>1753</v>
      </c>
      <c r="O195" s="10" t="s">
        <v>1750</v>
      </c>
    </row>
    <row r="196" spans="6:15">
      <c r="F196" s="30" t="str">
        <f t="shared" si="15"/>
        <v/>
      </c>
      <c r="G196" s="6"/>
      <c r="H196" s="6"/>
      <c r="I196" s="6"/>
      <c r="J196" s="19" t="str">
        <f t="shared" si="16"/>
        <v/>
      </c>
      <c r="L196" s="30" t="s">
        <v>1234</v>
      </c>
      <c r="M196" s="6" t="s">
        <v>329</v>
      </c>
      <c r="N196" s="6" t="s">
        <v>1754</v>
      </c>
      <c r="O196" s="10" t="s">
        <v>1750</v>
      </c>
    </row>
    <row r="197" spans="6:15">
      <c r="F197" s="30" t="str">
        <f t="shared" si="15"/>
        <v/>
      </c>
      <c r="G197" s="6"/>
      <c r="H197" s="6"/>
      <c r="I197" s="6"/>
      <c r="J197" s="19" t="str">
        <f t="shared" si="16"/>
        <v/>
      </c>
      <c r="L197" s="30" t="s">
        <v>1240</v>
      </c>
      <c r="M197" s="6" t="s">
        <v>329</v>
      </c>
      <c r="N197" s="6" t="s">
        <v>1755</v>
      </c>
      <c r="O197" s="10" t="s">
        <v>1756</v>
      </c>
    </row>
    <row r="198" spans="6:15">
      <c r="F198" s="30" t="str">
        <f t="shared" si="15"/>
        <v/>
      </c>
      <c r="G198" s="6"/>
      <c r="H198" s="6"/>
      <c r="I198" s="6"/>
      <c r="J198" s="19" t="str">
        <f t="shared" si="16"/>
        <v/>
      </c>
      <c r="L198" s="30" t="s">
        <v>1245</v>
      </c>
      <c r="M198" s="6" t="s">
        <v>329</v>
      </c>
      <c r="N198" s="6" t="s">
        <v>1757</v>
      </c>
      <c r="O198" s="10" t="s">
        <v>1756</v>
      </c>
    </row>
    <row r="199" spans="6:15">
      <c r="F199" s="30" t="str">
        <f t="shared" si="15"/>
        <v/>
      </c>
      <c r="G199" s="6"/>
      <c r="H199" s="6"/>
      <c r="I199" s="6"/>
      <c r="J199" s="19" t="str">
        <f t="shared" si="16"/>
        <v/>
      </c>
      <c r="L199" s="30" t="s">
        <v>1251</v>
      </c>
      <c r="M199" s="6" t="s">
        <v>329</v>
      </c>
      <c r="N199" s="6" t="s">
        <v>1758</v>
      </c>
      <c r="O199" s="10" t="s">
        <v>1759</v>
      </c>
    </row>
    <row r="200" spans="6:15">
      <c r="F200" s="30" t="str">
        <f t="shared" si="15"/>
        <v/>
      </c>
      <c r="G200" s="6"/>
      <c r="H200" s="6"/>
      <c r="I200" s="6"/>
      <c r="J200" s="19" t="str">
        <f t="shared" si="16"/>
        <v/>
      </c>
      <c r="L200" s="30" t="s">
        <v>1255</v>
      </c>
      <c r="M200" s="6" t="s">
        <v>329</v>
      </c>
      <c r="N200" s="6" t="s">
        <v>1760</v>
      </c>
      <c r="O200" s="10" t="s">
        <v>1759</v>
      </c>
    </row>
    <row r="201" spans="6:15">
      <c r="F201" s="30" t="str">
        <f t="shared" si="15"/>
        <v/>
      </c>
      <c r="G201" s="6"/>
      <c r="H201" s="6"/>
      <c r="I201" s="6"/>
      <c r="J201" s="19" t="str">
        <f t="shared" si="16"/>
        <v/>
      </c>
      <c r="L201" s="30" t="s">
        <v>1259</v>
      </c>
      <c r="M201" s="6" t="s">
        <v>329</v>
      </c>
      <c r="N201" s="6" t="s">
        <v>1761</v>
      </c>
      <c r="O201" s="10" t="s">
        <v>1759</v>
      </c>
    </row>
    <row r="202" spans="6:15">
      <c r="F202" s="30" t="str">
        <f t="shared" si="15"/>
        <v/>
      </c>
      <c r="G202" s="6"/>
      <c r="H202" s="6"/>
      <c r="I202" s="6"/>
      <c r="J202" s="19" t="str">
        <f t="shared" si="16"/>
        <v/>
      </c>
      <c r="L202" s="30" t="s">
        <v>1263</v>
      </c>
      <c r="M202" s="6" t="s">
        <v>329</v>
      </c>
      <c r="N202" s="6" t="s">
        <v>1762</v>
      </c>
      <c r="O202" s="10" t="s">
        <v>1759</v>
      </c>
    </row>
    <row r="203" spans="6:15">
      <c r="F203" s="30" t="str">
        <f t="shared" si="15"/>
        <v/>
      </c>
      <c r="G203" s="6"/>
      <c r="H203" s="6"/>
      <c r="I203" s="6"/>
      <c r="J203" s="19" t="str">
        <f t="shared" si="16"/>
        <v/>
      </c>
      <c r="L203" s="30" t="s">
        <v>1267</v>
      </c>
      <c r="M203" s="6" t="s">
        <v>329</v>
      </c>
      <c r="N203" s="6" t="s">
        <v>1763</v>
      </c>
      <c r="O203" s="10" t="s">
        <v>1759</v>
      </c>
    </row>
    <row r="204" spans="6:15">
      <c r="F204" s="30" t="str">
        <f t="shared" si="15"/>
        <v/>
      </c>
      <c r="G204" s="6"/>
      <c r="H204" s="6"/>
      <c r="I204" s="6"/>
      <c r="J204" s="19" t="str">
        <f t="shared" si="16"/>
        <v/>
      </c>
      <c r="L204" s="30" t="s">
        <v>1271</v>
      </c>
      <c r="M204" s="6" t="s">
        <v>329</v>
      </c>
      <c r="N204" s="6" t="s">
        <v>1764</v>
      </c>
      <c r="O204" s="10" t="s">
        <v>1759</v>
      </c>
    </row>
    <row r="205" spans="6:15">
      <c r="F205" s="30" t="str">
        <f t="shared" si="15"/>
        <v/>
      </c>
      <c r="G205" s="6"/>
      <c r="H205" s="6"/>
      <c r="I205" s="6"/>
      <c r="J205" s="19" t="str">
        <f t="shared" si="16"/>
        <v/>
      </c>
      <c r="L205" s="30" t="s">
        <v>1278</v>
      </c>
      <c r="M205" s="6" t="s">
        <v>329</v>
      </c>
      <c r="N205" s="6" t="s">
        <v>1765</v>
      </c>
      <c r="O205" s="10" t="s">
        <v>1766</v>
      </c>
    </row>
    <row r="206" spans="6:15">
      <c r="F206" s="30" t="str">
        <f t="shared" si="15"/>
        <v/>
      </c>
      <c r="G206" s="6"/>
      <c r="H206" s="6"/>
      <c r="I206" s="6"/>
      <c r="J206" s="19" t="str">
        <f t="shared" si="16"/>
        <v/>
      </c>
      <c r="L206" s="30" t="s">
        <v>1282</v>
      </c>
      <c r="M206" s="6" t="s">
        <v>329</v>
      </c>
      <c r="N206" s="6" t="s">
        <v>1767</v>
      </c>
      <c r="O206" s="10" t="s">
        <v>1766</v>
      </c>
    </row>
    <row r="207" spans="6:15">
      <c r="F207" s="30" t="str">
        <f t="shared" si="15"/>
        <v/>
      </c>
      <c r="G207" s="6"/>
      <c r="H207" s="6"/>
      <c r="I207" s="6"/>
      <c r="J207" s="19" t="str">
        <f t="shared" si="16"/>
        <v/>
      </c>
      <c r="L207" s="30" t="s">
        <v>1286</v>
      </c>
      <c r="M207" s="6" t="s">
        <v>329</v>
      </c>
      <c r="N207" s="6" t="s">
        <v>1768</v>
      </c>
      <c r="O207" s="10" t="s">
        <v>1766</v>
      </c>
    </row>
    <row r="208" spans="6:15">
      <c r="F208" s="30" t="str">
        <f t="shared" si="15"/>
        <v/>
      </c>
      <c r="G208" s="6"/>
      <c r="H208" s="6"/>
      <c r="I208" s="6"/>
      <c r="J208" s="19" t="str">
        <f t="shared" si="16"/>
        <v/>
      </c>
      <c r="L208" s="30" t="s">
        <v>1292</v>
      </c>
      <c r="M208" s="6" t="s">
        <v>329</v>
      </c>
      <c r="N208" s="6" t="s">
        <v>1769</v>
      </c>
      <c r="O208" s="10" t="s">
        <v>1770</v>
      </c>
    </row>
    <row r="209" spans="6:15">
      <c r="F209" s="30" t="str">
        <f t="shared" si="15"/>
        <v/>
      </c>
      <c r="G209" s="6"/>
      <c r="H209" s="6"/>
      <c r="I209" s="6"/>
      <c r="J209" s="19" t="str">
        <f t="shared" si="16"/>
        <v/>
      </c>
      <c r="L209" s="30" t="s">
        <v>1298</v>
      </c>
      <c r="M209" s="6" t="s">
        <v>329</v>
      </c>
      <c r="N209" s="6" t="s">
        <v>1771</v>
      </c>
      <c r="O209" s="10" t="s">
        <v>1770</v>
      </c>
    </row>
    <row r="210" spans="6:15">
      <c r="F210" s="30" t="str">
        <f t="shared" si="15"/>
        <v/>
      </c>
      <c r="G210" s="6"/>
      <c r="H210" s="6"/>
      <c r="I210" s="6"/>
      <c r="J210" s="19" t="str">
        <f t="shared" si="16"/>
        <v/>
      </c>
      <c r="L210" s="30" t="s">
        <v>1302</v>
      </c>
      <c r="M210" s="6" t="s">
        <v>329</v>
      </c>
      <c r="N210" s="6" t="s">
        <v>1772</v>
      </c>
      <c r="O210" s="10" t="s">
        <v>1770</v>
      </c>
    </row>
    <row r="211" spans="6:15">
      <c r="F211" s="30" t="str">
        <f t="shared" si="15"/>
        <v/>
      </c>
      <c r="G211" s="6"/>
      <c r="H211" s="6"/>
      <c r="I211" s="6"/>
      <c r="J211" s="19" t="str">
        <f t="shared" si="16"/>
        <v/>
      </c>
      <c r="L211" s="30" t="s">
        <v>1306</v>
      </c>
      <c r="M211" s="6" t="s">
        <v>329</v>
      </c>
      <c r="N211" s="6" t="s">
        <v>1773</v>
      </c>
      <c r="O211" s="10" t="s">
        <v>1770</v>
      </c>
    </row>
    <row r="212" spans="6:15">
      <c r="F212" s="30" t="str">
        <f t="shared" si="15"/>
        <v/>
      </c>
      <c r="G212" s="6"/>
      <c r="H212" s="6"/>
      <c r="I212" s="6"/>
      <c r="J212" s="19" t="str">
        <f t="shared" si="16"/>
        <v/>
      </c>
      <c r="L212" s="30" t="s">
        <v>1310</v>
      </c>
      <c r="M212" s="6" t="s">
        <v>329</v>
      </c>
      <c r="N212" s="6" t="s">
        <v>1774</v>
      </c>
      <c r="O212" s="10" t="s">
        <v>1770</v>
      </c>
    </row>
    <row r="213" spans="6:15">
      <c r="F213" s="30" t="str">
        <f t="shared" si="15"/>
        <v/>
      </c>
      <c r="G213" s="6"/>
      <c r="H213" s="6"/>
      <c r="I213" s="6"/>
      <c r="J213" s="19" t="str">
        <f t="shared" si="16"/>
        <v/>
      </c>
      <c r="L213" s="30" t="s">
        <v>1315</v>
      </c>
      <c r="M213" s="6" t="s">
        <v>329</v>
      </c>
      <c r="N213" s="6" t="s">
        <v>1775</v>
      </c>
      <c r="O213" s="10" t="s">
        <v>1776</v>
      </c>
    </row>
    <row r="214" spans="6:15">
      <c r="F214" s="30" t="str">
        <f t="shared" si="15"/>
        <v/>
      </c>
      <c r="G214" s="6"/>
      <c r="H214" s="6"/>
      <c r="I214" s="6"/>
      <c r="J214" s="19" t="str">
        <f t="shared" si="16"/>
        <v/>
      </c>
      <c r="L214" s="30" t="s">
        <v>1319</v>
      </c>
      <c r="M214" s="6" t="s">
        <v>329</v>
      </c>
      <c r="N214" s="6" t="s">
        <v>1777</v>
      </c>
      <c r="O214" s="10" t="s">
        <v>1776</v>
      </c>
    </row>
    <row r="215" spans="6:15">
      <c r="F215" s="30" t="str">
        <f t="shared" si="15"/>
        <v/>
      </c>
      <c r="G215" s="6"/>
      <c r="H215" s="6"/>
      <c r="I215" s="6"/>
      <c r="J215" s="19" t="str">
        <f t="shared" si="16"/>
        <v/>
      </c>
      <c r="L215" s="30" t="s">
        <v>1323</v>
      </c>
      <c r="M215" s="6" t="s">
        <v>329</v>
      </c>
      <c r="N215" s="6" t="s">
        <v>1778</v>
      </c>
      <c r="O215" s="10" t="s">
        <v>1776</v>
      </c>
    </row>
    <row r="216" spans="6:15">
      <c r="F216" s="30" t="str">
        <f t="shared" si="15"/>
        <v/>
      </c>
      <c r="G216" s="6"/>
      <c r="H216" s="6"/>
      <c r="I216" s="6"/>
      <c r="J216" s="19" t="str">
        <f t="shared" si="16"/>
        <v/>
      </c>
      <c r="L216" s="30" t="s">
        <v>1327</v>
      </c>
      <c r="M216" s="6" t="s">
        <v>329</v>
      </c>
      <c r="N216" s="6" t="s">
        <v>1779</v>
      </c>
      <c r="O216" s="10" t="s">
        <v>1776</v>
      </c>
    </row>
    <row r="217" spans="6:15">
      <c r="F217" s="30" t="str">
        <f t="shared" si="15"/>
        <v/>
      </c>
      <c r="G217" s="6"/>
      <c r="H217" s="6"/>
      <c r="I217" s="6"/>
      <c r="J217" s="19" t="str">
        <f t="shared" si="16"/>
        <v/>
      </c>
      <c r="L217" s="30" t="s">
        <v>1332</v>
      </c>
      <c r="M217" s="6" t="s">
        <v>329</v>
      </c>
      <c r="N217" s="6" t="s">
        <v>1780</v>
      </c>
      <c r="O217" s="10" t="s">
        <v>1781</v>
      </c>
    </row>
    <row r="218" spans="6:15">
      <c r="F218" s="30" t="str">
        <f t="shared" si="15"/>
        <v/>
      </c>
      <c r="G218" s="6"/>
      <c r="H218" s="6"/>
      <c r="I218" s="6"/>
      <c r="J218" s="19" t="str">
        <f t="shared" si="16"/>
        <v/>
      </c>
      <c r="L218" s="30" t="s">
        <v>1336</v>
      </c>
      <c r="M218" s="6" t="s">
        <v>329</v>
      </c>
      <c r="N218" s="6" t="s">
        <v>1782</v>
      </c>
      <c r="O218" s="10" t="s">
        <v>1781</v>
      </c>
    </row>
    <row r="219" spans="6:15">
      <c r="F219" s="30" t="str">
        <f t="shared" si="15"/>
        <v/>
      </c>
      <c r="G219" s="6"/>
      <c r="H219" s="6"/>
      <c r="I219" s="6"/>
      <c r="J219" s="19" t="str">
        <f t="shared" si="16"/>
        <v/>
      </c>
      <c r="L219" s="30" t="s">
        <v>1340</v>
      </c>
      <c r="M219" s="6" t="s">
        <v>329</v>
      </c>
      <c r="N219" s="6" t="s">
        <v>1783</v>
      </c>
      <c r="O219" s="10" t="s">
        <v>1781</v>
      </c>
    </row>
    <row r="220" spans="6:15">
      <c r="F220" s="30" t="str">
        <f t="shared" si="15"/>
        <v/>
      </c>
      <c r="G220" s="6"/>
      <c r="H220" s="6"/>
      <c r="I220" s="6"/>
      <c r="J220" s="19" t="str">
        <f t="shared" si="16"/>
        <v/>
      </c>
      <c r="L220" s="30" t="s">
        <v>1344</v>
      </c>
      <c r="M220" s="6" t="s">
        <v>329</v>
      </c>
      <c r="N220" s="6" t="s">
        <v>1784</v>
      </c>
      <c r="O220" s="10" t="s">
        <v>1781</v>
      </c>
    </row>
    <row r="221" spans="6:15">
      <c r="F221" s="30" t="str">
        <f t="shared" si="15"/>
        <v/>
      </c>
      <c r="G221" s="6"/>
      <c r="H221" s="6"/>
      <c r="I221" s="6"/>
      <c r="J221" s="19" t="str">
        <f t="shared" si="16"/>
        <v/>
      </c>
      <c r="L221" s="30" t="s">
        <v>1348</v>
      </c>
      <c r="M221" s="6" t="s">
        <v>329</v>
      </c>
      <c r="N221" s="6" t="s">
        <v>1785</v>
      </c>
      <c r="O221" s="10" t="s">
        <v>1781</v>
      </c>
    </row>
    <row r="222" spans="6:15">
      <c r="F222" s="30" t="str">
        <f t="shared" si="15"/>
        <v/>
      </c>
      <c r="G222" s="6"/>
      <c r="H222" s="6"/>
      <c r="I222" s="6"/>
      <c r="J222" s="19" t="str">
        <f t="shared" si="16"/>
        <v/>
      </c>
      <c r="L222" s="30" t="s">
        <v>1353</v>
      </c>
      <c r="M222" s="6" t="s">
        <v>329</v>
      </c>
      <c r="N222" s="6" t="s">
        <v>1786</v>
      </c>
      <c r="O222" s="10" t="s">
        <v>1787</v>
      </c>
    </row>
    <row r="223" spans="6:15">
      <c r="F223" s="30" t="str">
        <f t="shared" si="15"/>
        <v/>
      </c>
      <c r="G223" s="6"/>
      <c r="H223" s="6"/>
      <c r="I223" s="6"/>
      <c r="J223" s="19" t="str">
        <f t="shared" si="16"/>
        <v/>
      </c>
      <c r="L223" s="30" t="s">
        <v>1357</v>
      </c>
      <c r="M223" s="6" t="s">
        <v>329</v>
      </c>
      <c r="N223" s="6" t="s">
        <v>1788</v>
      </c>
      <c r="O223" s="10" t="s">
        <v>1787</v>
      </c>
    </row>
    <row r="224" spans="6:15">
      <c r="F224" s="30" t="str">
        <f t="shared" si="15"/>
        <v/>
      </c>
      <c r="G224" s="6"/>
      <c r="H224" s="6"/>
      <c r="I224" s="6"/>
      <c r="J224" s="19" t="str">
        <f t="shared" si="16"/>
        <v/>
      </c>
      <c r="L224" s="30" t="s">
        <v>1362</v>
      </c>
      <c r="M224" s="6" t="s">
        <v>329</v>
      </c>
      <c r="N224" s="6" t="s">
        <v>1789</v>
      </c>
      <c r="O224" s="10" t="s">
        <v>1790</v>
      </c>
    </row>
    <row r="225" spans="6:15">
      <c r="F225" s="30" t="str">
        <f t="shared" si="15"/>
        <v/>
      </c>
      <c r="G225" s="6"/>
      <c r="H225" s="6"/>
      <c r="I225" s="6"/>
      <c r="J225" s="19" t="str">
        <f t="shared" si="16"/>
        <v/>
      </c>
      <c r="L225" s="30" t="s">
        <v>1366</v>
      </c>
      <c r="M225" s="6" t="s">
        <v>329</v>
      </c>
      <c r="N225" s="6" t="s">
        <v>1791</v>
      </c>
      <c r="O225" s="10" t="s">
        <v>1790</v>
      </c>
    </row>
    <row r="226" spans="6:15">
      <c r="F226" s="30" t="str">
        <f t="shared" si="15"/>
        <v/>
      </c>
      <c r="G226" s="6"/>
      <c r="H226" s="6"/>
      <c r="I226" s="6"/>
      <c r="J226" s="19" t="str">
        <f t="shared" si="16"/>
        <v/>
      </c>
      <c r="L226" s="30" t="s">
        <v>1370</v>
      </c>
      <c r="M226" s="6" t="s">
        <v>329</v>
      </c>
      <c r="N226" s="6" t="s">
        <v>1792</v>
      </c>
      <c r="O226" s="10" t="s">
        <v>1790</v>
      </c>
    </row>
    <row r="227" spans="6:15">
      <c r="F227" s="30" t="str">
        <f t="shared" si="15"/>
        <v/>
      </c>
      <c r="G227" s="6"/>
      <c r="H227" s="6"/>
      <c r="I227" s="6"/>
      <c r="J227" s="19" t="str">
        <f t="shared" si="16"/>
        <v/>
      </c>
      <c r="L227" s="30" t="s">
        <v>1375</v>
      </c>
      <c r="M227" s="6" t="s">
        <v>329</v>
      </c>
      <c r="N227" s="6" t="s">
        <v>1793</v>
      </c>
      <c r="O227" s="10" t="s">
        <v>1794</v>
      </c>
    </row>
    <row r="228" spans="6:15">
      <c r="F228" s="30" t="str">
        <f t="shared" si="15"/>
        <v/>
      </c>
      <c r="G228" s="6"/>
      <c r="H228" s="6"/>
      <c r="I228" s="6"/>
      <c r="J228" s="19" t="str">
        <f t="shared" si="16"/>
        <v/>
      </c>
      <c r="L228" s="30" t="s">
        <v>1380</v>
      </c>
      <c r="M228" s="6" t="s">
        <v>329</v>
      </c>
      <c r="N228" s="6" t="s">
        <v>1795</v>
      </c>
      <c r="O228" s="10" t="s">
        <v>1794</v>
      </c>
    </row>
    <row r="229" spans="6:15">
      <c r="F229" s="30" t="str">
        <f t="shared" si="15"/>
        <v/>
      </c>
      <c r="G229" s="6"/>
      <c r="H229" s="6"/>
      <c r="I229" s="6"/>
      <c r="J229" s="19" t="str">
        <f t="shared" si="16"/>
        <v/>
      </c>
      <c r="L229" s="30" t="s">
        <v>1385</v>
      </c>
      <c r="M229" s="6" t="s">
        <v>329</v>
      </c>
      <c r="N229" s="6" t="s">
        <v>1796</v>
      </c>
      <c r="O229" s="10" t="s">
        <v>1797</v>
      </c>
    </row>
    <row r="230" spans="6:15">
      <c r="F230" s="30" t="str">
        <f t="shared" si="15"/>
        <v/>
      </c>
      <c r="G230" s="6"/>
      <c r="H230" s="6"/>
      <c r="I230" s="6"/>
      <c r="J230" s="19" t="str">
        <f t="shared" si="16"/>
        <v/>
      </c>
      <c r="L230" s="30" t="s">
        <v>1390</v>
      </c>
      <c r="M230" s="6" t="s">
        <v>329</v>
      </c>
      <c r="N230" s="6" t="s">
        <v>1798</v>
      </c>
      <c r="O230" s="10" t="s">
        <v>1739</v>
      </c>
    </row>
    <row r="231" spans="6:15">
      <c r="F231" s="30" t="str">
        <f t="shared" si="15"/>
        <v/>
      </c>
      <c r="G231" s="6"/>
      <c r="H231" s="6"/>
      <c r="I231" s="6"/>
      <c r="J231" s="19" t="str">
        <f t="shared" si="16"/>
        <v/>
      </c>
      <c r="L231" s="30" t="s">
        <v>1395</v>
      </c>
      <c r="M231" s="6" t="s">
        <v>329</v>
      </c>
      <c r="N231" s="6" t="s">
        <v>1799</v>
      </c>
      <c r="O231" s="10" t="s">
        <v>1799</v>
      </c>
    </row>
    <row r="232" spans="6:15">
      <c r="F232" s="30" t="str">
        <f t="shared" si="15"/>
        <v/>
      </c>
      <c r="G232" s="6"/>
      <c r="H232" s="6"/>
      <c r="I232" s="6"/>
      <c r="J232" s="19" t="str">
        <f t="shared" si="16"/>
        <v/>
      </c>
      <c r="L232" s="30" t="s">
        <v>1402</v>
      </c>
      <c r="M232" s="6" t="s">
        <v>329</v>
      </c>
      <c r="N232" s="6" t="s">
        <v>1800</v>
      </c>
      <c r="O232" s="10" t="s">
        <v>1709</v>
      </c>
    </row>
    <row r="233" spans="6:15">
      <c r="F233" s="30" t="str">
        <f t="shared" si="15"/>
        <v/>
      </c>
      <c r="G233" s="6"/>
      <c r="H233" s="6"/>
      <c r="I233" s="6"/>
      <c r="J233" s="19" t="str">
        <f t="shared" si="16"/>
        <v/>
      </c>
      <c r="L233" s="30" t="s">
        <v>1410</v>
      </c>
      <c r="M233" s="6" t="s">
        <v>329</v>
      </c>
      <c r="N233" s="6" t="s">
        <v>1801</v>
      </c>
      <c r="O233" s="10" t="s">
        <v>1802</v>
      </c>
    </row>
    <row r="234" spans="6:15">
      <c r="F234" s="30" t="str">
        <f t="shared" si="15"/>
        <v/>
      </c>
      <c r="G234" s="6"/>
      <c r="H234" s="6"/>
      <c r="I234" s="6"/>
      <c r="J234" s="19" t="str">
        <f t="shared" si="16"/>
        <v/>
      </c>
      <c r="L234" s="30" t="s">
        <v>1413</v>
      </c>
      <c r="M234" s="6" t="s">
        <v>329</v>
      </c>
      <c r="N234" s="6" t="s">
        <v>1803</v>
      </c>
      <c r="O234" s="10" t="s">
        <v>1804</v>
      </c>
    </row>
    <row r="235" spans="6:15">
      <c r="F235" s="30" t="str">
        <f t="shared" si="15"/>
        <v/>
      </c>
      <c r="G235" s="6"/>
      <c r="H235" s="6"/>
      <c r="I235" s="6"/>
      <c r="J235" s="19" t="str">
        <f t="shared" si="16"/>
        <v/>
      </c>
      <c r="L235" s="30" t="s">
        <v>1416</v>
      </c>
      <c r="M235" s="6" t="s">
        <v>329</v>
      </c>
      <c r="N235" s="6" t="s">
        <v>1805</v>
      </c>
      <c r="O235" s="10" t="s">
        <v>1806</v>
      </c>
    </row>
    <row r="236" spans="6:15">
      <c r="F236" s="30" t="str">
        <f t="shared" si="15"/>
        <v/>
      </c>
      <c r="G236" s="6"/>
      <c r="H236" s="6"/>
      <c r="I236" s="6"/>
      <c r="J236" s="19" t="str">
        <f t="shared" si="16"/>
        <v/>
      </c>
      <c r="L236" s="30" t="s">
        <v>1419</v>
      </c>
      <c r="M236" s="6" t="s">
        <v>329</v>
      </c>
      <c r="N236" s="6" t="s">
        <v>1807</v>
      </c>
      <c r="O236" s="10" t="s">
        <v>1806</v>
      </c>
    </row>
    <row r="237" spans="6:15">
      <c r="F237" s="30" t="str">
        <f t="shared" si="15"/>
        <v/>
      </c>
      <c r="G237" s="6"/>
      <c r="H237" s="6"/>
      <c r="I237" s="6"/>
      <c r="J237" s="19" t="str">
        <f t="shared" si="16"/>
        <v/>
      </c>
      <c r="L237" s="30" t="s">
        <v>1422</v>
      </c>
      <c r="M237" s="6" t="s">
        <v>329</v>
      </c>
      <c r="N237" s="6" t="s">
        <v>1808</v>
      </c>
      <c r="O237" s="10" t="s">
        <v>1809</v>
      </c>
    </row>
    <row r="238" spans="6:15">
      <c r="F238" s="30" t="str">
        <f t="shared" si="15"/>
        <v/>
      </c>
      <c r="G238" s="6"/>
      <c r="H238" s="6"/>
      <c r="I238" s="6"/>
      <c r="J238" s="19" t="str">
        <f t="shared" si="16"/>
        <v/>
      </c>
      <c r="L238" s="30" t="s">
        <v>1426</v>
      </c>
      <c r="M238" s="6" t="s">
        <v>329</v>
      </c>
      <c r="N238" s="6" t="s">
        <v>1424</v>
      </c>
      <c r="O238" s="10" t="s">
        <v>1810</v>
      </c>
    </row>
    <row r="239" spans="6:15">
      <c r="F239" s="30" t="str">
        <f t="shared" si="15"/>
        <v/>
      </c>
      <c r="G239" s="6"/>
      <c r="H239" s="6"/>
      <c r="I239" s="6"/>
      <c r="J239" s="19" t="str">
        <f t="shared" si="16"/>
        <v/>
      </c>
      <c r="L239" s="30" t="s">
        <v>1429</v>
      </c>
      <c r="M239" s="6" t="s">
        <v>329</v>
      </c>
      <c r="N239" s="6" t="s">
        <v>1427</v>
      </c>
      <c r="O239" s="10" t="s">
        <v>1811</v>
      </c>
    </row>
    <row r="240" spans="6:15">
      <c r="F240" s="30" t="str">
        <f t="shared" si="15"/>
        <v/>
      </c>
      <c r="G240" s="6"/>
      <c r="H240" s="6"/>
      <c r="I240" s="6"/>
      <c r="J240" s="19" t="str">
        <f t="shared" si="16"/>
        <v/>
      </c>
      <c r="L240" s="30" t="s">
        <v>1432</v>
      </c>
      <c r="M240" s="6" t="s">
        <v>329</v>
      </c>
      <c r="N240" s="6" t="s">
        <v>1430</v>
      </c>
      <c r="O240" s="10" t="s">
        <v>1812</v>
      </c>
    </row>
    <row r="241" spans="6:15">
      <c r="F241" s="30" t="str">
        <f t="shared" si="15"/>
        <v/>
      </c>
      <c r="G241" s="6"/>
      <c r="H241" s="6"/>
      <c r="I241" s="6"/>
      <c r="J241" s="19" t="str">
        <f t="shared" si="16"/>
        <v/>
      </c>
      <c r="L241" s="30" t="s">
        <v>1436</v>
      </c>
      <c r="M241" s="6" t="s">
        <v>329</v>
      </c>
      <c r="N241" s="6" t="s">
        <v>1434</v>
      </c>
      <c r="O241" s="10" t="s">
        <v>1813</v>
      </c>
    </row>
    <row r="242" spans="6:15">
      <c r="F242" s="30" t="str">
        <f t="shared" si="15"/>
        <v/>
      </c>
      <c r="G242" s="6"/>
      <c r="H242" s="6"/>
      <c r="I242" s="6"/>
      <c r="J242" s="19" t="str">
        <f t="shared" si="16"/>
        <v/>
      </c>
      <c r="L242" s="30" t="s">
        <v>1439</v>
      </c>
      <c r="M242" s="6" t="s">
        <v>329</v>
      </c>
      <c r="N242" s="6" t="s">
        <v>1437</v>
      </c>
      <c r="O242" s="10" t="s">
        <v>1813</v>
      </c>
    </row>
    <row r="243" spans="6:15">
      <c r="F243" s="30" t="str">
        <f t="shared" si="15"/>
        <v/>
      </c>
      <c r="G243" s="6"/>
      <c r="H243" s="6"/>
      <c r="I243" s="6"/>
      <c r="J243" s="19" t="str">
        <f t="shared" si="16"/>
        <v/>
      </c>
      <c r="L243" s="30" t="s">
        <v>1442</v>
      </c>
      <c r="M243" s="6" t="s">
        <v>329</v>
      </c>
      <c r="N243" s="6" t="s">
        <v>1440</v>
      </c>
      <c r="O243" s="10" t="s">
        <v>1813</v>
      </c>
    </row>
    <row r="244" spans="6:15">
      <c r="F244" s="30" t="str">
        <f t="shared" si="15"/>
        <v/>
      </c>
      <c r="G244" s="6"/>
      <c r="H244" s="6"/>
      <c r="I244" s="6"/>
      <c r="J244" s="19" t="str">
        <f t="shared" si="16"/>
        <v/>
      </c>
      <c r="L244" s="30" t="s">
        <v>1446</v>
      </c>
      <c r="M244" s="6" t="s">
        <v>329</v>
      </c>
      <c r="N244" s="6" t="s">
        <v>1444</v>
      </c>
      <c r="O244" s="10" t="s">
        <v>1813</v>
      </c>
    </row>
    <row r="245" spans="6:15">
      <c r="F245" s="30" t="str">
        <f t="shared" si="15"/>
        <v/>
      </c>
      <c r="G245" s="6"/>
      <c r="H245" s="6"/>
      <c r="I245" s="6"/>
      <c r="J245" s="19" t="str">
        <f t="shared" si="16"/>
        <v/>
      </c>
      <c r="L245" s="30" t="s">
        <v>1449</v>
      </c>
      <c r="M245" s="6" t="s">
        <v>329</v>
      </c>
      <c r="N245" s="6" t="s">
        <v>1447</v>
      </c>
      <c r="O245" s="10" t="s">
        <v>1813</v>
      </c>
    </row>
    <row r="246" spans="6:15">
      <c r="F246" s="30" t="str">
        <f t="shared" si="15"/>
        <v/>
      </c>
      <c r="G246" s="6"/>
      <c r="H246" s="6"/>
      <c r="I246" s="6"/>
      <c r="J246" s="19" t="str">
        <f t="shared" si="16"/>
        <v/>
      </c>
      <c r="L246" s="30" t="s">
        <v>1452</v>
      </c>
      <c r="M246" s="6" t="s">
        <v>329</v>
      </c>
      <c r="N246" s="6" t="s">
        <v>1450</v>
      </c>
      <c r="O246" s="10" t="s">
        <v>1813</v>
      </c>
    </row>
    <row r="247" spans="6:15">
      <c r="F247" s="30" t="str">
        <f t="shared" si="15"/>
        <v/>
      </c>
      <c r="G247" s="6"/>
      <c r="H247" s="6"/>
      <c r="I247" s="6"/>
      <c r="J247" s="19" t="str">
        <f t="shared" si="16"/>
        <v/>
      </c>
      <c r="L247" s="30" t="s">
        <v>1455</v>
      </c>
      <c r="M247" s="6" t="s">
        <v>329</v>
      </c>
      <c r="N247" s="6" t="s">
        <v>1972</v>
      </c>
      <c r="O247" s="6" t="s">
        <v>1972</v>
      </c>
    </row>
    <row r="248" spans="6:15" ht="41.4" customHeight="1">
      <c r="F248" s="30" t="str">
        <f t="shared" si="15"/>
        <v/>
      </c>
      <c r="G248" s="6"/>
      <c r="H248" s="6"/>
      <c r="I248" s="6"/>
      <c r="J248" s="19" t="str">
        <f t="shared" si="16"/>
        <v/>
      </c>
      <c r="L248" s="30" t="s">
        <v>1458</v>
      </c>
      <c r="M248" s="6" t="s">
        <v>329</v>
      </c>
      <c r="N248" s="6" t="s">
        <v>1973</v>
      </c>
      <c r="O248" s="6" t="s">
        <v>1973</v>
      </c>
    </row>
    <row r="249" spans="6:15" ht="41.4" customHeight="1">
      <c r="F249" s="30" t="str">
        <f t="shared" si="15"/>
        <v/>
      </c>
      <c r="G249" s="6"/>
      <c r="H249" s="6"/>
      <c r="I249" s="6"/>
      <c r="J249" s="19" t="str">
        <f t="shared" si="16"/>
        <v/>
      </c>
      <c r="L249" s="30" t="s">
        <v>1461</v>
      </c>
      <c r="M249" s="6" t="s">
        <v>329</v>
      </c>
      <c r="N249" s="6" t="s">
        <v>1974</v>
      </c>
      <c r="O249" s="6" t="s">
        <v>1974</v>
      </c>
    </row>
    <row r="250" spans="6:15" ht="27.6" customHeight="1">
      <c r="F250" s="30" t="str">
        <f t="shared" ref="F250:F305" si="17">IF(H250="","","SUB-"&amp;TEXT(ROW()-5,"000"))</f>
        <v/>
      </c>
      <c r="G250" s="6"/>
      <c r="H250" s="6"/>
      <c r="I250" s="6"/>
      <c r="J250" s="19" t="str">
        <f t="shared" ref="J250:J305" si="18">IF(H250="","",IF(COUNTIF($H$6:$H$305,H250)&gt;1,"REVISAR: DUPLICADA","OK"))</f>
        <v/>
      </c>
      <c r="L250" s="30" t="s">
        <v>1464</v>
      </c>
      <c r="M250" s="6" t="s">
        <v>329</v>
      </c>
      <c r="N250" s="6" t="s">
        <v>1814</v>
      </c>
      <c r="O250" s="62" t="s">
        <v>1815</v>
      </c>
    </row>
    <row r="251" spans="6:15" ht="27.6" customHeight="1">
      <c r="F251" s="30" t="str">
        <f t="shared" si="17"/>
        <v/>
      </c>
      <c r="G251" s="6"/>
      <c r="H251" s="6"/>
      <c r="I251" s="6"/>
      <c r="J251" s="19" t="str">
        <f t="shared" si="18"/>
        <v/>
      </c>
      <c r="L251" s="30" t="s">
        <v>1467</v>
      </c>
      <c r="M251" s="6" t="s">
        <v>329</v>
      </c>
      <c r="N251" s="6" t="s">
        <v>1799</v>
      </c>
      <c r="O251" s="62" t="s">
        <v>1816</v>
      </c>
    </row>
    <row r="252" spans="6:15" ht="27.6" customHeight="1">
      <c r="F252" s="30" t="str">
        <f t="shared" si="17"/>
        <v/>
      </c>
      <c r="G252" s="6"/>
      <c r="H252" s="6"/>
      <c r="I252" s="6"/>
      <c r="J252" s="19" t="str">
        <f t="shared" si="18"/>
        <v/>
      </c>
      <c r="L252" s="30" t="s">
        <v>1470</v>
      </c>
      <c r="M252" s="6" t="s">
        <v>329</v>
      </c>
      <c r="N252" s="6" t="s">
        <v>1975</v>
      </c>
      <c r="O252" s="6" t="s">
        <v>1975</v>
      </c>
    </row>
    <row r="253" spans="6:15" ht="55.2" customHeight="1">
      <c r="F253" s="30" t="str">
        <f t="shared" si="17"/>
        <v/>
      </c>
      <c r="G253" s="6"/>
      <c r="H253" s="6"/>
      <c r="I253" s="6"/>
      <c r="J253" s="19" t="str">
        <f t="shared" si="18"/>
        <v/>
      </c>
      <c r="L253" s="30" t="s">
        <v>1473</v>
      </c>
      <c r="M253" s="6" t="s">
        <v>329</v>
      </c>
      <c r="N253" s="6" t="s">
        <v>1976</v>
      </c>
      <c r="O253" s="6" t="s">
        <v>1976</v>
      </c>
    </row>
    <row r="254" spans="6:15">
      <c r="F254" s="30" t="str">
        <f t="shared" si="17"/>
        <v/>
      </c>
      <c r="G254" s="6"/>
      <c r="H254" s="6"/>
      <c r="I254" s="6"/>
      <c r="J254" s="19" t="str">
        <f t="shared" si="18"/>
        <v/>
      </c>
      <c r="L254" s="30"/>
      <c r="M254" s="6"/>
      <c r="N254" s="6"/>
      <c r="O254" s="10"/>
    </row>
    <row r="255" spans="6:15">
      <c r="F255" s="30" t="str">
        <f t="shared" si="17"/>
        <v/>
      </c>
      <c r="G255" s="6"/>
      <c r="H255" s="6"/>
      <c r="I255" s="6"/>
      <c r="J255" s="19" t="str">
        <f t="shared" si="18"/>
        <v/>
      </c>
      <c r="L255" s="30"/>
      <c r="M255" s="6"/>
      <c r="N255" s="6"/>
      <c r="O255" s="10"/>
    </row>
    <row r="256" spans="6:15">
      <c r="F256" s="30" t="str">
        <f t="shared" si="17"/>
        <v/>
      </c>
      <c r="G256" s="6"/>
      <c r="H256" s="6"/>
      <c r="I256" s="6"/>
      <c r="J256" s="19" t="str">
        <f t="shared" si="18"/>
        <v/>
      </c>
      <c r="L256" s="30"/>
      <c r="M256" s="6"/>
      <c r="N256" s="6"/>
      <c r="O256" s="10"/>
    </row>
    <row r="257" spans="6:15">
      <c r="F257" s="30" t="str">
        <f t="shared" si="17"/>
        <v/>
      </c>
      <c r="G257" s="6"/>
      <c r="H257" s="6"/>
      <c r="I257" s="6"/>
      <c r="J257" s="19" t="str">
        <f t="shared" si="18"/>
        <v/>
      </c>
      <c r="L257" s="30"/>
      <c r="M257" s="6"/>
      <c r="N257" s="6"/>
      <c r="O257" s="10"/>
    </row>
    <row r="258" spans="6:15">
      <c r="F258" s="30" t="str">
        <f t="shared" si="17"/>
        <v/>
      </c>
      <c r="G258" s="6"/>
      <c r="H258" s="6"/>
      <c r="I258" s="6"/>
      <c r="J258" s="19" t="str">
        <f t="shared" si="18"/>
        <v/>
      </c>
      <c r="L258" s="30"/>
      <c r="M258" s="6"/>
      <c r="N258" s="6"/>
      <c r="O258" s="10"/>
    </row>
    <row r="259" spans="6:15">
      <c r="F259" s="30" t="str">
        <f t="shared" si="17"/>
        <v/>
      </c>
      <c r="G259" s="6"/>
      <c r="H259" s="6"/>
      <c r="I259" s="6"/>
      <c r="J259" s="19" t="str">
        <f t="shared" si="18"/>
        <v/>
      </c>
      <c r="L259" s="30"/>
      <c r="M259" s="6"/>
      <c r="N259" s="6"/>
      <c r="O259" s="10"/>
    </row>
    <row r="260" spans="6:15">
      <c r="F260" s="30" t="str">
        <f t="shared" si="17"/>
        <v/>
      </c>
      <c r="G260" s="6"/>
      <c r="H260" s="6"/>
      <c r="I260" s="6"/>
      <c r="J260" s="19" t="str">
        <f t="shared" si="18"/>
        <v/>
      </c>
      <c r="L260" s="30"/>
      <c r="M260" s="6"/>
      <c r="N260" s="6"/>
      <c r="O260" s="10"/>
    </row>
    <row r="261" spans="6:15">
      <c r="F261" s="30" t="str">
        <f t="shared" si="17"/>
        <v/>
      </c>
      <c r="G261" s="6"/>
      <c r="H261" s="6"/>
      <c r="I261" s="6"/>
      <c r="J261" s="19" t="str">
        <f t="shared" si="18"/>
        <v/>
      </c>
      <c r="L261" s="30"/>
      <c r="M261" s="6"/>
      <c r="N261" s="6"/>
      <c r="O261" s="10"/>
    </row>
    <row r="262" spans="6:15">
      <c r="F262" s="30" t="str">
        <f t="shared" si="17"/>
        <v/>
      </c>
      <c r="G262" s="6"/>
      <c r="H262" s="6"/>
      <c r="I262" s="6"/>
      <c r="J262" s="19" t="str">
        <f t="shared" si="18"/>
        <v/>
      </c>
      <c r="L262" s="30"/>
      <c r="M262" s="6"/>
      <c r="N262" s="6"/>
      <c r="O262" s="10"/>
    </row>
    <row r="263" spans="6:15">
      <c r="F263" s="30" t="str">
        <f t="shared" si="17"/>
        <v/>
      </c>
      <c r="G263" s="6"/>
      <c r="H263" s="6"/>
      <c r="I263" s="6"/>
      <c r="J263" s="19" t="str">
        <f t="shared" si="18"/>
        <v/>
      </c>
      <c r="L263" s="30"/>
      <c r="M263" s="6"/>
      <c r="N263" s="6"/>
      <c r="O263" s="10"/>
    </row>
    <row r="264" spans="6:15">
      <c r="F264" s="30" t="str">
        <f t="shared" si="17"/>
        <v/>
      </c>
      <c r="G264" s="6"/>
      <c r="H264" s="6"/>
      <c r="I264" s="6"/>
      <c r="J264" s="19" t="str">
        <f t="shared" si="18"/>
        <v/>
      </c>
      <c r="L264" s="30"/>
      <c r="M264" s="6"/>
      <c r="N264" s="6"/>
      <c r="O264" s="10"/>
    </row>
    <row r="265" spans="6:15">
      <c r="F265" s="30" t="str">
        <f t="shared" si="17"/>
        <v/>
      </c>
      <c r="G265" s="6"/>
      <c r="H265" s="6"/>
      <c r="I265" s="6"/>
      <c r="J265" s="19" t="str">
        <f t="shared" si="18"/>
        <v/>
      </c>
      <c r="L265" s="30"/>
      <c r="M265" s="6"/>
      <c r="N265" s="6"/>
      <c r="O265" s="10"/>
    </row>
    <row r="266" spans="6:15">
      <c r="F266" s="30" t="str">
        <f t="shared" si="17"/>
        <v/>
      </c>
      <c r="G266" s="6"/>
      <c r="H266" s="6"/>
      <c r="I266" s="6"/>
      <c r="J266" s="19" t="str">
        <f t="shared" si="18"/>
        <v/>
      </c>
      <c r="L266" s="30"/>
      <c r="M266" s="6"/>
      <c r="N266" s="6"/>
      <c r="O266" s="10"/>
    </row>
    <row r="267" spans="6:15">
      <c r="F267" s="30" t="str">
        <f t="shared" si="17"/>
        <v/>
      </c>
      <c r="G267" s="6"/>
      <c r="H267" s="6"/>
      <c r="I267" s="6"/>
      <c r="J267" s="19" t="str">
        <f t="shared" si="18"/>
        <v/>
      </c>
      <c r="L267" s="30"/>
      <c r="M267" s="6"/>
      <c r="N267" s="6"/>
      <c r="O267" s="10"/>
    </row>
    <row r="268" spans="6:15">
      <c r="F268" s="30" t="str">
        <f t="shared" si="17"/>
        <v/>
      </c>
      <c r="G268" s="6"/>
      <c r="H268" s="6"/>
      <c r="I268" s="6"/>
      <c r="J268" s="19" t="str">
        <f t="shared" si="18"/>
        <v/>
      </c>
      <c r="L268" s="30"/>
      <c r="M268" s="6"/>
      <c r="N268" s="6"/>
      <c r="O268" s="10"/>
    </row>
    <row r="269" spans="6:15">
      <c r="F269" s="30" t="str">
        <f t="shared" si="17"/>
        <v/>
      </c>
      <c r="G269" s="6"/>
      <c r="H269" s="6"/>
      <c r="I269" s="6"/>
      <c r="J269" s="19" t="str">
        <f t="shared" si="18"/>
        <v/>
      </c>
      <c r="L269" s="30"/>
      <c r="M269" s="6"/>
      <c r="N269" s="6"/>
      <c r="O269" s="10"/>
    </row>
    <row r="270" spans="6:15">
      <c r="F270" s="30" t="str">
        <f t="shared" si="17"/>
        <v/>
      </c>
      <c r="G270" s="6"/>
      <c r="H270" s="6"/>
      <c r="I270" s="6"/>
      <c r="J270" s="19" t="str">
        <f t="shared" si="18"/>
        <v/>
      </c>
      <c r="L270" s="30"/>
      <c r="M270" s="6"/>
      <c r="N270" s="6"/>
      <c r="O270" s="10"/>
    </row>
    <row r="271" spans="6:15">
      <c r="F271" s="30" t="str">
        <f t="shared" si="17"/>
        <v/>
      </c>
      <c r="G271" s="6"/>
      <c r="H271" s="6"/>
      <c r="I271" s="6"/>
      <c r="J271" s="19" t="str">
        <f t="shared" si="18"/>
        <v/>
      </c>
      <c r="L271" s="30"/>
      <c r="M271" s="6"/>
      <c r="N271" s="6"/>
      <c r="O271" s="10"/>
    </row>
    <row r="272" spans="6:15">
      <c r="F272" s="30" t="str">
        <f t="shared" si="17"/>
        <v/>
      </c>
      <c r="G272" s="6"/>
      <c r="H272" s="6"/>
      <c r="I272" s="6"/>
      <c r="J272" s="19" t="str">
        <f t="shared" si="18"/>
        <v/>
      </c>
      <c r="L272" s="30"/>
      <c r="M272" s="6"/>
      <c r="N272" s="6"/>
      <c r="O272" s="10"/>
    </row>
    <row r="273" spans="6:15">
      <c r="F273" s="30" t="str">
        <f t="shared" si="17"/>
        <v/>
      </c>
      <c r="G273" s="6"/>
      <c r="H273" s="6"/>
      <c r="I273" s="6"/>
      <c r="J273" s="19" t="str">
        <f t="shared" si="18"/>
        <v/>
      </c>
      <c r="L273" s="30"/>
      <c r="M273" s="6"/>
      <c r="N273" s="6"/>
      <c r="O273" s="10"/>
    </row>
    <row r="274" spans="6:15">
      <c r="F274" s="30" t="str">
        <f t="shared" si="17"/>
        <v/>
      </c>
      <c r="G274" s="6"/>
      <c r="H274" s="6"/>
      <c r="I274" s="6"/>
      <c r="J274" s="19" t="str">
        <f t="shared" si="18"/>
        <v/>
      </c>
      <c r="L274" s="30"/>
      <c r="M274" s="6"/>
      <c r="N274" s="6"/>
      <c r="O274" s="10"/>
    </row>
    <row r="275" spans="6:15">
      <c r="F275" s="30" t="str">
        <f t="shared" si="17"/>
        <v/>
      </c>
      <c r="G275" s="6"/>
      <c r="H275" s="6"/>
      <c r="I275" s="6"/>
      <c r="J275" s="19" t="str">
        <f t="shared" si="18"/>
        <v/>
      </c>
      <c r="L275" s="30"/>
      <c r="M275" s="6"/>
      <c r="N275" s="6"/>
      <c r="O275" s="10"/>
    </row>
    <row r="276" spans="6:15">
      <c r="F276" s="30" t="str">
        <f t="shared" si="17"/>
        <v/>
      </c>
      <c r="G276" s="6"/>
      <c r="H276" s="6"/>
      <c r="I276" s="6"/>
      <c r="J276" s="19" t="str">
        <f t="shared" si="18"/>
        <v/>
      </c>
      <c r="L276" s="30"/>
      <c r="M276" s="6"/>
      <c r="N276" s="6"/>
      <c r="O276" s="10"/>
    </row>
    <row r="277" spans="6:15">
      <c r="F277" s="30" t="str">
        <f t="shared" si="17"/>
        <v/>
      </c>
      <c r="G277" s="6"/>
      <c r="H277" s="6"/>
      <c r="I277" s="6"/>
      <c r="J277" s="19" t="str">
        <f t="shared" si="18"/>
        <v/>
      </c>
      <c r="L277" s="30"/>
      <c r="M277" s="6"/>
      <c r="N277" s="6"/>
      <c r="O277" s="10"/>
    </row>
    <row r="278" spans="6:15">
      <c r="F278" s="30" t="str">
        <f t="shared" si="17"/>
        <v/>
      </c>
      <c r="G278" s="6"/>
      <c r="H278" s="6"/>
      <c r="I278" s="6"/>
      <c r="J278" s="19" t="str">
        <f t="shared" si="18"/>
        <v/>
      </c>
      <c r="L278" s="30"/>
      <c r="M278" s="6"/>
      <c r="N278" s="6"/>
      <c r="O278" s="10"/>
    </row>
    <row r="279" spans="6:15">
      <c r="F279" s="30" t="str">
        <f t="shared" si="17"/>
        <v/>
      </c>
      <c r="G279" s="6"/>
      <c r="H279" s="6"/>
      <c r="I279" s="6"/>
      <c r="J279" s="19" t="str">
        <f t="shared" si="18"/>
        <v/>
      </c>
      <c r="L279" s="30"/>
      <c r="M279" s="6"/>
      <c r="N279" s="6"/>
      <c r="O279" s="10"/>
    </row>
    <row r="280" spans="6:15">
      <c r="F280" s="30" t="str">
        <f t="shared" si="17"/>
        <v/>
      </c>
      <c r="G280" s="6"/>
      <c r="H280" s="6"/>
      <c r="I280" s="6"/>
      <c r="J280" s="19" t="str">
        <f t="shared" si="18"/>
        <v/>
      </c>
      <c r="L280" s="30"/>
      <c r="M280" s="6"/>
      <c r="N280" s="6"/>
      <c r="O280" s="10"/>
    </row>
    <row r="281" spans="6:15">
      <c r="F281" s="30" t="str">
        <f t="shared" si="17"/>
        <v/>
      </c>
      <c r="G281" s="6"/>
      <c r="H281" s="6"/>
      <c r="I281" s="6"/>
      <c r="J281" s="19" t="str">
        <f t="shared" si="18"/>
        <v/>
      </c>
      <c r="L281" s="30"/>
      <c r="M281" s="6"/>
      <c r="N281" s="6"/>
      <c r="O281" s="10"/>
    </row>
    <row r="282" spans="6:15">
      <c r="F282" s="30" t="str">
        <f t="shared" si="17"/>
        <v/>
      </c>
      <c r="G282" s="6"/>
      <c r="H282" s="6"/>
      <c r="I282" s="6"/>
      <c r="J282" s="19" t="str">
        <f t="shared" si="18"/>
        <v/>
      </c>
      <c r="L282" s="30"/>
      <c r="M282" s="6"/>
      <c r="N282" s="6"/>
      <c r="O282" s="10"/>
    </row>
    <row r="283" spans="6:15">
      <c r="F283" s="30" t="str">
        <f t="shared" si="17"/>
        <v/>
      </c>
      <c r="G283" s="6"/>
      <c r="H283" s="6"/>
      <c r="I283" s="6"/>
      <c r="J283" s="19" t="str">
        <f t="shared" si="18"/>
        <v/>
      </c>
      <c r="L283" s="30"/>
      <c r="M283" s="6"/>
      <c r="N283" s="6"/>
      <c r="O283" s="10"/>
    </row>
    <row r="284" spans="6:15">
      <c r="F284" s="30" t="str">
        <f t="shared" si="17"/>
        <v/>
      </c>
      <c r="G284" s="6"/>
      <c r="H284" s="6"/>
      <c r="I284" s="6"/>
      <c r="J284" s="19" t="str">
        <f t="shared" si="18"/>
        <v/>
      </c>
      <c r="L284" s="30"/>
      <c r="M284" s="6"/>
      <c r="N284" s="6"/>
      <c r="O284" s="10"/>
    </row>
    <row r="285" spans="6:15">
      <c r="F285" s="30" t="str">
        <f t="shared" si="17"/>
        <v/>
      </c>
      <c r="G285" s="6"/>
      <c r="H285" s="6"/>
      <c r="I285" s="6"/>
      <c r="J285" s="19" t="str">
        <f t="shared" si="18"/>
        <v/>
      </c>
      <c r="L285" s="30"/>
      <c r="M285" s="6"/>
      <c r="N285" s="6"/>
      <c r="O285" s="10"/>
    </row>
    <row r="286" spans="6:15">
      <c r="F286" s="30" t="str">
        <f t="shared" si="17"/>
        <v/>
      </c>
      <c r="G286" s="6"/>
      <c r="H286" s="6"/>
      <c r="I286" s="6"/>
      <c r="J286" s="19" t="str">
        <f t="shared" si="18"/>
        <v/>
      </c>
      <c r="L286" s="30"/>
      <c r="M286" s="6"/>
      <c r="N286" s="6"/>
      <c r="O286" s="10"/>
    </row>
    <row r="287" spans="6:15">
      <c r="F287" s="30" t="str">
        <f t="shared" si="17"/>
        <v/>
      </c>
      <c r="G287" s="6"/>
      <c r="H287" s="6"/>
      <c r="I287" s="6"/>
      <c r="J287" s="19" t="str">
        <f t="shared" si="18"/>
        <v/>
      </c>
      <c r="L287" s="30"/>
      <c r="M287" s="6"/>
      <c r="N287" s="6"/>
      <c r="O287" s="10"/>
    </row>
    <row r="288" spans="6:15">
      <c r="F288" s="30" t="str">
        <f t="shared" si="17"/>
        <v/>
      </c>
      <c r="G288" s="6"/>
      <c r="H288" s="6"/>
      <c r="I288" s="6"/>
      <c r="J288" s="19" t="str">
        <f t="shared" si="18"/>
        <v/>
      </c>
      <c r="L288" s="30"/>
      <c r="M288" s="6"/>
      <c r="N288" s="6"/>
      <c r="O288" s="10"/>
    </row>
    <row r="289" spans="6:15">
      <c r="F289" s="30" t="str">
        <f t="shared" si="17"/>
        <v/>
      </c>
      <c r="G289" s="6"/>
      <c r="H289" s="6"/>
      <c r="I289" s="6"/>
      <c r="J289" s="19" t="str">
        <f t="shared" si="18"/>
        <v/>
      </c>
      <c r="L289" s="30"/>
      <c r="M289" s="6"/>
      <c r="N289" s="6"/>
      <c r="O289" s="10"/>
    </row>
    <row r="290" spans="6:15">
      <c r="F290" s="30" t="str">
        <f t="shared" si="17"/>
        <v/>
      </c>
      <c r="G290" s="6"/>
      <c r="H290" s="6"/>
      <c r="I290" s="6"/>
      <c r="J290" s="19" t="str">
        <f t="shared" si="18"/>
        <v/>
      </c>
      <c r="L290" s="30"/>
      <c r="M290" s="6"/>
      <c r="N290" s="6"/>
      <c r="O290" s="10"/>
    </row>
    <row r="291" spans="6:15">
      <c r="F291" s="30" t="str">
        <f t="shared" si="17"/>
        <v/>
      </c>
      <c r="G291" s="6"/>
      <c r="H291" s="6"/>
      <c r="I291" s="6"/>
      <c r="J291" s="19" t="str">
        <f t="shared" si="18"/>
        <v/>
      </c>
      <c r="L291" s="30"/>
      <c r="M291" s="6"/>
      <c r="N291" s="6"/>
      <c r="O291" s="10"/>
    </row>
    <row r="292" spans="6:15">
      <c r="F292" s="30" t="str">
        <f t="shared" si="17"/>
        <v/>
      </c>
      <c r="G292" s="6"/>
      <c r="H292" s="6"/>
      <c r="I292" s="6"/>
      <c r="J292" s="19" t="str">
        <f t="shared" si="18"/>
        <v/>
      </c>
      <c r="L292" s="30"/>
      <c r="M292" s="6"/>
      <c r="N292" s="6"/>
      <c r="O292" s="10"/>
    </row>
    <row r="293" spans="6:15">
      <c r="F293" s="30" t="str">
        <f t="shared" si="17"/>
        <v/>
      </c>
      <c r="G293" s="6"/>
      <c r="H293" s="6"/>
      <c r="I293" s="6"/>
      <c r="J293" s="19" t="str">
        <f t="shared" si="18"/>
        <v/>
      </c>
      <c r="L293" s="30"/>
      <c r="M293" s="6"/>
      <c r="N293" s="6"/>
      <c r="O293" s="10"/>
    </row>
    <row r="294" spans="6:15">
      <c r="F294" s="30" t="str">
        <f t="shared" si="17"/>
        <v/>
      </c>
      <c r="G294" s="6"/>
      <c r="H294" s="6"/>
      <c r="I294" s="6"/>
      <c r="J294" s="19" t="str">
        <f t="shared" si="18"/>
        <v/>
      </c>
      <c r="L294" s="30"/>
      <c r="M294" s="6"/>
      <c r="N294" s="6"/>
      <c r="O294" s="10"/>
    </row>
    <row r="295" spans="6:15">
      <c r="F295" s="30" t="str">
        <f t="shared" si="17"/>
        <v/>
      </c>
      <c r="G295" s="6"/>
      <c r="H295" s="6"/>
      <c r="I295" s="6"/>
      <c r="J295" s="19" t="str">
        <f t="shared" si="18"/>
        <v/>
      </c>
      <c r="L295" s="30"/>
      <c r="M295" s="6"/>
      <c r="N295" s="6"/>
      <c r="O295" s="10"/>
    </row>
    <row r="296" spans="6:15">
      <c r="F296" s="30" t="str">
        <f t="shared" si="17"/>
        <v/>
      </c>
      <c r="G296" s="6"/>
      <c r="H296" s="6"/>
      <c r="I296" s="6"/>
      <c r="J296" s="19" t="str">
        <f t="shared" si="18"/>
        <v/>
      </c>
      <c r="L296" s="30"/>
      <c r="M296" s="6"/>
      <c r="N296" s="6"/>
      <c r="O296" s="10"/>
    </row>
    <row r="297" spans="6:15">
      <c r="F297" s="30" t="str">
        <f t="shared" si="17"/>
        <v/>
      </c>
      <c r="G297" s="6"/>
      <c r="H297" s="6"/>
      <c r="I297" s="6"/>
      <c r="J297" s="19" t="str">
        <f t="shared" si="18"/>
        <v/>
      </c>
      <c r="L297" s="30"/>
      <c r="M297" s="6"/>
      <c r="N297" s="6"/>
      <c r="O297" s="10"/>
    </row>
    <row r="298" spans="6:15">
      <c r="F298" s="30" t="str">
        <f t="shared" si="17"/>
        <v/>
      </c>
      <c r="G298" s="6"/>
      <c r="H298" s="6"/>
      <c r="I298" s="6"/>
      <c r="J298" s="19" t="str">
        <f t="shared" si="18"/>
        <v/>
      </c>
      <c r="L298" s="30"/>
      <c r="M298" s="6"/>
      <c r="N298" s="6"/>
      <c r="O298" s="10"/>
    </row>
    <row r="299" spans="6:15">
      <c r="F299" s="30" t="str">
        <f t="shared" si="17"/>
        <v/>
      </c>
      <c r="G299" s="6"/>
      <c r="H299" s="6"/>
      <c r="I299" s="6"/>
      <c r="J299" s="19" t="str">
        <f t="shared" si="18"/>
        <v/>
      </c>
      <c r="L299" s="30"/>
      <c r="M299" s="6"/>
      <c r="N299" s="6"/>
      <c r="O299" s="10"/>
    </row>
    <row r="300" spans="6:15">
      <c r="F300" s="30" t="str">
        <f t="shared" si="17"/>
        <v/>
      </c>
      <c r="G300" s="6"/>
      <c r="H300" s="6"/>
      <c r="I300" s="6"/>
      <c r="J300" s="19" t="str">
        <f t="shared" si="18"/>
        <v/>
      </c>
      <c r="L300" s="30"/>
      <c r="M300" s="6"/>
      <c r="N300" s="6"/>
      <c r="O300" s="10"/>
    </row>
    <row r="301" spans="6:15">
      <c r="F301" s="30" t="str">
        <f t="shared" si="17"/>
        <v/>
      </c>
      <c r="G301" s="6"/>
      <c r="H301" s="6"/>
      <c r="I301" s="6"/>
      <c r="J301" s="19" t="str">
        <f t="shared" si="18"/>
        <v/>
      </c>
      <c r="L301" s="30"/>
      <c r="M301" s="6"/>
      <c r="N301" s="6"/>
      <c r="O301" s="10"/>
    </row>
    <row r="302" spans="6:15">
      <c r="F302" s="30" t="str">
        <f t="shared" si="17"/>
        <v/>
      </c>
      <c r="G302" s="6"/>
      <c r="H302" s="6"/>
      <c r="I302" s="6"/>
      <c r="J302" s="19" t="str">
        <f t="shared" si="18"/>
        <v/>
      </c>
      <c r="L302" s="30"/>
      <c r="M302" s="6"/>
      <c r="N302" s="6"/>
      <c r="O302" s="10"/>
    </row>
    <row r="303" spans="6:15">
      <c r="F303" s="30" t="str">
        <f t="shared" si="17"/>
        <v/>
      </c>
      <c r="G303" s="6"/>
      <c r="H303" s="6"/>
      <c r="I303" s="6"/>
      <c r="J303" s="19" t="str">
        <f t="shared" si="18"/>
        <v/>
      </c>
      <c r="L303" s="30"/>
      <c r="M303" s="6"/>
      <c r="N303" s="6"/>
      <c r="O303" s="10"/>
    </row>
    <row r="304" spans="6:15">
      <c r="F304" s="30" t="str">
        <f t="shared" si="17"/>
        <v/>
      </c>
      <c r="G304" s="6"/>
      <c r="H304" s="6"/>
      <c r="I304" s="6"/>
      <c r="J304" s="19" t="str">
        <f t="shared" si="18"/>
        <v/>
      </c>
      <c r="L304" s="30"/>
      <c r="M304" s="6"/>
      <c r="N304" s="6"/>
      <c r="O304" s="10"/>
    </row>
    <row r="305" spans="6:15">
      <c r="F305" s="31" t="str">
        <f t="shared" si="17"/>
        <v/>
      </c>
      <c r="G305" s="8"/>
      <c r="H305" s="8"/>
      <c r="I305" s="8"/>
      <c r="J305" s="20" t="str">
        <f t="shared" si="18"/>
        <v/>
      </c>
      <c r="L305" s="31"/>
      <c r="M305" s="8"/>
      <c r="N305" s="8"/>
      <c r="O305" s="11"/>
    </row>
  </sheetData>
  <mergeCells count="5">
    <mergeCell ref="A2:O2"/>
    <mergeCell ref="A4:D4"/>
    <mergeCell ref="L4:O4"/>
    <mergeCell ref="A1:O1"/>
    <mergeCell ref="F4:J4"/>
  </mergeCells>
  <conditionalFormatting sqref="D6:D105">
    <cfRule type="containsText" dxfId="1" priority="1" operator="containsText" text="DUPLICADA"/>
  </conditionalFormatting>
  <conditionalFormatting sqref="J6:J305">
    <cfRule type="containsText" dxfId="0" priority="2" operator="containsText" text="DUPLICADA"/>
  </conditionalFormatting>
  <dataValidations count="1">
    <dataValidation type="list" sqref="C6:C105 I6:I305 M6:M305" xr:uid="{00000000-0002-0000-0200-000000000000}">
      <formula1>"Activo,Inactivo"</formula1>
    </dataValidation>
  </dataValidations>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59"/>
  <sheetViews>
    <sheetView showGridLines="0" workbookViewId="0">
      <selection activeCell="G5" sqref="G5"/>
    </sheetView>
  </sheetViews>
  <sheetFormatPr defaultRowHeight="13.8"/>
  <sheetData>
    <row r="1" spans="1:8" ht="21" customHeight="1">
      <c r="A1" s="1" t="s">
        <v>1818</v>
      </c>
      <c r="B1" s="1"/>
      <c r="C1" s="1"/>
      <c r="D1" s="1"/>
      <c r="E1" s="1"/>
      <c r="F1" s="1"/>
      <c r="G1" s="1"/>
      <c r="H1" s="1"/>
    </row>
    <row r="2" spans="1:8">
      <c r="A2" t="s">
        <v>1819</v>
      </c>
    </row>
    <row r="4" spans="1:8" ht="41.4" customHeight="1">
      <c r="A4" s="2" t="s">
        <v>1820</v>
      </c>
      <c r="B4" s="2" t="s">
        <v>309</v>
      </c>
      <c r="C4" s="2" t="s">
        <v>1821</v>
      </c>
      <c r="D4" s="2" t="s">
        <v>1822</v>
      </c>
      <c r="E4" s="2" t="s">
        <v>1823</v>
      </c>
      <c r="F4" s="2" t="s">
        <v>1824</v>
      </c>
      <c r="G4" s="2" t="s">
        <v>1825</v>
      </c>
      <c r="H4" s="2" t="s">
        <v>1826</v>
      </c>
    </row>
    <row r="5" spans="1:8">
      <c r="A5" t="s">
        <v>37</v>
      </c>
      <c r="B5" t="s">
        <v>1827</v>
      </c>
      <c r="C5" t="s">
        <v>327</v>
      </c>
      <c r="D5" t="s">
        <v>1828</v>
      </c>
      <c r="E5" t="s">
        <v>1829</v>
      </c>
      <c r="F5" t="s">
        <v>1830</v>
      </c>
      <c r="G5" t="s">
        <v>1828</v>
      </c>
    </row>
    <row r="6" spans="1:8">
      <c r="A6" t="s">
        <v>39</v>
      </c>
      <c r="B6" t="s">
        <v>1831</v>
      </c>
      <c r="C6" t="s">
        <v>333</v>
      </c>
      <c r="D6" t="s">
        <v>1828</v>
      </c>
      <c r="E6" t="s">
        <v>1829</v>
      </c>
      <c r="F6" t="s">
        <v>1830</v>
      </c>
      <c r="G6" t="s">
        <v>1828</v>
      </c>
    </row>
    <row r="7" spans="1:8">
      <c r="A7" t="s">
        <v>40</v>
      </c>
      <c r="B7" t="s">
        <v>1832</v>
      </c>
      <c r="C7" t="s">
        <v>337</v>
      </c>
      <c r="D7" t="s">
        <v>1828</v>
      </c>
      <c r="E7" t="s">
        <v>1829</v>
      </c>
      <c r="F7" t="s">
        <v>1830</v>
      </c>
      <c r="G7" t="s">
        <v>1828</v>
      </c>
    </row>
    <row r="8" spans="1:8">
      <c r="A8" t="s">
        <v>41</v>
      </c>
      <c r="B8" t="s">
        <v>1833</v>
      </c>
      <c r="C8" t="s">
        <v>341</v>
      </c>
      <c r="D8" t="s">
        <v>1828</v>
      </c>
      <c r="E8" t="s">
        <v>1829</v>
      </c>
      <c r="F8" t="s">
        <v>1830</v>
      </c>
      <c r="G8" t="s">
        <v>1828</v>
      </c>
    </row>
    <row r="9" spans="1:8">
      <c r="A9" t="s">
        <v>42</v>
      </c>
      <c r="B9" t="s">
        <v>1834</v>
      </c>
      <c r="C9" t="s">
        <v>347</v>
      </c>
      <c r="D9" t="s">
        <v>1828</v>
      </c>
      <c r="E9" t="s">
        <v>1829</v>
      </c>
      <c r="F9" t="s">
        <v>1830</v>
      </c>
      <c r="G9" t="s">
        <v>1828</v>
      </c>
    </row>
    <row r="10" spans="1:8">
      <c r="A10" t="s">
        <v>43</v>
      </c>
      <c r="B10" t="s">
        <v>1835</v>
      </c>
      <c r="C10" t="s">
        <v>352</v>
      </c>
      <c r="D10" t="s">
        <v>1828</v>
      </c>
      <c r="E10" t="s">
        <v>1829</v>
      </c>
      <c r="F10" t="s">
        <v>1830</v>
      </c>
      <c r="G10" t="s">
        <v>1828</v>
      </c>
    </row>
    <row r="11" spans="1:8">
      <c r="A11" t="s">
        <v>44</v>
      </c>
      <c r="B11" t="s">
        <v>356</v>
      </c>
      <c r="C11" t="s">
        <v>358</v>
      </c>
      <c r="D11" t="s">
        <v>1828</v>
      </c>
      <c r="E11" t="s">
        <v>1829</v>
      </c>
      <c r="F11" t="s">
        <v>1830</v>
      </c>
      <c r="G11" t="s">
        <v>1828</v>
      </c>
    </row>
    <row r="12" spans="1:8">
      <c r="A12" t="s">
        <v>45</v>
      </c>
      <c r="B12" t="s">
        <v>363</v>
      </c>
      <c r="C12" t="s">
        <v>366</v>
      </c>
      <c r="D12" t="s">
        <v>1828</v>
      </c>
      <c r="E12" t="s">
        <v>1829</v>
      </c>
      <c r="F12" t="s">
        <v>1830</v>
      </c>
      <c r="G12" t="s">
        <v>1828</v>
      </c>
    </row>
    <row r="13" spans="1:8">
      <c r="A13" t="s">
        <v>46</v>
      </c>
      <c r="B13" t="s">
        <v>369</v>
      </c>
      <c r="C13" t="s">
        <v>370</v>
      </c>
      <c r="D13" t="s">
        <v>1828</v>
      </c>
      <c r="E13" t="s">
        <v>1829</v>
      </c>
      <c r="F13" t="s">
        <v>1830</v>
      </c>
      <c r="G13" t="s">
        <v>1828</v>
      </c>
    </row>
    <row r="14" spans="1:8">
      <c r="A14" t="s">
        <v>47</v>
      </c>
      <c r="B14" t="s">
        <v>374</v>
      </c>
      <c r="C14" t="s">
        <v>375</v>
      </c>
      <c r="D14" t="s">
        <v>1828</v>
      </c>
      <c r="E14" t="s">
        <v>1829</v>
      </c>
      <c r="F14" t="s">
        <v>1830</v>
      </c>
      <c r="G14" t="s">
        <v>1828</v>
      </c>
    </row>
    <row r="15" spans="1:8">
      <c r="A15" t="s">
        <v>48</v>
      </c>
      <c r="B15" t="s">
        <v>378</v>
      </c>
      <c r="C15" t="s">
        <v>379</v>
      </c>
      <c r="D15" t="s">
        <v>1828</v>
      </c>
      <c r="E15" t="s">
        <v>1829</v>
      </c>
      <c r="F15" t="s">
        <v>1830</v>
      </c>
      <c r="G15" t="s">
        <v>1828</v>
      </c>
    </row>
    <row r="16" spans="1:8">
      <c r="A16" t="s">
        <v>49</v>
      </c>
      <c r="B16" t="s">
        <v>382</v>
      </c>
      <c r="C16" t="s">
        <v>383</v>
      </c>
      <c r="D16" t="s">
        <v>1828</v>
      </c>
      <c r="E16" t="s">
        <v>1829</v>
      </c>
      <c r="F16" t="s">
        <v>1830</v>
      </c>
      <c r="G16" t="s">
        <v>1828</v>
      </c>
    </row>
    <row r="17" spans="1:7">
      <c r="A17" t="s">
        <v>50</v>
      </c>
      <c r="B17" t="s">
        <v>386</v>
      </c>
      <c r="C17" t="s">
        <v>387</v>
      </c>
      <c r="D17" t="s">
        <v>1828</v>
      </c>
      <c r="E17" t="s">
        <v>1829</v>
      </c>
      <c r="F17" t="s">
        <v>1830</v>
      </c>
      <c r="G17" t="s">
        <v>1828</v>
      </c>
    </row>
    <row r="18" spans="1:7">
      <c r="A18" t="s">
        <v>51</v>
      </c>
      <c r="B18" t="s">
        <v>390</v>
      </c>
      <c r="C18" t="s">
        <v>391</v>
      </c>
      <c r="D18" t="s">
        <v>1828</v>
      </c>
      <c r="E18" t="s">
        <v>1829</v>
      </c>
      <c r="F18" t="s">
        <v>1830</v>
      </c>
      <c r="G18" t="s">
        <v>1828</v>
      </c>
    </row>
    <row r="19" spans="1:7">
      <c r="A19" t="s">
        <v>52</v>
      </c>
      <c r="B19" t="s">
        <v>396</v>
      </c>
      <c r="C19" t="s">
        <v>398</v>
      </c>
      <c r="D19" t="s">
        <v>1828</v>
      </c>
      <c r="E19" t="s">
        <v>1829</v>
      </c>
      <c r="F19" t="s">
        <v>1830</v>
      </c>
      <c r="G19" t="s">
        <v>1828</v>
      </c>
    </row>
    <row r="20" spans="1:7">
      <c r="A20" t="s">
        <v>54</v>
      </c>
      <c r="B20" t="s">
        <v>401</v>
      </c>
      <c r="C20" t="s">
        <v>402</v>
      </c>
      <c r="D20" t="s">
        <v>1828</v>
      </c>
      <c r="E20" t="s">
        <v>1829</v>
      </c>
      <c r="F20" t="s">
        <v>1830</v>
      </c>
      <c r="G20" t="s">
        <v>1828</v>
      </c>
    </row>
    <row r="21" spans="1:7">
      <c r="A21" t="s">
        <v>55</v>
      </c>
      <c r="B21" t="s">
        <v>405</v>
      </c>
      <c r="C21" t="s">
        <v>406</v>
      </c>
      <c r="D21" t="s">
        <v>1828</v>
      </c>
      <c r="E21" t="s">
        <v>1829</v>
      </c>
      <c r="F21" t="s">
        <v>1830</v>
      </c>
      <c r="G21" t="s">
        <v>1828</v>
      </c>
    </row>
    <row r="22" spans="1:7">
      <c r="A22" t="s">
        <v>56</v>
      </c>
      <c r="B22" t="s">
        <v>411</v>
      </c>
      <c r="C22" t="s">
        <v>412</v>
      </c>
      <c r="D22" t="s">
        <v>1828</v>
      </c>
      <c r="E22" t="s">
        <v>1829</v>
      </c>
      <c r="F22" t="s">
        <v>1830</v>
      </c>
      <c r="G22" t="s">
        <v>1828</v>
      </c>
    </row>
    <row r="23" spans="1:7">
      <c r="A23" t="s">
        <v>57</v>
      </c>
      <c r="B23" t="s">
        <v>415</v>
      </c>
      <c r="C23" t="s">
        <v>416</v>
      </c>
      <c r="D23" t="s">
        <v>1828</v>
      </c>
      <c r="E23" t="s">
        <v>1829</v>
      </c>
      <c r="F23" t="s">
        <v>1830</v>
      </c>
      <c r="G23" t="s">
        <v>1828</v>
      </c>
    </row>
    <row r="24" spans="1:7">
      <c r="A24" t="s">
        <v>58</v>
      </c>
      <c r="B24" t="s">
        <v>411</v>
      </c>
      <c r="C24" t="s">
        <v>420</v>
      </c>
      <c r="D24" t="s">
        <v>1828</v>
      </c>
      <c r="E24" t="s">
        <v>1829</v>
      </c>
      <c r="F24" t="s">
        <v>1830</v>
      </c>
      <c r="G24" t="s">
        <v>1828</v>
      </c>
    </row>
    <row r="25" spans="1:7">
      <c r="A25" t="s">
        <v>59</v>
      </c>
      <c r="B25" t="s">
        <v>411</v>
      </c>
      <c r="C25" t="s">
        <v>423</v>
      </c>
      <c r="D25" t="s">
        <v>1828</v>
      </c>
      <c r="E25" t="s">
        <v>1829</v>
      </c>
      <c r="F25" t="s">
        <v>1830</v>
      </c>
      <c r="G25" t="s">
        <v>1828</v>
      </c>
    </row>
    <row r="26" spans="1:7">
      <c r="A26" t="s">
        <v>60</v>
      </c>
      <c r="B26" t="s">
        <v>426</v>
      </c>
      <c r="C26" t="s">
        <v>427</v>
      </c>
      <c r="D26" t="s">
        <v>1828</v>
      </c>
      <c r="E26" t="s">
        <v>1829</v>
      </c>
      <c r="F26" t="s">
        <v>1830</v>
      </c>
      <c r="G26" t="s">
        <v>1828</v>
      </c>
    </row>
    <row r="27" spans="1:7">
      <c r="A27" t="s">
        <v>61</v>
      </c>
      <c r="B27" t="s">
        <v>426</v>
      </c>
      <c r="C27" t="s">
        <v>431</v>
      </c>
      <c r="D27" t="s">
        <v>1828</v>
      </c>
      <c r="E27" t="s">
        <v>1829</v>
      </c>
      <c r="F27" t="s">
        <v>1830</v>
      </c>
      <c r="G27" t="s">
        <v>1828</v>
      </c>
    </row>
    <row r="28" spans="1:7">
      <c r="A28" t="s">
        <v>63</v>
      </c>
      <c r="B28" t="s">
        <v>434</v>
      </c>
      <c r="C28" t="s">
        <v>435</v>
      </c>
      <c r="D28" t="s">
        <v>1828</v>
      </c>
      <c r="E28" t="s">
        <v>1829</v>
      </c>
      <c r="F28" t="s">
        <v>1830</v>
      </c>
      <c r="G28" t="s">
        <v>1828</v>
      </c>
    </row>
    <row r="29" spans="1:7">
      <c r="A29" t="s">
        <v>64</v>
      </c>
      <c r="B29" t="s">
        <v>434</v>
      </c>
      <c r="C29" t="s">
        <v>438</v>
      </c>
      <c r="D29" t="s">
        <v>1828</v>
      </c>
      <c r="E29" t="s">
        <v>1829</v>
      </c>
      <c r="F29" t="s">
        <v>1830</v>
      </c>
      <c r="G29" t="s">
        <v>1828</v>
      </c>
    </row>
    <row r="30" spans="1:7">
      <c r="A30" t="s">
        <v>65</v>
      </c>
      <c r="B30" t="s">
        <v>426</v>
      </c>
      <c r="C30" t="s">
        <v>440</v>
      </c>
      <c r="D30" t="s">
        <v>1828</v>
      </c>
      <c r="E30" t="s">
        <v>1829</v>
      </c>
      <c r="F30" t="s">
        <v>1830</v>
      </c>
      <c r="G30" t="s">
        <v>1828</v>
      </c>
    </row>
    <row r="31" spans="1:7">
      <c r="A31" t="s">
        <v>66</v>
      </c>
      <c r="B31" t="s">
        <v>442</v>
      </c>
      <c r="C31" t="s">
        <v>443</v>
      </c>
      <c r="D31" t="s">
        <v>1828</v>
      </c>
      <c r="E31" t="s">
        <v>1829</v>
      </c>
      <c r="F31" t="s">
        <v>1830</v>
      </c>
      <c r="G31" t="s">
        <v>1828</v>
      </c>
    </row>
    <row r="32" spans="1:7">
      <c r="A32" t="s">
        <v>67</v>
      </c>
      <c r="B32" t="s">
        <v>442</v>
      </c>
      <c r="C32" t="s">
        <v>447</v>
      </c>
      <c r="D32" t="s">
        <v>1828</v>
      </c>
      <c r="E32" t="s">
        <v>1829</v>
      </c>
      <c r="F32" t="s">
        <v>1830</v>
      </c>
      <c r="G32" t="s">
        <v>1828</v>
      </c>
    </row>
    <row r="33" spans="1:7">
      <c r="A33" t="s">
        <v>67</v>
      </c>
      <c r="B33" t="s">
        <v>449</v>
      </c>
      <c r="C33" t="s">
        <v>450</v>
      </c>
      <c r="D33" t="s">
        <v>1828</v>
      </c>
      <c r="E33" t="s">
        <v>1829</v>
      </c>
      <c r="F33" t="s">
        <v>1830</v>
      </c>
      <c r="G33" t="s">
        <v>1828</v>
      </c>
    </row>
    <row r="34" spans="1:7">
      <c r="A34" t="s">
        <v>68</v>
      </c>
      <c r="B34" t="s">
        <v>454</v>
      </c>
      <c r="C34" t="s">
        <v>455</v>
      </c>
      <c r="D34" t="s">
        <v>1828</v>
      </c>
      <c r="E34" t="s">
        <v>1829</v>
      </c>
      <c r="F34" t="s">
        <v>1830</v>
      </c>
      <c r="G34" t="s">
        <v>1828</v>
      </c>
    </row>
    <row r="35" spans="1:7">
      <c r="A35" t="s">
        <v>69</v>
      </c>
      <c r="B35" t="s">
        <v>458</v>
      </c>
      <c r="C35" t="s">
        <v>459</v>
      </c>
      <c r="D35" t="s">
        <v>1828</v>
      </c>
      <c r="E35" t="s">
        <v>1829</v>
      </c>
      <c r="F35" t="s">
        <v>1830</v>
      </c>
      <c r="G35" t="s">
        <v>1828</v>
      </c>
    </row>
    <row r="36" spans="1:7">
      <c r="A36" t="s">
        <v>70</v>
      </c>
      <c r="B36" t="s">
        <v>464</v>
      </c>
      <c r="C36" t="s">
        <v>465</v>
      </c>
      <c r="D36" t="s">
        <v>1828</v>
      </c>
      <c r="E36" t="s">
        <v>1829</v>
      </c>
      <c r="F36" t="s">
        <v>1830</v>
      </c>
      <c r="G36" t="s">
        <v>1828</v>
      </c>
    </row>
    <row r="37" spans="1:7">
      <c r="A37" t="s">
        <v>71</v>
      </c>
      <c r="B37" t="s">
        <v>464</v>
      </c>
      <c r="C37" t="s">
        <v>469</v>
      </c>
      <c r="D37" t="s">
        <v>1828</v>
      </c>
      <c r="E37" t="s">
        <v>1829</v>
      </c>
      <c r="F37" t="s">
        <v>1830</v>
      </c>
      <c r="G37" t="s">
        <v>1828</v>
      </c>
    </row>
    <row r="38" spans="1:7">
      <c r="A38" t="s">
        <v>72</v>
      </c>
      <c r="B38" t="s">
        <v>472</v>
      </c>
      <c r="C38" t="s">
        <v>473</v>
      </c>
      <c r="D38" t="s">
        <v>1828</v>
      </c>
      <c r="E38" t="s">
        <v>1829</v>
      </c>
      <c r="F38" t="s">
        <v>1830</v>
      </c>
      <c r="G38" t="s">
        <v>1828</v>
      </c>
    </row>
    <row r="39" spans="1:7">
      <c r="A39" t="s">
        <v>73</v>
      </c>
      <c r="B39" t="s">
        <v>476</v>
      </c>
      <c r="C39" t="s">
        <v>477</v>
      </c>
      <c r="D39" t="s">
        <v>1828</v>
      </c>
      <c r="E39" t="s">
        <v>1829</v>
      </c>
      <c r="F39" t="s">
        <v>1830</v>
      </c>
      <c r="G39" t="s">
        <v>1828</v>
      </c>
    </row>
    <row r="40" spans="1:7">
      <c r="A40" t="s">
        <v>74</v>
      </c>
      <c r="B40" t="s">
        <v>482</v>
      </c>
      <c r="C40" t="s">
        <v>483</v>
      </c>
      <c r="D40" t="s">
        <v>1828</v>
      </c>
      <c r="E40" t="s">
        <v>1829</v>
      </c>
      <c r="F40" t="s">
        <v>1830</v>
      </c>
      <c r="G40" t="s">
        <v>1828</v>
      </c>
    </row>
    <row r="41" spans="1:7">
      <c r="A41" t="s">
        <v>75</v>
      </c>
      <c r="B41" t="s">
        <v>482</v>
      </c>
      <c r="C41" t="s">
        <v>486</v>
      </c>
      <c r="D41" t="s">
        <v>1828</v>
      </c>
      <c r="E41" t="s">
        <v>1829</v>
      </c>
      <c r="F41" t="s">
        <v>1830</v>
      </c>
      <c r="G41" t="s">
        <v>1828</v>
      </c>
    </row>
    <row r="42" spans="1:7">
      <c r="A42" t="s">
        <v>76</v>
      </c>
      <c r="B42" t="s">
        <v>492</v>
      </c>
      <c r="C42" t="s">
        <v>493</v>
      </c>
      <c r="D42" t="s">
        <v>1828</v>
      </c>
      <c r="E42" t="s">
        <v>1829</v>
      </c>
      <c r="F42" t="s">
        <v>1830</v>
      </c>
      <c r="G42" t="s">
        <v>1828</v>
      </c>
    </row>
    <row r="43" spans="1:7">
      <c r="A43" t="s">
        <v>77</v>
      </c>
      <c r="B43" t="s">
        <v>497</v>
      </c>
      <c r="C43" t="s">
        <v>498</v>
      </c>
      <c r="D43" t="s">
        <v>1828</v>
      </c>
      <c r="E43" t="s">
        <v>1829</v>
      </c>
      <c r="F43" t="s">
        <v>1830</v>
      </c>
      <c r="G43" t="s">
        <v>1828</v>
      </c>
    </row>
    <row r="44" spans="1:7">
      <c r="A44" t="s">
        <v>78</v>
      </c>
      <c r="B44" t="s">
        <v>502</v>
      </c>
      <c r="C44" t="s">
        <v>503</v>
      </c>
      <c r="D44" t="s">
        <v>1828</v>
      </c>
      <c r="E44" t="s">
        <v>1829</v>
      </c>
      <c r="F44" t="s">
        <v>1830</v>
      </c>
      <c r="G44" t="s">
        <v>1828</v>
      </c>
    </row>
    <row r="45" spans="1:7">
      <c r="A45" t="s">
        <v>79</v>
      </c>
      <c r="B45" t="s">
        <v>507</v>
      </c>
      <c r="C45" t="s">
        <v>508</v>
      </c>
      <c r="D45" t="s">
        <v>1828</v>
      </c>
      <c r="E45" t="s">
        <v>1829</v>
      </c>
      <c r="F45" t="s">
        <v>1830</v>
      </c>
      <c r="G45" t="s">
        <v>1828</v>
      </c>
    </row>
    <row r="46" spans="1:7">
      <c r="A46" t="s">
        <v>80</v>
      </c>
      <c r="B46" t="s">
        <v>511</v>
      </c>
      <c r="C46" t="s">
        <v>512</v>
      </c>
      <c r="D46" t="s">
        <v>1828</v>
      </c>
      <c r="E46" t="s">
        <v>1829</v>
      </c>
      <c r="F46" t="s">
        <v>1830</v>
      </c>
      <c r="G46" t="s">
        <v>1828</v>
      </c>
    </row>
    <row r="47" spans="1:7">
      <c r="A47" t="s">
        <v>81</v>
      </c>
      <c r="B47" t="s">
        <v>515</v>
      </c>
      <c r="C47" t="s">
        <v>516</v>
      </c>
      <c r="D47" t="s">
        <v>1828</v>
      </c>
      <c r="E47" t="s">
        <v>1829</v>
      </c>
      <c r="F47" t="s">
        <v>1830</v>
      </c>
      <c r="G47" t="s">
        <v>1828</v>
      </c>
    </row>
    <row r="48" spans="1:7">
      <c r="A48" t="s">
        <v>82</v>
      </c>
      <c r="B48" t="s">
        <v>521</v>
      </c>
      <c r="C48" t="s">
        <v>522</v>
      </c>
      <c r="D48" t="s">
        <v>1828</v>
      </c>
      <c r="E48" t="s">
        <v>1829</v>
      </c>
      <c r="F48" t="s">
        <v>1830</v>
      </c>
      <c r="G48" t="s">
        <v>1828</v>
      </c>
    </row>
    <row r="49" spans="1:7">
      <c r="A49" t="s">
        <v>83</v>
      </c>
      <c r="B49" t="s">
        <v>525</v>
      </c>
      <c r="C49" t="s">
        <v>526</v>
      </c>
      <c r="D49" t="s">
        <v>1828</v>
      </c>
      <c r="E49" t="s">
        <v>1829</v>
      </c>
      <c r="F49" t="s">
        <v>1830</v>
      </c>
      <c r="G49" t="s">
        <v>1828</v>
      </c>
    </row>
    <row r="50" spans="1:7">
      <c r="A50" t="s">
        <v>84</v>
      </c>
      <c r="B50" t="s">
        <v>529</v>
      </c>
      <c r="C50" t="s">
        <v>530</v>
      </c>
      <c r="D50" t="s">
        <v>1828</v>
      </c>
      <c r="E50" t="s">
        <v>1829</v>
      </c>
      <c r="F50" t="s">
        <v>1830</v>
      </c>
      <c r="G50" t="s">
        <v>1828</v>
      </c>
    </row>
    <row r="51" spans="1:7">
      <c r="A51" t="s">
        <v>85</v>
      </c>
      <c r="B51" t="s">
        <v>533</v>
      </c>
      <c r="C51" t="s">
        <v>534</v>
      </c>
      <c r="D51" t="s">
        <v>1828</v>
      </c>
      <c r="E51" t="s">
        <v>1829</v>
      </c>
      <c r="F51" t="s">
        <v>1830</v>
      </c>
      <c r="G51" t="s">
        <v>1828</v>
      </c>
    </row>
    <row r="52" spans="1:7">
      <c r="A52" t="s">
        <v>86</v>
      </c>
      <c r="B52" t="s">
        <v>537</v>
      </c>
      <c r="C52" t="s">
        <v>538</v>
      </c>
      <c r="D52" t="s">
        <v>1828</v>
      </c>
      <c r="E52" t="s">
        <v>1829</v>
      </c>
      <c r="F52" t="s">
        <v>1830</v>
      </c>
      <c r="G52" t="s">
        <v>1828</v>
      </c>
    </row>
    <row r="53" spans="1:7">
      <c r="A53" t="s">
        <v>87</v>
      </c>
      <c r="B53" t="s">
        <v>541</v>
      </c>
      <c r="C53" t="s">
        <v>542</v>
      </c>
      <c r="D53" t="s">
        <v>1828</v>
      </c>
      <c r="E53" t="s">
        <v>1829</v>
      </c>
      <c r="F53" t="s">
        <v>1830</v>
      </c>
      <c r="G53" t="s">
        <v>1828</v>
      </c>
    </row>
    <row r="54" spans="1:7">
      <c r="A54" t="s">
        <v>88</v>
      </c>
      <c r="B54" t="s">
        <v>545</v>
      </c>
      <c r="C54" t="s">
        <v>546</v>
      </c>
      <c r="D54" t="s">
        <v>1828</v>
      </c>
      <c r="E54" t="s">
        <v>1829</v>
      </c>
      <c r="F54" t="s">
        <v>1830</v>
      </c>
      <c r="G54" t="s">
        <v>1828</v>
      </c>
    </row>
    <row r="55" spans="1:7">
      <c r="A55" t="s">
        <v>89</v>
      </c>
      <c r="B55" t="s">
        <v>549</v>
      </c>
      <c r="C55" t="s">
        <v>550</v>
      </c>
      <c r="D55" t="s">
        <v>1828</v>
      </c>
      <c r="E55" t="s">
        <v>1829</v>
      </c>
      <c r="F55" t="s">
        <v>1830</v>
      </c>
      <c r="G55" t="s">
        <v>1828</v>
      </c>
    </row>
    <row r="56" spans="1:7">
      <c r="A56" t="s">
        <v>90</v>
      </c>
      <c r="B56" t="s">
        <v>553</v>
      </c>
      <c r="C56" t="s">
        <v>554</v>
      </c>
      <c r="D56" t="s">
        <v>1828</v>
      </c>
      <c r="E56" t="s">
        <v>1829</v>
      </c>
      <c r="F56" t="s">
        <v>1830</v>
      </c>
      <c r="G56" t="s">
        <v>1828</v>
      </c>
    </row>
    <row r="57" spans="1:7">
      <c r="A57" t="s">
        <v>91</v>
      </c>
      <c r="B57" t="s">
        <v>557</v>
      </c>
      <c r="C57" t="s">
        <v>558</v>
      </c>
      <c r="D57" t="s">
        <v>1828</v>
      </c>
      <c r="E57" t="s">
        <v>1829</v>
      </c>
      <c r="F57" t="s">
        <v>1830</v>
      </c>
      <c r="G57" t="s">
        <v>1828</v>
      </c>
    </row>
    <row r="58" spans="1:7">
      <c r="A58" t="s">
        <v>92</v>
      </c>
      <c r="B58" t="s">
        <v>561</v>
      </c>
      <c r="C58" t="s">
        <v>562</v>
      </c>
      <c r="D58" t="s">
        <v>1828</v>
      </c>
      <c r="E58" t="s">
        <v>1829</v>
      </c>
      <c r="F58" t="s">
        <v>1830</v>
      </c>
      <c r="G58" t="s">
        <v>1828</v>
      </c>
    </row>
    <row r="59" spans="1:7">
      <c r="A59" t="s">
        <v>93</v>
      </c>
      <c r="B59" t="s">
        <v>565</v>
      </c>
      <c r="C59" t="s">
        <v>566</v>
      </c>
      <c r="D59" t="s">
        <v>1828</v>
      </c>
      <c r="E59" t="s">
        <v>1829</v>
      </c>
      <c r="F59" t="s">
        <v>1830</v>
      </c>
      <c r="G59" t="s">
        <v>1828</v>
      </c>
    </row>
    <row r="60" spans="1:7">
      <c r="A60" t="s">
        <v>94</v>
      </c>
      <c r="B60" t="s">
        <v>570</v>
      </c>
      <c r="C60" t="s">
        <v>571</v>
      </c>
      <c r="D60" t="s">
        <v>1828</v>
      </c>
      <c r="E60" t="s">
        <v>1829</v>
      </c>
      <c r="F60" t="s">
        <v>1830</v>
      </c>
      <c r="G60" t="s">
        <v>1828</v>
      </c>
    </row>
    <row r="61" spans="1:7">
      <c r="A61" t="s">
        <v>95</v>
      </c>
      <c r="B61" t="s">
        <v>574</v>
      </c>
      <c r="C61" t="s">
        <v>575</v>
      </c>
      <c r="D61" t="s">
        <v>1828</v>
      </c>
      <c r="E61" t="s">
        <v>1829</v>
      </c>
      <c r="F61" t="s">
        <v>1830</v>
      </c>
      <c r="G61" t="s">
        <v>1828</v>
      </c>
    </row>
    <row r="62" spans="1:7">
      <c r="A62" t="s">
        <v>96</v>
      </c>
      <c r="B62" t="s">
        <v>578</v>
      </c>
      <c r="C62" t="s">
        <v>579</v>
      </c>
      <c r="D62" t="s">
        <v>1828</v>
      </c>
      <c r="E62" t="s">
        <v>1829</v>
      </c>
      <c r="F62" t="s">
        <v>1830</v>
      </c>
      <c r="G62" t="s">
        <v>1828</v>
      </c>
    </row>
    <row r="63" spans="1:7">
      <c r="A63" t="s">
        <v>97</v>
      </c>
      <c r="B63" t="s">
        <v>582</v>
      </c>
      <c r="C63" t="s">
        <v>583</v>
      </c>
      <c r="D63" t="s">
        <v>1828</v>
      </c>
      <c r="E63" t="s">
        <v>1829</v>
      </c>
      <c r="F63" t="s">
        <v>1830</v>
      </c>
      <c r="G63" t="s">
        <v>1828</v>
      </c>
    </row>
    <row r="64" spans="1:7">
      <c r="A64" t="s">
        <v>98</v>
      </c>
      <c r="B64" t="s">
        <v>586</v>
      </c>
      <c r="C64" t="s">
        <v>587</v>
      </c>
      <c r="D64" t="s">
        <v>1828</v>
      </c>
      <c r="E64" t="s">
        <v>1829</v>
      </c>
      <c r="F64" t="s">
        <v>1830</v>
      </c>
      <c r="G64" t="s">
        <v>1828</v>
      </c>
    </row>
    <row r="65" spans="1:7">
      <c r="A65" t="s">
        <v>99</v>
      </c>
      <c r="B65" t="s">
        <v>590</v>
      </c>
      <c r="C65" t="s">
        <v>591</v>
      </c>
      <c r="D65" t="s">
        <v>1828</v>
      </c>
      <c r="E65" t="s">
        <v>1829</v>
      </c>
      <c r="F65" t="s">
        <v>1830</v>
      </c>
      <c r="G65" t="s">
        <v>1828</v>
      </c>
    </row>
    <row r="66" spans="1:7">
      <c r="A66" t="s">
        <v>100</v>
      </c>
      <c r="B66" t="s">
        <v>594</v>
      </c>
      <c r="C66" t="s">
        <v>595</v>
      </c>
      <c r="D66" t="s">
        <v>1828</v>
      </c>
      <c r="E66" t="s">
        <v>1829</v>
      </c>
      <c r="F66" t="s">
        <v>1830</v>
      </c>
      <c r="G66" t="s">
        <v>1828</v>
      </c>
    </row>
    <row r="67" spans="1:7">
      <c r="A67" t="s">
        <v>101</v>
      </c>
      <c r="B67" t="s">
        <v>598</v>
      </c>
      <c r="C67" t="s">
        <v>599</v>
      </c>
      <c r="D67" t="s">
        <v>1828</v>
      </c>
      <c r="E67" t="s">
        <v>1829</v>
      </c>
      <c r="F67" t="s">
        <v>1830</v>
      </c>
      <c r="G67" t="s">
        <v>1828</v>
      </c>
    </row>
    <row r="68" spans="1:7">
      <c r="A68" t="s">
        <v>102</v>
      </c>
      <c r="B68" t="s">
        <v>602</v>
      </c>
      <c r="C68" t="s">
        <v>603</v>
      </c>
      <c r="D68" t="s">
        <v>1828</v>
      </c>
      <c r="E68" t="s">
        <v>1829</v>
      </c>
      <c r="F68" t="s">
        <v>1830</v>
      </c>
      <c r="G68" t="s">
        <v>1828</v>
      </c>
    </row>
    <row r="69" spans="1:7">
      <c r="A69" t="s">
        <v>103</v>
      </c>
      <c r="B69" t="s">
        <v>606</v>
      </c>
      <c r="C69" t="s">
        <v>607</v>
      </c>
      <c r="D69" t="s">
        <v>1828</v>
      </c>
      <c r="E69" t="s">
        <v>1829</v>
      </c>
      <c r="F69" t="s">
        <v>1830</v>
      </c>
      <c r="G69" t="s">
        <v>1828</v>
      </c>
    </row>
    <row r="70" spans="1:7">
      <c r="A70" t="s">
        <v>104</v>
      </c>
      <c r="B70" t="s">
        <v>610</v>
      </c>
      <c r="C70" t="s">
        <v>611</v>
      </c>
      <c r="D70" t="s">
        <v>1828</v>
      </c>
      <c r="E70" t="s">
        <v>1829</v>
      </c>
      <c r="F70" t="s">
        <v>1830</v>
      </c>
      <c r="G70" t="s">
        <v>1828</v>
      </c>
    </row>
    <row r="71" spans="1:7">
      <c r="A71" t="s">
        <v>105</v>
      </c>
      <c r="B71" t="s">
        <v>614</v>
      </c>
      <c r="C71" t="s">
        <v>615</v>
      </c>
      <c r="D71" t="s">
        <v>1828</v>
      </c>
      <c r="E71" t="s">
        <v>1829</v>
      </c>
      <c r="F71" t="s">
        <v>1830</v>
      </c>
      <c r="G71" t="s">
        <v>1828</v>
      </c>
    </row>
    <row r="72" spans="1:7">
      <c r="A72" t="s">
        <v>106</v>
      </c>
      <c r="B72" t="s">
        <v>618</v>
      </c>
      <c r="C72" t="s">
        <v>619</v>
      </c>
      <c r="D72" t="s">
        <v>1828</v>
      </c>
      <c r="E72" t="s">
        <v>1829</v>
      </c>
      <c r="F72" t="s">
        <v>1830</v>
      </c>
      <c r="G72" t="s">
        <v>1828</v>
      </c>
    </row>
    <row r="73" spans="1:7">
      <c r="A73" t="s">
        <v>107</v>
      </c>
      <c r="B73" t="s">
        <v>622</v>
      </c>
      <c r="C73" t="s">
        <v>623</v>
      </c>
      <c r="D73" t="s">
        <v>1828</v>
      </c>
      <c r="E73" t="s">
        <v>1829</v>
      </c>
      <c r="F73" t="s">
        <v>1830</v>
      </c>
      <c r="G73" t="s">
        <v>1828</v>
      </c>
    </row>
    <row r="74" spans="1:7">
      <c r="A74" t="s">
        <v>108</v>
      </c>
      <c r="B74" t="s">
        <v>626</v>
      </c>
      <c r="C74" t="s">
        <v>627</v>
      </c>
      <c r="D74" t="s">
        <v>1828</v>
      </c>
      <c r="E74" t="s">
        <v>1829</v>
      </c>
      <c r="F74" t="s">
        <v>1830</v>
      </c>
      <c r="G74" t="s">
        <v>1828</v>
      </c>
    </row>
    <row r="75" spans="1:7">
      <c r="A75" t="s">
        <v>109</v>
      </c>
      <c r="B75" t="s">
        <v>630</v>
      </c>
      <c r="C75" t="s">
        <v>631</v>
      </c>
      <c r="D75" t="s">
        <v>1828</v>
      </c>
      <c r="E75" t="s">
        <v>1829</v>
      </c>
      <c r="F75" t="s">
        <v>1830</v>
      </c>
      <c r="G75" t="s">
        <v>1828</v>
      </c>
    </row>
    <row r="76" spans="1:7">
      <c r="A76" t="s">
        <v>110</v>
      </c>
      <c r="B76" t="s">
        <v>630</v>
      </c>
      <c r="C76" t="s">
        <v>634</v>
      </c>
      <c r="D76" t="s">
        <v>1828</v>
      </c>
      <c r="E76" t="s">
        <v>1829</v>
      </c>
      <c r="F76" t="s">
        <v>1830</v>
      </c>
      <c r="G76" t="s">
        <v>1828</v>
      </c>
    </row>
    <row r="77" spans="1:7">
      <c r="A77" t="s">
        <v>111</v>
      </c>
      <c r="B77" t="s">
        <v>630</v>
      </c>
      <c r="C77" t="s">
        <v>636</v>
      </c>
      <c r="D77" t="s">
        <v>1828</v>
      </c>
      <c r="E77" t="s">
        <v>1829</v>
      </c>
      <c r="F77" t="s">
        <v>1830</v>
      </c>
      <c r="G77" t="s">
        <v>1828</v>
      </c>
    </row>
    <row r="78" spans="1:7">
      <c r="A78" t="s">
        <v>112</v>
      </c>
      <c r="B78" t="s">
        <v>630</v>
      </c>
      <c r="C78" t="s">
        <v>638</v>
      </c>
      <c r="D78" t="s">
        <v>1828</v>
      </c>
      <c r="E78" t="s">
        <v>1829</v>
      </c>
      <c r="F78" t="s">
        <v>1830</v>
      </c>
      <c r="G78" t="s">
        <v>1828</v>
      </c>
    </row>
    <row r="79" spans="1:7">
      <c r="A79" t="s">
        <v>113</v>
      </c>
      <c r="B79" t="s">
        <v>640</v>
      </c>
      <c r="C79" t="s">
        <v>641</v>
      </c>
      <c r="D79" t="s">
        <v>1828</v>
      </c>
      <c r="E79" t="s">
        <v>1829</v>
      </c>
      <c r="F79" t="s">
        <v>1830</v>
      </c>
      <c r="G79" t="s">
        <v>1828</v>
      </c>
    </row>
    <row r="80" spans="1:7">
      <c r="A80" t="s">
        <v>114</v>
      </c>
      <c r="B80" t="s">
        <v>646</v>
      </c>
      <c r="C80" t="s">
        <v>647</v>
      </c>
      <c r="D80" t="s">
        <v>1828</v>
      </c>
      <c r="E80" t="s">
        <v>1829</v>
      </c>
      <c r="F80" t="s">
        <v>1830</v>
      </c>
      <c r="G80" t="s">
        <v>1828</v>
      </c>
    </row>
    <row r="81" spans="1:7">
      <c r="A81" t="s">
        <v>115</v>
      </c>
      <c r="B81" t="s">
        <v>651</v>
      </c>
      <c r="C81" t="s">
        <v>652</v>
      </c>
      <c r="D81" t="s">
        <v>1828</v>
      </c>
      <c r="E81" t="s">
        <v>1829</v>
      </c>
      <c r="F81" t="s">
        <v>1830</v>
      </c>
      <c r="G81" t="s">
        <v>1828</v>
      </c>
    </row>
    <row r="82" spans="1:7">
      <c r="A82" t="s">
        <v>116</v>
      </c>
      <c r="B82" t="s">
        <v>656</v>
      </c>
      <c r="C82" t="s">
        <v>657</v>
      </c>
      <c r="D82" t="s">
        <v>1828</v>
      </c>
      <c r="E82" t="s">
        <v>1829</v>
      </c>
      <c r="F82" t="s">
        <v>1830</v>
      </c>
      <c r="G82" t="s">
        <v>1828</v>
      </c>
    </row>
    <row r="83" spans="1:7">
      <c r="A83" t="s">
        <v>117</v>
      </c>
      <c r="B83" t="s">
        <v>664</v>
      </c>
      <c r="C83" t="s">
        <v>665</v>
      </c>
      <c r="D83" t="s">
        <v>1828</v>
      </c>
      <c r="E83" t="s">
        <v>1829</v>
      </c>
      <c r="F83" t="s">
        <v>1830</v>
      </c>
      <c r="G83" t="s">
        <v>1828</v>
      </c>
    </row>
    <row r="84" spans="1:7">
      <c r="A84" t="s">
        <v>118</v>
      </c>
      <c r="B84" t="s">
        <v>664</v>
      </c>
      <c r="C84" t="s">
        <v>669</v>
      </c>
      <c r="D84" t="s">
        <v>1828</v>
      </c>
      <c r="E84" t="s">
        <v>1829</v>
      </c>
      <c r="F84" t="s">
        <v>1830</v>
      </c>
      <c r="G84" t="s">
        <v>1828</v>
      </c>
    </row>
    <row r="85" spans="1:7">
      <c r="A85" t="s">
        <v>119</v>
      </c>
      <c r="B85" t="s">
        <v>664</v>
      </c>
      <c r="C85" t="s">
        <v>673</v>
      </c>
      <c r="D85" t="s">
        <v>1828</v>
      </c>
      <c r="E85" t="s">
        <v>1829</v>
      </c>
      <c r="F85" t="s">
        <v>1830</v>
      </c>
      <c r="G85" t="s">
        <v>1828</v>
      </c>
    </row>
    <row r="86" spans="1:7">
      <c r="A86" t="s">
        <v>120</v>
      </c>
      <c r="B86" t="s">
        <v>664</v>
      </c>
      <c r="C86" t="s">
        <v>677</v>
      </c>
      <c r="D86" t="s">
        <v>1828</v>
      </c>
      <c r="E86" t="s">
        <v>1829</v>
      </c>
      <c r="F86" t="s">
        <v>1830</v>
      </c>
      <c r="G86" t="s">
        <v>1828</v>
      </c>
    </row>
    <row r="87" spans="1:7">
      <c r="A87" t="s">
        <v>121</v>
      </c>
      <c r="B87" t="s">
        <v>664</v>
      </c>
      <c r="C87" t="s">
        <v>681</v>
      </c>
      <c r="D87" t="s">
        <v>1828</v>
      </c>
      <c r="E87" t="s">
        <v>1829</v>
      </c>
      <c r="F87" t="s">
        <v>1830</v>
      </c>
      <c r="G87" t="s">
        <v>1828</v>
      </c>
    </row>
    <row r="88" spans="1:7">
      <c r="A88" t="s">
        <v>122</v>
      </c>
      <c r="B88" t="s">
        <v>664</v>
      </c>
      <c r="C88" t="s">
        <v>685</v>
      </c>
      <c r="D88" t="s">
        <v>1828</v>
      </c>
      <c r="E88" t="s">
        <v>1829</v>
      </c>
      <c r="F88" t="s">
        <v>1830</v>
      </c>
      <c r="G88" t="s">
        <v>1828</v>
      </c>
    </row>
    <row r="89" spans="1:7">
      <c r="A89" t="s">
        <v>123</v>
      </c>
      <c r="B89" t="s">
        <v>664</v>
      </c>
      <c r="C89" t="s">
        <v>689</v>
      </c>
      <c r="D89" t="s">
        <v>1828</v>
      </c>
      <c r="E89" t="s">
        <v>1829</v>
      </c>
      <c r="F89" t="s">
        <v>1830</v>
      </c>
      <c r="G89" t="s">
        <v>1828</v>
      </c>
    </row>
    <row r="90" spans="1:7">
      <c r="A90" t="s">
        <v>124</v>
      </c>
      <c r="B90" t="s">
        <v>664</v>
      </c>
      <c r="C90" t="s">
        <v>693</v>
      </c>
      <c r="D90" t="s">
        <v>1828</v>
      </c>
      <c r="E90" t="s">
        <v>1829</v>
      </c>
      <c r="F90" t="s">
        <v>1830</v>
      </c>
      <c r="G90" t="s">
        <v>1828</v>
      </c>
    </row>
    <row r="91" spans="1:7">
      <c r="A91" t="s">
        <v>125</v>
      </c>
      <c r="B91" t="s">
        <v>664</v>
      </c>
      <c r="C91" t="s">
        <v>697</v>
      </c>
      <c r="D91" t="s">
        <v>1828</v>
      </c>
      <c r="E91" t="s">
        <v>1829</v>
      </c>
      <c r="F91" t="s">
        <v>1830</v>
      </c>
      <c r="G91" t="s">
        <v>1828</v>
      </c>
    </row>
    <row r="92" spans="1:7">
      <c r="A92" t="s">
        <v>126</v>
      </c>
      <c r="B92" t="s">
        <v>701</v>
      </c>
      <c r="C92" t="s">
        <v>702</v>
      </c>
      <c r="D92" t="s">
        <v>1828</v>
      </c>
      <c r="E92" t="s">
        <v>1829</v>
      </c>
      <c r="F92" t="s">
        <v>1830</v>
      </c>
      <c r="G92" t="s">
        <v>1828</v>
      </c>
    </row>
    <row r="93" spans="1:7">
      <c r="A93" t="s">
        <v>127</v>
      </c>
      <c r="B93" t="s">
        <v>706</v>
      </c>
      <c r="C93" t="s">
        <v>708</v>
      </c>
      <c r="D93" t="s">
        <v>1828</v>
      </c>
      <c r="E93" t="s">
        <v>1829</v>
      </c>
      <c r="F93" t="s">
        <v>1830</v>
      </c>
      <c r="G93" t="s">
        <v>1828</v>
      </c>
    </row>
    <row r="94" spans="1:7">
      <c r="A94" t="s">
        <v>128</v>
      </c>
      <c r="B94" t="s">
        <v>713</v>
      </c>
      <c r="C94" t="s">
        <v>714</v>
      </c>
      <c r="D94" t="s">
        <v>1828</v>
      </c>
      <c r="E94" t="s">
        <v>1829</v>
      </c>
      <c r="F94" t="s">
        <v>1830</v>
      </c>
      <c r="G94" t="s">
        <v>1828</v>
      </c>
    </row>
    <row r="95" spans="1:7">
      <c r="A95" t="s">
        <v>129</v>
      </c>
      <c r="B95" t="s">
        <v>713</v>
      </c>
      <c r="C95" t="s">
        <v>717</v>
      </c>
      <c r="D95" t="s">
        <v>1828</v>
      </c>
      <c r="E95" t="s">
        <v>1829</v>
      </c>
      <c r="F95" t="s">
        <v>1830</v>
      </c>
      <c r="G95" t="s">
        <v>1828</v>
      </c>
    </row>
    <row r="96" spans="1:7">
      <c r="A96" t="s">
        <v>130</v>
      </c>
      <c r="B96" t="s">
        <v>713</v>
      </c>
      <c r="C96" t="s">
        <v>721</v>
      </c>
      <c r="D96" t="s">
        <v>1828</v>
      </c>
      <c r="E96" t="s">
        <v>1829</v>
      </c>
      <c r="F96" t="s">
        <v>1830</v>
      </c>
      <c r="G96" t="s">
        <v>1828</v>
      </c>
    </row>
    <row r="97" spans="1:7">
      <c r="A97" t="s">
        <v>131</v>
      </c>
      <c r="B97" t="s">
        <v>713</v>
      </c>
      <c r="C97" t="s">
        <v>724</v>
      </c>
      <c r="D97" t="s">
        <v>1828</v>
      </c>
      <c r="E97" t="s">
        <v>1829</v>
      </c>
      <c r="F97" t="s">
        <v>1830</v>
      </c>
      <c r="G97" t="s">
        <v>1828</v>
      </c>
    </row>
    <row r="98" spans="1:7">
      <c r="A98" t="s">
        <v>132</v>
      </c>
      <c r="B98" t="s">
        <v>713</v>
      </c>
      <c r="C98" t="s">
        <v>728</v>
      </c>
      <c r="D98" t="s">
        <v>1828</v>
      </c>
      <c r="E98" t="s">
        <v>1829</v>
      </c>
      <c r="F98" t="s">
        <v>1830</v>
      </c>
      <c r="G98" t="s">
        <v>1828</v>
      </c>
    </row>
    <row r="99" spans="1:7">
      <c r="A99" t="s">
        <v>133</v>
      </c>
      <c r="B99" t="s">
        <v>732</v>
      </c>
      <c r="C99" t="s">
        <v>733</v>
      </c>
      <c r="D99" t="s">
        <v>1828</v>
      </c>
      <c r="E99" t="s">
        <v>1829</v>
      </c>
      <c r="F99" t="s">
        <v>1830</v>
      </c>
      <c r="G99" t="s">
        <v>1828</v>
      </c>
    </row>
    <row r="100" spans="1:7">
      <c r="A100" t="s">
        <v>134</v>
      </c>
      <c r="B100" t="s">
        <v>737</v>
      </c>
      <c r="C100" t="s">
        <v>738</v>
      </c>
      <c r="D100" t="s">
        <v>1828</v>
      </c>
      <c r="E100" t="s">
        <v>1829</v>
      </c>
      <c r="F100" t="s">
        <v>1830</v>
      </c>
      <c r="G100" t="s">
        <v>1828</v>
      </c>
    </row>
    <row r="101" spans="1:7">
      <c r="A101" t="s">
        <v>135</v>
      </c>
      <c r="B101" t="s">
        <v>1836</v>
      </c>
      <c r="C101" t="s">
        <v>743</v>
      </c>
      <c r="D101" t="s">
        <v>1828</v>
      </c>
      <c r="E101" t="s">
        <v>1829</v>
      </c>
      <c r="F101" t="s">
        <v>1830</v>
      </c>
      <c r="G101" t="s">
        <v>1828</v>
      </c>
    </row>
    <row r="102" spans="1:7">
      <c r="A102" t="s">
        <v>136</v>
      </c>
      <c r="B102" t="s">
        <v>1837</v>
      </c>
      <c r="C102" t="s">
        <v>748</v>
      </c>
      <c r="D102" t="s">
        <v>1828</v>
      </c>
      <c r="E102" t="s">
        <v>1829</v>
      </c>
      <c r="F102" t="s">
        <v>1830</v>
      </c>
      <c r="G102" t="s">
        <v>1828</v>
      </c>
    </row>
    <row r="103" spans="1:7">
      <c r="A103" t="s">
        <v>137</v>
      </c>
      <c r="B103" t="s">
        <v>1837</v>
      </c>
      <c r="C103" t="s">
        <v>753</v>
      </c>
      <c r="D103" t="s">
        <v>1828</v>
      </c>
      <c r="E103" t="s">
        <v>1829</v>
      </c>
      <c r="F103" t="s">
        <v>1830</v>
      </c>
      <c r="G103" t="s">
        <v>1828</v>
      </c>
    </row>
    <row r="104" spans="1:7">
      <c r="A104" t="s">
        <v>138</v>
      </c>
      <c r="B104" t="s">
        <v>1837</v>
      </c>
      <c r="C104" t="s">
        <v>758</v>
      </c>
      <c r="D104" t="s">
        <v>1828</v>
      </c>
      <c r="E104" t="s">
        <v>1829</v>
      </c>
      <c r="F104" t="s">
        <v>1830</v>
      </c>
      <c r="G104" t="s">
        <v>1828</v>
      </c>
    </row>
    <row r="105" spans="1:7">
      <c r="A105" t="s">
        <v>139</v>
      </c>
      <c r="B105" t="s">
        <v>1837</v>
      </c>
      <c r="C105" t="s">
        <v>763</v>
      </c>
      <c r="D105" t="s">
        <v>1828</v>
      </c>
      <c r="E105" t="s">
        <v>1829</v>
      </c>
      <c r="F105" t="s">
        <v>1830</v>
      </c>
      <c r="G105" t="s">
        <v>1828</v>
      </c>
    </row>
    <row r="106" spans="1:7">
      <c r="A106" t="s">
        <v>140</v>
      </c>
      <c r="B106" t="s">
        <v>1837</v>
      </c>
      <c r="C106" t="s">
        <v>768</v>
      </c>
      <c r="D106" t="s">
        <v>1828</v>
      </c>
      <c r="E106" t="s">
        <v>1829</v>
      </c>
      <c r="F106" t="s">
        <v>1830</v>
      </c>
      <c r="G106" t="s">
        <v>1828</v>
      </c>
    </row>
    <row r="107" spans="1:7">
      <c r="A107" t="s">
        <v>141</v>
      </c>
      <c r="B107" t="s">
        <v>1838</v>
      </c>
      <c r="C107" t="s">
        <v>776</v>
      </c>
      <c r="D107" t="s">
        <v>1828</v>
      </c>
      <c r="E107" t="s">
        <v>1829</v>
      </c>
      <c r="F107" t="s">
        <v>1830</v>
      </c>
      <c r="G107" t="s">
        <v>1828</v>
      </c>
    </row>
    <row r="108" spans="1:7">
      <c r="A108" t="s">
        <v>142</v>
      </c>
      <c r="B108" t="s">
        <v>1838</v>
      </c>
      <c r="C108" t="s">
        <v>781</v>
      </c>
      <c r="D108" t="s">
        <v>1828</v>
      </c>
      <c r="E108" t="s">
        <v>1829</v>
      </c>
      <c r="F108" t="s">
        <v>1830</v>
      </c>
      <c r="G108" t="s">
        <v>1828</v>
      </c>
    </row>
    <row r="109" spans="1:7">
      <c r="A109" t="s">
        <v>143</v>
      </c>
      <c r="B109" t="s">
        <v>1838</v>
      </c>
      <c r="C109" t="s">
        <v>785</v>
      </c>
      <c r="D109" t="s">
        <v>1828</v>
      </c>
      <c r="E109" t="s">
        <v>1829</v>
      </c>
      <c r="F109" t="s">
        <v>1830</v>
      </c>
      <c r="G109" t="s">
        <v>1828</v>
      </c>
    </row>
    <row r="110" spans="1:7">
      <c r="A110" t="s">
        <v>144</v>
      </c>
      <c r="B110" t="s">
        <v>1838</v>
      </c>
      <c r="C110" t="s">
        <v>790</v>
      </c>
      <c r="D110" t="s">
        <v>1828</v>
      </c>
      <c r="E110" t="s">
        <v>1829</v>
      </c>
      <c r="F110" t="s">
        <v>1830</v>
      </c>
      <c r="G110" t="s">
        <v>1828</v>
      </c>
    </row>
    <row r="111" spans="1:7">
      <c r="A111" t="s">
        <v>145</v>
      </c>
      <c r="B111" t="s">
        <v>1838</v>
      </c>
      <c r="C111" t="s">
        <v>794</v>
      </c>
      <c r="D111" t="s">
        <v>1828</v>
      </c>
      <c r="E111" t="s">
        <v>1829</v>
      </c>
      <c r="F111" t="s">
        <v>1830</v>
      </c>
      <c r="G111" t="s">
        <v>1828</v>
      </c>
    </row>
    <row r="112" spans="1:7">
      <c r="A112" t="s">
        <v>146</v>
      </c>
      <c r="B112" t="s">
        <v>1838</v>
      </c>
      <c r="C112" t="s">
        <v>799</v>
      </c>
      <c r="D112" t="s">
        <v>1828</v>
      </c>
      <c r="E112" t="s">
        <v>1829</v>
      </c>
      <c r="F112" t="s">
        <v>1830</v>
      </c>
      <c r="G112" t="s">
        <v>1828</v>
      </c>
    </row>
    <row r="113" spans="1:7">
      <c r="A113" t="s">
        <v>147</v>
      </c>
      <c r="B113" t="s">
        <v>1838</v>
      </c>
      <c r="C113" t="s">
        <v>804</v>
      </c>
      <c r="D113" t="s">
        <v>1828</v>
      </c>
      <c r="E113" t="s">
        <v>1829</v>
      </c>
      <c r="F113" t="s">
        <v>1830</v>
      </c>
      <c r="G113" t="s">
        <v>1828</v>
      </c>
    </row>
    <row r="114" spans="1:7">
      <c r="A114" t="s">
        <v>148</v>
      </c>
      <c r="B114" t="s">
        <v>1838</v>
      </c>
      <c r="C114" t="s">
        <v>809</v>
      </c>
      <c r="D114" t="s">
        <v>1828</v>
      </c>
      <c r="E114" t="s">
        <v>1829</v>
      </c>
      <c r="F114" t="s">
        <v>1830</v>
      </c>
      <c r="G114" t="s">
        <v>1828</v>
      </c>
    </row>
    <row r="115" spans="1:7">
      <c r="A115" t="s">
        <v>149</v>
      </c>
      <c r="B115" t="s">
        <v>1838</v>
      </c>
      <c r="C115" t="s">
        <v>814</v>
      </c>
      <c r="D115" t="s">
        <v>1828</v>
      </c>
      <c r="E115" t="s">
        <v>1829</v>
      </c>
      <c r="F115" t="s">
        <v>1830</v>
      </c>
      <c r="G115" t="s">
        <v>1828</v>
      </c>
    </row>
    <row r="116" spans="1:7">
      <c r="A116" t="s">
        <v>150</v>
      </c>
      <c r="B116" t="s">
        <v>1838</v>
      </c>
      <c r="C116" t="s">
        <v>819</v>
      </c>
      <c r="D116" t="s">
        <v>1828</v>
      </c>
      <c r="E116" t="s">
        <v>1829</v>
      </c>
      <c r="F116" t="s">
        <v>1830</v>
      </c>
      <c r="G116" t="s">
        <v>1828</v>
      </c>
    </row>
    <row r="117" spans="1:7">
      <c r="A117" t="s">
        <v>151</v>
      </c>
      <c r="B117" t="s">
        <v>1838</v>
      </c>
      <c r="C117" t="s">
        <v>824</v>
      </c>
      <c r="D117" t="s">
        <v>1828</v>
      </c>
      <c r="E117" t="s">
        <v>1829</v>
      </c>
      <c r="F117" t="s">
        <v>1830</v>
      </c>
      <c r="G117" t="s">
        <v>1828</v>
      </c>
    </row>
    <row r="118" spans="1:7">
      <c r="A118" t="s">
        <v>152</v>
      </c>
      <c r="B118" t="s">
        <v>1838</v>
      </c>
      <c r="C118" t="s">
        <v>829</v>
      </c>
      <c r="D118" t="s">
        <v>1828</v>
      </c>
      <c r="E118" t="s">
        <v>1829</v>
      </c>
      <c r="F118" t="s">
        <v>1830</v>
      </c>
      <c r="G118" t="s">
        <v>1828</v>
      </c>
    </row>
    <row r="119" spans="1:7">
      <c r="A119" t="s">
        <v>153</v>
      </c>
      <c r="B119" t="s">
        <v>1838</v>
      </c>
      <c r="C119" t="s">
        <v>834</v>
      </c>
      <c r="D119" t="s">
        <v>1828</v>
      </c>
      <c r="E119" t="s">
        <v>1829</v>
      </c>
      <c r="F119" t="s">
        <v>1830</v>
      </c>
      <c r="G119" t="s">
        <v>1828</v>
      </c>
    </row>
    <row r="120" spans="1:7">
      <c r="A120" t="s">
        <v>154</v>
      </c>
      <c r="B120" t="s">
        <v>1838</v>
      </c>
      <c r="C120" t="s">
        <v>839</v>
      </c>
      <c r="D120" t="s">
        <v>1828</v>
      </c>
      <c r="E120" t="s">
        <v>1829</v>
      </c>
      <c r="F120" t="s">
        <v>1830</v>
      </c>
      <c r="G120" t="s">
        <v>1828</v>
      </c>
    </row>
    <row r="121" spans="1:7">
      <c r="A121" t="s">
        <v>155</v>
      </c>
      <c r="B121" t="s">
        <v>1839</v>
      </c>
      <c r="C121" t="s">
        <v>843</v>
      </c>
      <c r="D121" t="s">
        <v>1828</v>
      </c>
      <c r="E121" t="s">
        <v>1829</v>
      </c>
      <c r="F121" t="s">
        <v>1830</v>
      </c>
      <c r="G121" t="s">
        <v>1828</v>
      </c>
    </row>
    <row r="122" spans="1:7">
      <c r="A122" t="s">
        <v>156</v>
      </c>
      <c r="B122" t="s">
        <v>1839</v>
      </c>
      <c r="C122" t="s">
        <v>847</v>
      </c>
      <c r="D122" t="s">
        <v>1828</v>
      </c>
      <c r="E122" t="s">
        <v>1829</v>
      </c>
      <c r="F122" t="s">
        <v>1830</v>
      </c>
      <c r="G122" t="s">
        <v>1828</v>
      </c>
    </row>
    <row r="123" spans="1:7">
      <c r="A123" t="s">
        <v>157</v>
      </c>
      <c r="B123" t="s">
        <v>1839</v>
      </c>
      <c r="C123" t="s">
        <v>851</v>
      </c>
      <c r="D123" t="s">
        <v>1828</v>
      </c>
      <c r="E123" t="s">
        <v>1829</v>
      </c>
      <c r="F123" t="s">
        <v>1830</v>
      </c>
      <c r="G123" t="s">
        <v>1828</v>
      </c>
    </row>
    <row r="124" spans="1:7">
      <c r="A124" t="s">
        <v>158</v>
      </c>
      <c r="B124" t="s">
        <v>1839</v>
      </c>
      <c r="C124" t="s">
        <v>856</v>
      </c>
      <c r="D124" t="s">
        <v>1828</v>
      </c>
      <c r="E124" t="s">
        <v>1829</v>
      </c>
      <c r="F124" t="s">
        <v>1830</v>
      </c>
      <c r="G124" t="s">
        <v>1828</v>
      </c>
    </row>
    <row r="125" spans="1:7">
      <c r="A125" t="s">
        <v>159</v>
      </c>
      <c r="B125" t="s">
        <v>1839</v>
      </c>
      <c r="C125" t="s">
        <v>861</v>
      </c>
      <c r="D125" t="s">
        <v>1828</v>
      </c>
      <c r="E125" t="s">
        <v>1829</v>
      </c>
      <c r="F125" t="s">
        <v>1830</v>
      </c>
      <c r="G125" t="s">
        <v>1828</v>
      </c>
    </row>
    <row r="126" spans="1:7">
      <c r="A126" t="s">
        <v>160</v>
      </c>
      <c r="B126" t="s">
        <v>1839</v>
      </c>
      <c r="C126" t="s">
        <v>866</v>
      </c>
      <c r="D126" t="s">
        <v>1828</v>
      </c>
      <c r="E126" t="s">
        <v>1829</v>
      </c>
      <c r="F126" t="s">
        <v>1830</v>
      </c>
      <c r="G126" t="s">
        <v>1828</v>
      </c>
    </row>
    <row r="127" spans="1:7">
      <c r="A127" t="s">
        <v>161</v>
      </c>
      <c r="B127" t="s">
        <v>1839</v>
      </c>
      <c r="C127" t="s">
        <v>870</v>
      </c>
      <c r="D127" t="s">
        <v>1828</v>
      </c>
      <c r="E127" t="s">
        <v>1829</v>
      </c>
      <c r="F127" t="s">
        <v>1830</v>
      </c>
      <c r="G127" t="s">
        <v>1828</v>
      </c>
    </row>
    <row r="128" spans="1:7">
      <c r="A128" t="s">
        <v>162</v>
      </c>
      <c r="B128" t="s">
        <v>1839</v>
      </c>
      <c r="C128" t="s">
        <v>875</v>
      </c>
      <c r="D128" t="s">
        <v>1828</v>
      </c>
      <c r="E128" t="s">
        <v>1829</v>
      </c>
      <c r="F128" t="s">
        <v>1830</v>
      </c>
      <c r="G128" t="s">
        <v>1828</v>
      </c>
    </row>
    <row r="129" spans="1:7">
      <c r="A129" t="s">
        <v>163</v>
      </c>
      <c r="B129" t="s">
        <v>1840</v>
      </c>
      <c r="C129" t="s">
        <v>881</v>
      </c>
      <c r="D129" t="s">
        <v>1828</v>
      </c>
      <c r="E129" t="s">
        <v>1829</v>
      </c>
      <c r="F129" t="s">
        <v>1830</v>
      </c>
      <c r="G129" t="s">
        <v>1828</v>
      </c>
    </row>
    <row r="130" spans="1:7">
      <c r="A130" t="s">
        <v>164</v>
      </c>
      <c r="B130" t="s">
        <v>1840</v>
      </c>
      <c r="C130" t="s">
        <v>886</v>
      </c>
      <c r="D130" t="s">
        <v>1828</v>
      </c>
      <c r="E130" t="s">
        <v>1829</v>
      </c>
      <c r="F130" t="s">
        <v>1830</v>
      </c>
      <c r="G130" t="s">
        <v>1828</v>
      </c>
    </row>
    <row r="131" spans="1:7">
      <c r="A131" t="s">
        <v>165</v>
      </c>
      <c r="B131" t="s">
        <v>1840</v>
      </c>
      <c r="C131" t="s">
        <v>891</v>
      </c>
      <c r="D131" t="s">
        <v>1828</v>
      </c>
      <c r="E131" t="s">
        <v>1829</v>
      </c>
      <c r="F131" t="s">
        <v>1830</v>
      </c>
      <c r="G131" t="s">
        <v>1828</v>
      </c>
    </row>
    <row r="132" spans="1:7">
      <c r="A132" t="s">
        <v>166</v>
      </c>
      <c r="B132" t="s">
        <v>1840</v>
      </c>
      <c r="C132" t="s">
        <v>896</v>
      </c>
      <c r="D132" t="s">
        <v>1828</v>
      </c>
      <c r="E132" t="s">
        <v>1829</v>
      </c>
      <c r="F132" t="s">
        <v>1830</v>
      </c>
      <c r="G132" t="s">
        <v>1828</v>
      </c>
    </row>
    <row r="133" spans="1:7">
      <c r="A133" t="s">
        <v>167</v>
      </c>
      <c r="B133" t="s">
        <v>1840</v>
      </c>
      <c r="C133" t="s">
        <v>901</v>
      </c>
      <c r="D133" t="s">
        <v>1828</v>
      </c>
      <c r="E133" t="s">
        <v>1829</v>
      </c>
      <c r="F133" t="s">
        <v>1830</v>
      </c>
      <c r="G133" t="s">
        <v>1828</v>
      </c>
    </row>
    <row r="134" spans="1:7">
      <c r="A134" t="s">
        <v>168</v>
      </c>
      <c r="B134" t="s">
        <v>906</v>
      </c>
      <c r="C134" t="s">
        <v>907</v>
      </c>
      <c r="D134" t="s">
        <v>1841</v>
      </c>
      <c r="E134" t="s">
        <v>1842</v>
      </c>
      <c r="F134" t="s">
        <v>1843</v>
      </c>
      <c r="G134" t="s">
        <v>1828</v>
      </c>
    </row>
    <row r="135" spans="1:7">
      <c r="A135" t="s">
        <v>170</v>
      </c>
      <c r="B135" t="s">
        <v>910</v>
      </c>
      <c r="C135" t="s">
        <v>911</v>
      </c>
      <c r="D135" t="s">
        <v>1841</v>
      </c>
      <c r="E135" t="s">
        <v>1842</v>
      </c>
      <c r="F135" t="s">
        <v>1843</v>
      </c>
      <c r="G135" t="s">
        <v>1828</v>
      </c>
    </row>
    <row r="136" spans="1:7">
      <c r="A136" t="s">
        <v>171</v>
      </c>
      <c r="B136" t="s">
        <v>914</v>
      </c>
      <c r="C136" t="s">
        <v>915</v>
      </c>
      <c r="D136" t="s">
        <v>1841</v>
      </c>
      <c r="E136" t="s">
        <v>1842</v>
      </c>
      <c r="F136" t="s">
        <v>1843</v>
      </c>
      <c r="G136" t="s">
        <v>1828</v>
      </c>
    </row>
    <row r="137" spans="1:7">
      <c r="A137" t="s">
        <v>172</v>
      </c>
      <c r="B137" t="s">
        <v>918</v>
      </c>
      <c r="C137" t="s">
        <v>920</v>
      </c>
      <c r="D137" t="s">
        <v>1828</v>
      </c>
      <c r="E137" t="s">
        <v>1829</v>
      </c>
      <c r="F137" t="s">
        <v>1830</v>
      </c>
      <c r="G137" t="s">
        <v>1828</v>
      </c>
    </row>
    <row r="138" spans="1:7">
      <c r="A138" t="s">
        <v>173</v>
      </c>
      <c r="B138" t="s">
        <v>923</v>
      </c>
      <c r="C138" t="s">
        <v>925</v>
      </c>
      <c r="D138" t="s">
        <v>1841</v>
      </c>
      <c r="E138" t="s">
        <v>1844</v>
      </c>
      <c r="F138" t="s">
        <v>1845</v>
      </c>
      <c r="G138" t="s">
        <v>1828</v>
      </c>
    </row>
    <row r="139" spans="1:7">
      <c r="A139" t="s">
        <v>174</v>
      </c>
      <c r="B139" t="s">
        <v>1846</v>
      </c>
      <c r="C139" t="s">
        <v>929</v>
      </c>
      <c r="D139" t="s">
        <v>1828</v>
      </c>
      <c r="E139" t="s">
        <v>1829</v>
      </c>
      <c r="F139" t="s">
        <v>1830</v>
      </c>
      <c r="G139" t="s">
        <v>1828</v>
      </c>
    </row>
    <row r="140" spans="1:7">
      <c r="A140" t="s">
        <v>175</v>
      </c>
      <c r="B140" t="s">
        <v>932</v>
      </c>
      <c r="C140" t="s">
        <v>933</v>
      </c>
      <c r="D140" t="s">
        <v>1828</v>
      </c>
      <c r="E140" t="s">
        <v>1829</v>
      </c>
      <c r="F140" t="s">
        <v>1830</v>
      </c>
      <c r="G140" t="s">
        <v>1828</v>
      </c>
    </row>
    <row r="141" spans="1:7">
      <c r="A141" t="s">
        <v>176</v>
      </c>
      <c r="B141" t="s">
        <v>936</v>
      </c>
      <c r="C141" t="s">
        <v>937</v>
      </c>
      <c r="D141" t="s">
        <v>1828</v>
      </c>
      <c r="E141" t="s">
        <v>1829</v>
      </c>
      <c r="F141" t="s">
        <v>1830</v>
      </c>
      <c r="G141" t="s">
        <v>1828</v>
      </c>
    </row>
    <row r="142" spans="1:7">
      <c r="A142" t="s">
        <v>177</v>
      </c>
      <c r="B142" t="s">
        <v>940</v>
      </c>
      <c r="C142" t="s">
        <v>941</v>
      </c>
      <c r="D142" t="s">
        <v>1841</v>
      </c>
      <c r="E142" t="s">
        <v>1844</v>
      </c>
      <c r="F142" t="s">
        <v>1845</v>
      </c>
      <c r="G142" t="s">
        <v>1828</v>
      </c>
    </row>
    <row r="143" spans="1:7">
      <c r="A143" t="s">
        <v>178</v>
      </c>
      <c r="B143" t="s">
        <v>944</v>
      </c>
      <c r="C143" t="s">
        <v>945</v>
      </c>
      <c r="D143" t="s">
        <v>1828</v>
      </c>
      <c r="E143" t="s">
        <v>1829</v>
      </c>
      <c r="F143" t="s">
        <v>1830</v>
      </c>
      <c r="G143" t="s">
        <v>1828</v>
      </c>
    </row>
    <row r="144" spans="1:7">
      <c r="A144" t="s">
        <v>179</v>
      </c>
      <c r="B144" t="s">
        <v>948</v>
      </c>
      <c r="C144" t="s">
        <v>949</v>
      </c>
      <c r="D144" t="s">
        <v>1841</v>
      </c>
      <c r="E144" t="s">
        <v>1844</v>
      </c>
      <c r="F144" t="s">
        <v>1845</v>
      </c>
      <c r="G144" t="s">
        <v>1828</v>
      </c>
    </row>
    <row r="145" spans="1:7">
      <c r="A145" t="s">
        <v>180</v>
      </c>
      <c r="B145" t="s">
        <v>952</v>
      </c>
      <c r="C145" t="s">
        <v>953</v>
      </c>
      <c r="D145" t="s">
        <v>1828</v>
      </c>
      <c r="E145" t="s">
        <v>1829</v>
      </c>
      <c r="F145" t="s">
        <v>1830</v>
      </c>
      <c r="G145" t="s">
        <v>1828</v>
      </c>
    </row>
    <row r="146" spans="1:7">
      <c r="A146" t="s">
        <v>181</v>
      </c>
      <c r="B146" t="s">
        <v>956</v>
      </c>
      <c r="C146" t="s">
        <v>957</v>
      </c>
      <c r="D146" t="s">
        <v>1841</v>
      </c>
      <c r="E146" t="s">
        <v>1844</v>
      </c>
      <c r="F146" t="s">
        <v>1845</v>
      </c>
      <c r="G146" t="s">
        <v>1828</v>
      </c>
    </row>
    <row r="147" spans="1:7">
      <c r="A147" t="s">
        <v>182</v>
      </c>
      <c r="B147" t="s">
        <v>960</v>
      </c>
      <c r="C147" t="s">
        <v>961</v>
      </c>
      <c r="D147" t="s">
        <v>1828</v>
      </c>
      <c r="E147" t="s">
        <v>1829</v>
      </c>
      <c r="F147" t="s">
        <v>1830</v>
      </c>
      <c r="G147" t="s">
        <v>1828</v>
      </c>
    </row>
    <row r="148" spans="1:7">
      <c r="A148" t="s">
        <v>183</v>
      </c>
      <c r="B148" t="s">
        <v>964</v>
      </c>
      <c r="C148" t="s">
        <v>965</v>
      </c>
      <c r="D148" t="s">
        <v>1841</v>
      </c>
      <c r="E148" t="s">
        <v>1844</v>
      </c>
      <c r="F148" t="s">
        <v>1845</v>
      </c>
      <c r="G148" t="s">
        <v>1828</v>
      </c>
    </row>
    <row r="149" spans="1:7">
      <c r="A149" t="s">
        <v>184</v>
      </c>
      <c r="B149" t="s">
        <v>1847</v>
      </c>
      <c r="C149" t="s">
        <v>972</v>
      </c>
      <c r="D149" t="s">
        <v>1828</v>
      </c>
      <c r="E149" t="s">
        <v>1829</v>
      </c>
      <c r="F149" t="s">
        <v>1830</v>
      </c>
      <c r="G149" t="s">
        <v>1828</v>
      </c>
    </row>
    <row r="150" spans="1:7">
      <c r="A150" t="s">
        <v>185</v>
      </c>
      <c r="B150" t="s">
        <v>1848</v>
      </c>
      <c r="C150" t="s">
        <v>977</v>
      </c>
      <c r="D150" t="s">
        <v>1828</v>
      </c>
      <c r="E150" t="s">
        <v>1829</v>
      </c>
      <c r="F150" t="s">
        <v>1830</v>
      </c>
      <c r="G150" t="s">
        <v>1828</v>
      </c>
    </row>
    <row r="151" spans="1:7">
      <c r="A151" t="s">
        <v>186</v>
      </c>
      <c r="B151" t="s">
        <v>1849</v>
      </c>
      <c r="C151" t="s">
        <v>983</v>
      </c>
      <c r="D151" t="s">
        <v>1841</v>
      </c>
      <c r="E151" t="s">
        <v>1844</v>
      </c>
      <c r="F151" t="s">
        <v>1845</v>
      </c>
      <c r="G151" t="s">
        <v>1828</v>
      </c>
    </row>
    <row r="152" spans="1:7">
      <c r="A152" t="s">
        <v>187</v>
      </c>
      <c r="B152" t="s">
        <v>1847</v>
      </c>
      <c r="C152" t="s">
        <v>989</v>
      </c>
      <c r="D152" t="s">
        <v>1828</v>
      </c>
      <c r="E152" t="s">
        <v>1829</v>
      </c>
      <c r="F152" t="s">
        <v>1830</v>
      </c>
      <c r="G152" t="s">
        <v>1828</v>
      </c>
    </row>
    <row r="153" spans="1:7">
      <c r="A153" t="s">
        <v>188</v>
      </c>
      <c r="B153" t="s">
        <v>1848</v>
      </c>
      <c r="C153" t="s">
        <v>993</v>
      </c>
      <c r="D153" t="s">
        <v>1828</v>
      </c>
      <c r="E153" t="s">
        <v>1829</v>
      </c>
      <c r="F153" t="s">
        <v>1830</v>
      </c>
      <c r="G153" t="s">
        <v>1828</v>
      </c>
    </row>
    <row r="154" spans="1:7">
      <c r="A154" t="s">
        <v>189</v>
      </c>
      <c r="B154" t="s">
        <v>1849</v>
      </c>
      <c r="C154" t="s">
        <v>997</v>
      </c>
      <c r="D154" t="s">
        <v>1841</v>
      </c>
      <c r="E154" t="s">
        <v>1844</v>
      </c>
      <c r="F154" t="s">
        <v>1845</v>
      </c>
      <c r="G154" t="s">
        <v>1828</v>
      </c>
    </row>
    <row r="155" spans="1:7">
      <c r="A155" t="s">
        <v>190</v>
      </c>
      <c r="B155" t="s">
        <v>1847</v>
      </c>
      <c r="C155" t="s">
        <v>1003</v>
      </c>
      <c r="D155" t="s">
        <v>1828</v>
      </c>
      <c r="E155" t="s">
        <v>1829</v>
      </c>
      <c r="F155" t="s">
        <v>1830</v>
      </c>
      <c r="G155" t="s">
        <v>1828</v>
      </c>
    </row>
    <row r="156" spans="1:7">
      <c r="A156" t="s">
        <v>191</v>
      </c>
      <c r="B156" t="s">
        <v>1848</v>
      </c>
      <c r="C156" t="s">
        <v>1007</v>
      </c>
      <c r="D156" t="s">
        <v>1828</v>
      </c>
      <c r="E156" t="s">
        <v>1829</v>
      </c>
      <c r="F156" t="s">
        <v>1830</v>
      </c>
      <c r="G156" t="s">
        <v>1828</v>
      </c>
    </row>
    <row r="157" spans="1:7">
      <c r="A157" t="s">
        <v>192</v>
      </c>
      <c r="B157" t="s">
        <v>1849</v>
      </c>
      <c r="C157" t="s">
        <v>1011</v>
      </c>
      <c r="D157" t="s">
        <v>1841</v>
      </c>
      <c r="E157" t="s">
        <v>1844</v>
      </c>
      <c r="F157" t="s">
        <v>1845</v>
      </c>
      <c r="G157" t="s">
        <v>1828</v>
      </c>
    </row>
    <row r="158" spans="1:7">
      <c r="A158" t="s">
        <v>193</v>
      </c>
      <c r="B158" t="s">
        <v>1847</v>
      </c>
      <c r="C158" t="s">
        <v>1016</v>
      </c>
      <c r="D158" t="s">
        <v>1828</v>
      </c>
      <c r="E158" t="s">
        <v>1829</v>
      </c>
      <c r="F158" t="s">
        <v>1830</v>
      </c>
      <c r="G158" t="s">
        <v>1828</v>
      </c>
    </row>
    <row r="159" spans="1:7">
      <c r="A159" t="s">
        <v>194</v>
      </c>
      <c r="B159" t="s">
        <v>1848</v>
      </c>
      <c r="C159" t="s">
        <v>1020</v>
      </c>
      <c r="D159" t="s">
        <v>1828</v>
      </c>
      <c r="E159" t="s">
        <v>1829</v>
      </c>
      <c r="F159" t="s">
        <v>1830</v>
      </c>
      <c r="G159" t="s">
        <v>1828</v>
      </c>
    </row>
    <row r="160" spans="1:7">
      <c r="A160" t="s">
        <v>195</v>
      </c>
      <c r="B160" t="s">
        <v>1849</v>
      </c>
      <c r="C160" t="s">
        <v>1024</v>
      </c>
      <c r="D160" t="s">
        <v>1841</v>
      </c>
      <c r="E160" t="s">
        <v>1844</v>
      </c>
      <c r="F160" t="s">
        <v>1845</v>
      </c>
      <c r="G160" t="s">
        <v>1828</v>
      </c>
    </row>
    <row r="161" spans="1:7">
      <c r="A161" t="s">
        <v>196</v>
      </c>
      <c r="B161" t="s">
        <v>1030</v>
      </c>
      <c r="C161" t="s">
        <v>1032</v>
      </c>
      <c r="D161" t="s">
        <v>1828</v>
      </c>
      <c r="E161" t="s">
        <v>1829</v>
      </c>
      <c r="F161" t="s">
        <v>1830</v>
      </c>
      <c r="G161" t="s">
        <v>1828</v>
      </c>
    </row>
    <row r="162" spans="1:7">
      <c r="A162" t="s">
        <v>197</v>
      </c>
      <c r="B162" t="s">
        <v>1036</v>
      </c>
      <c r="C162" t="s">
        <v>1038</v>
      </c>
      <c r="D162" t="s">
        <v>1828</v>
      </c>
      <c r="E162" t="s">
        <v>1829</v>
      </c>
      <c r="F162" t="s">
        <v>1830</v>
      </c>
      <c r="G162" t="s">
        <v>1828</v>
      </c>
    </row>
    <row r="163" spans="1:7">
      <c r="A163" t="s">
        <v>198</v>
      </c>
      <c r="B163" t="s">
        <v>1042</v>
      </c>
      <c r="C163" t="s">
        <v>1044</v>
      </c>
      <c r="D163" t="s">
        <v>1828</v>
      </c>
      <c r="E163" t="s">
        <v>1829</v>
      </c>
      <c r="F163" t="s">
        <v>1830</v>
      </c>
      <c r="G163" t="s">
        <v>1828</v>
      </c>
    </row>
    <row r="164" spans="1:7">
      <c r="A164" t="s">
        <v>199</v>
      </c>
      <c r="B164" t="s">
        <v>1047</v>
      </c>
      <c r="C164" t="s">
        <v>1048</v>
      </c>
      <c r="D164" t="s">
        <v>1828</v>
      </c>
      <c r="E164" t="s">
        <v>1829</v>
      </c>
      <c r="F164" t="s">
        <v>1830</v>
      </c>
      <c r="G164" t="s">
        <v>1828</v>
      </c>
    </row>
    <row r="165" spans="1:7">
      <c r="A165" t="s">
        <v>200</v>
      </c>
      <c r="B165" t="s">
        <v>1051</v>
      </c>
      <c r="C165" t="s">
        <v>1052</v>
      </c>
      <c r="D165" t="s">
        <v>1828</v>
      </c>
      <c r="E165" t="s">
        <v>1829</v>
      </c>
      <c r="F165" t="s">
        <v>1830</v>
      </c>
      <c r="G165" t="s">
        <v>1828</v>
      </c>
    </row>
    <row r="166" spans="1:7">
      <c r="A166" t="s">
        <v>201</v>
      </c>
      <c r="B166" t="s">
        <v>1055</v>
      </c>
      <c r="C166" t="s">
        <v>1056</v>
      </c>
      <c r="D166" t="s">
        <v>1828</v>
      </c>
      <c r="E166" t="s">
        <v>1829</v>
      </c>
      <c r="F166" t="s">
        <v>1830</v>
      </c>
      <c r="G166" t="s">
        <v>1828</v>
      </c>
    </row>
    <row r="167" spans="1:7">
      <c r="A167" t="s">
        <v>202</v>
      </c>
      <c r="B167" t="s">
        <v>1059</v>
      </c>
      <c r="C167" t="s">
        <v>1060</v>
      </c>
      <c r="D167" t="s">
        <v>1828</v>
      </c>
      <c r="E167" t="s">
        <v>1829</v>
      </c>
      <c r="F167" t="s">
        <v>1830</v>
      </c>
      <c r="G167" t="s">
        <v>1828</v>
      </c>
    </row>
    <row r="168" spans="1:7">
      <c r="A168" t="s">
        <v>203</v>
      </c>
      <c r="B168" t="s">
        <v>1065</v>
      </c>
      <c r="C168" t="s">
        <v>1066</v>
      </c>
      <c r="D168" t="s">
        <v>1828</v>
      </c>
      <c r="E168" t="s">
        <v>1829</v>
      </c>
      <c r="F168" t="s">
        <v>1830</v>
      </c>
      <c r="G168" t="s">
        <v>1828</v>
      </c>
    </row>
    <row r="169" spans="1:7">
      <c r="A169" t="s">
        <v>204</v>
      </c>
      <c r="B169" t="s">
        <v>1069</v>
      </c>
      <c r="C169" t="s">
        <v>1070</v>
      </c>
      <c r="D169" t="s">
        <v>1828</v>
      </c>
      <c r="E169" t="s">
        <v>1829</v>
      </c>
      <c r="F169" t="s">
        <v>1830</v>
      </c>
      <c r="G169" t="s">
        <v>1828</v>
      </c>
    </row>
    <row r="170" spans="1:7">
      <c r="A170" t="s">
        <v>205</v>
      </c>
      <c r="B170" t="s">
        <v>1073</v>
      </c>
      <c r="C170" t="s">
        <v>1074</v>
      </c>
      <c r="D170" t="s">
        <v>1828</v>
      </c>
      <c r="E170" t="s">
        <v>1829</v>
      </c>
      <c r="F170" t="s">
        <v>1830</v>
      </c>
      <c r="G170" t="s">
        <v>1828</v>
      </c>
    </row>
    <row r="171" spans="1:7">
      <c r="A171" t="s">
        <v>206</v>
      </c>
      <c r="B171" t="s">
        <v>1077</v>
      </c>
      <c r="C171" t="s">
        <v>1078</v>
      </c>
      <c r="D171" t="s">
        <v>1828</v>
      </c>
      <c r="E171" t="s">
        <v>1829</v>
      </c>
      <c r="F171" t="s">
        <v>1830</v>
      </c>
      <c r="G171" t="s">
        <v>1828</v>
      </c>
    </row>
    <row r="172" spans="1:7">
      <c r="A172" t="s">
        <v>207</v>
      </c>
      <c r="B172" t="s">
        <v>1081</v>
      </c>
      <c r="C172" t="s">
        <v>1082</v>
      </c>
      <c r="D172" t="s">
        <v>1828</v>
      </c>
      <c r="E172" t="s">
        <v>1829</v>
      </c>
      <c r="F172" t="s">
        <v>1830</v>
      </c>
      <c r="G172" t="s">
        <v>1828</v>
      </c>
    </row>
    <row r="173" spans="1:7">
      <c r="A173" t="s">
        <v>208</v>
      </c>
      <c r="B173" t="s">
        <v>1085</v>
      </c>
      <c r="C173" t="s">
        <v>1086</v>
      </c>
      <c r="D173" t="s">
        <v>1828</v>
      </c>
      <c r="E173" t="s">
        <v>1829</v>
      </c>
      <c r="F173" t="s">
        <v>1830</v>
      </c>
      <c r="G173" t="s">
        <v>1828</v>
      </c>
    </row>
    <row r="174" spans="1:7">
      <c r="A174" t="s">
        <v>209</v>
      </c>
      <c r="B174" t="s">
        <v>1089</v>
      </c>
      <c r="C174" t="s">
        <v>1090</v>
      </c>
      <c r="D174" t="s">
        <v>1828</v>
      </c>
      <c r="E174" t="s">
        <v>1829</v>
      </c>
      <c r="F174" t="s">
        <v>1830</v>
      </c>
      <c r="G174" t="s">
        <v>1828</v>
      </c>
    </row>
    <row r="175" spans="1:7">
      <c r="A175" t="s">
        <v>210</v>
      </c>
      <c r="B175" t="s">
        <v>1094</v>
      </c>
      <c r="C175" t="s">
        <v>1095</v>
      </c>
      <c r="D175" t="s">
        <v>1828</v>
      </c>
      <c r="E175" t="s">
        <v>1829</v>
      </c>
      <c r="F175" t="s">
        <v>1830</v>
      </c>
      <c r="G175" t="s">
        <v>1828</v>
      </c>
    </row>
    <row r="176" spans="1:7">
      <c r="A176" t="s">
        <v>211</v>
      </c>
      <c r="B176" t="s">
        <v>1098</v>
      </c>
      <c r="C176" t="s">
        <v>1099</v>
      </c>
      <c r="D176" t="s">
        <v>1828</v>
      </c>
      <c r="E176" t="s">
        <v>1829</v>
      </c>
      <c r="F176" t="s">
        <v>1830</v>
      </c>
      <c r="G176" t="s">
        <v>1828</v>
      </c>
    </row>
    <row r="177" spans="1:7">
      <c r="A177" t="s">
        <v>212</v>
      </c>
      <c r="B177" t="s">
        <v>1102</v>
      </c>
      <c r="C177" t="s">
        <v>1103</v>
      </c>
      <c r="D177" t="s">
        <v>1828</v>
      </c>
      <c r="E177" t="s">
        <v>1829</v>
      </c>
      <c r="F177" t="s">
        <v>1830</v>
      </c>
      <c r="G177" t="s">
        <v>1828</v>
      </c>
    </row>
    <row r="178" spans="1:7">
      <c r="A178" t="s">
        <v>213</v>
      </c>
      <c r="B178" t="s">
        <v>1106</v>
      </c>
      <c r="C178" t="s">
        <v>1107</v>
      </c>
      <c r="D178" t="s">
        <v>1828</v>
      </c>
      <c r="E178" t="s">
        <v>1829</v>
      </c>
      <c r="F178" t="s">
        <v>1830</v>
      </c>
      <c r="G178" t="s">
        <v>1828</v>
      </c>
    </row>
    <row r="179" spans="1:7">
      <c r="A179" t="s">
        <v>214</v>
      </c>
      <c r="B179" t="s">
        <v>1110</v>
      </c>
      <c r="C179" t="s">
        <v>1111</v>
      </c>
      <c r="D179" t="s">
        <v>1828</v>
      </c>
      <c r="E179" t="s">
        <v>1829</v>
      </c>
      <c r="F179" t="s">
        <v>1830</v>
      </c>
      <c r="G179" t="s">
        <v>1828</v>
      </c>
    </row>
    <row r="180" spans="1:7">
      <c r="A180" t="s">
        <v>215</v>
      </c>
      <c r="B180" t="s">
        <v>1116</v>
      </c>
      <c r="C180" t="s">
        <v>1117</v>
      </c>
      <c r="D180" t="s">
        <v>1828</v>
      </c>
      <c r="E180" t="s">
        <v>1829</v>
      </c>
      <c r="F180" t="s">
        <v>1830</v>
      </c>
      <c r="G180" t="s">
        <v>1828</v>
      </c>
    </row>
    <row r="181" spans="1:7">
      <c r="A181" t="s">
        <v>216</v>
      </c>
      <c r="B181" t="s">
        <v>1120</v>
      </c>
      <c r="C181" t="s">
        <v>1121</v>
      </c>
      <c r="D181" t="s">
        <v>1828</v>
      </c>
      <c r="E181" t="s">
        <v>1829</v>
      </c>
      <c r="F181" t="s">
        <v>1830</v>
      </c>
      <c r="G181" t="s">
        <v>1828</v>
      </c>
    </row>
    <row r="182" spans="1:7">
      <c r="A182" t="s">
        <v>217</v>
      </c>
      <c r="B182" t="s">
        <v>1125</v>
      </c>
      <c r="C182" t="s">
        <v>1126</v>
      </c>
      <c r="D182" t="s">
        <v>1828</v>
      </c>
      <c r="E182" t="s">
        <v>1829</v>
      </c>
      <c r="F182" t="s">
        <v>1830</v>
      </c>
      <c r="G182" t="s">
        <v>1828</v>
      </c>
    </row>
    <row r="183" spans="1:7">
      <c r="A183" t="s">
        <v>218</v>
      </c>
      <c r="B183" t="s">
        <v>1130</v>
      </c>
      <c r="C183" t="s">
        <v>1131</v>
      </c>
      <c r="D183" t="s">
        <v>1828</v>
      </c>
      <c r="E183" t="s">
        <v>1829</v>
      </c>
      <c r="F183" t="s">
        <v>1830</v>
      </c>
      <c r="G183" t="s">
        <v>1828</v>
      </c>
    </row>
    <row r="184" spans="1:7">
      <c r="A184" t="s">
        <v>219</v>
      </c>
      <c r="B184" t="s">
        <v>1134</v>
      </c>
      <c r="C184" t="s">
        <v>1135</v>
      </c>
      <c r="D184" t="s">
        <v>1828</v>
      </c>
      <c r="E184" t="s">
        <v>1829</v>
      </c>
      <c r="F184" t="s">
        <v>1830</v>
      </c>
      <c r="G184" t="s">
        <v>1828</v>
      </c>
    </row>
    <row r="185" spans="1:7">
      <c r="A185" t="s">
        <v>220</v>
      </c>
      <c r="B185" t="s">
        <v>1139</v>
      </c>
      <c r="C185" t="s">
        <v>1140</v>
      </c>
      <c r="D185" t="s">
        <v>1828</v>
      </c>
      <c r="E185" t="s">
        <v>1829</v>
      </c>
      <c r="F185" t="s">
        <v>1830</v>
      </c>
      <c r="G185" t="s">
        <v>1828</v>
      </c>
    </row>
    <row r="186" spans="1:7">
      <c r="A186" t="s">
        <v>221</v>
      </c>
      <c r="B186" t="s">
        <v>1145</v>
      </c>
      <c r="C186" t="s">
        <v>1146</v>
      </c>
      <c r="D186" t="s">
        <v>1828</v>
      </c>
      <c r="E186" t="s">
        <v>1829</v>
      </c>
      <c r="F186" t="s">
        <v>1830</v>
      </c>
      <c r="G186" t="s">
        <v>1828</v>
      </c>
    </row>
    <row r="187" spans="1:7">
      <c r="A187" t="s">
        <v>222</v>
      </c>
      <c r="B187" t="s">
        <v>1151</v>
      </c>
      <c r="C187" t="s">
        <v>1152</v>
      </c>
      <c r="D187" t="s">
        <v>1828</v>
      </c>
      <c r="E187" t="s">
        <v>1829</v>
      </c>
      <c r="F187" t="s">
        <v>1830</v>
      </c>
      <c r="G187" t="s">
        <v>1828</v>
      </c>
    </row>
    <row r="188" spans="1:7">
      <c r="A188" t="s">
        <v>223</v>
      </c>
      <c r="B188" t="s">
        <v>1156</v>
      </c>
      <c r="C188" t="s">
        <v>1157</v>
      </c>
      <c r="D188" t="s">
        <v>1828</v>
      </c>
      <c r="E188" t="s">
        <v>1829</v>
      </c>
      <c r="F188" t="s">
        <v>1830</v>
      </c>
      <c r="G188" t="s">
        <v>1828</v>
      </c>
    </row>
    <row r="189" spans="1:7">
      <c r="A189" t="s">
        <v>224</v>
      </c>
      <c r="B189" t="s">
        <v>1161</v>
      </c>
      <c r="C189" t="s">
        <v>1162</v>
      </c>
      <c r="D189" t="s">
        <v>1828</v>
      </c>
      <c r="E189" t="s">
        <v>1829</v>
      </c>
      <c r="F189" t="s">
        <v>1830</v>
      </c>
      <c r="G189" t="s">
        <v>1828</v>
      </c>
    </row>
    <row r="190" spans="1:7">
      <c r="A190" t="s">
        <v>225</v>
      </c>
      <c r="B190" t="s">
        <v>1167</v>
      </c>
      <c r="C190" t="s">
        <v>1168</v>
      </c>
      <c r="D190" t="s">
        <v>1828</v>
      </c>
      <c r="E190" t="s">
        <v>1829</v>
      </c>
      <c r="F190" t="s">
        <v>1830</v>
      </c>
      <c r="G190" t="s">
        <v>1828</v>
      </c>
    </row>
    <row r="191" spans="1:7">
      <c r="A191" t="s">
        <v>226</v>
      </c>
      <c r="B191" t="s">
        <v>1172</v>
      </c>
      <c r="C191" t="s">
        <v>1173</v>
      </c>
      <c r="D191" t="s">
        <v>1828</v>
      </c>
      <c r="E191" t="s">
        <v>1829</v>
      </c>
      <c r="F191" t="s">
        <v>1830</v>
      </c>
      <c r="G191" t="s">
        <v>1828</v>
      </c>
    </row>
    <row r="192" spans="1:7">
      <c r="A192" t="s">
        <v>227</v>
      </c>
      <c r="B192" t="s">
        <v>1176</v>
      </c>
      <c r="C192" t="s">
        <v>1177</v>
      </c>
      <c r="D192" t="s">
        <v>1828</v>
      </c>
      <c r="E192" t="s">
        <v>1829</v>
      </c>
      <c r="F192" t="s">
        <v>1830</v>
      </c>
      <c r="G192" t="s">
        <v>1828</v>
      </c>
    </row>
    <row r="193" spans="1:7">
      <c r="A193" t="s">
        <v>228</v>
      </c>
      <c r="B193" t="s">
        <v>1183</v>
      </c>
      <c r="C193" t="s">
        <v>1185</v>
      </c>
      <c r="D193" t="s">
        <v>1828</v>
      </c>
      <c r="E193" t="s">
        <v>1829</v>
      </c>
      <c r="F193" t="s">
        <v>1830</v>
      </c>
      <c r="G193" t="s">
        <v>1828</v>
      </c>
    </row>
    <row r="194" spans="1:7">
      <c r="A194" t="s">
        <v>229</v>
      </c>
      <c r="B194" t="s">
        <v>1183</v>
      </c>
      <c r="C194" t="s">
        <v>1190</v>
      </c>
      <c r="D194" t="s">
        <v>1828</v>
      </c>
      <c r="E194" t="s">
        <v>1829</v>
      </c>
      <c r="F194" t="s">
        <v>1830</v>
      </c>
      <c r="G194" t="s">
        <v>1828</v>
      </c>
    </row>
    <row r="195" spans="1:7">
      <c r="A195" t="s">
        <v>230</v>
      </c>
      <c r="B195" t="s">
        <v>1183</v>
      </c>
      <c r="C195" t="s">
        <v>1195</v>
      </c>
      <c r="D195" t="s">
        <v>1828</v>
      </c>
      <c r="E195" t="s">
        <v>1829</v>
      </c>
      <c r="F195" t="s">
        <v>1830</v>
      </c>
      <c r="G195" t="s">
        <v>1828</v>
      </c>
    </row>
    <row r="196" spans="1:7">
      <c r="A196" t="s">
        <v>231</v>
      </c>
      <c r="B196" t="s">
        <v>1183</v>
      </c>
      <c r="C196" t="s">
        <v>1200</v>
      </c>
      <c r="D196" t="s">
        <v>1828</v>
      </c>
      <c r="E196" t="s">
        <v>1829</v>
      </c>
      <c r="F196" t="s">
        <v>1830</v>
      </c>
      <c r="G196" t="s">
        <v>1828</v>
      </c>
    </row>
    <row r="197" spans="1:7">
      <c r="A197" t="s">
        <v>232</v>
      </c>
      <c r="B197" t="s">
        <v>1203</v>
      </c>
      <c r="C197" t="s">
        <v>1204</v>
      </c>
      <c r="D197" t="s">
        <v>1828</v>
      </c>
      <c r="E197" t="s">
        <v>1829</v>
      </c>
      <c r="F197" t="s">
        <v>1830</v>
      </c>
      <c r="G197" t="s">
        <v>1828</v>
      </c>
    </row>
    <row r="198" spans="1:7">
      <c r="A198" t="s">
        <v>233</v>
      </c>
      <c r="B198" t="s">
        <v>1207</v>
      </c>
      <c r="C198" t="s">
        <v>1208</v>
      </c>
      <c r="D198" t="s">
        <v>1828</v>
      </c>
      <c r="E198" t="s">
        <v>1829</v>
      </c>
      <c r="F198" t="s">
        <v>1830</v>
      </c>
      <c r="G198" t="s">
        <v>1828</v>
      </c>
    </row>
    <row r="199" spans="1:7">
      <c r="A199" t="s">
        <v>234</v>
      </c>
      <c r="B199" t="s">
        <v>1213</v>
      </c>
      <c r="C199" t="s">
        <v>1214</v>
      </c>
      <c r="D199" t="s">
        <v>1828</v>
      </c>
      <c r="E199" t="s">
        <v>1829</v>
      </c>
      <c r="F199" t="s">
        <v>1830</v>
      </c>
      <c r="G199" t="s">
        <v>1828</v>
      </c>
    </row>
    <row r="200" spans="1:7">
      <c r="A200" t="s">
        <v>235</v>
      </c>
      <c r="B200" t="s">
        <v>1218</v>
      </c>
      <c r="C200" t="s">
        <v>1219</v>
      </c>
      <c r="D200" t="s">
        <v>1828</v>
      </c>
      <c r="E200" t="s">
        <v>1829</v>
      </c>
      <c r="F200" t="s">
        <v>1830</v>
      </c>
      <c r="G200" t="s">
        <v>1828</v>
      </c>
    </row>
    <row r="201" spans="1:7">
      <c r="A201" t="s">
        <v>236</v>
      </c>
      <c r="B201" t="s">
        <v>1223</v>
      </c>
      <c r="C201" t="s">
        <v>1224</v>
      </c>
      <c r="D201" t="s">
        <v>1828</v>
      </c>
      <c r="E201" t="s">
        <v>1829</v>
      </c>
      <c r="F201" t="s">
        <v>1830</v>
      </c>
      <c r="G201" t="s">
        <v>1828</v>
      </c>
    </row>
    <row r="202" spans="1:7">
      <c r="A202" t="s">
        <v>237</v>
      </c>
      <c r="B202" t="s">
        <v>1228</v>
      </c>
      <c r="C202" t="s">
        <v>1229</v>
      </c>
      <c r="D202" t="s">
        <v>1828</v>
      </c>
      <c r="E202" t="s">
        <v>1829</v>
      </c>
      <c r="F202" t="s">
        <v>1830</v>
      </c>
      <c r="G202" t="s">
        <v>1828</v>
      </c>
    </row>
    <row r="203" spans="1:7">
      <c r="A203" t="s">
        <v>238</v>
      </c>
      <c r="B203" t="s">
        <v>1232</v>
      </c>
      <c r="C203" t="s">
        <v>1233</v>
      </c>
      <c r="D203" t="s">
        <v>1828</v>
      </c>
      <c r="E203" t="s">
        <v>1829</v>
      </c>
      <c r="F203" t="s">
        <v>1830</v>
      </c>
      <c r="G203" t="s">
        <v>1828</v>
      </c>
    </row>
    <row r="204" spans="1:7">
      <c r="A204" t="s">
        <v>239</v>
      </c>
      <c r="B204" t="s">
        <v>1238</v>
      </c>
      <c r="C204" t="s">
        <v>1239</v>
      </c>
      <c r="D204" t="s">
        <v>1828</v>
      </c>
      <c r="E204" t="s">
        <v>1829</v>
      </c>
      <c r="F204" t="s">
        <v>1830</v>
      </c>
      <c r="G204" t="s">
        <v>1828</v>
      </c>
    </row>
    <row r="205" spans="1:7">
      <c r="A205" t="s">
        <v>240</v>
      </c>
      <c r="B205" t="s">
        <v>1243</v>
      </c>
      <c r="C205" t="s">
        <v>1244</v>
      </c>
      <c r="D205" t="s">
        <v>1828</v>
      </c>
      <c r="E205" t="s">
        <v>1829</v>
      </c>
      <c r="F205" t="s">
        <v>1830</v>
      </c>
      <c r="G205" t="s">
        <v>1828</v>
      </c>
    </row>
    <row r="206" spans="1:7">
      <c r="A206" t="s">
        <v>241</v>
      </c>
      <c r="B206" t="s">
        <v>1249</v>
      </c>
      <c r="C206" t="s">
        <v>1250</v>
      </c>
      <c r="D206" t="s">
        <v>1828</v>
      </c>
      <c r="E206" t="s">
        <v>1829</v>
      </c>
      <c r="F206" t="s">
        <v>1830</v>
      </c>
      <c r="G206" t="s">
        <v>1828</v>
      </c>
    </row>
    <row r="207" spans="1:7">
      <c r="A207" t="s">
        <v>242</v>
      </c>
      <c r="B207" t="s">
        <v>1253</v>
      </c>
      <c r="C207" t="s">
        <v>1254</v>
      </c>
      <c r="D207" t="s">
        <v>1828</v>
      </c>
      <c r="E207" t="s">
        <v>1829</v>
      </c>
      <c r="F207" t="s">
        <v>1830</v>
      </c>
      <c r="G207" t="s">
        <v>1828</v>
      </c>
    </row>
    <row r="208" spans="1:7">
      <c r="A208" t="s">
        <v>243</v>
      </c>
      <c r="B208" t="s">
        <v>1257</v>
      </c>
      <c r="C208" t="s">
        <v>1258</v>
      </c>
      <c r="D208" t="s">
        <v>1828</v>
      </c>
      <c r="E208" t="s">
        <v>1829</v>
      </c>
      <c r="F208" t="s">
        <v>1830</v>
      </c>
      <c r="G208" t="s">
        <v>1828</v>
      </c>
    </row>
    <row r="209" spans="1:7">
      <c r="A209" t="s">
        <v>244</v>
      </c>
      <c r="B209" t="s">
        <v>1261</v>
      </c>
      <c r="C209" t="s">
        <v>1262</v>
      </c>
      <c r="D209" t="s">
        <v>1828</v>
      </c>
      <c r="E209" t="s">
        <v>1829</v>
      </c>
      <c r="F209" t="s">
        <v>1830</v>
      </c>
      <c r="G209" t="s">
        <v>1828</v>
      </c>
    </row>
    <row r="210" spans="1:7">
      <c r="A210" t="s">
        <v>245</v>
      </c>
      <c r="B210" t="s">
        <v>1265</v>
      </c>
      <c r="C210" t="s">
        <v>1266</v>
      </c>
      <c r="D210" t="s">
        <v>1828</v>
      </c>
      <c r="E210" t="s">
        <v>1829</v>
      </c>
      <c r="F210" t="s">
        <v>1830</v>
      </c>
      <c r="G210" t="s">
        <v>1828</v>
      </c>
    </row>
    <row r="211" spans="1:7">
      <c r="A211" t="s">
        <v>246</v>
      </c>
      <c r="B211" t="s">
        <v>1269</v>
      </c>
      <c r="C211" t="s">
        <v>1270</v>
      </c>
      <c r="D211" t="s">
        <v>1828</v>
      </c>
      <c r="E211" t="s">
        <v>1829</v>
      </c>
      <c r="F211" t="s">
        <v>1830</v>
      </c>
      <c r="G211" t="s">
        <v>1828</v>
      </c>
    </row>
    <row r="212" spans="1:7">
      <c r="A212" t="s">
        <v>247</v>
      </c>
      <c r="B212" t="s">
        <v>1276</v>
      </c>
      <c r="C212" t="s">
        <v>1277</v>
      </c>
      <c r="D212" t="s">
        <v>1828</v>
      </c>
      <c r="E212" t="s">
        <v>1829</v>
      </c>
      <c r="F212" t="s">
        <v>1830</v>
      </c>
      <c r="G212" t="s">
        <v>1828</v>
      </c>
    </row>
    <row r="213" spans="1:7">
      <c r="A213" t="s">
        <v>248</v>
      </c>
      <c r="B213" t="s">
        <v>1280</v>
      </c>
      <c r="C213" t="s">
        <v>1281</v>
      </c>
      <c r="D213" t="s">
        <v>1828</v>
      </c>
      <c r="E213" t="s">
        <v>1829</v>
      </c>
      <c r="F213" t="s">
        <v>1830</v>
      </c>
      <c r="G213" t="s">
        <v>1828</v>
      </c>
    </row>
    <row r="214" spans="1:7">
      <c r="A214" t="s">
        <v>249</v>
      </c>
      <c r="B214" t="s">
        <v>1284</v>
      </c>
      <c r="C214" t="s">
        <v>1285</v>
      </c>
      <c r="D214" t="s">
        <v>1828</v>
      </c>
      <c r="E214" t="s">
        <v>1829</v>
      </c>
      <c r="F214" t="s">
        <v>1830</v>
      </c>
      <c r="G214" t="s">
        <v>1828</v>
      </c>
    </row>
    <row r="215" spans="1:7">
      <c r="A215" t="s">
        <v>250</v>
      </c>
      <c r="B215" t="s">
        <v>1289</v>
      </c>
      <c r="C215" t="s">
        <v>1291</v>
      </c>
      <c r="D215" t="s">
        <v>1828</v>
      </c>
      <c r="E215" t="s">
        <v>1829</v>
      </c>
      <c r="F215" t="s">
        <v>1830</v>
      </c>
      <c r="G215" t="s">
        <v>1828</v>
      </c>
    </row>
    <row r="216" spans="1:7">
      <c r="A216" t="s">
        <v>251</v>
      </c>
      <c r="B216" t="s">
        <v>1295</v>
      </c>
      <c r="C216" t="s">
        <v>1297</v>
      </c>
      <c r="D216" t="s">
        <v>1828</v>
      </c>
      <c r="E216" t="s">
        <v>1829</v>
      </c>
      <c r="F216" t="s">
        <v>1830</v>
      </c>
      <c r="G216" t="s">
        <v>1828</v>
      </c>
    </row>
    <row r="217" spans="1:7">
      <c r="A217" t="s">
        <v>252</v>
      </c>
      <c r="B217" t="s">
        <v>1300</v>
      </c>
      <c r="C217" t="s">
        <v>1301</v>
      </c>
      <c r="D217" t="s">
        <v>1828</v>
      </c>
      <c r="E217" t="s">
        <v>1829</v>
      </c>
      <c r="F217" t="s">
        <v>1830</v>
      </c>
      <c r="G217" t="s">
        <v>1828</v>
      </c>
    </row>
    <row r="218" spans="1:7">
      <c r="A218" t="s">
        <v>253</v>
      </c>
      <c r="B218" t="s">
        <v>1304</v>
      </c>
      <c r="C218" t="s">
        <v>1305</v>
      </c>
      <c r="D218" t="s">
        <v>1828</v>
      </c>
      <c r="E218" t="s">
        <v>1829</v>
      </c>
      <c r="F218" t="s">
        <v>1830</v>
      </c>
      <c r="G218" t="s">
        <v>1828</v>
      </c>
    </row>
    <row r="219" spans="1:7">
      <c r="A219" t="s">
        <v>254</v>
      </c>
      <c r="B219" t="s">
        <v>1308</v>
      </c>
      <c r="C219" t="s">
        <v>1309</v>
      </c>
      <c r="D219" t="s">
        <v>1828</v>
      </c>
      <c r="E219" t="s">
        <v>1829</v>
      </c>
      <c r="F219" t="s">
        <v>1830</v>
      </c>
      <c r="G219" t="s">
        <v>1828</v>
      </c>
    </row>
    <row r="220" spans="1:7">
      <c r="A220" t="s">
        <v>255</v>
      </c>
      <c r="B220" t="s">
        <v>1313</v>
      </c>
      <c r="C220" t="s">
        <v>1314</v>
      </c>
      <c r="D220" t="s">
        <v>1828</v>
      </c>
      <c r="E220" t="s">
        <v>1829</v>
      </c>
      <c r="F220" t="s">
        <v>1830</v>
      </c>
      <c r="G220" t="s">
        <v>1828</v>
      </c>
    </row>
    <row r="221" spans="1:7">
      <c r="A221" t="s">
        <v>256</v>
      </c>
      <c r="B221" t="s">
        <v>1317</v>
      </c>
      <c r="C221" t="s">
        <v>1318</v>
      </c>
      <c r="D221" t="s">
        <v>1828</v>
      </c>
      <c r="E221" t="s">
        <v>1829</v>
      </c>
      <c r="F221" t="s">
        <v>1830</v>
      </c>
      <c r="G221" t="s">
        <v>1828</v>
      </c>
    </row>
    <row r="222" spans="1:7">
      <c r="A222" t="s">
        <v>257</v>
      </c>
      <c r="B222" t="s">
        <v>1321</v>
      </c>
      <c r="C222" t="s">
        <v>1322</v>
      </c>
      <c r="D222" t="s">
        <v>1828</v>
      </c>
      <c r="E222" t="s">
        <v>1829</v>
      </c>
      <c r="F222" t="s">
        <v>1830</v>
      </c>
      <c r="G222" t="s">
        <v>1828</v>
      </c>
    </row>
    <row r="223" spans="1:7">
      <c r="A223" t="s">
        <v>258</v>
      </c>
      <c r="B223" t="s">
        <v>1325</v>
      </c>
      <c r="C223" t="s">
        <v>1326</v>
      </c>
      <c r="D223" t="s">
        <v>1828</v>
      </c>
      <c r="E223" t="s">
        <v>1829</v>
      </c>
      <c r="F223" t="s">
        <v>1830</v>
      </c>
      <c r="G223" t="s">
        <v>1828</v>
      </c>
    </row>
    <row r="224" spans="1:7">
      <c r="A224" t="s">
        <v>259</v>
      </c>
      <c r="B224" t="s">
        <v>1330</v>
      </c>
      <c r="C224" t="s">
        <v>1331</v>
      </c>
      <c r="D224" t="s">
        <v>1828</v>
      </c>
      <c r="E224" t="s">
        <v>1829</v>
      </c>
      <c r="F224" t="s">
        <v>1830</v>
      </c>
      <c r="G224" t="s">
        <v>1828</v>
      </c>
    </row>
    <row r="225" spans="1:7">
      <c r="A225" t="s">
        <v>260</v>
      </c>
      <c r="B225" t="s">
        <v>1334</v>
      </c>
      <c r="C225" t="s">
        <v>1335</v>
      </c>
      <c r="D225" t="s">
        <v>1828</v>
      </c>
      <c r="E225" t="s">
        <v>1829</v>
      </c>
      <c r="F225" t="s">
        <v>1830</v>
      </c>
      <c r="G225" t="s">
        <v>1828</v>
      </c>
    </row>
    <row r="226" spans="1:7">
      <c r="A226" t="s">
        <v>261</v>
      </c>
      <c r="B226" t="s">
        <v>1338</v>
      </c>
      <c r="C226" t="s">
        <v>1339</v>
      </c>
      <c r="D226" t="s">
        <v>1828</v>
      </c>
      <c r="E226" t="s">
        <v>1829</v>
      </c>
      <c r="F226" t="s">
        <v>1830</v>
      </c>
      <c r="G226" t="s">
        <v>1828</v>
      </c>
    </row>
    <row r="227" spans="1:7">
      <c r="A227" t="s">
        <v>262</v>
      </c>
      <c r="B227" t="s">
        <v>1342</v>
      </c>
      <c r="C227" t="s">
        <v>1343</v>
      </c>
      <c r="D227" t="s">
        <v>1828</v>
      </c>
      <c r="E227" t="s">
        <v>1829</v>
      </c>
      <c r="F227" t="s">
        <v>1830</v>
      </c>
      <c r="G227" t="s">
        <v>1828</v>
      </c>
    </row>
    <row r="228" spans="1:7">
      <c r="A228" t="s">
        <v>263</v>
      </c>
      <c r="B228" t="s">
        <v>1346</v>
      </c>
      <c r="C228" t="s">
        <v>1347</v>
      </c>
      <c r="D228" t="s">
        <v>1828</v>
      </c>
      <c r="E228" t="s">
        <v>1829</v>
      </c>
      <c r="F228" t="s">
        <v>1830</v>
      </c>
      <c r="G228" t="s">
        <v>1828</v>
      </c>
    </row>
    <row r="229" spans="1:7">
      <c r="A229" t="s">
        <v>264</v>
      </c>
      <c r="B229" t="s">
        <v>1351</v>
      </c>
      <c r="C229" t="s">
        <v>1352</v>
      </c>
      <c r="D229" t="s">
        <v>1828</v>
      </c>
      <c r="E229" t="s">
        <v>1829</v>
      </c>
      <c r="F229" t="s">
        <v>1830</v>
      </c>
      <c r="G229" t="s">
        <v>1828</v>
      </c>
    </row>
    <row r="230" spans="1:7">
      <c r="A230" t="s">
        <v>265</v>
      </c>
      <c r="B230" t="s">
        <v>1355</v>
      </c>
      <c r="C230" t="s">
        <v>1356</v>
      </c>
      <c r="D230" t="s">
        <v>1828</v>
      </c>
      <c r="E230" t="s">
        <v>1829</v>
      </c>
      <c r="F230" t="s">
        <v>1830</v>
      </c>
      <c r="G230" t="s">
        <v>1828</v>
      </c>
    </row>
    <row r="231" spans="1:7">
      <c r="A231" t="s">
        <v>266</v>
      </c>
      <c r="B231" t="s">
        <v>1360</v>
      </c>
      <c r="C231" t="s">
        <v>1361</v>
      </c>
      <c r="D231" t="s">
        <v>1828</v>
      </c>
      <c r="E231" t="s">
        <v>1829</v>
      </c>
      <c r="F231" t="s">
        <v>1830</v>
      </c>
      <c r="G231" t="s">
        <v>1828</v>
      </c>
    </row>
    <row r="232" spans="1:7">
      <c r="A232" t="s">
        <v>267</v>
      </c>
      <c r="B232" t="s">
        <v>1364</v>
      </c>
      <c r="C232" t="s">
        <v>1365</v>
      </c>
      <c r="D232" t="s">
        <v>1828</v>
      </c>
      <c r="E232" t="s">
        <v>1829</v>
      </c>
      <c r="F232" t="s">
        <v>1830</v>
      </c>
      <c r="G232" t="s">
        <v>1828</v>
      </c>
    </row>
    <row r="233" spans="1:7">
      <c r="A233" t="s">
        <v>268</v>
      </c>
      <c r="B233" t="s">
        <v>1368</v>
      </c>
      <c r="C233" t="s">
        <v>1369</v>
      </c>
      <c r="D233" t="s">
        <v>1828</v>
      </c>
      <c r="E233" t="s">
        <v>1829</v>
      </c>
      <c r="F233" t="s">
        <v>1830</v>
      </c>
      <c r="G233" t="s">
        <v>1828</v>
      </c>
    </row>
    <row r="234" spans="1:7">
      <c r="A234" t="s">
        <v>269</v>
      </c>
      <c r="B234" t="s">
        <v>1373</v>
      </c>
      <c r="C234" t="s">
        <v>1374</v>
      </c>
      <c r="D234" t="s">
        <v>1828</v>
      </c>
      <c r="E234" t="s">
        <v>1829</v>
      </c>
      <c r="F234" t="s">
        <v>1830</v>
      </c>
      <c r="G234" t="s">
        <v>1828</v>
      </c>
    </row>
    <row r="235" spans="1:7">
      <c r="A235" t="s">
        <v>270</v>
      </c>
      <c r="B235" t="s">
        <v>1378</v>
      </c>
      <c r="C235" t="s">
        <v>1379</v>
      </c>
      <c r="D235" t="s">
        <v>1828</v>
      </c>
      <c r="E235" t="s">
        <v>1829</v>
      </c>
      <c r="F235" t="s">
        <v>1830</v>
      </c>
      <c r="G235" t="s">
        <v>1828</v>
      </c>
    </row>
    <row r="236" spans="1:7">
      <c r="A236" t="s">
        <v>271</v>
      </c>
      <c r="B236" t="s">
        <v>1383</v>
      </c>
      <c r="C236" t="s">
        <v>1384</v>
      </c>
      <c r="D236" t="s">
        <v>1828</v>
      </c>
      <c r="E236" t="s">
        <v>1829</v>
      </c>
      <c r="F236" t="s">
        <v>1830</v>
      </c>
      <c r="G236" t="s">
        <v>1828</v>
      </c>
    </row>
    <row r="237" spans="1:7">
      <c r="A237" t="s">
        <v>272</v>
      </c>
      <c r="B237" t="s">
        <v>1388</v>
      </c>
      <c r="C237" t="s">
        <v>1389</v>
      </c>
      <c r="D237" t="s">
        <v>1828</v>
      </c>
      <c r="E237" t="s">
        <v>1829</v>
      </c>
      <c r="F237" t="s">
        <v>1830</v>
      </c>
      <c r="G237" t="s">
        <v>1828</v>
      </c>
    </row>
    <row r="238" spans="1:7">
      <c r="A238" t="s">
        <v>276</v>
      </c>
      <c r="B238" t="s">
        <v>1404</v>
      </c>
      <c r="C238" t="s">
        <v>1406</v>
      </c>
      <c r="D238" t="s">
        <v>1828</v>
      </c>
      <c r="G238" t="s">
        <v>1828</v>
      </c>
    </row>
    <row r="239" spans="1:7">
      <c r="A239" t="s">
        <v>277</v>
      </c>
      <c r="B239" t="s">
        <v>1408</v>
      </c>
      <c r="C239" t="s">
        <v>1409</v>
      </c>
      <c r="D239" t="s">
        <v>1828</v>
      </c>
      <c r="G239" t="s">
        <v>1828</v>
      </c>
    </row>
    <row r="240" spans="1:7">
      <c r="A240" t="s">
        <v>278</v>
      </c>
      <c r="B240" t="s">
        <v>1411</v>
      </c>
      <c r="C240" t="s">
        <v>1412</v>
      </c>
      <c r="D240" t="s">
        <v>1828</v>
      </c>
      <c r="G240" t="s">
        <v>1828</v>
      </c>
    </row>
    <row r="241" spans="1:7">
      <c r="A241" t="s">
        <v>279</v>
      </c>
      <c r="B241" t="s">
        <v>1414</v>
      </c>
      <c r="C241" t="s">
        <v>1415</v>
      </c>
      <c r="D241" t="s">
        <v>1828</v>
      </c>
      <c r="G241" t="s">
        <v>1828</v>
      </c>
    </row>
    <row r="242" spans="1:7">
      <c r="A242" t="s">
        <v>280</v>
      </c>
      <c r="B242" t="s">
        <v>1417</v>
      </c>
      <c r="C242" t="s">
        <v>1418</v>
      </c>
      <c r="D242" t="s">
        <v>1828</v>
      </c>
      <c r="G242" t="s">
        <v>1828</v>
      </c>
    </row>
    <row r="243" spans="1:7">
      <c r="A243" t="s">
        <v>281</v>
      </c>
      <c r="B243" t="s">
        <v>1420</v>
      </c>
      <c r="C243" t="s">
        <v>1421</v>
      </c>
      <c r="D243" t="s">
        <v>1828</v>
      </c>
      <c r="G243" t="s">
        <v>1828</v>
      </c>
    </row>
    <row r="244" spans="1:7">
      <c r="A244" t="s">
        <v>282</v>
      </c>
      <c r="B244" t="s">
        <v>1424</v>
      </c>
      <c r="C244" t="s">
        <v>1425</v>
      </c>
      <c r="D244" t="s">
        <v>1828</v>
      </c>
      <c r="G244" t="s">
        <v>1828</v>
      </c>
    </row>
    <row r="245" spans="1:7">
      <c r="A245" t="s">
        <v>283</v>
      </c>
      <c r="B245" t="s">
        <v>1427</v>
      </c>
      <c r="C245" t="s">
        <v>1428</v>
      </c>
      <c r="D245" t="s">
        <v>1828</v>
      </c>
      <c r="G245" t="s">
        <v>1828</v>
      </c>
    </row>
    <row r="246" spans="1:7">
      <c r="A246" t="s">
        <v>284</v>
      </c>
      <c r="B246" t="s">
        <v>1430</v>
      </c>
      <c r="C246" t="s">
        <v>1431</v>
      </c>
      <c r="D246" t="s">
        <v>1828</v>
      </c>
      <c r="G246" t="s">
        <v>1828</v>
      </c>
    </row>
    <row r="247" spans="1:7">
      <c r="A247" t="s">
        <v>285</v>
      </c>
      <c r="B247" t="s">
        <v>1434</v>
      </c>
      <c r="C247" t="s">
        <v>1435</v>
      </c>
      <c r="D247" t="s">
        <v>1828</v>
      </c>
      <c r="G247" t="s">
        <v>1828</v>
      </c>
    </row>
    <row r="248" spans="1:7">
      <c r="A248" t="s">
        <v>286</v>
      </c>
      <c r="B248" t="s">
        <v>1437</v>
      </c>
      <c r="C248" t="s">
        <v>1438</v>
      </c>
      <c r="D248" t="s">
        <v>1828</v>
      </c>
      <c r="G248" t="s">
        <v>1828</v>
      </c>
    </row>
    <row r="249" spans="1:7">
      <c r="A249" t="s">
        <v>287</v>
      </c>
      <c r="B249" t="s">
        <v>1440</v>
      </c>
      <c r="C249" t="s">
        <v>1441</v>
      </c>
      <c r="D249" t="s">
        <v>1828</v>
      </c>
      <c r="G249" t="s">
        <v>1828</v>
      </c>
    </row>
    <row r="250" spans="1:7">
      <c r="A250" t="s">
        <v>288</v>
      </c>
      <c r="B250" t="s">
        <v>1444</v>
      </c>
      <c r="C250" t="s">
        <v>1445</v>
      </c>
      <c r="D250" t="s">
        <v>1828</v>
      </c>
      <c r="G250" t="s">
        <v>1828</v>
      </c>
    </row>
    <row r="251" spans="1:7">
      <c r="A251" t="s">
        <v>289</v>
      </c>
      <c r="B251" t="s">
        <v>1447</v>
      </c>
      <c r="C251" t="s">
        <v>1448</v>
      </c>
      <c r="D251" t="s">
        <v>1828</v>
      </c>
      <c r="G251" t="s">
        <v>1828</v>
      </c>
    </row>
    <row r="252" spans="1:7">
      <c r="A252" t="s">
        <v>290</v>
      </c>
      <c r="B252" t="s">
        <v>1450</v>
      </c>
      <c r="C252" t="s">
        <v>1451</v>
      </c>
      <c r="D252" t="s">
        <v>1828</v>
      </c>
      <c r="G252" t="s">
        <v>1828</v>
      </c>
    </row>
    <row r="253" spans="1:7">
      <c r="A253" t="s">
        <v>291</v>
      </c>
      <c r="B253" t="s">
        <v>1453</v>
      </c>
      <c r="C253" t="s">
        <v>1454</v>
      </c>
      <c r="D253" t="s">
        <v>1828</v>
      </c>
      <c r="G253" t="s">
        <v>1828</v>
      </c>
    </row>
    <row r="254" spans="1:7">
      <c r="A254" t="s">
        <v>292</v>
      </c>
      <c r="B254" t="s">
        <v>1456</v>
      </c>
      <c r="C254" t="s">
        <v>1457</v>
      </c>
      <c r="D254" t="s">
        <v>1828</v>
      </c>
      <c r="G254" t="s">
        <v>1828</v>
      </c>
    </row>
    <row r="255" spans="1:7">
      <c r="A255" t="s">
        <v>293</v>
      </c>
      <c r="B255" t="s">
        <v>1459</v>
      </c>
      <c r="C255" t="s">
        <v>1460</v>
      </c>
      <c r="D255" t="s">
        <v>1828</v>
      </c>
      <c r="G255" t="s">
        <v>1828</v>
      </c>
    </row>
    <row r="256" spans="1:7">
      <c r="A256" t="s">
        <v>294</v>
      </c>
      <c r="B256" t="s">
        <v>1462</v>
      </c>
      <c r="C256" t="s">
        <v>1463</v>
      </c>
      <c r="D256" t="s">
        <v>1828</v>
      </c>
      <c r="G256" t="s">
        <v>1828</v>
      </c>
    </row>
    <row r="257" spans="1:7">
      <c r="A257" t="s">
        <v>295</v>
      </c>
      <c r="B257" t="s">
        <v>1465</v>
      </c>
      <c r="C257" t="s">
        <v>1466</v>
      </c>
      <c r="D257" t="s">
        <v>1828</v>
      </c>
      <c r="G257" t="s">
        <v>1828</v>
      </c>
    </row>
    <row r="258" spans="1:7">
      <c r="A258" t="s">
        <v>296</v>
      </c>
      <c r="B258" t="s">
        <v>1468</v>
      </c>
      <c r="C258" t="s">
        <v>1469</v>
      </c>
      <c r="D258" t="s">
        <v>1828</v>
      </c>
      <c r="G258" t="s">
        <v>1828</v>
      </c>
    </row>
    <row r="259" spans="1:7">
      <c r="A259" t="s">
        <v>297</v>
      </c>
      <c r="B259" t="s">
        <v>1471</v>
      </c>
      <c r="C259" t="s">
        <v>1472</v>
      </c>
      <c r="D259" t="s">
        <v>1828</v>
      </c>
      <c r="G259" t="s">
        <v>1828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
  <sheetViews>
    <sheetView showGridLines="0" workbookViewId="0">
      <selection activeCell="E7" sqref="E7"/>
    </sheetView>
  </sheetViews>
  <sheetFormatPr defaultRowHeight="13.8"/>
  <cols>
    <col min="1" max="1" width="15" customWidth="1"/>
    <col min="2" max="2" width="14" customWidth="1"/>
    <col min="3" max="4" width="12" customWidth="1"/>
    <col min="5" max="5" width="40" customWidth="1"/>
  </cols>
  <sheetData>
    <row r="1" spans="1:5">
      <c r="A1" s="2" t="s">
        <v>1850</v>
      </c>
      <c r="B1" s="2" t="s">
        <v>25</v>
      </c>
      <c r="C1" s="2" t="s">
        <v>1851</v>
      </c>
      <c r="D1" s="2" t="s">
        <v>1852</v>
      </c>
      <c r="E1" s="2" t="s">
        <v>1853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8"/>
  <sheetViews>
    <sheetView showGridLines="0" workbookViewId="0"/>
  </sheetViews>
  <sheetFormatPr defaultRowHeight="13.8"/>
  <sheetData>
    <row r="1" spans="1:5" ht="21" customHeight="1">
      <c r="A1" s="1" t="s">
        <v>1854</v>
      </c>
      <c r="B1" s="1"/>
      <c r="C1" s="1"/>
      <c r="D1" s="1"/>
      <c r="E1" s="1"/>
    </row>
    <row r="3" spans="1:5" ht="55.2" customHeight="1">
      <c r="A3" s="2" t="s">
        <v>1855</v>
      </c>
      <c r="B3" s="2" t="s">
        <v>1856</v>
      </c>
      <c r="C3" s="2" t="s">
        <v>1857</v>
      </c>
      <c r="D3" s="2" t="s">
        <v>1858</v>
      </c>
      <c r="E3" s="2" t="s">
        <v>1859</v>
      </c>
    </row>
    <row r="4" spans="1:5">
      <c r="A4" t="s">
        <v>1860</v>
      </c>
      <c r="B4" s="32">
        <v>3000</v>
      </c>
      <c r="C4" s="32">
        <v>0</v>
      </c>
      <c r="D4" s="32">
        <v>0</v>
      </c>
      <c r="E4" t="s">
        <v>1861</v>
      </c>
    </row>
    <row r="5" spans="1:5">
      <c r="A5" t="s">
        <v>1862</v>
      </c>
      <c r="B5" s="32">
        <v>3000</v>
      </c>
      <c r="C5" s="32">
        <v>0</v>
      </c>
      <c r="D5" s="32">
        <v>0</v>
      </c>
      <c r="E5" t="s">
        <v>1861</v>
      </c>
    </row>
    <row r="6" spans="1:5">
      <c r="A6" t="s">
        <v>1863</v>
      </c>
      <c r="B6" s="32">
        <v>0</v>
      </c>
      <c r="C6" s="32">
        <v>0</v>
      </c>
      <c r="D6" s="32">
        <v>0</v>
      </c>
      <c r="E6" t="s">
        <v>1864</v>
      </c>
    </row>
    <row r="8" spans="1:5">
      <c r="A8" t="s">
        <v>1865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B183"/>
  </sheetPr>
  <dimension ref="A1:AG304"/>
  <sheetViews>
    <sheetView showGridLines="0" zoomScale="55" zoomScaleNormal="55" workbookViewId="0">
      <pane ySplit="4" topLeftCell="A5" activePane="bottomLeft" state="frozen"/>
      <selection pane="bottomLeft" activeCell="AE5" sqref="AE5"/>
    </sheetView>
  </sheetViews>
  <sheetFormatPr defaultRowHeight="13.8"/>
  <cols>
    <col min="1" max="1" width="27" customWidth="1"/>
    <col min="2" max="2" width="28" customWidth="1"/>
    <col min="3" max="3" width="17" customWidth="1"/>
    <col min="4" max="4" width="20" customWidth="1"/>
    <col min="5" max="5" width="17" customWidth="1"/>
    <col min="6" max="6" width="2" customWidth="1"/>
    <col min="7" max="7" width="3" customWidth="1"/>
    <col min="8" max="8" width="29" customWidth="1"/>
    <col min="9" max="9" width="28" customWidth="1"/>
    <col min="10" max="12" width="2" customWidth="1"/>
    <col min="14" max="14" width="32" customWidth="1"/>
    <col min="15" max="15" width="30" customWidth="1"/>
    <col min="16" max="16" width="14" customWidth="1"/>
    <col min="17" max="18" width="12" customWidth="1"/>
    <col min="19" max="19" width="3" customWidth="1"/>
    <col min="20" max="20" width="18" customWidth="1"/>
    <col min="21" max="21" width="12" customWidth="1"/>
    <col min="24" max="26" width="8" hidden="1" customWidth="1"/>
    <col min="28" max="28" width="34" customWidth="1"/>
    <col min="29" max="29" width="20" customWidth="1"/>
    <col min="30" max="30" width="12" customWidth="1"/>
    <col min="31" max="31" width="19" customWidth="1"/>
    <col min="32" max="32" width="24" customWidth="1"/>
    <col min="33" max="33" width="23" customWidth="1"/>
  </cols>
  <sheetData>
    <row r="1" spans="1:33" ht="25.05" customHeight="1">
      <c r="A1" s="83" t="s">
        <v>1866</v>
      </c>
      <c r="B1" s="74"/>
      <c r="C1" s="74"/>
      <c r="D1" s="74"/>
      <c r="E1" s="74"/>
      <c r="F1" s="74"/>
      <c r="G1" s="74"/>
      <c r="H1" s="74"/>
      <c r="I1" s="74"/>
      <c r="J1" s="74"/>
      <c r="K1" s="74"/>
      <c r="L1" s="74"/>
      <c r="N1" s="83" t="s">
        <v>1867</v>
      </c>
      <c r="O1" s="74"/>
      <c r="P1" s="74"/>
      <c r="Q1" s="74"/>
      <c r="AB1" s="83" t="s">
        <v>1868</v>
      </c>
      <c r="AC1" s="74"/>
      <c r="AD1" s="74"/>
      <c r="AE1" s="74"/>
      <c r="AF1" s="74"/>
      <c r="AG1" s="74"/>
    </row>
    <row r="2" spans="1:33" ht="31.95" customHeight="1">
      <c r="A2" s="82" t="s">
        <v>1869</v>
      </c>
      <c r="B2" s="74"/>
      <c r="C2" s="74"/>
      <c r="D2" s="74"/>
      <c r="E2" s="74"/>
      <c r="F2" s="74"/>
      <c r="G2" s="74"/>
      <c r="H2" s="74"/>
      <c r="I2" s="74"/>
      <c r="J2" s="74"/>
      <c r="K2" s="74"/>
      <c r="L2" s="74"/>
      <c r="N2" s="54" t="s">
        <v>1870</v>
      </c>
      <c r="O2" s="54" t="s">
        <v>1871</v>
      </c>
      <c r="P2" s="54" t="s">
        <v>1872</v>
      </c>
      <c r="Q2" s="54" t="s">
        <v>1873</v>
      </c>
      <c r="R2" s="54" t="s">
        <v>1873</v>
      </c>
      <c r="T2" s="54" t="s">
        <v>1874</v>
      </c>
      <c r="U2" s="54" t="s">
        <v>1873</v>
      </c>
      <c r="AB2" s="81" t="s">
        <v>1875</v>
      </c>
      <c r="AC2" s="74"/>
      <c r="AD2" s="74"/>
      <c r="AE2" s="74"/>
      <c r="AF2" s="74"/>
      <c r="AG2" s="74"/>
    </row>
    <row r="3" spans="1:33">
      <c r="N3" t="s">
        <v>1507</v>
      </c>
      <c r="O3" t="s">
        <v>1482</v>
      </c>
      <c r="P3" t="s">
        <v>1876</v>
      </c>
      <c r="Q3">
        <f>COUNTIF(PRODUCTOS!$H:$H,"SUB-001")</f>
        <v>4</v>
      </c>
      <c r="R3">
        <f>IF(Y3=0,"",COUNTIF(PRODUCTOS!$H:$H,CATÁLOGOS!F6))</f>
        <v>4</v>
      </c>
      <c r="T3" t="str">
        <f t="shared" ref="T3:T34" si="0">IF(Z3=0,"",Z3)</f>
        <v>CLO</v>
      </c>
      <c r="U3">
        <f>IF(Z3=0,"",COUNTIF(PRODUCTOS!$B:$B,Z3&amp;"*"))</f>
        <v>4</v>
      </c>
      <c r="X3">
        <f>CATÁLOGOS!B6</f>
        <v>0</v>
      </c>
      <c r="Y3" t="str">
        <f>CATÁLOGOS!H6</f>
        <v>Lavandinas y Cloros</v>
      </c>
      <c r="Z3" t="str">
        <f t="shared" ref="Z3:Z44" si="1">P3</f>
        <v>CLO</v>
      </c>
    </row>
    <row r="4" spans="1:33" ht="34.950000000000003" customHeight="1">
      <c r="A4" s="86" t="s">
        <v>1877</v>
      </c>
      <c r="B4" s="74"/>
      <c r="C4" s="74"/>
      <c r="D4" s="74"/>
      <c r="E4" s="74"/>
      <c r="F4" s="74"/>
      <c r="H4" s="86" t="s">
        <v>1878</v>
      </c>
      <c r="I4" s="74"/>
      <c r="J4" s="74"/>
      <c r="K4" s="74"/>
      <c r="L4" s="74"/>
      <c r="N4" t="s">
        <v>1507</v>
      </c>
      <c r="O4" t="s">
        <v>1485</v>
      </c>
      <c r="P4" t="s">
        <v>1879</v>
      </c>
      <c r="Q4">
        <f>COUNTIF(PRODUCTOS!$H:$H,"SUB-002")</f>
        <v>10</v>
      </c>
      <c r="R4">
        <f>IF(Y4=0,"",COUNTIF(PRODUCTOS!$H:$H,CATÁLOGOS!F7))</f>
        <v>10</v>
      </c>
      <c r="T4" t="str">
        <f t="shared" si="0"/>
        <v>DET</v>
      </c>
      <c r="U4">
        <f>IF(Z4=0,"",COUNTIF(PRODUCTOS!$B:$B,Z4&amp;"*"))</f>
        <v>4</v>
      </c>
      <c r="X4">
        <f>CATÁLOGOS!B7</f>
        <v>0</v>
      </c>
      <c r="Y4" t="str">
        <f>CATÁLOGOS!H7</f>
        <v>Detergentes y Lavavajillas</v>
      </c>
      <c r="Z4" t="str">
        <f t="shared" si="1"/>
        <v>DET</v>
      </c>
      <c r="AB4" s="63" t="s">
        <v>1880</v>
      </c>
      <c r="AC4" s="63" t="s">
        <v>1881</v>
      </c>
      <c r="AD4" s="63" t="s">
        <v>1882</v>
      </c>
      <c r="AE4" s="63" t="s">
        <v>1883</v>
      </c>
      <c r="AF4" s="63" t="s">
        <v>1884</v>
      </c>
      <c r="AG4" s="63" t="s">
        <v>1885</v>
      </c>
    </row>
    <row r="5" spans="1:33" ht="28.05" customHeight="1">
      <c r="A5" s="49" t="s">
        <v>1886</v>
      </c>
      <c r="B5" s="50" t="s">
        <v>1471</v>
      </c>
      <c r="H5" s="49" t="s">
        <v>1886</v>
      </c>
      <c r="I5" s="50"/>
      <c r="N5" t="s">
        <v>1507</v>
      </c>
      <c r="O5" t="s">
        <v>1493</v>
      </c>
      <c r="P5" t="s">
        <v>1887</v>
      </c>
      <c r="Q5">
        <f>COUNTIF(PRODUCTOS!$H:$H,"SUB-005")</f>
        <v>7</v>
      </c>
      <c r="R5" t="str">
        <f>IF(Y5=0,"",COUNTIF(PRODUCTOS!$H:$H,CATÁLOGOS!F8))</f>
        <v/>
      </c>
      <c r="T5" t="str">
        <f t="shared" si="0"/>
        <v>SUA</v>
      </c>
      <c r="U5">
        <f>IF(Z5=0,"",COUNTIF(PRODUCTOS!$B:$B,Z5&amp;"*"))</f>
        <v>6</v>
      </c>
      <c r="X5" t="str">
        <f>CATÁLOGOS!B8</f>
        <v>Todo para tu ropa</v>
      </c>
      <c r="Y5">
        <f>CATÁLOGOS!H8</f>
        <v>0</v>
      </c>
      <c r="Z5" t="str">
        <f t="shared" si="1"/>
        <v>SUA</v>
      </c>
      <c r="AB5" s="64" t="s">
        <v>1888</v>
      </c>
      <c r="AC5" s="65">
        <v>2500</v>
      </c>
      <c r="AD5" s="66">
        <v>15</v>
      </c>
      <c r="AE5" s="67">
        <f t="shared" ref="AE5:AE14" si="2">IF(OR(AC5="",AD5&lt;=0),"",AC5/AD5)</f>
        <v>166.66666666666666</v>
      </c>
      <c r="AF5" s="68">
        <v>0</v>
      </c>
      <c r="AG5" s="67">
        <f t="shared" ref="AG5:AG14" si="3">IF(OR(AE5="",AF5=""),"",AE5*(1+AF5/100))</f>
        <v>166.66666666666666</v>
      </c>
    </row>
    <row r="6" spans="1:33" ht="28.05" customHeight="1">
      <c r="A6" s="49" t="s">
        <v>1889</v>
      </c>
      <c r="B6" s="50" t="s">
        <v>1503</v>
      </c>
      <c r="H6" s="49" t="s">
        <v>1890</v>
      </c>
      <c r="I6" s="50"/>
      <c r="N6" t="s">
        <v>1507</v>
      </c>
      <c r="O6" t="s">
        <v>1504</v>
      </c>
      <c r="P6" t="s">
        <v>1891</v>
      </c>
      <c r="Q6">
        <f>COUNTIF(PRODUCTOS!$H:$H,"SUB-008")</f>
        <v>8</v>
      </c>
      <c r="R6" t="str">
        <f>IF(Y6=0,"",COUNTIF(PRODUCTOS!$H:$H,CATÁLOGOS!F9))</f>
        <v/>
      </c>
      <c r="T6" t="str">
        <f t="shared" si="0"/>
        <v>DES</v>
      </c>
      <c r="U6">
        <f>IF(Z6=0,"",COUNTIF(PRODUCTOS!$B:$B,Z6&amp;"*"))</f>
        <v>5</v>
      </c>
      <c r="X6">
        <f>CATÁLOGOS!B9</f>
        <v>0</v>
      </c>
      <c r="Y6">
        <f>CATÁLOGOS!H9</f>
        <v>0</v>
      </c>
      <c r="Z6" t="str">
        <f t="shared" si="1"/>
        <v>DES</v>
      </c>
      <c r="AB6" s="64" t="s">
        <v>1892</v>
      </c>
      <c r="AC6" s="65">
        <v>2000</v>
      </c>
      <c r="AD6" s="66">
        <v>2</v>
      </c>
      <c r="AE6" s="67">
        <f t="shared" si="2"/>
        <v>1000</v>
      </c>
      <c r="AF6" s="68">
        <v>0</v>
      </c>
      <c r="AG6" s="67">
        <f t="shared" si="3"/>
        <v>1000</v>
      </c>
    </row>
    <row r="7" spans="1:33" ht="28.05" customHeight="1">
      <c r="A7" s="49" t="s">
        <v>1893</v>
      </c>
      <c r="B7" s="50" t="s">
        <v>1536</v>
      </c>
      <c r="H7" s="49" t="s">
        <v>1894</v>
      </c>
      <c r="I7" s="50"/>
      <c r="N7" t="s">
        <v>1507</v>
      </c>
      <c r="O7" t="s">
        <v>1544</v>
      </c>
      <c r="P7" t="s">
        <v>1895</v>
      </c>
      <c r="Q7">
        <f>COUNTIF(PRODUCTOS!$H:$H,"SUB-029")</f>
        <v>12</v>
      </c>
      <c r="R7">
        <f>IF(Y7=0,"",COUNTIF(PRODUCTOS!$H:$H,CATÁLOGOS!F10))</f>
        <v>7</v>
      </c>
      <c r="T7" t="str">
        <f t="shared" si="0"/>
        <v>DPP</v>
      </c>
      <c r="U7">
        <f>IF(Z7=0,"",COUNTIF(PRODUCTOS!$B:$B,Z7&amp;"*"))</f>
        <v>12</v>
      </c>
      <c r="X7">
        <f>CATÁLOGOS!B10</f>
        <v>0</v>
      </c>
      <c r="Y7" t="str">
        <f>CATÁLOGOS!H10</f>
        <v>Jabones y Suavizantes</v>
      </c>
      <c r="Z7" t="str">
        <f t="shared" si="1"/>
        <v>DPP</v>
      </c>
      <c r="AB7" s="69" t="s">
        <v>1896</v>
      </c>
      <c r="AC7" s="65">
        <v>380</v>
      </c>
      <c r="AD7" s="70">
        <v>1</v>
      </c>
      <c r="AE7" s="71">
        <f t="shared" si="2"/>
        <v>380</v>
      </c>
      <c r="AF7" s="68">
        <v>0</v>
      </c>
      <c r="AG7" s="71">
        <f t="shared" si="3"/>
        <v>380</v>
      </c>
    </row>
    <row r="8" spans="1:33" ht="28.05" customHeight="1">
      <c r="A8" s="49" t="s">
        <v>1897</v>
      </c>
      <c r="B8" s="50" t="s">
        <v>397</v>
      </c>
      <c r="H8" s="49" t="s">
        <v>1897</v>
      </c>
      <c r="I8" s="50"/>
      <c r="N8" t="s">
        <v>1507</v>
      </c>
      <c r="O8" t="s">
        <v>1592</v>
      </c>
      <c r="P8" t="s">
        <v>1898</v>
      </c>
      <c r="Q8">
        <f>COUNTIF(PRODUCTOS!$H:$H,"SUB-055")</f>
        <v>6</v>
      </c>
      <c r="R8" t="str">
        <f>IF(Y8=0,"",COUNTIF(PRODUCTOS!$H:$H,CATÁLOGOS!F11))</f>
        <v/>
      </c>
      <c r="T8" t="str">
        <f t="shared" si="0"/>
        <v>SHA</v>
      </c>
      <c r="U8">
        <f>IF(Z8=0,"",COUNTIF(PRODUCTOS!$B:$B,Z8&amp;"*"))</f>
        <v>6</v>
      </c>
      <c r="X8" t="str">
        <f>CATÁLOGOS!B11</f>
        <v>🧰 Accesorios y equipamiento</v>
      </c>
      <c r="Y8">
        <f>CATÁLOGOS!H11</f>
        <v>0</v>
      </c>
      <c r="Z8" t="str">
        <f t="shared" si="1"/>
        <v>SHA</v>
      </c>
      <c r="AB8" s="72" t="s">
        <v>1899</v>
      </c>
      <c r="AC8" s="65">
        <v>230</v>
      </c>
      <c r="AD8" s="70">
        <v>1</v>
      </c>
      <c r="AE8" s="71">
        <f t="shared" si="2"/>
        <v>230</v>
      </c>
      <c r="AF8" s="68">
        <v>0</v>
      </c>
      <c r="AG8" s="71">
        <f t="shared" si="3"/>
        <v>230</v>
      </c>
    </row>
    <row r="9" spans="1:33" ht="28.05" customHeight="1">
      <c r="A9" s="49" t="s">
        <v>1900</v>
      </c>
      <c r="B9" s="50" t="s">
        <v>1443</v>
      </c>
      <c r="H9" s="49" t="s">
        <v>1900</v>
      </c>
      <c r="I9" s="50"/>
      <c r="N9" t="s">
        <v>1488</v>
      </c>
      <c r="O9" t="s">
        <v>1501</v>
      </c>
      <c r="P9" t="s">
        <v>1901</v>
      </c>
      <c r="Q9">
        <f>COUNTIF(PRODUCTOS!$H:$H,"SUB-007")</f>
        <v>2</v>
      </c>
      <c r="R9">
        <f>IF(Y9=0,"",COUNTIF(PRODUCTOS!$H:$H,CATÁLOGOS!F12))</f>
        <v>2</v>
      </c>
      <c r="T9" t="str">
        <f t="shared" si="0"/>
        <v>PFA</v>
      </c>
      <c r="U9">
        <f>IF(Z9=0,"",COUNTIF(PRODUCTOS!$B:$B,Z9&amp;"*"))</f>
        <v>2</v>
      </c>
      <c r="X9" t="str">
        <f>CATÁLOGOS!B12</f>
        <v>🚗 Automotor</v>
      </c>
      <c r="Y9" t="str">
        <f>CATÁLOGOS!H12</f>
        <v>Perfumes para ropa</v>
      </c>
      <c r="Z9" t="str">
        <f t="shared" si="1"/>
        <v>PFA</v>
      </c>
      <c r="AB9" s="69" t="s">
        <v>1902</v>
      </c>
      <c r="AC9" s="65">
        <v>720</v>
      </c>
      <c r="AD9" s="70">
        <v>1</v>
      </c>
      <c r="AE9" s="71">
        <f t="shared" si="2"/>
        <v>720</v>
      </c>
      <c r="AF9" s="68">
        <v>0</v>
      </c>
      <c r="AG9" s="71">
        <f t="shared" si="3"/>
        <v>720</v>
      </c>
    </row>
    <row r="10" spans="1:33" ht="28.05" customHeight="1">
      <c r="A10" s="49" t="s">
        <v>1903</v>
      </c>
      <c r="B10" s="50"/>
      <c r="H10" s="49" t="s">
        <v>1903</v>
      </c>
      <c r="I10" s="50"/>
      <c r="N10" t="s">
        <v>1488</v>
      </c>
      <c r="O10" t="s">
        <v>1534</v>
      </c>
      <c r="P10" t="s">
        <v>1904</v>
      </c>
      <c r="Q10">
        <f>COUNTIF(PRODUCTOS!$H:$H,"SUB-022")</f>
        <v>28</v>
      </c>
      <c r="R10">
        <f>IF(Y10=0,"",COUNTIF(PRODUCTOS!$H:$H,CATÁLOGOS!F13))</f>
        <v>8</v>
      </c>
      <c r="T10" t="str">
        <f t="shared" si="0"/>
        <v>DAV</v>
      </c>
      <c r="U10">
        <f>IF(Z10=0,"",COUNTIF(PRODUCTOS!$B:$B,Z10&amp;"*"))</f>
        <v>27</v>
      </c>
      <c r="X10" t="str">
        <f>CATÁLOGOS!B13</f>
        <v>📦 Packs y ofertas</v>
      </c>
      <c r="Y10" t="str">
        <f>CATÁLOGOS!H13</f>
        <v>Desengrasantes</v>
      </c>
      <c r="Z10" t="str">
        <f t="shared" si="1"/>
        <v>DAV</v>
      </c>
      <c r="AB10" s="69" t="s">
        <v>350</v>
      </c>
      <c r="AC10" s="65">
        <v>230</v>
      </c>
      <c r="AD10" s="70">
        <v>1</v>
      </c>
      <c r="AE10" s="71">
        <f t="shared" si="2"/>
        <v>230</v>
      </c>
      <c r="AF10" s="68">
        <v>0</v>
      </c>
      <c r="AG10" s="71">
        <f t="shared" si="3"/>
        <v>230</v>
      </c>
    </row>
    <row r="11" spans="1:33" ht="28.05" customHeight="1">
      <c r="A11" s="49" t="s">
        <v>1905</v>
      </c>
      <c r="B11" s="50" t="s">
        <v>1906</v>
      </c>
      <c r="H11" s="49" t="s">
        <v>1905</v>
      </c>
      <c r="I11" s="50"/>
      <c r="N11" t="s">
        <v>1488</v>
      </c>
      <c r="O11" t="s">
        <v>1560</v>
      </c>
      <c r="P11" t="s">
        <v>1907</v>
      </c>
      <c r="Q11">
        <f>COUNTIF(PRODUCTOS!$H:$H,"SUB-038")</f>
        <v>1</v>
      </c>
      <c r="R11">
        <f>IF(Y11=0,"",COUNTIF(PRODUCTOS!$H:$H,CATÁLOGOS!F14))</f>
        <v>15</v>
      </c>
      <c r="T11" t="str">
        <f t="shared" si="0"/>
        <v>LIR</v>
      </c>
      <c r="U11">
        <f>IF(Z11=0,"",COUNTIF(PRODUCTOS!$B:$B,Z11&amp;"*"))</f>
        <v>0</v>
      </c>
      <c r="X11" t="str">
        <f>CATÁLOGOS!B14</f>
        <v>Nuestros productos</v>
      </c>
      <c r="Y11" t="str">
        <f>CATÁLOGOS!H14</f>
        <v>Rejillas y repasadores</v>
      </c>
      <c r="Z11" t="str">
        <f t="shared" si="1"/>
        <v>LIR</v>
      </c>
      <c r="AB11" s="69" t="s">
        <v>1908</v>
      </c>
      <c r="AC11" s="65">
        <v>1800</v>
      </c>
      <c r="AD11" s="70">
        <v>1</v>
      </c>
      <c r="AE11" s="71">
        <f t="shared" si="2"/>
        <v>1800</v>
      </c>
      <c r="AF11" s="68">
        <v>0</v>
      </c>
      <c r="AG11" s="71">
        <f t="shared" si="3"/>
        <v>1800</v>
      </c>
    </row>
    <row r="12" spans="1:33" ht="28.05" customHeight="1">
      <c r="A12" s="49" t="s">
        <v>1909</v>
      </c>
      <c r="B12" s="50"/>
      <c r="H12" s="49" t="s">
        <v>1910</v>
      </c>
      <c r="I12" s="50"/>
      <c r="N12" t="s">
        <v>1488</v>
      </c>
      <c r="O12" t="s">
        <v>1588</v>
      </c>
      <c r="P12" t="s">
        <v>1911</v>
      </c>
      <c r="Q12">
        <f>COUNTIF(PRODUCTOS!$H:$H,"SUB-053")</f>
        <v>0</v>
      </c>
      <c r="R12">
        <f>IF(Y12=0,"",COUNTIF(PRODUCTOS!$H:$H,CATÁLOGOS!F15))</f>
        <v>13</v>
      </c>
      <c r="T12" t="str">
        <f t="shared" si="0"/>
        <v>ACC</v>
      </c>
      <c r="U12">
        <f>IF(Z12=0,"",COUNTIF(PRODUCTOS!$B:$B,Z12&amp;"*"))</f>
        <v>0</v>
      </c>
      <c r="X12" t="str">
        <f>CATÁLOGOS!B15</f>
        <v>🏠 Hogar y varios</v>
      </c>
      <c r="Y12" t="str">
        <f>CATÁLOGOS!H15</f>
        <v>Trapos de piso</v>
      </c>
      <c r="Z12" t="str">
        <f t="shared" si="1"/>
        <v>ACC</v>
      </c>
      <c r="AB12" s="69" t="s">
        <v>340</v>
      </c>
      <c r="AC12" s="65">
        <v>550</v>
      </c>
      <c r="AD12" s="70">
        <v>1</v>
      </c>
      <c r="AE12" s="71">
        <f t="shared" si="2"/>
        <v>550</v>
      </c>
      <c r="AF12" s="68">
        <v>0</v>
      </c>
      <c r="AG12" s="71">
        <f t="shared" si="3"/>
        <v>550</v>
      </c>
    </row>
    <row r="13" spans="1:33" ht="28.05" customHeight="1">
      <c r="A13" s="49" t="s">
        <v>1912</v>
      </c>
      <c r="B13" s="50"/>
      <c r="H13" s="49" t="s">
        <v>1912</v>
      </c>
      <c r="I13" s="50"/>
      <c r="N13" t="s">
        <v>1496</v>
      </c>
      <c r="O13" t="s">
        <v>1508</v>
      </c>
      <c r="P13" t="s">
        <v>1913</v>
      </c>
      <c r="Q13">
        <f>COUNTIF(PRODUCTOS!$H:$H,"SUB-009")</f>
        <v>15</v>
      </c>
      <c r="R13">
        <f>IF(Y13=0,"",COUNTIF(PRODUCTOS!$H:$H,CATÁLOGOS!F16))</f>
        <v>38</v>
      </c>
      <c r="T13" t="str">
        <f t="shared" si="0"/>
        <v>RJR</v>
      </c>
      <c r="U13">
        <f>IF(Z13=0,"",COUNTIF(PRODUCTOS!$B:$B,Z13&amp;"*"))</f>
        <v>15</v>
      </c>
      <c r="X13" t="str">
        <f>CATÁLOGOS!B16</f>
        <v>🏊 Piletas</v>
      </c>
      <c r="Y13" t="str">
        <f>CATÁLOGOS!H16</f>
        <v>Escobas y escobillones</v>
      </c>
      <c r="Z13" t="str">
        <f t="shared" si="1"/>
        <v>RJR</v>
      </c>
      <c r="AB13" s="69" t="s">
        <v>1914</v>
      </c>
      <c r="AC13" s="65">
        <v>650</v>
      </c>
      <c r="AD13" s="70">
        <v>1</v>
      </c>
      <c r="AE13" s="71">
        <f t="shared" si="2"/>
        <v>650</v>
      </c>
      <c r="AF13" s="68">
        <v>0</v>
      </c>
      <c r="AG13" s="71">
        <f t="shared" si="3"/>
        <v>650</v>
      </c>
    </row>
    <row r="14" spans="1:33" ht="28.05" customHeight="1">
      <c r="A14" s="49" t="s">
        <v>1915</v>
      </c>
      <c r="B14" s="50"/>
      <c r="H14" s="49" t="s">
        <v>1916</v>
      </c>
      <c r="I14" s="50"/>
      <c r="N14" t="s">
        <v>1496</v>
      </c>
      <c r="O14" t="s">
        <v>1511</v>
      </c>
      <c r="P14" t="s">
        <v>1917</v>
      </c>
      <c r="Q14">
        <f>COUNTIF(PRODUCTOS!$H:$H,"SUB-010")</f>
        <v>13</v>
      </c>
      <c r="R14">
        <f>IF(Y14=0,"",COUNTIF(PRODUCTOS!$H:$H,CATÁLOGOS!F17))</f>
        <v>1</v>
      </c>
      <c r="T14" t="str">
        <f t="shared" si="0"/>
        <v>TDP</v>
      </c>
      <c r="U14">
        <f>IF(Z14=0,"",COUNTIF(PRODUCTOS!$B:$B,Z14&amp;"*"))</f>
        <v>13</v>
      </c>
      <c r="X14">
        <f>CATÁLOGOS!B17</f>
        <v>0</v>
      </c>
      <c r="Y14" t="str">
        <f>CATÁLOGOS!H17</f>
        <v>Bruja</v>
      </c>
      <c r="Z14" t="str">
        <f t="shared" si="1"/>
        <v>TDP</v>
      </c>
      <c r="AB14" s="69" t="s">
        <v>1799</v>
      </c>
      <c r="AC14" s="65">
        <v>1500</v>
      </c>
      <c r="AD14" s="70">
        <v>1</v>
      </c>
      <c r="AE14" s="71">
        <f t="shared" si="2"/>
        <v>1500</v>
      </c>
      <c r="AF14" s="68">
        <v>0</v>
      </c>
      <c r="AG14" s="71">
        <f t="shared" si="3"/>
        <v>1500</v>
      </c>
    </row>
    <row r="15" spans="1:33" ht="34.950000000000003" customHeight="1">
      <c r="A15" s="49" t="s">
        <v>1918</v>
      </c>
      <c r="B15" s="50" t="s">
        <v>1919</v>
      </c>
      <c r="H15" s="49" t="s">
        <v>1920</v>
      </c>
      <c r="I15" s="50"/>
      <c r="N15" t="s">
        <v>1496</v>
      </c>
      <c r="O15" t="s">
        <v>1515</v>
      </c>
      <c r="P15" t="s">
        <v>1921</v>
      </c>
      <c r="Q15">
        <f>COUNTIF(PRODUCTOS!$H:$H,"SUB-011")</f>
        <v>38</v>
      </c>
      <c r="R15">
        <f>IF(Y15=0,"",COUNTIF(PRODUCTOS!$H:$H,CATÁLOGOS!F18))</f>
        <v>1</v>
      </c>
      <c r="T15" t="str">
        <f t="shared" si="0"/>
        <v>EYE</v>
      </c>
      <c r="U15">
        <f>IF(Z15=0,"",COUNTIF(PRODUCTOS!$B:$B,Z15&amp;"*"))</f>
        <v>38</v>
      </c>
      <c r="X15">
        <f>CATÁLOGOS!B18</f>
        <v>0</v>
      </c>
      <c r="Y15" t="str">
        <f>CATÁLOGOS!H18</f>
        <v>Esponja</v>
      </c>
      <c r="Z15" t="str">
        <f t="shared" si="1"/>
        <v>EYE</v>
      </c>
      <c r="AB15" s="81" t="s">
        <v>1922</v>
      </c>
      <c r="AC15" s="74"/>
      <c r="AD15" s="74"/>
      <c r="AE15" s="74"/>
      <c r="AF15" s="74"/>
      <c r="AG15" s="74"/>
    </row>
    <row r="16" spans="1:33" ht="79.2" customHeight="1">
      <c r="A16" s="49" t="s">
        <v>1923</v>
      </c>
      <c r="B16" s="50" t="s">
        <v>1817</v>
      </c>
      <c r="H16" s="49" t="s">
        <v>1924</v>
      </c>
      <c r="I16" s="50"/>
      <c r="N16" t="s">
        <v>1496</v>
      </c>
      <c r="O16" t="s">
        <v>1546</v>
      </c>
      <c r="P16" t="s">
        <v>1925</v>
      </c>
      <c r="Q16">
        <f>COUNTIF(PRODUCTOS!$H:$H,"SUB-030")</f>
        <v>7</v>
      </c>
      <c r="R16">
        <f>IF(Y16=0,"",COUNTIF(PRODUCTOS!$H:$H,CATÁLOGOS!F19))</f>
        <v>1</v>
      </c>
      <c r="T16" t="str">
        <f t="shared" si="0"/>
        <v>CBS</v>
      </c>
      <c r="U16">
        <f>IF(Z16=0,"",COUNTIF(PRODUCTOS!$B:$B,Z16&amp;"*"))</f>
        <v>7</v>
      </c>
      <c r="X16">
        <f>CATÁLOGOS!B19</f>
        <v>0</v>
      </c>
      <c r="Y16" t="str">
        <f>CATÁLOGOS!H19</f>
        <v>Silicona</v>
      </c>
      <c r="Z16" t="str">
        <f t="shared" si="1"/>
        <v>CBS</v>
      </c>
    </row>
    <row r="17" spans="1:26">
      <c r="A17" s="49" t="s">
        <v>1924</v>
      </c>
      <c r="B17" s="50">
        <v>6250</v>
      </c>
      <c r="H17" s="49" t="s">
        <v>1926</v>
      </c>
      <c r="I17" s="50"/>
      <c r="N17" t="s">
        <v>1496</v>
      </c>
      <c r="O17" t="s">
        <v>1548</v>
      </c>
      <c r="P17" t="s">
        <v>1927</v>
      </c>
      <c r="Q17">
        <f>COUNTIF(PRODUCTOS!$H:$H,"SUB-031")</f>
        <v>8</v>
      </c>
      <c r="R17">
        <f>IF(Y17=0,"",COUNTIF(PRODUCTOS!$H:$H,CATÁLOGOS!F20))</f>
        <v>9</v>
      </c>
      <c r="T17" t="str">
        <f t="shared" si="0"/>
        <v>ESP</v>
      </c>
      <c r="U17">
        <f>IF(Z17=0,"",COUNTIF(PRODUCTOS!$B:$B,Z17&amp;"*"))</f>
        <v>8</v>
      </c>
      <c r="X17">
        <f>CATÁLOGOS!B20</f>
        <v>0</v>
      </c>
      <c r="Y17" t="str">
        <f>CATÁLOGOS!H20</f>
        <v>Silicona en Aerosol</v>
      </c>
      <c r="Z17" t="str">
        <f t="shared" si="1"/>
        <v>ESP</v>
      </c>
    </row>
    <row r="18" spans="1:26">
      <c r="A18" s="49" t="s">
        <v>1926</v>
      </c>
      <c r="B18" s="50" t="s">
        <v>38</v>
      </c>
      <c r="H18" s="49" t="s">
        <v>1928</v>
      </c>
      <c r="I18" s="50"/>
      <c r="N18" t="s">
        <v>1496</v>
      </c>
      <c r="O18" t="s">
        <v>1550</v>
      </c>
      <c r="P18" t="s">
        <v>1929</v>
      </c>
      <c r="Q18">
        <f>COUNTIF(PRODUCTOS!$H:$H,"SUB-032")</f>
        <v>5</v>
      </c>
      <c r="R18">
        <f>IF(Y18=0,"",COUNTIF(PRODUCTOS!$H:$H,CATÁLOGOS!F21))</f>
        <v>1</v>
      </c>
      <c r="T18" t="str">
        <f t="shared" si="0"/>
        <v>APR</v>
      </c>
      <c r="U18">
        <f>IF(Z18=0,"",COUNTIF(PRODUCTOS!$B:$B,Z18&amp;"*"))</f>
        <v>5</v>
      </c>
      <c r="X18">
        <f>CATÁLOGOS!B21</f>
        <v>0</v>
      </c>
      <c r="Y18" t="str">
        <f>CATÁLOGOS!H21</f>
        <v>Shampoo Siliconado</v>
      </c>
      <c r="Z18" t="str">
        <f t="shared" si="1"/>
        <v>APR</v>
      </c>
    </row>
    <row r="19" spans="1:26">
      <c r="A19" s="49" t="s">
        <v>1928</v>
      </c>
      <c r="B19" s="50">
        <v>4000</v>
      </c>
      <c r="H19" s="49" t="s">
        <v>1930</v>
      </c>
      <c r="I19" s="50" t="s">
        <v>329</v>
      </c>
      <c r="N19" t="s">
        <v>1496</v>
      </c>
      <c r="O19" t="s">
        <v>1564</v>
      </c>
      <c r="P19" t="s">
        <v>1931</v>
      </c>
      <c r="Q19">
        <f>COUNTIF(PRODUCTOS!$H:$H,"SUB-040")</f>
        <v>6</v>
      </c>
      <c r="R19">
        <f>IF(Y19=0,"",COUNTIF(PRODUCTOS!$H:$H,CATÁLOGOS!F22))</f>
        <v>1</v>
      </c>
      <c r="T19" t="str">
        <f t="shared" si="0"/>
        <v>GUA</v>
      </c>
      <c r="U19">
        <f>IF(Z19=0,"",COUNTIF(PRODUCTOS!$B:$B,Z19&amp;"*"))</f>
        <v>0</v>
      </c>
      <c r="X19">
        <f>CATÁLOGOS!B22</f>
        <v>0</v>
      </c>
      <c r="Y19" t="str">
        <f>CATÁLOGOS!H22</f>
        <v>Mini Lata Walker</v>
      </c>
      <c r="Z19" t="str">
        <f t="shared" si="1"/>
        <v>GUA</v>
      </c>
    </row>
    <row r="20" spans="1:26">
      <c r="A20" s="49" t="s">
        <v>1930</v>
      </c>
      <c r="B20" s="50" t="s">
        <v>329</v>
      </c>
      <c r="H20" s="49" t="s">
        <v>1932</v>
      </c>
      <c r="I20" s="50" t="s">
        <v>53</v>
      </c>
      <c r="N20" t="s">
        <v>1496</v>
      </c>
      <c r="O20" t="s">
        <v>1566</v>
      </c>
      <c r="P20" t="s">
        <v>1933</v>
      </c>
      <c r="Q20">
        <f>COUNTIF(PRODUCTOS!$H:$H,"SUB-041")</f>
        <v>5</v>
      </c>
      <c r="R20">
        <f>IF(Y20=0,"",COUNTIF(PRODUCTOS!$H:$H,CATÁLOGOS!F23))</f>
        <v>5</v>
      </c>
      <c r="T20" t="str">
        <f t="shared" si="0"/>
        <v>MOP</v>
      </c>
      <c r="U20">
        <f>IF(Z20=0,"",COUNTIF(PRODUCTOS!$B:$B,Z20&amp;"*"))</f>
        <v>0</v>
      </c>
      <c r="X20">
        <f>CATÁLOGOS!B23</f>
        <v>0</v>
      </c>
      <c r="Y20" t="str">
        <f>CATÁLOGOS!H23</f>
        <v>Perfume en Lata Walker</v>
      </c>
      <c r="Z20" t="str">
        <f t="shared" si="1"/>
        <v>MOP</v>
      </c>
    </row>
    <row r="21" spans="1:26">
      <c r="A21" s="49" t="s">
        <v>1932</v>
      </c>
      <c r="B21" s="50" t="s">
        <v>169</v>
      </c>
      <c r="N21" t="s">
        <v>1496</v>
      </c>
      <c r="O21" t="s">
        <v>1568</v>
      </c>
      <c r="P21" t="s">
        <v>1934</v>
      </c>
      <c r="Q21">
        <f>COUNTIF(PRODUCTOS!$H:$H,"SUB-042")</f>
        <v>2</v>
      </c>
      <c r="R21">
        <f>IF(Y21=0,"",COUNTIF(PRODUCTOS!$H:$H,CATÁLOGOS!F24))</f>
        <v>1</v>
      </c>
      <c r="T21" t="str">
        <f t="shared" si="0"/>
        <v>REP</v>
      </c>
      <c r="U21">
        <f>IF(Z21=0,"",COUNTIF(PRODUCTOS!$B:$B,Z21&amp;"*"))</f>
        <v>0</v>
      </c>
      <c r="X21">
        <f>CATÁLOGOS!B24</f>
        <v>0</v>
      </c>
      <c r="Y21" t="str">
        <f>CATÁLOGOS!H24</f>
        <v>Cera</v>
      </c>
      <c r="Z21" t="str">
        <f t="shared" si="1"/>
        <v>REP</v>
      </c>
    </row>
    <row r="22" spans="1:26">
      <c r="N22" t="s">
        <v>1496</v>
      </c>
      <c r="O22" t="s">
        <v>1570</v>
      </c>
      <c r="P22" t="s">
        <v>1935</v>
      </c>
      <c r="Q22">
        <f>COUNTIF(PRODUCTOS!$H:$H,"SUB-043")</f>
        <v>6</v>
      </c>
      <c r="R22">
        <f>IF(Y22=0,"",COUNTIF(PRODUCTOS!$H:$H,CATÁLOGOS!F25))</f>
        <v>1</v>
      </c>
      <c r="T22" t="str">
        <f t="shared" si="0"/>
        <v>BAL</v>
      </c>
      <c r="U22">
        <f>IF(Z22=0,"",COUNTIF(PRODUCTOS!$B:$B,Z22&amp;"*"))</f>
        <v>0</v>
      </c>
      <c r="X22">
        <f>CATÁLOGOS!B25</f>
        <v>0</v>
      </c>
      <c r="Y22" t="str">
        <f>CATÁLOGOS!H25</f>
        <v>Limpia Tapizado en Aerosol</v>
      </c>
      <c r="Z22" t="str">
        <f t="shared" si="1"/>
        <v>BAL</v>
      </c>
    </row>
    <row r="23" spans="1:26">
      <c r="A23" s="84" t="s">
        <v>1936</v>
      </c>
      <c r="B23" s="74"/>
      <c r="C23" s="74"/>
      <c r="D23" s="74"/>
      <c r="E23" s="74"/>
      <c r="F23" s="74"/>
      <c r="G23" s="74"/>
      <c r="H23" s="74"/>
      <c r="I23" s="74"/>
      <c r="J23" s="74"/>
      <c r="K23" s="74"/>
      <c r="L23" s="74"/>
      <c r="N23" t="s">
        <v>1496</v>
      </c>
      <c r="O23" t="s">
        <v>1590</v>
      </c>
      <c r="P23" t="s">
        <v>1937</v>
      </c>
      <c r="Q23">
        <f>COUNTIF(PRODUCTOS!$H:$H,"SUB-054")</f>
        <v>2</v>
      </c>
      <c r="R23" t="str">
        <f>IF(Y23=0,"",COUNTIF(PRODUCTOS!$H:$H,CATÁLOGOS!F26))</f>
        <v/>
      </c>
      <c r="T23" t="str">
        <f t="shared" si="0"/>
        <v>AER</v>
      </c>
      <c r="U23">
        <f>IF(Z23=0,"",COUNTIF(PRODUCTOS!$B:$B,Z23&amp;"*"))</f>
        <v>8</v>
      </c>
      <c r="X23">
        <f>CATÁLOGOS!B26</f>
        <v>0</v>
      </c>
      <c r="Y23">
        <f>CATÁLOGOS!H26</f>
        <v>0</v>
      </c>
      <c r="Z23" t="str">
        <f t="shared" si="1"/>
        <v>AER</v>
      </c>
    </row>
    <row r="24" spans="1:26">
      <c r="A24" s="51" t="s">
        <v>300</v>
      </c>
      <c r="B24" s="52">
        <v>257</v>
      </c>
      <c r="C24" s="51" t="s">
        <v>1930</v>
      </c>
      <c r="D24" s="52" t="s">
        <v>329</v>
      </c>
      <c r="N24" t="s">
        <v>1500</v>
      </c>
      <c r="O24" t="s">
        <v>1517</v>
      </c>
      <c r="P24" t="s">
        <v>1938</v>
      </c>
      <c r="Q24">
        <f>COUNTIF(PRODUCTOS!$H:$H,"SUB-012")</f>
        <v>1</v>
      </c>
      <c r="R24">
        <f>IF(Y24=0,"",COUNTIF(PRODUCTOS!$H:$H,CATÁLOGOS!F27))</f>
        <v>28</v>
      </c>
      <c r="T24" t="str">
        <f t="shared" si="0"/>
        <v>BRJ</v>
      </c>
      <c r="U24">
        <f>IF(Z24=0,"",COUNTIF(PRODUCTOS!$B:$B,Z24&amp;"*"))</f>
        <v>0</v>
      </c>
      <c r="X24">
        <f>CATÁLOGOS!B27</f>
        <v>0</v>
      </c>
      <c r="Y24" t="str">
        <f>CATÁLOGOS!H27</f>
        <v>Difusores aromáticos</v>
      </c>
      <c r="Z24" t="str">
        <f t="shared" si="1"/>
        <v>BRJ</v>
      </c>
    </row>
    <row r="25" spans="1:26">
      <c r="A25" s="51" t="s">
        <v>1939</v>
      </c>
      <c r="B25" s="52" t="s">
        <v>297</v>
      </c>
      <c r="C25" s="51" t="s">
        <v>1940</v>
      </c>
      <c r="D25" s="52" t="s">
        <v>1941</v>
      </c>
      <c r="N25" t="s">
        <v>1500</v>
      </c>
      <c r="O25" t="s">
        <v>1519</v>
      </c>
      <c r="P25" t="s">
        <v>1942</v>
      </c>
      <c r="Q25">
        <f>COUNTIF(PRODUCTOS!$H:$H,"SUB-013")</f>
        <v>1</v>
      </c>
      <c r="R25">
        <f>IF(Y25=0,"",COUNTIF(PRODUCTOS!$H:$H,CATÁLOGOS!F28))</f>
        <v>8</v>
      </c>
      <c r="T25" t="str">
        <f t="shared" si="0"/>
        <v>ESM</v>
      </c>
      <c r="U25">
        <f>IF(Z25=0,"",COUNTIF(PRODUCTOS!$B:$B,Z25&amp;"*"))</f>
        <v>0</v>
      </c>
      <c r="X25">
        <f>CATÁLOGOS!B28</f>
        <v>0</v>
      </c>
      <c r="Y25" t="str">
        <f>CATÁLOGOS!H28</f>
        <v>Promociones</v>
      </c>
      <c r="Z25" t="str">
        <f t="shared" si="1"/>
        <v>ESM</v>
      </c>
    </row>
    <row r="26" spans="1:26">
      <c r="A26" s="51" t="s">
        <v>1870</v>
      </c>
      <c r="B26" s="52" t="s">
        <v>904</v>
      </c>
      <c r="C26" s="51" t="s">
        <v>1943</v>
      </c>
      <c r="D26" s="52"/>
      <c r="N26" t="s">
        <v>1500</v>
      </c>
      <c r="O26" t="s">
        <v>1521</v>
      </c>
      <c r="P26" t="s">
        <v>1944</v>
      </c>
      <c r="Q26">
        <f>COUNTIF(PRODUCTOS!$H:$H,"SUB-014")</f>
        <v>1</v>
      </c>
      <c r="R26" t="str">
        <f>IF(Y26=0,"",COUNTIF(PRODUCTOS!$H:$H,CATÁLOGOS!F29))</f>
        <v/>
      </c>
      <c r="T26" t="str">
        <f t="shared" si="0"/>
        <v>SIL</v>
      </c>
      <c r="U26">
        <f>IF(Z26=0,"",COUNTIF(PRODUCTOS!$B:$B,Z26&amp;"*"))</f>
        <v>0</v>
      </c>
      <c r="X26">
        <f>CATÁLOGOS!B29</f>
        <v>0</v>
      </c>
      <c r="Y26">
        <f>CATÁLOGOS!H29</f>
        <v>0</v>
      </c>
      <c r="Z26" t="str">
        <f t="shared" si="1"/>
        <v>SIL</v>
      </c>
    </row>
    <row r="27" spans="1:26">
      <c r="A27" s="51" t="s">
        <v>1871</v>
      </c>
      <c r="B27" s="52" t="s">
        <v>905</v>
      </c>
      <c r="C27" s="51" t="s">
        <v>1912</v>
      </c>
      <c r="D27" s="52"/>
      <c r="N27" t="s">
        <v>1500</v>
      </c>
      <c r="O27" t="s">
        <v>664</v>
      </c>
      <c r="P27" t="s">
        <v>1945</v>
      </c>
      <c r="Q27">
        <f>COUNTIF(PRODUCTOS!$H:$H,"SUB-015")</f>
        <v>9</v>
      </c>
      <c r="R27" t="str">
        <f>IF(Y27=0,"",COUNTIF(PRODUCTOS!$H:$H,CATÁLOGOS!F30))</f>
        <v/>
      </c>
      <c r="T27" t="str">
        <f t="shared" si="0"/>
        <v>SIA</v>
      </c>
      <c r="U27">
        <f>IF(Z27=0,"",COUNTIF(PRODUCTOS!$B:$B,Z27&amp;"*"))</f>
        <v>0</v>
      </c>
      <c r="X27">
        <f>CATÁLOGOS!B30</f>
        <v>0</v>
      </c>
      <c r="Y27">
        <f>CATÁLOGOS!H30</f>
        <v>0</v>
      </c>
      <c r="Z27" t="str">
        <f t="shared" si="1"/>
        <v>SIA</v>
      </c>
    </row>
    <row r="28" spans="1:26">
      <c r="A28" s="51" t="s">
        <v>1946</v>
      </c>
      <c r="B28" s="52" t="s">
        <v>1473</v>
      </c>
      <c r="C28" s="51" t="s">
        <v>1947</v>
      </c>
      <c r="D28" s="52"/>
      <c r="N28" t="s">
        <v>1500</v>
      </c>
      <c r="O28" t="s">
        <v>1525</v>
      </c>
      <c r="P28" t="s">
        <v>1948</v>
      </c>
      <c r="Q28">
        <f>COUNTIF(PRODUCTOS!$H:$H,"SUB-016")</f>
        <v>1</v>
      </c>
      <c r="R28" t="str">
        <f>IF(Y28=0,"",COUNTIF(PRODUCTOS!$H:$H,CATÁLOGOS!F31))</f>
        <v/>
      </c>
      <c r="T28" t="str">
        <f t="shared" si="0"/>
        <v>SHS</v>
      </c>
      <c r="U28">
        <f>IF(Z28=0,"",COUNTIF(PRODUCTOS!$B:$B,Z28&amp;"*"))</f>
        <v>0</v>
      </c>
      <c r="X28">
        <f>CATÁLOGOS!B31</f>
        <v>0</v>
      </c>
      <c r="Y28">
        <f>CATÁLOGOS!H31</f>
        <v>0</v>
      </c>
      <c r="Z28" t="str">
        <f t="shared" si="1"/>
        <v>SHS</v>
      </c>
    </row>
    <row r="29" spans="1:26">
      <c r="A29" s="51" t="s">
        <v>1949</v>
      </c>
      <c r="B29" s="53" t="s">
        <v>1472</v>
      </c>
      <c r="C29" s="51" t="s">
        <v>1950</v>
      </c>
      <c r="D29" s="61" t="s">
        <v>1951</v>
      </c>
      <c r="N29" t="s">
        <v>1500</v>
      </c>
      <c r="O29" t="s">
        <v>1527</v>
      </c>
      <c r="P29" t="s">
        <v>1952</v>
      </c>
      <c r="Q29">
        <f>COUNTIF(PRODUCTOS!$H:$H,"SUB-017")</f>
        <v>1</v>
      </c>
      <c r="R29" t="str">
        <f>IF(Y29=0,"",COUNTIF(PRODUCTOS!$H:$H,CATÁLOGOS!F32))</f>
        <v/>
      </c>
      <c r="T29" t="str">
        <f t="shared" si="0"/>
        <v>MLW</v>
      </c>
      <c r="U29">
        <f>IF(Z29=0,"",COUNTIF(PRODUCTOS!$B:$B,Z29&amp;"*"))</f>
        <v>0</v>
      </c>
      <c r="X29">
        <f>CATÁLOGOS!B32</f>
        <v>0</v>
      </c>
      <c r="Y29">
        <f>CATÁLOGOS!H32</f>
        <v>0</v>
      </c>
      <c r="Z29" t="str">
        <f t="shared" si="1"/>
        <v>MLW</v>
      </c>
    </row>
    <row r="30" spans="1:26">
      <c r="N30" t="s">
        <v>1500</v>
      </c>
      <c r="O30" t="s">
        <v>713</v>
      </c>
      <c r="P30" t="s">
        <v>1953</v>
      </c>
      <c r="Q30">
        <f>COUNTIF(PRODUCTOS!$H:$H,"SUB-018")</f>
        <v>5</v>
      </c>
      <c r="R30" t="str">
        <f>IF(Y30=0,"",COUNTIF(PRODUCTOS!$H:$H,CATÁLOGOS!F33))</f>
        <v/>
      </c>
      <c r="T30" t="str">
        <f t="shared" si="0"/>
        <v>PLW</v>
      </c>
      <c r="U30">
        <f>IF(Z30=0,"",COUNTIF(PRODUCTOS!$B:$B,Z30&amp;"*"))</f>
        <v>0</v>
      </c>
      <c r="X30">
        <f>CATÁLOGOS!B33</f>
        <v>0</v>
      </c>
      <c r="Y30">
        <f>CATÁLOGOS!H33</f>
        <v>0</v>
      </c>
      <c r="Z30" t="str">
        <f t="shared" si="1"/>
        <v>PLW</v>
      </c>
    </row>
    <row r="31" spans="1:26">
      <c r="A31" s="85" t="s">
        <v>1954</v>
      </c>
      <c r="B31" s="74"/>
      <c r="C31" s="74"/>
      <c r="D31" s="74"/>
      <c r="E31" s="74"/>
      <c r="F31" s="74"/>
      <c r="G31" s="74"/>
      <c r="H31" s="74"/>
      <c r="I31" s="74"/>
      <c r="J31" s="74"/>
      <c r="K31" s="74"/>
      <c r="L31" s="74"/>
      <c r="N31" t="s">
        <v>1500</v>
      </c>
      <c r="O31" t="s">
        <v>1530</v>
      </c>
      <c r="P31" t="s">
        <v>1955</v>
      </c>
      <c r="Q31">
        <f>COUNTIF(PRODUCTOS!$H:$H,"SUB-019")</f>
        <v>1</v>
      </c>
      <c r="R31">
        <f>IF(Y31=0,"",COUNTIF(PRODUCTOS!$H:$H,CATÁLOGOS!F34))</f>
        <v>12</v>
      </c>
      <c r="T31" t="str">
        <f t="shared" si="0"/>
        <v>CER</v>
      </c>
      <c r="U31">
        <f>IF(Z31=0,"",COUNTIF(PRODUCTOS!$B:$B,Z31&amp;"*"))</f>
        <v>0</v>
      </c>
      <c r="X31">
        <f>CATÁLOGOS!B34</f>
        <v>0</v>
      </c>
      <c r="Y31" t="str">
        <f>CATÁLOGOS!H34</f>
        <v>Desodorante para piso</v>
      </c>
      <c r="Z31" t="str">
        <f t="shared" si="1"/>
        <v>CER</v>
      </c>
    </row>
    <row r="32" spans="1:26" ht="72" customHeight="1">
      <c r="A32" s="87" t="s">
        <v>1956</v>
      </c>
      <c r="B32" s="74"/>
      <c r="C32" s="74"/>
      <c r="D32" s="74"/>
      <c r="E32" s="74"/>
      <c r="F32" s="74"/>
      <c r="G32" s="74"/>
      <c r="H32" s="74"/>
      <c r="I32" s="74"/>
      <c r="J32" s="74"/>
      <c r="K32" s="74"/>
      <c r="L32" s="74"/>
      <c r="N32" t="s">
        <v>1500</v>
      </c>
      <c r="O32" t="s">
        <v>737</v>
      </c>
      <c r="P32" t="s">
        <v>1957</v>
      </c>
      <c r="Q32">
        <f>COUNTIF(PRODUCTOS!$H:$H,"SUB-020")</f>
        <v>1</v>
      </c>
      <c r="R32">
        <f>IF(Y32=0,"",COUNTIF(PRODUCTOS!$H:$H,CATÁLOGOS!F35))</f>
        <v>7</v>
      </c>
      <c r="T32" t="str">
        <f t="shared" si="0"/>
        <v>LTA</v>
      </c>
      <c r="U32">
        <f>IF(Z32=0,"",COUNTIF(PRODUCTOS!$B:$B,Z32&amp;"*"))</f>
        <v>0</v>
      </c>
      <c r="X32">
        <f>CATÁLOGOS!B35</f>
        <v>0</v>
      </c>
      <c r="Y32" t="str">
        <f>CATÁLOGOS!H35</f>
        <v>Cabos y mangos</v>
      </c>
      <c r="Z32" t="str">
        <f t="shared" si="1"/>
        <v>LTA</v>
      </c>
    </row>
    <row r="33" spans="1:26" ht="24" customHeight="1">
      <c r="A33" s="74"/>
      <c r="B33" s="74"/>
      <c r="C33" s="74"/>
      <c r="D33" s="74"/>
      <c r="E33" s="74"/>
      <c r="F33" s="74"/>
      <c r="G33" s="74"/>
      <c r="H33" s="74"/>
      <c r="I33" s="74"/>
      <c r="J33" s="74"/>
      <c r="K33" s="74"/>
      <c r="L33" s="74"/>
      <c r="N33" t="s">
        <v>1503</v>
      </c>
      <c r="O33" t="s">
        <v>1536</v>
      </c>
      <c r="P33" t="s">
        <v>1906</v>
      </c>
      <c r="Q33">
        <f>COUNTIF(PRODUCTOS!$H:$H,"SUB-023")</f>
        <v>8</v>
      </c>
      <c r="R33">
        <f>IF(Y33=0,"",COUNTIF(PRODUCTOS!$H:$H,CATÁLOGOS!F36))</f>
        <v>8</v>
      </c>
      <c r="T33" t="str">
        <f t="shared" si="0"/>
        <v>PROM</v>
      </c>
      <c r="U33">
        <f>IF(Z33=0,"",COUNTIF(PRODUCTOS!$B:$B,Z33&amp;"*"))</f>
        <v>8</v>
      </c>
      <c r="X33">
        <f>CATÁLOGOS!B36</f>
        <v>0</v>
      </c>
      <c r="Y33" t="str">
        <f>CATÁLOGOS!H36</f>
        <v>Esponjas</v>
      </c>
      <c r="Z33" t="str">
        <f t="shared" si="1"/>
        <v>PROM</v>
      </c>
    </row>
    <row r="34" spans="1:26" ht="24" customHeight="1">
      <c r="A34" s="74"/>
      <c r="B34" s="74"/>
      <c r="C34" s="74"/>
      <c r="D34" s="74"/>
      <c r="E34" s="74"/>
      <c r="F34" s="74"/>
      <c r="G34" s="74"/>
      <c r="H34" s="74"/>
      <c r="I34" s="74"/>
      <c r="J34" s="74"/>
      <c r="K34" s="74"/>
      <c r="L34" s="74"/>
      <c r="N34" t="s">
        <v>1510</v>
      </c>
      <c r="O34" t="s">
        <v>1552</v>
      </c>
      <c r="P34" t="s">
        <v>1958</v>
      </c>
      <c r="Q34">
        <f>COUNTIF(PRODUCTOS!$H:$H,"SUB-033")</f>
        <v>6</v>
      </c>
      <c r="R34">
        <f>IF(Y34=0,"",COUNTIF(PRODUCTOS!$H:$H,CATÁLOGOS!F37))</f>
        <v>5</v>
      </c>
      <c r="T34" t="str">
        <f t="shared" si="0"/>
        <v>APB</v>
      </c>
      <c r="U34">
        <f>IF(Z34=0,"",COUNTIF(PRODUCTOS!$B:$B,Z34&amp;"*"))</f>
        <v>6</v>
      </c>
      <c r="X34">
        <f>CATÁLOGOS!B37</f>
        <v>0</v>
      </c>
      <c r="Y34" t="str">
        <f>CATÁLOGOS!H37</f>
        <v>Artículos para tender</v>
      </c>
      <c r="Z34" t="str">
        <f t="shared" si="1"/>
        <v>APB</v>
      </c>
    </row>
    <row r="35" spans="1:26" ht="24" customHeight="1">
      <c r="A35" s="74"/>
      <c r="B35" s="74"/>
      <c r="C35" s="74"/>
      <c r="D35" s="74"/>
      <c r="E35" s="74"/>
      <c r="F35" s="74"/>
      <c r="G35" s="74"/>
      <c r="H35" s="74"/>
      <c r="I35" s="74"/>
      <c r="J35" s="74"/>
      <c r="K35" s="74"/>
      <c r="L35" s="74"/>
      <c r="N35" t="s">
        <v>1510</v>
      </c>
      <c r="O35" t="s">
        <v>1557</v>
      </c>
      <c r="P35" t="s">
        <v>1959</v>
      </c>
      <c r="Q35">
        <f>COUNTIF(PRODUCTOS!$H:$H,"SUB-036")</f>
        <v>1</v>
      </c>
      <c r="R35">
        <f>IF(Y35=0,"",COUNTIF(PRODUCTOS!$H:$H,CATÁLOGOS!F38))</f>
        <v>6</v>
      </c>
      <c r="T35" t="str">
        <f t="shared" ref="T35:T66" si="4">IF(Z35=0,"",Z35)</f>
        <v>LUS</v>
      </c>
      <c r="U35">
        <f>IF(Z35=0,"",COUNTIF(PRODUCTOS!$B:$B,Z35&amp;"*"))</f>
        <v>0</v>
      </c>
      <c r="X35">
        <f>CATÁLOGOS!B38</f>
        <v>0</v>
      </c>
      <c r="Y35" t="str">
        <f>CATÁLOGOS!H38</f>
        <v>Accesorios de baño</v>
      </c>
      <c r="Z35" t="str">
        <f t="shared" si="1"/>
        <v>LUS</v>
      </c>
    </row>
    <row r="36" spans="1:26">
      <c r="N36" t="s">
        <v>1510</v>
      </c>
      <c r="O36" t="s">
        <v>1562</v>
      </c>
      <c r="P36" t="s">
        <v>1960</v>
      </c>
      <c r="Q36">
        <f>COUNTIF(PRODUCTOS!$H:$H,"SUB-039")</f>
        <v>4</v>
      </c>
      <c r="R36" t="str">
        <f>IF(Y36=0,"",COUNTIF(PRODUCTOS!$H:$H,CATÁLOGOS!F39))</f>
        <v/>
      </c>
      <c r="T36" t="str">
        <f t="shared" si="4"/>
        <v>INS</v>
      </c>
      <c r="U36">
        <f>IF(Z36=0,"",COUNTIF(PRODUCTOS!$B:$B,Z36&amp;"*"))</f>
        <v>0</v>
      </c>
      <c r="X36">
        <f>CATÁLOGOS!B39</f>
        <v>0</v>
      </c>
      <c r="Y36">
        <f>CATÁLOGOS!H39</f>
        <v>0</v>
      </c>
      <c r="Z36" t="str">
        <f t="shared" si="1"/>
        <v>INS</v>
      </c>
    </row>
    <row r="37" spans="1:26">
      <c r="N37" t="s">
        <v>1510</v>
      </c>
      <c r="O37" t="s">
        <v>1579</v>
      </c>
      <c r="P37" t="s">
        <v>1961</v>
      </c>
      <c r="Q37">
        <f>COUNTIF(PRODUCTOS!$H:$H,"SUB-048")</f>
        <v>2</v>
      </c>
      <c r="R37" t="str">
        <f>IF(Y37=0,"",COUNTIF(PRODUCTOS!$H:$H,CATÁLOGOS!F40))</f>
        <v/>
      </c>
      <c r="T37" t="str">
        <f t="shared" si="4"/>
        <v>VEL</v>
      </c>
      <c r="U37">
        <f>IF(Z37=0,"",COUNTIF(PRODUCTOS!$B:$B,Z37&amp;"*"))</f>
        <v>0</v>
      </c>
      <c r="X37">
        <f>CATÁLOGOS!B40</f>
        <v>0</v>
      </c>
      <c r="Y37">
        <f>CATÁLOGOS!H40</f>
        <v>0</v>
      </c>
      <c r="Z37" t="str">
        <f t="shared" si="1"/>
        <v>VEL</v>
      </c>
    </row>
    <row r="38" spans="1:26">
      <c r="N38" t="s">
        <v>1510</v>
      </c>
      <c r="O38" t="s">
        <v>1581</v>
      </c>
      <c r="P38" t="s">
        <v>1962</v>
      </c>
      <c r="Q38">
        <f>COUNTIF(PRODUCTOS!$H:$H,"SUB-049")</f>
        <v>11</v>
      </c>
      <c r="R38">
        <f>IF(Y38=0,"",COUNTIF(PRODUCTOS!$H:$H,CATÁLOGOS!F41))</f>
        <v>1</v>
      </c>
      <c r="T38" t="str">
        <f t="shared" si="4"/>
        <v>PAF</v>
      </c>
      <c r="U38">
        <f>IF(Z38=0,"",COUNTIF(PRODUCTOS!$B:$B,Z38&amp;"*"))</f>
        <v>0</v>
      </c>
      <c r="X38">
        <f>CATÁLOGOS!B41</f>
        <v>0</v>
      </c>
      <c r="Y38" t="str">
        <f>CATÁLOGOS!H41</f>
        <v>Lustramuebles</v>
      </c>
      <c r="Z38" t="str">
        <f t="shared" si="1"/>
        <v>PAF</v>
      </c>
    </row>
    <row r="39" spans="1:26">
      <c r="N39" t="s">
        <v>1510</v>
      </c>
      <c r="O39" t="s">
        <v>1583</v>
      </c>
      <c r="P39" t="s">
        <v>1963</v>
      </c>
      <c r="Q39">
        <f>COUNTIF(PRODUCTOS!$H:$H,"SUB-050")</f>
        <v>2</v>
      </c>
      <c r="R39" t="str">
        <f>IF(Y39=0,"",COUNTIF(PRODUCTOS!$H:$H,CATÁLOGOS!F42))</f>
        <v/>
      </c>
      <c r="T39" t="str">
        <f t="shared" si="4"/>
        <v>BFR</v>
      </c>
      <c r="U39">
        <f>IF(Z39=0,"",COUNTIF(PRODUCTOS!$B:$B,Z39&amp;"*"))</f>
        <v>0</v>
      </c>
      <c r="X39">
        <f>CATÁLOGOS!B42</f>
        <v>0</v>
      </c>
      <c r="Y39">
        <f>CATÁLOGOS!H42</f>
        <v>0</v>
      </c>
      <c r="Z39" t="str">
        <f t="shared" si="1"/>
        <v>BFR</v>
      </c>
    </row>
    <row r="40" spans="1:26">
      <c r="N40" t="s">
        <v>1510</v>
      </c>
      <c r="O40" t="s">
        <v>1585</v>
      </c>
      <c r="P40" t="s">
        <v>1964</v>
      </c>
      <c r="Q40">
        <f>COUNTIF(PRODUCTOS!$H:$H,"SUB-051")</f>
        <v>1</v>
      </c>
      <c r="R40">
        <f>IF(Y40=0,"",COUNTIF(PRODUCTOS!$H:$H,CATÁLOGOS!F43))</f>
        <v>1</v>
      </c>
      <c r="T40" t="str">
        <f t="shared" si="4"/>
        <v>VAR</v>
      </c>
      <c r="U40">
        <f>IF(Z40=0,"",COUNTIF(PRODUCTOS!$B:$B,Z40&amp;"*"))</f>
        <v>17</v>
      </c>
      <c r="X40">
        <f>CATÁLOGOS!B43</f>
        <v>0</v>
      </c>
      <c r="Y40" t="str">
        <f>CATÁLOGOS!H43</f>
        <v>Líquidos</v>
      </c>
      <c r="Z40" t="str">
        <f t="shared" si="1"/>
        <v>VAR</v>
      </c>
    </row>
    <row r="41" spans="1:26">
      <c r="N41" t="s">
        <v>1514</v>
      </c>
      <c r="O41" t="s">
        <v>1560</v>
      </c>
      <c r="P41" t="s">
        <v>1965</v>
      </c>
      <c r="Q41">
        <f>COUNTIF(PRODUCTOS!$H:$H,"SUB-044")</f>
        <v>3</v>
      </c>
      <c r="R41">
        <f>IF(Y41=0,"",COUNTIF(PRODUCTOS!$H:$H,CATÁLOGOS!F44))</f>
        <v>4</v>
      </c>
      <c r="T41" t="str">
        <f t="shared" si="4"/>
        <v>PLI</v>
      </c>
      <c r="U41">
        <f>IF(Z41=0,"",COUNTIF(PRODUCTOS!$B:$B,Z41&amp;"*"))</f>
        <v>0</v>
      </c>
      <c r="X41">
        <f>CATÁLOGOS!B44</f>
        <v>0</v>
      </c>
      <c r="Y41" t="str">
        <f>CATÁLOGOS!H44</f>
        <v>Insecticidas</v>
      </c>
      <c r="Z41" t="str">
        <f t="shared" si="1"/>
        <v>PLI</v>
      </c>
    </row>
    <row r="42" spans="1:26">
      <c r="N42" t="s">
        <v>1514</v>
      </c>
      <c r="O42" t="s">
        <v>1573</v>
      </c>
      <c r="P42" t="s">
        <v>1966</v>
      </c>
      <c r="Q42">
        <f>COUNTIF(PRODUCTOS!$H:$H,"SUB-045")</f>
        <v>5</v>
      </c>
      <c r="R42">
        <f>IF(Y42=0,"",COUNTIF(PRODUCTOS!$H:$H,CATÁLOGOS!F45))</f>
        <v>6</v>
      </c>
      <c r="T42" t="str">
        <f t="shared" si="4"/>
        <v>QPI</v>
      </c>
      <c r="U42">
        <f>IF(Z42=0,"",COUNTIF(PRODUCTOS!$B:$B,Z42&amp;"*"))</f>
        <v>0</v>
      </c>
      <c r="X42">
        <f>CATÁLOGOS!B45</f>
        <v>0</v>
      </c>
      <c r="Y42" t="str">
        <f>CATÁLOGOS!H45</f>
        <v>Guantes</v>
      </c>
      <c r="Z42" t="str">
        <f t="shared" si="1"/>
        <v>QPI</v>
      </c>
    </row>
    <row r="43" spans="1:26">
      <c r="N43" t="s">
        <v>1514</v>
      </c>
      <c r="O43" t="s">
        <v>1575</v>
      </c>
      <c r="P43" t="s">
        <v>1967</v>
      </c>
      <c r="Q43">
        <f>COUNTIF(PRODUCTOS!$H:$H,"SUB-046")</f>
        <v>4</v>
      </c>
      <c r="R43">
        <f>IF(Y43=0,"",COUNTIF(PRODUCTOS!$H:$H,CATÁLOGOS!F46))</f>
        <v>5</v>
      </c>
      <c r="T43" t="str">
        <f t="shared" si="4"/>
        <v>MPI</v>
      </c>
      <c r="U43">
        <f>IF(Z43=0,"",COUNTIF(PRODUCTOS!$B:$B,Z43&amp;"*"))</f>
        <v>0</v>
      </c>
      <c r="X43">
        <f>CATÁLOGOS!B46</f>
        <v>0</v>
      </c>
      <c r="Y43" t="str">
        <f>CATÁLOGOS!H46</f>
        <v>Mopas</v>
      </c>
      <c r="Z43" t="str">
        <f t="shared" si="1"/>
        <v>MPI</v>
      </c>
    </row>
    <row r="44" spans="1:26">
      <c r="N44" t="s">
        <v>1514</v>
      </c>
      <c r="O44" t="s">
        <v>1577</v>
      </c>
      <c r="P44" t="s">
        <v>1968</v>
      </c>
      <c r="Q44">
        <f>COUNTIF(PRODUCTOS!$H:$H,"SUB-047")</f>
        <v>5</v>
      </c>
      <c r="R44">
        <f>IF(Y44=0,"",COUNTIF(PRODUCTOS!$H:$H,CATÁLOGOS!F47))</f>
        <v>2</v>
      </c>
      <c r="T44" t="str">
        <f t="shared" si="4"/>
        <v>API</v>
      </c>
      <c r="U44">
        <f>IF(Z44=0,"",COUNTIF(PRODUCTOS!$B:$B,Z44&amp;"*"))</f>
        <v>0</v>
      </c>
      <c r="X44">
        <f>CATÁLOGOS!B47</f>
        <v>0</v>
      </c>
      <c r="Y44" t="str">
        <f>CATÁLOGOS!H47</f>
        <v>Repuestos</v>
      </c>
      <c r="Z44" t="str">
        <f t="shared" si="1"/>
        <v>API</v>
      </c>
    </row>
    <row r="45" spans="1:26">
      <c r="R45">
        <f>IF(Y45=0,"",COUNTIF(PRODUCTOS!$H:$H,CATÁLOGOS!F48))</f>
        <v>6</v>
      </c>
      <c r="T45" t="str">
        <f t="shared" si="4"/>
        <v/>
      </c>
      <c r="U45" t="str">
        <f>IF(Z45=0,"",COUNTIF(PRODUCTOS!$B:$B,Z45&amp;"*"))</f>
        <v/>
      </c>
      <c r="X45">
        <f>CATÁLOGOS!B48</f>
        <v>0</v>
      </c>
      <c r="Y45" t="str">
        <f>CATÁLOGOS!H48</f>
        <v>Baldes y recipientes</v>
      </c>
    </row>
    <row r="46" spans="1:26">
      <c r="R46">
        <f>IF(Y46=0,"",COUNTIF(PRODUCTOS!$H:$H,CATÁLOGOS!F49))</f>
        <v>3</v>
      </c>
      <c r="T46" t="str">
        <f t="shared" si="4"/>
        <v/>
      </c>
      <c r="U46" t="str">
        <f>IF(Z46=0,"",COUNTIF(PRODUCTOS!$B:$B,Z46&amp;"*"))</f>
        <v/>
      </c>
      <c r="X46">
        <f>CATÁLOGOS!B49</f>
        <v>0</v>
      </c>
      <c r="Y46" t="str">
        <f>CATÁLOGOS!H49</f>
        <v>Líquidos</v>
      </c>
    </row>
    <row r="47" spans="1:26">
      <c r="R47">
        <f>IF(Y47=0,"",COUNTIF(PRODUCTOS!$H:$H,CATÁLOGOS!F50))</f>
        <v>5</v>
      </c>
      <c r="T47" t="str">
        <f t="shared" si="4"/>
        <v/>
      </c>
      <c r="U47" t="str">
        <f>IF(Z47=0,"",COUNTIF(PRODUCTOS!$B:$B,Z47&amp;"*"))</f>
        <v/>
      </c>
      <c r="X47">
        <f>CATÁLOGOS!B50</f>
        <v>0</v>
      </c>
      <c r="Y47" t="str">
        <f>CATÁLOGOS!H50</f>
        <v>Químicos</v>
      </c>
    </row>
    <row r="48" spans="1:26">
      <c r="R48">
        <f>IF(Y48=0,"",COUNTIF(PRODUCTOS!$H:$H,CATÁLOGOS!F51))</f>
        <v>4</v>
      </c>
      <c r="T48" t="str">
        <f t="shared" si="4"/>
        <v/>
      </c>
      <c r="U48" t="str">
        <f>IF(Z48=0,"",COUNTIF(PRODUCTOS!$B:$B,Z48&amp;"*"))</f>
        <v/>
      </c>
      <c r="X48">
        <f>CATÁLOGOS!B51</f>
        <v>0</v>
      </c>
      <c r="Y48" t="str">
        <f>CATÁLOGOS!H51</f>
        <v>Mangueras</v>
      </c>
    </row>
    <row r="49" spans="14:25">
      <c r="R49">
        <f>IF(Y49=0,"",COUNTIF(PRODUCTOS!$H:$H,CATÁLOGOS!F52))</f>
        <v>5</v>
      </c>
      <c r="T49" t="str">
        <f t="shared" si="4"/>
        <v/>
      </c>
      <c r="U49" t="str">
        <f>IF(Z49=0,"",COUNTIF(PRODUCTOS!$B:$B,Z49&amp;"*"))</f>
        <v/>
      </c>
      <c r="X49">
        <f>CATÁLOGOS!B52</f>
        <v>0</v>
      </c>
      <c r="Y49" t="str">
        <f>CATÁLOGOS!H52</f>
        <v>Accesorios de pileta</v>
      </c>
    </row>
    <row r="50" spans="14:25">
      <c r="R50">
        <f>IF(Y50=0,"",COUNTIF(PRODUCTOS!$H:$H,CATÁLOGOS!F53))</f>
        <v>2</v>
      </c>
      <c r="T50" t="str">
        <f t="shared" si="4"/>
        <v/>
      </c>
      <c r="U50" t="str">
        <f>IF(Z50=0,"",COUNTIF(PRODUCTOS!$B:$B,Z50&amp;"*"))</f>
        <v/>
      </c>
      <c r="X50">
        <f>CATÁLOGOS!B53</f>
        <v>0</v>
      </c>
      <c r="Y50" t="str">
        <f>CATÁLOGOS!H53</f>
        <v>Velas</v>
      </c>
    </row>
    <row r="51" spans="14:25">
      <c r="R51">
        <f>IF(Y51=0,"",COUNTIF(PRODUCTOS!$H:$H,CATÁLOGOS!F54))</f>
        <v>11</v>
      </c>
      <c r="T51" t="str">
        <f t="shared" si="4"/>
        <v/>
      </c>
      <c r="U51" t="str">
        <f>IF(Z51=0,"",COUNTIF(PRODUCTOS!$B:$B,Z51&amp;"*"))</f>
        <v/>
      </c>
      <c r="X51">
        <f>CATÁLOGOS!B54</f>
        <v>0</v>
      </c>
      <c r="Y51" t="str">
        <f>CATÁLOGOS!H54</f>
        <v>Papel y film</v>
      </c>
    </row>
    <row r="52" spans="14:25">
      <c r="R52">
        <f>IF(Y52=0,"",COUNTIF(PRODUCTOS!$H:$H,CATÁLOGOS!F55))</f>
        <v>2</v>
      </c>
      <c r="T52" t="str">
        <f t="shared" si="4"/>
        <v/>
      </c>
      <c r="U52" t="str">
        <f>IF(Z52=0,"",COUNTIF(PRODUCTOS!$B:$B,Z52&amp;"*"))</f>
        <v/>
      </c>
      <c r="X52">
        <f>CATÁLOGOS!B55</f>
        <v>0</v>
      </c>
      <c r="Y52" t="str">
        <f>CATÁLOGOS!H55</f>
        <v>Bolsas y freezer</v>
      </c>
    </row>
    <row r="53" spans="14:25">
      <c r="R53">
        <f>IF(Y53=0,"",COUNTIF(PRODUCTOS!$H:$H,CATÁLOGOS!F56))</f>
        <v>1</v>
      </c>
      <c r="T53" t="str">
        <f t="shared" si="4"/>
        <v/>
      </c>
      <c r="U53" t="str">
        <f>IF(Z53=0,"",COUNTIF(PRODUCTOS!$B:$B,Z53&amp;"*"))</f>
        <v/>
      </c>
      <c r="X53">
        <f>CATÁLOGOS!B56</f>
        <v>0</v>
      </c>
      <c r="Y53" t="str">
        <f>CATÁLOGOS!H56</f>
        <v>Varios</v>
      </c>
    </row>
    <row r="54" spans="14:25">
      <c r="R54" t="str">
        <f>IF(Y54=0,"",COUNTIF(PRODUCTOS!$H:$H,CATÁLOGOS!F57))</f>
        <v/>
      </c>
      <c r="T54" t="str">
        <f t="shared" si="4"/>
        <v/>
      </c>
      <c r="U54" t="str">
        <f>IF(Z54=0,"",COUNTIF(PRODUCTOS!$B:$B,Z54&amp;"*"))</f>
        <v/>
      </c>
      <c r="X54">
        <f>CATÁLOGOS!B57</f>
        <v>0</v>
      </c>
      <c r="Y54">
        <f>CATÁLOGOS!H57</f>
        <v>0</v>
      </c>
    </row>
    <row r="55" spans="14:25">
      <c r="R55">
        <f>IF(Y55=0,"",COUNTIF(PRODUCTOS!$H:$H,CATÁLOGOS!F58))</f>
        <v>0</v>
      </c>
      <c r="T55" t="str">
        <f t="shared" si="4"/>
        <v/>
      </c>
      <c r="U55" t="str">
        <f>IF(Z55=0,"",COUNTIF(PRODUCTOS!$B:$B,Z55&amp;"*"))</f>
        <v/>
      </c>
      <c r="X55">
        <f>CATÁLOGOS!B58</f>
        <v>0</v>
      </c>
      <c r="Y55" t="str">
        <f>CATÁLOGOS!H58</f>
        <v>Accesorios</v>
      </c>
    </row>
    <row r="56" spans="14:25">
      <c r="R56">
        <f>IF(Y56=0,"",COUNTIF(PRODUCTOS!$H:$H,CATÁLOGOS!F59))</f>
        <v>2</v>
      </c>
      <c r="T56" t="str">
        <f t="shared" si="4"/>
        <v/>
      </c>
      <c r="U56" t="str">
        <f>IF(Z56=0,"",COUNTIF(PRODUCTOS!$B:$B,Z56&amp;"*"))</f>
        <v/>
      </c>
      <c r="X56">
        <f>CATÁLOGOS!B59</f>
        <v>0</v>
      </c>
      <c r="Y56" t="str">
        <f>CATÁLOGOS!H59</f>
        <v>Aerosoles</v>
      </c>
    </row>
    <row r="57" spans="14:25">
      <c r="R57">
        <f>IF(Y57=0,"",COUNTIF(PRODUCTOS!$H:$H,CATÁLOGOS!F60))</f>
        <v>6</v>
      </c>
      <c r="T57" t="str">
        <f t="shared" si="4"/>
        <v/>
      </c>
      <c r="U57" t="str">
        <f>IF(Z57=0,"",COUNTIF(PRODUCTOS!$B:$B,Z57&amp;"*"))</f>
        <v/>
      </c>
      <c r="X57">
        <f>CATÁLOGOS!B60</f>
        <v>0</v>
      </c>
      <c r="Y57" t="str">
        <f>CATÁLOGOS!H60</f>
        <v>Shampoos</v>
      </c>
    </row>
    <row r="58" spans="14:25">
      <c r="R58" t="str">
        <f>IF(Y58=0,"",COUNTIF(PRODUCTOS!$H:$H,CATÁLOGOS!F61))</f>
        <v/>
      </c>
      <c r="T58" t="str">
        <f t="shared" si="4"/>
        <v/>
      </c>
      <c r="U58" t="str">
        <f>IF(Z58=0,"",COUNTIF(PRODUCTOS!$B:$B,Z58&amp;"*"))</f>
        <v/>
      </c>
      <c r="X58">
        <f>CATÁLOGOS!B61</f>
        <v>0</v>
      </c>
      <c r="Y58">
        <f>CATÁLOGOS!H61</f>
        <v>0</v>
      </c>
    </row>
    <row r="59" spans="14:25">
      <c r="R59" t="str">
        <f>IF(Y59=0,"",COUNTIF(PRODUCTOS!$H:$H,CATÁLOGOS!F62))</f>
        <v/>
      </c>
      <c r="T59" t="str">
        <f t="shared" si="4"/>
        <v/>
      </c>
      <c r="U59" t="str">
        <f>IF(Z59=0,"",COUNTIF(PRODUCTOS!$B:$B,Z59&amp;"*"))</f>
        <v/>
      </c>
      <c r="X59">
        <f>CATÁLOGOS!B62</f>
        <v>0</v>
      </c>
      <c r="Y59">
        <f>CATÁLOGOS!H62</f>
        <v>0</v>
      </c>
    </row>
    <row r="60" spans="14:25">
      <c r="R60" t="str">
        <f>IF(Y60=0,"",COUNTIF(PRODUCTOS!$H:$H,CATÁLOGOS!F63))</f>
        <v/>
      </c>
      <c r="T60" t="str">
        <f t="shared" si="4"/>
        <v/>
      </c>
      <c r="U60" t="str">
        <f>IF(Z60=0,"",COUNTIF(PRODUCTOS!$B:$B,Z60&amp;"*"))</f>
        <v/>
      </c>
      <c r="X60">
        <f>CATÁLOGOS!B63</f>
        <v>0</v>
      </c>
      <c r="Y60">
        <f>CATÁLOGOS!H63</f>
        <v>0</v>
      </c>
    </row>
    <row r="61" spans="14:25">
      <c r="N61" t="str">
        <f t="shared" ref="N61:N124" si="5">IF(X61=0,"",X61)</f>
        <v/>
      </c>
      <c r="O61" t="str">
        <f>IF(X61=0,"",COUNTIF(PRODUCTOS!$F:$F,CATÁLOGOS!A64))</f>
        <v/>
      </c>
      <c r="Q61" t="str">
        <f t="shared" ref="Q61:Q124" si="6">IF(Y61=0,"",Y61)</f>
        <v/>
      </c>
      <c r="R61" t="str">
        <f>IF(Y61=0,"",COUNTIF(PRODUCTOS!$H:$H,CATÁLOGOS!F64))</f>
        <v/>
      </c>
      <c r="T61" t="str">
        <f t="shared" si="4"/>
        <v/>
      </c>
      <c r="U61" t="str">
        <f>IF(Z61=0,"",COUNTIF(PRODUCTOS!$B:$B,Z61&amp;"*"))</f>
        <v/>
      </c>
      <c r="X61">
        <f>CATÁLOGOS!B64</f>
        <v>0</v>
      </c>
      <c r="Y61">
        <f>CATÁLOGOS!H64</f>
        <v>0</v>
      </c>
    </row>
    <row r="62" spans="14:25">
      <c r="N62" t="str">
        <f t="shared" si="5"/>
        <v/>
      </c>
      <c r="O62" t="str">
        <f>IF(X62=0,"",COUNTIF(PRODUCTOS!$F:$F,CATÁLOGOS!A65))</f>
        <v/>
      </c>
      <c r="Q62" t="str">
        <f t="shared" si="6"/>
        <v/>
      </c>
      <c r="R62" t="str">
        <f>IF(Y62=0,"",COUNTIF(PRODUCTOS!$H:$H,CATÁLOGOS!F65))</f>
        <v/>
      </c>
      <c r="T62" t="str">
        <f t="shared" si="4"/>
        <v/>
      </c>
      <c r="U62" t="str">
        <f>IF(Z62=0,"",COUNTIF(PRODUCTOS!$B:$B,Z62&amp;"*"))</f>
        <v/>
      </c>
      <c r="X62">
        <f>CATÁLOGOS!B65</f>
        <v>0</v>
      </c>
      <c r="Y62">
        <f>CATÁLOGOS!H65</f>
        <v>0</v>
      </c>
    </row>
    <row r="63" spans="14:25">
      <c r="N63" t="str">
        <f t="shared" si="5"/>
        <v/>
      </c>
      <c r="O63" t="str">
        <f>IF(X63=0,"",COUNTIF(PRODUCTOS!$F:$F,CATÁLOGOS!A66))</f>
        <v/>
      </c>
      <c r="Q63" t="str">
        <f t="shared" si="6"/>
        <v/>
      </c>
      <c r="R63" t="str">
        <f>IF(Y63=0,"",COUNTIF(PRODUCTOS!$H:$H,CATÁLOGOS!F66))</f>
        <v/>
      </c>
      <c r="T63" t="str">
        <f t="shared" si="4"/>
        <v/>
      </c>
      <c r="U63" t="str">
        <f>IF(Z63=0,"",COUNTIF(PRODUCTOS!$B:$B,Z63&amp;"*"))</f>
        <v/>
      </c>
      <c r="X63">
        <f>CATÁLOGOS!B66</f>
        <v>0</v>
      </c>
      <c r="Y63">
        <f>CATÁLOGOS!H66</f>
        <v>0</v>
      </c>
    </row>
    <row r="64" spans="14:25">
      <c r="N64" t="str">
        <f t="shared" si="5"/>
        <v/>
      </c>
      <c r="O64" t="str">
        <f>IF(X64=0,"",COUNTIF(PRODUCTOS!$F:$F,CATÁLOGOS!A67))</f>
        <v/>
      </c>
      <c r="Q64" t="str">
        <f t="shared" si="6"/>
        <v/>
      </c>
      <c r="R64" t="str">
        <f>IF(Y64=0,"",COUNTIF(PRODUCTOS!$H:$H,CATÁLOGOS!F67))</f>
        <v/>
      </c>
      <c r="T64" t="str">
        <f t="shared" si="4"/>
        <v/>
      </c>
      <c r="U64" t="str">
        <f>IF(Z64=0,"",COUNTIF(PRODUCTOS!$B:$B,Z64&amp;"*"))</f>
        <v/>
      </c>
      <c r="X64">
        <f>CATÁLOGOS!B67</f>
        <v>0</v>
      </c>
      <c r="Y64">
        <f>CATÁLOGOS!H67</f>
        <v>0</v>
      </c>
    </row>
    <row r="65" spans="14:25">
      <c r="N65" t="str">
        <f t="shared" si="5"/>
        <v/>
      </c>
      <c r="O65" t="str">
        <f>IF(X65=0,"",COUNTIF(PRODUCTOS!$F:$F,CATÁLOGOS!A68))</f>
        <v/>
      </c>
      <c r="Q65" t="str">
        <f t="shared" si="6"/>
        <v/>
      </c>
      <c r="R65" t="str">
        <f>IF(Y65=0,"",COUNTIF(PRODUCTOS!$H:$H,CATÁLOGOS!F68))</f>
        <v/>
      </c>
      <c r="T65" t="str">
        <f t="shared" si="4"/>
        <v/>
      </c>
      <c r="U65" t="str">
        <f>IF(Z65=0,"",COUNTIF(PRODUCTOS!$B:$B,Z65&amp;"*"))</f>
        <v/>
      </c>
      <c r="X65">
        <f>CATÁLOGOS!B68</f>
        <v>0</v>
      </c>
      <c r="Y65">
        <f>CATÁLOGOS!H68</f>
        <v>0</v>
      </c>
    </row>
    <row r="66" spans="14:25">
      <c r="N66" t="str">
        <f t="shared" si="5"/>
        <v/>
      </c>
      <c r="O66" t="str">
        <f>IF(X66=0,"",COUNTIF(PRODUCTOS!$F:$F,CATÁLOGOS!A69))</f>
        <v/>
      </c>
      <c r="Q66" t="str">
        <f t="shared" si="6"/>
        <v/>
      </c>
      <c r="R66" t="str">
        <f>IF(Y66=0,"",COUNTIF(PRODUCTOS!$H:$H,CATÁLOGOS!F69))</f>
        <v/>
      </c>
      <c r="T66" t="str">
        <f t="shared" si="4"/>
        <v/>
      </c>
      <c r="U66" t="str">
        <f>IF(Z66=0,"",COUNTIF(PRODUCTOS!$B:$B,Z66&amp;"*"))</f>
        <v/>
      </c>
      <c r="X66">
        <f>CATÁLOGOS!B69</f>
        <v>0</v>
      </c>
      <c r="Y66">
        <f>CATÁLOGOS!H69</f>
        <v>0</v>
      </c>
    </row>
    <row r="67" spans="14:25">
      <c r="N67" t="str">
        <f t="shared" si="5"/>
        <v/>
      </c>
      <c r="O67" t="str">
        <f>IF(X67=0,"",COUNTIF(PRODUCTOS!$F:$F,CATÁLOGOS!A70))</f>
        <v/>
      </c>
      <c r="Q67" t="str">
        <f t="shared" si="6"/>
        <v/>
      </c>
      <c r="R67" t="str">
        <f>IF(Y67=0,"",COUNTIF(PRODUCTOS!$H:$H,CATÁLOGOS!F70))</f>
        <v/>
      </c>
      <c r="T67" t="str">
        <f t="shared" ref="T67:T100" si="7">IF(Z67=0,"",Z67)</f>
        <v/>
      </c>
      <c r="U67" t="str">
        <f>IF(Z67=0,"",COUNTIF(PRODUCTOS!$B:$B,Z67&amp;"*"))</f>
        <v/>
      </c>
      <c r="X67">
        <f>CATÁLOGOS!B70</f>
        <v>0</v>
      </c>
      <c r="Y67">
        <f>CATÁLOGOS!H70</f>
        <v>0</v>
      </c>
    </row>
    <row r="68" spans="14:25">
      <c r="N68" t="str">
        <f t="shared" si="5"/>
        <v/>
      </c>
      <c r="O68" t="str">
        <f>IF(X68=0,"",COUNTIF(PRODUCTOS!$F:$F,CATÁLOGOS!A71))</f>
        <v/>
      </c>
      <c r="Q68" t="str">
        <f t="shared" si="6"/>
        <v/>
      </c>
      <c r="R68" t="str">
        <f>IF(Y68=0,"",COUNTIF(PRODUCTOS!$H:$H,CATÁLOGOS!F71))</f>
        <v/>
      </c>
      <c r="T68" t="str">
        <f t="shared" si="7"/>
        <v/>
      </c>
      <c r="U68" t="str">
        <f>IF(Z68=0,"",COUNTIF(PRODUCTOS!$B:$B,Z68&amp;"*"))</f>
        <v/>
      </c>
      <c r="X68">
        <f>CATÁLOGOS!B71</f>
        <v>0</v>
      </c>
      <c r="Y68">
        <f>CATÁLOGOS!H71</f>
        <v>0</v>
      </c>
    </row>
    <row r="69" spans="14:25">
      <c r="N69" t="str">
        <f t="shared" si="5"/>
        <v/>
      </c>
      <c r="O69" t="str">
        <f>IF(X69=0,"",COUNTIF(PRODUCTOS!$F:$F,CATÁLOGOS!A72))</f>
        <v/>
      </c>
      <c r="Q69" t="str">
        <f t="shared" si="6"/>
        <v/>
      </c>
      <c r="R69" t="str">
        <f>IF(Y69=0,"",COUNTIF(PRODUCTOS!$H:$H,CATÁLOGOS!F72))</f>
        <v/>
      </c>
      <c r="T69" t="str">
        <f t="shared" si="7"/>
        <v/>
      </c>
      <c r="U69" t="str">
        <f>IF(Z69=0,"",COUNTIF(PRODUCTOS!$B:$B,Z69&amp;"*"))</f>
        <v/>
      </c>
      <c r="X69">
        <f>CATÁLOGOS!B72</f>
        <v>0</v>
      </c>
      <c r="Y69">
        <f>CATÁLOGOS!H72</f>
        <v>0</v>
      </c>
    </row>
    <row r="70" spans="14:25">
      <c r="N70" t="str">
        <f t="shared" si="5"/>
        <v/>
      </c>
      <c r="O70" t="str">
        <f>IF(X70=0,"",COUNTIF(PRODUCTOS!$F:$F,CATÁLOGOS!A73))</f>
        <v/>
      </c>
      <c r="Q70" t="str">
        <f t="shared" si="6"/>
        <v/>
      </c>
      <c r="R70" t="str">
        <f>IF(Y70=0,"",COUNTIF(PRODUCTOS!$H:$H,CATÁLOGOS!F73))</f>
        <v/>
      </c>
      <c r="T70" t="str">
        <f t="shared" si="7"/>
        <v/>
      </c>
      <c r="U70" t="str">
        <f>IF(Z70=0,"",COUNTIF(PRODUCTOS!$B:$B,Z70&amp;"*"))</f>
        <v/>
      </c>
      <c r="X70">
        <f>CATÁLOGOS!B73</f>
        <v>0</v>
      </c>
      <c r="Y70">
        <f>CATÁLOGOS!H73</f>
        <v>0</v>
      </c>
    </row>
    <row r="71" spans="14:25">
      <c r="N71" t="str">
        <f t="shared" si="5"/>
        <v/>
      </c>
      <c r="O71" t="str">
        <f>IF(X71=0,"",COUNTIF(PRODUCTOS!$F:$F,CATÁLOGOS!A74))</f>
        <v/>
      </c>
      <c r="Q71" t="str">
        <f t="shared" si="6"/>
        <v/>
      </c>
      <c r="R71" t="str">
        <f>IF(Y71=0,"",COUNTIF(PRODUCTOS!$H:$H,CATÁLOGOS!F74))</f>
        <v/>
      </c>
      <c r="T71" t="str">
        <f t="shared" si="7"/>
        <v/>
      </c>
      <c r="U71" t="str">
        <f>IF(Z71=0,"",COUNTIF(PRODUCTOS!$B:$B,Z71&amp;"*"))</f>
        <v/>
      </c>
      <c r="X71">
        <f>CATÁLOGOS!B74</f>
        <v>0</v>
      </c>
      <c r="Y71">
        <f>CATÁLOGOS!H74</f>
        <v>0</v>
      </c>
    </row>
    <row r="72" spans="14:25">
      <c r="N72" t="str">
        <f t="shared" si="5"/>
        <v/>
      </c>
      <c r="O72" t="str">
        <f>IF(X72=0,"",COUNTIF(PRODUCTOS!$F:$F,CATÁLOGOS!A75))</f>
        <v/>
      </c>
      <c r="Q72" t="str">
        <f t="shared" si="6"/>
        <v/>
      </c>
      <c r="R72" t="str">
        <f>IF(Y72=0,"",COUNTIF(PRODUCTOS!$H:$H,CATÁLOGOS!F75))</f>
        <v/>
      </c>
      <c r="T72" t="str">
        <f t="shared" si="7"/>
        <v/>
      </c>
      <c r="U72" t="str">
        <f>IF(Z72=0,"",COUNTIF(PRODUCTOS!$B:$B,Z72&amp;"*"))</f>
        <v/>
      </c>
      <c r="X72">
        <f>CATÁLOGOS!B75</f>
        <v>0</v>
      </c>
      <c r="Y72">
        <f>CATÁLOGOS!H75</f>
        <v>0</v>
      </c>
    </row>
    <row r="73" spans="14:25">
      <c r="N73" t="str">
        <f t="shared" si="5"/>
        <v/>
      </c>
      <c r="O73" t="str">
        <f>IF(X73=0,"",COUNTIF(PRODUCTOS!$F:$F,CATÁLOGOS!A76))</f>
        <v/>
      </c>
      <c r="Q73" t="str">
        <f t="shared" si="6"/>
        <v/>
      </c>
      <c r="R73" t="str">
        <f>IF(Y73=0,"",COUNTIF(PRODUCTOS!$H:$H,CATÁLOGOS!F76))</f>
        <v/>
      </c>
      <c r="T73" t="str">
        <f t="shared" si="7"/>
        <v/>
      </c>
      <c r="U73" t="str">
        <f>IF(Z73=0,"",COUNTIF(PRODUCTOS!$B:$B,Z73&amp;"*"))</f>
        <v/>
      </c>
      <c r="X73">
        <f>CATÁLOGOS!B76</f>
        <v>0</v>
      </c>
      <c r="Y73">
        <f>CATÁLOGOS!H76</f>
        <v>0</v>
      </c>
    </row>
    <row r="74" spans="14:25">
      <c r="N74" t="str">
        <f t="shared" si="5"/>
        <v/>
      </c>
      <c r="O74" t="str">
        <f>IF(X74=0,"",COUNTIF(PRODUCTOS!$F:$F,CATÁLOGOS!A77))</f>
        <v/>
      </c>
      <c r="Q74" t="str">
        <f t="shared" si="6"/>
        <v/>
      </c>
      <c r="R74" t="str">
        <f>IF(Y74=0,"",COUNTIF(PRODUCTOS!$H:$H,CATÁLOGOS!F77))</f>
        <v/>
      </c>
      <c r="T74" t="str">
        <f t="shared" si="7"/>
        <v/>
      </c>
      <c r="U74" t="str">
        <f>IF(Z74=0,"",COUNTIF(PRODUCTOS!$B:$B,Z74&amp;"*"))</f>
        <v/>
      </c>
      <c r="X74">
        <f>CATÁLOGOS!B77</f>
        <v>0</v>
      </c>
      <c r="Y74">
        <f>CATÁLOGOS!H77</f>
        <v>0</v>
      </c>
    </row>
    <row r="75" spans="14:25">
      <c r="N75" t="str">
        <f t="shared" si="5"/>
        <v/>
      </c>
      <c r="O75" t="str">
        <f>IF(X75=0,"",COUNTIF(PRODUCTOS!$F:$F,CATÁLOGOS!A78))</f>
        <v/>
      </c>
      <c r="Q75" t="str">
        <f t="shared" si="6"/>
        <v/>
      </c>
      <c r="R75" t="str">
        <f>IF(Y75=0,"",COUNTIF(PRODUCTOS!$H:$H,CATÁLOGOS!F78))</f>
        <v/>
      </c>
      <c r="T75" t="str">
        <f t="shared" si="7"/>
        <v/>
      </c>
      <c r="U75" t="str">
        <f>IF(Z75=0,"",COUNTIF(PRODUCTOS!$B:$B,Z75&amp;"*"))</f>
        <v/>
      </c>
      <c r="X75">
        <f>CATÁLOGOS!B78</f>
        <v>0</v>
      </c>
      <c r="Y75">
        <f>CATÁLOGOS!H78</f>
        <v>0</v>
      </c>
    </row>
    <row r="76" spans="14:25">
      <c r="N76" t="str">
        <f t="shared" si="5"/>
        <v/>
      </c>
      <c r="O76" t="str">
        <f>IF(X76=0,"",COUNTIF(PRODUCTOS!$F:$F,CATÁLOGOS!A79))</f>
        <v/>
      </c>
      <c r="Q76" t="str">
        <f t="shared" si="6"/>
        <v/>
      </c>
      <c r="R76" t="str">
        <f>IF(Y76=0,"",COUNTIF(PRODUCTOS!$H:$H,CATÁLOGOS!F79))</f>
        <v/>
      </c>
      <c r="T76" t="str">
        <f t="shared" si="7"/>
        <v/>
      </c>
      <c r="U76" t="str">
        <f>IF(Z76=0,"",COUNTIF(PRODUCTOS!$B:$B,Z76&amp;"*"))</f>
        <v/>
      </c>
      <c r="X76">
        <f>CATÁLOGOS!B79</f>
        <v>0</v>
      </c>
      <c r="Y76">
        <f>CATÁLOGOS!H79</f>
        <v>0</v>
      </c>
    </row>
    <row r="77" spans="14:25">
      <c r="N77" t="str">
        <f t="shared" si="5"/>
        <v/>
      </c>
      <c r="O77" t="str">
        <f>IF(X77=0,"",COUNTIF(PRODUCTOS!$F:$F,CATÁLOGOS!A80))</f>
        <v/>
      </c>
      <c r="Q77" t="str">
        <f t="shared" si="6"/>
        <v/>
      </c>
      <c r="R77" t="str">
        <f>IF(Y77=0,"",COUNTIF(PRODUCTOS!$H:$H,CATÁLOGOS!F80))</f>
        <v/>
      </c>
      <c r="T77" t="str">
        <f t="shared" si="7"/>
        <v/>
      </c>
      <c r="U77" t="str">
        <f>IF(Z77=0,"",COUNTIF(PRODUCTOS!$B:$B,Z77&amp;"*"))</f>
        <v/>
      </c>
      <c r="X77">
        <f>CATÁLOGOS!B80</f>
        <v>0</v>
      </c>
      <c r="Y77">
        <f>CATÁLOGOS!H80</f>
        <v>0</v>
      </c>
    </row>
    <row r="78" spans="14:25">
      <c r="N78" t="str">
        <f t="shared" si="5"/>
        <v/>
      </c>
      <c r="O78" t="str">
        <f>IF(X78=0,"",COUNTIF(PRODUCTOS!$F:$F,CATÁLOGOS!A81))</f>
        <v/>
      </c>
      <c r="Q78" t="str">
        <f t="shared" si="6"/>
        <v/>
      </c>
      <c r="R78" t="str">
        <f>IF(Y78=0,"",COUNTIF(PRODUCTOS!$H:$H,CATÁLOGOS!F81))</f>
        <v/>
      </c>
      <c r="T78" t="str">
        <f t="shared" si="7"/>
        <v/>
      </c>
      <c r="U78" t="str">
        <f>IF(Z78=0,"",COUNTIF(PRODUCTOS!$B:$B,Z78&amp;"*"))</f>
        <v/>
      </c>
      <c r="X78">
        <f>CATÁLOGOS!B81</f>
        <v>0</v>
      </c>
      <c r="Y78">
        <f>CATÁLOGOS!H81</f>
        <v>0</v>
      </c>
    </row>
    <row r="79" spans="14:25">
      <c r="N79" t="str">
        <f t="shared" si="5"/>
        <v/>
      </c>
      <c r="O79" t="str">
        <f>IF(X79=0,"",COUNTIF(PRODUCTOS!$F:$F,CATÁLOGOS!A82))</f>
        <v/>
      </c>
      <c r="Q79" t="str">
        <f t="shared" si="6"/>
        <v/>
      </c>
      <c r="R79" t="str">
        <f>IF(Y79=0,"",COUNTIF(PRODUCTOS!$H:$H,CATÁLOGOS!F82))</f>
        <v/>
      </c>
      <c r="T79" t="str">
        <f t="shared" si="7"/>
        <v/>
      </c>
      <c r="U79" t="str">
        <f>IF(Z79=0,"",COUNTIF(PRODUCTOS!$B:$B,Z79&amp;"*"))</f>
        <v/>
      </c>
      <c r="X79">
        <f>CATÁLOGOS!B82</f>
        <v>0</v>
      </c>
      <c r="Y79">
        <f>CATÁLOGOS!H82</f>
        <v>0</v>
      </c>
    </row>
    <row r="80" spans="14:25">
      <c r="N80" t="str">
        <f t="shared" si="5"/>
        <v/>
      </c>
      <c r="O80" t="str">
        <f>IF(X80=0,"",COUNTIF(PRODUCTOS!$F:$F,CATÁLOGOS!A83))</f>
        <v/>
      </c>
      <c r="Q80" t="str">
        <f t="shared" si="6"/>
        <v/>
      </c>
      <c r="R80" t="str">
        <f>IF(Y80=0,"",COUNTIF(PRODUCTOS!$H:$H,CATÁLOGOS!F83))</f>
        <v/>
      </c>
      <c r="T80" t="str">
        <f t="shared" si="7"/>
        <v/>
      </c>
      <c r="U80" t="str">
        <f>IF(Z80=0,"",COUNTIF(PRODUCTOS!$B:$B,Z80&amp;"*"))</f>
        <v/>
      </c>
      <c r="X80">
        <f>CATÁLOGOS!B83</f>
        <v>0</v>
      </c>
      <c r="Y80">
        <f>CATÁLOGOS!H83</f>
        <v>0</v>
      </c>
    </row>
    <row r="81" spans="14:25">
      <c r="N81" t="str">
        <f t="shared" si="5"/>
        <v/>
      </c>
      <c r="O81" t="str">
        <f>IF(X81=0,"",COUNTIF(PRODUCTOS!$F:$F,CATÁLOGOS!A84))</f>
        <v/>
      </c>
      <c r="Q81" t="str">
        <f t="shared" si="6"/>
        <v/>
      </c>
      <c r="R81" t="str">
        <f>IF(Y81=0,"",COUNTIF(PRODUCTOS!$H:$H,CATÁLOGOS!F84))</f>
        <v/>
      </c>
      <c r="T81" t="str">
        <f t="shared" si="7"/>
        <v/>
      </c>
      <c r="U81" t="str">
        <f>IF(Z81=0,"",COUNTIF(PRODUCTOS!$B:$B,Z81&amp;"*"))</f>
        <v/>
      </c>
      <c r="X81">
        <f>CATÁLOGOS!B84</f>
        <v>0</v>
      </c>
      <c r="Y81">
        <f>CATÁLOGOS!H84</f>
        <v>0</v>
      </c>
    </row>
    <row r="82" spans="14:25">
      <c r="N82" t="str">
        <f t="shared" si="5"/>
        <v/>
      </c>
      <c r="O82" t="str">
        <f>IF(X82=0,"",COUNTIF(PRODUCTOS!$F:$F,CATÁLOGOS!A85))</f>
        <v/>
      </c>
      <c r="Q82" t="str">
        <f t="shared" si="6"/>
        <v/>
      </c>
      <c r="R82" t="str">
        <f>IF(Y82=0,"",COUNTIF(PRODUCTOS!$H:$H,CATÁLOGOS!F85))</f>
        <v/>
      </c>
      <c r="T82" t="str">
        <f t="shared" si="7"/>
        <v/>
      </c>
      <c r="U82" t="str">
        <f>IF(Z82=0,"",COUNTIF(PRODUCTOS!$B:$B,Z82&amp;"*"))</f>
        <v/>
      </c>
      <c r="X82">
        <f>CATÁLOGOS!B85</f>
        <v>0</v>
      </c>
      <c r="Y82">
        <f>CATÁLOGOS!H85</f>
        <v>0</v>
      </c>
    </row>
    <row r="83" spans="14:25">
      <c r="N83" t="str">
        <f t="shared" si="5"/>
        <v/>
      </c>
      <c r="O83" t="str">
        <f>IF(X83=0,"",COUNTIF(PRODUCTOS!$F:$F,CATÁLOGOS!A86))</f>
        <v/>
      </c>
      <c r="Q83" t="str">
        <f t="shared" si="6"/>
        <v/>
      </c>
      <c r="R83" t="str">
        <f>IF(Y83=0,"",COUNTIF(PRODUCTOS!$H:$H,CATÁLOGOS!F86))</f>
        <v/>
      </c>
      <c r="T83" t="str">
        <f t="shared" si="7"/>
        <v/>
      </c>
      <c r="U83" t="str">
        <f>IF(Z83=0,"",COUNTIF(PRODUCTOS!$B:$B,Z83&amp;"*"))</f>
        <v/>
      </c>
      <c r="X83">
        <f>CATÁLOGOS!B86</f>
        <v>0</v>
      </c>
      <c r="Y83">
        <f>CATÁLOGOS!H86</f>
        <v>0</v>
      </c>
    </row>
    <row r="84" spans="14:25">
      <c r="N84" t="str">
        <f t="shared" si="5"/>
        <v/>
      </c>
      <c r="O84" t="str">
        <f>IF(X84=0,"",COUNTIF(PRODUCTOS!$F:$F,CATÁLOGOS!A87))</f>
        <v/>
      </c>
      <c r="Q84" t="str">
        <f t="shared" si="6"/>
        <v/>
      </c>
      <c r="R84" t="str">
        <f>IF(Y84=0,"",COUNTIF(PRODUCTOS!$H:$H,CATÁLOGOS!F87))</f>
        <v/>
      </c>
      <c r="T84" t="str">
        <f t="shared" si="7"/>
        <v/>
      </c>
      <c r="U84" t="str">
        <f>IF(Z84=0,"",COUNTIF(PRODUCTOS!$B:$B,Z84&amp;"*"))</f>
        <v/>
      </c>
      <c r="X84">
        <f>CATÁLOGOS!B87</f>
        <v>0</v>
      </c>
      <c r="Y84">
        <f>CATÁLOGOS!H87</f>
        <v>0</v>
      </c>
    </row>
    <row r="85" spans="14:25">
      <c r="N85" t="str">
        <f t="shared" si="5"/>
        <v/>
      </c>
      <c r="O85" t="str">
        <f>IF(X85=0,"",COUNTIF(PRODUCTOS!$F:$F,CATÁLOGOS!A88))</f>
        <v/>
      </c>
      <c r="Q85" t="str">
        <f t="shared" si="6"/>
        <v/>
      </c>
      <c r="R85" t="str">
        <f>IF(Y85=0,"",COUNTIF(PRODUCTOS!$H:$H,CATÁLOGOS!F88))</f>
        <v/>
      </c>
      <c r="T85" t="str">
        <f t="shared" si="7"/>
        <v/>
      </c>
      <c r="U85" t="str">
        <f>IF(Z85=0,"",COUNTIF(PRODUCTOS!$B:$B,Z85&amp;"*"))</f>
        <v/>
      </c>
      <c r="X85">
        <f>CATÁLOGOS!B88</f>
        <v>0</v>
      </c>
      <c r="Y85">
        <f>CATÁLOGOS!H88</f>
        <v>0</v>
      </c>
    </row>
    <row r="86" spans="14:25">
      <c r="N86" t="str">
        <f t="shared" si="5"/>
        <v/>
      </c>
      <c r="O86" t="str">
        <f>IF(X86=0,"",COUNTIF(PRODUCTOS!$F:$F,CATÁLOGOS!A89))</f>
        <v/>
      </c>
      <c r="Q86" t="str">
        <f t="shared" si="6"/>
        <v/>
      </c>
      <c r="R86" t="str">
        <f>IF(Y86=0,"",COUNTIF(PRODUCTOS!$H:$H,CATÁLOGOS!F89))</f>
        <v/>
      </c>
      <c r="T86" t="str">
        <f t="shared" si="7"/>
        <v/>
      </c>
      <c r="U86" t="str">
        <f>IF(Z86=0,"",COUNTIF(PRODUCTOS!$B:$B,Z86&amp;"*"))</f>
        <v/>
      </c>
      <c r="X86">
        <f>CATÁLOGOS!B89</f>
        <v>0</v>
      </c>
      <c r="Y86">
        <f>CATÁLOGOS!H89</f>
        <v>0</v>
      </c>
    </row>
    <row r="87" spans="14:25">
      <c r="N87" t="str">
        <f t="shared" si="5"/>
        <v/>
      </c>
      <c r="O87" t="str">
        <f>IF(X87=0,"",COUNTIF(PRODUCTOS!$F:$F,CATÁLOGOS!A90))</f>
        <v/>
      </c>
      <c r="Q87" t="str">
        <f t="shared" si="6"/>
        <v/>
      </c>
      <c r="R87" t="str">
        <f>IF(Y87=0,"",COUNTIF(PRODUCTOS!$H:$H,CATÁLOGOS!F90))</f>
        <v/>
      </c>
      <c r="T87" t="str">
        <f t="shared" si="7"/>
        <v/>
      </c>
      <c r="U87" t="str">
        <f>IF(Z87=0,"",COUNTIF(PRODUCTOS!$B:$B,Z87&amp;"*"))</f>
        <v/>
      </c>
      <c r="X87">
        <f>CATÁLOGOS!B90</f>
        <v>0</v>
      </c>
      <c r="Y87">
        <f>CATÁLOGOS!H90</f>
        <v>0</v>
      </c>
    </row>
    <row r="88" spans="14:25">
      <c r="N88" t="str">
        <f t="shared" si="5"/>
        <v/>
      </c>
      <c r="O88" t="str">
        <f>IF(X88=0,"",COUNTIF(PRODUCTOS!$F:$F,CATÁLOGOS!A91))</f>
        <v/>
      </c>
      <c r="Q88" t="str">
        <f t="shared" si="6"/>
        <v/>
      </c>
      <c r="R88" t="str">
        <f>IF(Y88=0,"",COUNTIF(PRODUCTOS!$H:$H,CATÁLOGOS!F91))</f>
        <v/>
      </c>
      <c r="T88" t="str">
        <f t="shared" si="7"/>
        <v/>
      </c>
      <c r="U88" t="str">
        <f>IF(Z88=0,"",COUNTIF(PRODUCTOS!$B:$B,Z88&amp;"*"))</f>
        <v/>
      </c>
      <c r="X88">
        <f>CATÁLOGOS!B91</f>
        <v>0</v>
      </c>
      <c r="Y88">
        <f>CATÁLOGOS!H91</f>
        <v>0</v>
      </c>
    </row>
    <row r="89" spans="14:25">
      <c r="N89" t="str">
        <f t="shared" si="5"/>
        <v/>
      </c>
      <c r="O89" t="str">
        <f>IF(X89=0,"",COUNTIF(PRODUCTOS!$F:$F,CATÁLOGOS!A92))</f>
        <v/>
      </c>
      <c r="Q89" t="str">
        <f t="shared" si="6"/>
        <v/>
      </c>
      <c r="R89" t="str">
        <f>IF(Y89=0,"",COUNTIF(PRODUCTOS!$H:$H,CATÁLOGOS!F92))</f>
        <v/>
      </c>
      <c r="T89" t="str">
        <f t="shared" si="7"/>
        <v/>
      </c>
      <c r="U89" t="str">
        <f>IF(Z89=0,"",COUNTIF(PRODUCTOS!$B:$B,Z89&amp;"*"))</f>
        <v/>
      </c>
      <c r="X89">
        <f>CATÁLOGOS!B92</f>
        <v>0</v>
      </c>
      <c r="Y89">
        <f>CATÁLOGOS!H92</f>
        <v>0</v>
      </c>
    </row>
    <row r="90" spans="14:25">
      <c r="N90" t="str">
        <f t="shared" si="5"/>
        <v/>
      </c>
      <c r="O90" t="str">
        <f>IF(X90=0,"",COUNTIF(PRODUCTOS!$F:$F,CATÁLOGOS!A93))</f>
        <v/>
      </c>
      <c r="Q90" t="str">
        <f t="shared" si="6"/>
        <v/>
      </c>
      <c r="R90" t="str">
        <f>IF(Y90=0,"",COUNTIF(PRODUCTOS!$H:$H,CATÁLOGOS!F93))</f>
        <v/>
      </c>
      <c r="T90" t="str">
        <f t="shared" si="7"/>
        <v/>
      </c>
      <c r="U90" t="str">
        <f>IF(Z90=0,"",COUNTIF(PRODUCTOS!$B:$B,Z90&amp;"*"))</f>
        <v/>
      </c>
      <c r="X90">
        <f>CATÁLOGOS!B93</f>
        <v>0</v>
      </c>
      <c r="Y90">
        <f>CATÁLOGOS!H93</f>
        <v>0</v>
      </c>
    </row>
    <row r="91" spans="14:25">
      <c r="N91" t="str">
        <f t="shared" si="5"/>
        <v/>
      </c>
      <c r="O91" t="str">
        <f>IF(X91=0,"",COUNTIF(PRODUCTOS!$F:$F,CATÁLOGOS!A94))</f>
        <v/>
      </c>
      <c r="Q91" t="str">
        <f t="shared" si="6"/>
        <v/>
      </c>
      <c r="R91" t="str">
        <f>IF(Y91=0,"",COUNTIF(PRODUCTOS!$H:$H,CATÁLOGOS!F94))</f>
        <v/>
      </c>
      <c r="T91" t="str">
        <f t="shared" si="7"/>
        <v/>
      </c>
      <c r="U91" t="str">
        <f>IF(Z91=0,"",COUNTIF(PRODUCTOS!$B:$B,Z91&amp;"*"))</f>
        <v/>
      </c>
      <c r="X91">
        <f>CATÁLOGOS!B94</f>
        <v>0</v>
      </c>
      <c r="Y91">
        <f>CATÁLOGOS!H94</f>
        <v>0</v>
      </c>
    </row>
    <row r="92" spans="14:25">
      <c r="N92" t="str">
        <f t="shared" si="5"/>
        <v/>
      </c>
      <c r="O92" t="str">
        <f>IF(X92=0,"",COUNTIF(PRODUCTOS!$F:$F,CATÁLOGOS!A95))</f>
        <v/>
      </c>
      <c r="Q92" t="str">
        <f t="shared" si="6"/>
        <v/>
      </c>
      <c r="R92" t="str">
        <f>IF(Y92=0,"",COUNTIF(PRODUCTOS!$H:$H,CATÁLOGOS!F95))</f>
        <v/>
      </c>
      <c r="T92" t="str">
        <f t="shared" si="7"/>
        <v/>
      </c>
      <c r="U92" t="str">
        <f>IF(Z92=0,"",COUNTIF(PRODUCTOS!$B:$B,Z92&amp;"*"))</f>
        <v/>
      </c>
      <c r="X92">
        <f>CATÁLOGOS!B95</f>
        <v>0</v>
      </c>
      <c r="Y92">
        <f>CATÁLOGOS!H95</f>
        <v>0</v>
      </c>
    </row>
    <row r="93" spans="14:25">
      <c r="N93" t="str">
        <f t="shared" si="5"/>
        <v/>
      </c>
      <c r="O93" t="str">
        <f>IF(X93=0,"",COUNTIF(PRODUCTOS!$F:$F,CATÁLOGOS!A96))</f>
        <v/>
      </c>
      <c r="Q93" t="str">
        <f t="shared" si="6"/>
        <v/>
      </c>
      <c r="R93" t="str">
        <f>IF(Y93=0,"",COUNTIF(PRODUCTOS!$H:$H,CATÁLOGOS!F96))</f>
        <v/>
      </c>
      <c r="T93" t="str">
        <f t="shared" si="7"/>
        <v/>
      </c>
      <c r="U93" t="str">
        <f>IF(Z93=0,"",COUNTIF(PRODUCTOS!$B:$B,Z93&amp;"*"))</f>
        <v/>
      </c>
      <c r="X93">
        <f>CATÁLOGOS!B96</f>
        <v>0</v>
      </c>
      <c r="Y93">
        <f>CATÁLOGOS!H96</f>
        <v>0</v>
      </c>
    </row>
    <row r="94" spans="14:25">
      <c r="N94" t="str">
        <f t="shared" si="5"/>
        <v/>
      </c>
      <c r="O94" t="str">
        <f>IF(X94=0,"",COUNTIF(PRODUCTOS!$F:$F,CATÁLOGOS!A97))</f>
        <v/>
      </c>
      <c r="Q94" t="str">
        <f t="shared" si="6"/>
        <v/>
      </c>
      <c r="R94" t="str">
        <f>IF(Y94=0,"",COUNTIF(PRODUCTOS!$H:$H,CATÁLOGOS!F97))</f>
        <v/>
      </c>
      <c r="T94" t="str">
        <f t="shared" si="7"/>
        <v/>
      </c>
      <c r="U94" t="str">
        <f>IF(Z94=0,"",COUNTIF(PRODUCTOS!$B:$B,Z94&amp;"*"))</f>
        <v/>
      </c>
      <c r="X94">
        <f>CATÁLOGOS!B97</f>
        <v>0</v>
      </c>
      <c r="Y94">
        <f>CATÁLOGOS!H97</f>
        <v>0</v>
      </c>
    </row>
    <row r="95" spans="14:25">
      <c r="N95" t="str">
        <f t="shared" si="5"/>
        <v/>
      </c>
      <c r="O95" t="str">
        <f>IF(X95=0,"",COUNTIF(PRODUCTOS!$F:$F,CATÁLOGOS!A98))</f>
        <v/>
      </c>
      <c r="Q95" t="str">
        <f t="shared" si="6"/>
        <v/>
      </c>
      <c r="R95" t="str">
        <f>IF(Y95=0,"",COUNTIF(PRODUCTOS!$H:$H,CATÁLOGOS!F98))</f>
        <v/>
      </c>
      <c r="T95" t="str">
        <f t="shared" si="7"/>
        <v/>
      </c>
      <c r="U95" t="str">
        <f>IF(Z95=0,"",COUNTIF(PRODUCTOS!$B:$B,Z95&amp;"*"))</f>
        <v/>
      </c>
      <c r="X95">
        <f>CATÁLOGOS!B98</f>
        <v>0</v>
      </c>
      <c r="Y95">
        <f>CATÁLOGOS!H98</f>
        <v>0</v>
      </c>
    </row>
    <row r="96" spans="14:25">
      <c r="N96" t="str">
        <f t="shared" si="5"/>
        <v/>
      </c>
      <c r="O96" t="str">
        <f>IF(X96=0,"",COUNTIF(PRODUCTOS!$F:$F,CATÁLOGOS!A99))</f>
        <v/>
      </c>
      <c r="Q96" t="str">
        <f t="shared" si="6"/>
        <v/>
      </c>
      <c r="R96" t="str">
        <f>IF(Y96=0,"",COUNTIF(PRODUCTOS!$H:$H,CATÁLOGOS!F99))</f>
        <v/>
      </c>
      <c r="T96" t="str">
        <f t="shared" si="7"/>
        <v/>
      </c>
      <c r="U96" t="str">
        <f>IF(Z96=0,"",COUNTIF(PRODUCTOS!$B:$B,Z96&amp;"*"))</f>
        <v/>
      </c>
      <c r="X96">
        <f>CATÁLOGOS!B99</f>
        <v>0</v>
      </c>
      <c r="Y96">
        <f>CATÁLOGOS!H99</f>
        <v>0</v>
      </c>
    </row>
    <row r="97" spans="14:25">
      <c r="N97" t="str">
        <f t="shared" si="5"/>
        <v/>
      </c>
      <c r="O97" t="str">
        <f>IF(X97=0,"",COUNTIF(PRODUCTOS!$F:$F,CATÁLOGOS!A100))</f>
        <v/>
      </c>
      <c r="Q97" t="str">
        <f t="shared" si="6"/>
        <v/>
      </c>
      <c r="R97" t="str">
        <f>IF(Y97=0,"",COUNTIF(PRODUCTOS!$H:$H,CATÁLOGOS!F100))</f>
        <v/>
      </c>
      <c r="T97" t="str">
        <f t="shared" si="7"/>
        <v/>
      </c>
      <c r="U97" t="str">
        <f>IF(Z97=0,"",COUNTIF(PRODUCTOS!$B:$B,Z97&amp;"*"))</f>
        <v/>
      </c>
      <c r="X97">
        <f>CATÁLOGOS!B100</f>
        <v>0</v>
      </c>
      <c r="Y97">
        <f>CATÁLOGOS!H100</f>
        <v>0</v>
      </c>
    </row>
    <row r="98" spans="14:25">
      <c r="N98" t="str">
        <f t="shared" si="5"/>
        <v/>
      </c>
      <c r="O98" t="str">
        <f>IF(X98=0,"",COUNTIF(PRODUCTOS!$F:$F,CATÁLOGOS!A101))</f>
        <v/>
      </c>
      <c r="Q98" t="str">
        <f t="shared" si="6"/>
        <v/>
      </c>
      <c r="R98" t="str">
        <f>IF(Y98=0,"",COUNTIF(PRODUCTOS!$H:$H,CATÁLOGOS!F101))</f>
        <v/>
      </c>
      <c r="T98" t="str">
        <f t="shared" si="7"/>
        <v/>
      </c>
      <c r="U98" t="str">
        <f>IF(Z98=0,"",COUNTIF(PRODUCTOS!$B:$B,Z98&amp;"*"))</f>
        <v/>
      </c>
      <c r="X98">
        <f>CATÁLOGOS!B101</f>
        <v>0</v>
      </c>
      <c r="Y98">
        <f>CATÁLOGOS!H101</f>
        <v>0</v>
      </c>
    </row>
    <row r="99" spans="14:25">
      <c r="N99" t="str">
        <f t="shared" si="5"/>
        <v/>
      </c>
      <c r="O99" t="str">
        <f>IF(X99=0,"",COUNTIF(PRODUCTOS!$F:$F,CATÁLOGOS!A102))</f>
        <v/>
      </c>
      <c r="Q99" t="str">
        <f t="shared" si="6"/>
        <v/>
      </c>
      <c r="R99" t="str">
        <f>IF(Y99=0,"",COUNTIF(PRODUCTOS!$H:$H,CATÁLOGOS!F102))</f>
        <v/>
      </c>
      <c r="T99" t="str">
        <f t="shared" si="7"/>
        <v/>
      </c>
      <c r="U99" t="str">
        <f>IF(Z99=0,"",COUNTIF(PRODUCTOS!$B:$B,Z99&amp;"*"))</f>
        <v/>
      </c>
      <c r="X99">
        <f>CATÁLOGOS!B102</f>
        <v>0</v>
      </c>
      <c r="Y99">
        <f>CATÁLOGOS!H102</f>
        <v>0</v>
      </c>
    </row>
    <row r="100" spans="14:25">
      <c r="N100" t="str">
        <f t="shared" si="5"/>
        <v/>
      </c>
      <c r="O100" t="str">
        <f>IF(X100=0,"",COUNTIF(PRODUCTOS!$F:$F,CATÁLOGOS!A103))</f>
        <v/>
      </c>
      <c r="Q100" t="str">
        <f t="shared" si="6"/>
        <v/>
      </c>
      <c r="R100" t="str">
        <f>IF(Y100=0,"",COUNTIF(PRODUCTOS!$H:$H,CATÁLOGOS!F103))</f>
        <v/>
      </c>
      <c r="T100" t="str">
        <f t="shared" si="7"/>
        <v/>
      </c>
      <c r="U100" t="str">
        <f>IF(Z100=0,"",COUNTIF(PRODUCTOS!$B:$B,Z100&amp;"*"))</f>
        <v/>
      </c>
      <c r="X100">
        <f>CATÁLOGOS!B103</f>
        <v>0</v>
      </c>
      <c r="Y100">
        <f>CATÁLOGOS!H103</f>
        <v>0</v>
      </c>
    </row>
    <row r="101" spans="14:25">
      <c r="N101" t="str">
        <f t="shared" si="5"/>
        <v/>
      </c>
      <c r="O101" t="str">
        <f>IF(X101=0,"",COUNTIF(PRODUCTOS!$F:$F,CATÁLOGOS!A104))</f>
        <v/>
      </c>
      <c r="Q101" t="str">
        <f t="shared" si="6"/>
        <v/>
      </c>
      <c r="R101" t="str">
        <f>IF(Y101=0,"",COUNTIF(PRODUCTOS!$H:$H,CATÁLOGOS!F104))</f>
        <v/>
      </c>
      <c r="X101">
        <f>CATÁLOGOS!B104</f>
        <v>0</v>
      </c>
      <c r="Y101">
        <f>CATÁLOGOS!H104</f>
        <v>0</v>
      </c>
    </row>
    <row r="102" spans="14:25">
      <c r="N102" t="str">
        <f t="shared" si="5"/>
        <v/>
      </c>
      <c r="O102" t="str">
        <f>IF(X102=0,"",COUNTIF(PRODUCTOS!$F:$F,CATÁLOGOS!A105))</f>
        <v/>
      </c>
      <c r="Q102" t="str">
        <f t="shared" si="6"/>
        <v/>
      </c>
      <c r="R102" t="str">
        <f>IF(Y102=0,"",COUNTIF(PRODUCTOS!$H:$H,CATÁLOGOS!F105))</f>
        <v/>
      </c>
      <c r="X102">
        <f>CATÁLOGOS!B105</f>
        <v>0</v>
      </c>
      <c r="Y102">
        <f>CATÁLOGOS!H105</f>
        <v>0</v>
      </c>
    </row>
    <row r="103" spans="14:25">
      <c r="N103" t="str">
        <f t="shared" si="5"/>
        <v/>
      </c>
      <c r="O103" t="str">
        <f>IF(X103=0,"",COUNTIF(PRODUCTOS!$F:$F,CATÁLOGOS!A106))</f>
        <v/>
      </c>
      <c r="Q103" t="str">
        <f t="shared" si="6"/>
        <v/>
      </c>
      <c r="R103" t="str">
        <f>IF(Y103=0,"",COUNTIF(PRODUCTOS!$H:$H,CATÁLOGOS!F106))</f>
        <v/>
      </c>
      <c r="X103">
        <f>CATÁLOGOS!B106</f>
        <v>0</v>
      </c>
      <c r="Y103">
        <f>CATÁLOGOS!H106</f>
        <v>0</v>
      </c>
    </row>
    <row r="104" spans="14:25">
      <c r="N104" t="str">
        <f t="shared" si="5"/>
        <v/>
      </c>
      <c r="O104" t="str">
        <f>IF(X104=0,"",COUNTIF(PRODUCTOS!$F:$F,CATÁLOGOS!A107))</f>
        <v/>
      </c>
      <c r="Q104" t="str">
        <f t="shared" si="6"/>
        <v/>
      </c>
      <c r="R104" t="str">
        <f>IF(Y104=0,"",COUNTIF(PRODUCTOS!$H:$H,CATÁLOGOS!F107))</f>
        <v/>
      </c>
      <c r="X104">
        <f>CATÁLOGOS!B107</f>
        <v>0</v>
      </c>
      <c r="Y104">
        <f>CATÁLOGOS!H107</f>
        <v>0</v>
      </c>
    </row>
    <row r="105" spans="14:25">
      <c r="N105" t="str">
        <f t="shared" si="5"/>
        <v/>
      </c>
      <c r="O105" t="str">
        <f>IF(X105=0,"",COUNTIF(PRODUCTOS!$F:$F,CATÁLOGOS!A108))</f>
        <v/>
      </c>
      <c r="Q105" t="str">
        <f t="shared" si="6"/>
        <v/>
      </c>
      <c r="R105" t="str">
        <f>IF(Y105=0,"",COUNTIF(PRODUCTOS!$H:$H,CATÁLOGOS!F108))</f>
        <v/>
      </c>
      <c r="Y105">
        <f>CATÁLOGOS!H108</f>
        <v>0</v>
      </c>
    </row>
    <row r="106" spans="14:25">
      <c r="N106" t="str">
        <f t="shared" si="5"/>
        <v/>
      </c>
      <c r="O106" t="str">
        <f>IF(X106=0,"",COUNTIF(PRODUCTOS!$F:$F,CATÁLOGOS!A109))</f>
        <v/>
      </c>
      <c r="Q106" t="str">
        <f t="shared" si="6"/>
        <v/>
      </c>
      <c r="R106" t="str">
        <f>IF(Y106=0,"",COUNTIF(PRODUCTOS!$H:$H,CATÁLOGOS!F109))</f>
        <v/>
      </c>
      <c r="Y106">
        <f>CATÁLOGOS!H109</f>
        <v>0</v>
      </c>
    </row>
    <row r="107" spans="14:25">
      <c r="N107" t="str">
        <f t="shared" si="5"/>
        <v/>
      </c>
      <c r="O107" t="str">
        <f>IF(X107=0,"",COUNTIF(PRODUCTOS!$F:$F,CATÁLOGOS!A110))</f>
        <v/>
      </c>
      <c r="Q107" t="str">
        <f t="shared" si="6"/>
        <v/>
      </c>
      <c r="R107" t="str">
        <f>IF(Y107=0,"",COUNTIF(PRODUCTOS!$H:$H,CATÁLOGOS!F110))</f>
        <v/>
      </c>
      <c r="Y107">
        <f>CATÁLOGOS!H110</f>
        <v>0</v>
      </c>
    </row>
    <row r="108" spans="14:25">
      <c r="N108" t="str">
        <f t="shared" si="5"/>
        <v/>
      </c>
      <c r="O108" t="str">
        <f>IF(X108=0,"",COUNTIF(PRODUCTOS!$F:$F,CATÁLOGOS!A111))</f>
        <v/>
      </c>
      <c r="Q108" t="str">
        <f t="shared" si="6"/>
        <v/>
      </c>
      <c r="R108" t="str">
        <f>IF(Y108=0,"",COUNTIF(PRODUCTOS!$H:$H,CATÁLOGOS!F111))</f>
        <v/>
      </c>
      <c r="Y108">
        <f>CATÁLOGOS!H111</f>
        <v>0</v>
      </c>
    </row>
    <row r="109" spans="14:25">
      <c r="N109" t="str">
        <f t="shared" si="5"/>
        <v/>
      </c>
      <c r="O109" t="str">
        <f>IF(X109=0,"",COUNTIF(PRODUCTOS!$F:$F,CATÁLOGOS!A112))</f>
        <v/>
      </c>
      <c r="Q109" t="str">
        <f t="shared" si="6"/>
        <v/>
      </c>
      <c r="R109" t="str">
        <f>IF(Y109=0,"",COUNTIF(PRODUCTOS!$H:$H,CATÁLOGOS!F112))</f>
        <v/>
      </c>
      <c r="Y109">
        <f>CATÁLOGOS!H112</f>
        <v>0</v>
      </c>
    </row>
    <row r="110" spans="14:25">
      <c r="N110" t="str">
        <f t="shared" si="5"/>
        <v/>
      </c>
      <c r="O110" t="str">
        <f>IF(X110=0,"",COUNTIF(PRODUCTOS!$F:$F,CATÁLOGOS!A113))</f>
        <v/>
      </c>
      <c r="Q110" t="str">
        <f t="shared" si="6"/>
        <v/>
      </c>
      <c r="R110" t="str">
        <f>IF(Y110=0,"",COUNTIF(PRODUCTOS!$H:$H,CATÁLOGOS!F113))</f>
        <v/>
      </c>
      <c r="Y110">
        <f>CATÁLOGOS!H113</f>
        <v>0</v>
      </c>
    </row>
    <row r="111" spans="14:25">
      <c r="N111" t="str">
        <f t="shared" si="5"/>
        <v/>
      </c>
      <c r="O111" t="str">
        <f>IF(X111=0,"",COUNTIF(PRODUCTOS!$F:$F,CATÁLOGOS!A114))</f>
        <v/>
      </c>
      <c r="Q111" t="str">
        <f t="shared" si="6"/>
        <v/>
      </c>
      <c r="R111" t="str">
        <f>IF(Y111=0,"",COUNTIF(PRODUCTOS!$H:$H,CATÁLOGOS!F114))</f>
        <v/>
      </c>
      <c r="Y111">
        <f>CATÁLOGOS!H114</f>
        <v>0</v>
      </c>
    </row>
    <row r="112" spans="14:25">
      <c r="N112" t="str">
        <f t="shared" si="5"/>
        <v/>
      </c>
      <c r="O112" t="str">
        <f>IF(X112=0,"",COUNTIF(PRODUCTOS!$F:$F,CATÁLOGOS!A115))</f>
        <v/>
      </c>
      <c r="Q112" t="str">
        <f t="shared" si="6"/>
        <v/>
      </c>
      <c r="R112" t="str">
        <f>IF(Y112=0,"",COUNTIF(PRODUCTOS!$H:$H,CATÁLOGOS!F115))</f>
        <v/>
      </c>
      <c r="Y112">
        <f>CATÁLOGOS!H115</f>
        <v>0</v>
      </c>
    </row>
    <row r="113" spans="14:25">
      <c r="N113" t="str">
        <f t="shared" si="5"/>
        <v/>
      </c>
      <c r="O113" t="str">
        <f>IF(X113=0,"",COUNTIF(PRODUCTOS!$F:$F,CATÁLOGOS!A116))</f>
        <v/>
      </c>
      <c r="Q113" t="str">
        <f t="shared" si="6"/>
        <v/>
      </c>
      <c r="R113" t="str">
        <f>IF(Y113=0,"",COUNTIF(PRODUCTOS!$H:$H,CATÁLOGOS!F116))</f>
        <v/>
      </c>
      <c r="Y113">
        <f>CATÁLOGOS!H116</f>
        <v>0</v>
      </c>
    </row>
    <row r="114" spans="14:25">
      <c r="N114" t="str">
        <f t="shared" si="5"/>
        <v/>
      </c>
      <c r="O114" t="str">
        <f>IF(X114=0,"",COUNTIF(PRODUCTOS!$F:$F,CATÁLOGOS!A117))</f>
        <v/>
      </c>
      <c r="Q114" t="str">
        <f t="shared" si="6"/>
        <v/>
      </c>
      <c r="R114" t="str">
        <f>IF(Y114=0,"",COUNTIF(PRODUCTOS!$H:$H,CATÁLOGOS!F117))</f>
        <v/>
      </c>
      <c r="Y114">
        <f>CATÁLOGOS!H117</f>
        <v>0</v>
      </c>
    </row>
    <row r="115" spans="14:25">
      <c r="N115" t="str">
        <f t="shared" si="5"/>
        <v/>
      </c>
      <c r="O115" t="str">
        <f>IF(X115=0,"",COUNTIF(PRODUCTOS!$F:$F,CATÁLOGOS!A118))</f>
        <v/>
      </c>
      <c r="Q115" t="str">
        <f t="shared" si="6"/>
        <v/>
      </c>
      <c r="R115" t="str">
        <f>IF(Y115=0,"",COUNTIF(PRODUCTOS!$H:$H,CATÁLOGOS!F118))</f>
        <v/>
      </c>
      <c r="Y115">
        <f>CATÁLOGOS!H118</f>
        <v>0</v>
      </c>
    </row>
    <row r="116" spans="14:25">
      <c r="N116" t="str">
        <f t="shared" si="5"/>
        <v/>
      </c>
      <c r="O116" t="str">
        <f>IF(X116=0,"",COUNTIF(PRODUCTOS!$F:$F,CATÁLOGOS!A119))</f>
        <v/>
      </c>
      <c r="Q116" t="str">
        <f t="shared" si="6"/>
        <v/>
      </c>
      <c r="R116" t="str">
        <f>IF(Y116=0,"",COUNTIF(PRODUCTOS!$H:$H,CATÁLOGOS!F119))</f>
        <v/>
      </c>
      <c r="Y116">
        <f>CATÁLOGOS!H119</f>
        <v>0</v>
      </c>
    </row>
    <row r="117" spans="14:25">
      <c r="N117" t="str">
        <f t="shared" si="5"/>
        <v/>
      </c>
      <c r="O117" t="str">
        <f>IF(X117=0,"",COUNTIF(PRODUCTOS!$F:$F,CATÁLOGOS!A120))</f>
        <v/>
      </c>
      <c r="Q117" t="str">
        <f t="shared" si="6"/>
        <v/>
      </c>
      <c r="R117" t="str">
        <f>IF(Y117=0,"",COUNTIF(PRODUCTOS!$H:$H,CATÁLOGOS!F120))</f>
        <v/>
      </c>
      <c r="Y117">
        <f>CATÁLOGOS!H120</f>
        <v>0</v>
      </c>
    </row>
    <row r="118" spans="14:25">
      <c r="N118" t="str">
        <f t="shared" si="5"/>
        <v/>
      </c>
      <c r="O118" t="str">
        <f>IF(X118=0,"",COUNTIF(PRODUCTOS!$F:$F,CATÁLOGOS!A121))</f>
        <v/>
      </c>
      <c r="Q118" t="str">
        <f t="shared" si="6"/>
        <v/>
      </c>
      <c r="R118" t="str">
        <f>IF(Y118=0,"",COUNTIF(PRODUCTOS!$H:$H,CATÁLOGOS!F121))</f>
        <v/>
      </c>
      <c r="Y118">
        <f>CATÁLOGOS!H121</f>
        <v>0</v>
      </c>
    </row>
    <row r="119" spans="14:25">
      <c r="N119" t="str">
        <f t="shared" si="5"/>
        <v/>
      </c>
      <c r="O119" t="str">
        <f>IF(X119=0,"",COUNTIF(PRODUCTOS!$F:$F,CATÁLOGOS!A122))</f>
        <v/>
      </c>
      <c r="Q119" t="str">
        <f t="shared" si="6"/>
        <v/>
      </c>
      <c r="R119" t="str">
        <f>IF(Y119=0,"",COUNTIF(PRODUCTOS!$H:$H,CATÁLOGOS!F122))</f>
        <v/>
      </c>
      <c r="Y119">
        <f>CATÁLOGOS!H122</f>
        <v>0</v>
      </c>
    </row>
    <row r="120" spans="14:25">
      <c r="N120" t="str">
        <f t="shared" si="5"/>
        <v/>
      </c>
      <c r="O120" t="str">
        <f>IF(X120=0,"",COUNTIF(PRODUCTOS!$F:$F,CATÁLOGOS!A123))</f>
        <v/>
      </c>
      <c r="Q120" t="str">
        <f t="shared" si="6"/>
        <v/>
      </c>
      <c r="R120" t="str">
        <f>IF(Y120=0,"",COUNTIF(PRODUCTOS!$H:$H,CATÁLOGOS!F123))</f>
        <v/>
      </c>
      <c r="Y120">
        <f>CATÁLOGOS!H123</f>
        <v>0</v>
      </c>
    </row>
    <row r="121" spans="14:25">
      <c r="N121" t="str">
        <f t="shared" si="5"/>
        <v/>
      </c>
      <c r="O121" t="str">
        <f>IF(X121=0,"",COUNTIF(PRODUCTOS!$F:$F,CATÁLOGOS!A124))</f>
        <v/>
      </c>
      <c r="Q121" t="str">
        <f t="shared" si="6"/>
        <v/>
      </c>
      <c r="R121" t="str">
        <f>IF(Y121=0,"",COUNTIF(PRODUCTOS!$H:$H,CATÁLOGOS!F124))</f>
        <v/>
      </c>
      <c r="Y121">
        <f>CATÁLOGOS!H124</f>
        <v>0</v>
      </c>
    </row>
    <row r="122" spans="14:25">
      <c r="N122" t="str">
        <f t="shared" si="5"/>
        <v/>
      </c>
      <c r="O122" t="str">
        <f>IF(X122=0,"",COUNTIF(PRODUCTOS!$F:$F,CATÁLOGOS!A125))</f>
        <v/>
      </c>
      <c r="Q122" t="str">
        <f t="shared" si="6"/>
        <v/>
      </c>
      <c r="R122" t="str">
        <f>IF(Y122=0,"",COUNTIF(PRODUCTOS!$H:$H,CATÁLOGOS!F125))</f>
        <v/>
      </c>
      <c r="Y122">
        <f>CATÁLOGOS!H125</f>
        <v>0</v>
      </c>
    </row>
    <row r="123" spans="14:25">
      <c r="N123" t="str">
        <f t="shared" si="5"/>
        <v/>
      </c>
      <c r="O123" t="str">
        <f>IF(X123=0,"",COUNTIF(PRODUCTOS!$F:$F,CATÁLOGOS!A126))</f>
        <v/>
      </c>
      <c r="Q123" t="str">
        <f t="shared" si="6"/>
        <v/>
      </c>
      <c r="R123" t="str">
        <f>IF(Y123=0,"",COUNTIF(PRODUCTOS!$H:$H,CATÁLOGOS!F126))</f>
        <v/>
      </c>
      <c r="Y123">
        <f>CATÁLOGOS!H126</f>
        <v>0</v>
      </c>
    </row>
    <row r="124" spans="14:25">
      <c r="N124" t="str">
        <f t="shared" si="5"/>
        <v/>
      </c>
      <c r="O124" t="str">
        <f>IF(X124=0,"",COUNTIF(PRODUCTOS!$F:$F,CATÁLOGOS!A127))</f>
        <v/>
      </c>
      <c r="Q124" t="str">
        <f t="shared" si="6"/>
        <v/>
      </c>
      <c r="R124" t="str">
        <f>IF(Y124=0,"",COUNTIF(PRODUCTOS!$H:$H,CATÁLOGOS!F127))</f>
        <v/>
      </c>
      <c r="Y124">
        <f>CATÁLOGOS!H127</f>
        <v>0</v>
      </c>
    </row>
    <row r="125" spans="14:25">
      <c r="N125" t="str">
        <f t="shared" ref="N125:N188" si="8">IF(X125=0,"",X125)</f>
        <v/>
      </c>
      <c r="O125" t="str">
        <f>IF(X125=0,"",COUNTIF(PRODUCTOS!$F:$F,CATÁLOGOS!A128))</f>
        <v/>
      </c>
      <c r="Q125" t="str">
        <f t="shared" ref="Q125:Q188" si="9">IF(Y125=0,"",Y125)</f>
        <v/>
      </c>
      <c r="R125" t="str">
        <f>IF(Y125=0,"",COUNTIF(PRODUCTOS!$H:$H,CATÁLOGOS!F128))</f>
        <v/>
      </c>
      <c r="Y125">
        <f>CATÁLOGOS!H128</f>
        <v>0</v>
      </c>
    </row>
    <row r="126" spans="14:25">
      <c r="N126" t="str">
        <f t="shared" si="8"/>
        <v/>
      </c>
      <c r="O126" t="str">
        <f>IF(X126=0,"",COUNTIF(PRODUCTOS!$F:$F,CATÁLOGOS!A129))</f>
        <v/>
      </c>
      <c r="Q126" t="str">
        <f t="shared" si="9"/>
        <v/>
      </c>
      <c r="R126" t="str">
        <f>IF(Y126=0,"",COUNTIF(PRODUCTOS!$H:$H,CATÁLOGOS!F129))</f>
        <v/>
      </c>
      <c r="Y126">
        <f>CATÁLOGOS!H129</f>
        <v>0</v>
      </c>
    </row>
    <row r="127" spans="14:25">
      <c r="N127" t="str">
        <f t="shared" si="8"/>
        <v/>
      </c>
      <c r="O127" t="str">
        <f>IF(X127=0,"",COUNTIF(PRODUCTOS!$F:$F,CATÁLOGOS!A130))</f>
        <v/>
      </c>
      <c r="Q127" t="str">
        <f t="shared" si="9"/>
        <v/>
      </c>
      <c r="R127" t="str">
        <f>IF(Y127=0,"",COUNTIF(PRODUCTOS!$H:$H,CATÁLOGOS!F130))</f>
        <v/>
      </c>
      <c r="Y127">
        <f>CATÁLOGOS!H130</f>
        <v>0</v>
      </c>
    </row>
    <row r="128" spans="14:25">
      <c r="N128" t="str">
        <f t="shared" si="8"/>
        <v/>
      </c>
      <c r="O128" t="str">
        <f>IF(X128=0,"",COUNTIF(PRODUCTOS!$F:$F,CATÁLOGOS!A131))</f>
        <v/>
      </c>
      <c r="Q128" t="str">
        <f t="shared" si="9"/>
        <v/>
      </c>
      <c r="R128" t="str">
        <f>IF(Y128=0,"",COUNTIF(PRODUCTOS!$H:$H,CATÁLOGOS!F131))</f>
        <v/>
      </c>
      <c r="Y128">
        <f>CATÁLOGOS!H131</f>
        <v>0</v>
      </c>
    </row>
    <row r="129" spans="14:25">
      <c r="N129" t="str">
        <f t="shared" si="8"/>
        <v/>
      </c>
      <c r="O129" t="str">
        <f>IF(X129=0,"",COUNTIF(PRODUCTOS!$F:$F,CATÁLOGOS!A132))</f>
        <v/>
      </c>
      <c r="Q129" t="str">
        <f t="shared" si="9"/>
        <v/>
      </c>
      <c r="R129" t="str">
        <f>IF(Y129=0,"",COUNTIF(PRODUCTOS!$H:$H,CATÁLOGOS!F132))</f>
        <v/>
      </c>
      <c r="Y129">
        <f>CATÁLOGOS!H132</f>
        <v>0</v>
      </c>
    </row>
    <row r="130" spans="14:25">
      <c r="N130" t="str">
        <f t="shared" si="8"/>
        <v/>
      </c>
      <c r="O130" t="str">
        <f>IF(X130=0,"",COUNTIF(PRODUCTOS!$F:$F,CATÁLOGOS!A133))</f>
        <v/>
      </c>
      <c r="Q130" t="str">
        <f t="shared" si="9"/>
        <v/>
      </c>
      <c r="R130" t="str">
        <f>IF(Y130=0,"",COUNTIF(PRODUCTOS!$H:$H,CATÁLOGOS!F133))</f>
        <v/>
      </c>
      <c r="Y130">
        <f>CATÁLOGOS!H133</f>
        <v>0</v>
      </c>
    </row>
    <row r="131" spans="14:25">
      <c r="N131" t="str">
        <f t="shared" si="8"/>
        <v/>
      </c>
      <c r="O131" t="str">
        <f>IF(X131=0,"",COUNTIF(PRODUCTOS!$F:$F,CATÁLOGOS!A134))</f>
        <v/>
      </c>
      <c r="Q131" t="str">
        <f t="shared" si="9"/>
        <v/>
      </c>
      <c r="R131" t="str">
        <f>IF(Y131=0,"",COUNTIF(PRODUCTOS!$H:$H,CATÁLOGOS!F134))</f>
        <v/>
      </c>
      <c r="Y131">
        <f>CATÁLOGOS!H134</f>
        <v>0</v>
      </c>
    </row>
    <row r="132" spans="14:25">
      <c r="N132" t="str">
        <f t="shared" si="8"/>
        <v/>
      </c>
      <c r="O132" t="str">
        <f>IF(X132=0,"",COUNTIF(PRODUCTOS!$F:$F,CATÁLOGOS!A135))</f>
        <v/>
      </c>
      <c r="Q132" t="str">
        <f t="shared" si="9"/>
        <v/>
      </c>
      <c r="R132" t="str">
        <f>IF(Y132=0,"",COUNTIF(PRODUCTOS!$H:$H,CATÁLOGOS!F135))</f>
        <v/>
      </c>
      <c r="Y132">
        <f>CATÁLOGOS!H135</f>
        <v>0</v>
      </c>
    </row>
    <row r="133" spans="14:25">
      <c r="N133" t="str">
        <f t="shared" si="8"/>
        <v/>
      </c>
      <c r="O133" t="str">
        <f>IF(X133=0,"",COUNTIF(PRODUCTOS!$F:$F,CATÁLOGOS!A136))</f>
        <v/>
      </c>
      <c r="Q133" t="str">
        <f t="shared" si="9"/>
        <v/>
      </c>
      <c r="R133" t="str">
        <f>IF(Y133=0,"",COUNTIF(PRODUCTOS!$H:$H,CATÁLOGOS!F136))</f>
        <v/>
      </c>
      <c r="Y133">
        <f>CATÁLOGOS!H136</f>
        <v>0</v>
      </c>
    </row>
    <row r="134" spans="14:25">
      <c r="N134" t="str">
        <f t="shared" si="8"/>
        <v/>
      </c>
      <c r="O134" t="str">
        <f>IF(X134=0,"",COUNTIF(PRODUCTOS!$F:$F,CATÁLOGOS!A137))</f>
        <v/>
      </c>
      <c r="Q134" t="str">
        <f t="shared" si="9"/>
        <v/>
      </c>
      <c r="R134" t="str">
        <f>IF(Y134=0,"",COUNTIF(PRODUCTOS!$H:$H,CATÁLOGOS!F137))</f>
        <v/>
      </c>
      <c r="Y134">
        <f>CATÁLOGOS!H137</f>
        <v>0</v>
      </c>
    </row>
    <row r="135" spans="14:25">
      <c r="N135" t="str">
        <f t="shared" si="8"/>
        <v/>
      </c>
      <c r="O135" t="str">
        <f>IF(X135=0,"",COUNTIF(PRODUCTOS!$F:$F,CATÁLOGOS!A138))</f>
        <v/>
      </c>
      <c r="Q135" t="str">
        <f t="shared" si="9"/>
        <v/>
      </c>
      <c r="R135" t="str">
        <f>IF(Y135=0,"",COUNTIF(PRODUCTOS!$H:$H,CATÁLOGOS!F138))</f>
        <v/>
      </c>
      <c r="Y135">
        <f>CATÁLOGOS!H138</f>
        <v>0</v>
      </c>
    </row>
    <row r="136" spans="14:25">
      <c r="N136" t="str">
        <f t="shared" si="8"/>
        <v/>
      </c>
      <c r="O136" t="str">
        <f>IF(X136=0,"",COUNTIF(PRODUCTOS!$F:$F,CATÁLOGOS!A139))</f>
        <v/>
      </c>
      <c r="Q136" t="str">
        <f t="shared" si="9"/>
        <v/>
      </c>
      <c r="R136" t="str">
        <f>IF(Y136=0,"",COUNTIF(PRODUCTOS!$H:$H,CATÁLOGOS!F139))</f>
        <v/>
      </c>
      <c r="Y136">
        <f>CATÁLOGOS!H139</f>
        <v>0</v>
      </c>
    </row>
    <row r="137" spans="14:25">
      <c r="N137" t="str">
        <f t="shared" si="8"/>
        <v/>
      </c>
      <c r="O137" t="str">
        <f>IF(X137=0,"",COUNTIF(PRODUCTOS!$F:$F,CATÁLOGOS!A140))</f>
        <v/>
      </c>
      <c r="Q137" t="str">
        <f t="shared" si="9"/>
        <v/>
      </c>
      <c r="R137" t="str">
        <f>IF(Y137=0,"",COUNTIF(PRODUCTOS!$H:$H,CATÁLOGOS!F140))</f>
        <v/>
      </c>
      <c r="Y137">
        <f>CATÁLOGOS!H140</f>
        <v>0</v>
      </c>
    </row>
    <row r="138" spans="14:25">
      <c r="N138" t="str">
        <f t="shared" si="8"/>
        <v/>
      </c>
      <c r="O138" t="str">
        <f>IF(X138=0,"",COUNTIF(PRODUCTOS!$F:$F,CATÁLOGOS!A141))</f>
        <v/>
      </c>
      <c r="Q138" t="str">
        <f t="shared" si="9"/>
        <v/>
      </c>
      <c r="R138" t="str">
        <f>IF(Y138=0,"",COUNTIF(PRODUCTOS!$H:$H,CATÁLOGOS!F141))</f>
        <v/>
      </c>
      <c r="Y138">
        <f>CATÁLOGOS!H141</f>
        <v>0</v>
      </c>
    </row>
    <row r="139" spans="14:25">
      <c r="N139" t="str">
        <f t="shared" si="8"/>
        <v/>
      </c>
      <c r="O139" t="str">
        <f>IF(X139=0,"",COUNTIF(PRODUCTOS!$F:$F,CATÁLOGOS!A142))</f>
        <v/>
      </c>
      <c r="Q139" t="str">
        <f t="shared" si="9"/>
        <v/>
      </c>
      <c r="R139" t="str">
        <f>IF(Y139=0,"",COUNTIF(PRODUCTOS!$H:$H,CATÁLOGOS!F142))</f>
        <v/>
      </c>
      <c r="Y139">
        <f>CATÁLOGOS!H142</f>
        <v>0</v>
      </c>
    </row>
    <row r="140" spans="14:25">
      <c r="N140" t="str">
        <f t="shared" si="8"/>
        <v/>
      </c>
      <c r="O140" t="str">
        <f>IF(X140=0,"",COUNTIF(PRODUCTOS!$F:$F,CATÁLOGOS!A143))</f>
        <v/>
      </c>
      <c r="Q140" t="str">
        <f t="shared" si="9"/>
        <v/>
      </c>
      <c r="R140" t="str">
        <f>IF(Y140=0,"",COUNTIF(PRODUCTOS!$H:$H,CATÁLOGOS!F143))</f>
        <v/>
      </c>
      <c r="Y140">
        <f>CATÁLOGOS!H143</f>
        <v>0</v>
      </c>
    </row>
    <row r="141" spans="14:25">
      <c r="N141" t="str">
        <f t="shared" si="8"/>
        <v/>
      </c>
      <c r="O141" t="str">
        <f>IF(X141=0,"",COUNTIF(PRODUCTOS!$F:$F,CATÁLOGOS!A144))</f>
        <v/>
      </c>
      <c r="Q141" t="str">
        <f t="shared" si="9"/>
        <v/>
      </c>
      <c r="R141" t="str">
        <f>IF(Y141=0,"",COUNTIF(PRODUCTOS!$H:$H,CATÁLOGOS!F144))</f>
        <v/>
      </c>
      <c r="Y141">
        <f>CATÁLOGOS!H144</f>
        <v>0</v>
      </c>
    </row>
    <row r="142" spans="14:25">
      <c r="N142" t="str">
        <f t="shared" si="8"/>
        <v/>
      </c>
      <c r="O142" t="str">
        <f>IF(X142=0,"",COUNTIF(PRODUCTOS!$F:$F,CATÁLOGOS!A145))</f>
        <v/>
      </c>
      <c r="Q142" t="str">
        <f t="shared" si="9"/>
        <v/>
      </c>
      <c r="R142" t="str">
        <f>IF(Y142=0,"",COUNTIF(PRODUCTOS!$H:$H,CATÁLOGOS!F145))</f>
        <v/>
      </c>
      <c r="Y142">
        <f>CATÁLOGOS!H145</f>
        <v>0</v>
      </c>
    </row>
    <row r="143" spans="14:25">
      <c r="N143" t="str">
        <f t="shared" si="8"/>
        <v/>
      </c>
      <c r="O143" t="str">
        <f>IF(X143=0,"",COUNTIF(PRODUCTOS!$F:$F,CATÁLOGOS!A146))</f>
        <v/>
      </c>
      <c r="Q143" t="str">
        <f t="shared" si="9"/>
        <v/>
      </c>
      <c r="R143" t="str">
        <f>IF(Y143=0,"",COUNTIF(PRODUCTOS!$H:$H,CATÁLOGOS!F146))</f>
        <v/>
      </c>
      <c r="Y143">
        <f>CATÁLOGOS!H146</f>
        <v>0</v>
      </c>
    </row>
    <row r="144" spans="14:25">
      <c r="N144" t="str">
        <f t="shared" si="8"/>
        <v/>
      </c>
      <c r="O144" t="str">
        <f>IF(X144=0,"",COUNTIF(PRODUCTOS!$F:$F,CATÁLOGOS!A147))</f>
        <v/>
      </c>
      <c r="Q144" t="str">
        <f t="shared" si="9"/>
        <v/>
      </c>
      <c r="R144" t="str">
        <f>IF(Y144=0,"",COUNTIF(PRODUCTOS!$H:$H,CATÁLOGOS!F147))</f>
        <v/>
      </c>
      <c r="Y144">
        <f>CATÁLOGOS!H147</f>
        <v>0</v>
      </c>
    </row>
    <row r="145" spans="14:25">
      <c r="N145" t="str">
        <f t="shared" si="8"/>
        <v/>
      </c>
      <c r="O145" t="str">
        <f>IF(X145=0,"",COUNTIF(PRODUCTOS!$F:$F,CATÁLOGOS!A148))</f>
        <v/>
      </c>
      <c r="Q145" t="str">
        <f t="shared" si="9"/>
        <v/>
      </c>
      <c r="R145" t="str">
        <f>IF(Y145=0,"",COUNTIF(PRODUCTOS!$H:$H,CATÁLOGOS!F148))</f>
        <v/>
      </c>
      <c r="Y145">
        <f>CATÁLOGOS!H148</f>
        <v>0</v>
      </c>
    </row>
    <row r="146" spans="14:25">
      <c r="N146" t="str">
        <f t="shared" si="8"/>
        <v/>
      </c>
      <c r="O146" t="str">
        <f>IF(X146=0,"",COUNTIF(PRODUCTOS!$F:$F,CATÁLOGOS!A149))</f>
        <v/>
      </c>
      <c r="Q146" t="str">
        <f t="shared" si="9"/>
        <v/>
      </c>
      <c r="R146" t="str">
        <f>IF(Y146=0,"",COUNTIF(PRODUCTOS!$H:$H,CATÁLOGOS!F149))</f>
        <v/>
      </c>
      <c r="Y146">
        <f>CATÁLOGOS!H149</f>
        <v>0</v>
      </c>
    </row>
    <row r="147" spans="14:25">
      <c r="N147" t="str">
        <f t="shared" si="8"/>
        <v/>
      </c>
      <c r="O147" t="str">
        <f>IF(X147=0,"",COUNTIF(PRODUCTOS!$F:$F,CATÁLOGOS!A150))</f>
        <v/>
      </c>
      <c r="Q147" t="str">
        <f t="shared" si="9"/>
        <v/>
      </c>
      <c r="R147" t="str">
        <f>IF(Y147=0,"",COUNTIF(PRODUCTOS!$H:$H,CATÁLOGOS!F150))</f>
        <v/>
      </c>
      <c r="Y147">
        <f>CATÁLOGOS!H150</f>
        <v>0</v>
      </c>
    </row>
    <row r="148" spans="14:25">
      <c r="N148" t="str">
        <f t="shared" si="8"/>
        <v/>
      </c>
      <c r="O148" t="str">
        <f>IF(X148=0,"",COUNTIF(PRODUCTOS!$F:$F,CATÁLOGOS!A151))</f>
        <v/>
      </c>
      <c r="Q148" t="str">
        <f t="shared" si="9"/>
        <v/>
      </c>
      <c r="R148" t="str">
        <f>IF(Y148=0,"",COUNTIF(PRODUCTOS!$H:$H,CATÁLOGOS!F151))</f>
        <v/>
      </c>
      <c r="Y148">
        <f>CATÁLOGOS!H151</f>
        <v>0</v>
      </c>
    </row>
    <row r="149" spans="14:25">
      <c r="N149" t="str">
        <f t="shared" si="8"/>
        <v/>
      </c>
      <c r="O149" t="str">
        <f>IF(X149=0,"",COUNTIF(PRODUCTOS!$F:$F,CATÁLOGOS!A152))</f>
        <v/>
      </c>
      <c r="Q149" t="str">
        <f t="shared" si="9"/>
        <v/>
      </c>
      <c r="R149" t="str">
        <f>IF(Y149=0,"",COUNTIF(PRODUCTOS!$H:$H,CATÁLOGOS!F152))</f>
        <v/>
      </c>
      <c r="Y149">
        <f>CATÁLOGOS!H152</f>
        <v>0</v>
      </c>
    </row>
    <row r="150" spans="14:25">
      <c r="N150" t="str">
        <f t="shared" si="8"/>
        <v/>
      </c>
      <c r="O150" t="str">
        <f>IF(X150=0,"",COUNTIF(PRODUCTOS!$F:$F,CATÁLOGOS!A153))</f>
        <v/>
      </c>
      <c r="Q150" t="str">
        <f t="shared" si="9"/>
        <v/>
      </c>
      <c r="R150" t="str">
        <f>IF(Y150=0,"",COUNTIF(PRODUCTOS!$H:$H,CATÁLOGOS!F153))</f>
        <v/>
      </c>
      <c r="Y150">
        <f>CATÁLOGOS!H153</f>
        <v>0</v>
      </c>
    </row>
    <row r="151" spans="14:25">
      <c r="N151" t="str">
        <f t="shared" si="8"/>
        <v/>
      </c>
      <c r="O151" t="str">
        <f>IF(X151=0,"",COUNTIF(PRODUCTOS!$F:$F,CATÁLOGOS!A154))</f>
        <v/>
      </c>
      <c r="Q151" t="str">
        <f t="shared" si="9"/>
        <v/>
      </c>
      <c r="R151" t="str">
        <f>IF(Y151=0,"",COUNTIF(PRODUCTOS!$H:$H,CATÁLOGOS!F154))</f>
        <v/>
      </c>
      <c r="Y151">
        <f>CATÁLOGOS!H154</f>
        <v>0</v>
      </c>
    </row>
    <row r="152" spans="14:25">
      <c r="N152" t="str">
        <f t="shared" si="8"/>
        <v/>
      </c>
      <c r="O152" t="str">
        <f>IF(X152=0,"",COUNTIF(PRODUCTOS!$F:$F,CATÁLOGOS!A155))</f>
        <v/>
      </c>
      <c r="Q152" t="str">
        <f t="shared" si="9"/>
        <v/>
      </c>
      <c r="R152" t="str">
        <f>IF(Y152=0,"",COUNTIF(PRODUCTOS!$H:$H,CATÁLOGOS!F155))</f>
        <v/>
      </c>
      <c r="Y152">
        <f>CATÁLOGOS!H155</f>
        <v>0</v>
      </c>
    </row>
    <row r="153" spans="14:25">
      <c r="N153" t="str">
        <f t="shared" si="8"/>
        <v/>
      </c>
      <c r="O153" t="str">
        <f>IF(X153=0,"",COUNTIF(PRODUCTOS!$F:$F,CATÁLOGOS!A156))</f>
        <v/>
      </c>
      <c r="Q153" t="str">
        <f t="shared" si="9"/>
        <v/>
      </c>
      <c r="R153" t="str">
        <f>IF(Y153=0,"",COUNTIF(PRODUCTOS!$H:$H,CATÁLOGOS!F156))</f>
        <v/>
      </c>
      <c r="Y153">
        <f>CATÁLOGOS!H156</f>
        <v>0</v>
      </c>
    </row>
    <row r="154" spans="14:25">
      <c r="N154" t="str">
        <f t="shared" si="8"/>
        <v/>
      </c>
      <c r="O154" t="str">
        <f>IF(X154=0,"",COUNTIF(PRODUCTOS!$F:$F,CATÁLOGOS!A157))</f>
        <v/>
      </c>
      <c r="Q154" t="str">
        <f t="shared" si="9"/>
        <v/>
      </c>
      <c r="R154" t="str">
        <f>IF(Y154=0,"",COUNTIF(PRODUCTOS!$H:$H,CATÁLOGOS!F157))</f>
        <v/>
      </c>
      <c r="Y154">
        <f>CATÁLOGOS!H157</f>
        <v>0</v>
      </c>
    </row>
    <row r="155" spans="14:25">
      <c r="N155" t="str">
        <f t="shared" si="8"/>
        <v/>
      </c>
      <c r="O155" t="str">
        <f>IF(X155=0,"",COUNTIF(PRODUCTOS!$F:$F,CATÁLOGOS!A158))</f>
        <v/>
      </c>
      <c r="Q155" t="str">
        <f t="shared" si="9"/>
        <v/>
      </c>
      <c r="R155" t="str">
        <f>IF(Y155=0,"",COUNTIF(PRODUCTOS!$H:$H,CATÁLOGOS!F158))</f>
        <v/>
      </c>
      <c r="Y155">
        <f>CATÁLOGOS!H158</f>
        <v>0</v>
      </c>
    </row>
    <row r="156" spans="14:25">
      <c r="N156" t="str">
        <f t="shared" si="8"/>
        <v/>
      </c>
      <c r="O156" t="str">
        <f>IF(X156=0,"",COUNTIF(PRODUCTOS!$F:$F,CATÁLOGOS!A159))</f>
        <v/>
      </c>
      <c r="Q156" t="str">
        <f t="shared" si="9"/>
        <v/>
      </c>
      <c r="R156" t="str">
        <f>IF(Y156=0,"",COUNTIF(PRODUCTOS!$H:$H,CATÁLOGOS!F159))</f>
        <v/>
      </c>
      <c r="Y156">
        <f>CATÁLOGOS!H159</f>
        <v>0</v>
      </c>
    </row>
    <row r="157" spans="14:25">
      <c r="N157" t="str">
        <f t="shared" si="8"/>
        <v/>
      </c>
      <c r="O157" t="str">
        <f>IF(X157=0,"",COUNTIF(PRODUCTOS!$F:$F,CATÁLOGOS!A160))</f>
        <v/>
      </c>
      <c r="Q157" t="str">
        <f t="shared" si="9"/>
        <v/>
      </c>
      <c r="R157" t="str">
        <f>IF(Y157=0,"",COUNTIF(PRODUCTOS!$H:$H,CATÁLOGOS!F160))</f>
        <v/>
      </c>
      <c r="Y157">
        <f>CATÁLOGOS!H160</f>
        <v>0</v>
      </c>
    </row>
    <row r="158" spans="14:25">
      <c r="N158" t="str">
        <f t="shared" si="8"/>
        <v/>
      </c>
      <c r="O158" t="str">
        <f>IF(X158=0,"",COUNTIF(PRODUCTOS!$F:$F,CATÁLOGOS!A161))</f>
        <v/>
      </c>
      <c r="Q158" t="str">
        <f t="shared" si="9"/>
        <v/>
      </c>
      <c r="R158" t="str">
        <f>IF(Y158=0,"",COUNTIF(PRODUCTOS!$H:$H,CATÁLOGOS!F161))</f>
        <v/>
      </c>
      <c r="Y158">
        <f>CATÁLOGOS!H161</f>
        <v>0</v>
      </c>
    </row>
    <row r="159" spans="14:25">
      <c r="N159" t="str">
        <f t="shared" si="8"/>
        <v/>
      </c>
      <c r="O159" t="str">
        <f>IF(X159=0,"",COUNTIF(PRODUCTOS!$F:$F,CATÁLOGOS!A162))</f>
        <v/>
      </c>
      <c r="Q159" t="str">
        <f t="shared" si="9"/>
        <v/>
      </c>
      <c r="R159" t="str">
        <f>IF(Y159=0,"",COUNTIF(PRODUCTOS!$H:$H,CATÁLOGOS!F162))</f>
        <v/>
      </c>
      <c r="Y159">
        <f>CATÁLOGOS!H162</f>
        <v>0</v>
      </c>
    </row>
    <row r="160" spans="14:25">
      <c r="N160" t="str">
        <f t="shared" si="8"/>
        <v/>
      </c>
      <c r="O160" t="str">
        <f>IF(X160=0,"",COUNTIF(PRODUCTOS!$F:$F,CATÁLOGOS!A163))</f>
        <v/>
      </c>
      <c r="Q160" t="str">
        <f t="shared" si="9"/>
        <v/>
      </c>
      <c r="R160" t="str">
        <f>IF(Y160=0,"",COUNTIF(PRODUCTOS!$H:$H,CATÁLOGOS!F163))</f>
        <v/>
      </c>
      <c r="Y160">
        <f>CATÁLOGOS!H163</f>
        <v>0</v>
      </c>
    </row>
    <row r="161" spans="14:25">
      <c r="N161" t="str">
        <f t="shared" si="8"/>
        <v/>
      </c>
      <c r="O161" t="str">
        <f>IF(X161=0,"",COUNTIF(PRODUCTOS!$F:$F,CATÁLOGOS!A164))</f>
        <v/>
      </c>
      <c r="Q161" t="str">
        <f t="shared" si="9"/>
        <v/>
      </c>
      <c r="R161" t="str">
        <f>IF(Y161=0,"",COUNTIF(PRODUCTOS!$H:$H,CATÁLOGOS!F164))</f>
        <v/>
      </c>
      <c r="Y161">
        <f>CATÁLOGOS!H164</f>
        <v>0</v>
      </c>
    </row>
    <row r="162" spans="14:25">
      <c r="N162" t="str">
        <f t="shared" si="8"/>
        <v/>
      </c>
      <c r="O162" t="str">
        <f>IF(X162=0,"",COUNTIF(PRODUCTOS!$F:$F,CATÁLOGOS!A165))</f>
        <v/>
      </c>
      <c r="Q162" t="str">
        <f t="shared" si="9"/>
        <v/>
      </c>
      <c r="R162" t="str">
        <f>IF(Y162=0,"",COUNTIF(PRODUCTOS!$H:$H,CATÁLOGOS!F165))</f>
        <v/>
      </c>
      <c r="Y162">
        <f>CATÁLOGOS!H165</f>
        <v>0</v>
      </c>
    </row>
    <row r="163" spans="14:25">
      <c r="N163" t="str">
        <f t="shared" si="8"/>
        <v/>
      </c>
      <c r="O163" t="str">
        <f>IF(X163=0,"",COUNTIF(PRODUCTOS!$F:$F,CATÁLOGOS!A166))</f>
        <v/>
      </c>
      <c r="Q163" t="str">
        <f t="shared" si="9"/>
        <v/>
      </c>
      <c r="R163" t="str">
        <f>IF(Y163=0,"",COUNTIF(PRODUCTOS!$H:$H,CATÁLOGOS!F166))</f>
        <v/>
      </c>
      <c r="Y163">
        <f>CATÁLOGOS!H166</f>
        <v>0</v>
      </c>
    </row>
    <row r="164" spans="14:25">
      <c r="N164" t="str">
        <f t="shared" si="8"/>
        <v/>
      </c>
      <c r="O164" t="str">
        <f>IF(X164=0,"",COUNTIF(PRODUCTOS!$F:$F,CATÁLOGOS!A167))</f>
        <v/>
      </c>
      <c r="Q164" t="str">
        <f t="shared" si="9"/>
        <v/>
      </c>
      <c r="R164" t="str">
        <f>IF(Y164=0,"",COUNTIF(PRODUCTOS!$H:$H,CATÁLOGOS!F167))</f>
        <v/>
      </c>
      <c r="Y164">
        <f>CATÁLOGOS!H167</f>
        <v>0</v>
      </c>
    </row>
    <row r="165" spans="14:25">
      <c r="N165" t="str">
        <f t="shared" si="8"/>
        <v/>
      </c>
      <c r="O165" t="str">
        <f>IF(X165=0,"",COUNTIF(PRODUCTOS!$F:$F,CATÁLOGOS!A168))</f>
        <v/>
      </c>
      <c r="Q165" t="str">
        <f t="shared" si="9"/>
        <v/>
      </c>
      <c r="R165" t="str">
        <f>IF(Y165=0,"",COUNTIF(PRODUCTOS!$H:$H,CATÁLOGOS!F168))</f>
        <v/>
      </c>
      <c r="Y165">
        <f>CATÁLOGOS!H168</f>
        <v>0</v>
      </c>
    </row>
    <row r="166" spans="14:25">
      <c r="N166" t="str">
        <f t="shared" si="8"/>
        <v/>
      </c>
      <c r="O166" t="str">
        <f>IF(X166=0,"",COUNTIF(PRODUCTOS!$F:$F,CATÁLOGOS!A169))</f>
        <v/>
      </c>
      <c r="Q166" t="str">
        <f t="shared" si="9"/>
        <v/>
      </c>
      <c r="R166" t="str">
        <f>IF(Y166=0,"",COUNTIF(PRODUCTOS!$H:$H,CATÁLOGOS!F169))</f>
        <v/>
      </c>
      <c r="Y166">
        <f>CATÁLOGOS!H169</f>
        <v>0</v>
      </c>
    </row>
    <row r="167" spans="14:25">
      <c r="N167" t="str">
        <f t="shared" si="8"/>
        <v/>
      </c>
      <c r="O167" t="str">
        <f>IF(X167=0,"",COUNTIF(PRODUCTOS!$F:$F,CATÁLOGOS!A170))</f>
        <v/>
      </c>
      <c r="Q167" t="str">
        <f t="shared" si="9"/>
        <v/>
      </c>
      <c r="R167" t="str">
        <f>IF(Y167=0,"",COUNTIF(PRODUCTOS!$H:$H,CATÁLOGOS!F170))</f>
        <v/>
      </c>
      <c r="Y167">
        <f>CATÁLOGOS!H170</f>
        <v>0</v>
      </c>
    </row>
    <row r="168" spans="14:25">
      <c r="N168" t="str">
        <f t="shared" si="8"/>
        <v/>
      </c>
      <c r="O168" t="str">
        <f>IF(X168=0,"",COUNTIF(PRODUCTOS!$F:$F,CATÁLOGOS!A171))</f>
        <v/>
      </c>
      <c r="Q168" t="str">
        <f t="shared" si="9"/>
        <v/>
      </c>
      <c r="R168" t="str">
        <f>IF(Y168=0,"",COUNTIF(PRODUCTOS!$H:$H,CATÁLOGOS!F171))</f>
        <v/>
      </c>
      <c r="Y168">
        <f>CATÁLOGOS!H171</f>
        <v>0</v>
      </c>
    </row>
    <row r="169" spans="14:25">
      <c r="N169" t="str">
        <f t="shared" si="8"/>
        <v/>
      </c>
      <c r="O169" t="str">
        <f>IF(X169=0,"",COUNTIF(PRODUCTOS!$F:$F,CATÁLOGOS!A172))</f>
        <v/>
      </c>
      <c r="Q169" t="str">
        <f t="shared" si="9"/>
        <v/>
      </c>
      <c r="R169" t="str">
        <f>IF(Y169=0,"",COUNTIF(PRODUCTOS!$H:$H,CATÁLOGOS!F172))</f>
        <v/>
      </c>
      <c r="Y169">
        <f>CATÁLOGOS!H172</f>
        <v>0</v>
      </c>
    </row>
    <row r="170" spans="14:25">
      <c r="N170" t="str">
        <f t="shared" si="8"/>
        <v/>
      </c>
      <c r="O170" t="str">
        <f>IF(X170=0,"",COUNTIF(PRODUCTOS!$F:$F,CATÁLOGOS!A173))</f>
        <v/>
      </c>
      <c r="Q170" t="str">
        <f t="shared" si="9"/>
        <v/>
      </c>
      <c r="R170" t="str">
        <f>IF(Y170=0,"",COUNTIF(PRODUCTOS!$H:$H,CATÁLOGOS!F173))</f>
        <v/>
      </c>
      <c r="Y170">
        <f>CATÁLOGOS!H173</f>
        <v>0</v>
      </c>
    </row>
    <row r="171" spans="14:25">
      <c r="N171" t="str">
        <f t="shared" si="8"/>
        <v/>
      </c>
      <c r="O171" t="str">
        <f>IF(X171=0,"",COUNTIF(PRODUCTOS!$F:$F,CATÁLOGOS!A174))</f>
        <v/>
      </c>
      <c r="Q171" t="str">
        <f t="shared" si="9"/>
        <v/>
      </c>
      <c r="R171" t="str">
        <f>IF(Y171=0,"",COUNTIF(PRODUCTOS!$H:$H,CATÁLOGOS!F174))</f>
        <v/>
      </c>
      <c r="Y171">
        <f>CATÁLOGOS!H174</f>
        <v>0</v>
      </c>
    </row>
    <row r="172" spans="14:25">
      <c r="N172" t="str">
        <f t="shared" si="8"/>
        <v/>
      </c>
      <c r="O172" t="str">
        <f>IF(X172=0,"",COUNTIF(PRODUCTOS!$F:$F,CATÁLOGOS!A175))</f>
        <v/>
      </c>
      <c r="Q172" t="str">
        <f t="shared" si="9"/>
        <v/>
      </c>
      <c r="R172" t="str">
        <f>IF(Y172=0,"",COUNTIF(PRODUCTOS!$H:$H,CATÁLOGOS!F175))</f>
        <v/>
      </c>
      <c r="Y172">
        <f>CATÁLOGOS!H175</f>
        <v>0</v>
      </c>
    </row>
    <row r="173" spans="14:25">
      <c r="N173" t="str">
        <f t="shared" si="8"/>
        <v/>
      </c>
      <c r="O173" t="str">
        <f>IF(X173=0,"",COUNTIF(PRODUCTOS!$F:$F,CATÁLOGOS!A176))</f>
        <v/>
      </c>
      <c r="Q173" t="str">
        <f t="shared" si="9"/>
        <v/>
      </c>
      <c r="R173" t="str">
        <f>IF(Y173=0,"",COUNTIF(PRODUCTOS!$H:$H,CATÁLOGOS!F176))</f>
        <v/>
      </c>
      <c r="Y173">
        <f>CATÁLOGOS!H176</f>
        <v>0</v>
      </c>
    </row>
    <row r="174" spans="14:25">
      <c r="N174" t="str">
        <f t="shared" si="8"/>
        <v/>
      </c>
      <c r="O174" t="str">
        <f>IF(X174=0,"",COUNTIF(PRODUCTOS!$F:$F,CATÁLOGOS!A177))</f>
        <v/>
      </c>
      <c r="Q174" t="str">
        <f t="shared" si="9"/>
        <v/>
      </c>
      <c r="R174" t="str">
        <f>IF(Y174=0,"",COUNTIF(PRODUCTOS!$H:$H,CATÁLOGOS!F177))</f>
        <v/>
      </c>
      <c r="Y174">
        <f>CATÁLOGOS!H177</f>
        <v>0</v>
      </c>
    </row>
    <row r="175" spans="14:25">
      <c r="N175" t="str">
        <f t="shared" si="8"/>
        <v/>
      </c>
      <c r="O175" t="str">
        <f>IF(X175=0,"",COUNTIF(PRODUCTOS!$F:$F,CATÁLOGOS!A178))</f>
        <v/>
      </c>
      <c r="Q175" t="str">
        <f t="shared" si="9"/>
        <v/>
      </c>
      <c r="R175" t="str">
        <f>IF(Y175=0,"",COUNTIF(PRODUCTOS!$H:$H,CATÁLOGOS!F178))</f>
        <v/>
      </c>
      <c r="Y175">
        <f>CATÁLOGOS!H178</f>
        <v>0</v>
      </c>
    </row>
    <row r="176" spans="14:25">
      <c r="N176" t="str">
        <f t="shared" si="8"/>
        <v/>
      </c>
      <c r="O176" t="str">
        <f>IF(X176=0,"",COUNTIF(PRODUCTOS!$F:$F,CATÁLOGOS!A179))</f>
        <v/>
      </c>
      <c r="Q176" t="str">
        <f t="shared" si="9"/>
        <v/>
      </c>
      <c r="R176" t="str">
        <f>IF(Y176=0,"",COUNTIF(PRODUCTOS!$H:$H,CATÁLOGOS!F179))</f>
        <v/>
      </c>
      <c r="Y176">
        <f>CATÁLOGOS!H179</f>
        <v>0</v>
      </c>
    </row>
    <row r="177" spans="14:25">
      <c r="N177" t="str">
        <f t="shared" si="8"/>
        <v/>
      </c>
      <c r="O177" t="str">
        <f>IF(X177=0,"",COUNTIF(PRODUCTOS!$F:$F,CATÁLOGOS!A180))</f>
        <v/>
      </c>
      <c r="Q177" t="str">
        <f t="shared" si="9"/>
        <v/>
      </c>
      <c r="R177" t="str">
        <f>IF(Y177=0,"",COUNTIF(PRODUCTOS!$H:$H,CATÁLOGOS!F180))</f>
        <v/>
      </c>
      <c r="Y177">
        <f>CATÁLOGOS!H180</f>
        <v>0</v>
      </c>
    </row>
    <row r="178" spans="14:25">
      <c r="N178" t="str">
        <f t="shared" si="8"/>
        <v/>
      </c>
      <c r="O178" t="str">
        <f>IF(X178=0,"",COUNTIF(PRODUCTOS!$F:$F,CATÁLOGOS!A181))</f>
        <v/>
      </c>
      <c r="Q178" t="str">
        <f t="shared" si="9"/>
        <v/>
      </c>
      <c r="R178" t="str">
        <f>IF(Y178=0,"",COUNTIF(PRODUCTOS!$H:$H,CATÁLOGOS!F181))</f>
        <v/>
      </c>
      <c r="Y178">
        <f>CATÁLOGOS!H181</f>
        <v>0</v>
      </c>
    </row>
    <row r="179" spans="14:25">
      <c r="N179" t="str">
        <f t="shared" si="8"/>
        <v/>
      </c>
      <c r="O179" t="str">
        <f>IF(X179=0,"",COUNTIF(PRODUCTOS!$F:$F,CATÁLOGOS!A182))</f>
        <v/>
      </c>
      <c r="Q179" t="str">
        <f t="shared" si="9"/>
        <v/>
      </c>
      <c r="R179" t="str">
        <f>IF(Y179=0,"",COUNTIF(PRODUCTOS!$H:$H,CATÁLOGOS!F182))</f>
        <v/>
      </c>
      <c r="Y179">
        <f>CATÁLOGOS!H182</f>
        <v>0</v>
      </c>
    </row>
    <row r="180" spans="14:25">
      <c r="N180" t="str">
        <f t="shared" si="8"/>
        <v/>
      </c>
      <c r="O180" t="str">
        <f>IF(X180=0,"",COUNTIF(PRODUCTOS!$F:$F,CATÁLOGOS!A183))</f>
        <v/>
      </c>
      <c r="Q180" t="str">
        <f t="shared" si="9"/>
        <v/>
      </c>
      <c r="R180" t="str">
        <f>IF(Y180=0,"",COUNTIF(PRODUCTOS!$H:$H,CATÁLOGOS!F183))</f>
        <v/>
      </c>
      <c r="Y180">
        <f>CATÁLOGOS!H183</f>
        <v>0</v>
      </c>
    </row>
    <row r="181" spans="14:25">
      <c r="N181" t="str">
        <f t="shared" si="8"/>
        <v/>
      </c>
      <c r="O181" t="str">
        <f>IF(X181=0,"",COUNTIF(PRODUCTOS!$F:$F,CATÁLOGOS!A184))</f>
        <v/>
      </c>
      <c r="Q181" t="str">
        <f t="shared" si="9"/>
        <v/>
      </c>
      <c r="R181" t="str">
        <f>IF(Y181=0,"",COUNTIF(PRODUCTOS!$H:$H,CATÁLOGOS!F184))</f>
        <v/>
      </c>
      <c r="Y181">
        <f>CATÁLOGOS!H184</f>
        <v>0</v>
      </c>
    </row>
    <row r="182" spans="14:25">
      <c r="N182" t="str">
        <f t="shared" si="8"/>
        <v/>
      </c>
      <c r="O182" t="str">
        <f>IF(X182=0,"",COUNTIF(PRODUCTOS!$F:$F,CATÁLOGOS!A185))</f>
        <v/>
      </c>
      <c r="Q182" t="str">
        <f t="shared" si="9"/>
        <v/>
      </c>
      <c r="R182" t="str">
        <f>IF(Y182=0,"",COUNTIF(PRODUCTOS!$H:$H,CATÁLOGOS!F185))</f>
        <v/>
      </c>
      <c r="Y182">
        <f>CATÁLOGOS!H185</f>
        <v>0</v>
      </c>
    </row>
    <row r="183" spans="14:25">
      <c r="N183" t="str">
        <f t="shared" si="8"/>
        <v/>
      </c>
      <c r="O183" t="str">
        <f>IF(X183=0,"",COUNTIF(PRODUCTOS!$F:$F,CATÁLOGOS!A186))</f>
        <v/>
      </c>
      <c r="Q183" t="str">
        <f t="shared" si="9"/>
        <v/>
      </c>
      <c r="R183" t="str">
        <f>IF(Y183=0,"",COUNTIF(PRODUCTOS!$H:$H,CATÁLOGOS!F186))</f>
        <v/>
      </c>
      <c r="Y183">
        <f>CATÁLOGOS!H186</f>
        <v>0</v>
      </c>
    </row>
    <row r="184" spans="14:25">
      <c r="N184" t="str">
        <f t="shared" si="8"/>
        <v/>
      </c>
      <c r="O184" t="str">
        <f>IF(X184=0,"",COUNTIF(PRODUCTOS!$F:$F,CATÁLOGOS!A187))</f>
        <v/>
      </c>
      <c r="Q184" t="str">
        <f t="shared" si="9"/>
        <v/>
      </c>
      <c r="R184" t="str">
        <f>IF(Y184=0,"",COUNTIF(PRODUCTOS!$H:$H,CATÁLOGOS!F187))</f>
        <v/>
      </c>
      <c r="Y184">
        <f>CATÁLOGOS!H187</f>
        <v>0</v>
      </c>
    </row>
    <row r="185" spans="14:25">
      <c r="N185" t="str">
        <f t="shared" si="8"/>
        <v/>
      </c>
      <c r="O185" t="str">
        <f>IF(X185=0,"",COUNTIF(PRODUCTOS!$F:$F,CATÁLOGOS!A188))</f>
        <v/>
      </c>
      <c r="Q185" t="str">
        <f t="shared" si="9"/>
        <v/>
      </c>
      <c r="R185" t="str">
        <f>IF(Y185=0,"",COUNTIF(PRODUCTOS!$H:$H,CATÁLOGOS!F188))</f>
        <v/>
      </c>
      <c r="Y185">
        <f>CATÁLOGOS!H188</f>
        <v>0</v>
      </c>
    </row>
    <row r="186" spans="14:25">
      <c r="N186" t="str">
        <f t="shared" si="8"/>
        <v/>
      </c>
      <c r="O186" t="str">
        <f>IF(X186=0,"",COUNTIF(PRODUCTOS!$F:$F,CATÁLOGOS!A189))</f>
        <v/>
      </c>
      <c r="Q186" t="str">
        <f t="shared" si="9"/>
        <v/>
      </c>
      <c r="R186" t="str">
        <f>IF(Y186=0,"",COUNTIF(PRODUCTOS!$H:$H,CATÁLOGOS!F189))</f>
        <v/>
      </c>
      <c r="Y186">
        <f>CATÁLOGOS!H189</f>
        <v>0</v>
      </c>
    </row>
    <row r="187" spans="14:25">
      <c r="N187" t="str">
        <f t="shared" si="8"/>
        <v/>
      </c>
      <c r="O187" t="str">
        <f>IF(X187=0,"",COUNTIF(PRODUCTOS!$F:$F,CATÁLOGOS!A190))</f>
        <v/>
      </c>
      <c r="Q187" t="str">
        <f t="shared" si="9"/>
        <v/>
      </c>
      <c r="R187" t="str">
        <f>IF(Y187=0,"",COUNTIF(PRODUCTOS!$H:$H,CATÁLOGOS!F190))</f>
        <v/>
      </c>
      <c r="Y187">
        <f>CATÁLOGOS!H190</f>
        <v>0</v>
      </c>
    </row>
    <row r="188" spans="14:25">
      <c r="N188" t="str">
        <f t="shared" si="8"/>
        <v/>
      </c>
      <c r="O188" t="str">
        <f>IF(X188=0,"",COUNTIF(PRODUCTOS!$F:$F,CATÁLOGOS!A191))</f>
        <v/>
      </c>
      <c r="Q188" t="str">
        <f t="shared" si="9"/>
        <v/>
      </c>
      <c r="R188" t="str">
        <f>IF(Y188=0,"",COUNTIF(PRODUCTOS!$H:$H,CATÁLOGOS!F191))</f>
        <v/>
      </c>
      <c r="Y188">
        <f>CATÁLOGOS!H191</f>
        <v>0</v>
      </c>
    </row>
    <row r="189" spans="14:25">
      <c r="N189" t="str">
        <f t="shared" ref="N189:N252" si="10">IF(X189=0,"",X189)</f>
        <v/>
      </c>
      <c r="O189" t="str">
        <f>IF(X189=0,"",COUNTIF(PRODUCTOS!$F:$F,CATÁLOGOS!A192))</f>
        <v/>
      </c>
      <c r="Q189" t="str">
        <f t="shared" ref="Q189:Q252" si="11">IF(Y189=0,"",Y189)</f>
        <v/>
      </c>
      <c r="R189" t="str">
        <f>IF(Y189=0,"",COUNTIF(PRODUCTOS!$H:$H,CATÁLOGOS!F192))</f>
        <v/>
      </c>
      <c r="Y189">
        <f>CATÁLOGOS!H192</f>
        <v>0</v>
      </c>
    </row>
    <row r="190" spans="14:25">
      <c r="N190" t="str">
        <f t="shared" si="10"/>
        <v/>
      </c>
      <c r="O190" t="str">
        <f>IF(X190=0,"",COUNTIF(PRODUCTOS!$F:$F,CATÁLOGOS!A193))</f>
        <v/>
      </c>
      <c r="Q190" t="str">
        <f t="shared" si="11"/>
        <v/>
      </c>
      <c r="R190" t="str">
        <f>IF(Y190=0,"",COUNTIF(PRODUCTOS!$H:$H,CATÁLOGOS!F193))</f>
        <v/>
      </c>
      <c r="Y190">
        <f>CATÁLOGOS!H193</f>
        <v>0</v>
      </c>
    </row>
    <row r="191" spans="14:25">
      <c r="N191" t="str">
        <f t="shared" si="10"/>
        <v/>
      </c>
      <c r="O191" t="str">
        <f>IF(X191=0,"",COUNTIF(PRODUCTOS!$F:$F,CATÁLOGOS!A194))</f>
        <v/>
      </c>
      <c r="Q191" t="str">
        <f t="shared" si="11"/>
        <v/>
      </c>
      <c r="R191" t="str">
        <f>IF(Y191=0,"",COUNTIF(PRODUCTOS!$H:$H,CATÁLOGOS!F194))</f>
        <v/>
      </c>
      <c r="Y191">
        <f>CATÁLOGOS!H194</f>
        <v>0</v>
      </c>
    </row>
    <row r="192" spans="14:25">
      <c r="N192" t="str">
        <f t="shared" si="10"/>
        <v/>
      </c>
      <c r="O192" t="str">
        <f>IF(X192=0,"",COUNTIF(PRODUCTOS!$F:$F,CATÁLOGOS!A195))</f>
        <v/>
      </c>
      <c r="Q192" t="str">
        <f t="shared" si="11"/>
        <v/>
      </c>
      <c r="R192" t="str">
        <f>IF(Y192=0,"",COUNTIF(PRODUCTOS!$H:$H,CATÁLOGOS!F195))</f>
        <v/>
      </c>
      <c r="Y192">
        <f>CATÁLOGOS!H195</f>
        <v>0</v>
      </c>
    </row>
    <row r="193" spans="14:25">
      <c r="N193" t="str">
        <f t="shared" si="10"/>
        <v/>
      </c>
      <c r="O193" t="str">
        <f>IF(X193=0,"",COUNTIF(PRODUCTOS!$F:$F,CATÁLOGOS!A196))</f>
        <v/>
      </c>
      <c r="Q193" t="str">
        <f t="shared" si="11"/>
        <v/>
      </c>
      <c r="R193" t="str">
        <f>IF(Y193=0,"",COUNTIF(PRODUCTOS!$H:$H,CATÁLOGOS!F196))</f>
        <v/>
      </c>
      <c r="Y193">
        <f>CATÁLOGOS!H196</f>
        <v>0</v>
      </c>
    </row>
    <row r="194" spans="14:25">
      <c r="N194" t="str">
        <f t="shared" si="10"/>
        <v/>
      </c>
      <c r="O194" t="str">
        <f>IF(X194=0,"",COUNTIF(PRODUCTOS!$F:$F,CATÁLOGOS!A197))</f>
        <v/>
      </c>
      <c r="Q194" t="str">
        <f t="shared" si="11"/>
        <v/>
      </c>
      <c r="R194" t="str">
        <f>IF(Y194=0,"",COUNTIF(PRODUCTOS!$H:$H,CATÁLOGOS!F197))</f>
        <v/>
      </c>
      <c r="Y194">
        <f>CATÁLOGOS!H197</f>
        <v>0</v>
      </c>
    </row>
    <row r="195" spans="14:25">
      <c r="N195" t="str">
        <f t="shared" si="10"/>
        <v/>
      </c>
      <c r="O195" t="str">
        <f>IF(X195=0,"",COUNTIF(PRODUCTOS!$F:$F,CATÁLOGOS!A198))</f>
        <v/>
      </c>
      <c r="Q195" t="str">
        <f t="shared" si="11"/>
        <v/>
      </c>
      <c r="R195" t="str">
        <f>IF(Y195=0,"",COUNTIF(PRODUCTOS!$H:$H,CATÁLOGOS!F198))</f>
        <v/>
      </c>
      <c r="Y195">
        <f>CATÁLOGOS!H198</f>
        <v>0</v>
      </c>
    </row>
    <row r="196" spans="14:25">
      <c r="N196" t="str">
        <f t="shared" si="10"/>
        <v/>
      </c>
      <c r="O196" t="str">
        <f>IF(X196=0,"",COUNTIF(PRODUCTOS!$F:$F,CATÁLOGOS!A199))</f>
        <v/>
      </c>
      <c r="Q196" t="str">
        <f t="shared" si="11"/>
        <v/>
      </c>
      <c r="R196" t="str">
        <f>IF(Y196=0,"",COUNTIF(PRODUCTOS!$H:$H,CATÁLOGOS!F199))</f>
        <v/>
      </c>
      <c r="Y196">
        <f>CATÁLOGOS!H199</f>
        <v>0</v>
      </c>
    </row>
    <row r="197" spans="14:25">
      <c r="N197" t="str">
        <f t="shared" si="10"/>
        <v/>
      </c>
      <c r="O197" t="str">
        <f>IF(X197=0,"",COUNTIF(PRODUCTOS!$F:$F,CATÁLOGOS!A200))</f>
        <v/>
      </c>
      <c r="Q197" t="str">
        <f t="shared" si="11"/>
        <v/>
      </c>
      <c r="R197" t="str">
        <f>IF(Y197=0,"",COUNTIF(PRODUCTOS!$H:$H,CATÁLOGOS!F200))</f>
        <v/>
      </c>
      <c r="Y197">
        <f>CATÁLOGOS!H200</f>
        <v>0</v>
      </c>
    </row>
    <row r="198" spans="14:25">
      <c r="N198" t="str">
        <f t="shared" si="10"/>
        <v/>
      </c>
      <c r="O198" t="str">
        <f>IF(X198=0,"",COUNTIF(PRODUCTOS!$F:$F,CATÁLOGOS!A201))</f>
        <v/>
      </c>
      <c r="Q198" t="str">
        <f t="shared" si="11"/>
        <v/>
      </c>
      <c r="R198" t="str">
        <f>IF(Y198=0,"",COUNTIF(PRODUCTOS!$H:$H,CATÁLOGOS!F201))</f>
        <v/>
      </c>
      <c r="Y198">
        <f>CATÁLOGOS!H201</f>
        <v>0</v>
      </c>
    </row>
    <row r="199" spans="14:25">
      <c r="N199" t="str">
        <f t="shared" si="10"/>
        <v/>
      </c>
      <c r="O199" t="str">
        <f>IF(X199=0,"",COUNTIF(PRODUCTOS!$F:$F,CATÁLOGOS!A202))</f>
        <v/>
      </c>
      <c r="Q199" t="str">
        <f t="shared" si="11"/>
        <v/>
      </c>
      <c r="R199" t="str">
        <f>IF(Y199=0,"",COUNTIF(PRODUCTOS!$H:$H,CATÁLOGOS!F202))</f>
        <v/>
      </c>
      <c r="Y199">
        <f>CATÁLOGOS!H202</f>
        <v>0</v>
      </c>
    </row>
    <row r="200" spans="14:25">
      <c r="N200" t="str">
        <f t="shared" si="10"/>
        <v/>
      </c>
      <c r="O200" t="str">
        <f>IF(X200=0,"",COUNTIF(PRODUCTOS!$F:$F,CATÁLOGOS!A203))</f>
        <v/>
      </c>
      <c r="Q200" t="str">
        <f t="shared" si="11"/>
        <v/>
      </c>
      <c r="R200" t="str">
        <f>IF(Y200=0,"",COUNTIF(PRODUCTOS!$H:$H,CATÁLOGOS!F203))</f>
        <v/>
      </c>
      <c r="Y200">
        <f>CATÁLOGOS!H203</f>
        <v>0</v>
      </c>
    </row>
    <row r="201" spans="14:25">
      <c r="N201" t="str">
        <f t="shared" si="10"/>
        <v/>
      </c>
      <c r="O201" t="str">
        <f>IF(X201=0,"",COUNTIF(PRODUCTOS!$F:$F,CATÁLOGOS!A204))</f>
        <v/>
      </c>
      <c r="Q201" t="str">
        <f t="shared" si="11"/>
        <v/>
      </c>
      <c r="R201" t="str">
        <f>IF(Y201=0,"",COUNTIF(PRODUCTOS!$H:$H,CATÁLOGOS!F204))</f>
        <v/>
      </c>
      <c r="Y201">
        <f>CATÁLOGOS!H204</f>
        <v>0</v>
      </c>
    </row>
    <row r="202" spans="14:25">
      <c r="N202" t="str">
        <f t="shared" si="10"/>
        <v/>
      </c>
      <c r="O202" t="str">
        <f>IF(X202=0,"",COUNTIF(PRODUCTOS!$F:$F,CATÁLOGOS!A205))</f>
        <v/>
      </c>
      <c r="Q202" t="str">
        <f t="shared" si="11"/>
        <v/>
      </c>
      <c r="R202" t="str">
        <f>IF(Y202=0,"",COUNTIF(PRODUCTOS!$H:$H,CATÁLOGOS!F205))</f>
        <v/>
      </c>
      <c r="Y202">
        <f>CATÁLOGOS!H205</f>
        <v>0</v>
      </c>
    </row>
    <row r="203" spans="14:25">
      <c r="N203" t="str">
        <f t="shared" si="10"/>
        <v/>
      </c>
      <c r="O203" t="str">
        <f>IF(X203=0,"",COUNTIF(PRODUCTOS!$F:$F,CATÁLOGOS!A206))</f>
        <v/>
      </c>
      <c r="Q203" t="str">
        <f t="shared" si="11"/>
        <v/>
      </c>
      <c r="R203" t="str">
        <f>IF(Y203=0,"",COUNTIF(PRODUCTOS!$H:$H,CATÁLOGOS!F206))</f>
        <v/>
      </c>
      <c r="Y203">
        <f>CATÁLOGOS!H206</f>
        <v>0</v>
      </c>
    </row>
    <row r="204" spans="14:25">
      <c r="N204" t="str">
        <f t="shared" si="10"/>
        <v/>
      </c>
      <c r="O204" t="str">
        <f>IF(X204=0,"",COUNTIF(PRODUCTOS!$F:$F,CATÁLOGOS!A207))</f>
        <v/>
      </c>
      <c r="Q204" t="str">
        <f t="shared" si="11"/>
        <v/>
      </c>
      <c r="R204" t="str">
        <f>IF(Y204=0,"",COUNTIF(PRODUCTOS!$H:$H,CATÁLOGOS!F207))</f>
        <v/>
      </c>
      <c r="Y204">
        <f>CATÁLOGOS!H207</f>
        <v>0</v>
      </c>
    </row>
    <row r="205" spans="14:25">
      <c r="N205" t="str">
        <f t="shared" si="10"/>
        <v/>
      </c>
      <c r="O205" t="str">
        <f>IF(X205=0,"",COUNTIF(PRODUCTOS!$F:$F,CATÁLOGOS!A208))</f>
        <v/>
      </c>
      <c r="Q205" t="str">
        <f t="shared" si="11"/>
        <v/>
      </c>
      <c r="R205" t="str">
        <f>IF(Y205=0,"",COUNTIF(PRODUCTOS!$H:$H,CATÁLOGOS!F208))</f>
        <v/>
      </c>
      <c r="Y205">
        <f>CATÁLOGOS!H208</f>
        <v>0</v>
      </c>
    </row>
    <row r="206" spans="14:25">
      <c r="N206" t="str">
        <f t="shared" si="10"/>
        <v/>
      </c>
      <c r="O206" t="str">
        <f>IF(X206=0,"",COUNTIF(PRODUCTOS!$F:$F,CATÁLOGOS!A209))</f>
        <v/>
      </c>
      <c r="Q206" t="str">
        <f t="shared" si="11"/>
        <v/>
      </c>
      <c r="R206" t="str">
        <f>IF(Y206=0,"",COUNTIF(PRODUCTOS!$H:$H,CATÁLOGOS!F209))</f>
        <v/>
      </c>
      <c r="Y206">
        <f>CATÁLOGOS!H209</f>
        <v>0</v>
      </c>
    </row>
    <row r="207" spans="14:25">
      <c r="N207" t="str">
        <f t="shared" si="10"/>
        <v/>
      </c>
      <c r="O207" t="str">
        <f>IF(X207=0,"",COUNTIF(PRODUCTOS!$F:$F,CATÁLOGOS!A210))</f>
        <v/>
      </c>
      <c r="Q207" t="str">
        <f t="shared" si="11"/>
        <v/>
      </c>
      <c r="R207" t="str">
        <f>IF(Y207=0,"",COUNTIF(PRODUCTOS!$H:$H,CATÁLOGOS!F210))</f>
        <v/>
      </c>
      <c r="Y207">
        <f>CATÁLOGOS!H210</f>
        <v>0</v>
      </c>
    </row>
    <row r="208" spans="14:25">
      <c r="N208" t="str">
        <f t="shared" si="10"/>
        <v/>
      </c>
      <c r="O208" t="str">
        <f>IF(X208=0,"",COUNTIF(PRODUCTOS!$F:$F,CATÁLOGOS!A211))</f>
        <v/>
      </c>
      <c r="Q208" t="str">
        <f t="shared" si="11"/>
        <v/>
      </c>
      <c r="R208" t="str">
        <f>IF(Y208=0,"",COUNTIF(PRODUCTOS!$H:$H,CATÁLOGOS!F211))</f>
        <v/>
      </c>
      <c r="Y208">
        <f>CATÁLOGOS!H211</f>
        <v>0</v>
      </c>
    </row>
    <row r="209" spans="14:25">
      <c r="N209" t="str">
        <f t="shared" si="10"/>
        <v/>
      </c>
      <c r="O209" t="str">
        <f>IF(X209=0,"",COUNTIF(PRODUCTOS!$F:$F,CATÁLOGOS!A212))</f>
        <v/>
      </c>
      <c r="Q209" t="str">
        <f t="shared" si="11"/>
        <v/>
      </c>
      <c r="R209" t="str">
        <f>IF(Y209=0,"",COUNTIF(PRODUCTOS!$H:$H,CATÁLOGOS!F212))</f>
        <v/>
      </c>
      <c r="Y209">
        <f>CATÁLOGOS!H212</f>
        <v>0</v>
      </c>
    </row>
    <row r="210" spans="14:25">
      <c r="N210" t="str">
        <f t="shared" si="10"/>
        <v/>
      </c>
      <c r="O210" t="str">
        <f>IF(X210=0,"",COUNTIF(PRODUCTOS!$F:$F,CATÁLOGOS!A213))</f>
        <v/>
      </c>
      <c r="Q210" t="str">
        <f t="shared" si="11"/>
        <v/>
      </c>
      <c r="R210" t="str">
        <f>IF(Y210=0,"",COUNTIF(PRODUCTOS!$H:$H,CATÁLOGOS!F213))</f>
        <v/>
      </c>
      <c r="Y210">
        <f>CATÁLOGOS!H213</f>
        <v>0</v>
      </c>
    </row>
    <row r="211" spans="14:25">
      <c r="N211" t="str">
        <f t="shared" si="10"/>
        <v/>
      </c>
      <c r="O211" t="str">
        <f>IF(X211=0,"",COUNTIF(PRODUCTOS!$F:$F,CATÁLOGOS!A214))</f>
        <v/>
      </c>
      <c r="Q211" t="str">
        <f t="shared" si="11"/>
        <v/>
      </c>
      <c r="R211" t="str">
        <f>IF(Y211=0,"",COUNTIF(PRODUCTOS!$H:$H,CATÁLOGOS!F214))</f>
        <v/>
      </c>
      <c r="Y211">
        <f>CATÁLOGOS!H214</f>
        <v>0</v>
      </c>
    </row>
    <row r="212" spans="14:25">
      <c r="N212" t="str">
        <f t="shared" si="10"/>
        <v/>
      </c>
      <c r="O212" t="str">
        <f>IF(X212=0,"",COUNTIF(PRODUCTOS!$F:$F,CATÁLOGOS!A215))</f>
        <v/>
      </c>
      <c r="Q212" t="str">
        <f t="shared" si="11"/>
        <v/>
      </c>
      <c r="R212" t="str">
        <f>IF(Y212=0,"",COUNTIF(PRODUCTOS!$H:$H,CATÁLOGOS!F215))</f>
        <v/>
      </c>
      <c r="Y212">
        <f>CATÁLOGOS!H215</f>
        <v>0</v>
      </c>
    </row>
    <row r="213" spans="14:25">
      <c r="N213" t="str">
        <f t="shared" si="10"/>
        <v/>
      </c>
      <c r="O213" t="str">
        <f>IF(X213=0,"",COUNTIF(PRODUCTOS!$F:$F,CATÁLOGOS!A216))</f>
        <v/>
      </c>
      <c r="Q213" t="str">
        <f t="shared" si="11"/>
        <v/>
      </c>
      <c r="R213" t="str">
        <f>IF(Y213=0,"",COUNTIF(PRODUCTOS!$H:$H,CATÁLOGOS!F216))</f>
        <v/>
      </c>
      <c r="Y213">
        <f>CATÁLOGOS!H216</f>
        <v>0</v>
      </c>
    </row>
    <row r="214" spans="14:25">
      <c r="N214" t="str">
        <f t="shared" si="10"/>
        <v/>
      </c>
      <c r="O214" t="str">
        <f>IF(X214=0,"",COUNTIF(PRODUCTOS!$F:$F,CATÁLOGOS!A217))</f>
        <v/>
      </c>
      <c r="Q214" t="str">
        <f t="shared" si="11"/>
        <v/>
      </c>
      <c r="R214" t="str">
        <f>IF(Y214=0,"",COUNTIF(PRODUCTOS!$H:$H,CATÁLOGOS!F217))</f>
        <v/>
      </c>
      <c r="Y214">
        <f>CATÁLOGOS!H217</f>
        <v>0</v>
      </c>
    </row>
    <row r="215" spans="14:25">
      <c r="N215" t="str">
        <f t="shared" si="10"/>
        <v/>
      </c>
      <c r="O215" t="str">
        <f>IF(X215=0,"",COUNTIF(PRODUCTOS!$F:$F,CATÁLOGOS!A218))</f>
        <v/>
      </c>
      <c r="Q215" t="str">
        <f t="shared" si="11"/>
        <v/>
      </c>
      <c r="R215" t="str">
        <f>IF(Y215=0,"",COUNTIF(PRODUCTOS!$H:$H,CATÁLOGOS!F218))</f>
        <v/>
      </c>
      <c r="Y215">
        <f>CATÁLOGOS!H218</f>
        <v>0</v>
      </c>
    </row>
    <row r="216" spans="14:25">
      <c r="N216" t="str">
        <f t="shared" si="10"/>
        <v/>
      </c>
      <c r="O216" t="str">
        <f>IF(X216=0,"",COUNTIF(PRODUCTOS!$F:$F,CATÁLOGOS!A219))</f>
        <v/>
      </c>
      <c r="Q216" t="str">
        <f t="shared" si="11"/>
        <v/>
      </c>
      <c r="R216" t="str">
        <f>IF(Y216=0,"",COUNTIF(PRODUCTOS!$H:$H,CATÁLOGOS!F219))</f>
        <v/>
      </c>
      <c r="Y216">
        <f>CATÁLOGOS!H219</f>
        <v>0</v>
      </c>
    </row>
    <row r="217" spans="14:25">
      <c r="N217" t="str">
        <f t="shared" si="10"/>
        <v/>
      </c>
      <c r="O217" t="str">
        <f>IF(X217=0,"",COUNTIF(PRODUCTOS!$F:$F,CATÁLOGOS!A220))</f>
        <v/>
      </c>
      <c r="Q217" t="str">
        <f t="shared" si="11"/>
        <v/>
      </c>
      <c r="R217" t="str">
        <f>IF(Y217=0,"",COUNTIF(PRODUCTOS!$H:$H,CATÁLOGOS!F220))</f>
        <v/>
      </c>
      <c r="Y217">
        <f>CATÁLOGOS!H220</f>
        <v>0</v>
      </c>
    </row>
    <row r="218" spans="14:25">
      <c r="N218" t="str">
        <f t="shared" si="10"/>
        <v/>
      </c>
      <c r="O218" t="str">
        <f>IF(X218=0,"",COUNTIF(PRODUCTOS!$F:$F,CATÁLOGOS!A221))</f>
        <v/>
      </c>
      <c r="Q218" t="str">
        <f t="shared" si="11"/>
        <v/>
      </c>
      <c r="R218" t="str">
        <f>IF(Y218=0,"",COUNTIF(PRODUCTOS!$H:$H,CATÁLOGOS!F221))</f>
        <v/>
      </c>
      <c r="Y218">
        <f>CATÁLOGOS!H221</f>
        <v>0</v>
      </c>
    </row>
    <row r="219" spans="14:25">
      <c r="N219" t="str">
        <f t="shared" si="10"/>
        <v/>
      </c>
      <c r="O219" t="str">
        <f>IF(X219=0,"",COUNTIF(PRODUCTOS!$F:$F,CATÁLOGOS!A222))</f>
        <v/>
      </c>
      <c r="Q219" t="str">
        <f t="shared" si="11"/>
        <v/>
      </c>
      <c r="R219" t="str">
        <f>IF(Y219=0,"",COUNTIF(PRODUCTOS!$H:$H,CATÁLOGOS!F222))</f>
        <v/>
      </c>
      <c r="Y219">
        <f>CATÁLOGOS!H222</f>
        <v>0</v>
      </c>
    </row>
    <row r="220" spans="14:25">
      <c r="N220" t="str">
        <f t="shared" si="10"/>
        <v/>
      </c>
      <c r="O220" t="str">
        <f>IF(X220=0,"",COUNTIF(PRODUCTOS!$F:$F,CATÁLOGOS!A223))</f>
        <v/>
      </c>
      <c r="Q220" t="str">
        <f t="shared" si="11"/>
        <v/>
      </c>
      <c r="R220" t="str">
        <f>IF(Y220=0,"",COUNTIF(PRODUCTOS!$H:$H,CATÁLOGOS!F223))</f>
        <v/>
      </c>
      <c r="Y220">
        <f>CATÁLOGOS!H223</f>
        <v>0</v>
      </c>
    </row>
    <row r="221" spans="14:25">
      <c r="N221" t="str">
        <f t="shared" si="10"/>
        <v/>
      </c>
      <c r="O221" t="str">
        <f>IF(X221=0,"",COUNTIF(PRODUCTOS!$F:$F,CATÁLOGOS!A224))</f>
        <v/>
      </c>
      <c r="Q221" t="str">
        <f t="shared" si="11"/>
        <v/>
      </c>
      <c r="R221" t="str">
        <f>IF(Y221=0,"",COUNTIF(PRODUCTOS!$H:$H,CATÁLOGOS!F224))</f>
        <v/>
      </c>
      <c r="Y221">
        <f>CATÁLOGOS!H224</f>
        <v>0</v>
      </c>
    </row>
    <row r="222" spans="14:25">
      <c r="N222" t="str">
        <f t="shared" si="10"/>
        <v/>
      </c>
      <c r="O222" t="str">
        <f>IF(X222=0,"",COUNTIF(PRODUCTOS!$F:$F,CATÁLOGOS!A225))</f>
        <v/>
      </c>
      <c r="Q222" t="str">
        <f t="shared" si="11"/>
        <v/>
      </c>
      <c r="R222" t="str">
        <f>IF(Y222=0,"",COUNTIF(PRODUCTOS!$H:$H,CATÁLOGOS!F225))</f>
        <v/>
      </c>
      <c r="Y222">
        <f>CATÁLOGOS!H225</f>
        <v>0</v>
      </c>
    </row>
    <row r="223" spans="14:25">
      <c r="N223" t="str">
        <f t="shared" si="10"/>
        <v/>
      </c>
      <c r="O223" t="str">
        <f>IF(X223=0,"",COUNTIF(PRODUCTOS!$F:$F,CATÁLOGOS!A226))</f>
        <v/>
      </c>
      <c r="Q223" t="str">
        <f t="shared" si="11"/>
        <v/>
      </c>
      <c r="R223" t="str">
        <f>IF(Y223=0,"",COUNTIF(PRODUCTOS!$H:$H,CATÁLOGOS!F226))</f>
        <v/>
      </c>
      <c r="Y223">
        <f>CATÁLOGOS!H226</f>
        <v>0</v>
      </c>
    </row>
    <row r="224" spans="14:25">
      <c r="N224" t="str">
        <f t="shared" si="10"/>
        <v/>
      </c>
      <c r="O224" t="str">
        <f>IF(X224=0,"",COUNTIF(PRODUCTOS!$F:$F,CATÁLOGOS!A227))</f>
        <v/>
      </c>
      <c r="Q224" t="str">
        <f t="shared" si="11"/>
        <v/>
      </c>
      <c r="R224" t="str">
        <f>IF(Y224=0,"",COUNTIF(PRODUCTOS!$H:$H,CATÁLOGOS!F227))</f>
        <v/>
      </c>
      <c r="Y224">
        <f>CATÁLOGOS!H227</f>
        <v>0</v>
      </c>
    </row>
    <row r="225" spans="14:25">
      <c r="N225" t="str">
        <f t="shared" si="10"/>
        <v/>
      </c>
      <c r="O225" t="str">
        <f>IF(X225=0,"",COUNTIF(PRODUCTOS!$F:$F,CATÁLOGOS!A228))</f>
        <v/>
      </c>
      <c r="Q225" t="str">
        <f t="shared" si="11"/>
        <v/>
      </c>
      <c r="R225" t="str">
        <f>IF(Y225=0,"",COUNTIF(PRODUCTOS!$H:$H,CATÁLOGOS!F228))</f>
        <v/>
      </c>
      <c r="Y225">
        <f>CATÁLOGOS!H228</f>
        <v>0</v>
      </c>
    </row>
    <row r="226" spans="14:25">
      <c r="N226" t="str">
        <f t="shared" si="10"/>
        <v/>
      </c>
      <c r="O226" t="str">
        <f>IF(X226=0,"",COUNTIF(PRODUCTOS!$F:$F,CATÁLOGOS!A229))</f>
        <v/>
      </c>
      <c r="Q226" t="str">
        <f t="shared" si="11"/>
        <v/>
      </c>
      <c r="R226" t="str">
        <f>IF(Y226=0,"",COUNTIF(PRODUCTOS!$H:$H,CATÁLOGOS!F229))</f>
        <v/>
      </c>
      <c r="Y226">
        <f>CATÁLOGOS!H229</f>
        <v>0</v>
      </c>
    </row>
    <row r="227" spans="14:25">
      <c r="N227" t="str">
        <f t="shared" si="10"/>
        <v/>
      </c>
      <c r="O227" t="str">
        <f>IF(X227=0,"",COUNTIF(PRODUCTOS!$F:$F,CATÁLOGOS!A230))</f>
        <v/>
      </c>
      <c r="Q227" t="str">
        <f t="shared" si="11"/>
        <v/>
      </c>
      <c r="R227" t="str">
        <f>IF(Y227=0,"",COUNTIF(PRODUCTOS!$H:$H,CATÁLOGOS!F230))</f>
        <v/>
      </c>
      <c r="Y227">
        <f>CATÁLOGOS!H230</f>
        <v>0</v>
      </c>
    </row>
    <row r="228" spans="14:25">
      <c r="N228" t="str">
        <f t="shared" si="10"/>
        <v/>
      </c>
      <c r="O228" t="str">
        <f>IF(X228=0,"",COUNTIF(PRODUCTOS!$F:$F,CATÁLOGOS!A231))</f>
        <v/>
      </c>
      <c r="Q228" t="str">
        <f t="shared" si="11"/>
        <v/>
      </c>
      <c r="R228" t="str">
        <f>IF(Y228=0,"",COUNTIF(PRODUCTOS!$H:$H,CATÁLOGOS!F231))</f>
        <v/>
      </c>
      <c r="Y228">
        <f>CATÁLOGOS!H231</f>
        <v>0</v>
      </c>
    </row>
    <row r="229" spans="14:25">
      <c r="N229" t="str">
        <f t="shared" si="10"/>
        <v/>
      </c>
      <c r="O229" t="str">
        <f>IF(X229=0,"",COUNTIF(PRODUCTOS!$F:$F,CATÁLOGOS!A232))</f>
        <v/>
      </c>
      <c r="Q229" t="str">
        <f t="shared" si="11"/>
        <v/>
      </c>
      <c r="R229" t="str">
        <f>IF(Y229=0,"",COUNTIF(PRODUCTOS!$H:$H,CATÁLOGOS!F232))</f>
        <v/>
      </c>
      <c r="Y229">
        <f>CATÁLOGOS!H232</f>
        <v>0</v>
      </c>
    </row>
    <row r="230" spans="14:25">
      <c r="N230" t="str">
        <f t="shared" si="10"/>
        <v/>
      </c>
      <c r="O230" t="str">
        <f>IF(X230=0,"",COUNTIF(PRODUCTOS!$F:$F,CATÁLOGOS!A233))</f>
        <v/>
      </c>
      <c r="Q230" t="str">
        <f t="shared" si="11"/>
        <v/>
      </c>
      <c r="R230" t="str">
        <f>IF(Y230=0,"",COUNTIF(PRODUCTOS!$H:$H,CATÁLOGOS!F233))</f>
        <v/>
      </c>
      <c r="Y230">
        <f>CATÁLOGOS!H233</f>
        <v>0</v>
      </c>
    </row>
    <row r="231" spans="14:25">
      <c r="N231" t="str">
        <f t="shared" si="10"/>
        <v/>
      </c>
      <c r="O231" t="str">
        <f>IF(X231=0,"",COUNTIF(PRODUCTOS!$F:$F,CATÁLOGOS!A234))</f>
        <v/>
      </c>
      <c r="Q231" t="str">
        <f t="shared" si="11"/>
        <v/>
      </c>
      <c r="R231" t="str">
        <f>IF(Y231=0,"",COUNTIF(PRODUCTOS!$H:$H,CATÁLOGOS!F234))</f>
        <v/>
      </c>
      <c r="Y231">
        <f>CATÁLOGOS!H234</f>
        <v>0</v>
      </c>
    </row>
    <row r="232" spans="14:25">
      <c r="N232" t="str">
        <f t="shared" si="10"/>
        <v/>
      </c>
      <c r="O232" t="str">
        <f>IF(X232=0,"",COUNTIF(PRODUCTOS!$F:$F,CATÁLOGOS!A235))</f>
        <v/>
      </c>
      <c r="Q232" t="str">
        <f t="shared" si="11"/>
        <v/>
      </c>
      <c r="R232" t="str">
        <f>IF(Y232=0,"",COUNTIF(PRODUCTOS!$H:$H,CATÁLOGOS!F235))</f>
        <v/>
      </c>
      <c r="Y232">
        <f>CATÁLOGOS!H235</f>
        <v>0</v>
      </c>
    </row>
    <row r="233" spans="14:25">
      <c r="N233" t="str">
        <f t="shared" si="10"/>
        <v/>
      </c>
      <c r="O233" t="str">
        <f>IF(X233=0,"",COUNTIF(PRODUCTOS!$F:$F,CATÁLOGOS!A236))</f>
        <v/>
      </c>
      <c r="Q233" t="str">
        <f t="shared" si="11"/>
        <v/>
      </c>
      <c r="R233" t="str">
        <f>IF(Y233=0,"",COUNTIF(PRODUCTOS!$H:$H,CATÁLOGOS!F236))</f>
        <v/>
      </c>
      <c r="Y233">
        <f>CATÁLOGOS!H236</f>
        <v>0</v>
      </c>
    </row>
    <row r="234" spans="14:25">
      <c r="N234" t="str">
        <f t="shared" si="10"/>
        <v/>
      </c>
      <c r="O234" t="str">
        <f>IF(X234=0,"",COUNTIF(PRODUCTOS!$F:$F,CATÁLOGOS!A237))</f>
        <v/>
      </c>
      <c r="Q234" t="str">
        <f t="shared" si="11"/>
        <v/>
      </c>
      <c r="R234" t="str">
        <f>IF(Y234=0,"",COUNTIF(PRODUCTOS!$H:$H,CATÁLOGOS!F237))</f>
        <v/>
      </c>
      <c r="Y234">
        <f>CATÁLOGOS!H237</f>
        <v>0</v>
      </c>
    </row>
    <row r="235" spans="14:25">
      <c r="N235" t="str">
        <f t="shared" si="10"/>
        <v/>
      </c>
      <c r="O235" t="str">
        <f>IF(X235=0,"",COUNTIF(PRODUCTOS!$F:$F,CATÁLOGOS!A238))</f>
        <v/>
      </c>
      <c r="Q235" t="str">
        <f t="shared" si="11"/>
        <v/>
      </c>
      <c r="R235" t="str">
        <f>IF(Y235=0,"",COUNTIF(PRODUCTOS!$H:$H,CATÁLOGOS!F238))</f>
        <v/>
      </c>
      <c r="Y235">
        <f>CATÁLOGOS!H238</f>
        <v>0</v>
      </c>
    </row>
    <row r="236" spans="14:25">
      <c r="N236" t="str">
        <f t="shared" si="10"/>
        <v/>
      </c>
      <c r="O236" t="str">
        <f>IF(X236=0,"",COUNTIF(PRODUCTOS!$F:$F,CATÁLOGOS!A239))</f>
        <v/>
      </c>
      <c r="Q236" t="str">
        <f t="shared" si="11"/>
        <v/>
      </c>
      <c r="R236" t="str">
        <f>IF(Y236=0,"",COUNTIF(PRODUCTOS!$H:$H,CATÁLOGOS!F239))</f>
        <v/>
      </c>
      <c r="Y236">
        <f>CATÁLOGOS!H239</f>
        <v>0</v>
      </c>
    </row>
    <row r="237" spans="14:25">
      <c r="N237" t="str">
        <f t="shared" si="10"/>
        <v/>
      </c>
      <c r="O237" t="str">
        <f>IF(X237=0,"",COUNTIF(PRODUCTOS!$F:$F,CATÁLOGOS!A240))</f>
        <v/>
      </c>
      <c r="Q237" t="str">
        <f t="shared" si="11"/>
        <v/>
      </c>
      <c r="R237" t="str">
        <f>IF(Y237=0,"",COUNTIF(PRODUCTOS!$H:$H,CATÁLOGOS!F240))</f>
        <v/>
      </c>
      <c r="Y237">
        <f>CATÁLOGOS!H240</f>
        <v>0</v>
      </c>
    </row>
    <row r="238" spans="14:25">
      <c r="N238" t="str">
        <f t="shared" si="10"/>
        <v/>
      </c>
      <c r="O238" t="str">
        <f>IF(X238=0,"",COUNTIF(PRODUCTOS!$F:$F,CATÁLOGOS!A241))</f>
        <v/>
      </c>
      <c r="Q238" t="str">
        <f t="shared" si="11"/>
        <v/>
      </c>
      <c r="R238" t="str">
        <f>IF(Y238=0,"",COUNTIF(PRODUCTOS!$H:$H,CATÁLOGOS!F241))</f>
        <v/>
      </c>
      <c r="Y238">
        <f>CATÁLOGOS!H241</f>
        <v>0</v>
      </c>
    </row>
    <row r="239" spans="14:25">
      <c r="N239" t="str">
        <f t="shared" si="10"/>
        <v/>
      </c>
      <c r="O239" t="str">
        <f>IF(X239=0,"",COUNTIF(PRODUCTOS!$F:$F,CATÁLOGOS!A242))</f>
        <v/>
      </c>
      <c r="Q239" t="str">
        <f t="shared" si="11"/>
        <v/>
      </c>
      <c r="R239" t="str">
        <f>IF(Y239=0,"",COUNTIF(PRODUCTOS!$H:$H,CATÁLOGOS!F242))</f>
        <v/>
      </c>
      <c r="Y239">
        <f>CATÁLOGOS!H242</f>
        <v>0</v>
      </c>
    </row>
    <row r="240" spans="14:25">
      <c r="N240" t="str">
        <f t="shared" si="10"/>
        <v/>
      </c>
      <c r="O240" t="str">
        <f>IF(X240=0,"",COUNTIF(PRODUCTOS!$F:$F,CATÁLOGOS!A243))</f>
        <v/>
      </c>
      <c r="Q240" t="str">
        <f t="shared" si="11"/>
        <v/>
      </c>
      <c r="R240" t="str">
        <f>IF(Y240=0,"",COUNTIF(PRODUCTOS!$H:$H,CATÁLOGOS!F243))</f>
        <v/>
      </c>
      <c r="Y240">
        <f>CATÁLOGOS!H243</f>
        <v>0</v>
      </c>
    </row>
    <row r="241" spans="14:25">
      <c r="N241" t="str">
        <f t="shared" si="10"/>
        <v/>
      </c>
      <c r="O241" t="str">
        <f>IF(X241=0,"",COUNTIF(PRODUCTOS!$F:$F,CATÁLOGOS!A244))</f>
        <v/>
      </c>
      <c r="Q241" t="str">
        <f t="shared" si="11"/>
        <v/>
      </c>
      <c r="R241" t="str">
        <f>IF(Y241=0,"",COUNTIF(PRODUCTOS!$H:$H,CATÁLOGOS!F244))</f>
        <v/>
      </c>
      <c r="Y241">
        <f>CATÁLOGOS!H244</f>
        <v>0</v>
      </c>
    </row>
    <row r="242" spans="14:25">
      <c r="N242" t="str">
        <f t="shared" si="10"/>
        <v/>
      </c>
      <c r="O242" t="str">
        <f>IF(X242=0,"",COUNTIF(PRODUCTOS!$F:$F,CATÁLOGOS!A245))</f>
        <v/>
      </c>
      <c r="Q242" t="str">
        <f t="shared" si="11"/>
        <v/>
      </c>
      <c r="R242" t="str">
        <f>IF(Y242=0,"",COUNTIF(PRODUCTOS!$H:$H,CATÁLOGOS!F245))</f>
        <v/>
      </c>
      <c r="Y242">
        <f>CATÁLOGOS!H245</f>
        <v>0</v>
      </c>
    </row>
    <row r="243" spans="14:25">
      <c r="N243" t="str">
        <f t="shared" si="10"/>
        <v/>
      </c>
      <c r="O243" t="str">
        <f>IF(X243=0,"",COUNTIF(PRODUCTOS!$F:$F,CATÁLOGOS!A246))</f>
        <v/>
      </c>
      <c r="Q243" t="str">
        <f t="shared" si="11"/>
        <v/>
      </c>
      <c r="R243" t="str">
        <f>IF(Y243=0,"",COUNTIF(PRODUCTOS!$H:$H,CATÁLOGOS!F246))</f>
        <v/>
      </c>
      <c r="Y243">
        <f>CATÁLOGOS!H246</f>
        <v>0</v>
      </c>
    </row>
    <row r="244" spans="14:25">
      <c r="N244" t="str">
        <f t="shared" si="10"/>
        <v/>
      </c>
      <c r="O244" t="str">
        <f>IF(X244=0,"",COUNTIF(PRODUCTOS!$F:$F,CATÁLOGOS!A247))</f>
        <v/>
      </c>
      <c r="Q244" t="str">
        <f t="shared" si="11"/>
        <v/>
      </c>
      <c r="R244" t="str">
        <f>IF(Y244=0,"",COUNTIF(PRODUCTOS!$H:$H,CATÁLOGOS!F247))</f>
        <v/>
      </c>
      <c r="Y244">
        <f>CATÁLOGOS!H247</f>
        <v>0</v>
      </c>
    </row>
    <row r="245" spans="14:25">
      <c r="N245" t="str">
        <f t="shared" si="10"/>
        <v/>
      </c>
      <c r="O245" t="str">
        <f>IF(X245=0,"",COUNTIF(PRODUCTOS!$F:$F,CATÁLOGOS!A248))</f>
        <v/>
      </c>
      <c r="Q245" t="str">
        <f t="shared" si="11"/>
        <v/>
      </c>
      <c r="R245" t="str">
        <f>IF(Y245=0,"",COUNTIF(PRODUCTOS!$H:$H,CATÁLOGOS!F248))</f>
        <v/>
      </c>
      <c r="Y245">
        <f>CATÁLOGOS!H248</f>
        <v>0</v>
      </c>
    </row>
    <row r="246" spans="14:25">
      <c r="N246" t="str">
        <f t="shared" si="10"/>
        <v/>
      </c>
      <c r="O246" t="str">
        <f>IF(X246=0,"",COUNTIF(PRODUCTOS!$F:$F,CATÁLOGOS!A249))</f>
        <v/>
      </c>
      <c r="Q246" t="str">
        <f t="shared" si="11"/>
        <v/>
      </c>
      <c r="R246" t="str">
        <f>IF(Y246=0,"",COUNTIF(PRODUCTOS!$H:$H,CATÁLOGOS!F249))</f>
        <v/>
      </c>
      <c r="Y246">
        <f>CATÁLOGOS!H249</f>
        <v>0</v>
      </c>
    </row>
    <row r="247" spans="14:25">
      <c r="N247" t="str">
        <f t="shared" si="10"/>
        <v/>
      </c>
      <c r="O247" t="str">
        <f>IF(X247=0,"",COUNTIF(PRODUCTOS!$F:$F,CATÁLOGOS!A250))</f>
        <v/>
      </c>
      <c r="Q247" t="str">
        <f t="shared" si="11"/>
        <v/>
      </c>
      <c r="R247" t="str">
        <f>IF(Y247=0,"",COUNTIF(PRODUCTOS!$H:$H,CATÁLOGOS!F250))</f>
        <v/>
      </c>
      <c r="Y247">
        <f>CATÁLOGOS!H250</f>
        <v>0</v>
      </c>
    </row>
    <row r="248" spans="14:25">
      <c r="N248" t="str">
        <f t="shared" si="10"/>
        <v/>
      </c>
      <c r="O248" t="str">
        <f>IF(X248=0,"",COUNTIF(PRODUCTOS!$F:$F,CATÁLOGOS!A251))</f>
        <v/>
      </c>
      <c r="Q248" t="str">
        <f t="shared" si="11"/>
        <v/>
      </c>
      <c r="R248" t="str">
        <f>IF(Y248=0,"",COUNTIF(PRODUCTOS!$H:$H,CATÁLOGOS!F251))</f>
        <v/>
      </c>
      <c r="Y248">
        <f>CATÁLOGOS!H251</f>
        <v>0</v>
      </c>
    </row>
    <row r="249" spans="14:25">
      <c r="N249" t="str">
        <f t="shared" si="10"/>
        <v/>
      </c>
      <c r="O249" t="str">
        <f>IF(X249=0,"",COUNTIF(PRODUCTOS!$F:$F,CATÁLOGOS!A252))</f>
        <v/>
      </c>
      <c r="Q249" t="str">
        <f t="shared" si="11"/>
        <v/>
      </c>
      <c r="R249" t="str">
        <f>IF(Y249=0,"",COUNTIF(PRODUCTOS!$H:$H,CATÁLOGOS!F252))</f>
        <v/>
      </c>
      <c r="Y249">
        <f>CATÁLOGOS!H252</f>
        <v>0</v>
      </c>
    </row>
    <row r="250" spans="14:25">
      <c r="N250" t="str">
        <f t="shared" si="10"/>
        <v/>
      </c>
      <c r="O250" t="str">
        <f>IF(X250=0,"",COUNTIF(PRODUCTOS!$F:$F,CATÁLOGOS!A253))</f>
        <v/>
      </c>
      <c r="Q250" t="str">
        <f t="shared" si="11"/>
        <v/>
      </c>
      <c r="R250" t="str">
        <f>IF(Y250=0,"",COUNTIF(PRODUCTOS!$H:$H,CATÁLOGOS!F253))</f>
        <v/>
      </c>
      <c r="Y250">
        <f>CATÁLOGOS!H253</f>
        <v>0</v>
      </c>
    </row>
    <row r="251" spans="14:25">
      <c r="N251" t="str">
        <f t="shared" si="10"/>
        <v/>
      </c>
      <c r="O251" t="str">
        <f>IF(X251=0,"",COUNTIF(PRODUCTOS!$F:$F,CATÁLOGOS!A254))</f>
        <v/>
      </c>
      <c r="Q251" t="str">
        <f t="shared" si="11"/>
        <v/>
      </c>
      <c r="R251" t="str">
        <f>IF(Y251=0,"",COUNTIF(PRODUCTOS!$H:$H,CATÁLOGOS!F254))</f>
        <v/>
      </c>
      <c r="Y251">
        <f>CATÁLOGOS!H254</f>
        <v>0</v>
      </c>
    </row>
    <row r="252" spans="14:25">
      <c r="N252" t="str">
        <f t="shared" si="10"/>
        <v/>
      </c>
      <c r="O252" t="str">
        <f>IF(X252=0,"",COUNTIF(PRODUCTOS!$F:$F,CATÁLOGOS!A255))</f>
        <v/>
      </c>
      <c r="Q252" t="str">
        <f t="shared" si="11"/>
        <v/>
      </c>
      <c r="R252" t="str">
        <f>IF(Y252=0,"",COUNTIF(PRODUCTOS!$H:$H,CATÁLOGOS!F255))</f>
        <v/>
      </c>
      <c r="Y252">
        <f>CATÁLOGOS!H255</f>
        <v>0</v>
      </c>
    </row>
    <row r="253" spans="14:25">
      <c r="N253" t="str">
        <f t="shared" ref="N253:N302" si="12">IF(X253=0,"",X253)</f>
        <v/>
      </c>
      <c r="O253" t="str">
        <f>IF(X253=0,"",COUNTIF(PRODUCTOS!$F:$F,CATÁLOGOS!A256))</f>
        <v/>
      </c>
      <c r="Q253" t="str">
        <f t="shared" ref="Q253:Q304" si="13">IF(Y253=0,"",Y253)</f>
        <v/>
      </c>
      <c r="R253" t="str">
        <f>IF(Y253=0,"",COUNTIF(PRODUCTOS!$H:$H,CATÁLOGOS!F256))</f>
        <v/>
      </c>
      <c r="Y253">
        <f>CATÁLOGOS!H256</f>
        <v>0</v>
      </c>
    </row>
    <row r="254" spans="14:25">
      <c r="N254" t="str">
        <f t="shared" si="12"/>
        <v/>
      </c>
      <c r="O254" t="str">
        <f>IF(X254=0,"",COUNTIF(PRODUCTOS!$F:$F,CATÁLOGOS!A257))</f>
        <v/>
      </c>
      <c r="Q254" t="str">
        <f t="shared" si="13"/>
        <v/>
      </c>
      <c r="R254" t="str">
        <f>IF(Y254=0,"",COUNTIF(PRODUCTOS!$H:$H,CATÁLOGOS!F257))</f>
        <v/>
      </c>
      <c r="Y254">
        <f>CATÁLOGOS!H257</f>
        <v>0</v>
      </c>
    </row>
    <row r="255" spans="14:25">
      <c r="N255" t="str">
        <f t="shared" si="12"/>
        <v/>
      </c>
      <c r="O255" t="str">
        <f>IF(X255=0,"",COUNTIF(PRODUCTOS!$F:$F,CATÁLOGOS!A258))</f>
        <v/>
      </c>
      <c r="Q255" t="str">
        <f t="shared" si="13"/>
        <v/>
      </c>
      <c r="R255" t="str">
        <f>IF(Y255=0,"",COUNTIF(PRODUCTOS!$H:$H,CATÁLOGOS!F258))</f>
        <v/>
      </c>
      <c r="Y255">
        <f>CATÁLOGOS!H258</f>
        <v>0</v>
      </c>
    </row>
    <row r="256" spans="14:25">
      <c r="N256" t="str">
        <f t="shared" si="12"/>
        <v/>
      </c>
      <c r="O256" t="str">
        <f>IF(X256=0,"",COUNTIF(PRODUCTOS!$F:$F,CATÁLOGOS!A259))</f>
        <v/>
      </c>
      <c r="Q256" t="str">
        <f t="shared" si="13"/>
        <v/>
      </c>
      <c r="R256" t="str">
        <f>IF(Y256=0,"",COUNTIF(PRODUCTOS!$H:$H,CATÁLOGOS!F259))</f>
        <v/>
      </c>
      <c r="Y256">
        <f>CATÁLOGOS!H259</f>
        <v>0</v>
      </c>
    </row>
    <row r="257" spans="14:25">
      <c r="N257" t="str">
        <f t="shared" si="12"/>
        <v/>
      </c>
      <c r="O257" t="str">
        <f>IF(X257=0,"",COUNTIF(PRODUCTOS!$F:$F,CATÁLOGOS!A260))</f>
        <v/>
      </c>
      <c r="Q257" t="str">
        <f t="shared" si="13"/>
        <v/>
      </c>
      <c r="R257" t="str">
        <f>IF(Y257=0,"",COUNTIF(PRODUCTOS!$H:$H,CATÁLOGOS!F260))</f>
        <v/>
      </c>
      <c r="Y257">
        <f>CATÁLOGOS!H260</f>
        <v>0</v>
      </c>
    </row>
    <row r="258" spans="14:25">
      <c r="N258" t="str">
        <f t="shared" si="12"/>
        <v/>
      </c>
      <c r="O258" t="str">
        <f>IF(X258=0,"",COUNTIF(PRODUCTOS!$F:$F,CATÁLOGOS!A261))</f>
        <v/>
      </c>
      <c r="Q258" t="str">
        <f t="shared" si="13"/>
        <v/>
      </c>
      <c r="R258" t="str">
        <f>IF(Y258=0,"",COUNTIF(PRODUCTOS!$H:$H,CATÁLOGOS!F261))</f>
        <v/>
      </c>
      <c r="Y258">
        <f>CATÁLOGOS!H261</f>
        <v>0</v>
      </c>
    </row>
    <row r="259" spans="14:25">
      <c r="N259" t="str">
        <f t="shared" si="12"/>
        <v/>
      </c>
      <c r="O259" t="str">
        <f>IF(X259=0,"",COUNTIF(PRODUCTOS!$F:$F,CATÁLOGOS!A262))</f>
        <v/>
      </c>
      <c r="Q259" t="str">
        <f t="shared" si="13"/>
        <v/>
      </c>
      <c r="R259" t="str">
        <f>IF(Y259=0,"",COUNTIF(PRODUCTOS!$H:$H,CATÁLOGOS!F262))</f>
        <v/>
      </c>
      <c r="Y259">
        <f>CATÁLOGOS!H262</f>
        <v>0</v>
      </c>
    </row>
    <row r="260" spans="14:25">
      <c r="N260" t="str">
        <f t="shared" si="12"/>
        <v/>
      </c>
      <c r="O260" t="str">
        <f>IF(X260=0,"",COUNTIF(PRODUCTOS!$F:$F,CATÁLOGOS!A263))</f>
        <v/>
      </c>
      <c r="Q260" t="str">
        <f t="shared" si="13"/>
        <v/>
      </c>
      <c r="R260" t="str">
        <f>IF(Y260=0,"",COUNTIF(PRODUCTOS!$H:$H,CATÁLOGOS!F263))</f>
        <v/>
      </c>
      <c r="Y260">
        <f>CATÁLOGOS!H263</f>
        <v>0</v>
      </c>
    </row>
    <row r="261" spans="14:25">
      <c r="N261" t="str">
        <f t="shared" si="12"/>
        <v/>
      </c>
      <c r="O261" t="str">
        <f>IF(X261=0,"",COUNTIF(PRODUCTOS!$F:$F,CATÁLOGOS!A264))</f>
        <v/>
      </c>
      <c r="Q261" t="str">
        <f t="shared" si="13"/>
        <v/>
      </c>
      <c r="R261" t="str">
        <f>IF(Y261=0,"",COUNTIF(PRODUCTOS!$H:$H,CATÁLOGOS!F264))</f>
        <v/>
      </c>
      <c r="Y261">
        <f>CATÁLOGOS!H264</f>
        <v>0</v>
      </c>
    </row>
    <row r="262" spans="14:25">
      <c r="N262" t="str">
        <f t="shared" si="12"/>
        <v/>
      </c>
      <c r="O262" t="str">
        <f>IF(X262=0,"",COUNTIF(PRODUCTOS!$F:$F,CATÁLOGOS!A265))</f>
        <v/>
      </c>
      <c r="Q262" t="str">
        <f t="shared" si="13"/>
        <v/>
      </c>
      <c r="R262" t="str">
        <f>IF(Y262=0,"",COUNTIF(PRODUCTOS!$H:$H,CATÁLOGOS!F265))</f>
        <v/>
      </c>
      <c r="Y262">
        <f>CATÁLOGOS!H265</f>
        <v>0</v>
      </c>
    </row>
    <row r="263" spans="14:25">
      <c r="N263" t="str">
        <f t="shared" si="12"/>
        <v/>
      </c>
      <c r="O263" t="str">
        <f>IF(X263=0,"",COUNTIF(PRODUCTOS!$F:$F,CATÁLOGOS!A266))</f>
        <v/>
      </c>
      <c r="Q263" t="str">
        <f t="shared" si="13"/>
        <v/>
      </c>
      <c r="R263" t="str">
        <f>IF(Y263=0,"",COUNTIF(PRODUCTOS!$H:$H,CATÁLOGOS!F266))</f>
        <v/>
      </c>
      <c r="Y263">
        <f>CATÁLOGOS!H266</f>
        <v>0</v>
      </c>
    </row>
    <row r="264" spans="14:25">
      <c r="N264" t="str">
        <f t="shared" si="12"/>
        <v/>
      </c>
      <c r="O264" t="str">
        <f>IF(X264=0,"",COUNTIF(PRODUCTOS!$F:$F,CATÁLOGOS!A267))</f>
        <v/>
      </c>
      <c r="Q264" t="str">
        <f t="shared" si="13"/>
        <v/>
      </c>
      <c r="R264" t="str">
        <f>IF(Y264=0,"",COUNTIF(PRODUCTOS!$H:$H,CATÁLOGOS!F267))</f>
        <v/>
      </c>
      <c r="Y264">
        <f>CATÁLOGOS!H267</f>
        <v>0</v>
      </c>
    </row>
    <row r="265" spans="14:25">
      <c r="N265" t="str">
        <f t="shared" si="12"/>
        <v/>
      </c>
      <c r="O265" t="str">
        <f>IF(X265=0,"",COUNTIF(PRODUCTOS!$F:$F,CATÁLOGOS!A268))</f>
        <v/>
      </c>
      <c r="Q265" t="str">
        <f t="shared" si="13"/>
        <v/>
      </c>
      <c r="R265" t="str">
        <f>IF(Y265=0,"",COUNTIF(PRODUCTOS!$H:$H,CATÁLOGOS!F268))</f>
        <v/>
      </c>
      <c r="Y265">
        <f>CATÁLOGOS!H268</f>
        <v>0</v>
      </c>
    </row>
    <row r="266" spans="14:25">
      <c r="N266" t="str">
        <f t="shared" si="12"/>
        <v/>
      </c>
      <c r="O266" t="str">
        <f>IF(X266=0,"",COUNTIF(PRODUCTOS!$F:$F,CATÁLOGOS!A269))</f>
        <v/>
      </c>
      <c r="Q266" t="str">
        <f t="shared" si="13"/>
        <v/>
      </c>
      <c r="R266" t="str">
        <f>IF(Y266=0,"",COUNTIF(PRODUCTOS!$H:$H,CATÁLOGOS!F269))</f>
        <v/>
      </c>
      <c r="Y266">
        <f>CATÁLOGOS!H269</f>
        <v>0</v>
      </c>
    </row>
    <row r="267" spans="14:25">
      <c r="N267" t="str">
        <f t="shared" si="12"/>
        <v/>
      </c>
      <c r="O267" t="str">
        <f>IF(X267=0,"",COUNTIF(PRODUCTOS!$F:$F,CATÁLOGOS!A270))</f>
        <v/>
      </c>
      <c r="Q267" t="str">
        <f t="shared" si="13"/>
        <v/>
      </c>
      <c r="R267" t="str">
        <f>IF(Y267=0,"",COUNTIF(PRODUCTOS!$H:$H,CATÁLOGOS!F270))</f>
        <v/>
      </c>
      <c r="Y267">
        <f>CATÁLOGOS!H270</f>
        <v>0</v>
      </c>
    </row>
    <row r="268" spans="14:25">
      <c r="N268" t="str">
        <f t="shared" si="12"/>
        <v/>
      </c>
      <c r="O268" t="str">
        <f>IF(X268=0,"",COUNTIF(PRODUCTOS!$F:$F,CATÁLOGOS!A271))</f>
        <v/>
      </c>
      <c r="Q268" t="str">
        <f t="shared" si="13"/>
        <v/>
      </c>
      <c r="R268" t="str">
        <f>IF(Y268=0,"",COUNTIF(PRODUCTOS!$H:$H,CATÁLOGOS!F271))</f>
        <v/>
      </c>
      <c r="Y268">
        <f>CATÁLOGOS!H271</f>
        <v>0</v>
      </c>
    </row>
    <row r="269" spans="14:25">
      <c r="N269" t="str">
        <f t="shared" si="12"/>
        <v/>
      </c>
      <c r="O269" t="str">
        <f>IF(X269=0,"",COUNTIF(PRODUCTOS!$F:$F,CATÁLOGOS!A272))</f>
        <v/>
      </c>
      <c r="Q269" t="str">
        <f t="shared" si="13"/>
        <v/>
      </c>
      <c r="R269" t="str">
        <f>IF(Y269=0,"",COUNTIF(PRODUCTOS!$H:$H,CATÁLOGOS!F272))</f>
        <v/>
      </c>
      <c r="Y269">
        <f>CATÁLOGOS!H272</f>
        <v>0</v>
      </c>
    </row>
    <row r="270" spans="14:25">
      <c r="N270" t="str">
        <f t="shared" si="12"/>
        <v/>
      </c>
      <c r="O270" t="str">
        <f>IF(X270=0,"",COUNTIF(PRODUCTOS!$F:$F,CATÁLOGOS!A273))</f>
        <v/>
      </c>
      <c r="Q270" t="str">
        <f t="shared" si="13"/>
        <v/>
      </c>
      <c r="R270" t="str">
        <f>IF(Y270=0,"",COUNTIF(PRODUCTOS!$H:$H,CATÁLOGOS!F273))</f>
        <v/>
      </c>
      <c r="Y270">
        <f>CATÁLOGOS!H273</f>
        <v>0</v>
      </c>
    </row>
    <row r="271" spans="14:25">
      <c r="N271" t="str">
        <f t="shared" si="12"/>
        <v/>
      </c>
      <c r="O271" t="str">
        <f>IF(X271=0,"",COUNTIF(PRODUCTOS!$F:$F,CATÁLOGOS!A274))</f>
        <v/>
      </c>
      <c r="Q271" t="str">
        <f t="shared" si="13"/>
        <v/>
      </c>
      <c r="R271" t="str">
        <f>IF(Y271=0,"",COUNTIF(PRODUCTOS!$H:$H,CATÁLOGOS!F274))</f>
        <v/>
      </c>
      <c r="Y271">
        <f>CATÁLOGOS!H274</f>
        <v>0</v>
      </c>
    </row>
    <row r="272" spans="14:25">
      <c r="N272" t="str">
        <f t="shared" si="12"/>
        <v/>
      </c>
      <c r="O272" t="str">
        <f>IF(X272=0,"",COUNTIF(PRODUCTOS!$F:$F,CATÁLOGOS!A275))</f>
        <v/>
      </c>
      <c r="Q272" t="str">
        <f t="shared" si="13"/>
        <v/>
      </c>
      <c r="R272" t="str">
        <f>IF(Y272=0,"",COUNTIF(PRODUCTOS!$H:$H,CATÁLOGOS!F275))</f>
        <v/>
      </c>
      <c r="Y272">
        <f>CATÁLOGOS!H275</f>
        <v>0</v>
      </c>
    </row>
    <row r="273" spans="14:25">
      <c r="N273" t="str">
        <f t="shared" si="12"/>
        <v/>
      </c>
      <c r="O273" t="str">
        <f>IF(X273=0,"",COUNTIF(PRODUCTOS!$F:$F,CATÁLOGOS!A276))</f>
        <v/>
      </c>
      <c r="Q273" t="str">
        <f t="shared" si="13"/>
        <v/>
      </c>
      <c r="R273" t="str">
        <f>IF(Y273=0,"",COUNTIF(PRODUCTOS!$H:$H,CATÁLOGOS!F276))</f>
        <v/>
      </c>
      <c r="Y273">
        <f>CATÁLOGOS!H276</f>
        <v>0</v>
      </c>
    </row>
    <row r="274" spans="14:25">
      <c r="N274" t="str">
        <f t="shared" si="12"/>
        <v/>
      </c>
      <c r="O274" t="str">
        <f>IF(X274=0,"",COUNTIF(PRODUCTOS!$F:$F,CATÁLOGOS!A277))</f>
        <v/>
      </c>
      <c r="Q274" t="str">
        <f t="shared" si="13"/>
        <v/>
      </c>
      <c r="R274" t="str">
        <f>IF(Y274=0,"",COUNTIF(PRODUCTOS!$H:$H,CATÁLOGOS!F277))</f>
        <v/>
      </c>
      <c r="Y274">
        <f>CATÁLOGOS!H277</f>
        <v>0</v>
      </c>
    </row>
    <row r="275" spans="14:25">
      <c r="N275" t="str">
        <f t="shared" si="12"/>
        <v/>
      </c>
      <c r="O275" t="str">
        <f>IF(X275=0,"",COUNTIF(PRODUCTOS!$F:$F,CATÁLOGOS!A278))</f>
        <v/>
      </c>
      <c r="Q275" t="str">
        <f t="shared" si="13"/>
        <v/>
      </c>
      <c r="R275" t="str">
        <f>IF(Y275=0,"",COUNTIF(PRODUCTOS!$H:$H,CATÁLOGOS!F278))</f>
        <v/>
      </c>
      <c r="Y275">
        <f>CATÁLOGOS!H278</f>
        <v>0</v>
      </c>
    </row>
    <row r="276" spans="14:25">
      <c r="N276" t="str">
        <f t="shared" si="12"/>
        <v/>
      </c>
      <c r="O276" t="str">
        <f>IF(X276=0,"",COUNTIF(PRODUCTOS!$F:$F,CATÁLOGOS!A279))</f>
        <v/>
      </c>
      <c r="Q276" t="str">
        <f t="shared" si="13"/>
        <v/>
      </c>
      <c r="R276" t="str">
        <f>IF(Y276=0,"",COUNTIF(PRODUCTOS!$H:$H,CATÁLOGOS!F279))</f>
        <v/>
      </c>
      <c r="Y276">
        <f>CATÁLOGOS!H279</f>
        <v>0</v>
      </c>
    </row>
    <row r="277" spans="14:25">
      <c r="N277" t="str">
        <f t="shared" si="12"/>
        <v/>
      </c>
      <c r="O277" t="str">
        <f>IF(X277=0,"",COUNTIF(PRODUCTOS!$F:$F,CATÁLOGOS!A280))</f>
        <v/>
      </c>
      <c r="Q277" t="str">
        <f t="shared" si="13"/>
        <v/>
      </c>
      <c r="R277" t="str">
        <f>IF(Y277=0,"",COUNTIF(PRODUCTOS!$H:$H,CATÁLOGOS!F280))</f>
        <v/>
      </c>
      <c r="Y277">
        <f>CATÁLOGOS!H280</f>
        <v>0</v>
      </c>
    </row>
    <row r="278" spans="14:25">
      <c r="N278" t="str">
        <f t="shared" si="12"/>
        <v/>
      </c>
      <c r="O278" t="str">
        <f>IF(X278=0,"",COUNTIF(PRODUCTOS!$F:$F,CATÁLOGOS!A281))</f>
        <v/>
      </c>
      <c r="Q278" t="str">
        <f t="shared" si="13"/>
        <v/>
      </c>
      <c r="R278" t="str">
        <f>IF(Y278=0,"",COUNTIF(PRODUCTOS!$H:$H,CATÁLOGOS!F281))</f>
        <v/>
      </c>
      <c r="Y278">
        <f>CATÁLOGOS!H281</f>
        <v>0</v>
      </c>
    </row>
    <row r="279" spans="14:25">
      <c r="N279" t="str">
        <f t="shared" si="12"/>
        <v/>
      </c>
      <c r="O279" t="str">
        <f>IF(X279=0,"",COUNTIF(PRODUCTOS!$F:$F,CATÁLOGOS!A282))</f>
        <v/>
      </c>
      <c r="Q279" t="str">
        <f t="shared" si="13"/>
        <v/>
      </c>
      <c r="R279" t="str">
        <f>IF(Y279=0,"",COUNTIF(PRODUCTOS!$H:$H,CATÁLOGOS!F282))</f>
        <v/>
      </c>
      <c r="Y279">
        <f>CATÁLOGOS!H282</f>
        <v>0</v>
      </c>
    </row>
    <row r="280" spans="14:25">
      <c r="N280" t="str">
        <f t="shared" si="12"/>
        <v/>
      </c>
      <c r="O280" t="str">
        <f>IF(X280=0,"",COUNTIF(PRODUCTOS!$F:$F,CATÁLOGOS!A283))</f>
        <v/>
      </c>
      <c r="Q280" t="str">
        <f t="shared" si="13"/>
        <v/>
      </c>
      <c r="R280" t="str">
        <f>IF(Y280=0,"",COUNTIF(PRODUCTOS!$H:$H,CATÁLOGOS!F283))</f>
        <v/>
      </c>
      <c r="Y280">
        <f>CATÁLOGOS!H283</f>
        <v>0</v>
      </c>
    </row>
    <row r="281" spans="14:25">
      <c r="N281" t="str">
        <f t="shared" si="12"/>
        <v/>
      </c>
      <c r="O281" t="str">
        <f>IF(X281=0,"",COUNTIF(PRODUCTOS!$F:$F,CATÁLOGOS!A284))</f>
        <v/>
      </c>
      <c r="Q281" t="str">
        <f t="shared" si="13"/>
        <v/>
      </c>
      <c r="R281" t="str">
        <f>IF(Y281=0,"",COUNTIF(PRODUCTOS!$H:$H,CATÁLOGOS!F284))</f>
        <v/>
      </c>
      <c r="Y281">
        <f>CATÁLOGOS!H284</f>
        <v>0</v>
      </c>
    </row>
    <row r="282" spans="14:25">
      <c r="N282" t="str">
        <f t="shared" si="12"/>
        <v/>
      </c>
      <c r="O282" t="str">
        <f>IF(X282=0,"",COUNTIF(PRODUCTOS!$F:$F,CATÁLOGOS!A285))</f>
        <v/>
      </c>
      <c r="Q282" t="str">
        <f t="shared" si="13"/>
        <v/>
      </c>
      <c r="R282" t="str">
        <f>IF(Y282=0,"",COUNTIF(PRODUCTOS!$H:$H,CATÁLOGOS!F285))</f>
        <v/>
      </c>
      <c r="Y282">
        <f>CATÁLOGOS!H285</f>
        <v>0</v>
      </c>
    </row>
    <row r="283" spans="14:25">
      <c r="N283" t="str">
        <f t="shared" si="12"/>
        <v/>
      </c>
      <c r="O283" t="str">
        <f>IF(X283=0,"",COUNTIF(PRODUCTOS!$F:$F,CATÁLOGOS!A286))</f>
        <v/>
      </c>
      <c r="Q283" t="str">
        <f t="shared" si="13"/>
        <v/>
      </c>
      <c r="R283" t="str">
        <f>IF(Y283=0,"",COUNTIF(PRODUCTOS!$H:$H,CATÁLOGOS!F286))</f>
        <v/>
      </c>
      <c r="Y283">
        <f>CATÁLOGOS!H286</f>
        <v>0</v>
      </c>
    </row>
    <row r="284" spans="14:25">
      <c r="N284" t="str">
        <f t="shared" si="12"/>
        <v/>
      </c>
      <c r="O284" t="str">
        <f>IF(X284=0,"",COUNTIF(PRODUCTOS!$F:$F,CATÁLOGOS!A287))</f>
        <v/>
      </c>
      <c r="Q284" t="str">
        <f t="shared" si="13"/>
        <v/>
      </c>
      <c r="R284" t="str">
        <f>IF(Y284=0,"",COUNTIF(PRODUCTOS!$H:$H,CATÁLOGOS!F287))</f>
        <v/>
      </c>
      <c r="Y284">
        <f>CATÁLOGOS!H287</f>
        <v>0</v>
      </c>
    </row>
    <row r="285" spans="14:25">
      <c r="N285" t="str">
        <f t="shared" si="12"/>
        <v/>
      </c>
      <c r="O285" t="str">
        <f>IF(X285=0,"",COUNTIF(PRODUCTOS!$F:$F,CATÁLOGOS!A288))</f>
        <v/>
      </c>
      <c r="Q285" t="str">
        <f t="shared" si="13"/>
        <v/>
      </c>
      <c r="R285" t="str">
        <f>IF(Y285=0,"",COUNTIF(PRODUCTOS!$H:$H,CATÁLOGOS!F288))</f>
        <v/>
      </c>
      <c r="Y285">
        <f>CATÁLOGOS!H288</f>
        <v>0</v>
      </c>
    </row>
    <row r="286" spans="14:25">
      <c r="N286" t="str">
        <f t="shared" si="12"/>
        <v/>
      </c>
      <c r="O286" t="str">
        <f>IF(X286=0,"",COUNTIF(PRODUCTOS!$F:$F,CATÁLOGOS!A289))</f>
        <v/>
      </c>
      <c r="Q286" t="str">
        <f t="shared" si="13"/>
        <v/>
      </c>
      <c r="R286" t="str">
        <f>IF(Y286=0,"",COUNTIF(PRODUCTOS!$H:$H,CATÁLOGOS!F289))</f>
        <v/>
      </c>
      <c r="Y286">
        <f>CATÁLOGOS!H289</f>
        <v>0</v>
      </c>
    </row>
    <row r="287" spans="14:25">
      <c r="N287" t="str">
        <f t="shared" si="12"/>
        <v/>
      </c>
      <c r="O287" t="str">
        <f>IF(X287=0,"",COUNTIF(PRODUCTOS!$F:$F,CATÁLOGOS!A290))</f>
        <v/>
      </c>
      <c r="Q287" t="str">
        <f t="shared" si="13"/>
        <v/>
      </c>
      <c r="R287" t="str">
        <f>IF(Y287=0,"",COUNTIF(PRODUCTOS!$H:$H,CATÁLOGOS!F290))</f>
        <v/>
      </c>
      <c r="Y287">
        <f>CATÁLOGOS!H290</f>
        <v>0</v>
      </c>
    </row>
    <row r="288" spans="14:25">
      <c r="N288" t="str">
        <f t="shared" si="12"/>
        <v/>
      </c>
      <c r="O288" t="str">
        <f>IF(X288=0,"",COUNTIF(PRODUCTOS!$F:$F,CATÁLOGOS!A291))</f>
        <v/>
      </c>
      <c r="Q288" t="str">
        <f t="shared" si="13"/>
        <v/>
      </c>
      <c r="R288" t="str">
        <f>IF(Y288=0,"",COUNTIF(PRODUCTOS!$H:$H,CATÁLOGOS!F291))</f>
        <v/>
      </c>
      <c r="Y288">
        <f>CATÁLOGOS!H291</f>
        <v>0</v>
      </c>
    </row>
    <row r="289" spans="14:25">
      <c r="N289" t="str">
        <f t="shared" si="12"/>
        <v/>
      </c>
      <c r="O289" t="str">
        <f>IF(X289=0,"",COUNTIF(PRODUCTOS!$F:$F,CATÁLOGOS!A292))</f>
        <v/>
      </c>
      <c r="Q289" t="str">
        <f t="shared" si="13"/>
        <v/>
      </c>
      <c r="R289" t="str">
        <f>IF(Y289=0,"",COUNTIF(PRODUCTOS!$H:$H,CATÁLOGOS!F292))</f>
        <v/>
      </c>
      <c r="Y289">
        <f>CATÁLOGOS!H292</f>
        <v>0</v>
      </c>
    </row>
    <row r="290" spans="14:25">
      <c r="N290" t="str">
        <f t="shared" si="12"/>
        <v/>
      </c>
      <c r="O290" t="str">
        <f>IF(X290=0,"",COUNTIF(PRODUCTOS!$F:$F,CATÁLOGOS!A293))</f>
        <v/>
      </c>
      <c r="Q290" t="str">
        <f t="shared" si="13"/>
        <v/>
      </c>
      <c r="R290" t="str">
        <f>IF(Y290=0,"",COUNTIF(PRODUCTOS!$H:$H,CATÁLOGOS!F293))</f>
        <v/>
      </c>
      <c r="Y290">
        <f>CATÁLOGOS!H293</f>
        <v>0</v>
      </c>
    </row>
    <row r="291" spans="14:25">
      <c r="N291" t="str">
        <f t="shared" si="12"/>
        <v/>
      </c>
      <c r="O291" t="str">
        <f>IF(X291=0,"",COUNTIF(PRODUCTOS!$F:$F,CATÁLOGOS!A294))</f>
        <v/>
      </c>
      <c r="Q291" t="str">
        <f t="shared" si="13"/>
        <v/>
      </c>
      <c r="R291" t="str">
        <f>IF(Y291=0,"",COUNTIF(PRODUCTOS!$H:$H,CATÁLOGOS!F294))</f>
        <v/>
      </c>
      <c r="Y291">
        <f>CATÁLOGOS!H294</f>
        <v>0</v>
      </c>
    </row>
    <row r="292" spans="14:25">
      <c r="N292" t="str">
        <f t="shared" si="12"/>
        <v/>
      </c>
      <c r="O292" t="str">
        <f>IF(X292=0,"",COUNTIF(PRODUCTOS!$F:$F,CATÁLOGOS!A295))</f>
        <v/>
      </c>
      <c r="Q292" t="str">
        <f t="shared" si="13"/>
        <v/>
      </c>
      <c r="R292" t="str">
        <f>IF(Y292=0,"",COUNTIF(PRODUCTOS!$H:$H,CATÁLOGOS!F295))</f>
        <v/>
      </c>
      <c r="Y292">
        <f>CATÁLOGOS!H295</f>
        <v>0</v>
      </c>
    </row>
    <row r="293" spans="14:25">
      <c r="N293" t="str">
        <f t="shared" si="12"/>
        <v/>
      </c>
      <c r="O293" t="str">
        <f>IF(X293=0,"",COUNTIF(PRODUCTOS!$F:$F,CATÁLOGOS!A296))</f>
        <v/>
      </c>
      <c r="Q293" t="str">
        <f t="shared" si="13"/>
        <v/>
      </c>
      <c r="R293" t="str">
        <f>IF(Y293=0,"",COUNTIF(PRODUCTOS!$H:$H,CATÁLOGOS!F296))</f>
        <v/>
      </c>
      <c r="Y293">
        <f>CATÁLOGOS!H296</f>
        <v>0</v>
      </c>
    </row>
    <row r="294" spans="14:25">
      <c r="N294" t="str">
        <f t="shared" si="12"/>
        <v/>
      </c>
      <c r="O294" t="str">
        <f>IF(X294=0,"",COUNTIF(PRODUCTOS!$F:$F,CATÁLOGOS!A297))</f>
        <v/>
      </c>
      <c r="Q294" t="str">
        <f t="shared" si="13"/>
        <v/>
      </c>
      <c r="R294" t="str">
        <f>IF(Y294=0,"",COUNTIF(PRODUCTOS!$H:$H,CATÁLOGOS!F297))</f>
        <v/>
      </c>
      <c r="Y294">
        <f>CATÁLOGOS!H297</f>
        <v>0</v>
      </c>
    </row>
    <row r="295" spans="14:25">
      <c r="N295" t="str">
        <f t="shared" si="12"/>
        <v/>
      </c>
      <c r="O295" t="str">
        <f>IF(X295=0,"",COUNTIF(PRODUCTOS!$F:$F,CATÁLOGOS!A298))</f>
        <v/>
      </c>
      <c r="Q295" t="str">
        <f t="shared" si="13"/>
        <v/>
      </c>
      <c r="R295" t="str">
        <f>IF(Y295=0,"",COUNTIF(PRODUCTOS!$H:$H,CATÁLOGOS!F298))</f>
        <v/>
      </c>
      <c r="Y295">
        <f>CATÁLOGOS!H298</f>
        <v>0</v>
      </c>
    </row>
    <row r="296" spans="14:25">
      <c r="N296" t="str">
        <f t="shared" si="12"/>
        <v/>
      </c>
      <c r="O296" t="str">
        <f>IF(X296=0,"",COUNTIF(PRODUCTOS!$F:$F,CATÁLOGOS!A299))</f>
        <v/>
      </c>
      <c r="Q296" t="str">
        <f t="shared" si="13"/>
        <v/>
      </c>
      <c r="R296" t="str">
        <f>IF(Y296=0,"",COUNTIF(PRODUCTOS!$H:$H,CATÁLOGOS!F299))</f>
        <v/>
      </c>
      <c r="Y296">
        <f>CATÁLOGOS!H299</f>
        <v>0</v>
      </c>
    </row>
    <row r="297" spans="14:25">
      <c r="N297" t="str">
        <f t="shared" si="12"/>
        <v/>
      </c>
      <c r="O297" t="str">
        <f>IF(X297=0,"",COUNTIF(PRODUCTOS!$F:$F,CATÁLOGOS!A300))</f>
        <v/>
      </c>
      <c r="Q297" t="str">
        <f t="shared" si="13"/>
        <v/>
      </c>
      <c r="R297" t="str">
        <f>IF(Y297=0,"",COUNTIF(PRODUCTOS!$H:$H,CATÁLOGOS!F300))</f>
        <v/>
      </c>
      <c r="Y297">
        <f>CATÁLOGOS!H300</f>
        <v>0</v>
      </c>
    </row>
    <row r="298" spans="14:25">
      <c r="N298" t="str">
        <f t="shared" si="12"/>
        <v/>
      </c>
      <c r="O298" t="str">
        <f>IF(X298=0,"",COUNTIF(PRODUCTOS!$F:$F,CATÁLOGOS!A301))</f>
        <v/>
      </c>
      <c r="Q298" t="str">
        <f t="shared" si="13"/>
        <v/>
      </c>
      <c r="R298" t="str">
        <f>IF(Y298=0,"",COUNTIF(PRODUCTOS!$H:$H,CATÁLOGOS!F301))</f>
        <v/>
      </c>
      <c r="Y298">
        <f>CATÁLOGOS!H301</f>
        <v>0</v>
      </c>
    </row>
    <row r="299" spans="14:25">
      <c r="N299" t="str">
        <f t="shared" si="12"/>
        <v/>
      </c>
      <c r="O299" t="str">
        <f>IF(X299=0,"",COUNTIF(PRODUCTOS!$F:$F,CATÁLOGOS!A302))</f>
        <v/>
      </c>
      <c r="Q299" t="str">
        <f t="shared" si="13"/>
        <v/>
      </c>
      <c r="R299" t="str">
        <f>IF(Y299=0,"",COUNTIF(PRODUCTOS!$H:$H,CATÁLOGOS!F302))</f>
        <v/>
      </c>
      <c r="Y299">
        <f>CATÁLOGOS!H302</f>
        <v>0</v>
      </c>
    </row>
    <row r="300" spans="14:25">
      <c r="N300" t="str">
        <f t="shared" si="12"/>
        <v/>
      </c>
      <c r="O300" t="str">
        <f>IF(X300=0,"",COUNTIF(PRODUCTOS!$F:$F,CATÁLOGOS!A303))</f>
        <v/>
      </c>
      <c r="Q300" t="str">
        <f t="shared" si="13"/>
        <v/>
      </c>
      <c r="R300" t="str">
        <f>IF(Y300=0,"",COUNTIF(PRODUCTOS!$H:$H,CATÁLOGOS!F303))</f>
        <v/>
      </c>
      <c r="Y300">
        <f>CATÁLOGOS!H303</f>
        <v>0</v>
      </c>
    </row>
    <row r="301" spans="14:25">
      <c r="N301" t="str">
        <f t="shared" si="12"/>
        <v/>
      </c>
      <c r="O301" t="str">
        <f>IF(X301=0,"",COUNTIF(PRODUCTOS!$F:$F,CATÁLOGOS!A304))</f>
        <v/>
      </c>
      <c r="Q301" t="str">
        <f t="shared" si="13"/>
        <v/>
      </c>
      <c r="R301" t="str">
        <f>IF(Y301=0,"",COUNTIF(PRODUCTOS!$H:$H,CATÁLOGOS!F304))</f>
        <v/>
      </c>
      <c r="Y301">
        <f>CATÁLOGOS!H304</f>
        <v>0</v>
      </c>
    </row>
    <row r="302" spans="14:25">
      <c r="N302" t="str">
        <f t="shared" si="12"/>
        <v/>
      </c>
      <c r="O302" t="str">
        <f>IF(X302=0,"",COUNTIF(PRODUCTOS!$F:$F,CATÁLOGOS!A305))</f>
        <v/>
      </c>
      <c r="Q302" t="str">
        <f t="shared" si="13"/>
        <v/>
      </c>
      <c r="R302" t="str">
        <f>IF(Y302=0,"",COUNTIF(PRODUCTOS!$H:$H,CATÁLOGOS!F305))</f>
        <v/>
      </c>
      <c r="Y302">
        <f>CATÁLOGOS!H305</f>
        <v>0</v>
      </c>
    </row>
    <row r="303" spans="14:25">
      <c r="Q303" t="str">
        <f t="shared" si="13"/>
        <v/>
      </c>
      <c r="R303" t="str">
        <f>IF(Y303=0,"",COUNTIF(PRODUCTOS!$H:$H,CATÁLOGOS!F306))</f>
        <v/>
      </c>
      <c r="Y303">
        <f>CATÁLOGOS!H306</f>
        <v>0</v>
      </c>
    </row>
    <row r="304" spans="14:25">
      <c r="Q304" t="str">
        <f t="shared" si="13"/>
        <v/>
      </c>
      <c r="R304" t="str">
        <f>IF(Y304=0,"",COUNTIF(PRODUCTOS!$H:$H,CATÁLOGOS!F307))</f>
        <v/>
      </c>
      <c r="Y304">
        <f>CATÁLOGOS!H307</f>
        <v>0</v>
      </c>
    </row>
  </sheetData>
  <mergeCells count="11">
    <mergeCell ref="A23:L23"/>
    <mergeCell ref="A1:L1"/>
    <mergeCell ref="A31:L31"/>
    <mergeCell ref="A4:F4"/>
    <mergeCell ref="A32:L35"/>
    <mergeCell ref="H4:L4"/>
    <mergeCell ref="AB2:AG2"/>
    <mergeCell ref="A2:L2"/>
    <mergeCell ref="AB1:AG1"/>
    <mergeCell ref="AB15:AG15"/>
    <mergeCell ref="N1:Q1"/>
  </mergeCells>
  <dataValidations count="6">
    <dataValidation type="list" sqref="B6" xr:uid="{00000000-0002-0000-0600-000000000000}">
      <formula1>$X$3:$X$302</formula1>
    </dataValidation>
    <dataValidation type="list" sqref="B7" xr:uid="{00000000-0002-0000-0600-000001000000}">
      <formula1>$Y$3:$Y$304</formula1>
    </dataValidation>
    <dataValidation type="list" sqref="B11 I11" xr:uid="{00000000-0002-0000-0600-000002000000}">
      <formula1>$Z$3:$Z$100</formula1>
    </dataValidation>
    <dataValidation type="list" sqref="B18 I17" xr:uid="{00000000-0002-0000-0600-000003000000}">
      <formula1>"SÍ,NO"</formula1>
    </dataValidation>
    <dataValidation type="list" sqref="B20 I19" xr:uid="{00000000-0002-0000-0600-000004000000}">
      <formula1>"Activo,Inactivo"</formula1>
    </dataValidation>
    <dataValidation type="list" sqref="B21 I20" xr:uid="{00000000-0002-0000-0600-000005000000}">
      <formula1>"SI,NO"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PRODUCTOS</vt:lpstr>
      <vt:lpstr>PRECIOS</vt:lpstr>
      <vt:lpstr>CATÁLOGOS</vt:lpstr>
      <vt:lpstr>CONTROL_FOTOS</vt:lpstr>
      <vt:lpstr>MOVIMIENTOS_STOCK</vt:lpstr>
      <vt:lpstr>TARIFAS ENVÍO</vt:lpstr>
      <vt:lpstr>ALTA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Facundo Leonel Guevara</dc:creator>
  <cp:lastModifiedBy>Facundo Leonel Guevara</cp:lastModifiedBy>
  <dcterms:created xsi:type="dcterms:W3CDTF">2026-10-24T03:42:13Z</dcterms:created>
  <dcterms:modified xsi:type="dcterms:W3CDTF">2026-10-27T21:09:45Z</dcterms:modified>
</cp:coreProperties>
</file>