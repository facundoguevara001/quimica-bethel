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cun\Desktop\"/>
    </mc:Choice>
  </mc:AlternateContent>
  <xr:revisionPtr revIDLastSave="0" documentId="13_ncr:1_{0A591419-D7BB-4E3E-99E9-3E64D7E0D527}" xr6:coauthVersionLast="47" xr6:coauthVersionMax="47" xr10:uidLastSave="{00000000-0000-0000-0000-000000000000}"/>
  <bookViews>
    <workbookView xWindow="7910" yWindow="0" windowWidth="8180" windowHeight="12090" xr2:uid="{00000000-000D-0000-FFFF-FFFF00000000}"/>
  </bookViews>
  <sheets>
    <sheet name="PRODUCTOS" sheetId="1" r:id="rId1"/>
    <sheet name="CATEGORIAS" sheetId="2" r:id="rId2"/>
    <sheet name="MOVIMIENTOS_STOCK" sheetId="3" r:id="rId3"/>
    <sheet name="DASHBOARD" sheetId="4" r:id="rId4"/>
    <sheet name="MARCAS" sheetId="5" r:id="rId5"/>
    <sheet name="PRESENTACIONES" sheetId="6" r:id="rId6"/>
    <sheet name="CONTROL_FOTOS" sheetId="7" r:id="rId7"/>
    <sheet name="SUPUESTOS PRECIOS" sheetId="8" r:id="rId8"/>
    <sheet name="TARIFAS ENVÍO" sheetId="9" r:id="rId9"/>
    <sheet name="CONTROL PRECIO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0" l="1"/>
  <c r="B2" i="4"/>
  <c r="Y1001" i="1"/>
  <c r="X1001" i="1"/>
  <c r="W1001" i="1"/>
  <c r="V1001" i="1"/>
  <c r="U1001" i="1"/>
  <c r="T1001" i="1"/>
  <c r="L1001" i="1"/>
  <c r="Y1000" i="1"/>
  <c r="X1000" i="1"/>
  <c r="W1000" i="1"/>
  <c r="V1000" i="1"/>
  <c r="U1000" i="1"/>
  <c r="T1000" i="1"/>
  <c r="L1000" i="1"/>
  <c r="Y999" i="1"/>
  <c r="X999" i="1"/>
  <c r="W999" i="1"/>
  <c r="V999" i="1"/>
  <c r="U999" i="1"/>
  <c r="T999" i="1"/>
  <c r="L999" i="1"/>
  <c r="Y998" i="1"/>
  <c r="X998" i="1"/>
  <c r="W998" i="1"/>
  <c r="V998" i="1"/>
  <c r="U998" i="1"/>
  <c r="T998" i="1"/>
  <c r="L998" i="1"/>
  <c r="Y997" i="1"/>
  <c r="X997" i="1"/>
  <c r="W997" i="1"/>
  <c r="V997" i="1"/>
  <c r="U997" i="1"/>
  <c r="T997" i="1"/>
  <c r="L997" i="1"/>
  <c r="Y996" i="1"/>
  <c r="X996" i="1"/>
  <c r="W996" i="1"/>
  <c r="V996" i="1"/>
  <c r="U996" i="1"/>
  <c r="T996" i="1"/>
  <c r="L996" i="1"/>
  <c r="Y995" i="1"/>
  <c r="X995" i="1"/>
  <c r="W995" i="1"/>
  <c r="V995" i="1"/>
  <c r="U995" i="1"/>
  <c r="T995" i="1"/>
  <c r="L995" i="1"/>
  <c r="Y994" i="1"/>
  <c r="X994" i="1"/>
  <c r="W994" i="1"/>
  <c r="V994" i="1"/>
  <c r="U994" i="1"/>
  <c r="T994" i="1"/>
  <c r="L994" i="1"/>
  <c r="Y993" i="1"/>
  <c r="X993" i="1"/>
  <c r="W993" i="1"/>
  <c r="V993" i="1"/>
  <c r="U993" i="1"/>
  <c r="T993" i="1"/>
  <c r="L993" i="1"/>
  <c r="Y992" i="1"/>
  <c r="X992" i="1"/>
  <c r="W992" i="1"/>
  <c r="V992" i="1"/>
  <c r="U992" i="1"/>
  <c r="T992" i="1"/>
  <c r="L992" i="1"/>
  <c r="Y991" i="1"/>
  <c r="X991" i="1"/>
  <c r="W991" i="1"/>
  <c r="V991" i="1"/>
  <c r="U991" i="1"/>
  <c r="T991" i="1"/>
  <c r="L991" i="1"/>
  <c r="Y990" i="1"/>
  <c r="X990" i="1"/>
  <c r="W990" i="1"/>
  <c r="V990" i="1"/>
  <c r="U990" i="1"/>
  <c r="T990" i="1"/>
  <c r="L990" i="1"/>
  <c r="Y989" i="1"/>
  <c r="X989" i="1"/>
  <c r="W989" i="1"/>
  <c r="V989" i="1"/>
  <c r="U989" i="1"/>
  <c r="T989" i="1"/>
  <c r="L989" i="1"/>
  <c r="Y988" i="1"/>
  <c r="X988" i="1"/>
  <c r="W988" i="1"/>
  <c r="V988" i="1"/>
  <c r="U988" i="1"/>
  <c r="T988" i="1"/>
  <c r="L988" i="1"/>
  <c r="Y987" i="1"/>
  <c r="X987" i="1"/>
  <c r="W987" i="1"/>
  <c r="V987" i="1"/>
  <c r="U987" i="1"/>
  <c r="T987" i="1"/>
  <c r="L987" i="1"/>
  <c r="Y986" i="1"/>
  <c r="X986" i="1"/>
  <c r="W986" i="1"/>
  <c r="V986" i="1"/>
  <c r="U986" i="1"/>
  <c r="T986" i="1"/>
  <c r="L986" i="1"/>
  <c r="Y985" i="1"/>
  <c r="X985" i="1"/>
  <c r="W985" i="1"/>
  <c r="V985" i="1"/>
  <c r="U985" i="1"/>
  <c r="T985" i="1"/>
  <c r="L985" i="1"/>
  <c r="Y984" i="1"/>
  <c r="X984" i="1"/>
  <c r="W984" i="1"/>
  <c r="V984" i="1"/>
  <c r="U984" i="1"/>
  <c r="T984" i="1"/>
  <c r="L984" i="1"/>
  <c r="Y983" i="1"/>
  <c r="X983" i="1"/>
  <c r="W983" i="1"/>
  <c r="V983" i="1"/>
  <c r="U983" i="1"/>
  <c r="T983" i="1"/>
  <c r="L983" i="1"/>
  <c r="Y982" i="1"/>
  <c r="X982" i="1"/>
  <c r="W982" i="1"/>
  <c r="V982" i="1"/>
  <c r="U982" i="1"/>
  <c r="T982" i="1"/>
  <c r="L982" i="1"/>
  <c r="Y981" i="1"/>
  <c r="X981" i="1"/>
  <c r="W981" i="1"/>
  <c r="V981" i="1"/>
  <c r="U981" i="1"/>
  <c r="T981" i="1"/>
  <c r="L981" i="1"/>
  <c r="Y980" i="1"/>
  <c r="X980" i="1"/>
  <c r="W980" i="1"/>
  <c r="V980" i="1"/>
  <c r="U980" i="1"/>
  <c r="T980" i="1"/>
  <c r="L980" i="1"/>
  <c r="Y979" i="1"/>
  <c r="X979" i="1"/>
  <c r="W979" i="1"/>
  <c r="V979" i="1"/>
  <c r="U979" i="1"/>
  <c r="T979" i="1"/>
  <c r="L979" i="1"/>
  <c r="Y978" i="1"/>
  <c r="X978" i="1"/>
  <c r="W978" i="1"/>
  <c r="V978" i="1"/>
  <c r="U978" i="1"/>
  <c r="T978" i="1"/>
  <c r="L978" i="1"/>
  <c r="Y977" i="1"/>
  <c r="X977" i="1"/>
  <c r="W977" i="1"/>
  <c r="V977" i="1"/>
  <c r="U977" i="1"/>
  <c r="T977" i="1"/>
  <c r="L977" i="1"/>
  <c r="Y976" i="1"/>
  <c r="X976" i="1"/>
  <c r="W976" i="1"/>
  <c r="V976" i="1"/>
  <c r="U976" i="1"/>
  <c r="T976" i="1"/>
  <c r="L976" i="1"/>
  <c r="Y975" i="1"/>
  <c r="X975" i="1"/>
  <c r="W975" i="1"/>
  <c r="V975" i="1"/>
  <c r="U975" i="1"/>
  <c r="T975" i="1"/>
  <c r="L975" i="1"/>
  <c r="Y974" i="1"/>
  <c r="X974" i="1"/>
  <c r="W974" i="1"/>
  <c r="V974" i="1"/>
  <c r="U974" i="1"/>
  <c r="T974" i="1"/>
  <c r="L974" i="1"/>
  <c r="Y973" i="1"/>
  <c r="X973" i="1"/>
  <c r="W973" i="1"/>
  <c r="V973" i="1"/>
  <c r="U973" i="1"/>
  <c r="T973" i="1"/>
  <c r="L973" i="1"/>
  <c r="Y972" i="1"/>
  <c r="X972" i="1"/>
  <c r="W972" i="1"/>
  <c r="V972" i="1"/>
  <c r="U972" i="1"/>
  <c r="T972" i="1"/>
  <c r="L972" i="1"/>
  <c r="Y971" i="1"/>
  <c r="X971" i="1"/>
  <c r="W971" i="1"/>
  <c r="V971" i="1"/>
  <c r="U971" i="1"/>
  <c r="T971" i="1"/>
  <c r="L971" i="1"/>
  <c r="Y970" i="1"/>
  <c r="X970" i="1"/>
  <c r="W970" i="1"/>
  <c r="V970" i="1"/>
  <c r="U970" i="1"/>
  <c r="T970" i="1"/>
  <c r="L970" i="1"/>
  <c r="Y969" i="1"/>
  <c r="X969" i="1"/>
  <c r="W969" i="1"/>
  <c r="V969" i="1"/>
  <c r="U969" i="1"/>
  <c r="T969" i="1"/>
  <c r="L969" i="1"/>
  <c r="Y968" i="1"/>
  <c r="X968" i="1"/>
  <c r="W968" i="1"/>
  <c r="V968" i="1"/>
  <c r="U968" i="1"/>
  <c r="T968" i="1"/>
  <c r="L968" i="1"/>
  <c r="Y967" i="1"/>
  <c r="X967" i="1"/>
  <c r="W967" i="1"/>
  <c r="V967" i="1"/>
  <c r="U967" i="1"/>
  <c r="T967" i="1"/>
  <c r="L967" i="1"/>
  <c r="Y966" i="1"/>
  <c r="X966" i="1"/>
  <c r="W966" i="1"/>
  <c r="V966" i="1"/>
  <c r="U966" i="1"/>
  <c r="T966" i="1"/>
  <c r="L966" i="1"/>
  <c r="Y965" i="1"/>
  <c r="X965" i="1"/>
  <c r="W965" i="1"/>
  <c r="V965" i="1"/>
  <c r="U965" i="1"/>
  <c r="T965" i="1"/>
  <c r="L965" i="1"/>
  <c r="Y964" i="1"/>
  <c r="X964" i="1"/>
  <c r="W964" i="1"/>
  <c r="V964" i="1"/>
  <c r="U964" i="1"/>
  <c r="T964" i="1"/>
  <c r="L964" i="1"/>
  <c r="Y963" i="1"/>
  <c r="X963" i="1"/>
  <c r="W963" i="1"/>
  <c r="V963" i="1"/>
  <c r="U963" i="1"/>
  <c r="T963" i="1"/>
  <c r="L963" i="1"/>
  <c r="Y962" i="1"/>
  <c r="X962" i="1"/>
  <c r="W962" i="1"/>
  <c r="V962" i="1"/>
  <c r="U962" i="1"/>
  <c r="T962" i="1"/>
  <c r="L962" i="1"/>
  <c r="Y961" i="1"/>
  <c r="X961" i="1"/>
  <c r="W961" i="1"/>
  <c r="V961" i="1"/>
  <c r="U961" i="1"/>
  <c r="T961" i="1"/>
  <c r="L961" i="1"/>
  <c r="Y960" i="1"/>
  <c r="X960" i="1"/>
  <c r="W960" i="1"/>
  <c r="V960" i="1"/>
  <c r="U960" i="1"/>
  <c r="T960" i="1"/>
  <c r="L960" i="1"/>
  <c r="Y959" i="1"/>
  <c r="X959" i="1"/>
  <c r="W959" i="1"/>
  <c r="V959" i="1"/>
  <c r="U959" i="1"/>
  <c r="T959" i="1"/>
  <c r="L959" i="1"/>
  <c r="Y958" i="1"/>
  <c r="X958" i="1"/>
  <c r="W958" i="1"/>
  <c r="V958" i="1"/>
  <c r="U958" i="1"/>
  <c r="T958" i="1"/>
  <c r="L958" i="1"/>
  <c r="Y957" i="1"/>
  <c r="X957" i="1"/>
  <c r="W957" i="1"/>
  <c r="V957" i="1"/>
  <c r="U957" i="1"/>
  <c r="T957" i="1"/>
  <c r="L957" i="1"/>
  <c r="Y956" i="1"/>
  <c r="X956" i="1"/>
  <c r="W956" i="1"/>
  <c r="V956" i="1"/>
  <c r="U956" i="1"/>
  <c r="T956" i="1"/>
  <c r="L956" i="1"/>
  <c r="Y955" i="1"/>
  <c r="X955" i="1"/>
  <c r="W955" i="1"/>
  <c r="V955" i="1"/>
  <c r="U955" i="1"/>
  <c r="T955" i="1"/>
  <c r="L955" i="1"/>
  <c r="Y954" i="1"/>
  <c r="X954" i="1"/>
  <c r="W954" i="1"/>
  <c r="V954" i="1"/>
  <c r="U954" i="1"/>
  <c r="T954" i="1"/>
  <c r="L954" i="1"/>
  <c r="Y953" i="1"/>
  <c r="X953" i="1"/>
  <c r="W953" i="1"/>
  <c r="V953" i="1"/>
  <c r="U953" i="1"/>
  <c r="T953" i="1"/>
  <c r="L953" i="1"/>
  <c r="Y952" i="1"/>
  <c r="X952" i="1"/>
  <c r="W952" i="1"/>
  <c r="V952" i="1"/>
  <c r="U952" i="1"/>
  <c r="T952" i="1"/>
  <c r="L952" i="1"/>
  <c r="Y951" i="1"/>
  <c r="X951" i="1"/>
  <c r="W951" i="1"/>
  <c r="V951" i="1"/>
  <c r="U951" i="1"/>
  <c r="T951" i="1"/>
  <c r="L951" i="1"/>
  <c r="Y950" i="1"/>
  <c r="X950" i="1"/>
  <c r="W950" i="1"/>
  <c r="V950" i="1"/>
  <c r="U950" i="1"/>
  <c r="T950" i="1"/>
  <c r="L950" i="1"/>
  <c r="Y949" i="1"/>
  <c r="X949" i="1"/>
  <c r="W949" i="1"/>
  <c r="V949" i="1"/>
  <c r="U949" i="1"/>
  <c r="T949" i="1"/>
  <c r="L949" i="1"/>
  <c r="Y948" i="1"/>
  <c r="X948" i="1"/>
  <c r="W948" i="1"/>
  <c r="V948" i="1"/>
  <c r="U948" i="1"/>
  <c r="T948" i="1"/>
  <c r="L948" i="1"/>
  <c r="Y947" i="1"/>
  <c r="X947" i="1"/>
  <c r="W947" i="1"/>
  <c r="V947" i="1"/>
  <c r="U947" i="1"/>
  <c r="T947" i="1"/>
  <c r="L947" i="1"/>
  <c r="Y946" i="1"/>
  <c r="X946" i="1"/>
  <c r="W946" i="1"/>
  <c r="V946" i="1"/>
  <c r="U946" i="1"/>
  <c r="T946" i="1"/>
  <c r="L946" i="1"/>
  <c r="Y945" i="1"/>
  <c r="X945" i="1"/>
  <c r="W945" i="1"/>
  <c r="V945" i="1"/>
  <c r="U945" i="1"/>
  <c r="T945" i="1"/>
  <c r="L945" i="1"/>
  <c r="Y944" i="1"/>
  <c r="X944" i="1"/>
  <c r="W944" i="1"/>
  <c r="V944" i="1"/>
  <c r="U944" i="1"/>
  <c r="T944" i="1"/>
  <c r="L944" i="1"/>
  <c r="Y943" i="1"/>
  <c r="X943" i="1"/>
  <c r="W943" i="1"/>
  <c r="V943" i="1"/>
  <c r="U943" i="1"/>
  <c r="T943" i="1"/>
  <c r="L943" i="1"/>
  <c r="Y942" i="1"/>
  <c r="X942" i="1"/>
  <c r="W942" i="1"/>
  <c r="V942" i="1"/>
  <c r="U942" i="1"/>
  <c r="T942" i="1"/>
  <c r="L942" i="1"/>
  <c r="Y941" i="1"/>
  <c r="X941" i="1"/>
  <c r="W941" i="1"/>
  <c r="V941" i="1"/>
  <c r="U941" i="1"/>
  <c r="T941" i="1"/>
  <c r="L941" i="1"/>
  <c r="Y940" i="1"/>
  <c r="X940" i="1"/>
  <c r="W940" i="1"/>
  <c r="V940" i="1"/>
  <c r="U940" i="1"/>
  <c r="T940" i="1"/>
  <c r="L940" i="1"/>
  <c r="Y939" i="1"/>
  <c r="X939" i="1"/>
  <c r="W939" i="1"/>
  <c r="V939" i="1"/>
  <c r="U939" i="1"/>
  <c r="T939" i="1"/>
  <c r="L939" i="1"/>
  <c r="Y938" i="1"/>
  <c r="X938" i="1"/>
  <c r="W938" i="1"/>
  <c r="V938" i="1"/>
  <c r="U938" i="1"/>
  <c r="T938" i="1"/>
  <c r="L938" i="1"/>
  <c r="Y937" i="1"/>
  <c r="X937" i="1"/>
  <c r="W937" i="1"/>
  <c r="V937" i="1"/>
  <c r="U937" i="1"/>
  <c r="T937" i="1"/>
  <c r="L937" i="1"/>
  <c r="Y936" i="1"/>
  <c r="X936" i="1"/>
  <c r="W936" i="1"/>
  <c r="V936" i="1"/>
  <c r="U936" i="1"/>
  <c r="T936" i="1"/>
  <c r="L936" i="1"/>
  <c r="Y935" i="1"/>
  <c r="X935" i="1"/>
  <c r="W935" i="1"/>
  <c r="V935" i="1"/>
  <c r="U935" i="1"/>
  <c r="T935" i="1"/>
  <c r="L935" i="1"/>
  <c r="Y934" i="1"/>
  <c r="X934" i="1"/>
  <c r="W934" i="1"/>
  <c r="V934" i="1"/>
  <c r="U934" i="1"/>
  <c r="T934" i="1"/>
  <c r="L934" i="1"/>
  <c r="Y933" i="1"/>
  <c r="X933" i="1"/>
  <c r="W933" i="1"/>
  <c r="V933" i="1"/>
  <c r="U933" i="1"/>
  <c r="T933" i="1"/>
  <c r="L933" i="1"/>
  <c r="Y932" i="1"/>
  <c r="X932" i="1"/>
  <c r="W932" i="1"/>
  <c r="V932" i="1"/>
  <c r="U932" i="1"/>
  <c r="T932" i="1"/>
  <c r="L932" i="1"/>
  <c r="Y931" i="1"/>
  <c r="X931" i="1"/>
  <c r="W931" i="1"/>
  <c r="V931" i="1"/>
  <c r="U931" i="1"/>
  <c r="T931" i="1"/>
  <c r="L931" i="1"/>
  <c r="Y930" i="1"/>
  <c r="X930" i="1"/>
  <c r="W930" i="1"/>
  <c r="V930" i="1"/>
  <c r="U930" i="1"/>
  <c r="T930" i="1"/>
  <c r="L930" i="1"/>
  <c r="Y929" i="1"/>
  <c r="X929" i="1"/>
  <c r="W929" i="1"/>
  <c r="V929" i="1"/>
  <c r="U929" i="1"/>
  <c r="T929" i="1"/>
  <c r="L929" i="1"/>
  <c r="Y928" i="1"/>
  <c r="X928" i="1"/>
  <c r="W928" i="1"/>
  <c r="V928" i="1"/>
  <c r="U928" i="1"/>
  <c r="T928" i="1"/>
  <c r="L928" i="1"/>
  <c r="Y927" i="1"/>
  <c r="X927" i="1"/>
  <c r="W927" i="1"/>
  <c r="V927" i="1"/>
  <c r="U927" i="1"/>
  <c r="T927" i="1"/>
  <c r="L927" i="1"/>
  <c r="Y926" i="1"/>
  <c r="X926" i="1"/>
  <c r="W926" i="1"/>
  <c r="V926" i="1"/>
  <c r="U926" i="1"/>
  <c r="T926" i="1"/>
  <c r="L926" i="1"/>
  <c r="Y925" i="1"/>
  <c r="X925" i="1"/>
  <c r="W925" i="1"/>
  <c r="V925" i="1"/>
  <c r="U925" i="1"/>
  <c r="T925" i="1"/>
  <c r="L925" i="1"/>
  <c r="Y924" i="1"/>
  <c r="X924" i="1"/>
  <c r="W924" i="1"/>
  <c r="V924" i="1"/>
  <c r="U924" i="1"/>
  <c r="T924" i="1"/>
  <c r="L924" i="1"/>
  <c r="Y923" i="1"/>
  <c r="X923" i="1"/>
  <c r="W923" i="1"/>
  <c r="V923" i="1"/>
  <c r="U923" i="1"/>
  <c r="T923" i="1"/>
  <c r="L923" i="1"/>
  <c r="Y922" i="1"/>
  <c r="X922" i="1"/>
  <c r="W922" i="1"/>
  <c r="V922" i="1"/>
  <c r="U922" i="1"/>
  <c r="T922" i="1"/>
  <c r="L922" i="1"/>
  <c r="Y921" i="1"/>
  <c r="X921" i="1"/>
  <c r="W921" i="1"/>
  <c r="V921" i="1"/>
  <c r="U921" i="1"/>
  <c r="T921" i="1"/>
  <c r="L921" i="1"/>
  <c r="Y920" i="1"/>
  <c r="X920" i="1"/>
  <c r="W920" i="1"/>
  <c r="V920" i="1"/>
  <c r="U920" i="1"/>
  <c r="T920" i="1"/>
  <c r="L920" i="1"/>
  <c r="Y919" i="1"/>
  <c r="X919" i="1"/>
  <c r="W919" i="1"/>
  <c r="V919" i="1"/>
  <c r="U919" i="1"/>
  <c r="T919" i="1"/>
  <c r="L919" i="1"/>
  <c r="Y918" i="1"/>
  <c r="X918" i="1"/>
  <c r="W918" i="1"/>
  <c r="V918" i="1"/>
  <c r="U918" i="1"/>
  <c r="T918" i="1"/>
  <c r="L918" i="1"/>
  <c r="Y917" i="1"/>
  <c r="X917" i="1"/>
  <c r="W917" i="1"/>
  <c r="V917" i="1"/>
  <c r="U917" i="1"/>
  <c r="T917" i="1"/>
  <c r="L917" i="1"/>
  <c r="Y916" i="1"/>
  <c r="X916" i="1"/>
  <c r="W916" i="1"/>
  <c r="V916" i="1"/>
  <c r="U916" i="1"/>
  <c r="T916" i="1"/>
  <c r="L916" i="1"/>
  <c r="Y915" i="1"/>
  <c r="X915" i="1"/>
  <c r="W915" i="1"/>
  <c r="V915" i="1"/>
  <c r="U915" i="1"/>
  <c r="T915" i="1"/>
  <c r="L915" i="1"/>
  <c r="Y914" i="1"/>
  <c r="X914" i="1"/>
  <c r="W914" i="1"/>
  <c r="V914" i="1"/>
  <c r="U914" i="1"/>
  <c r="T914" i="1"/>
  <c r="L914" i="1"/>
  <c r="Y913" i="1"/>
  <c r="X913" i="1"/>
  <c r="W913" i="1"/>
  <c r="V913" i="1"/>
  <c r="U913" i="1"/>
  <c r="T913" i="1"/>
  <c r="L913" i="1"/>
  <c r="Y912" i="1"/>
  <c r="X912" i="1"/>
  <c r="W912" i="1"/>
  <c r="V912" i="1"/>
  <c r="U912" i="1"/>
  <c r="T912" i="1"/>
  <c r="L912" i="1"/>
  <c r="Y911" i="1"/>
  <c r="X911" i="1"/>
  <c r="W911" i="1"/>
  <c r="V911" i="1"/>
  <c r="U911" i="1"/>
  <c r="T911" i="1"/>
  <c r="L911" i="1"/>
  <c r="Y910" i="1"/>
  <c r="X910" i="1"/>
  <c r="W910" i="1"/>
  <c r="V910" i="1"/>
  <c r="U910" i="1"/>
  <c r="T910" i="1"/>
  <c r="L910" i="1"/>
  <c r="Y909" i="1"/>
  <c r="X909" i="1"/>
  <c r="W909" i="1"/>
  <c r="V909" i="1"/>
  <c r="U909" i="1"/>
  <c r="T909" i="1"/>
  <c r="L909" i="1"/>
  <c r="Y908" i="1"/>
  <c r="X908" i="1"/>
  <c r="W908" i="1"/>
  <c r="V908" i="1"/>
  <c r="U908" i="1"/>
  <c r="T908" i="1"/>
  <c r="L908" i="1"/>
  <c r="Y907" i="1"/>
  <c r="X907" i="1"/>
  <c r="W907" i="1"/>
  <c r="V907" i="1"/>
  <c r="U907" i="1"/>
  <c r="T907" i="1"/>
  <c r="L907" i="1"/>
  <c r="Y906" i="1"/>
  <c r="X906" i="1"/>
  <c r="W906" i="1"/>
  <c r="V906" i="1"/>
  <c r="U906" i="1"/>
  <c r="T906" i="1"/>
  <c r="L906" i="1"/>
  <c r="Y905" i="1"/>
  <c r="X905" i="1"/>
  <c r="W905" i="1"/>
  <c r="V905" i="1"/>
  <c r="U905" i="1"/>
  <c r="T905" i="1"/>
  <c r="L905" i="1"/>
  <c r="Y904" i="1"/>
  <c r="X904" i="1"/>
  <c r="W904" i="1"/>
  <c r="V904" i="1"/>
  <c r="U904" i="1"/>
  <c r="T904" i="1"/>
  <c r="L904" i="1"/>
  <c r="Y903" i="1"/>
  <c r="X903" i="1"/>
  <c r="W903" i="1"/>
  <c r="V903" i="1"/>
  <c r="U903" i="1"/>
  <c r="T903" i="1"/>
  <c r="L903" i="1"/>
  <c r="Y902" i="1"/>
  <c r="X902" i="1"/>
  <c r="W902" i="1"/>
  <c r="V902" i="1"/>
  <c r="U902" i="1"/>
  <c r="T902" i="1"/>
  <c r="L902" i="1"/>
  <c r="Y901" i="1"/>
  <c r="X901" i="1"/>
  <c r="W901" i="1"/>
  <c r="V901" i="1"/>
  <c r="U901" i="1"/>
  <c r="T901" i="1"/>
  <c r="L901" i="1"/>
  <c r="Y900" i="1"/>
  <c r="X900" i="1"/>
  <c r="W900" i="1"/>
  <c r="V900" i="1"/>
  <c r="U900" i="1"/>
  <c r="T900" i="1"/>
  <c r="L900" i="1"/>
  <c r="Y899" i="1"/>
  <c r="X899" i="1"/>
  <c r="W899" i="1"/>
  <c r="V899" i="1"/>
  <c r="U899" i="1"/>
  <c r="T899" i="1"/>
  <c r="L899" i="1"/>
  <c r="Y898" i="1"/>
  <c r="X898" i="1"/>
  <c r="W898" i="1"/>
  <c r="V898" i="1"/>
  <c r="U898" i="1"/>
  <c r="T898" i="1"/>
  <c r="L898" i="1"/>
  <c r="Y897" i="1"/>
  <c r="X897" i="1"/>
  <c r="W897" i="1"/>
  <c r="V897" i="1"/>
  <c r="U897" i="1"/>
  <c r="T897" i="1"/>
  <c r="L897" i="1"/>
  <c r="Y896" i="1"/>
  <c r="X896" i="1"/>
  <c r="W896" i="1"/>
  <c r="V896" i="1"/>
  <c r="U896" i="1"/>
  <c r="T896" i="1"/>
  <c r="L896" i="1"/>
  <c r="Y895" i="1"/>
  <c r="X895" i="1"/>
  <c r="W895" i="1"/>
  <c r="V895" i="1"/>
  <c r="U895" i="1"/>
  <c r="T895" i="1"/>
  <c r="L895" i="1"/>
  <c r="Y894" i="1"/>
  <c r="X894" i="1"/>
  <c r="W894" i="1"/>
  <c r="V894" i="1"/>
  <c r="U894" i="1"/>
  <c r="T894" i="1"/>
  <c r="L894" i="1"/>
  <c r="Y893" i="1"/>
  <c r="X893" i="1"/>
  <c r="W893" i="1"/>
  <c r="V893" i="1"/>
  <c r="U893" i="1"/>
  <c r="T893" i="1"/>
  <c r="L893" i="1"/>
  <c r="Y892" i="1"/>
  <c r="X892" i="1"/>
  <c r="W892" i="1"/>
  <c r="V892" i="1"/>
  <c r="U892" i="1"/>
  <c r="T892" i="1"/>
  <c r="L892" i="1"/>
  <c r="Y891" i="1"/>
  <c r="X891" i="1"/>
  <c r="W891" i="1"/>
  <c r="V891" i="1"/>
  <c r="U891" i="1"/>
  <c r="T891" i="1"/>
  <c r="L891" i="1"/>
  <c r="Y890" i="1"/>
  <c r="X890" i="1"/>
  <c r="W890" i="1"/>
  <c r="V890" i="1"/>
  <c r="U890" i="1"/>
  <c r="T890" i="1"/>
  <c r="L890" i="1"/>
  <c r="Y889" i="1"/>
  <c r="X889" i="1"/>
  <c r="W889" i="1"/>
  <c r="V889" i="1"/>
  <c r="U889" i="1"/>
  <c r="T889" i="1"/>
  <c r="L889" i="1"/>
  <c r="Y888" i="1"/>
  <c r="X888" i="1"/>
  <c r="W888" i="1"/>
  <c r="V888" i="1"/>
  <c r="U888" i="1"/>
  <c r="T888" i="1"/>
  <c r="L888" i="1"/>
  <c r="Y887" i="1"/>
  <c r="X887" i="1"/>
  <c r="W887" i="1"/>
  <c r="V887" i="1"/>
  <c r="U887" i="1"/>
  <c r="T887" i="1"/>
  <c r="L887" i="1"/>
  <c r="Y886" i="1"/>
  <c r="X886" i="1"/>
  <c r="W886" i="1"/>
  <c r="V886" i="1"/>
  <c r="U886" i="1"/>
  <c r="T886" i="1"/>
  <c r="L886" i="1"/>
  <c r="Y885" i="1"/>
  <c r="X885" i="1"/>
  <c r="W885" i="1"/>
  <c r="V885" i="1"/>
  <c r="U885" i="1"/>
  <c r="T885" i="1"/>
  <c r="L885" i="1"/>
  <c r="Y884" i="1"/>
  <c r="X884" i="1"/>
  <c r="W884" i="1"/>
  <c r="V884" i="1"/>
  <c r="U884" i="1"/>
  <c r="T884" i="1"/>
  <c r="L884" i="1"/>
  <c r="Y883" i="1"/>
  <c r="X883" i="1"/>
  <c r="W883" i="1"/>
  <c r="V883" i="1"/>
  <c r="U883" i="1"/>
  <c r="T883" i="1"/>
  <c r="L883" i="1"/>
  <c r="Y882" i="1"/>
  <c r="X882" i="1"/>
  <c r="W882" i="1"/>
  <c r="V882" i="1"/>
  <c r="U882" i="1"/>
  <c r="T882" i="1"/>
  <c r="L882" i="1"/>
  <c r="Y881" i="1"/>
  <c r="X881" i="1"/>
  <c r="W881" i="1"/>
  <c r="V881" i="1"/>
  <c r="U881" i="1"/>
  <c r="T881" i="1"/>
  <c r="L881" i="1"/>
  <c r="Y880" i="1"/>
  <c r="X880" i="1"/>
  <c r="W880" i="1"/>
  <c r="V880" i="1"/>
  <c r="U880" i="1"/>
  <c r="T880" i="1"/>
  <c r="L880" i="1"/>
  <c r="Y879" i="1"/>
  <c r="X879" i="1"/>
  <c r="W879" i="1"/>
  <c r="V879" i="1"/>
  <c r="U879" i="1"/>
  <c r="T879" i="1"/>
  <c r="L879" i="1"/>
  <c r="Y878" i="1"/>
  <c r="X878" i="1"/>
  <c r="W878" i="1"/>
  <c r="V878" i="1"/>
  <c r="U878" i="1"/>
  <c r="T878" i="1"/>
  <c r="L878" i="1"/>
  <c r="Y877" i="1"/>
  <c r="X877" i="1"/>
  <c r="W877" i="1"/>
  <c r="V877" i="1"/>
  <c r="U877" i="1"/>
  <c r="T877" i="1"/>
  <c r="L877" i="1"/>
  <c r="Y876" i="1"/>
  <c r="X876" i="1"/>
  <c r="W876" i="1"/>
  <c r="V876" i="1"/>
  <c r="U876" i="1"/>
  <c r="T876" i="1"/>
  <c r="L876" i="1"/>
  <c r="Y875" i="1"/>
  <c r="X875" i="1"/>
  <c r="W875" i="1"/>
  <c r="V875" i="1"/>
  <c r="U875" i="1"/>
  <c r="T875" i="1"/>
  <c r="L875" i="1"/>
  <c r="Y874" i="1"/>
  <c r="X874" i="1"/>
  <c r="W874" i="1"/>
  <c r="V874" i="1"/>
  <c r="U874" i="1"/>
  <c r="T874" i="1"/>
  <c r="L874" i="1"/>
  <c r="Y873" i="1"/>
  <c r="X873" i="1"/>
  <c r="W873" i="1"/>
  <c r="V873" i="1"/>
  <c r="U873" i="1"/>
  <c r="T873" i="1"/>
  <c r="L873" i="1"/>
  <c r="Y872" i="1"/>
  <c r="X872" i="1"/>
  <c r="W872" i="1"/>
  <c r="V872" i="1"/>
  <c r="U872" i="1"/>
  <c r="T872" i="1"/>
  <c r="L872" i="1"/>
  <c r="Y871" i="1"/>
  <c r="X871" i="1"/>
  <c r="W871" i="1"/>
  <c r="V871" i="1"/>
  <c r="U871" i="1"/>
  <c r="T871" i="1"/>
  <c r="L871" i="1"/>
  <c r="Y870" i="1"/>
  <c r="X870" i="1"/>
  <c r="W870" i="1"/>
  <c r="V870" i="1"/>
  <c r="U870" i="1"/>
  <c r="T870" i="1"/>
  <c r="L870" i="1"/>
  <c r="Y869" i="1"/>
  <c r="X869" i="1"/>
  <c r="W869" i="1"/>
  <c r="V869" i="1"/>
  <c r="U869" i="1"/>
  <c r="T869" i="1"/>
  <c r="L869" i="1"/>
  <c r="Y868" i="1"/>
  <c r="X868" i="1"/>
  <c r="W868" i="1"/>
  <c r="V868" i="1"/>
  <c r="U868" i="1"/>
  <c r="T868" i="1"/>
  <c r="L868" i="1"/>
  <c r="Y867" i="1"/>
  <c r="X867" i="1"/>
  <c r="W867" i="1"/>
  <c r="V867" i="1"/>
  <c r="U867" i="1"/>
  <c r="T867" i="1"/>
  <c r="L867" i="1"/>
  <c r="Y866" i="1"/>
  <c r="X866" i="1"/>
  <c r="W866" i="1"/>
  <c r="V866" i="1"/>
  <c r="U866" i="1"/>
  <c r="T866" i="1"/>
  <c r="L866" i="1"/>
  <c r="Y865" i="1"/>
  <c r="X865" i="1"/>
  <c r="W865" i="1"/>
  <c r="V865" i="1"/>
  <c r="U865" i="1"/>
  <c r="T865" i="1"/>
  <c r="L865" i="1"/>
  <c r="Y864" i="1"/>
  <c r="X864" i="1"/>
  <c r="W864" i="1"/>
  <c r="V864" i="1"/>
  <c r="U864" i="1"/>
  <c r="T864" i="1"/>
  <c r="L864" i="1"/>
  <c r="Y863" i="1"/>
  <c r="X863" i="1"/>
  <c r="W863" i="1"/>
  <c r="V863" i="1"/>
  <c r="U863" i="1"/>
  <c r="T863" i="1"/>
  <c r="L863" i="1"/>
  <c r="Y862" i="1"/>
  <c r="X862" i="1"/>
  <c r="W862" i="1"/>
  <c r="V862" i="1"/>
  <c r="U862" i="1"/>
  <c r="T862" i="1"/>
  <c r="L862" i="1"/>
  <c r="Y861" i="1"/>
  <c r="X861" i="1"/>
  <c r="W861" i="1"/>
  <c r="V861" i="1"/>
  <c r="U861" i="1"/>
  <c r="T861" i="1"/>
  <c r="L861" i="1"/>
  <c r="Y860" i="1"/>
  <c r="X860" i="1"/>
  <c r="W860" i="1"/>
  <c r="V860" i="1"/>
  <c r="U860" i="1"/>
  <c r="T860" i="1"/>
  <c r="L860" i="1"/>
  <c r="Y859" i="1"/>
  <c r="X859" i="1"/>
  <c r="W859" i="1"/>
  <c r="V859" i="1"/>
  <c r="U859" i="1"/>
  <c r="T859" i="1"/>
  <c r="L859" i="1"/>
  <c r="Y858" i="1"/>
  <c r="X858" i="1"/>
  <c r="W858" i="1"/>
  <c r="V858" i="1"/>
  <c r="U858" i="1"/>
  <c r="T858" i="1"/>
  <c r="L858" i="1"/>
  <c r="Y857" i="1"/>
  <c r="X857" i="1"/>
  <c r="W857" i="1"/>
  <c r="V857" i="1"/>
  <c r="U857" i="1"/>
  <c r="T857" i="1"/>
  <c r="L857" i="1"/>
  <c r="Y856" i="1"/>
  <c r="X856" i="1"/>
  <c r="W856" i="1"/>
  <c r="V856" i="1"/>
  <c r="U856" i="1"/>
  <c r="T856" i="1"/>
  <c r="L856" i="1"/>
  <c r="Y855" i="1"/>
  <c r="X855" i="1"/>
  <c r="W855" i="1"/>
  <c r="V855" i="1"/>
  <c r="U855" i="1"/>
  <c r="T855" i="1"/>
  <c r="L855" i="1"/>
  <c r="Y854" i="1"/>
  <c r="X854" i="1"/>
  <c r="W854" i="1"/>
  <c r="V854" i="1"/>
  <c r="U854" i="1"/>
  <c r="T854" i="1"/>
  <c r="L854" i="1"/>
  <c r="Y853" i="1"/>
  <c r="X853" i="1"/>
  <c r="W853" i="1"/>
  <c r="V853" i="1"/>
  <c r="U853" i="1"/>
  <c r="T853" i="1"/>
  <c r="L853" i="1"/>
  <c r="Y852" i="1"/>
  <c r="X852" i="1"/>
  <c r="W852" i="1"/>
  <c r="V852" i="1"/>
  <c r="U852" i="1"/>
  <c r="T852" i="1"/>
  <c r="L852" i="1"/>
  <c r="Y851" i="1"/>
  <c r="X851" i="1"/>
  <c r="W851" i="1"/>
  <c r="V851" i="1"/>
  <c r="U851" i="1"/>
  <c r="T851" i="1"/>
  <c r="L851" i="1"/>
  <c r="Y850" i="1"/>
  <c r="X850" i="1"/>
  <c r="W850" i="1"/>
  <c r="V850" i="1"/>
  <c r="U850" i="1"/>
  <c r="T850" i="1"/>
  <c r="L850" i="1"/>
  <c r="Y849" i="1"/>
  <c r="X849" i="1"/>
  <c r="W849" i="1"/>
  <c r="V849" i="1"/>
  <c r="U849" i="1"/>
  <c r="T849" i="1"/>
  <c r="L849" i="1"/>
  <c r="Y848" i="1"/>
  <c r="X848" i="1"/>
  <c r="W848" i="1"/>
  <c r="V848" i="1"/>
  <c r="U848" i="1"/>
  <c r="T848" i="1"/>
  <c r="L848" i="1"/>
  <c r="Y847" i="1"/>
  <c r="X847" i="1"/>
  <c r="W847" i="1"/>
  <c r="V847" i="1"/>
  <c r="U847" i="1"/>
  <c r="T847" i="1"/>
  <c r="L847" i="1"/>
  <c r="Y846" i="1"/>
  <c r="X846" i="1"/>
  <c r="W846" i="1"/>
  <c r="V846" i="1"/>
  <c r="U846" i="1"/>
  <c r="T846" i="1"/>
  <c r="L846" i="1"/>
  <c r="Y845" i="1"/>
  <c r="X845" i="1"/>
  <c r="W845" i="1"/>
  <c r="V845" i="1"/>
  <c r="U845" i="1"/>
  <c r="T845" i="1"/>
  <c r="L845" i="1"/>
  <c r="Y844" i="1"/>
  <c r="X844" i="1"/>
  <c r="W844" i="1"/>
  <c r="V844" i="1"/>
  <c r="U844" i="1"/>
  <c r="T844" i="1"/>
  <c r="L844" i="1"/>
  <c r="Y843" i="1"/>
  <c r="X843" i="1"/>
  <c r="W843" i="1"/>
  <c r="V843" i="1"/>
  <c r="U843" i="1"/>
  <c r="T843" i="1"/>
  <c r="L843" i="1"/>
  <c r="Y842" i="1"/>
  <c r="X842" i="1"/>
  <c r="W842" i="1"/>
  <c r="V842" i="1"/>
  <c r="U842" i="1"/>
  <c r="T842" i="1"/>
  <c r="L842" i="1"/>
  <c r="Y841" i="1"/>
  <c r="X841" i="1"/>
  <c r="W841" i="1"/>
  <c r="V841" i="1"/>
  <c r="U841" i="1"/>
  <c r="T841" i="1"/>
  <c r="L841" i="1"/>
  <c r="Y840" i="1"/>
  <c r="X840" i="1"/>
  <c r="W840" i="1"/>
  <c r="V840" i="1"/>
  <c r="U840" i="1"/>
  <c r="T840" i="1"/>
  <c r="L840" i="1"/>
  <c r="Y839" i="1"/>
  <c r="X839" i="1"/>
  <c r="W839" i="1"/>
  <c r="V839" i="1"/>
  <c r="U839" i="1"/>
  <c r="T839" i="1"/>
  <c r="L839" i="1"/>
  <c r="Y838" i="1"/>
  <c r="X838" i="1"/>
  <c r="W838" i="1"/>
  <c r="V838" i="1"/>
  <c r="U838" i="1"/>
  <c r="T838" i="1"/>
  <c r="L838" i="1"/>
  <c r="Y837" i="1"/>
  <c r="X837" i="1"/>
  <c r="W837" i="1"/>
  <c r="V837" i="1"/>
  <c r="U837" i="1"/>
  <c r="T837" i="1"/>
  <c r="L837" i="1"/>
  <c r="Y836" i="1"/>
  <c r="X836" i="1"/>
  <c r="W836" i="1"/>
  <c r="V836" i="1"/>
  <c r="U836" i="1"/>
  <c r="T836" i="1"/>
  <c r="L836" i="1"/>
  <c r="Y835" i="1"/>
  <c r="X835" i="1"/>
  <c r="W835" i="1"/>
  <c r="V835" i="1"/>
  <c r="U835" i="1"/>
  <c r="T835" i="1"/>
  <c r="L835" i="1"/>
  <c r="Y834" i="1"/>
  <c r="X834" i="1"/>
  <c r="W834" i="1"/>
  <c r="V834" i="1"/>
  <c r="U834" i="1"/>
  <c r="T834" i="1"/>
  <c r="L834" i="1"/>
  <c r="Y833" i="1"/>
  <c r="X833" i="1"/>
  <c r="W833" i="1"/>
  <c r="V833" i="1"/>
  <c r="U833" i="1"/>
  <c r="T833" i="1"/>
  <c r="L833" i="1"/>
  <c r="Y832" i="1"/>
  <c r="X832" i="1"/>
  <c r="W832" i="1"/>
  <c r="V832" i="1"/>
  <c r="U832" i="1"/>
  <c r="T832" i="1"/>
  <c r="L832" i="1"/>
  <c r="Y831" i="1"/>
  <c r="X831" i="1"/>
  <c r="W831" i="1"/>
  <c r="V831" i="1"/>
  <c r="U831" i="1"/>
  <c r="T831" i="1"/>
  <c r="L831" i="1"/>
  <c r="Y830" i="1"/>
  <c r="X830" i="1"/>
  <c r="W830" i="1"/>
  <c r="V830" i="1"/>
  <c r="U830" i="1"/>
  <c r="T830" i="1"/>
  <c r="L830" i="1"/>
  <c r="Y829" i="1"/>
  <c r="X829" i="1"/>
  <c r="W829" i="1"/>
  <c r="V829" i="1"/>
  <c r="U829" i="1"/>
  <c r="T829" i="1"/>
  <c r="L829" i="1"/>
  <c r="Y828" i="1"/>
  <c r="X828" i="1"/>
  <c r="W828" i="1"/>
  <c r="V828" i="1"/>
  <c r="U828" i="1"/>
  <c r="T828" i="1"/>
  <c r="L828" i="1"/>
  <c r="Y827" i="1"/>
  <c r="X827" i="1"/>
  <c r="W827" i="1"/>
  <c r="V827" i="1"/>
  <c r="U827" i="1"/>
  <c r="T827" i="1"/>
  <c r="L827" i="1"/>
  <c r="Y826" i="1"/>
  <c r="X826" i="1"/>
  <c r="W826" i="1"/>
  <c r="V826" i="1"/>
  <c r="U826" i="1"/>
  <c r="T826" i="1"/>
  <c r="L826" i="1"/>
  <c r="Y825" i="1"/>
  <c r="X825" i="1"/>
  <c r="W825" i="1"/>
  <c r="V825" i="1"/>
  <c r="U825" i="1"/>
  <c r="T825" i="1"/>
  <c r="L825" i="1"/>
  <c r="Y824" i="1"/>
  <c r="X824" i="1"/>
  <c r="W824" i="1"/>
  <c r="V824" i="1"/>
  <c r="U824" i="1"/>
  <c r="T824" i="1"/>
  <c r="L824" i="1"/>
  <c r="Y823" i="1"/>
  <c r="X823" i="1"/>
  <c r="W823" i="1"/>
  <c r="V823" i="1"/>
  <c r="U823" i="1"/>
  <c r="T823" i="1"/>
  <c r="L823" i="1"/>
  <c r="Y822" i="1"/>
  <c r="X822" i="1"/>
  <c r="W822" i="1"/>
  <c r="V822" i="1"/>
  <c r="U822" i="1"/>
  <c r="T822" i="1"/>
  <c r="L822" i="1"/>
  <c r="Y821" i="1"/>
  <c r="X821" i="1"/>
  <c r="W821" i="1"/>
  <c r="V821" i="1"/>
  <c r="U821" i="1"/>
  <c r="T821" i="1"/>
  <c r="L821" i="1"/>
  <c r="Y820" i="1"/>
  <c r="X820" i="1"/>
  <c r="W820" i="1"/>
  <c r="V820" i="1"/>
  <c r="U820" i="1"/>
  <c r="T820" i="1"/>
  <c r="L820" i="1"/>
  <c r="Y819" i="1"/>
  <c r="X819" i="1"/>
  <c r="W819" i="1"/>
  <c r="V819" i="1"/>
  <c r="U819" i="1"/>
  <c r="T819" i="1"/>
  <c r="L819" i="1"/>
  <c r="Y818" i="1"/>
  <c r="X818" i="1"/>
  <c r="W818" i="1"/>
  <c r="V818" i="1"/>
  <c r="U818" i="1"/>
  <c r="T818" i="1"/>
  <c r="L818" i="1"/>
  <c r="Y817" i="1"/>
  <c r="X817" i="1"/>
  <c r="W817" i="1"/>
  <c r="V817" i="1"/>
  <c r="U817" i="1"/>
  <c r="T817" i="1"/>
  <c r="L817" i="1"/>
  <c r="Y816" i="1"/>
  <c r="X816" i="1"/>
  <c r="W816" i="1"/>
  <c r="V816" i="1"/>
  <c r="U816" i="1"/>
  <c r="T816" i="1"/>
  <c r="L816" i="1"/>
  <c r="Y815" i="1"/>
  <c r="X815" i="1"/>
  <c r="W815" i="1"/>
  <c r="V815" i="1"/>
  <c r="U815" i="1"/>
  <c r="T815" i="1"/>
  <c r="L815" i="1"/>
  <c r="Y814" i="1"/>
  <c r="X814" i="1"/>
  <c r="W814" i="1"/>
  <c r="V814" i="1"/>
  <c r="U814" i="1"/>
  <c r="T814" i="1"/>
  <c r="L814" i="1"/>
  <c r="Y813" i="1"/>
  <c r="X813" i="1"/>
  <c r="W813" i="1"/>
  <c r="V813" i="1"/>
  <c r="U813" i="1"/>
  <c r="T813" i="1"/>
  <c r="L813" i="1"/>
  <c r="Y812" i="1"/>
  <c r="X812" i="1"/>
  <c r="W812" i="1"/>
  <c r="V812" i="1"/>
  <c r="U812" i="1"/>
  <c r="T812" i="1"/>
  <c r="L812" i="1"/>
  <c r="Y811" i="1"/>
  <c r="X811" i="1"/>
  <c r="W811" i="1"/>
  <c r="V811" i="1"/>
  <c r="U811" i="1"/>
  <c r="T811" i="1"/>
  <c r="L811" i="1"/>
  <c r="Y810" i="1"/>
  <c r="X810" i="1"/>
  <c r="W810" i="1"/>
  <c r="V810" i="1"/>
  <c r="U810" i="1"/>
  <c r="T810" i="1"/>
  <c r="L810" i="1"/>
  <c r="Y809" i="1"/>
  <c r="X809" i="1"/>
  <c r="W809" i="1"/>
  <c r="V809" i="1"/>
  <c r="U809" i="1"/>
  <c r="T809" i="1"/>
  <c r="L809" i="1"/>
  <c r="Y808" i="1"/>
  <c r="X808" i="1"/>
  <c r="W808" i="1"/>
  <c r="V808" i="1"/>
  <c r="U808" i="1"/>
  <c r="T808" i="1"/>
  <c r="L808" i="1"/>
  <c r="Y807" i="1"/>
  <c r="X807" i="1"/>
  <c r="W807" i="1"/>
  <c r="V807" i="1"/>
  <c r="U807" i="1"/>
  <c r="T807" i="1"/>
  <c r="L807" i="1"/>
  <c r="Y806" i="1"/>
  <c r="X806" i="1"/>
  <c r="W806" i="1"/>
  <c r="V806" i="1"/>
  <c r="U806" i="1"/>
  <c r="T806" i="1"/>
  <c r="L806" i="1"/>
  <c r="Y805" i="1"/>
  <c r="X805" i="1"/>
  <c r="W805" i="1"/>
  <c r="V805" i="1"/>
  <c r="U805" i="1"/>
  <c r="T805" i="1"/>
  <c r="L805" i="1"/>
  <c r="Y804" i="1"/>
  <c r="X804" i="1"/>
  <c r="W804" i="1"/>
  <c r="V804" i="1"/>
  <c r="U804" i="1"/>
  <c r="T804" i="1"/>
  <c r="L804" i="1"/>
  <c r="Y803" i="1"/>
  <c r="X803" i="1"/>
  <c r="W803" i="1"/>
  <c r="V803" i="1"/>
  <c r="U803" i="1"/>
  <c r="T803" i="1"/>
  <c r="L803" i="1"/>
  <c r="Y802" i="1"/>
  <c r="X802" i="1"/>
  <c r="W802" i="1"/>
  <c r="V802" i="1"/>
  <c r="U802" i="1"/>
  <c r="T802" i="1"/>
  <c r="L802" i="1"/>
  <c r="Y801" i="1"/>
  <c r="X801" i="1"/>
  <c r="W801" i="1"/>
  <c r="V801" i="1"/>
  <c r="U801" i="1"/>
  <c r="T801" i="1"/>
  <c r="L801" i="1"/>
  <c r="Y800" i="1"/>
  <c r="X800" i="1"/>
  <c r="W800" i="1"/>
  <c r="V800" i="1"/>
  <c r="U800" i="1"/>
  <c r="T800" i="1"/>
  <c r="L800" i="1"/>
  <c r="Y799" i="1"/>
  <c r="X799" i="1"/>
  <c r="W799" i="1"/>
  <c r="V799" i="1"/>
  <c r="U799" i="1"/>
  <c r="T799" i="1"/>
  <c r="L799" i="1"/>
  <c r="Y798" i="1"/>
  <c r="X798" i="1"/>
  <c r="W798" i="1"/>
  <c r="V798" i="1"/>
  <c r="U798" i="1"/>
  <c r="T798" i="1"/>
  <c r="L798" i="1"/>
  <c r="Y797" i="1"/>
  <c r="X797" i="1"/>
  <c r="W797" i="1"/>
  <c r="V797" i="1"/>
  <c r="U797" i="1"/>
  <c r="T797" i="1"/>
  <c r="L797" i="1"/>
  <c r="Y796" i="1"/>
  <c r="X796" i="1"/>
  <c r="W796" i="1"/>
  <c r="V796" i="1"/>
  <c r="U796" i="1"/>
  <c r="T796" i="1"/>
  <c r="L796" i="1"/>
  <c r="Y795" i="1"/>
  <c r="X795" i="1"/>
  <c r="W795" i="1"/>
  <c r="V795" i="1"/>
  <c r="U795" i="1"/>
  <c r="T795" i="1"/>
  <c r="L795" i="1"/>
  <c r="Y794" i="1"/>
  <c r="X794" i="1"/>
  <c r="W794" i="1"/>
  <c r="V794" i="1"/>
  <c r="U794" i="1"/>
  <c r="T794" i="1"/>
  <c r="L794" i="1"/>
  <c r="Y793" i="1"/>
  <c r="X793" i="1"/>
  <c r="W793" i="1"/>
  <c r="V793" i="1"/>
  <c r="U793" i="1"/>
  <c r="T793" i="1"/>
  <c r="L793" i="1"/>
  <c r="Y792" i="1"/>
  <c r="X792" i="1"/>
  <c r="W792" i="1"/>
  <c r="V792" i="1"/>
  <c r="U792" i="1"/>
  <c r="T792" i="1"/>
  <c r="L792" i="1"/>
  <c r="Y791" i="1"/>
  <c r="X791" i="1"/>
  <c r="W791" i="1"/>
  <c r="V791" i="1"/>
  <c r="U791" i="1"/>
  <c r="T791" i="1"/>
  <c r="L791" i="1"/>
  <c r="Y790" i="1"/>
  <c r="X790" i="1"/>
  <c r="W790" i="1"/>
  <c r="V790" i="1"/>
  <c r="U790" i="1"/>
  <c r="T790" i="1"/>
  <c r="L790" i="1"/>
  <c r="Y789" i="1"/>
  <c r="X789" i="1"/>
  <c r="W789" i="1"/>
  <c r="V789" i="1"/>
  <c r="U789" i="1"/>
  <c r="T789" i="1"/>
  <c r="L789" i="1"/>
  <c r="Y788" i="1"/>
  <c r="X788" i="1"/>
  <c r="W788" i="1"/>
  <c r="V788" i="1"/>
  <c r="U788" i="1"/>
  <c r="T788" i="1"/>
  <c r="L788" i="1"/>
  <c r="Y787" i="1"/>
  <c r="X787" i="1"/>
  <c r="W787" i="1"/>
  <c r="V787" i="1"/>
  <c r="U787" i="1"/>
  <c r="T787" i="1"/>
  <c r="L787" i="1"/>
  <c r="Y786" i="1"/>
  <c r="X786" i="1"/>
  <c r="W786" i="1"/>
  <c r="V786" i="1"/>
  <c r="U786" i="1"/>
  <c r="T786" i="1"/>
  <c r="L786" i="1"/>
  <c r="Y785" i="1"/>
  <c r="X785" i="1"/>
  <c r="W785" i="1"/>
  <c r="V785" i="1"/>
  <c r="U785" i="1"/>
  <c r="T785" i="1"/>
  <c r="L785" i="1"/>
  <c r="Y784" i="1"/>
  <c r="X784" i="1"/>
  <c r="W784" i="1"/>
  <c r="V784" i="1"/>
  <c r="U784" i="1"/>
  <c r="T784" i="1"/>
  <c r="L784" i="1"/>
  <c r="Y783" i="1"/>
  <c r="X783" i="1"/>
  <c r="W783" i="1"/>
  <c r="V783" i="1"/>
  <c r="U783" i="1"/>
  <c r="T783" i="1"/>
  <c r="L783" i="1"/>
  <c r="Y782" i="1"/>
  <c r="X782" i="1"/>
  <c r="W782" i="1"/>
  <c r="V782" i="1"/>
  <c r="U782" i="1"/>
  <c r="T782" i="1"/>
  <c r="L782" i="1"/>
  <c r="Y781" i="1"/>
  <c r="X781" i="1"/>
  <c r="W781" i="1"/>
  <c r="V781" i="1"/>
  <c r="U781" i="1"/>
  <c r="T781" i="1"/>
  <c r="L781" i="1"/>
  <c r="Y780" i="1"/>
  <c r="X780" i="1"/>
  <c r="W780" i="1"/>
  <c r="V780" i="1"/>
  <c r="U780" i="1"/>
  <c r="T780" i="1"/>
  <c r="L780" i="1"/>
  <c r="Y779" i="1"/>
  <c r="X779" i="1"/>
  <c r="W779" i="1"/>
  <c r="V779" i="1"/>
  <c r="U779" i="1"/>
  <c r="T779" i="1"/>
  <c r="L779" i="1"/>
  <c r="Y778" i="1"/>
  <c r="X778" i="1"/>
  <c r="W778" i="1"/>
  <c r="V778" i="1"/>
  <c r="U778" i="1"/>
  <c r="T778" i="1"/>
  <c r="L778" i="1"/>
  <c r="Y777" i="1"/>
  <c r="X777" i="1"/>
  <c r="W777" i="1"/>
  <c r="V777" i="1"/>
  <c r="U777" i="1"/>
  <c r="T777" i="1"/>
  <c r="L777" i="1"/>
  <c r="Y776" i="1"/>
  <c r="X776" i="1"/>
  <c r="W776" i="1"/>
  <c r="V776" i="1"/>
  <c r="U776" i="1"/>
  <c r="T776" i="1"/>
  <c r="L776" i="1"/>
  <c r="Y775" i="1"/>
  <c r="X775" i="1"/>
  <c r="W775" i="1"/>
  <c r="V775" i="1"/>
  <c r="U775" i="1"/>
  <c r="T775" i="1"/>
  <c r="L775" i="1"/>
  <c r="Y774" i="1"/>
  <c r="X774" i="1"/>
  <c r="W774" i="1"/>
  <c r="V774" i="1"/>
  <c r="U774" i="1"/>
  <c r="T774" i="1"/>
  <c r="L774" i="1"/>
  <c r="Y773" i="1"/>
  <c r="X773" i="1"/>
  <c r="W773" i="1"/>
  <c r="V773" i="1"/>
  <c r="U773" i="1"/>
  <c r="T773" i="1"/>
  <c r="L773" i="1"/>
  <c r="Y772" i="1"/>
  <c r="X772" i="1"/>
  <c r="W772" i="1"/>
  <c r="V772" i="1"/>
  <c r="U772" i="1"/>
  <c r="T772" i="1"/>
  <c r="L772" i="1"/>
  <c r="Y771" i="1"/>
  <c r="X771" i="1"/>
  <c r="W771" i="1"/>
  <c r="V771" i="1"/>
  <c r="U771" i="1"/>
  <c r="T771" i="1"/>
  <c r="L771" i="1"/>
  <c r="Y770" i="1"/>
  <c r="X770" i="1"/>
  <c r="W770" i="1"/>
  <c r="V770" i="1"/>
  <c r="U770" i="1"/>
  <c r="T770" i="1"/>
  <c r="L770" i="1"/>
  <c r="Y769" i="1"/>
  <c r="X769" i="1"/>
  <c r="W769" i="1"/>
  <c r="V769" i="1"/>
  <c r="U769" i="1"/>
  <c r="T769" i="1"/>
  <c r="L769" i="1"/>
  <c r="Y768" i="1"/>
  <c r="X768" i="1"/>
  <c r="W768" i="1"/>
  <c r="V768" i="1"/>
  <c r="U768" i="1"/>
  <c r="T768" i="1"/>
  <c r="L768" i="1"/>
  <c r="Y767" i="1"/>
  <c r="X767" i="1"/>
  <c r="W767" i="1"/>
  <c r="V767" i="1"/>
  <c r="U767" i="1"/>
  <c r="T767" i="1"/>
  <c r="L767" i="1"/>
  <c r="Y766" i="1"/>
  <c r="X766" i="1"/>
  <c r="W766" i="1"/>
  <c r="V766" i="1"/>
  <c r="U766" i="1"/>
  <c r="T766" i="1"/>
  <c r="L766" i="1"/>
  <c r="Y765" i="1"/>
  <c r="X765" i="1"/>
  <c r="W765" i="1"/>
  <c r="V765" i="1"/>
  <c r="U765" i="1"/>
  <c r="T765" i="1"/>
  <c r="L765" i="1"/>
  <c r="Y764" i="1"/>
  <c r="X764" i="1"/>
  <c r="W764" i="1"/>
  <c r="V764" i="1"/>
  <c r="U764" i="1"/>
  <c r="T764" i="1"/>
  <c r="L764" i="1"/>
  <c r="Y763" i="1"/>
  <c r="X763" i="1"/>
  <c r="W763" i="1"/>
  <c r="V763" i="1"/>
  <c r="U763" i="1"/>
  <c r="T763" i="1"/>
  <c r="L763" i="1"/>
  <c r="Y762" i="1"/>
  <c r="X762" i="1"/>
  <c r="W762" i="1"/>
  <c r="V762" i="1"/>
  <c r="U762" i="1"/>
  <c r="T762" i="1"/>
  <c r="L762" i="1"/>
  <c r="Y761" i="1"/>
  <c r="X761" i="1"/>
  <c r="W761" i="1"/>
  <c r="V761" i="1"/>
  <c r="U761" i="1"/>
  <c r="T761" i="1"/>
  <c r="L761" i="1"/>
  <c r="Y760" i="1"/>
  <c r="X760" i="1"/>
  <c r="W760" i="1"/>
  <c r="V760" i="1"/>
  <c r="U760" i="1"/>
  <c r="T760" i="1"/>
  <c r="L760" i="1"/>
  <c r="Y759" i="1"/>
  <c r="X759" i="1"/>
  <c r="W759" i="1"/>
  <c r="V759" i="1"/>
  <c r="U759" i="1"/>
  <c r="T759" i="1"/>
  <c r="L759" i="1"/>
  <c r="Y758" i="1"/>
  <c r="X758" i="1"/>
  <c r="W758" i="1"/>
  <c r="V758" i="1"/>
  <c r="U758" i="1"/>
  <c r="T758" i="1"/>
  <c r="L758" i="1"/>
  <c r="Y757" i="1"/>
  <c r="X757" i="1"/>
  <c r="W757" i="1"/>
  <c r="V757" i="1"/>
  <c r="U757" i="1"/>
  <c r="T757" i="1"/>
  <c r="L757" i="1"/>
  <c r="Y756" i="1"/>
  <c r="X756" i="1"/>
  <c r="W756" i="1"/>
  <c r="V756" i="1"/>
  <c r="U756" i="1"/>
  <c r="T756" i="1"/>
  <c r="L756" i="1"/>
  <c r="Y755" i="1"/>
  <c r="X755" i="1"/>
  <c r="W755" i="1"/>
  <c r="V755" i="1"/>
  <c r="U755" i="1"/>
  <c r="T755" i="1"/>
  <c r="L755" i="1"/>
  <c r="Y754" i="1"/>
  <c r="X754" i="1"/>
  <c r="W754" i="1"/>
  <c r="V754" i="1"/>
  <c r="U754" i="1"/>
  <c r="T754" i="1"/>
  <c r="L754" i="1"/>
  <c r="Y753" i="1"/>
  <c r="X753" i="1"/>
  <c r="W753" i="1"/>
  <c r="V753" i="1"/>
  <c r="U753" i="1"/>
  <c r="T753" i="1"/>
  <c r="L753" i="1"/>
  <c r="Y752" i="1"/>
  <c r="X752" i="1"/>
  <c r="W752" i="1"/>
  <c r="V752" i="1"/>
  <c r="U752" i="1"/>
  <c r="T752" i="1"/>
  <c r="L752" i="1"/>
  <c r="Y751" i="1"/>
  <c r="X751" i="1"/>
  <c r="W751" i="1"/>
  <c r="V751" i="1"/>
  <c r="U751" i="1"/>
  <c r="T751" i="1"/>
  <c r="L751" i="1"/>
  <c r="Y750" i="1"/>
  <c r="X750" i="1"/>
  <c r="W750" i="1"/>
  <c r="V750" i="1"/>
  <c r="U750" i="1"/>
  <c r="T750" i="1"/>
  <c r="L750" i="1"/>
  <c r="Y749" i="1"/>
  <c r="X749" i="1"/>
  <c r="W749" i="1"/>
  <c r="V749" i="1"/>
  <c r="U749" i="1"/>
  <c r="T749" i="1"/>
  <c r="L749" i="1"/>
  <c r="Y748" i="1"/>
  <c r="X748" i="1"/>
  <c r="W748" i="1"/>
  <c r="V748" i="1"/>
  <c r="U748" i="1"/>
  <c r="T748" i="1"/>
  <c r="L748" i="1"/>
  <c r="Y747" i="1"/>
  <c r="X747" i="1"/>
  <c r="W747" i="1"/>
  <c r="V747" i="1"/>
  <c r="U747" i="1"/>
  <c r="T747" i="1"/>
  <c r="L747" i="1"/>
  <c r="Y746" i="1"/>
  <c r="X746" i="1"/>
  <c r="W746" i="1"/>
  <c r="V746" i="1"/>
  <c r="U746" i="1"/>
  <c r="T746" i="1"/>
  <c r="L746" i="1"/>
  <c r="Y745" i="1"/>
  <c r="X745" i="1"/>
  <c r="W745" i="1"/>
  <c r="V745" i="1"/>
  <c r="U745" i="1"/>
  <c r="T745" i="1"/>
  <c r="L745" i="1"/>
  <c r="Y744" i="1"/>
  <c r="X744" i="1"/>
  <c r="W744" i="1"/>
  <c r="V744" i="1"/>
  <c r="U744" i="1"/>
  <c r="T744" i="1"/>
  <c r="L744" i="1"/>
  <c r="Y743" i="1"/>
  <c r="X743" i="1"/>
  <c r="W743" i="1"/>
  <c r="V743" i="1"/>
  <c r="U743" i="1"/>
  <c r="T743" i="1"/>
  <c r="L743" i="1"/>
  <c r="Y742" i="1"/>
  <c r="X742" i="1"/>
  <c r="W742" i="1"/>
  <c r="V742" i="1"/>
  <c r="U742" i="1"/>
  <c r="T742" i="1"/>
  <c r="L742" i="1"/>
  <c r="Y741" i="1"/>
  <c r="X741" i="1"/>
  <c r="W741" i="1"/>
  <c r="V741" i="1"/>
  <c r="U741" i="1"/>
  <c r="T741" i="1"/>
  <c r="L741" i="1"/>
  <c r="Y740" i="1"/>
  <c r="X740" i="1"/>
  <c r="W740" i="1"/>
  <c r="V740" i="1"/>
  <c r="U740" i="1"/>
  <c r="T740" i="1"/>
  <c r="L740" i="1"/>
  <c r="Y739" i="1"/>
  <c r="X739" i="1"/>
  <c r="W739" i="1"/>
  <c r="V739" i="1"/>
  <c r="U739" i="1"/>
  <c r="T739" i="1"/>
  <c r="L739" i="1"/>
  <c r="Y738" i="1"/>
  <c r="X738" i="1"/>
  <c r="W738" i="1"/>
  <c r="V738" i="1"/>
  <c r="U738" i="1"/>
  <c r="T738" i="1"/>
  <c r="L738" i="1"/>
  <c r="Y737" i="1"/>
  <c r="X737" i="1"/>
  <c r="W737" i="1"/>
  <c r="V737" i="1"/>
  <c r="U737" i="1"/>
  <c r="T737" i="1"/>
  <c r="L737" i="1"/>
  <c r="Y736" i="1"/>
  <c r="X736" i="1"/>
  <c r="W736" i="1"/>
  <c r="V736" i="1"/>
  <c r="U736" i="1"/>
  <c r="T736" i="1"/>
  <c r="L736" i="1"/>
  <c r="Y735" i="1"/>
  <c r="X735" i="1"/>
  <c r="W735" i="1"/>
  <c r="V735" i="1"/>
  <c r="U735" i="1"/>
  <c r="T735" i="1"/>
  <c r="L735" i="1"/>
  <c r="Y734" i="1"/>
  <c r="X734" i="1"/>
  <c r="W734" i="1"/>
  <c r="V734" i="1"/>
  <c r="U734" i="1"/>
  <c r="T734" i="1"/>
  <c r="L734" i="1"/>
  <c r="Y733" i="1"/>
  <c r="X733" i="1"/>
  <c r="W733" i="1"/>
  <c r="V733" i="1"/>
  <c r="U733" i="1"/>
  <c r="T733" i="1"/>
  <c r="L733" i="1"/>
  <c r="Y732" i="1"/>
  <c r="X732" i="1"/>
  <c r="W732" i="1"/>
  <c r="V732" i="1"/>
  <c r="U732" i="1"/>
  <c r="T732" i="1"/>
  <c r="L732" i="1"/>
  <c r="Y731" i="1"/>
  <c r="X731" i="1"/>
  <c r="W731" i="1"/>
  <c r="V731" i="1"/>
  <c r="U731" i="1"/>
  <c r="T731" i="1"/>
  <c r="L731" i="1"/>
  <c r="Y730" i="1"/>
  <c r="X730" i="1"/>
  <c r="W730" i="1"/>
  <c r="V730" i="1"/>
  <c r="U730" i="1"/>
  <c r="T730" i="1"/>
  <c r="L730" i="1"/>
  <c r="Y729" i="1"/>
  <c r="X729" i="1"/>
  <c r="W729" i="1"/>
  <c r="V729" i="1"/>
  <c r="U729" i="1"/>
  <c r="T729" i="1"/>
  <c r="L729" i="1"/>
  <c r="Y728" i="1"/>
  <c r="X728" i="1"/>
  <c r="W728" i="1"/>
  <c r="V728" i="1"/>
  <c r="U728" i="1"/>
  <c r="T728" i="1"/>
  <c r="L728" i="1"/>
  <c r="Y727" i="1"/>
  <c r="X727" i="1"/>
  <c r="W727" i="1"/>
  <c r="V727" i="1"/>
  <c r="U727" i="1"/>
  <c r="T727" i="1"/>
  <c r="L727" i="1"/>
  <c r="Y726" i="1"/>
  <c r="X726" i="1"/>
  <c r="W726" i="1"/>
  <c r="V726" i="1"/>
  <c r="U726" i="1"/>
  <c r="T726" i="1"/>
  <c r="L726" i="1"/>
  <c r="Y725" i="1"/>
  <c r="X725" i="1"/>
  <c r="W725" i="1"/>
  <c r="V725" i="1"/>
  <c r="U725" i="1"/>
  <c r="T725" i="1"/>
  <c r="L725" i="1"/>
  <c r="Y724" i="1"/>
  <c r="X724" i="1"/>
  <c r="W724" i="1"/>
  <c r="V724" i="1"/>
  <c r="U724" i="1"/>
  <c r="T724" i="1"/>
  <c r="L724" i="1"/>
  <c r="Y723" i="1"/>
  <c r="X723" i="1"/>
  <c r="W723" i="1"/>
  <c r="V723" i="1"/>
  <c r="U723" i="1"/>
  <c r="T723" i="1"/>
  <c r="L723" i="1"/>
  <c r="Y722" i="1"/>
  <c r="X722" i="1"/>
  <c r="W722" i="1"/>
  <c r="V722" i="1"/>
  <c r="U722" i="1"/>
  <c r="T722" i="1"/>
  <c r="L722" i="1"/>
  <c r="Y721" i="1"/>
  <c r="X721" i="1"/>
  <c r="W721" i="1"/>
  <c r="V721" i="1"/>
  <c r="U721" i="1"/>
  <c r="T721" i="1"/>
  <c r="L721" i="1"/>
  <c r="Y720" i="1"/>
  <c r="X720" i="1"/>
  <c r="W720" i="1"/>
  <c r="V720" i="1"/>
  <c r="U720" i="1"/>
  <c r="T720" i="1"/>
  <c r="L720" i="1"/>
  <c r="Y719" i="1"/>
  <c r="X719" i="1"/>
  <c r="W719" i="1"/>
  <c r="V719" i="1"/>
  <c r="U719" i="1"/>
  <c r="T719" i="1"/>
  <c r="L719" i="1"/>
  <c r="Y718" i="1"/>
  <c r="X718" i="1"/>
  <c r="W718" i="1"/>
  <c r="V718" i="1"/>
  <c r="U718" i="1"/>
  <c r="T718" i="1"/>
  <c r="L718" i="1"/>
  <c r="Y717" i="1"/>
  <c r="X717" i="1"/>
  <c r="W717" i="1"/>
  <c r="V717" i="1"/>
  <c r="U717" i="1"/>
  <c r="T717" i="1"/>
  <c r="L717" i="1"/>
  <c r="Y716" i="1"/>
  <c r="X716" i="1"/>
  <c r="W716" i="1"/>
  <c r="V716" i="1"/>
  <c r="U716" i="1"/>
  <c r="T716" i="1"/>
  <c r="L716" i="1"/>
  <c r="Y715" i="1"/>
  <c r="X715" i="1"/>
  <c r="W715" i="1"/>
  <c r="V715" i="1"/>
  <c r="U715" i="1"/>
  <c r="T715" i="1"/>
  <c r="L715" i="1"/>
  <c r="Y714" i="1"/>
  <c r="X714" i="1"/>
  <c r="W714" i="1"/>
  <c r="V714" i="1"/>
  <c r="U714" i="1"/>
  <c r="T714" i="1"/>
  <c r="L714" i="1"/>
  <c r="Y713" i="1"/>
  <c r="X713" i="1"/>
  <c r="W713" i="1"/>
  <c r="V713" i="1"/>
  <c r="U713" i="1"/>
  <c r="T713" i="1"/>
  <c r="L713" i="1"/>
  <c r="Y712" i="1"/>
  <c r="X712" i="1"/>
  <c r="W712" i="1"/>
  <c r="V712" i="1"/>
  <c r="U712" i="1"/>
  <c r="T712" i="1"/>
  <c r="L712" i="1"/>
  <c r="Y711" i="1"/>
  <c r="X711" i="1"/>
  <c r="W711" i="1"/>
  <c r="V711" i="1"/>
  <c r="U711" i="1"/>
  <c r="T711" i="1"/>
  <c r="L711" i="1"/>
  <c r="Y710" i="1"/>
  <c r="X710" i="1"/>
  <c r="W710" i="1"/>
  <c r="V710" i="1"/>
  <c r="U710" i="1"/>
  <c r="T710" i="1"/>
  <c r="L710" i="1"/>
  <c r="Y709" i="1"/>
  <c r="X709" i="1"/>
  <c r="W709" i="1"/>
  <c r="V709" i="1"/>
  <c r="U709" i="1"/>
  <c r="T709" i="1"/>
  <c r="L709" i="1"/>
  <c r="Y708" i="1"/>
  <c r="X708" i="1"/>
  <c r="W708" i="1"/>
  <c r="V708" i="1"/>
  <c r="U708" i="1"/>
  <c r="T708" i="1"/>
  <c r="L708" i="1"/>
  <c r="Y707" i="1"/>
  <c r="X707" i="1"/>
  <c r="W707" i="1"/>
  <c r="V707" i="1"/>
  <c r="U707" i="1"/>
  <c r="T707" i="1"/>
  <c r="L707" i="1"/>
  <c r="Y706" i="1"/>
  <c r="X706" i="1"/>
  <c r="W706" i="1"/>
  <c r="V706" i="1"/>
  <c r="U706" i="1"/>
  <c r="T706" i="1"/>
  <c r="L706" i="1"/>
  <c r="Y705" i="1"/>
  <c r="X705" i="1"/>
  <c r="W705" i="1"/>
  <c r="V705" i="1"/>
  <c r="U705" i="1"/>
  <c r="T705" i="1"/>
  <c r="L705" i="1"/>
  <c r="Y704" i="1"/>
  <c r="X704" i="1"/>
  <c r="W704" i="1"/>
  <c r="V704" i="1"/>
  <c r="U704" i="1"/>
  <c r="T704" i="1"/>
  <c r="L704" i="1"/>
  <c r="Y703" i="1"/>
  <c r="X703" i="1"/>
  <c r="W703" i="1"/>
  <c r="V703" i="1"/>
  <c r="U703" i="1"/>
  <c r="T703" i="1"/>
  <c r="L703" i="1"/>
  <c r="Y702" i="1"/>
  <c r="X702" i="1"/>
  <c r="W702" i="1"/>
  <c r="V702" i="1"/>
  <c r="U702" i="1"/>
  <c r="T702" i="1"/>
  <c r="L702" i="1"/>
  <c r="Y701" i="1"/>
  <c r="X701" i="1"/>
  <c r="W701" i="1"/>
  <c r="V701" i="1"/>
  <c r="U701" i="1"/>
  <c r="T701" i="1"/>
  <c r="L701" i="1"/>
  <c r="Y700" i="1"/>
  <c r="X700" i="1"/>
  <c r="W700" i="1"/>
  <c r="V700" i="1"/>
  <c r="U700" i="1"/>
  <c r="T700" i="1"/>
  <c r="L700" i="1"/>
  <c r="Y699" i="1"/>
  <c r="X699" i="1"/>
  <c r="W699" i="1"/>
  <c r="V699" i="1"/>
  <c r="U699" i="1"/>
  <c r="T699" i="1"/>
  <c r="L699" i="1"/>
  <c r="Y698" i="1"/>
  <c r="X698" i="1"/>
  <c r="W698" i="1"/>
  <c r="V698" i="1"/>
  <c r="U698" i="1"/>
  <c r="T698" i="1"/>
  <c r="L698" i="1"/>
  <c r="Y697" i="1"/>
  <c r="X697" i="1"/>
  <c r="W697" i="1"/>
  <c r="V697" i="1"/>
  <c r="U697" i="1"/>
  <c r="T697" i="1"/>
  <c r="L697" i="1"/>
  <c r="Y696" i="1"/>
  <c r="X696" i="1"/>
  <c r="W696" i="1"/>
  <c r="V696" i="1"/>
  <c r="U696" i="1"/>
  <c r="T696" i="1"/>
  <c r="L696" i="1"/>
  <c r="Y695" i="1"/>
  <c r="X695" i="1"/>
  <c r="W695" i="1"/>
  <c r="V695" i="1"/>
  <c r="U695" i="1"/>
  <c r="T695" i="1"/>
  <c r="L695" i="1"/>
  <c r="Y694" i="1"/>
  <c r="X694" i="1"/>
  <c r="W694" i="1"/>
  <c r="V694" i="1"/>
  <c r="U694" i="1"/>
  <c r="T694" i="1"/>
  <c r="L694" i="1"/>
  <c r="Y693" i="1"/>
  <c r="X693" i="1"/>
  <c r="W693" i="1"/>
  <c r="V693" i="1"/>
  <c r="U693" i="1"/>
  <c r="T693" i="1"/>
  <c r="L693" i="1"/>
  <c r="Y692" i="1"/>
  <c r="X692" i="1"/>
  <c r="W692" i="1"/>
  <c r="V692" i="1"/>
  <c r="U692" i="1"/>
  <c r="T692" i="1"/>
  <c r="L692" i="1"/>
  <c r="Y691" i="1"/>
  <c r="X691" i="1"/>
  <c r="W691" i="1"/>
  <c r="V691" i="1"/>
  <c r="U691" i="1"/>
  <c r="T691" i="1"/>
  <c r="L691" i="1"/>
  <c r="Y690" i="1"/>
  <c r="X690" i="1"/>
  <c r="W690" i="1"/>
  <c r="V690" i="1"/>
  <c r="U690" i="1"/>
  <c r="T690" i="1"/>
  <c r="L690" i="1"/>
  <c r="Y689" i="1"/>
  <c r="X689" i="1"/>
  <c r="W689" i="1"/>
  <c r="V689" i="1"/>
  <c r="U689" i="1"/>
  <c r="T689" i="1"/>
  <c r="L689" i="1"/>
  <c r="Y688" i="1"/>
  <c r="X688" i="1"/>
  <c r="W688" i="1"/>
  <c r="V688" i="1"/>
  <c r="U688" i="1"/>
  <c r="T688" i="1"/>
  <c r="L688" i="1"/>
  <c r="Y687" i="1"/>
  <c r="X687" i="1"/>
  <c r="W687" i="1"/>
  <c r="V687" i="1"/>
  <c r="U687" i="1"/>
  <c r="T687" i="1"/>
  <c r="L687" i="1"/>
  <c r="Y686" i="1"/>
  <c r="X686" i="1"/>
  <c r="W686" i="1"/>
  <c r="V686" i="1"/>
  <c r="U686" i="1"/>
  <c r="T686" i="1"/>
  <c r="L686" i="1"/>
  <c r="Y685" i="1"/>
  <c r="X685" i="1"/>
  <c r="W685" i="1"/>
  <c r="V685" i="1"/>
  <c r="U685" i="1"/>
  <c r="T685" i="1"/>
  <c r="L685" i="1"/>
  <c r="Y684" i="1"/>
  <c r="X684" i="1"/>
  <c r="W684" i="1"/>
  <c r="V684" i="1"/>
  <c r="U684" i="1"/>
  <c r="T684" i="1"/>
  <c r="L684" i="1"/>
  <c r="Y683" i="1"/>
  <c r="X683" i="1"/>
  <c r="W683" i="1"/>
  <c r="V683" i="1"/>
  <c r="U683" i="1"/>
  <c r="T683" i="1"/>
  <c r="L683" i="1"/>
  <c r="Y682" i="1"/>
  <c r="X682" i="1"/>
  <c r="W682" i="1"/>
  <c r="V682" i="1"/>
  <c r="U682" i="1"/>
  <c r="T682" i="1"/>
  <c r="L682" i="1"/>
  <c r="Y681" i="1"/>
  <c r="X681" i="1"/>
  <c r="W681" i="1"/>
  <c r="V681" i="1"/>
  <c r="U681" i="1"/>
  <c r="T681" i="1"/>
  <c r="L681" i="1"/>
  <c r="Y680" i="1"/>
  <c r="X680" i="1"/>
  <c r="W680" i="1"/>
  <c r="V680" i="1"/>
  <c r="U680" i="1"/>
  <c r="T680" i="1"/>
  <c r="L680" i="1"/>
  <c r="Y679" i="1"/>
  <c r="X679" i="1"/>
  <c r="W679" i="1"/>
  <c r="V679" i="1"/>
  <c r="U679" i="1"/>
  <c r="T679" i="1"/>
  <c r="L679" i="1"/>
  <c r="Y678" i="1"/>
  <c r="X678" i="1"/>
  <c r="W678" i="1"/>
  <c r="V678" i="1"/>
  <c r="U678" i="1"/>
  <c r="T678" i="1"/>
  <c r="L678" i="1"/>
  <c r="Y677" i="1"/>
  <c r="X677" i="1"/>
  <c r="W677" i="1"/>
  <c r="V677" i="1"/>
  <c r="U677" i="1"/>
  <c r="T677" i="1"/>
  <c r="L677" i="1"/>
  <c r="Y676" i="1"/>
  <c r="X676" i="1"/>
  <c r="W676" i="1"/>
  <c r="V676" i="1"/>
  <c r="U676" i="1"/>
  <c r="T676" i="1"/>
  <c r="L676" i="1"/>
  <c r="Y675" i="1"/>
  <c r="X675" i="1"/>
  <c r="W675" i="1"/>
  <c r="V675" i="1"/>
  <c r="U675" i="1"/>
  <c r="T675" i="1"/>
  <c r="L675" i="1"/>
  <c r="Y674" i="1"/>
  <c r="X674" i="1"/>
  <c r="W674" i="1"/>
  <c r="V674" i="1"/>
  <c r="U674" i="1"/>
  <c r="T674" i="1"/>
  <c r="L674" i="1"/>
  <c r="Y673" i="1"/>
  <c r="X673" i="1"/>
  <c r="W673" i="1"/>
  <c r="V673" i="1"/>
  <c r="U673" i="1"/>
  <c r="T673" i="1"/>
  <c r="L673" i="1"/>
  <c r="Y672" i="1"/>
  <c r="X672" i="1"/>
  <c r="W672" i="1"/>
  <c r="V672" i="1"/>
  <c r="U672" i="1"/>
  <c r="T672" i="1"/>
  <c r="L672" i="1"/>
  <c r="Y671" i="1"/>
  <c r="X671" i="1"/>
  <c r="W671" i="1"/>
  <c r="V671" i="1"/>
  <c r="U671" i="1"/>
  <c r="T671" i="1"/>
  <c r="L671" i="1"/>
  <c r="Y670" i="1"/>
  <c r="X670" i="1"/>
  <c r="W670" i="1"/>
  <c r="V670" i="1"/>
  <c r="U670" i="1"/>
  <c r="T670" i="1"/>
  <c r="L670" i="1"/>
  <c r="Y669" i="1"/>
  <c r="X669" i="1"/>
  <c r="W669" i="1"/>
  <c r="V669" i="1"/>
  <c r="U669" i="1"/>
  <c r="T669" i="1"/>
  <c r="L669" i="1"/>
  <c r="Y668" i="1"/>
  <c r="X668" i="1"/>
  <c r="W668" i="1"/>
  <c r="V668" i="1"/>
  <c r="U668" i="1"/>
  <c r="T668" i="1"/>
  <c r="L668" i="1"/>
  <c r="Y667" i="1"/>
  <c r="X667" i="1"/>
  <c r="W667" i="1"/>
  <c r="V667" i="1"/>
  <c r="U667" i="1"/>
  <c r="T667" i="1"/>
  <c r="L667" i="1"/>
  <c r="Y666" i="1"/>
  <c r="X666" i="1"/>
  <c r="W666" i="1"/>
  <c r="V666" i="1"/>
  <c r="U666" i="1"/>
  <c r="T666" i="1"/>
  <c r="L666" i="1"/>
  <c r="Y665" i="1"/>
  <c r="X665" i="1"/>
  <c r="W665" i="1"/>
  <c r="V665" i="1"/>
  <c r="U665" i="1"/>
  <c r="T665" i="1"/>
  <c r="L665" i="1"/>
  <c r="Y664" i="1"/>
  <c r="X664" i="1"/>
  <c r="W664" i="1"/>
  <c r="V664" i="1"/>
  <c r="U664" i="1"/>
  <c r="T664" i="1"/>
  <c r="L664" i="1"/>
  <c r="Y663" i="1"/>
  <c r="X663" i="1"/>
  <c r="W663" i="1"/>
  <c r="V663" i="1"/>
  <c r="U663" i="1"/>
  <c r="T663" i="1"/>
  <c r="L663" i="1"/>
  <c r="Y662" i="1"/>
  <c r="X662" i="1"/>
  <c r="W662" i="1"/>
  <c r="V662" i="1"/>
  <c r="U662" i="1"/>
  <c r="T662" i="1"/>
  <c r="L662" i="1"/>
  <c r="Y661" i="1"/>
  <c r="X661" i="1"/>
  <c r="W661" i="1"/>
  <c r="V661" i="1"/>
  <c r="U661" i="1"/>
  <c r="T661" i="1"/>
  <c r="L661" i="1"/>
  <c r="Y660" i="1"/>
  <c r="X660" i="1"/>
  <c r="W660" i="1"/>
  <c r="V660" i="1"/>
  <c r="U660" i="1"/>
  <c r="T660" i="1"/>
  <c r="L660" i="1"/>
  <c r="Y659" i="1"/>
  <c r="X659" i="1"/>
  <c r="W659" i="1"/>
  <c r="V659" i="1"/>
  <c r="U659" i="1"/>
  <c r="T659" i="1"/>
  <c r="L659" i="1"/>
  <c r="Y658" i="1"/>
  <c r="X658" i="1"/>
  <c r="W658" i="1"/>
  <c r="V658" i="1"/>
  <c r="U658" i="1"/>
  <c r="T658" i="1"/>
  <c r="L658" i="1"/>
  <c r="Y657" i="1"/>
  <c r="X657" i="1"/>
  <c r="W657" i="1"/>
  <c r="V657" i="1"/>
  <c r="U657" i="1"/>
  <c r="T657" i="1"/>
  <c r="L657" i="1"/>
  <c r="Y656" i="1"/>
  <c r="X656" i="1"/>
  <c r="W656" i="1"/>
  <c r="V656" i="1"/>
  <c r="U656" i="1"/>
  <c r="T656" i="1"/>
  <c r="L656" i="1"/>
  <c r="Y655" i="1"/>
  <c r="X655" i="1"/>
  <c r="W655" i="1"/>
  <c r="V655" i="1"/>
  <c r="U655" i="1"/>
  <c r="T655" i="1"/>
  <c r="L655" i="1"/>
  <c r="Y654" i="1"/>
  <c r="X654" i="1"/>
  <c r="W654" i="1"/>
  <c r="V654" i="1"/>
  <c r="U654" i="1"/>
  <c r="T654" i="1"/>
  <c r="L654" i="1"/>
  <c r="Y653" i="1"/>
  <c r="X653" i="1"/>
  <c r="W653" i="1"/>
  <c r="V653" i="1"/>
  <c r="U653" i="1"/>
  <c r="T653" i="1"/>
  <c r="L653" i="1"/>
  <c r="Y652" i="1"/>
  <c r="X652" i="1"/>
  <c r="W652" i="1"/>
  <c r="V652" i="1"/>
  <c r="U652" i="1"/>
  <c r="T652" i="1"/>
  <c r="L652" i="1"/>
  <c r="Y651" i="1"/>
  <c r="X651" i="1"/>
  <c r="W651" i="1"/>
  <c r="V651" i="1"/>
  <c r="U651" i="1"/>
  <c r="T651" i="1"/>
  <c r="L651" i="1"/>
  <c r="Y650" i="1"/>
  <c r="X650" i="1"/>
  <c r="W650" i="1"/>
  <c r="V650" i="1"/>
  <c r="U650" i="1"/>
  <c r="T650" i="1"/>
  <c r="L650" i="1"/>
  <c r="Y649" i="1"/>
  <c r="X649" i="1"/>
  <c r="W649" i="1"/>
  <c r="V649" i="1"/>
  <c r="U649" i="1"/>
  <c r="T649" i="1"/>
  <c r="L649" i="1"/>
  <c r="Y648" i="1"/>
  <c r="X648" i="1"/>
  <c r="W648" i="1"/>
  <c r="V648" i="1"/>
  <c r="U648" i="1"/>
  <c r="T648" i="1"/>
  <c r="L648" i="1"/>
  <c r="Y647" i="1"/>
  <c r="X647" i="1"/>
  <c r="W647" i="1"/>
  <c r="V647" i="1"/>
  <c r="U647" i="1"/>
  <c r="T647" i="1"/>
  <c r="L647" i="1"/>
  <c r="Y646" i="1"/>
  <c r="X646" i="1"/>
  <c r="W646" i="1"/>
  <c r="V646" i="1"/>
  <c r="U646" i="1"/>
  <c r="T646" i="1"/>
  <c r="L646" i="1"/>
  <c r="Y645" i="1"/>
  <c r="X645" i="1"/>
  <c r="W645" i="1"/>
  <c r="V645" i="1"/>
  <c r="U645" i="1"/>
  <c r="T645" i="1"/>
  <c r="L645" i="1"/>
  <c r="Y644" i="1"/>
  <c r="X644" i="1"/>
  <c r="W644" i="1"/>
  <c r="V644" i="1"/>
  <c r="U644" i="1"/>
  <c r="T644" i="1"/>
  <c r="L644" i="1"/>
  <c r="Y643" i="1"/>
  <c r="X643" i="1"/>
  <c r="W643" i="1"/>
  <c r="V643" i="1"/>
  <c r="U643" i="1"/>
  <c r="T643" i="1"/>
  <c r="L643" i="1"/>
  <c r="Y642" i="1"/>
  <c r="X642" i="1"/>
  <c r="W642" i="1"/>
  <c r="V642" i="1"/>
  <c r="U642" i="1"/>
  <c r="T642" i="1"/>
  <c r="L642" i="1"/>
  <c r="Y641" i="1"/>
  <c r="X641" i="1"/>
  <c r="W641" i="1"/>
  <c r="V641" i="1"/>
  <c r="U641" i="1"/>
  <c r="T641" i="1"/>
  <c r="L641" i="1"/>
  <c r="Y640" i="1"/>
  <c r="X640" i="1"/>
  <c r="W640" i="1"/>
  <c r="V640" i="1"/>
  <c r="U640" i="1"/>
  <c r="T640" i="1"/>
  <c r="L640" i="1"/>
  <c r="Y639" i="1"/>
  <c r="X639" i="1"/>
  <c r="W639" i="1"/>
  <c r="V639" i="1"/>
  <c r="U639" i="1"/>
  <c r="T639" i="1"/>
  <c r="L639" i="1"/>
  <c r="Y638" i="1"/>
  <c r="X638" i="1"/>
  <c r="W638" i="1"/>
  <c r="V638" i="1"/>
  <c r="U638" i="1"/>
  <c r="T638" i="1"/>
  <c r="L638" i="1"/>
  <c r="Y637" i="1"/>
  <c r="X637" i="1"/>
  <c r="W637" i="1"/>
  <c r="V637" i="1"/>
  <c r="U637" i="1"/>
  <c r="T637" i="1"/>
  <c r="L637" i="1"/>
  <c r="Y636" i="1"/>
  <c r="X636" i="1"/>
  <c r="W636" i="1"/>
  <c r="V636" i="1"/>
  <c r="U636" i="1"/>
  <c r="T636" i="1"/>
  <c r="L636" i="1"/>
  <c r="Y635" i="1"/>
  <c r="X635" i="1"/>
  <c r="W635" i="1"/>
  <c r="V635" i="1"/>
  <c r="U635" i="1"/>
  <c r="T635" i="1"/>
  <c r="L635" i="1"/>
  <c r="Y634" i="1"/>
  <c r="X634" i="1"/>
  <c r="W634" i="1"/>
  <c r="V634" i="1"/>
  <c r="U634" i="1"/>
  <c r="T634" i="1"/>
  <c r="L634" i="1"/>
  <c r="Y633" i="1"/>
  <c r="X633" i="1"/>
  <c r="W633" i="1"/>
  <c r="V633" i="1"/>
  <c r="U633" i="1"/>
  <c r="T633" i="1"/>
  <c r="L633" i="1"/>
  <c r="Y632" i="1"/>
  <c r="X632" i="1"/>
  <c r="W632" i="1"/>
  <c r="V632" i="1"/>
  <c r="U632" i="1"/>
  <c r="T632" i="1"/>
  <c r="L632" i="1"/>
  <c r="Y631" i="1"/>
  <c r="X631" i="1"/>
  <c r="W631" i="1"/>
  <c r="V631" i="1"/>
  <c r="U631" i="1"/>
  <c r="T631" i="1"/>
  <c r="L631" i="1"/>
  <c r="Y630" i="1"/>
  <c r="X630" i="1"/>
  <c r="W630" i="1"/>
  <c r="V630" i="1"/>
  <c r="U630" i="1"/>
  <c r="T630" i="1"/>
  <c r="L630" i="1"/>
  <c r="Y629" i="1"/>
  <c r="X629" i="1"/>
  <c r="W629" i="1"/>
  <c r="V629" i="1"/>
  <c r="U629" i="1"/>
  <c r="T629" i="1"/>
  <c r="L629" i="1"/>
  <c r="Y628" i="1"/>
  <c r="X628" i="1"/>
  <c r="W628" i="1"/>
  <c r="V628" i="1"/>
  <c r="U628" i="1"/>
  <c r="T628" i="1"/>
  <c r="L628" i="1"/>
  <c r="Y627" i="1"/>
  <c r="X627" i="1"/>
  <c r="W627" i="1"/>
  <c r="V627" i="1"/>
  <c r="U627" i="1"/>
  <c r="T627" i="1"/>
  <c r="L627" i="1"/>
  <c r="Y626" i="1"/>
  <c r="X626" i="1"/>
  <c r="W626" i="1"/>
  <c r="V626" i="1"/>
  <c r="U626" i="1"/>
  <c r="T626" i="1"/>
  <c r="L626" i="1"/>
  <c r="Y625" i="1"/>
  <c r="X625" i="1"/>
  <c r="W625" i="1"/>
  <c r="V625" i="1"/>
  <c r="U625" i="1"/>
  <c r="T625" i="1"/>
  <c r="L625" i="1"/>
  <c r="Y624" i="1"/>
  <c r="X624" i="1"/>
  <c r="W624" i="1"/>
  <c r="V624" i="1"/>
  <c r="U624" i="1"/>
  <c r="T624" i="1"/>
  <c r="L624" i="1"/>
  <c r="Y623" i="1"/>
  <c r="X623" i="1"/>
  <c r="W623" i="1"/>
  <c r="V623" i="1"/>
  <c r="U623" i="1"/>
  <c r="T623" i="1"/>
  <c r="L623" i="1"/>
  <c r="Y622" i="1"/>
  <c r="X622" i="1"/>
  <c r="W622" i="1"/>
  <c r="V622" i="1"/>
  <c r="U622" i="1"/>
  <c r="T622" i="1"/>
  <c r="L622" i="1"/>
  <c r="Y621" i="1"/>
  <c r="X621" i="1"/>
  <c r="W621" i="1"/>
  <c r="V621" i="1"/>
  <c r="U621" i="1"/>
  <c r="T621" i="1"/>
  <c r="L621" i="1"/>
  <c r="Y620" i="1"/>
  <c r="X620" i="1"/>
  <c r="W620" i="1"/>
  <c r="V620" i="1"/>
  <c r="U620" i="1"/>
  <c r="T620" i="1"/>
  <c r="L620" i="1"/>
  <c r="Y619" i="1"/>
  <c r="X619" i="1"/>
  <c r="W619" i="1"/>
  <c r="V619" i="1"/>
  <c r="U619" i="1"/>
  <c r="T619" i="1"/>
  <c r="L619" i="1"/>
  <c r="Y618" i="1"/>
  <c r="X618" i="1"/>
  <c r="W618" i="1"/>
  <c r="V618" i="1"/>
  <c r="U618" i="1"/>
  <c r="T618" i="1"/>
  <c r="L618" i="1"/>
  <c r="Y617" i="1"/>
  <c r="X617" i="1"/>
  <c r="W617" i="1"/>
  <c r="V617" i="1"/>
  <c r="U617" i="1"/>
  <c r="T617" i="1"/>
  <c r="L617" i="1"/>
  <c r="Y616" i="1"/>
  <c r="X616" i="1"/>
  <c r="W616" i="1"/>
  <c r="V616" i="1"/>
  <c r="U616" i="1"/>
  <c r="T616" i="1"/>
  <c r="L616" i="1"/>
  <c r="Y615" i="1"/>
  <c r="X615" i="1"/>
  <c r="W615" i="1"/>
  <c r="V615" i="1"/>
  <c r="U615" i="1"/>
  <c r="T615" i="1"/>
  <c r="L615" i="1"/>
  <c r="Y614" i="1"/>
  <c r="X614" i="1"/>
  <c r="W614" i="1"/>
  <c r="V614" i="1"/>
  <c r="U614" i="1"/>
  <c r="T614" i="1"/>
  <c r="L614" i="1"/>
  <c r="Y613" i="1"/>
  <c r="X613" i="1"/>
  <c r="W613" i="1"/>
  <c r="V613" i="1"/>
  <c r="U613" i="1"/>
  <c r="T613" i="1"/>
  <c r="L613" i="1"/>
  <c r="Y612" i="1"/>
  <c r="X612" i="1"/>
  <c r="W612" i="1"/>
  <c r="V612" i="1"/>
  <c r="U612" i="1"/>
  <c r="T612" i="1"/>
  <c r="L612" i="1"/>
  <c r="Y611" i="1"/>
  <c r="X611" i="1"/>
  <c r="W611" i="1"/>
  <c r="V611" i="1"/>
  <c r="U611" i="1"/>
  <c r="T611" i="1"/>
  <c r="L611" i="1"/>
  <c r="Y610" i="1"/>
  <c r="X610" i="1"/>
  <c r="W610" i="1"/>
  <c r="V610" i="1"/>
  <c r="U610" i="1"/>
  <c r="T610" i="1"/>
  <c r="L610" i="1"/>
  <c r="Y609" i="1"/>
  <c r="X609" i="1"/>
  <c r="W609" i="1"/>
  <c r="V609" i="1"/>
  <c r="U609" i="1"/>
  <c r="T609" i="1"/>
  <c r="L609" i="1"/>
  <c r="Y608" i="1"/>
  <c r="X608" i="1"/>
  <c r="W608" i="1"/>
  <c r="V608" i="1"/>
  <c r="U608" i="1"/>
  <c r="T608" i="1"/>
  <c r="L608" i="1"/>
  <c r="Y607" i="1"/>
  <c r="X607" i="1"/>
  <c r="W607" i="1"/>
  <c r="V607" i="1"/>
  <c r="U607" i="1"/>
  <c r="T607" i="1"/>
  <c r="L607" i="1"/>
  <c r="Y606" i="1"/>
  <c r="X606" i="1"/>
  <c r="W606" i="1"/>
  <c r="V606" i="1"/>
  <c r="U606" i="1"/>
  <c r="T606" i="1"/>
  <c r="L606" i="1"/>
  <c r="Y605" i="1"/>
  <c r="X605" i="1"/>
  <c r="W605" i="1"/>
  <c r="V605" i="1"/>
  <c r="U605" i="1"/>
  <c r="T605" i="1"/>
  <c r="L605" i="1"/>
  <c r="Y604" i="1"/>
  <c r="X604" i="1"/>
  <c r="W604" i="1"/>
  <c r="V604" i="1"/>
  <c r="U604" i="1"/>
  <c r="T604" i="1"/>
  <c r="L604" i="1"/>
  <c r="Y603" i="1"/>
  <c r="X603" i="1"/>
  <c r="W603" i="1"/>
  <c r="V603" i="1"/>
  <c r="U603" i="1"/>
  <c r="T603" i="1"/>
  <c r="L603" i="1"/>
  <c r="Y602" i="1"/>
  <c r="X602" i="1"/>
  <c r="W602" i="1"/>
  <c r="V602" i="1"/>
  <c r="U602" i="1"/>
  <c r="T602" i="1"/>
  <c r="L602" i="1"/>
  <c r="Y601" i="1"/>
  <c r="X601" i="1"/>
  <c r="W601" i="1"/>
  <c r="V601" i="1"/>
  <c r="U601" i="1"/>
  <c r="T601" i="1"/>
  <c r="L601" i="1"/>
  <c r="Y600" i="1"/>
  <c r="X600" i="1"/>
  <c r="W600" i="1"/>
  <c r="V600" i="1"/>
  <c r="U600" i="1"/>
  <c r="T600" i="1"/>
  <c r="L600" i="1"/>
  <c r="Y599" i="1"/>
  <c r="X599" i="1"/>
  <c r="W599" i="1"/>
  <c r="V599" i="1"/>
  <c r="U599" i="1"/>
  <c r="T599" i="1"/>
  <c r="L599" i="1"/>
  <c r="Y598" i="1"/>
  <c r="X598" i="1"/>
  <c r="W598" i="1"/>
  <c r="V598" i="1"/>
  <c r="U598" i="1"/>
  <c r="T598" i="1"/>
  <c r="L598" i="1"/>
  <c r="Y597" i="1"/>
  <c r="X597" i="1"/>
  <c r="W597" i="1"/>
  <c r="V597" i="1"/>
  <c r="U597" i="1"/>
  <c r="T597" i="1"/>
  <c r="L597" i="1"/>
  <c r="Y596" i="1"/>
  <c r="X596" i="1"/>
  <c r="W596" i="1"/>
  <c r="V596" i="1"/>
  <c r="U596" i="1"/>
  <c r="T596" i="1"/>
  <c r="L596" i="1"/>
  <c r="Y595" i="1"/>
  <c r="X595" i="1"/>
  <c r="W595" i="1"/>
  <c r="V595" i="1"/>
  <c r="U595" i="1"/>
  <c r="T595" i="1"/>
  <c r="L595" i="1"/>
  <c r="Y594" i="1"/>
  <c r="X594" i="1"/>
  <c r="W594" i="1"/>
  <c r="V594" i="1"/>
  <c r="U594" i="1"/>
  <c r="T594" i="1"/>
  <c r="L594" i="1"/>
  <c r="Y593" i="1"/>
  <c r="X593" i="1"/>
  <c r="W593" i="1"/>
  <c r="V593" i="1"/>
  <c r="U593" i="1"/>
  <c r="T593" i="1"/>
  <c r="L593" i="1"/>
  <c r="Y592" i="1"/>
  <c r="X592" i="1"/>
  <c r="W592" i="1"/>
  <c r="V592" i="1"/>
  <c r="U592" i="1"/>
  <c r="T592" i="1"/>
  <c r="L592" i="1"/>
  <c r="Y591" i="1"/>
  <c r="X591" i="1"/>
  <c r="W591" i="1"/>
  <c r="V591" i="1"/>
  <c r="U591" i="1"/>
  <c r="T591" i="1"/>
  <c r="L591" i="1"/>
  <c r="Y590" i="1"/>
  <c r="X590" i="1"/>
  <c r="W590" i="1"/>
  <c r="V590" i="1"/>
  <c r="U590" i="1"/>
  <c r="T590" i="1"/>
  <c r="L590" i="1"/>
  <c r="Y589" i="1"/>
  <c r="X589" i="1"/>
  <c r="W589" i="1"/>
  <c r="V589" i="1"/>
  <c r="U589" i="1"/>
  <c r="T589" i="1"/>
  <c r="L589" i="1"/>
  <c r="Y588" i="1"/>
  <c r="X588" i="1"/>
  <c r="W588" i="1"/>
  <c r="V588" i="1"/>
  <c r="U588" i="1"/>
  <c r="T588" i="1"/>
  <c r="L588" i="1"/>
  <c r="Y587" i="1"/>
  <c r="X587" i="1"/>
  <c r="W587" i="1"/>
  <c r="V587" i="1"/>
  <c r="U587" i="1"/>
  <c r="T587" i="1"/>
  <c r="L587" i="1"/>
  <c r="Y586" i="1"/>
  <c r="X586" i="1"/>
  <c r="W586" i="1"/>
  <c r="V586" i="1"/>
  <c r="U586" i="1"/>
  <c r="T586" i="1"/>
  <c r="L586" i="1"/>
  <c r="Y585" i="1"/>
  <c r="X585" i="1"/>
  <c r="W585" i="1"/>
  <c r="V585" i="1"/>
  <c r="U585" i="1"/>
  <c r="T585" i="1"/>
  <c r="L585" i="1"/>
  <c r="Y584" i="1"/>
  <c r="X584" i="1"/>
  <c r="W584" i="1"/>
  <c r="V584" i="1"/>
  <c r="U584" i="1"/>
  <c r="T584" i="1"/>
  <c r="L584" i="1"/>
  <c r="Y583" i="1"/>
  <c r="X583" i="1"/>
  <c r="W583" i="1"/>
  <c r="V583" i="1"/>
  <c r="U583" i="1"/>
  <c r="T583" i="1"/>
  <c r="L583" i="1"/>
  <c r="Y582" i="1"/>
  <c r="X582" i="1"/>
  <c r="W582" i="1"/>
  <c r="V582" i="1"/>
  <c r="U582" i="1"/>
  <c r="T582" i="1"/>
  <c r="L582" i="1"/>
  <c r="Y581" i="1"/>
  <c r="X581" i="1"/>
  <c r="W581" i="1"/>
  <c r="V581" i="1"/>
  <c r="U581" i="1"/>
  <c r="T581" i="1"/>
  <c r="L581" i="1"/>
  <c r="Y580" i="1"/>
  <c r="X580" i="1"/>
  <c r="W580" i="1"/>
  <c r="V580" i="1"/>
  <c r="U580" i="1"/>
  <c r="T580" i="1"/>
  <c r="L580" i="1"/>
  <c r="Y579" i="1"/>
  <c r="X579" i="1"/>
  <c r="W579" i="1"/>
  <c r="V579" i="1"/>
  <c r="U579" i="1"/>
  <c r="T579" i="1"/>
  <c r="L579" i="1"/>
  <c r="Y578" i="1"/>
  <c r="X578" i="1"/>
  <c r="W578" i="1"/>
  <c r="V578" i="1"/>
  <c r="U578" i="1"/>
  <c r="T578" i="1"/>
  <c r="L578" i="1"/>
  <c r="Y577" i="1"/>
  <c r="X577" i="1"/>
  <c r="W577" i="1"/>
  <c r="V577" i="1"/>
  <c r="U577" i="1"/>
  <c r="T577" i="1"/>
  <c r="L577" i="1"/>
  <c r="Y576" i="1"/>
  <c r="X576" i="1"/>
  <c r="W576" i="1"/>
  <c r="V576" i="1"/>
  <c r="U576" i="1"/>
  <c r="T576" i="1"/>
  <c r="L576" i="1"/>
  <c r="Y575" i="1"/>
  <c r="X575" i="1"/>
  <c r="W575" i="1"/>
  <c r="V575" i="1"/>
  <c r="U575" i="1"/>
  <c r="T575" i="1"/>
  <c r="L575" i="1"/>
  <c r="Y574" i="1"/>
  <c r="X574" i="1"/>
  <c r="W574" i="1"/>
  <c r="V574" i="1"/>
  <c r="U574" i="1"/>
  <c r="T574" i="1"/>
  <c r="L574" i="1"/>
  <c r="Y573" i="1"/>
  <c r="X573" i="1"/>
  <c r="W573" i="1"/>
  <c r="V573" i="1"/>
  <c r="U573" i="1"/>
  <c r="T573" i="1"/>
  <c r="L573" i="1"/>
  <c r="Y572" i="1"/>
  <c r="X572" i="1"/>
  <c r="W572" i="1"/>
  <c r="V572" i="1"/>
  <c r="U572" i="1"/>
  <c r="T572" i="1"/>
  <c r="L572" i="1"/>
  <c r="Y571" i="1"/>
  <c r="X571" i="1"/>
  <c r="W571" i="1"/>
  <c r="V571" i="1"/>
  <c r="U571" i="1"/>
  <c r="T571" i="1"/>
  <c r="L571" i="1"/>
  <c r="Y570" i="1"/>
  <c r="X570" i="1"/>
  <c r="W570" i="1"/>
  <c r="V570" i="1"/>
  <c r="U570" i="1"/>
  <c r="T570" i="1"/>
  <c r="L570" i="1"/>
  <c r="Y569" i="1"/>
  <c r="X569" i="1"/>
  <c r="W569" i="1"/>
  <c r="V569" i="1"/>
  <c r="U569" i="1"/>
  <c r="T569" i="1"/>
  <c r="L569" i="1"/>
  <c r="Y568" i="1"/>
  <c r="X568" i="1"/>
  <c r="W568" i="1"/>
  <c r="V568" i="1"/>
  <c r="U568" i="1"/>
  <c r="T568" i="1"/>
  <c r="L568" i="1"/>
  <c r="Y567" i="1"/>
  <c r="X567" i="1"/>
  <c r="W567" i="1"/>
  <c r="V567" i="1"/>
  <c r="U567" i="1"/>
  <c r="T567" i="1"/>
  <c r="L567" i="1"/>
  <c r="Y566" i="1"/>
  <c r="X566" i="1"/>
  <c r="W566" i="1"/>
  <c r="V566" i="1"/>
  <c r="U566" i="1"/>
  <c r="T566" i="1"/>
  <c r="L566" i="1"/>
  <c r="Y565" i="1"/>
  <c r="X565" i="1"/>
  <c r="W565" i="1"/>
  <c r="V565" i="1"/>
  <c r="U565" i="1"/>
  <c r="T565" i="1"/>
  <c r="L565" i="1"/>
  <c r="Y564" i="1"/>
  <c r="X564" i="1"/>
  <c r="W564" i="1"/>
  <c r="V564" i="1"/>
  <c r="U564" i="1"/>
  <c r="T564" i="1"/>
  <c r="L564" i="1"/>
  <c r="Y563" i="1"/>
  <c r="X563" i="1"/>
  <c r="W563" i="1"/>
  <c r="V563" i="1"/>
  <c r="U563" i="1"/>
  <c r="T563" i="1"/>
  <c r="L563" i="1"/>
  <c r="Y562" i="1"/>
  <c r="X562" i="1"/>
  <c r="W562" i="1"/>
  <c r="V562" i="1"/>
  <c r="U562" i="1"/>
  <c r="T562" i="1"/>
  <c r="L562" i="1"/>
  <c r="Y561" i="1"/>
  <c r="X561" i="1"/>
  <c r="W561" i="1"/>
  <c r="V561" i="1"/>
  <c r="U561" i="1"/>
  <c r="T561" i="1"/>
  <c r="L561" i="1"/>
  <c r="Y560" i="1"/>
  <c r="X560" i="1"/>
  <c r="W560" i="1"/>
  <c r="V560" i="1"/>
  <c r="U560" i="1"/>
  <c r="T560" i="1"/>
  <c r="L560" i="1"/>
  <c r="Y559" i="1"/>
  <c r="X559" i="1"/>
  <c r="W559" i="1"/>
  <c r="V559" i="1"/>
  <c r="U559" i="1"/>
  <c r="T559" i="1"/>
  <c r="L559" i="1"/>
  <c r="Y558" i="1"/>
  <c r="X558" i="1"/>
  <c r="W558" i="1"/>
  <c r="V558" i="1"/>
  <c r="U558" i="1"/>
  <c r="T558" i="1"/>
  <c r="L558" i="1"/>
  <c r="Y557" i="1"/>
  <c r="X557" i="1"/>
  <c r="W557" i="1"/>
  <c r="V557" i="1"/>
  <c r="U557" i="1"/>
  <c r="T557" i="1"/>
  <c r="L557" i="1"/>
  <c r="Y556" i="1"/>
  <c r="X556" i="1"/>
  <c r="W556" i="1"/>
  <c r="V556" i="1"/>
  <c r="U556" i="1"/>
  <c r="T556" i="1"/>
  <c r="L556" i="1"/>
  <c r="Y555" i="1"/>
  <c r="X555" i="1"/>
  <c r="W555" i="1"/>
  <c r="V555" i="1"/>
  <c r="U555" i="1"/>
  <c r="T555" i="1"/>
  <c r="L555" i="1"/>
  <c r="Y554" i="1"/>
  <c r="X554" i="1"/>
  <c r="W554" i="1"/>
  <c r="V554" i="1"/>
  <c r="U554" i="1"/>
  <c r="T554" i="1"/>
  <c r="L554" i="1"/>
  <c r="Y553" i="1"/>
  <c r="X553" i="1"/>
  <c r="W553" i="1"/>
  <c r="V553" i="1"/>
  <c r="U553" i="1"/>
  <c r="T553" i="1"/>
  <c r="L553" i="1"/>
  <c r="Y552" i="1"/>
  <c r="X552" i="1"/>
  <c r="W552" i="1"/>
  <c r="V552" i="1"/>
  <c r="U552" i="1"/>
  <c r="T552" i="1"/>
  <c r="L552" i="1"/>
  <c r="Y551" i="1"/>
  <c r="X551" i="1"/>
  <c r="W551" i="1"/>
  <c r="V551" i="1"/>
  <c r="U551" i="1"/>
  <c r="T551" i="1"/>
  <c r="L551" i="1"/>
  <c r="Y550" i="1"/>
  <c r="X550" i="1"/>
  <c r="W550" i="1"/>
  <c r="V550" i="1"/>
  <c r="U550" i="1"/>
  <c r="T550" i="1"/>
  <c r="L550" i="1"/>
  <c r="Y549" i="1"/>
  <c r="X549" i="1"/>
  <c r="W549" i="1"/>
  <c r="V549" i="1"/>
  <c r="U549" i="1"/>
  <c r="T549" i="1"/>
  <c r="L549" i="1"/>
  <c r="Y548" i="1"/>
  <c r="X548" i="1"/>
  <c r="W548" i="1"/>
  <c r="V548" i="1"/>
  <c r="U548" i="1"/>
  <c r="T548" i="1"/>
  <c r="L548" i="1"/>
  <c r="Y547" i="1"/>
  <c r="X547" i="1"/>
  <c r="W547" i="1"/>
  <c r="V547" i="1"/>
  <c r="U547" i="1"/>
  <c r="T547" i="1"/>
  <c r="L547" i="1"/>
  <c r="Y546" i="1"/>
  <c r="X546" i="1"/>
  <c r="W546" i="1"/>
  <c r="V546" i="1"/>
  <c r="U546" i="1"/>
  <c r="T546" i="1"/>
  <c r="L546" i="1"/>
  <c r="Y545" i="1"/>
  <c r="X545" i="1"/>
  <c r="W545" i="1"/>
  <c r="V545" i="1"/>
  <c r="U545" i="1"/>
  <c r="T545" i="1"/>
  <c r="L545" i="1"/>
  <c r="Y544" i="1"/>
  <c r="X544" i="1"/>
  <c r="W544" i="1"/>
  <c r="V544" i="1"/>
  <c r="U544" i="1"/>
  <c r="T544" i="1"/>
  <c r="L544" i="1"/>
  <c r="Y543" i="1"/>
  <c r="X543" i="1"/>
  <c r="W543" i="1"/>
  <c r="V543" i="1"/>
  <c r="U543" i="1"/>
  <c r="T543" i="1"/>
  <c r="L543" i="1"/>
  <c r="Y542" i="1"/>
  <c r="X542" i="1"/>
  <c r="W542" i="1"/>
  <c r="V542" i="1"/>
  <c r="U542" i="1"/>
  <c r="T542" i="1"/>
  <c r="L542" i="1"/>
  <c r="Y541" i="1"/>
  <c r="X541" i="1"/>
  <c r="W541" i="1"/>
  <c r="V541" i="1"/>
  <c r="U541" i="1"/>
  <c r="T541" i="1"/>
  <c r="L541" i="1"/>
  <c r="Y540" i="1"/>
  <c r="X540" i="1"/>
  <c r="W540" i="1"/>
  <c r="V540" i="1"/>
  <c r="U540" i="1"/>
  <c r="T540" i="1"/>
  <c r="L540" i="1"/>
  <c r="Y539" i="1"/>
  <c r="X539" i="1"/>
  <c r="W539" i="1"/>
  <c r="V539" i="1"/>
  <c r="U539" i="1"/>
  <c r="T539" i="1"/>
  <c r="L539" i="1"/>
  <c r="Y538" i="1"/>
  <c r="X538" i="1"/>
  <c r="W538" i="1"/>
  <c r="V538" i="1"/>
  <c r="U538" i="1"/>
  <c r="T538" i="1"/>
  <c r="L538" i="1"/>
  <c r="Y537" i="1"/>
  <c r="X537" i="1"/>
  <c r="W537" i="1"/>
  <c r="V537" i="1"/>
  <c r="U537" i="1"/>
  <c r="T537" i="1"/>
  <c r="L537" i="1"/>
  <c r="Y536" i="1"/>
  <c r="X536" i="1"/>
  <c r="W536" i="1"/>
  <c r="V536" i="1"/>
  <c r="U536" i="1"/>
  <c r="T536" i="1"/>
  <c r="L536" i="1"/>
  <c r="Y535" i="1"/>
  <c r="X535" i="1"/>
  <c r="W535" i="1"/>
  <c r="V535" i="1"/>
  <c r="U535" i="1"/>
  <c r="T535" i="1"/>
  <c r="L535" i="1"/>
  <c r="Y534" i="1"/>
  <c r="X534" i="1"/>
  <c r="W534" i="1"/>
  <c r="V534" i="1"/>
  <c r="U534" i="1"/>
  <c r="T534" i="1"/>
  <c r="L534" i="1"/>
  <c r="Y533" i="1"/>
  <c r="X533" i="1"/>
  <c r="W533" i="1"/>
  <c r="V533" i="1"/>
  <c r="U533" i="1"/>
  <c r="T533" i="1"/>
  <c r="L533" i="1"/>
  <c r="Y532" i="1"/>
  <c r="X532" i="1"/>
  <c r="W532" i="1"/>
  <c r="V532" i="1"/>
  <c r="U532" i="1"/>
  <c r="T532" i="1"/>
  <c r="L532" i="1"/>
  <c r="Y531" i="1"/>
  <c r="X531" i="1"/>
  <c r="W531" i="1"/>
  <c r="V531" i="1"/>
  <c r="U531" i="1"/>
  <c r="T531" i="1"/>
  <c r="L531" i="1"/>
  <c r="Y530" i="1"/>
  <c r="X530" i="1"/>
  <c r="W530" i="1"/>
  <c r="V530" i="1"/>
  <c r="U530" i="1"/>
  <c r="T530" i="1"/>
  <c r="L530" i="1"/>
  <c r="Y529" i="1"/>
  <c r="X529" i="1"/>
  <c r="W529" i="1"/>
  <c r="V529" i="1"/>
  <c r="U529" i="1"/>
  <c r="T529" i="1"/>
  <c r="L529" i="1"/>
  <c r="Y528" i="1"/>
  <c r="X528" i="1"/>
  <c r="W528" i="1"/>
  <c r="V528" i="1"/>
  <c r="U528" i="1"/>
  <c r="T528" i="1"/>
  <c r="L528" i="1"/>
  <c r="Y527" i="1"/>
  <c r="X527" i="1"/>
  <c r="W527" i="1"/>
  <c r="V527" i="1"/>
  <c r="U527" i="1"/>
  <c r="T527" i="1"/>
  <c r="L527" i="1"/>
  <c r="Y526" i="1"/>
  <c r="X526" i="1"/>
  <c r="W526" i="1"/>
  <c r="V526" i="1"/>
  <c r="U526" i="1"/>
  <c r="T526" i="1"/>
  <c r="L526" i="1"/>
  <c r="Y525" i="1"/>
  <c r="X525" i="1"/>
  <c r="W525" i="1"/>
  <c r="V525" i="1"/>
  <c r="U525" i="1"/>
  <c r="T525" i="1"/>
  <c r="L525" i="1"/>
  <c r="Y524" i="1"/>
  <c r="X524" i="1"/>
  <c r="W524" i="1"/>
  <c r="V524" i="1"/>
  <c r="U524" i="1"/>
  <c r="T524" i="1"/>
  <c r="L524" i="1"/>
  <c r="Y523" i="1"/>
  <c r="X523" i="1"/>
  <c r="W523" i="1"/>
  <c r="V523" i="1"/>
  <c r="U523" i="1"/>
  <c r="T523" i="1"/>
  <c r="L523" i="1"/>
  <c r="Y522" i="1"/>
  <c r="X522" i="1"/>
  <c r="W522" i="1"/>
  <c r="V522" i="1"/>
  <c r="U522" i="1"/>
  <c r="T522" i="1"/>
  <c r="L522" i="1"/>
  <c r="Y521" i="1"/>
  <c r="X521" i="1"/>
  <c r="W521" i="1"/>
  <c r="V521" i="1"/>
  <c r="U521" i="1"/>
  <c r="T521" i="1"/>
  <c r="L521" i="1"/>
  <c r="Y520" i="1"/>
  <c r="X520" i="1"/>
  <c r="W520" i="1"/>
  <c r="V520" i="1"/>
  <c r="U520" i="1"/>
  <c r="T520" i="1"/>
  <c r="L520" i="1"/>
  <c r="Y519" i="1"/>
  <c r="X519" i="1"/>
  <c r="W519" i="1"/>
  <c r="V519" i="1"/>
  <c r="U519" i="1"/>
  <c r="T519" i="1"/>
  <c r="L519" i="1"/>
  <c r="Y518" i="1"/>
  <c r="X518" i="1"/>
  <c r="W518" i="1"/>
  <c r="V518" i="1"/>
  <c r="U518" i="1"/>
  <c r="T518" i="1"/>
  <c r="L518" i="1"/>
  <c r="Y517" i="1"/>
  <c r="X517" i="1"/>
  <c r="W517" i="1"/>
  <c r="V517" i="1"/>
  <c r="U517" i="1"/>
  <c r="T517" i="1"/>
  <c r="L517" i="1"/>
  <c r="Y516" i="1"/>
  <c r="X516" i="1"/>
  <c r="W516" i="1"/>
  <c r="V516" i="1"/>
  <c r="U516" i="1"/>
  <c r="T516" i="1"/>
  <c r="L516" i="1"/>
  <c r="Y515" i="1"/>
  <c r="X515" i="1"/>
  <c r="W515" i="1"/>
  <c r="V515" i="1"/>
  <c r="U515" i="1"/>
  <c r="T515" i="1"/>
  <c r="L515" i="1"/>
  <c r="Y514" i="1"/>
  <c r="X514" i="1"/>
  <c r="W514" i="1"/>
  <c r="V514" i="1"/>
  <c r="U514" i="1"/>
  <c r="T514" i="1"/>
  <c r="L514" i="1"/>
  <c r="Y513" i="1"/>
  <c r="X513" i="1"/>
  <c r="W513" i="1"/>
  <c r="V513" i="1"/>
  <c r="U513" i="1"/>
  <c r="T513" i="1"/>
  <c r="L513" i="1"/>
  <c r="Y512" i="1"/>
  <c r="X512" i="1"/>
  <c r="W512" i="1"/>
  <c r="V512" i="1"/>
  <c r="U512" i="1"/>
  <c r="T512" i="1"/>
  <c r="L512" i="1"/>
  <c r="Y511" i="1"/>
  <c r="X511" i="1"/>
  <c r="W511" i="1"/>
  <c r="V511" i="1"/>
  <c r="U511" i="1"/>
  <c r="T511" i="1"/>
  <c r="L511" i="1"/>
  <c r="Y510" i="1"/>
  <c r="X510" i="1"/>
  <c r="W510" i="1"/>
  <c r="V510" i="1"/>
  <c r="U510" i="1"/>
  <c r="T510" i="1"/>
  <c r="L510" i="1"/>
  <c r="Y509" i="1"/>
  <c r="X509" i="1"/>
  <c r="W509" i="1"/>
  <c r="V509" i="1"/>
  <c r="U509" i="1"/>
  <c r="T509" i="1"/>
  <c r="L509" i="1"/>
  <c r="Y508" i="1"/>
  <c r="X508" i="1"/>
  <c r="W508" i="1"/>
  <c r="V508" i="1"/>
  <c r="U508" i="1"/>
  <c r="T508" i="1"/>
  <c r="L508" i="1"/>
  <c r="Y507" i="1"/>
  <c r="X507" i="1"/>
  <c r="W507" i="1"/>
  <c r="V507" i="1"/>
  <c r="U507" i="1"/>
  <c r="T507" i="1"/>
  <c r="L507" i="1"/>
  <c r="Y506" i="1"/>
  <c r="X506" i="1"/>
  <c r="W506" i="1"/>
  <c r="V506" i="1"/>
  <c r="U506" i="1"/>
  <c r="T506" i="1"/>
  <c r="L506" i="1"/>
  <c r="Y505" i="1"/>
  <c r="X505" i="1"/>
  <c r="W505" i="1"/>
  <c r="V505" i="1"/>
  <c r="U505" i="1"/>
  <c r="T505" i="1"/>
  <c r="L505" i="1"/>
  <c r="Y504" i="1"/>
  <c r="X504" i="1"/>
  <c r="W504" i="1"/>
  <c r="V504" i="1"/>
  <c r="U504" i="1"/>
  <c r="T504" i="1"/>
  <c r="L504" i="1"/>
  <c r="Y503" i="1"/>
  <c r="X503" i="1"/>
  <c r="W503" i="1"/>
  <c r="V503" i="1"/>
  <c r="U503" i="1"/>
  <c r="T503" i="1"/>
  <c r="L503" i="1"/>
  <c r="Y502" i="1"/>
  <c r="X502" i="1"/>
  <c r="W502" i="1"/>
  <c r="V502" i="1"/>
  <c r="U502" i="1"/>
  <c r="T502" i="1"/>
  <c r="L502" i="1"/>
  <c r="Y501" i="1"/>
  <c r="X501" i="1"/>
  <c r="W501" i="1"/>
  <c r="V501" i="1"/>
  <c r="U501" i="1"/>
  <c r="T501" i="1"/>
  <c r="L501" i="1"/>
  <c r="Y500" i="1"/>
  <c r="X500" i="1"/>
  <c r="W500" i="1"/>
  <c r="V500" i="1"/>
  <c r="U500" i="1"/>
  <c r="T500" i="1"/>
  <c r="L500" i="1"/>
  <c r="Y499" i="1"/>
  <c r="X499" i="1"/>
  <c r="W499" i="1"/>
  <c r="V499" i="1"/>
  <c r="U499" i="1"/>
  <c r="T499" i="1"/>
  <c r="L499" i="1"/>
  <c r="Y498" i="1"/>
  <c r="X498" i="1"/>
  <c r="W498" i="1"/>
  <c r="V498" i="1"/>
  <c r="U498" i="1"/>
  <c r="T498" i="1"/>
  <c r="L498" i="1"/>
  <c r="Y497" i="1"/>
  <c r="X497" i="1"/>
  <c r="W497" i="1"/>
  <c r="V497" i="1"/>
  <c r="U497" i="1"/>
  <c r="T497" i="1"/>
  <c r="L497" i="1"/>
  <c r="Y496" i="1"/>
  <c r="X496" i="1"/>
  <c r="W496" i="1"/>
  <c r="V496" i="1"/>
  <c r="U496" i="1"/>
  <c r="T496" i="1"/>
  <c r="L496" i="1"/>
  <c r="Y495" i="1"/>
  <c r="X495" i="1"/>
  <c r="W495" i="1"/>
  <c r="V495" i="1"/>
  <c r="U495" i="1"/>
  <c r="T495" i="1"/>
  <c r="L495" i="1"/>
  <c r="Y494" i="1"/>
  <c r="X494" i="1"/>
  <c r="W494" i="1"/>
  <c r="V494" i="1"/>
  <c r="U494" i="1"/>
  <c r="T494" i="1"/>
  <c r="L494" i="1"/>
  <c r="Y493" i="1"/>
  <c r="X493" i="1"/>
  <c r="W493" i="1"/>
  <c r="V493" i="1"/>
  <c r="U493" i="1"/>
  <c r="T493" i="1"/>
  <c r="L493" i="1"/>
  <c r="Y492" i="1"/>
  <c r="X492" i="1"/>
  <c r="W492" i="1"/>
  <c r="V492" i="1"/>
  <c r="U492" i="1"/>
  <c r="T492" i="1"/>
  <c r="L492" i="1"/>
  <c r="Y491" i="1"/>
  <c r="X491" i="1"/>
  <c r="W491" i="1"/>
  <c r="V491" i="1"/>
  <c r="U491" i="1"/>
  <c r="T491" i="1"/>
  <c r="L491" i="1"/>
  <c r="Y490" i="1"/>
  <c r="X490" i="1"/>
  <c r="W490" i="1"/>
  <c r="V490" i="1"/>
  <c r="U490" i="1"/>
  <c r="T490" i="1"/>
  <c r="L490" i="1"/>
  <c r="Y489" i="1"/>
  <c r="X489" i="1"/>
  <c r="W489" i="1"/>
  <c r="V489" i="1"/>
  <c r="U489" i="1"/>
  <c r="T489" i="1"/>
  <c r="L489" i="1"/>
  <c r="Y488" i="1"/>
  <c r="X488" i="1"/>
  <c r="W488" i="1"/>
  <c r="V488" i="1"/>
  <c r="U488" i="1"/>
  <c r="T488" i="1"/>
  <c r="L488" i="1"/>
  <c r="Y487" i="1"/>
  <c r="X487" i="1"/>
  <c r="W487" i="1"/>
  <c r="V487" i="1"/>
  <c r="U487" i="1"/>
  <c r="T487" i="1"/>
  <c r="L487" i="1"/>
  <c r="Y486" i="1"/>
  <c r="X486" i="1"/>
  <c r="W486" i="1"/>
  <c r="V486" i="1"/>
  <c r="U486" i="1"/>
  <c r="T486" i="1"/>
  <c r="L486" i="1"/>
  <c r="Y485" i="1"/>
  <c r="X485" i="1"/>
  <c r="W485" i="1"/>
  <c r="V485" i="1"/>
  <c r="U485" i="1"/>
  <c r="T485" i="1"/>
  <c r="L485" i="1"/>
  <c r="Y484" i="1"/>
  <c r="X484" i="1"/>
  <c r="W484" i="1"/>
  <c r="V484" i="1"/>
  <c r="U484" i="1"/>
  <c r="T484" i="1"/>
  <c r="L484" i="1"/>
  <c r="Y483" i="1"/>
  <c r="X483" i="1"/>
  <c r="W483" i="1"/>
  <c r="V483" i="1"/>
  <c r="U483" i="1"/>
  <c r="T483" i="1"/>
  <c r="L483" i="1"/>
  <c r="Y482" i="1"/>
  <c r="X482" i="1"/>
  <c r="W482" i="1"/>
  <c r="V482" i="1"/>
  <c r="U482" i="1"/>
  <c r="T482" i="1"/>
  <c r="L482" i="1"/>
  <c r="Y481" i="1"/>
  <c r="X481" i="1"/>
  <c r="W481" i="1"/>
  <c r="V481" i="1"/>
  <c r="U481" i="1"/>
  <c r="T481" i="1"/>
  <c r="L481" i="1"/>
  <c r="Y480" i="1"/>
  <c r="X480" i="1"/>
  <c r="W480" i="1"/>
  <c r="V480" i="1"/>
  <c r="U480" i="1"/>
  <c r="T480" i="1"/>
  <c r="L480" i="1"/>
  <c r="Y479" i="1"/>
  <c r="X479" i="1"/>
  <c r="W479" i="1"/>
  <c r="V479" i="1"/>
  <c r="U479" i="1"/>
  <c r="T479" i="1"/>
  <c r="L479" i="1"/>
  <c r="Y478" i="1"/>
  <c r="X478" i="1"/>
  <c r="W478" i="1"/>
  <c r="V478" i="1"/>
  <c r="U478" i="1"/>
  <c r="T478" i="1"/>
  <c r="L478" i="1"/>
  <c r="Y477" i="1"/>
  <c r="X477" i="1"/>
  <c r="W477" i="1"/>
  <c r="V477" i="1"/>
  <c r="U477" i="1"/>
  <c r="T477" i="1"/>
  <c r="L477" i="1"/>
  <c r="Y476" i="1"/>
  <c r="X476" i="1"/>
  <c r="W476" i="1"/>
  <c r="V476" i="1"/>
  <c r="U476" i="1"/>
  <c r="T476" i="1"/>
  <c r="L476" i="1"/>
  <c r="Y475" i="1"/>
  <c r="X475" i="1"/>
  <c r="W475" i="1"/>
  <c r="V475" i="1"/>
  <c r="U475" i="1"/>
  <c r="T475" i="1"/>
  <c r="L475" i="1"/>
  <c r="Y474" i="1"/>
  <c r="X474" i="1"/>
  <c r="W474" i="1"/>
  <c r="V474" i="1"/>
  <c r="U474" i="1"/>
  <c r="T474" i="1"/>
  <c r="L474" i="1"/>
  <c r="Y473" i="1"/>
  <c r="X473" i="1"/>
  <c r="W473" i="1"/>
  <c r="V473" i="1"/>
  <c r="U473" i="1"/>
  <c r="T473" i="1"/>
  <c r="L473" i="1"/>
  <c r="Y472" i="1"/>
  <c r="X472" i="1"/>
  <c r="W472" i="1"/>
  <c r="V472" i="1"/>
  <c r="U472" i="1"/>
  <c r="T472" i="1"/>
  <c r="L472" i="1"/>
  <c r="Y471" i="1"/>
  <c r="X471" i="1"/>
  <c r="W471" i="1"/>
  <c r="V471" i="1"/>
  <c r="U471" i="1"/>
  <c r="T471" i="1"/>
  <c r="L471" i="1"/>
  <c r="Y470" i="1"/>
  <c r="X470" i="1"/>
  <c r="W470" i="1"/>
  <c r="V470" i="1"/>
  <c r="U470" i="1"/>
  <c r="T470" i="1"/>
  <c r="L470" i="1"/>
  <c r="Y469" i="1"/>
  <c r="X469" i="1"/>
  <c r="W469" i="1"/>
  <c r="V469" i="1"/>
  <c r="U469" i="1"/>
  <c r="T469" i="1"/>
  <c r="L469" i="1"/>
  <c r="Y468" i="1"/>
  <c r="X468" i="1"/>
  <c r="W468" i="1"/>
  <c r="V468" i="1"/>
  <c r="U468" i="1"/>
  <c r="T468" i="1"/>
  <c r="L468" i="1"/>
  <c r="Y467" i="1"/>
  <c r="X467" i="1"/>
  <c r="W467" i="1"/>
  <c r="V467" i="1"/>
  <c r="U467" i="1"/>
  <c r="T467" i="1"/>
  <c r="L467" i="1"/>
  <c r="Y466" i="1"/>
  <c r="X466" i="1"/>
  <c r="W466" i="1"/>
  <c r="V466" i="1"/>
  <c r="U466" i="1"/>
  <c r="T466" i="1"/>
  <c r="L466" i="1"/>
  <c r="Y465" i="1"/>
  <c r="X465" i="1"/>
  <c r="W465" i="1"/>
  <c r="V465" i="1"/>
  <c r="U465" i="1"/>
  <c r="T465" i="1"/>
  <c r="L465" i="1"/>
  <c r="Y464" i="1"/>
  <c r="X464" i="1"/>
  <c r="W464" i="1"/>
  <c r="V464" i="1"/>
  <c r="U464" i="1"/>
  <c r="T464" i="1"/>
  <c r="L464" i="1"/>
  <c r="Y463" i="1"/>
  <c r="X463" i="1"/>
  <c r="W463" i="1"/>
  <c r="V463" i="1"/>
  <c r="U463" i="1"/>
  <c r="T463" i="1"/>
  <c r="L463" i="1"/>
  <c r="Y462" i="1"/>
  <c r="X462" i="1"/>
  <c r="W462" i="1"/>
  <c r="V462" i="1"/>
  <c r="U462" i="1"/>
  <c r="T462" i="1"/>
  <c r="L462" i="1"/>
  <c r="Y461" i="1"/>
  <c r="X461" i="1"/>
  <c r="W461" i="1"/>
  <c r="V461" i="1"/>
  <c r="U461" i="1"/>
  <c r="T461" i="1"/>
  <c r="L461" i="1"/>
  <c r="Y460" i="1"/>
  <c r="X460" i="1"/>
  <c r="W460" i="1"/>
  <c r="V460" i="1"/>
  <c r="U460" i="1"/>
  <c r="T460" i="1"/>
  <c r="L460" i="1"/>
  <c r="Y459" i="1"/>
  <c r="X459" i="1"/>
  <c r="W459" i="1"/>
  <c r="V459" i="1"/>
  <c r="U459" i="1"/>
  <c r="T459" i="1"/>
  <c r="L459" i="1"/>
  <c r="Y458" i="1"/>
  <c r="X458" i="1"/>
  <c r="W458" i="1"/>
  <c r="V458" i="1"/>
  <c r="U458" i="1"/>
  <c r="T458" i="1"/>
  <c r="L458" i="1"/>
  <c r="Y457" i="1"/>
  <c r="X457" i="1"/>
  <c r="W457" i="1"/>
  <c r="V457" i="1"/>
  <c r="U457" i="1"/>
  <c r="T457" i="1"/>
  <c r="L457" i="1"/>
  <c r="Y456" i="1"/>
  <c r="X456" i="1"/>
  <c r="W456" i="1"/>
  <c r="V456" i="1"/>
  <c r="U456" i="1"/>
  <c r="T456" i="1"/>
  <c r="L456" i="1"/>
  <c r="Y455" i="1"/>
  <c r="X455" i="1"/>
  <c r="W455" i="1"/>
  <c r="V455" i="1"/>
  <c r="U455" i="1"/>
  <c r="T455" i="1"/>
  <c r="L455" i="1"/>
  <c r="Y454" i="1"/>
  <c r="X454" i="1"/>
  <c r="W454" i="1"/>
  <c r="V454" i="1"/>
  <c r="U454" i="1"/>
  <c r="T454" i="1"/>
  <c r="L454" i="1"/>
  <c r="Y453" i="1"/>
  <c r="X453" i="1"/>
  <c r="W453" i="1"/>
  <c r="V453" i="1"/>
  <c r="U453" i="1"/>
  <c r="T453" i="1"/>
  <c r="L453" i="1"/>
  <c r="Y452" i="1"/>
  <c r="X452" i="1"/>
  <c r="W452" i="1"/>
  <c r="V452" i="1"/>
  <c r="U452" i="1"/>
  <c r="T452" i="1"/>
  <c r="L452" i="1"/>
  <c r="Y451" i="1"/>
  <c r="X451" i="1"/>
  <c r="W451" i="1"/>
  <c r="V451" i="1"/>
  <c r="U451" i="1"/>
  <c r="T451" i="1"/>
  <c r="L451" i="1"/>
  <c r="Y450" i="1"/>
  <c r="X450" i="1"/>
  <c r="W450" i="1"/>
  <c r="V450" i="1"/>
  <c r="U450" i="1"/>
  <c r="T450" i="1"/>
  <c r="L450" i="1"/>
  <c r="Y449" i="1"/>
  <c r="X449" i="1"/>
  <c r="W449" i="1"/>
  <c r="V449" i="1"/>
  <c r="U449" i="1"/>
  <c r="T449" i="1"/>
  <c r="L449" i="1"/>
  <c r="Y448" i="1"/>
  <c r="X448" i="1"/>
  <c r="W448" i="1"/>
  <c r="V448" i="1"/>
  <c r="U448" i="1"/>
  <c r="T448" i="1"/>
  <c r="L448" i="1"/>
  <c r="Y447" i="1"/>
  <c r="X447" i="1"/>
  <c r="W447" i="1"/>
  <c r="V447" i="1"/>
  <c r="U447" i="1"/>
  <c r="T447" i="1"/>
  <c r="L447" i="1"/>
  <c r="Y446" i="1"/>
  <c r="X446" i="1"/>
  <c r="W446" i="1"/>
  <c r="V446" i="1"/>
  <c r="U446" i="1"/>
  <c r="T446" i="1"/>
  <c r="L446" i="1"/>
  <c r="Y445" i="1"/>
  <c r="X445" i="1"/>
  <c r="W445" i="1"/>
  <c r="V445" i="1"/>
  <c r="U445" i="1"/>
  <c r="T445" i="1"/>
  <c r="L445" i="1"/>
  <c r="Y444" i="1"/>
  <c r="X444" i="1"/>
  <c r="W444" i="1"/>
  <c r="V444" i="1"/>
  <c r="U444" i="1"/>
  <c r="T444" i="1"/>
  <c r="L444" i="1"/>
  <c r="Y443" i="1"/>
  <c r="X443" i="1"/>
  <c r="W443" i="1"/>
  <c r="V443" i="1"/>
  <c r="U443" i="1"/>
  <c r="T443" i="1"/>
  <c r="L443" i="1"/>
  <c r="Y442" i="1"/>
  <c r="X442" i="1"/>
  <c r="W442" i="1"/>
  <c r="V442" i="1"/>
  <c r="U442" i="1"/>
  <c r="T442" i="1"/>
  <c r="L442" i="1"/>
  <c r="Y441" i="1"/>
  <c r="X441" i="1"/>
  <c r="W441" i="1"/>
  <c r="V441" i="1"/>
  <c r="U441" i="1"/>
  <c r="T441" i="1"/>
  <c r="L441" i="1"/>
  <c r="Y440" i="1"/>
  <c r="X440" i="1"/>
  <c r="W440" i="1"/>
  <c r="V440" i="1"/>
  <c r="U440" i="1"/>
  <c r="T440" i="1"/>
  <c r="L440" i="1"/>
  <c r="Y439" i="1"/>
  <c r="X439" i="1"/>
  <c r="W439" i="1"/>
  <c r="V439" i="1"/>
  <c r="U439" i="1"/>
  <c r="T439" i="1"/>
  <c r="L439" i="1"/>
  <c r="Y438" i="1"/>
  <c r="X438" i="1"/>
  <c r="W438" i="1"/>
  <c r="V438" i="1"/>
  <c r="U438" i="1"/>
  <c r="T438" i="1"/>
  <c r="L438" i="1"/>
  <c r="Y437" i="1"/>
  <c r="X437" i="1"/>
  <c r="W437" i="1"/>
  <c r="V437" i="1"/>
  <c r="U437" i="1"/>
  <c r="T437" i="1"/>
  <c r="L437" i="1"/>
  <c r="Y436" i="1"/>
  <c r="X436" i="1"/>
  <c r="W436" i="1"/>
  <c r="V436" i="1"/>
  <c r="U436" i="1"/>
  <c r="T436" i="1"/>
  <c r="L436" i="1"/>
  <c r="Y435" i="1"/>
  <c r="X435" i="1"/>
  <c r="W435" i="1"/>
  <c r="V435" i="1"/>
  <c r="U435" i="1"/>
  <c r="T435" i="1"/>
  <c r="L435" i="1"/>
  <c r="Y434" i="1"/>
  <c r="X434" i="1"/>
  <c r="W434" i="1"/>
  <c r="V434" i="1"/>
  <c r="U434" i="1"/>
  <c r="T434" i="1"/>
  <c r="L434" i="1"/>
  <c r="Y433" i="1"/>
  <c r="X433" i="1"/>
  <c r="W433" i="1"/>
  <c r="V433" i="1"/>
  <c r="U433" i="1"/>
  <c r="T433" i="1"/>
  <c r="L433" i="1"/>
  <c r="Y432" i="1"/>
  <c r="X432" i="1"/>
  <c r="W432" i="1"/>
  <c r="V432" i="1"/>
  <c r="U432" i="1"/>
  <c r="T432" i="1"/>
  <c r="L432" i="1"/>
  <c r="Y431" i="1"/>
  <c r="X431" i="1"/>
  <c r="W431" i="1"/>
  <c r="V431" i="1"/>
  <c r="U431" i="1"/>
  <c r="T431" i="1"/>
  <c r="L431" i="1"/>
  <c r="Y430" i="1"/>
  <c r="X430" i="1"/>
  <c r="W430" i="1"/>
  <c r="V430" i="1"/>
  <c r="U430" i="1"/>
  <c r="T430" i="1"/>
  <c r="L430" i="1"/>
  <c r="Y429" i="1"/>
  <c r="X429" i="1"/>
  <c r="W429" i="1"/>
  <c r="V429" i="1"/>
  <c r="U429" i="1"/>
  <c r="T429" i="1"/>
  <c r="L429" i="1"/>
  <c r="Y428" i="1"/>
  <c r="X428" i="1"/>
  <c r="W428" i="1"/>
  <c r="V428" i="1"/>
  <c r="U428" i="1"/>
  <c r="T428" i="1"/>
  <c r="L428" i="1"/>
  <c r="Y427" i="1"/>
  <c r="X427" i="1"/>
  <c r="W427" i="1"/>
  <c r="V427" i="1"/>
  <c r="U427" i="1"/>
  <c r="T427" i="1"/>
  <c r="L427" i="1"/>
  <c r="Y426" i="1"/>
  <c r="X426" i="1"/>
  <c r="W426" i="1"/>
  <c r="V426" i="1"/>
  <c r="U426" i="1"/>
  <c r="T426" i="1"/>
  <c r="L426" i="1"/>
  <c r="Y425" i="1"/>
  <c r="X425" i="1"/>
  <c r="W425" i="1"/>
  <c r="V425" i="1"/>
  <c r="U425" i="1"/>
  <c r="T425" i="1"/>
  <c r="L425" i="1"/>
  <c r="Y424" i="1"/>
  <c r="X424" i="1"/>
  <c r="W424" i="1"/>
  <c r="V424" i="1"/>
  <c r="U424" i="1"/>
  <c r="T424" i="1"/>
  <c r="L424" i="1"/>
  <c r="Y423" i="1"/>
  <c r="X423" i="1"/>
  <c r="W423" i="1"/>
  <c r="V423" i="1"/>
  <c r="U423" i="1"/>
  <c r="T423" i="1"/>
  <c r="L423" i="1"/>
  <c r="Y422" i="1"/>
  <c r="X422" i="1"/>
  <c r="W422" i="1"/>
  <c r="V422" i="1"/>
  <c r="U422" i="1"/>
  <c r="T422" i="1"/>
  <c r="L422" i="1"/>
  <c r="Y421" i="1"/>
  <c r="X421" i="1"/>
  <c r="W421" i="1"/>
  <c r="V421" i="1"/>
  <c r="U421" i="1"/>
  <c r="T421" i="1"/>
  <c r="L421" i="1"/>
  <c r="Y420" i="1"/>
  <c r="X420" i="1"/>
  <c r="W420" i="1"/>
  <c r="V420" i="1"/>
  <c r="U420" i="1"/>
  <c r="T420" i="1"/>
  <c r="L420" i="1"/>
  <c r="Y419" i="1"/>
  <c r="X419" i="1"/>
  <c r="W419" i="1"/>
  <c r="V419" i="1"/>
  <c r="U419" i="1"/>
  <c r="T419" i="1"/>
  <c r="L419" i="1"/>
  <c r="Y418" i="1"/>
  <c r="X418" i="1"/>
  <c r="W418" i="1"/>
  <c r="V418" i="1"/>
  <c r="U418" i="1"/>
  <c r="T418" i="1"/>
  <c r="L418" i="1"/>
  <c r="Y417" i="1"/>
  <c r="X417" i="1"/>
  <c r="W417" i="1"/>
  <c r="V417" i="1"/>
  <c r="U417" i="1"/>
  <c r="T417" i="1"/>
  <c r="L417" i="1"/>
  <c r="Y416" i="1"/>
  <c r="X416" i="1"/>
  <c r="W416" i="1"/>
  <c r="V416" i="1"/>
  <c r="U416" i="1"/>
  <c r="T416" i="1"/>
  <c r="L416" i="1"/>
  <c r="Y415" i="1"/>
  <c r="X415" i="1"/>
  <c r="W415" i="1"/>
  <c r="V415" i="1"/>
  <c r="U415" i="1"/>
  <c r="T415" i="1"/>
  <c r="L415" i="1"/>
  <c r="Y414" i="1"/>
  <c r="X414" i="1"/>
  <c r="W414" i="1"/>
  <c r="V414" i="1"/>
  <c r="U414" i="1"/>
  <c r="T414" i="1"/>
  <c r="L414" i="1"/>
  <c r="Y413" i="1"/>
  <c r="X413" i="1"/>
  <c r="W413" i="1"/>
  <c r="V413" i="1"/>
  <c r="U413" i="1"/>
  <c r="T413" i="1"/>
  <c r="L413" i="1"/>
  <c r="Y412" i="1"/>
  <c r="X412" i="1"/>
  <c r="W412" i="1"/>
  <c r="V412" i="1"/>
  <c r="U412" i="1"/>
  <c r="T412" i="1"/>
  <c r="L412" i="1"/>
  <c r="Y411" i="1"/>
  <c r="X411" i="1"/>
  <c r="W411" i="1"/>
  <c r="V411" i="1"/>
  <c r="U411" i="1"/>
  <c r="T411" i="1"/>
  <c r="L411" i="1"/>
  <c r="Y410" i="1"/>
  <c r="X410" i="1"/>
  <c r="W410" i="1"/>
  <c r="V410" i="1"/>
  <c r="U410" i="1"/>
  <c r="T410" i="1"/>
  <c r="L410" i="1"/>
  <c r="Y409" i="1"/>
  <c r="X409" i="1"/>
  <c r="W409" i="1"/>
  <c r="V409" i="1"/>
  <c r="U409" i="1"/>
  <c r="T409" i="1"/>
  <c r="L409" i="1"/>
  <c r="Y408" i="1"/>
  <c r="X408" i="1"/>
  <c r="W408" i="1"/>
  <c r="V408" i="1"/>
  <c r="U408" i="1"/>
  <c r="T408" i="1"/>
  <c r="L408" i="1"/>
  <c r="Y407" i="1"/>
  <c r="X407" i="1"/>
  <c r="W407" i="1"/>
  <c r="V407" i="1"/>
  <c r="U407" i="1"/>
  <c r="T407" i="1"/>
  <c r="L407" i="1"/>
  <c r="Y406" i="1"/>
  <c r="X406" i="1"/>
  <c r="W406" i="1"/>
  <c r="V406" i="1"/>
  <c r="U406" i="1"/>
  <c r="T406" i="1"/>
  <c r="L406" i="1"/>
  <c r="Y405" i="1"/>
  <c r="X405" i="1"/>
  <c r="W405" i="1"/>
  <c r="V405" i="1"/>
  <c r="U405" i="1"/>
  <c r="T405" i="1"/>
  <c r="L405" i="1"/>
  <c r="Y404" i="1"/>
  <c r="X404" i="1"/>
  <c r="W404" i="1"/>
  <c r="V404" i="1"/>
  <c r="U404" i="1"/>
  <c r="T404" i="1"/>
  <c r="L404" i="1"/>
  <c r="Y403" i="1"/>
  <c r="X403" i="1"/>
  <c r="W403" i="1"/>
  <c r="V403" i="1"/>
  <c r="U403" i="1"/>
  <c r="T403" i="1"/>
  <c r="L403" i="1"/>
  <c r="Y402" i="1"/>
  <c r="X402" i="1"/>
  <c r="W402" i="1"/>
  <c r="V402" i="1"/>
  <c r="U402" i="1"/>
  <c r="T402" i="1"/>
  <c r="L402" i="1"/>
  <c r="Y401" i="1"/>
  <c r="X401" i="1"/>
  <c r="W401" i="1"/>
  <c r="V401" i="1"/>
  <c r="U401" i="1"/>
  <c r="T401" i="1"/>
  <c r="L401" i="1"/>
  <c r="Y400" i="1"/>
  <c r="X400" i="1"/>
  <c r="W400" i="1"/>
  <c r="V400" i="1"/>
  <c r="U400" i="1"/>
  <c r="T400" i="1"/>
  <c r="L400" i="1"/>
  <c r="Y399" i="1"/>
  <c r="X399" i="1"/>
  <c r="W399" i="1"/>
  <c r="V399" i="1"/>
  <c r="U399" i="1"/>
  <c r="T399" i="1"/>
  <c r="L399" i="1"/>
  <c r="Y398" i="1"/>
  <c r="X398" i="1"/>
  <c r="W398" i="1"/>
  <c r="V398" i="1"/>
  <c r="U398" i="1"/>
  <c r="T398" i="1"/>
  <c r="L398" i="1"/>
  <c r="Y397" i="1"/>
  <c r="X397" i="1"/>
  <c r="W397" i="1"/>
  <c r="V397" i="1"/>
  <c r="U397" i="1"/>
  <c r="T397" i="1"/>
  <c r="L397" i="1"/>
  <c r="Y396" i="1"/>
  <c r="X396" i="1"/>
  <c r="W396" i="1"/>
  <c r="V396" i="1"/>
  <c r="U396" i="1"/>
  <c r="T396" i="1"/>
  <c r="L396" i="1"/>
  <c r="Y395" i="1"/>
  <c r="X395" i="1"/>
  <c r="W395" i="1"/>
  <c r="V395" i="1"/>
  <c r="U395" i="1"/>
  <c r="T395" i="1"/>
  <c r="L395" i="1"/>
  <c r="Y394" i="1"/>
  <c r="X394" i="1"/>
  <c r="W394" i="1"/>
  <c r="V394" i="1"/>
  <c r="U394" i="1"/>
  <c r="T394" i="1"/>
  <c r="L394" i="1"/>
  <c r="Y393" i="1"/>
  <c r="X393" i="1"/>
  <c r="W393" i="1"/>
  <c r="V393" i="1"/>
  <c r="U393" i="1"/>
  <c r="T393" i="1"/>
  <c r="L393" i="1"/>
  <c r="Y392" i="1"/>
  <c r="X392" i="1"/>
  <c r="W392" i="1"/>
  <c r="V392" i="1"/>
  <c r="U392" i="1"/>
  <c r="T392" i="1"/>
  <c r="L392" i="1"/>
  <c r="Y391" i="1"/>
  <c r="X391" i="1"/>
  <c r="W391" i="1"/>
  <c r="V391" i="1"/>
  <c r="U391" i="1"/>
  <c r="T391" i="1"/>
  <c r="L391" i="1"/>
  <c r="Y390" i="1"/>
  <c r="X390" i="1"/>
  <c r="W390" i="1"/>
  <c r="V390" i="1"/>
  <c r="U390" i="1"/>
  <c r="T390" i="1"/>
  <c r="L390" i="1"/>
  <c r="Y389" i="1"/>
  <c r="X389" i="1"/>
  <c r="W389" i="1"/>
  <c r="V389" i="1"/>
  <c r="U389" i="1"/>
  <c r="T389" i="1"/>
  <c r="L389" i="1"/>
  <c r="Y388" i="1"/>
  <c r="X388" i="1"/>
  <c r="W388" i="1"/>
  <c r="V388" i="1"/>
  <c r="U388" i="1"/>
  <c r="T388" i="1"/>
  <c r="L388" i="1"/>
  <c r="Y387" i="1"/>
  <c r="X387" i="1"/>
  <c r="W387" i="1"/>
  <c r="V387" i="1"/>
  <c r="U387" i="1"/>
  <c r="T387" i="1"/>
  <c r="L387" i="1"/>
  <c r="Y386" i="1"/>
  <c r="X386" i="1"/>
  <c r="W386" i="1"/>
  <c r="V386" i="1"/>
  <c r="U386" i="1"/>
  <c r="T386" i="1"/>
  <c r="L386" i="1"/>
  <c r="Y385" i="1"/>
  <c r="X385" i="1"/>
  <c r="W385" i="1"/>
  <c r="V385" i="1"/>
  <c r="U385" i="1"/>
  <c r="T385" i="1"/>
  <c r="L385" i="1"/>
  <c r="Y384" i="1"/>
  <c r="X384" i="1"/>
  <c r="W384" i="1"/>
  <c r="V384" i="1"/>
  <c r="U384" i="1"/>
  <c r="T384" i="1"/>
  <c r="L384" i="1"/>
  <c r="Y383" i="1"/>
  <c r="X383" i="1"/>
  <c r="W383" i="1"/>
  <c r="V383" i="1"/>
  <c r="U383" i="1"/>
  <c r="T383" i="1"/>
  <c r="L383" i="1"/>
  <c r="Y382" i="1"/>
  <c r="X382" i="1"/>
  <c r="W382" i="1"/>
  <c r="V382" i="1"/>
  <c r="U382" i="1"/>
  <c r="T382" i="1"/>
  <c r="L382" i="1"/>
  <c r="Y381" i="1"/>
  <c r="X381" i="1"/>
  <c r="W381" i="1"/>
  <c r="V381" i="1"/>
  <c r="U381" i="1"/>
  <c r="T381" i="1"/>
  <c r="L381" i="1"/>
  <c r="Y380" i="1"/>
  <c r="X380" i="1"/>
  <c r="W380" i="1"/>
  <c r="V380" i="1"/>
  <c r="U380" i="1"/>
  <c r="T380" i="1"/>
  <c r="L380" i="1"/>
  <c r="Y379" i="1"/>
  <c r="X379" i="1"/>
  <c r="W379" i="1"/>
  <c r="V379" i="1"/>
  <c r="U379" i="1"/>
  <c r="T379" i="1"/>
  <c r="L379" i="1"/>
  <c r="Y378" i="1"/>
  <c r="X378" i="1"/>
  <c r="W378" i="1"/>
  <c r="V378" i="1"/>
  <c r="U378" i="1"/>
  <c r="T378" i="1"/>
  <c r="L378" i="1"/>
  <c r="Y377" i="1"/>
  <c r="X377" i="1"/>
  <c r="W377" i="1"/>
  <c r="V377" i="1"/>
  <c r="U377" i="1"/>
  <c r="T377" i="1"/>
  <c r="L377" i="1"/>
  <c r="Y376" i="1"/>
  <c r="X376" i="1"/>
  <c r="W376" i="1"/>
  <c r="V376" i="1"/>
  <c r="U376" i="1"/>
  <c r="T376" i="1"/>
  <c r="L376" i="1"/>
  <c r="Y375" i="1"/>
  <c r="X375" i="1"/>
  <c r="W375" i="1"/>
  <c r="V375" i="1"/>
  <c r="U375" i="1"/>
  <c r="T375" i="1"/>
  <c r="L375" i="1"/>
  <c r="Y374" i="1"/>
  <c r="X374" i="1"/>
  <c r="W374" i="1"/>
  <c r="V374" i="1"/>
  <c r="U374" i="1"/>
  <c r="T374" i="1"/>
  <c r="L374" i="1"/>
  <c r="Y373" i="1"/>
  <c r="X373" i="1"/>
  <c r="W373" i="1"/>
  <c r="V373" i="1"/>
  <c r="U373" i="1"/>
  <c r="T373" i="1"/>
  <c r="L373" i="1"/>
  <c r="Y372" i="1"/>
  <c r="X372" i="1"/>
  <c r="W372" i="1"/>
  <c r="V372" i="1"/>
  <c r="U372" i="1"/>
  <c r="T372" i="1"/>
  <c r="L372" i="1"/>
  <c r="Y371" i="1"/>
  <c r="X371" i="1"/>
  <c r="W371" i="1"/>
  <c r="V371" i="1"/>
  <c r="U371" i="1"/>
  <c r="T371" i="1"/>
  <c r="L371" i="1"/>
  <c r="Y370" i="1"/>
  <c r="X370" i="1"/>
  <c r="W370" i="1"/>
  <c r="V370" i="1"/>
  <c r="U370" i="1"/>
  <c r="T370" i="1"/>
  <c r="L370" i="1"/>
  <c r="Y369" i="1"/>
  <c r="X369" i="1"/>
  <c r="W369" i="1"/>
  <c r="V369" i="1"/>
  <c r="U369" i="1"/>
  <c r="T369" i="1"/>
  <c r="L369" i="1"/>
  <c r="Y368" i="1"/>
  <c r="X368" i="1"/>
  <c r="W368" i="1"/>
  <c r="V368" i="1"/>
  <c r="U368" i="1"/>
  <c r="T368" i="1"/>
  <c r="L368" i="1"/>
  <c r="Y367" i="1"/>
  <c r="X367" i="1"/>
  <c r="W367" i="1"/>
  <c r="V367" i="1"/>
  <c r="U367" i="1"/>
  <c r="T367" i="1"/>
  <c r="L367" i="1"/>
  <c r="Y366" i="1"/>
  <c r="X366" i="1"/>
  <c r="W366" i="1"/>
  <c r="V366" i="1"/>
  <c r="U366" i="1"/>
  <c r="T366" i="1"/>
  <c r="L366" i="1"/>
  <c r="Y365" i="1"/>
  <c r="X365" i="1"/>
  <c r="W365" i="1"/>
  <c r="V365" i="1"/>
  <c r="U365" i="1"/>
  <c r="T365" i="1"/>
  <c r="L365" i="1"/>
  <c r="Y364" i="1"/>
  <c r="X364" i="1"/>
  <c r="W364" i="1"/>
  <c r="V364" i="1"/>
  <c r="U364" i="1"/>
  <c r="T364" i="1"/>
  <c r="L364" i="1"/>
  <c r="Y363" i="1"/>
  <c r="X363" i="1"/>
  <c r="W363" i="1"/>
  <c r="V363" i="1"/>
  <c r="U363" i="1"/>
  <c r="T363" i="1"/>
  <c r="L363" i="1"/>
  <c r="Y362" i="1"/>
  <c r="X362" i="1"/>
  <c r="W362" i="1"/>
  <c r="V362" i="1"/>
  <c r="U362" i="1"/>
  <c r="T362" i="1"/>
  <c r="L362" i="1"/>
  <c r="Y361" i="1"/>
  <c r="X361" i="1"/>
  <c r="W361" i="1"/>
  <c r="V361" i="1"/>
  <c r="U361" i="1"/>
  <c r="T361" i="1"/>
  <c r="L361" i="1"/>
  <c r="Y360" i="1"/>
  <c r="X360" i="1"/>
  <c r="W360" i="1"/>
  <c r="V360" i="1"/>
  <c r="U360" i="1"/>
  <c r="T360" i="1"/>
  <c r="L360" i="1"/>
  <c r="Y359" i="1"/>
  <c r="X359" i="1"/>
  <c r="W359" i="1"/>
  <c r="V359" i="1"/>
  <c r="U359" i="1"/>
  <c r="T359" i="1"/>
  <c r="L359" i="1"/>
  <c r="Y358" i="1"/>
  <c r="X358" i="1"/>
  <c r="W358" i="1"/>
  <c r="V358" i="1"/>
  <c r="U358" i="1"/>
  <c r="T358" i="1"/>
  <c r="L358" i="1"/>
  <c r="Y357" i="1"/>
  <c r="X357" i="1"/>
  <c r="W357" i="1"/>
  <c r="V357" i="1"/>
  <c r="U357" i="1"/>
  <c r="T357" i="1"/>
  <c r="L357" i="1"/>
  <c r="Y356" i="1"/>
  <c r="X356" i="1"/>
  <c r="W356" i="1"/>
  <c r="V356" i="1"/>
  <c r="U356" i="1"/>
  <c r="T356" i="1"/>
  <c r="L356" i="1"/>
  <c r="Y355" i="1"/>
  <c r="X355" i="1"/>
  <c r="W355" i="1"/>
  <c r="V355" i="1"/>
  <c r="U355" i="1"/>
  <c r="T355" i="1"/>
  <c r="L355" i="1"/>
  <c r="Y354" i="1"/>
  <c r="X354" i="1"/>
  <c r="W354" i="1"/>
  <c r="V354" i="1"/>
  <c r="U354" i="1"/>
  <c r="T354" i="1"/>
  <c r="L354" i="1"/>
  <c r="Y353" i="1"/>
  <c r="X353" i="1"/>
  <c r="W353" i="1"/>
  <c r="V353" i="1"/>
  <c r="U353" i="1"/>
  <c r="T353" i="1"/>
  <c r="L353" i="1"/>
  <c r="Y352" i="1"/>
  <c r="X352" i="1"/>
  <c r="W352" i="1"/>
  <c r="V352" i="1"/>
  <c r="U352" i="1"/>
  <c r="T352" i="1"/>
  <c r="L352" i="1"/>
  <c r="Y351" i="1"/>
  <c r="X351" i="1"/>
  <c r="W351" i="1"/>
  <c r="V351" i="1"/>
  <c r="U351" i="1"/>
  <c r="T351" i="1"/>
  <c r="L351" i="1"/>
  <c r="Y350" i="1"/>
  <c r="X350" i="1"/>
  <c r="W350" i="1"/>
  <c r="V350" i="1"/>
  <c r="U350" i="1"/>
  <c r="T350" i="1"/>
  <c r="L350" i="1"/>
  <c r="Y349" i="1"/>
  <c r="X349" i="1"/>
  <c r="W349" i="1"/>
  <c r="V349" i="1"/>
  <c r="U349" i="1"/>
  <c r="T349" i="1"/>
  <c r="L349" i="1"/>
  <c r="Y348" i="1"/>
  <c r="X348" i="1"/>
  <c r="W348" i="1"/>
  <c r="V348" i="1"/>
  <c r="U348" i="1"/>
  <c r="T348" i="1"/>
  <c r="L348" i="1"/>
  <c r="Y347" i="1"/>
  <c r="X347" i="1"/>
  <c r="W347" i="1"/>
  <c r="V347" i="1"/>
  <c r="U347" i="1"/>
  <c r="T347" i="1"/>
  <c r="L347" i="1"/>
  <c r="Y346" i="1"/>
  <c r="X346" i="1"/>
  <c r="W346" i="1"/>
  <c r="V346" i="1"/>
  <c r="U346" i="1"/>
  <c r="T346" i="1"/>
  <c r="L346" i="1"/>
  <c r="Y345" i="1"/>
  <c r="X345" i="1"/>
  <c r="W345" i="1"/>
  <c r="V345" i="1"/>
  <c r="U345" i="1"/>
  <c r="T345" i="1"/>
  <c r="L345" i="1"/>
  <c r="Y344" i="1"/>
  <c r="X344" i="1"/>
  <c r="W344" i="1"/>
  <c r="V344" i="1"/>
  <c r="U344" i="1"/>
  <c r="T344" i="1"/>
  <c r="L344" i="1"/>
  <c r="Y343" i="1"/>
  <c r="X343" i="1"/>
  <c r="W343" i="1"/>
  <c r="V343" i="1"/>
  <c r="U343" i="1"/>
  <c r="T343" i="1"/>
  <c r="L343" i="1"/>
  <c r="Y342" i="1"/>
  <c r="X342" i="1"/>
  <c r="W342" i="1"/>
  <c r="V342" i="1"/>
  <c r="U342" i="1"/>
  <c r="T342" i="1"/>
  <c r="L342" i="1"/>
  <c r="Y341" i="1"/>
  <c r="X341" i="1"/>
  <c r="W341" i="1"/>
  <c r="V341" i="1"/>
  <c r="U341" i="1"/>
  <c r="T341" i="1"/>
  <c r="L341" i="1"/>
  <c r="Y340" i="1"/>
  <c r="X340" i="1"/>
  <c r="W340" i="1"/>
  <c r="V340" i="1"/>
  <c r="U340" i="1"/>
  <c r="T340" i="1"/>
  <c r="L340" i="1"/>
  <c r="Y339" i="1"/>
  <c r="X339" i="1"/>
  <c r="W339" i="1"/>
  <c r="V339" i="1"/>
  <c r="U339" i="1"/>
  <c r="T339" i="1"/>
  <c r="L339" i="1"/>
  <c r="Y338" i="1"/>
  <c r="X338" i="1"/>
  <c r="W338" i="1"/>
  <c r="V338" i="1"/>
  <c r="U338" i="1"/>
  <c r="T338" i="1"/>
  <c r="L338" i="1"/>
  <c r="Y337" i="1"/>
  <c r="X337" i="1"/>
  <c r="W337" i="1"/>
  <c r="V337" i="1"/>
  <c r="U337" i="1"/>
  <c r="T337" i="1"/>
  <c r="L337" i="1"/>
  <c r="Y336" i="1"/>
  <c r="X336" i="1"/>
  <c r="W336" i="1"/>
  <c r="V336" i="1"/>
  <c r="U336" i="1"/>
  <c r="T336" i="1"/>
  <c r="L336" i="1"/>
  <c r="Y335" i="1"/>
  <c r="X335" i="1"/>
  <c r="W335" i="1"/>
  <c r="V335" i="1"/>
  <c r="U335" i="1"/>
  <c r="T335" i="1"/>
  <c r="L335" i="1"/>
  <c r="Y334" i="1"/>
  <c r="X334" i="1"/>
  <c r="W334" i="1"/>
  <c r="V334" i="1"/>
  <c r="U334" i="1"/>
  <c r="T334" i="1"/>
  <c r="L334" i="1"/>
  <c r="Y333" i="1"/>
  <c r="X333" i="1"/>
  <c r="W333" i="1"/>
  <c r="V333" i="1"/>
  <c r="U333" i="1"/>
  <c r="T333" i="1"/>
  <c r="L333" i="1"/>
  <c r="Y332" i="1"/>
  <c r="X332" i="1"/>
  <c r="W332" i="1"/>
  <c r="V332" i="1"/>
  <c r="U332" i="1"/>
  <c r="T332" i="1"/>
  <c r="L332" i="1"/>
  <c r="Y331" i="1"/>
  <c r="X331" i="1"/>
  <c r="W331" i="1"/>
  <c r="V331" i="1"/>
  <c r="U331" i="1"/>
  <c r="T331" i="1"/>
  <c r="L331" i="1"/>
  <c r="Y330" i="1"/>
  <c r="X330" i="1"/>
  <c r="W330" i="1"/>
  <c r="V330" i="1"/>
  <c r="U330" i="1"/>
  <c r="T330" i="1"/>
  <c r="L330" i="1"/>
  <c r="Y329" i="1"/>
  <c r="X329" i="1"/>
  <c r="W329" i="1"/>
  <c r="V329" i="1"/>
  <c r="U329" i="1"/>
  <c r="T329" i="1"/>
  <c r="L329" i="1"/>
  <c r="Y328" i="1"/>
  <c r="X328" i="1"/>
  <c r="W328" i="1"/>
  <c r="V328" i="1"/>
  <c r="U328" i="1"/>
  <c r="T328" i="1"/>
  <c r="L328" i="1"/>
  <c r="Y327" i="1"/>
  <c r="X327" i="1"/>
  <c r="W327" i="1"/>
  <c r="V327" i="1"/>
  <c r="U327" i="1"/>
  <c r="T327" i="1"/>
  <c r="L327" i="1"/>
  <c r="Y326" i="1"/>
  <c r="X326" i="1"/>
  <c r="W326" i="1"/>
  <c r="V326" i="1"/>
  <c r="U326" i="1"/>
  <c r="T326" i="1"/>
  <c r="L326" i="1"/>
  <c r="Y325" i="1"/>
  <c r="X325" i="1"/>
  <c r="W325" i="1"/>
  <c r="V325" i="1"/>
  <c r="U325" i="1"/>
  <c r="T325" i="1"/>
  <c r="L325" i="1"/>
  <c r="Y324" i="1"/>
  <c r="X324" i="1"/>
  <c r="W324" i="1"/>
  <c r="V324" i="1"/>
  <c r="U324" i="1"/>
  <c r="T324" i="1"/>
  <c r="L324" i="1"/>
  <c r="Y323" i="1"/>
  <c r="X323" i="1"/>
  <c r="W323" i="1"/>
  <c r="V323" i="1"/>
  <c r="U323" i="1"/>
  <c r="T323" i="1"/>
  <c r="L323" i="1"/>
  <c r="Y322" i="1"/>
  <c r="X322" i="1"/>
  <c r="W322" i="1"/>
  <c r="V322" i="1"/>
  <c r="U322" i="1"/>
  <c r="T322" i="1"/>
  <c r="L322" i="1"/>
  <c r="Y321" i="1"/>
  <c r="X321" i="1"/>
  <c r="W321" i="1"/>
  <c r="V321" i="1"/>
  <c r="U321" i="1"/>
  <c r="T321" i="1"/>
  <c r="L321" i="1"/>
  <c r="Y320" i="1"/>
  <c r="X320" i="1"/>
  <c r="W320" i="1"/>
  <c r="V320" i="1"/>
  <c r="U320" i="1"/>
  <c r="T320" i="1"/>
  <c r="L320" i="1"/>
  <c r="Y319" i="1"/>
  <c r="X319" i="1"/>
  <c r="W319" i="1"/>
  <c r="V319" i="1"/>
  <c r="U319" i="1"/>
  <c r="T319" i="1"/>
  <c r="L319" i="1"/>
  <c r="Y318" i="1"/>
  <c r="X318" i="1"/>
  <c r="W318" i="1"/>
  <c r="V318" i="1"/>
  <c r="U318" i="1"/>
  <c r="T318" i="1"/>
  <c r="L318" i="1"/>
  <c r="Y317" i="1"/>
  <c r="X317" i="1"/>
  <c r="W317" i="1"/>
  <c r="V317" i="1"/>
  <c r="U317" i="1"/>
  <c r="T317" i="1"/>
  <c r="L317" i="1"/>
  <c r="Y316" i="1"/>
  <c r="X316" i="1"/>
  <c r="W316" i="1"/>
  <c r="V316" i="1"/>
  <c r="U316" i="1"/>
  <c r="T316" i="1"/>
  <c r="L316" i="1"/>
  <c r="Y315" i="1"/>
  <c r="X315" i="1"/>
  <c r="W315" i="1"/>
  <c r="V315" i="1"/>
  <c r="U315" i="1"/>
  <c r="T315" i="1"/>
  <c r="L315" i="1"/>
  <c r="Y314" i="1"/>
  <c r="X314" i="1"/>
  <c r="W314" i="1"/>
  <c r="V314" i="1"/>
  <c r="U314" i="1"/>
  <c r="T314" i="1"/>
  <c r="L314" i="1"/>
  <c r="Y313" i="1"/>
  <c r="X313" i="1"/>
  <c r="W313" i="1"/>
  <c r="V313" i="1"/>
  <c r="U313" i="1"/>
  <c r="T313" i="1"/>
  <c r="L313" i="1"/>
  <c r="Y312" i="1"/>
  <c r="X312" i="1"/>
  <c r="W312" i="1"/>
  <c r="V312" i="1"/>
  <c r="U312" i="1"/>
  <c r="T312" i="1"/>
  <c r="L312" i="1"/>
  <c r="Y311" i="1"/>
  <c r="X311" i="1"/>
  <c r="W311" i="1"/>
  <c r="V311" i="1"/>
  <c r="U311" i="1"/>
  <c r="T311" i="1"/>
  <c r="L311" i="1"/>
  <c r="Y310" i="1"/>
  <c r="X310" i="1"/>
  <c r="W310" i="1"/>
  <c r="V310" i="1"/>
  <c r="U310" i="1"/>
  <c r="T310" i="1"/>
  <c r="L310" i="1"/>
  <c r="Y309" i="1"/>
  <c r="X309" i="1"/>
  <c r="W309" i="1"/>
  <c r="V309" i="1"/>
  <c r="U309" i="1"/>
  <c r="T309" i="1"/>
  <c r="L309" i="1"/>
  <c r="Y308" i="1"/>
  <c r="X308" i="1"/>
  <c r="W308" i="1"/>
  <c r="V308" i="1"/>
  <c r="U308" i="1"/>
  <c r="T308" i="1"/>
  <c r="L308" i="1"/>
  <c r="Y307" i="1"/>
  <c r="X307" i="1"/>
  <c r="W307" i="1"/>
  <c r="V307" i="1"/>
  <c r="U307" i="1"/>
  <c r="T307" i="1"/>
  <c r="L307" i="1"/>
  <c r="Y306" i="1"/>
  <c r="X306" i="1"/>
  <c r="W306" i="1"/>
  <c r="V306" i="1"/>
  <c r="U306" i="1"/>
  <c r="T306" i="1"/>
  <c r="L306" i="1"/>
  <c r="Y305" i="1"/>
  <c r="X305" i="1"/>
  <c r="W305" i="1"/>
  <c r="V305" i="1"/>
  <c r="U305" i="1"/>
  <c r="T305" i="1"/>
  <c r="L305" i="1"/>
  <c r="Y304" i="1"/>
  <c r="X304" i="1"/>
  <c r="W304" i="1"/>
  <c r="V304" i="1"/>
  <c r="U304" i="1"/>
  <c r="T304" i="1"/>
  <c r="L304" i="1"/>
  <c r="Y303" i="1"/>
  <c r="X303" i="1"/>
  <c r="W303" i="1"/>
  <c r="V303" i="1"/>
  <c r="U303" i="1"/>
  <c r="T303" i="1"/>
  <c r="L303" i="1"/>
  <c r="Y302" i="1"/>
  <c r="X302" i="1"/>
  <c r="W302" i="1"/>
  <c r="V302" i="1"/>
  <c r="U302" i="1"/>
  <c r="T302" i="1"/>
  <c r="L302" i="1"/>
  <c r="Y301" i="1"/>
  <c r="X301" i="1"/>
  <c r="W301" i="1"/>
  <c r="V301" i="1"/>
  <c r="U301" i="1"/>
  <c r="T301" i="1"/>
  <c r="L301" i="1"/>
  <c r="Y300" i="1"/>
  <c r="X300" i="1"/>
  <c r="W300" i="1"/>
  <c r="V300" i="1"/>
  <c r="U300" i="1"/>
  <c r="T300" i="1"/>
  <c r="L300" i="1"/>
  <c r="Y299" i="1"/>
  <c r="X299" i="1"/>
  <c r="W299" i="1"/>
  <c r="V299" i="1"/>
  <c r="U299" i="1"/>
  <c r="T299" i="1"/>
  <c r="L299" i="1"/>
  <c r="Y298" i="1"/>
  <c r="X298" i="1"/>
  <c r="W298" i="1"/>
  <c r="V298" i="1"/>
  <c r="U298" i="1"/>
  <c r="T298" i="1"/>
  <c r="L298" i="1"/>
  <c r="Y297" i="1"/>
  <c r="X297" i="1"/>
  <c r="W297" i="1"/>
  <c r="V297" i="1"/>
  <c r="U297" i="1"/>
  <c r="T297" i="1"/>
  <c r="L297" i="1"/>
  <c r="Y296" i="1"/>
  <c r="X296" i="1"/>
  <c r="W296" i="1"/>
  <c r="V296" i="1"/>
  <c r="U296" i="1"/>
  <c r="T296" i="1"/>
  <c r="L296" i="1"/>
  <c r="Y295" i="1"/>
  <c r="X295" i="1"/>
  <c r="W295" i="1"/>
  <c r="V295" i="1"/>
  <c r="U295" i="1"/>
  <c r="T295" i="1"/>
  <c r="L295" i="1"/>
  <c r="Y294" i="1"/>
  <c r="X294" i="1"/>
  <c r="W294" i="1"/>
  <c r="V294" i="1"/>
  <c r="U294" i="1"/>
  <c r="T294" i="1"/>
  <c r="L294" i="1"/>
  <c r="Y293" i="1"/>
  <c r="X293" i="1"/>
  <c r="W293" i="1"/>
  <c r="V293" i="1"/>
  <c r="U293" i="1"/>
  <c r="T293" i="1"/>
  <c r="L293" i="1"/>
  <c r="Y292" i="1"/>
  <c r="X292" i="1"/>
  <c r="W292" i="1"/>
  <c r="V292" i="1"/>
  <c r="U292" i="1"/>
  <c r="T292" i="1"/>
  <c r="L292" i="1"/>
  <c r="Y291" i="1"/>
  <c r="X291" i="1"/>
  <c r="W291" i="1"/>
  <c r="V291" i="1"/>
  <c r="U291" i="1"/>
  <c r="T291" i="1"/>
  <c r="L291" i="1"/>
  <c r="Y290" i="1"/>
  <c r="X290" i="1"/>
  <c r="W290" i="1"/>
  <c r="V290" i="1"/>
  <c r="U290" i="1"/>
  <c r="T290" i="1"/>
  <c r="L290" i="1"/>
  <c r="Y289" i="1"/>
  <c r="X289" i="1"/>
  <c r="W289" i="1"/>
  <c r="V289" i="1"/>
  <c r="U289" i="1"/>
  <c r="T289" i="1"/>
  <c r="L289" i="1"/>
  <c r="Y288" i="1"/>
  <c r="X288" i="1"/>
  <c r="W288" i="1"/>
  <c r="V288" i="1"/>
  <c r="U288" i="1"/>
  <c r="T288" i="1"/>
  <c r="L288" i="1"/>
  <c r="Y287" i="1"/>
  <c r="X287" i="1"/>
  <c r="W287" i="1"/>
  <c r="V287" i="1"/>
  <c r="U287" i="1"/>
  <c r="T287" i="1"/>
  <c r="L287" i="1"/>
  <c r="Y286" i="1"/>
  <c r="X286" i="1"/>
  <c r="W286" i="1"/>
  <c r="V286" i="1"/>
  <c r="U286" i="1"/>
  <c r="T286" i="1"/>
  <c r="L286" i="1"/>
  <c r="Y285" i="1"/>
  <c r="X285" i="1"/>
  <c r="W285" i="1"/>
  <c r="V285" i="1"/>
  <c r="U285" i="1"/>
  <c r="T285" i="1"/>
  <c r="L285" i="1"/>
  <c r="Y284" i="1"/>
  <c r="X284" i="1"/>
  <c r="W284" i="1"/>
  <c r="V284" i="1"/>
  <c r="U284" i="1"/>
  <c r="T284" i="1"/>
  <c r="L284" i="1"/>
  <c r="Y283" i="1"/>
  <c r="X283" i="1"/>
  <c r="W283" i="1"/>
  <c r="V283" i="1"/>
  <c r="U283" i="1"/>
  <c r="T283" i="1"/>
  <c r="L283" i="1"/>
  <c r="Y282" i="1"/>
  <c r="X282" i="1"/>
  <c r="W282" i="1"/>
  <c r="V282" i="1"/>
  <c r="U282" i="1"/>
  <c r="T282" i="1"/>
  <c r="L282" i="1"/>
  <c r="Y281" i="1"/>
  <c r="X281" i="1"/>
  <c r="W281" i="1"/>
  <c r="V281" i="1"/>
  <c r="U281" i="1"/>
  <c r="T281" i="1"/>
  <c r="L281" i="1"/>
  <c r="Y280" i="1"/>
  <c r="X280" i="1"/>
  <c r="W280" i="1"/>
  <c r="V280" i="1"/>
  <c r="U280" i="1"/>
  <c r="T280" i="1"/>
  <c r="L280" i="1"/>
  <c r="Y279" i="1"/>
  <c r="X279" i="1"/>
  <c r="W279" i="1"/>
  <c r="V279" i="1"/>
  <c r="U279" i="1"/>
  <c r="T279" i="1"/>
  <c r="L279" i="1"/>
  <c r="Y278" i="1"/>
  <c r="X278" i="1"/>
  <c r="W278" i="1"/>
  <c r="V278" i="1"/>
  <c r="U278" i="1"/>
  <c r="T278" i="1"/>
  <c r="L278" i="1"/>
  <c r="Y277" i="1"/>
  <c r="X277" i="1"/>
  <c r="W277" i="1"/>
  <c r="V277" i="1"/>
  <c r="U277" i="1"/>
  <c r="T277" i="1"/>
  <c r="L277" i="1"/>
  <c r="Y276" i="1"/>
  <c r="X276" i="1"/>
  <c r="W276" i="1"/>
  <c r="V276" i="1"/>
  <c r="U276" i="1"/>
  <c r="T276" i="1"/>
  <c r="L276" i="1"/>
  <c r="Y275" i="1"/>
  <c r="X275" i="1"/>
  <c r="W275" i="1"/>
  <c r="V275" i="1"/>
  <c r="U275" i="1"/>
  <c r="T275" i="1"/>
  <c r="L275" i="1"/>
  <c r="Y274" i="1"/>
  <c r="X274" i="1"/>
  <c r="W274" i="1"/>
  <c r="V274" i="1"/>
  <c r="U274" i="1"/>
  <c r="T274" i="1"/>
  <c r="L274" i="1"/>
  <c r="Y273" i="1"/>
  <c r="X273" i="1"/>
  <c r="W273" i="1"/>
  <c r="V273" i="1"/>
  <c r="U273" i="1"/>
  <c r="T273" i="1"/>
  <c r="L273" i="1"/>
  <c r="Y272" i="1"/>
  <c r="X272" i="1"/>
  <c r="W272" i="1"/>
  <c r="V272" i="1"/>
  <c r="U272" i="1"/>
  <c r="T272" i="1"/>
  <c r="L272" i="1"/>
  <c r="Y271" i="1"/>
  <c r="X271" i="1"/>
  <c r="W271" i="1"/>
  <c r="V271" i="1"/>
  <c r="U271" i="1"/>
  <c r="T271" i="1"/>
  <c r="L271" i="1"/>
  <c r="Y270" i="1"/>
  <c r="X270" i="1"/>
  <c r="W270" i="1"/>
  <c r="V270" i="1"/>
  <c r="U270" i="1"/>
  <c r="T270" i="1"/>
  <c r="L270" i="1"/>
  <c r="Y269" i="1"/>
  <c r="X269" i="1"/>
  <c r="W269" i="1"/>
  <c r="V269" i="1"/>
  <c r="U269" i="1"/>
  <c r="T269" i="1"/>
  <c r="L269" i="1"/>
  <c r="Y268" i="1"/>
  <c r="X268" i="1"/>
  <c r="W268" i="1"/>
  <c r="V268" i="1"/>
  <c r="U268" i="1"/>
  <c r="T268" i="1"/>
  <c r="L268" i="1"/>
  <c r="Y267" i="1"/>
  <c r="X267" i="1"/>
  <c r="W267" i="1"/>
  <c r="V267" i="1"/>
  <c r="U267" i="1"/>
  <c r="T267" i="1"/>
  <c r="L267" i="1"/>
  <c r="Y266" i="1"/>
  <c r="X266" i="1"/>
  <c r="W266" i="1"/>
  <c r="V266" i="1"/>
  <c r="U266" i="1"/>
  <c r="T266" i="1"/>
  <c r="L266" i="1"/>
  <c r="Y265" i="1"/>
  <c r="X265" i="1"/>
  <c r="W265" i="1"/>
  <c r="V265" i="1"/>
  <c r="U265" i="1"/>
  <c r="T265" i="1"/>
  <c r="L265" i="1"/>
  <c r="Y264" i="1"/>
  <c r="X264" i="1"/>
  <c r="W264" i="1"/>
  <c r="V264" i="1"/>
  <c r="U264" i="1"/>
  <c r="T264" i="1"/>
  <c r="L264" i="1"/>
  <c r="Y263" i="1"/>
  <c r="X263" i="1"/>
  <c r="W263" i="1"/>
  <c r="V263" i="1"/>
  <c r="U263" i="1"/>
  <c r="T263" i="1"/>
  <c r="L263" i="1"/>
  <c r="Y262" i="1"/>
  <c r="X262" i="1"/>
  <c r="W262" i="1"/>
  <c r="V262" i="1"/>
  <c r="U262" i="1"/>
  <c r="T262" i="1"/>
  <c r="L262" i="1"/>
  <c r="Y261" i="1"/>
  <c r="X261" i="1"/>
  <c r="W261" i="1"/>
  <c r="V261" i="1"/>
  <c r="U261" i="1"/>
  <c r="T261" i="1"/>
  <c r="L261" i="1"/>
  <c r="Y260" i="1"/>
  <c r="X260" i="1"/>
  <c r="W260" i="1"/>
  <c r="V260" i="1"/>
  <c r="U260" i="1"/>
  <c r="T260" i="1"/>
  <c r="L260" i="1"/>
  <c r="Y259" i="1"/>
  <c r="X259" i="1"/>
  <c r="W259" i="1"/>
  <c r="V259" i="1"/>
  <c r="U259" i="1"/>
  <c r="T259" i="1"/>
  <c r="L259" i="1"/>
  <c r="Y258" i="1"/>
  <c r="X258" i="1"/>
  <c r="W258" i="1"/>
  <c r="V258" i="1"/>
  <c r="U258" i="1"/>
  <c r="T258" i="1"/>
  <c r="L258" i="1"/>
  <c r="Y257" i="1"/>
  <c r="X257" i="1"/>
  <c r="W257" i="1"/>
  <c r="V257" i="1"/>
  <c r="U257" i="1"/>
  <c r="T257" i="1"/>
  <c r="L257" i="1"/>
  <c r="Y256" i="1"/>
  <c r="X256" i="1"/>
  <c r="W256" i="1"/>
  <c r="V256" i="1"/>
  <c r="U256" i="1"/>
  <c r="T256" i="1"/>
  <c r="L256" i="1"/>
  <c r="Y255" i="1"/>
  <c r="X255" i="1"/>
  <c r="W255" i="1"/>
  <c r="V255" i="1"/>
  <c r="U255" i="1"/>
  <c r="T255" i="1"/>
  <c r="L255" i="1"/>
  <c r="Y254" i="1"/>
  <c r="X254" i="1"/>
  <c r="W254" i="1"/>
  <c r="V254" i="1"/>
  <c r="U254" i="1"/>
  <c r="T254" i="1"/>
  <c r="L254" i="1"/>
  <c r="Y253" i="1"/>
  <c r="X253" i="1"/>
  <c r="W253" i="1"/>
  <c r="V253" i="1"/>
  <c r="U253" i="1"/>
  <c r="T253" i="1"/>
  <c r="L253" i="1"/>
  <c r="Y252" i="1"/>
  <c r="X252" i="1"/>
  <c r="W252" i="1"/>
  <c r="V252" i="1"/>
  <c r="U252" i="1"/>
  <c r="T252" i="1"/>
  <c r="L252" i="1"/>
  <c r="Y251" i="1"/>
  <c r="X251" i="1"/>
  <c r="W251" i="1"/>
  <c r="V251" i="1"/>
  <c r="U251" i="1"/>
  <c r="T251" i="1"/>
  <c r="L251" i="1"/>
  <c r="Y250" i="1"/>
  <c r="X250" i="1"/>
  <c r="W250" i="1"/>
  <c r="V250" i="1"/>
  <c r="U250" i="1"/>
  <c r="T250" i="1"/>
  <c r="L250" i="1"/>
  <c r="Y249" i="1"/>
  <c r="X249" i="1"/>
  <c r="W249" i="1"/>
  <c r="V249" i="1"/>
  <c r="U249" i="1"/>
  <c r="T249" i="1"/>
  <c r="L249" i="1"/>
  <c r="Y248" i="1"/>
  <c r="X248" i="1"/>
  <c r="W248" i="1"/>
  <c r="V248" i="1"/>
  <c r="U248" i="1"/>
  <c r="T248" i="1"/>
  <c r="L248" i="1"/>
  <c r="Y247" i="1"/>
  <c r="X247" i="1"/>
  <c r="W247" i="1"/>
  <c r="V247" i="1"/>
  <c r="U247" i="1"/>
  <c r="T247" i="1"/>
  <c r="L247" i="1"/>
  <c r="Y246" i="1"/>
  <c r="X246" i="1"/>
  <c r="W246" i="1"/>
  <c r="V246" i="1"/>
  <c r="U246" i="1"/>
  <c r="T246" i="1"/>
  <c r="L246" i="1"/>
  <c r="Y245" i="1"/>
  <c r="X245" i="1"/>
  <c r="W245" i="1"/>
  <c r="V245" i="1"/>
  <c r="U245" i="1"/>
  <c r="T245" i="1"/>
  <c r="L245" i="1"/>
  <c r="Y244" i="1"/>
  <c r="X244" i="1"/>
  <c r="W244" i="1"/>
  <c r="V244" i="1"/>
  <c r="U244" i="1"/>
  <c r="T244" i="1"/>
  <c r="L244" i="1"/>
  <c r="Y243" i="1"/>
  <c r="X243" i="1"/>
  <c r="W243" i="1"/>
  <c r="V243" i="1"/>
  <c r="U243" i="1"/>
  <c r="T243" i="1"/>
  <c r="L243" i="1"/>
  <c r="Y242" i="1"/>
  <c r="X242" i="1"/>
  <c r="W242" i="1"/>
  <c r="V242" i="1"/>
  <c r="U242" i="1"/>
  <c r="T242" i="1"/>
  <c r="L242" i="1"/>
  <c r="Y241" i="1"/>
  <c r="X241" i="1"/>
  <c r="W241" i="1"/>
  <c r="V241" i="1"/>
  <c r="U241" i="1"/>
  <c r="T241" i="1"/>
  <c r="L241" i="1"/>
  <c r="Y240" i="1"/>
  <c r="X240" i="1"/>
  <c r="W240" i="1"/>
  <c r="V240" i="1"/>
  <c r="U240" i="1"/>
  <c r="T240" i="1"/>
  <c r="L240" i="1"/>
  <c r="Y239" i="1"/>
  <c r="X239" i="1"/>
  <c r="W239" i="1"/>
  <c r="V239" i="1"/>
  <c r="U239" i="1"/>
  <c r="T239" i="1"/>
  <c r="L239" i="1"/>
  <c r="Y238" i="1"/>
  <c r="X238" i="1"/>
  <c r="W238" i="1"/>
  <c r="V238" i="1"/>
  <c r="U238" i="1"/>
  <c r="T238" i="1"/>
  <c r="L238" i="1"/>
  <c r="Y237" i="1"/>
  <c r="X237" i="1"/>
  <c r="W237" i="1"/>
  <c r="V237" i="1"/>
  <c r="U237" i="1"/>
  <c r="T237" i="1"/>
  <c r="L237" i="1"/>
  <c r="Y236" i="1"/>
  <c r="X236" i="1"/>
  <c r="W236" i="1"/>
  <c r="V236" i="1"/>
  <c r="U236" i="1"/>
  <c r="T236" i="1"/>
  <c r="L236" i="1"/>
  <c r="Y235" i="1"/>
  <c r="X235" i="1"/>
  <c r="W235" i="1"/>
  <c r="V235" i="1"/>
  <c r="U235" i="1"/>
  <c r="T235" i="1"/>
  <c r="L235" i="1"/>
  <c r="X234" i="1"/>
  <c r="W234" i="1"/>
  <c r="V234" i="1"/>
  <c r="U234" i="1"/>
  <c r="T234" i="1"/>
  <c r="Y234" i="1" s="1"/>
  <c r="L234" i="1"/>
  <c r="X233" i="1"/>
  <c r="W233" i="1"/>
  <c r="V233" i="1"/>
  <c r="U233" i="1"/>
  <c r="T233" i="1"/>
  <c r="Y233" i="1" s="1"/>
  <c r="L233" i="1"/>
  <c r="X232" i="1"/>
  <c r="W232" i="1"/>
  <c r="V232" i="1"/>
  <c r="U232" i="1"/>
  <c r="T232" i="1"/>
  <c r="Y232" i="1" s="1"/>
  <c r="L232" i="1"/>
  <c r="X231" i="1"/>
  <c r="W231" i="1"/>
  <c r="V231" i="1"/>
  <c r="U231" i="1"/>
  <c r="T231" i="1"/>
  <c r="Y231" i="1" s="1"/>
  <c r="L231" i="1"/>
  <c r="X230" i="1"/>
  <c r="W230" i="1"/>
  <c r="V230" i="1"/>
  <c r="U230" i="1"/>
  <c r="T230" i="1"/>
  <c r="Y230" i="1" s="1"/>
  <c r="L230" i="1"/>
  <c r="X229" i="1"/>
  <c r="W229" i="1"/>
  <c r="V229" i="1"/>
  <c r="U229" i="1"/>
  <c r="T229" i="1"/>
  <c r="Y229" i="1" s="1"/>
  <c r="L229" i="1"/>
  <c r="X228" i="1"/>
  <c r="W228" i="1"/>
  <c r="V228" i="1"/>
  <c r="U228" i="1"/>
  <c r="T228" i="1"/>
  <c r="Y228" i="1" s="1"/>
  <c r="L228" i="1"/>
  <c r="X227" i="1"/>
  <c r="W227" i="1"/>
  <c r="V227" i="1"/>
  <c r="U227" i="1"/>
  <c r="T227" i="1"/>
  <c r="Y227" i="1" s="1"/>
  <c r="L227" i="1"/>
  <c r="X226" i="1"/>
  <c r="W226" i="1"/>
  <c r="V226" i="1"/>
  <c r="U226" i="1"/>
  <c r="T226" i="1"/>
  <c r="Y226" i="1" s="1"/>
  <c r="L226" i="1"/>
  <c r="X225" i="1"/>
  <c r="W225" i="1"/>
  <c r="V225" i="1"/>
  <c r="U225" i="1"/>
  <c r="T225" i="1"/>
  <c r="Y225" i="1" s="1"/>
  <c r="L225" i="1"/>
  <c r="X224" i="1"/>
  <c r="W224" i="1"/>
  <c r="V224" i="1"/>
  <c r="U224" i="1"/>
  <c r="T224" i="1"/>
  <c r="Y224" i="1" s="1"/>
  <c r="L224" i="1"/>
  <c r="X223" i="1"/>
  <c r="W223" i="1"/>
  <c r="V223" i="1"/>
  <c r="U223" i="1"/>
  <c r="T223" i="1"/>
  <c r="Y223" i="1" s="1"/>
  <c r="L223" i="1"/>
  <c r="X222" i="1"/>
  <c r="W222" i="1"/>
  <c r="V222" i="1"/>
  <c r="U222" i="1"/>
  <c r="T222" i="1"/>
  <c r="Y222" i="1" s="1"/>
  <c r="L222" i="1"/>
  <c r="X221" i="1"/>
  <c r="W221" i="1"/>
  <c r="V221" i="1"/>
  <c r="U221" i="1"/>
  <c r="T221" i="1"/>
  <c r="Y221" i="1" s="1"/>
  <c r="L221" i="1"/>
  <c r="X220" i="1"/>
  <c r="W220" i="1"/>
  <c r="V220" i="1"/>
  <c r="U220" i="1"/>
  <c r="T220" i="1"/>
  <c r="Y220" i="1" s="1"/>
  <c r="L220" i="1"/>
  <c r="X219" i="1"/>
  <c r="W219" i="1"/>
  <c r="V219" i="1"/>
  <c r="U219" i="1"/>
  <c r="T219" i="1"/>
  <c r="Y219" i="1" s="1"/>
  <c r="L219" i="1"/>
  <c r="X218" i="1"/>
  <c r="W218" i="1"/>
  <c r="V218" i="1"/>
  <c r="U218" i="1"/>
  <c r="T218" i="1"/>
  <c r="Y218" i="1" s="1"/>
  <c r="L218" i="1"/>
  <c r="X217" i="1"/>
  <c r="W217" i="1"/>
  <c r="V217" i="1"/>
  <c r="U217" i="1"/>
  <c r="T217" i="1"/>
  <c r="Y217" i="1" s="1"/>
  <c r="L217" i="1"/>
  <c r="X216" i="1"/>
  <c r="W216" i="1"/>
  <c r="V216" i="1"/>
  <c r="U216" i="1"/>
  <c r="T216" i="1"/>
  <c r="Y216" i="1" s="1"/>
  <c r="L216" i="1"/>
  <c r="X215" i="1"/>
  <c r="W215" i="1"/>
  <c r="V215" i="1"/>
  <c r="U215" i="1"/>
  <c r="T215" i="1"/>
  <c r="Y215" i="1" s="1"/>
  <c r="L215" i="1"/>
  <c r="X214" i="1"/>
  <c r="W214" i="1"/>
  <c r="V214" i="1"/>
  <c r="U214" i="1"/>
  <c r="T214" i="1"/>
  <c r="Y214" i="1" s="1"/>
  <c r="L214" i="1"/>
  <c r="X213" i="1"/>
  <c r="W213" i="1"/>
  <c r="V213" i="1"/>
  <c r="U213" i="1"/>
  <c r="T213" i="1"/>
  <c r="Y213" i="1" s="1"/>
  <c r="L213" i="1"/>
  <c r="X212" i="1"/>
  <c r="W212" i="1"/>
  <c r="V212" i="1"/>
  <c r="U212" i="1"/>
  <c r="T212" i="1"/>
  <c r="Y212" i="1" s="1"/>
  <c r="L212" i="1"/>
  <c r="X211" i="1"/>
  <c r="W211" i="1"/>
  <c r="V211" i="1"/>
  <c r="U211" i="1"/>
  <c r="T211" i="1"/>
  <c r="Y211" i="1" s="1"/>
  <c r="L211" i="1"/>
  <c r="X210" i="1"/>
  <c r="W210" i="1"/>
  <c r="V210" i="1"/>
  <c r="U210" i="1"/>
  <c r="T210" i="1"/>
  <c r="Y210" i="1" s="1"/>
  <c r="L210" i="1"/>
  <c r="X209" i="1"/>
  <c r="W209" i="1"/>
  <c r="V209" i="1"/>
  <c r="U209" i="1"/>
  <c r="T209" i="1"/>
  <c r="Y209" i="1" s="1"/>
  <c r="L209" i="1"/>
  <c r="X208" i="1"/>
  <c r="W208" i="1"/>
  <c r="V208" i="1"/>
  <c r="U208" i="1"/>
  <c r="T208" i="1"/>
  <c r="Y208" i="1" s="1"/>
  <c r="L208" i="1"/>
  <c r="X207" i="1"/>
  <c r="W207" i="1"/>
  <c r="V207" i="1"/>
  <c r="U207" i="1"/>
  <c r="T207" i="1"/>
  <c r="Y207" i="1" s="1"/>
  <c r="L207" i="1"/>
  <c r="X206" i="1"/>
  <c r="W206" i="1"/>
  <c r="V206" i="1"/>
  <c r="U206" i="1"/>
  <c r="T206" i="1"/>
  <c r="Y206" i="1" s="1"/>
  <c r="L206" i="1"/>
  <c r="X205" i="1"/>
  <c r="W205" i="1"/>
  <c r="V205" i="1"/>
  <c r="U205" i="1"/>
  <c r="T205" i="1"/>
  <c r="Y205" i="1" s="1"/>
  <c r="L205" i="1"/>
  <c r="X204" i="1"/>
  <c r="W204" i="1"/>
  <c r="V204" i="1"/>
  <c r="U204" i="1"/>
  <c r="T204" i="1"/>
  <c r="Y204" i="1" s="1"/>
  <c r="L204" i="1"/>
  <c r="X203" i="1"/>
  <c r="W203" i="1"/>
  <c r="V203" i="1"/>
  <c r="U203" i="1"/>
  <c r="T203" i="1"/>
  <c r="Y203" i="1" s="1"/>
  <c r="L203" i="1"/>
  <c r="X202" i="1"/>
  <c r="W202" i="1"/>
  <c r="V202" i="1"/>
  <c r="U202" i="1"/>
  <c r="T202" i="1"/>
  <c r="Y202" i="1" s="1"/>
  <c r="L202" i="1"/>
  <c r="X201" i="1"/>
  <c r="W201" i="1"/>
  <c r="V201" i="1"/>
  <c r="U201" i="1"/>
  <c r="T201" i="1"/>
  <c r="Y201" i="1" s="1"/>
  <c r="L201" i="1"/>
  <c r="X200" i="1"/>
  <c r="W200" i="1"/>
  <c r="V200" i="1"/>
  <c r="U200" i="1"/>
  <c r="T200" i="1"/>
  <c r="Y200" i="1" s="1"/>
  <c r="L200" i="1"/>
  <c r="X199" i="1"/>
  <c r="W199" i="1"/>
  <c r="V199" i="1"/>
  <c r="U199" i="1"/>
  <c r="T199" i="1"/>
  <c r="Y199" i="1" s="1"/>
  <c r="L199" i="1"/>
  <c r="X198" i="1"/>
  <c r="W198" i="1"/>
  <c r="V198" i="1"/>
  <c r="U198" i="1"/>
  <c r="T198" i="1"/>
  <c r="Y198" i="1" s="1"/>
  <c r="L198" i="1"/>
  <c r="X197" i="1"/>
  <c r="W197" i="1"/>
  <c r="V197" i="1"/>
  <c r="U197" i="1"/>
  <c r="T197" i="1"/>
  <c r="Y197" i="1" s="1"/>
  <c r="L197" i="1"/>
  <c r="X196" i="1"/>
  <c r="W196" i="1"/>
  <c r="V196" i="1"/>
  <c r="U196" i="1"/>
  <c r="T196" i="1"/>
  <c r="Y196" i="1" s="1"/>
  <c r="L196" i="1"/>
  <c r="X195" i="1"/>
  <c r="W195" i="1"/>
  <c r="V195" i="1"/>
  <c r="U195" i="1"/>
  <c r="T195" i="1"/>
  <c r="Y195" i="1" s="1"/>
  <c r="L195" i="1"/>
  <c r="X194" i="1"/>
  <c r="W194" i="1"/>
  <c r="V194" i="1"/>
  <c r="U194" i="1"/>
  <c r="T194" i="1"/>
  <c r="Y194" i="1" s="1"/>
  <c r="L194" i="1"/>
  <c r="X193" i="1"/>
  <c r="W193" i="1"/>
  <c r="V193" i="1"/>
  <c r="U193" i="1"/>
  <c r="T193" i="1"/>
  <c r="Y193" i="1" s="1"/>
  <c r="L193" i="1"/>
  <c r="X192" i="1"/>
  <c r="W192" i="1"/>
  <c r="V192" i="1"/>
  <c r="U192" i="1"/>
  <c r="T192" i="1"/>
  <c r="Y192" i="1" s="1"/>
  <c r="L192" i="1"/>
  <c r="X191" i="1"/>
  <c r="W191" i="1"/>
  <c r="V191" i="1"/>
  <c r="U191" i="1"/>
  <c r="T191" i="1"/>
  <c r="Y191" i="1" s="1"/>
  <c r="L191" i="1"/>
  <c r="X190" i="1"/>
  <c r="W190" i="1"/>
  <c r="V190" i="1"/>
  <c r="U190" i="1"/>
  <c r="T190" i="1"/>
  <c r="Y190" i="1" s="1"/>
  <c r="L190" i="1"/>
  <c r="X189" i="1"/>
  <c r="W189" i="1"/>
  <c r="V189" i="1"/>
  <c r="U189" i="1"/>
  <c r="T189" i="1"/>
  <c r="Y189" i="1" s="1"/>
  <c r="L189" i="1"/>
  <c r="X188" i="1"/>
  <c r="W188" i="1"/>
  <c r="V188" i="1"/>
  <c r="U188" i="1"/>
  <c r="T188" i="1"/>
  <c r="Y188" i="1" s="1"/>
  <c r="L188" i="1"/>
  <c r="X187" i="1"/>
  <c r="W187" i="1"/>
  <c r="V187" i="1"/>
  <c r="U187" i="1"/>
  <c r="T187" i="1"/>
  <c r="Y187" i="1" s="1"/>
  <c r="L187" i="1"/>
  <c r="X186" i="1"/>
  <c r="W186" i="1"/>
  <c r="V186" i="1"/>
  <c r="U186" i="1"/>
  <c r="T186" i="1"/>
  <c r="Y186" i="1" s="1"/>
  <c r="L186" i="1"/>
  <c r="X185" i="1"/>
  <c r="W185" i="1"/>
  <c r="V185" i="1"/>
  <c r="U185" i="1"/>
  <c r="T185" i="1"/>
  <c r="Y185" i="1" s="1"/>
  <c r="L185" i="1"/>
  <c r="X184" i="1"/>
  <c r="W184" i="1"/>
  <c r="V184" i="1"/>
  <c r="U184" i="1"/>
  <c r="T184" i="1"/>
  <c r="Y184" i="1" s="1"/>
  <c r="L184" i="1"/>
  <c r="X183" i="1"/>
  <c r="W183" i="1"/>
  <c r="V183" i="1"/>
  <c r="U183" i="1"/>
  <c r="T183" i="1"/>
  <c r="Y183" i="1" s="1"/>
  <c r="L183" i="1"/>
  <c r="X182" i="1"/>
  <c r="W182" i="1"/>
  <c r="V182" i="1"/>
  <c r="U182" i="1"/>
  <c r="T182" i="1"/>
  <c r="Y182" i="1" s="1"/>
  <c r="L182" i="1"/>
  <c r="X181" i="1"/>
  <c r="W181" i="1"/>
  <c r="V181" i="1"/>
  <c r="U181" i="1"/>
  <c r="T181" i="1"/>
  <c r="Y181" i="1" s="1"/>
  <c r="L181" i="1"/>
  <c r="X180" i="1"/>
  <c r="W180" i="1"/>
  <c r="V180" i="1"/>
  <c r="U180" i="1"/>
  <c r="T180" i="1"/>
  <c r="Y180" i="1" s="1"/>
  <c r="L180" i="1"/>
  <c r="X179" i="1"/>
  <c r="W179" i="1"/>
  <c r="V179" i="1"/>
  <c r="U179" i="1"/>
  <c r="T179" i="1"/>
  <c r="Y179" i="1" s="1"/>
  <c r="L179" i="1"/>
  <c r="X178" i="1"/>
  <c r="W178" i="1"/>
  <c r="V178" i="1"/>
  <c r="U178" i="1"/>
  <c r="T178" i="1"/>
  <c r="Y178" i="1" s="1"/>
  <c r="L178" i="1"/>
  <c r="X177" i="1"/>
  <c r="W177" i="1"/>
  <c r="V177" i="1"/>
  <c r="U177" i="1"/>
  <c r="T177" i="1"/>
  <c r="Y177" i="1" s="1"/>
  <c r="L177" i="1"/>
  <c r="X176" i="1"/>
  <c r="W176" i="1"/>
  <c r="V176" i="1"/>
  <c r="U176" i="1"/>
  <c r="T176" i="1"/>
  <c r="Y176" i="1" s="1"/>
  <c r="L176" i="1"/>
  <c r="X175" i="1"/>
  <c r="W175" i="1"/>
  <c r="V175" i="1"/>
  <c r="U175" i="1"/>
  <c r="T175" i="1"/>
  <c r="Y175" i="1" s="1"/>
  <c r="L175" i="1"/>
  <c r="X174" i="1"/>
  <c r="W174" i="1"/>
  <c r="V174" i="1"/>
  <c r="U174" i="1"/>
  <c r="T174" i="1"/>
  <c r="Y174" i="1" s="1"/>
  <c r="L174" i="1"/>
  <c r="X173" i="1"/>
  <c r="W173" i="1"/>
  <c r="V173" i="1"/>
  <c r="U173" i="1"/>
  <c r="T173" i="1"/>
  <c r="Y173" i="1" s="1"/>
  <c r="L173" i="1"/>
  <c r="X172" i="1"/>
  <c r="W172" i="1"/>
  <c r="V172" i="1"/>
  <c r="U172" i="1"/>
  <c r="T172" i="1"/>
  <c r="Y172" i="1" s="1"/>
  <c r="L172" i="1"/>
  <c r="X171" i="1"/>
  <c r="W171" i="1"/>
  <c r="V171" i="1"/>
  <c r="U171" i="1"/>
  <c r="T171" i="1"/>
  <c r="Y171" i="1" s="1"/>
  <c r="L171" i="1"/>
  <c r="X170" i="1"/>
  <c r="W170" i="1"/>
  <c r="V170" i="1"/>
  <c r="U170" i="1"/>
  <c r="T170" i="1"/>
  <c r="Y170" i="1" s="1"/>
  <c r="L170" i="1"/>
  <c r="X169" i="1"/>
  <c r="W169" i="1"/>
  <c r="V169" i="1"/>
  <c r="U169" i="1"/>
  <c r="T169" i="1"/>
  <c r="Y169" i="1" s="1"/>
  <c r="L169" i="1"/>
  <c r="X168" i="1"/>
  <c r="W168" i="1"/>
  <c r="V168" i="1"/>
  <c r="U168" i="1"/>
  <c r="T168" i="1"/>
  <c r="Y168" i="1" s="1"/>
  <c r="L168" i="1"/>
  <c r="X167" i="1"/>
  <c r="W167" i="1"/>
  <c r="V167" i="1"/>
  <c r="U167" i="1"/>
  <c r="T167" i="1"/>
  <c r="Y167" i="1" s="1"/>
  <c r="L167" i="1"/>
  <c r="X166" i="1"/>
  <c r="W166" i="1"/>
  <c r="V166" i="1"/>
  <c r="U166" i="1"/>
  <c r="T166" i="1"/>
  <c r="Y166" i="1" s="1"/>
  <c r="L166" i="1"/>
  <c r="X165" i="1"/>
  <c r="W165" i="1"/>
  <c r="V165" i="1"/>
  <c r="U165" i="1"/>
  <c r="T165" i="1"/>
  <c r="Y165" i="1" s="1"/>
  <c r="L165" i="1"/>
  <c r="X164" i="1"/>
  <c r="W164" i="1"/>
  <c r="V164" i="1"/>
  <c r="U164" i="1"/>
  <c r="T164" i="1"/>
  <c r="Y164" i="1" s="1"/>
  <c r="L164" i="1"/>
  <c r="X163" i="1"/>
  <c r="W163" i="1"/>
  <c r="V163" i="1"/>
  <c r="U163" i="1"/>
  <c r="T163" i="1"/>
  <c r="Y163" i="1" s="1"/>
  <c r="L163" i="1"/>
  <c r="X162" i="1"/>
  <c r="W162" i="1"/>
  <c r="V162" i="1"/>
  <c r="U162" i="1"/>
  <c r="T162" i="1"/>
  <c r="Y162" i="1" s="1"/>
  <c r="L162" i="1"/>
  <c r="X161" i="1"/>
  <c r="W161" i="1"/>
  <c r="V161" i="1"/>
  <c r="U161" i="1"/>
  <c r="T161" i="1"/>
  <c r="Y161" i="1" s="1"/>
  <c r="L161" i="1"/>
  <c r="X160" i="1"/>
  <c r="W160" i="1"/>
  <c r="V160" i="1"/>
  <c r="U160" i="1"/>
  <c r="T160" i="1"/>
  <c r="Y160" i="1" s="1"/>
  <c r="L160" i="1"/>
  <c r="X159" i="1"/>
  <c r="W159" i="1"/>
  <c r="V159" i="1"/>
  <c r="U159" i="1"/>
  <c r="T159" i="1"/>
  <c r="Y159" i="1" s="1"/>
  <c r="L159" i="1"/>
  <c r="X158" i="1"/>
  <c r="W158" i="1"/>
  <c r="V158" i="1"/>
  <c r="U158" i="1"/>
  <c r="T158" i="1"/>
  <c r="Y158" i="1" s="1"/>
  <c r="L158" i="1"/>
  <c r="X157" i="1"/>
  <c r="W157" i="1"/>
  <c r="V157" i="1"/>
  <c r="U157" i="1"/>
  <c r="T157" i="1"/>
  <c r="Y157" i="1" s="1"/>
  <c r="L157" i="1"/>
  <c r="X156" i="1"/>
  <c r="W156" i="1"/>
  <c r="V156" i="1"/>
  <c r="U156" i="1"/>
  <c r="T156" i="1"/>
  <c r="Y156" i="1" s="1"/>
  <c r="L156" i="1"/>
  <c r="X155" i="1"/>
  <c r="W155" i="1"/>
  <c r="V155" i="1"/>
  <c r="U155" i="1"/>
  <c r="T155" i="1"/>
  <c r="Y155" i="1" s="1"/>
  <c r="L155" i="1"/>
  <c r="X154" i="1"/>
  <c r="W154" i="1"/>
  <c r="V154" i="1"/>
  <c r="U154" i="1"/>
  <c r="T154" i="1"/>
  <c r="Y154" i="1" s="1"/>
  <c r="L154" i="1"/>
  <c r="X153" i="1"/>
  <c r="W153" i="1"/>
  <c r="V153" i="1"/>
  <c r="U153" i="1"/>
  <c r="T153" i="1"/>
  <c r="Y153" i="1" s="1"/>
  <c r="L153" i="1"/>
  <c r="X152" i="1"/>
  <c r="W152" i="1"/>
  <c r="V152" i="1"/>
  <c r="U152" i="1"/>
  <c r="T152" i="1"/>
  <c r="Y152" i="1" s="1"/>
  <c r="L152" i="1"/>
  <c r="X151" i="1"/>
  <c r="W151" i="1"/>
  <c r="V151" i="1"/>
  <c r="U151" i="1"/>
  <c r="T151" i="1"/>
  <c r="Y151" i="1" s="1"/>
  <c r="L151" i="1"/>
  <c r="X150" i="1"/>
  <c r="W150" i="1"/>
  <c r="V150" i="1"/>
  <c r="U150" i="1"/>
  <c r="T150" i="1"/>
  <c r="Y150" i="1" s="1"/>
  <c r="L150" i="1"/>
  <c r="X149" i="1"/>
  <c r="W149" i="1"/>
  <c r="V149" i="1"/>
  <c r="U149" i="1"/>
  <c r="T149" i="1"/>
  <c r="Y149" i="1" s="1"/>
  <c r="L149" i="1"/>
  <c r="X148" i="1"/>
  <c r="W148" i="1"/>
  <c r="V148" i="1"/>
  <c r="U148" i="1"/>
  <c r="T148" i="1"/>
  <c r="Y148" i="1" s="1"/>
  <c r="L148" i="1"/>
  <c r="X147" i="1"/>
  <c r="W147" i="1"/>
  <c r="V147" i="1"/>
  <c r="U147" i="1"/>
  <c r="T147" i="1"/>
  <c r="Y147" i="1" s="1"/>
  <c r="L147" i="1"/>
  <c r="X146" i="1"/>
  <c r="W146" i="1"/>
  <c r="V146" i="1"/>
  <c r="U146" i="1"/>
  <c r="T146" i="1"/>
  <c r="Y146" i="1" s="1"/>
  <c r="L146" i="1"/>
  <c r="X145" i="1"/>
  <c r="W145" i="1"/>
  <c r="V145" i="1"/>
  <c r="U145" i="1"/>
  <c r="T145" i="1"/>
  <c r="Y145" i="1" s="1"/>
  <c r="L145" i="1"/>
  <c r="X144" i="1"/>
  <c r="W144" i="1"/>
  <c r="V144" i="1"/>
  <c r="U144" i="1"/>
  <c r="T144" i="1"/>
  <c r="Y144" i="1" s="1"/>
  <c r="L144" i="1"/>
  <c r="X143" i="1"/>
  <c r="W143" i="1"/>
  <c r="V143" i="1"/>
  <c r="U143" i="1"/>
  <c r="T143" i="1"/>
  <c r="Y143" i="1" s="1"/>
  <c r="L143" i="1"/>
  <c r="X142" i="1"/>
  <c r="W142" i="1"/>
  <c r="V142" i="1"/>
  <c r="U142" i="1"/>
  <c r="T142" i="1"/>
  <c r="Y142" i="1" s="1"/>
  <c r="L142" i="1"/>
  <c r="X141" i="1"/>
  <c r="W141" i="1"/>
  <c r="V141" i="1"/>
  <c r="U141" i="1"/>
  <c r="T141" i="1"/>
  <c r="Y141" i="1" s="1"/>
  <c r="L141" i="1"/>
  <c r="X140" i="1"/>
  <c r="W140" i="1"/>
  <c r="V140" i="1"/>
  <c r="U140" i="1"/>
  <c r="T140" i="1"/>
  <c r="Y140" i="1" s="1"/>
  <c r="L140" i="1"/>
  <c r="X139" i="1"/>
  <c r="W139" i="1"/>
  <c r="V139" i="1"/>
  <c r="U139" i="1"/>
  <c r="T139" i="1"/>
  <c r="Y139" i="1" s="1"/>
  <c r="L139" i="1"/>
  <c r="X138" i="1"/>
  <c r="W138" i="1"/>
  <c r="V138" i="1"/>
  <c r="U138" i="1"/>
  <c r="T138" i="1"/>
  <c r="Y138" i="1" s="1"/>
  <c r="L138" i="1"/>
  <c r="X137" i="1"/>
  <c r="W137" i="1"/>
  <c r="V137" i="1"/>
  <c r="U137" i="1"/>
  <c r="T137" i="1"/>
  <c r="Y137" i="1" s="1"/>
  <c r="L137" i="1"/>
  <c r="X136" i="1"/>
  <c r="W136" i="1"/>
  <c r="V136" i="1"/>
  <c r="U136" i="1"/>
  <c r="T136" i="1"/>
  <c r="Y136" i="1" s="1"/>
  <c r="L136" i="1"/>
  <c r="X135" i="1"/>
  <c r="W135" i="1"/>
  <c r="V135" i="1"/>
  <c r="U135" i="1"/>
  <c r="T135" i="1"/>
  <c r="Y135" i="1" s="1"/>
  <c r="L135" i="1"/>
  <c r="X134" i="1"/>
  <c r="W134" i="1"/>
  <c r="V134" i="1"/>
  <c r="U134" i="1"/>
  <c r="T134" i="1"/>
  <c r="Y134" i="1" s="1"/>
  <c r="L134" i="1"/>
  <c r="X133" i="1"/>
  <c r="W133" i="1"/>
  <c r="V133" i="1"/>
  <c r="U133" i="1"/>
  <c r="T133" i="1"/>
  <c r="Y133" i="1" s="1"/>
  <c r="L133" i="1"/>
  <c r="X132" i="1"/>
  <c r="W132" i="1"/>
  <c r="V132" i="1"/>
  <c r="U132" i="1"/>
  <c r="T132" i="1"/>
  <c r="Y132" i="1" s="1"/>
  <c r="L132" i="1"/>
  <c r="X131" i="1"/>
  <c r="W131" i="1"/>
  <c r="V131" i="1"/>
  <c r="U131" i="1"/>
  <c r="T131" i="1"/>
  <c r="Y131" i="1" s="1"/>
  <c r="L131" i="1"/>
  <c r="X130" i="1"/>
  <c r="W130" i="1"/>
  <c r="V130" i="1"/>
  <c r="U130" i="1"/>
  <c r="T130" i="1"/>
  <c r="Y130" i="1" s="1"/>
  <c r="L130" i="1"/>
  <c r="X129" i="1"/>
  <c r="W129" i="1"/>
  <c r="V129" i="1"/>
  <c r="U129" i="1"/>
  <c r="T129" i="1"/>
  <c r="Y129" i="1" s="1"/>
  <c r="L129" i="1"/>
  <c r="X128" i="1"/>
  <c r="W128" i="1"/>
  <c r="V128" i="1"/>
  <c r="U128" i="1"/>
  <c r="T128" i="1"/>
  <c r="Y128" i="1" s="1"/>
  <c r="L128" i="1"/>
  <c r="X127" i="1"/>
  <c r="W127" i="1"/>
  <c r="V127" i="1"/>
  <c r="U127" i="1"/>
  <c r="T127" i="1"/>
  <c r="Y127" i="1" s="1"/>
  <c r="L127" i="1"/>
  <c r="X126" i="1"/>
  <c r="W126" i="1"/>
  <c r="V126" i="1"/>
  <c r="U126" i="1"/>
  <c r="T126" i="1"/>
  <c r="Y126" i="1" s="1"/>
  <c r="L126" i="1"/>
  <c r="X125" i="1"/>
  <c r="W125" i="1"/>
  <c r="V125" i="1"/>
  <c r="U125" i="1"/>
  <c r="T125" i="1"/>
  <c r="Y125" i="1" s="1"/>
  <c r="L125" i="1"/>
  <c r="X124" i="1"/>
  <c r="W124" i="1"/>
  <c r="V124" i="1"/>
  <c r="U124" i="1"/>
  <c r="T124" i="1"/>
  <c r="Y124" i="1" s="1"/>
  <c r="L124" i="1"/>
  <c r="X123" i="1"/>
  <c r="W123" i="1"/>
  <c r="V123" i="1"/>
  <c r="U123" i="1"/>
  <c r="T123" i="1"/>
  <c r="Y123" i="1" s="1"/>
  <c r="L123" i="1"/>
  <c r="X122" i="1"/>
  <c r="W122" i="1"/>
  <c r="V122" i="1"/>
  <c r="U122" i="1"/>
  <c r="T122" i="1"/>
  <c r="Y122" i="1" s="1"/>
  <c r="L122" i="1"/>
  <c r="X121" i="1"/>
  <c r="W121" i="1"/>
  <c r="V121" i="1"/>
  <c r="U121" i="1"/>
  <c r="T121" i="1"/>
  <c r="Y121" i="1" s="1"/>
  <c r="L121" i="1"/>
  <c r="X120" i="1"/>
  <c r="W120" i="1"/>
  <c r="V120" i="1"/>
  <c r="U120" i="1"/>
  <c r="T120" i="1"/>
  <c r="Y120" i="1" s="1"/>
  <c r="L120" i="1"/>
  <c r="X119" i="1"/>
  <c r="W119" i="1"/>
  <c r="V119" i="1"/>
  <c r="U119" i="1"/>
  <c r="T119" i="1"/>
  <c r="Y119" i="1" s="1"/>
  <c r="L119" i="1"/>
  <c r="X118" i="1"/>
  <c r="W118" i="1"/>
  <c r="V118" i="1"/>
  <c r="U118" i="1"/>
  <c r="T118" i="1"/>
  <c r="Y118" i="1" s="1"/>
  <c r="L118" i="1"/>
  <c r="X117" i="1"/>
  <c r="W117" i="1"/>
  <c r="V117" i="1"/>
  <c r="U117" i="1"/>
  <c r="T117" i="1"/>
  <c r="Y117" i="1" s="1"/>
  <c r="L117" i="1"/>
  <c r="X116" i="1"/>
  <c r="W116" i="1"/>
  <c r="V116" i="1"/>
  <c r="U116" i="1"/>
  <c r="T116" i="1"/>
  <c r="Y116" i="1" s="1"/>
  <c r="L116" i="1"/>
  <c r="X115" i="1"/>
  <c r="W115" i="1"/>
  <c r="V115" i="1"/>
  <c r="U115" i="1"/>
  <c r="T115" i="1"/>
  <c r="Y115" i="1" s="1"/>
  <c r="L115" i="1"/>
  <c r="X114" i="1"/>
  <c r="W114" i="1"/>
  <c r="V114" i="1"/>
  <c r="U114" i="1"/>
  <c r="T114" i="1"/>
  <c r="Y114" i="1" s="1"/>
  <c r="L114" i="1"/>
  <c r="X113" i="1"/>
  <c r="W113" i="1"/>
  <c r="V113" i="1"/>
  <c r="U113" i="1"/>
  <c r="T113" i="1"/>
  <c r="Y113" i="1" s="1"/>
  <c r="L113" i="1"/>
  <c r="X112" i="1"/>
  <c r="W112" i="1"/>
  <c r="V112" i="1"/>
  <c r="U112" i="1"/>
  <c r="T112" i="1"/>
  <c r="Y112" i="1" s="1"/>
  <c r="L112" i="1"/>
  <c r="X111" i="1"/>
  <c r="W111" i="1"/>
  <c r="V111" i="1"/>
  <c r="U111" i="1"/>
  <c r="T111" i="1"/>
  <c r="Y111" i="1" s="1"/>
  <c r="L111" i="1"/>
  <c r="X110" i="1"/>
  <c r="W110" i="1"/>
  <c r="V110" i="1"/>
  <c r="U110" i="1"/>
  <c r="T110" i="1"/>
  <c r="Y110" i="1" s="1"/>
  <c r="L110" i="1"/>
  <c r="X109" i="1"/>
  <c r="W109" i="1"/>
  <c r="V109" i="1"/>
  <c r="U109" i="1"/>
  <c r="T109" i="1"/>
  <c r="Y109" i="1" s="1"/>
  <c r="L109" i="1"/>
  <c r="X108" i="1"/>
  <c r="W108" i="1"/>
  <c r="V108" i="1"/>
  <c r="U108" i="1"/>
  <c r="T108" i="1"/>
  <c r="Y108" i="1" s="1"/>
  <c r="L108" i="1"/>
  <c r="X107" i="1"/>
  <c r="W107" i="1"/>
  <c r="V107" i="1"/>
  <c r="U107" i="1"/>
  <c r="T107" i="1"/>
  <c r="Y107" i="1" s="1"/>
  <c r="L107" i="1"/>
  <c r="X106" i="1"/>
  <c r="W106" i="1"/>
  <c r="V106" i="1"/>
  <c r="U106" i="1"/>
  <c r="T106" i="1"/>
  <c r="Y106" i="1" s="1"/>
  <c r="L106" i="1"/>
  <c r="X105" i="1"/>
  <c r="W105" i="1"/>
  <c r="V105" i="1"/>
  <c r="U105" i="1"/>
  <c r="T105" i="1"/>
  <c r="Y105" i="1" s="1"/>
  <c r="L105" i="1"/>
  <c r="X104" i="1"/>
  <c r="W104" i="1"/>
  <c r="V104" i="1"/>
  <c r="U104" i="1"/>
  <c r="T104" i="1"/>
  <c r="Y104" i="1" s="1"/>
  <c r="L104" i="1"/>
  <c r="X103" i="1"/>
  <c r="W103" i="1"/>
  <c r="V103" i="1"/>
  <c r="U103" i="1"/>
  <c r="T103" i="1"/>
  <c r="Y103" i="1" s="1"/>
  <c r="L103" i="1"/>
  <c r="X102" i="1"/>
  <c r="W102" i="1"/>
  <c r="V102" i="1"/>
  <c r="U102" i="1"/>
  <c r="T102" i="1"/>
  <c r="Y102" i="1" s="1"/>
  <c r="L102" i="1"/>
  <c r="X101" i="1"/>
  <c r="W101" i="1"/>
  <c r="V101" i="1"/>
  <c r="U101" i="1"/>
  <c r="T101" i="1"/>
  <c r="Y101" i="1" s="1"/>
  <c r="L101" i="1"/>
  <c r="X100" i="1"/>
  <c r="W100" i="1"/>
  <c r="V100" i="1"/>
  <c r="U100" i="1"/>
  <c r="T100" i="1"/>
  <c r="Y100" i="1" s="1"/>
  <c r="L100" i="1"/>
  <c r="X99" i="1"/>
  <c r="W99" i="1"/>
  <c r="V99" i="1"/>
  <c r="U99" i="1"/>
  <c r="T99" i="1"/>
  <c r="Y99" i="1" s="1"/>
  <c r="L99" i="1"/>
  <c r="X98" i="1"/>
  <c r="W98" i="1"/>
  <c r="V98" i="1"/>
  <c r="U98" i="1"/>
  <c r="T98" i="1"/>
  <c r="Y98" i="1" s="1"/>
  <c r="L98" i="1"/>
  <c r="X97" i="1"/>
  <c r="W97" i="1"/>
  <c r="V97" i="1"/>
  <c r="U97" i="1"/>
  <c r="T97" i="1"/>
  <c r="Y97" i="1" s="1"/>
  <c r="L97" i="1"/>
  <c r="X96" i="1"/>
  <c r="W96" i="1"/>
  <c r="V96" i="1"/>
  <c r="U96" i="1"/>
  <c r="T96" i="1"/>
  <c r="Y96" i="1" s="1"/>
  <c r="L96" i="1"/>
  <c r="X95" i="1"/>
  <c r="W95" i="1"/>
  <c r="V95" i="1"/>
  <c r="U95" i="1"/>
  <c r="T95" i="1"/>
  <c r="Y95" i="1" s="1"/>
  <c r="L95" i="1"/>
  <c r="X94" i="1"/>
  <c r="W94" i="1"/>
  <c r="V94" i="1"/>
  <c r="U94" i="1"/>
  <c r="T94" i="1"/>
  <c r="Y94" i="1" s="1"/>
  <c r="L94" i="1"/>
  <c r="X93" i="1"/>
  <c r="W93" i="1"/>
  <c r="V93" i="1"/>
  <c r="U93" i="1"/>
  <c r="T93" i="1"/>
  <c r="Y93" i="1" s="1"/>
  <c r="L93" i="1"/>
  <c r="X92" i="1"/>
  <c r="W92" i="1"/>
  <c r="V92" i="1"/>
  <c r="U92" i="1"/>
  <c r="T92" i="1"/>
  <c r="Y92" i="1" s="1"/>
  <c r="L92" i="1"/>
  <c r="X91" i="1"/>
  <c r="W91" i="1"/>
  <c r="V91" i="1"/>
  <c r="U91" i="1"/>
  <c r="T91" i="1"/>
  <c r="Y91" i="1" s="1"/>
  <c r="L91" i="1"/>
  <c r="X90" i="1"/>
  <c r="W90" i="1"/>
  <c r="V90" i="1"/>
  <c r="U90" i="1"/>
  <c r="T90" i="1"/>
  <c r="Y90" i="1" s="1"/>
  <c r="L90" i="1"/>
  <c r="X89" i="1"/>
  <c r="W89" i="1"/>
  <c r="V89" i="1"/>
  <c r="U89" i="1"/>
  <c r="T89" i="1"/>
  <c r="Y89" i="1" s="1"/>
  <c r="L89" i="1"/>
  <c r="X88" i="1"/>
  <c r="W88" i="1"/>
  <c r="V88" i="1"/>
  <c r="U88" i="1"/>
  <c r="T88" i="1"/>
  <c r="Y88" i="1" s="1"/>
  <c r="L88" i="1"/>
  <c r="X87" i="1"/>
  <c r="W87" i="1"/>
  <c r="V87" i="1"/>
  <c r="U87" i="1"/>
  <c r="T87" i="1"/>
  <c r="Y87" i="1" s="1"/>
  <c r="L87" i="1"/>
  <c r="X86" i="1"/>
  <c r="W86" i="1"/>
  <c r="V86" i="1"/>
  <c r="U86" i="1"/>
  <c r="T86" i="1"/>
  <c r="Y86" i="1" s="1"/>
  <c r="L86" i="1"/>
  <c r="X85" i="1"/>
  <c r="W85" i="1"/>
  <c r="V85" i="1"/>
  <c r="U85" i="1"/>
  <c r="T85" i="1"/>
  <c r="Y85" i="1" s="1"/>
  <c r="L85" i="1"/>
  <c r="X84" i="1"/>
  <c r="W84" i="1"/>
  <c r="V84" i="1"/>
  <c r="U84" i="1"/>
  <c r="T84" i="1"/>
  <c r="Y84" i="1" s="1"/>
  <c r="L84" i="1"/>
  <c r="X83" i="1"/>
  <c r="W83" i="1"/>
  <c r="V83" i="1"/>
  <c r="U83" i="1"/>
  <c r="T83" i="1"/>
  <c r="Y83" i="1" s="1"/>
  <c r="L83" i="1"/>
  <c r="X82" i="1"/>
  <c r="W82" i="1"/>
  <c r="V82" i="1"/>
  <c r="U82" i="1"/>
  <c r="T82" i="1"/>
  <c r="Y82" i="1" s="1"/>
  <c r="L82" i="1"/>
  <c r="X81" i="1"/>
  <c r="W81" i="1"/>
  <c r="V81" i="1"/>
  <c r="U81" i="1"/>
  <c r="T81" i="1"/>
  <c r="Y81" i="1" s="1"/>
  <c r="L81" i="1"/>
  <c r="X80" i="1"/>
  <c r="W80" i="1"/>
  <c r="V80" i="1"/>
  <c r="U80" i="1"/>
  <c r="T80" i="1"/>
  <c r="Y80" i="1" s="1"/>
  <c r="L80" i="1"/>
  <c r="X79" i="1"/>
  <c r="W79" i="1"/>
  <c r="V79" i="1"/>
  <c r="U79" i="1"/>
  <c r="T79" i="1"/>
  <c r="Y79" i="1" s="1"/>
  <c r="L79" i="1"/>
  <c r="X78" i="1"/>
  <c r="W78" i="1"/>
  <c r="V78" i="1"/>
  <c r="U78" i="1"/>
  <c r="T78" i="1"/>
  <c r="Y78" i="1" s="1"/>
  <c r="L78" i="1"/>
  <c r="X77" i="1"/>
  <c r="W77" i="1"/>
  <c r="V77" i="1"/>
  <c r="U77" i="1"/>
  <c r="T77" i="1"/>
  <c r="Y77" i="1" s="1"/>
  <c r="L77" i="1"/>
  <c r="X76" i="1"/>
  <c r="W76" i="1"/>
  <c r="V76" i="1"/>
  <c r="U76" i="1"/>
  <c r="T76" i="1"/>
  <c r="Y76" i="1" s="1"/>
  <c r="L76" i="1"/>
  <c r="X75" i="1"/>
  <c r="W75" i="1"/>
  <c r="V75" i="1"/>
  <c r="U75" i="1"/>
  <c r="T75" i="1"/>
  <c r="Y75" i="1" s="1"/>
  <c r="L75" i="1"/>
  <c r="X74" i="1"/>
  <c r="W74" i="1"/>
  <c r="V74" i="1"/>
  <c r="U74" i="1"/>
  <c r="T74" i="1"/>
  <c r="Y74" i="1" s="1"/>
  <c r="L74" i="1"/>
  <c r="X73" i="1"/>
  <c r="W73" i="1"/>
  <c r="V73" i="1"/>
  <c r="U73" i="1"/>
  <c r="T73" i="1"/>
  <c r="Y73" i="1" s="1"/>
  <c r="L73" i="1"/>
  <c r="X72" i="1"/>
  <c r="W72" i="1"/>
  <c r="V72" i="1"/>
  <c r="U72" i="1"/>
  <c r="T72" i="1"/>
  <c r="Y72" i="1" s="1"/>
  <c r="L72" i="1"/>
  <c r="X71" i="1"/>
  <c r="W71" i="1"/>
  <c r="V71" i="1"/>
  <c r="U71" i="1"/>
  <c r="T71" i="1"/>
  <c r="Y71" i="1" s="1"/>
  <c r="L71" i="1"/>
  <c r="X70" i="1"/>
  <c r="W70" i="1"/>
  <c r="V70" i="1"/>
  <c r="U70" i="1"/>
  <c r="T70" i="1"/>
  <c r="Y70" i="1" s="1"/>
  <c r="L70" i="1"/>
  <c r="X69" i="1"/>
  <c r="W69" i="1"/>
  <c r="V69" i="1"/>
  <c r="U69" i="1"/>
  <c r="T69" i="1"/>
  <c r="Y69" i="1" s="1"/>
  <c r="L69" i="1"/>
  <c r="X68" i="1"/>
  <c r="W68" i="1"/>
  <c r="V68" i="1"/>
  <c r="U68" i="1"/>
  <c r="T68" i="1"/>
  <c r="Y68" i="1" s="1"/>
  <c r="L68" i="1"/>
  <c r="X67" i="1"/>
  <c r="W67" i="1"/>
  <c r="V67" i="1"/>
  <c r="U67" i="1"/>
  <c r="T67" i="1"/>
  <c r="Y67" i="1" s="1"/>
  <c r="L67" i="1"/>
  <c r="X66" i="1"/>
  <c r="W66" i="1"/>
  <c r="V66" i="1"/>
  <c r="U66" i="1"/>
  <c r="T66" i="1"/>
  <c r="Y66" i="1" s="1"/>
  <c r="L66" i="1"/>
  <c r="X65" i="1"/>
  <c r="W65" i="1"/>
  <c r="V65" i="1"/>
  <c r="U65" i="1"/>
  <c r="T65" i="1"/>
  <c r="Y65" i="1" s="1"/>
  <c r="L65" i="1"/>
  <c r="X64" i="1"/>
  <c r="W64" i="1"/>
  <c r="V64" i="1"/>
  <c r="U64" i="1"/>
  <c r="T64" i="1"/>
  <c r="Y64" i="1" s="1"/>
  <c r="L64" i="1"/>
  <c r="X63" i="1"/>
  <c r="W63" i="1"/>
  <c r="V63" i="1"/>
  <c r="U63" i="1"/>
  <c r="T63" i="1"/>
  <c r="Y63" i="1" s="1"/>
  <c r="L63" i="1"/>
  <c r="X62" i="1"/>
  <c r="W62" i="1"/>
  <c r="V62" i="1"/>
  <c r="U62" i="1"/>
  <c r="T62" i="1"/>
  <c r="Y62" i="1" s="1"/>
  <c r="L62" i="1"/>
  <c r="X61" i="1"/>
  <c r="W61" i="1"/>
  <c r="V61" i="1"/>
  <c r="U61" i="1"/>
  <c r="T61" i="1"/>
  <c r="Y61" i="1" s="1"/>
  <c r="L61" i="1"/>
  <c r="X60" i="1"/>
  <c r="W60" i="1"/>
  <c r="V60" i="1"/>
  <c r="U60" i="1"/>
  <c r="T60" i="1"/>
  <c r="Y60" i="1" s="1"/>
  <c r="L60" i="1"/>
  <c r="X59" i="1"/>
  <c r="W59" i="1"/>
  <c r="V59" i="1"/>
  <c r="U59" i="1"/>
  <c r="T59" i="1"/>
  <c r="Y59" i="1" s="1"/>
  <c r="L59" i="1"/>
  <c r="X58" i="1"/>
  <c r="W58" i="1"/>
  <c r="V58" i="1"/>
  <c r="U58" i="1"/>
  <c r="T58" i="1"/>
  <c r="Y58" i="1" s="1"/>
  <c r="L58" i="1"/>
  <c r="X57" i="1"/>
  <c r="W57" i="1"/>
  <c r="V57" i="1"/>
  <c r="U57" i="1"/>
  <c r="T57" i="1"/>
  <c r="Y57" i="1" s="1"/>
  <c r="L57" i="1"/>
  <c r="X56" i="1"/>
  <c r="W56" i="1"/>
  <c r="V56" i="1"/>
  <c r="U56" i="1"/>
  <c r="T56" i="1"/>
  <c r="Y56" i="1" s="1"/>
  <c r="L56" i="1"/>
  <c r="X55" i="1"/>
  <c r="W55" i="1"/>
  <c r="V55" i="1"/>
  <c r="U55" i="1"/>
  <c r="T55" i="1"/>
  <c r="Y55" i="1" s="1"/>
  <c r="L55" i="1"/>
  <c r="X54" i="1"/>
  <c r="W54" i="1"/>
  <c r="V54" i="1"/>
  <c r="U54" i="1"/>
  <c r="T54" i="1"/>
  <c r="Y54" i="1" s="1"/>
  <c r="L54" i="1"/>
  <c r="X53" i="1"/>
  <c r="W53" i="1"/>
  <c r="V53" i="1"/>
  <c r="U53" i="1"/>
  <c r="T53" i="1"/>
  <c r="Y53" i="1" s="1"/>
  <c r="L53" i="1"/>
  <c r="X52" i="1"/>
  <c r="W52" i="1"/>
  <c r="V52" i="1"/>
  <c r="U52" i="1"/>
  <c r="T52" i="1"/>
  <c r="Y52" i="1" s="1"/>
  <c r="L52" i="1"/>
  <c r="X51" i="1"/>
  <c r="W51" i="1"/>
  <c r="V51" i="1"/>
  <c r="U51" i="1"/>
  <c r="T51" i="1"/>
  <c r="Y51" i="1" s="1"/>
  <c r="L51" i="1"/>
  <c r="X50" i="1"/>
  <c r="W50" i="1"/>
  <c r="V50" i="1"/>
  <c r="U50" i="1"/>
  <c r="T50" i="1"/>
  <c r="Y50" i="1" s="1"/>
  <c r="L50" i="1"/>
  <c r="X49" i="1"/>
  <c r="W49" i="1"/>
  <c r="V49" i="1"/>
  <c r="U49" i="1"/>
  <c r="T49" i="1"/>
  <c r="Y49" i="1" s="1"/>
  <c r="L49" i="1"/>
  <c r="X48" i="1"/>
  <c r="W48" i="1"/>
  <c r="V48" i="1"/>
  <c r="U48" i="1"/>
  <c r="T48" i="1"/>
  <c r="Y48" i="1" s="1"/>
  <c r="L48" i="1"/>
  <c r="X47" i="1"/>
  <c r="W47" i="1"/>
  <c r="V47" i="1"/>
  <c r="U47" i="1"/>
  <c r="T47" i="1"/>
  <c r="Y47" i="1" s="1"/>
  <c r="L47" i="1"/>
  <c r="X46" i="1"/>
  <c r="W46" i="1"/>
  <c r="V46" i="1"/>
  <c r="U46" i="1"/>
  <c r="T46" i="1"/>
  <c r="Y46" i="1" s="1"/>
  <c r="L46" i="1"/>
  <c r="X45" i="1"/>
  <c r="W45" i="1"/>
  <c r="V45" i="1"/>
  <c r="U45" i="1"/>
  <c r="T45" i="1"/>
  <c r="Y45" i="1" s="1"/>
  <c r="L45" i="1"/>
  <c r="X44" i="1"/>
  <c r="W44" i="1"/>
  <c r="V44" i="1"/>
  <c r="U44" i="1"/>
  <c r="T44" i="1"/>
  <c r="Y44" i="1" s="1"/>
  <c r="L44" i="1"/>
  <c r="X43" i="1"/>
  <c r="W43" i="1"/>
  <c r="V43" i="1"/>
  <c r="U43" i="1"/>
  <c r="T43" i="1"/>
  <c r="Y43" i="1" s="1"/>
  <c r="L43" i="1"/>
  <c r="X42" i="1"/>
  <c r="W42" i="1"/>
  <c r="V42" i="1"/>
  <c r="U42" i="1"/>
  <c r="T42" i="1"/>
  <c r="Y42" i="1" s="1"/>
  <c r="L42" i="1"/>
  <c r="X41" i="1"/>
  <c r="W41" i="1"/>
  <c r="V41" i="1"/>
  <c r="U41" i="1"/>
  <c r="T41" i="1"/>
  <c r="Y41" i="1" s="1"/>
  <c r="L41" i="1"/>
  <c r="X40" i="1"/>
  <c r="W40" i="1"/>
  <c r="V40" i="1"/>
  <c r="U40" i="1"/>
  <c r="T40" i="1"/>
  <c r="Y40" i="1" s="1"/>
  <c r="L40" i="1"/>
  <c r="X39" i="1"/>
  <c r="W39" i="1"/>
  <c r="V39" i="1"/>
  <c r="U39" i="1"/>
  <c r="T39" i="1"/>
  <c r="Y39" i="1" s="1"/>
  <c r="L39" i="1"/>
  <c r="X38" i="1"/>
  <c r="W38" i="1"/>
  <c r="V38" i="1"/>
  <c r="U38" i="1"/>
  <c r="T38" i="1"/>
  <c r="Y38" i="1" s="1"/>
  <c r="L38" i="1"/>
  <c r="X37" i="1"/>
  <c r="W37" i="1"/>
  <c r="V37" i="1"/>
  <c r="U37" i="1"/>
  <c r="T37" i="1"/>
  <c r="Y37" i="1" s="1"/>
  <c r="L37" i="1"/>
  <c r="Y36" i="1"/>
  <c r="X36" i="1"/>
  <c r="W36" i="1"/>
  <c r="V36" i="1"/>
  <c r="U36" i="1"/>
  <c r="T36" i="1"/>
  <c r="L36" i="1"/>
  <c r="X35" i="1"/>
  <c r="W35" i="1"/>
  <c r="V35" i="1"/>
  <c r="U35" i="1"/>
  <c r="T35" i="1"/>
  <c r="Y35" i="1" s="1"/>
  <c r="L35" i="1"/>
  <c r="X34" i="1"/>
  <c r="W34" i="1"/>
  <c r="V34" i="1"/>
  <c r="U34" i="1"/>
  <c r="T34" i="1"/>
  <c r="Y34" i="1" s="1"/>
  <c r="L34" i="1"/>
  <c r="X33" i="1"/>
  <c r="W33" i="1"/>
  <c r="V33" i="1"/>
  <c r="U33" i="1"/>
  <c r="T33" i="1"/>
  <c r="Y33" i="1" s="1"/>
  <c r="L33" i="1"/>
  <c r="X32" i="1"/>
  <c r="W32" i="1"/>
  <c r="V32" i="1"/>
  <c r="U32" i="1"/>
  <c r="T32" i="1"/>
  <c r="Y32" i="1" s="1"/>
  <c r="L32" i="1"/>
  <c r="X31" i="1"/>
  <c r="W31" i="1"/>
  <c r="V31" i="1"/>
  <c r="U31" i="1"/>
  <c r="T31" i="1"/>
  <c r="Y31" i="1" s="1"/>
  <c r="L31" i="1"/>
  <c r="X30" i="1"/>
  <c r="W30" i="1"/>
  <c r="V30" i="1"/>
  <c r="U30" i="1"/>
  <c r="T30" i="1"/>
  <c r="Y30" i="1" s="1"/>
  <c r="L30" i="1"/>
  <c r="X29" i="1"/>
  <c r="W29" i="1"/>
  <c r="V29" i="1"/>
  <c r="U29" i="1"/>
  <c r="T29" i="1"/>
  <c r="Y29" i="1" s="1"/>
  <c r="L29" i="1"/>
  <c r="X28" i="1"/>
  <c r="W28" i="1"/>
  <c r="V28" i="1"/>
  <c r="U28" i="1"/>
  <c r="T28" i="1"/>
  <c r="Y28" i="1" s="1"/>
  <c r="L28" i="1"/>
  <c r="X27" i="1"/>
  <c r="W27" i="1"/>
  <c r="V27" i="1"/>
  <c r="U27" i="1"/>
  <c r="T27" i="1"/>
  <c r="Y27" i="1" s="1"/>
  <c r="L27" i="1"/>
  <c r="X26" i="1"/>
  <c r="W26" i="1"/>
  <c r="V26" i="1"/>
  <c r="U26" i="1"/>
  <c r="T26" i="1"/>
  <c r="Y26" i="1" s="1"/>
  <c r="L26" i="1"/>
  <c r="X25" i="1"/>
  <c r="W25" i="1"/>
  <c r="V25" i="1"/>
  <c r="U25" i="1"/>
  <c r="T25" i="1"/>
  <c r="Y25" i="1" s="1"/>
  <c r="L25" i="1"/>
  <c r="X24" i="1"/>
  <c r="W24" i="1"/>
  <c r="V24" i="1"/>
  <c r="U24" i="1"/>
  <c r="T24" i="1"/>
  <c r="Y24" i="1" s="1"/>
  <c r="L24" i="1"/>
  <c r="X23" i="1"/>
  <c r="W23" i="1"/>
  <c r="V23" i="1"/>
  <c r="U23" i="1"/>
  <c r="T23" i="1"/>
  <c r="Y23" i="1" s="1"/>
  <c r="L23" i="1"/>
  <c r="X22" i="1"/>
  <c r="W22" i="1"/>
  <c r="V22" i="1"/>
  <c r="U22" i="1"/>
  <c r="T22" i="1"/>
  <c r="Y22" i="1" s="1"/>
  <c r="L22" i="1"/>
  <c r="X21" i="1"/>
  <c r="W21" i="1"/>
  <c r="V21" i="1"/>
  <c r="U21" i="1"/>
  <c r="T21" i="1"/>
  <c r="Y21" i="1" s="1"/>
  <c r="L21" i="1"/>
  <c r="X20" i="1"/>
  <c r="W20" i="1"/>
  <c r="V20" i="1"/>
  <c r="U20" i="1"/>
  <c r="T20" i="1"/>
  <c r="Y20" i="1" s="1"/>
  <c r="L20" i="1"/>
  <c r="X19" i="1"/>
  <c r="W19" i="1"/>
  <c r="V19" i="1"/>
  <c r="U19" i="1"/>
  <c r="T19" i="1"/>
  <c r="Y19" i="1" s="1"/>
  <c r="L19" i="1"/>
  <c r="X18" i="1"/>
  <c r="W18" i="1"/>
  <c r="V18" i="1"/>
  <c r="U18" i="1"/>
  <c r="T18" i="1"/>
  <c r="Y18" i="1" s="1"/>
  <c r="L18" i="1"/>
  <c r="X17" i="1"/>
  <c r="W17" i="1"/>
  <c r="V17" i="1"/>
  <c r="U17" i="1"/>
  <c r="T17" i="1"/>
  <c r="Y17" i="1" s="1"/>
  <c r="L17" i="1"/>
  <c r="X16" i="1"/>
  <c r="W16" i="1"/>
  <c r="V16" i="1"/>
  <c r="U16" i="1"/>
  <c r="T16" i="1"/>
  <c r="Y16" i="1" s="1"/>
  <c r="L16" i="1"/>
  <c r="X15" i="1"/>
  <c r="W15" i="1"/>
  <c r="V15" i="1"/>
  <c r="U15" i="1"/>
  <c r="T15" i="1"/>
  <c r="Y15" i="1" s="1"/>
  <c r="L15" i="1"/>
  <c r="X14" i="1"/>
  <c r="W14" i="1"/>
  <c r="V14" i="1"/>
  <c r="U14" i="1"/>
  <c r="T14" i="1"/>
  <c r="Y14" i="1" s="1"/>
  <c r="L14" i="1"/>
  <c r="X13" i="1"/>
  <c r="W13" i="1"/>
  <c r="V13" i="1"/>
  <c r="U13" i="1"/>
  <c r="T13" i="1"/>
  <c r="Y13" i="1" s="1"/>
  <c r="L13" i="1"/>
  <c r="X12" i="1"/>
  <c r="W12" i="1"/>
  <c r="V12" i="1"/>
  <c r="U12" i="1"/>
  <c r="T12" i="1"/>
  <c r="Y12" i="1" s="1"/>
  <c r="L12" i="1"/>
  <c r="X11" i="1"/>
  <c r="W11" i="1"/>
  <c r="V11" i="1"/>
  <c r="U11" i="1"/>
  <c r="T11" i="1"/>
  <c r="Y11" i="1" s="1"/>
  <c r="L11" i="1"/>
  <c r="X10" i="1"/>
  <c r="W10" i="1"/>
  <c r="V10" i="1"/>
  <c r="U10" i="1"/>
  <c r="T10" i="1"/>
  <c r="Y10" i="1" s="1"/>
  <c r="L10" i="1"/>
  <c r="X9" i="1"/>
  <c r="W9" i="1"/>
  <c r="V9" i="1"/>
  <c r="U9" i="1"/>
  <c r="T9" i="1"/>
  <c r="Y9" i="1" s="1"/>
  <c r="L9" i="1"/>
  <c r="Y8" i="1"/>
  <c r="X8" i="1"/>
  <c r="W8" i="1"/>
  <c r="V8" i="1"/>
  <c r="U8" i="1"/>
  <c r="T8" i="1"/>
  <c r="L8" i="1"/>
  <c r="X7" i="1"/>
  <c r="W7" i="1"/>
  <c r="V7" i="1"/>
  <c r="U7" i="1"/>
  <c r="T7" i="1"/>
  <c r="Y7" i="1" s="1"/>
  <c r="L7" i="1"/>
  <c r="X6" i="1"/>
  <c r="W6" i="1"/>
  <c r="V6" i="1"/>
  <c r="U6" i="1"/>
  <c r="T6" i="1"/>
  <c r="Y6" i="1" s="1"/>
  <c r="L6" i="1"/>
  <c r="X5" i="1"/>
  <c r="W5" i="1"/>
  <c r="V5" i="1"/>
  <c r="U5" i="1"/>
  <c r="T5" i="1"/>
  <c r="Y5" i="1" s="1"/>
  <c r="L5" i="1"/>
  <c r="X4" i="1"/>
  <c r="W4" i="1"/>
  <c r="V4" i="1"/>
  <c r="U4" i="1"/>
  <c r="T4" i="1"/>
  <c r="Y4" i="1" s="1"/>
  <c r="L4" i="1"/>
  <c r="X3" i="1"/>
  <c r="W3" i="1"/>
  <c r="V3" i="1"/>
  <c r="U3" i="1"/>
  <c r="T3" i="1"/>
  <c r="Y3" i="1" s="1"/>
  <c r="L3" i="1"/>
  <c r="X2" i="1"/>
  <c r="W2" i="1"/>
  <c r="V2" i="1"/>
  <c r="U2" i="1"/>
  <c r="T2" i="1"/>
  <c r="Y2" i="1" s="1"/>
  <c r="L2" i="1"/>
  <c r="AA1001" i="1" l="1"/>
  <c r="Z1001" i="1"/>
  <c r="AA1000" i="1"/>
  <c r="Z1000" i="1"/>
  <c r="AA999" i="1"/>
  <c r="Z999" i="1"/>
  <c r="AA998" i="1"/>
  <c r="Z998" i="1"/>
  <c r="AA997" i="1"/>
  <c r="Z997" i="1"/>
  <c r="AA996" i="1"/>
  <c r="Z996" i="1"/>
  <c r="AA995" i="1"/>
  <c r="Z995" i="1"/>
  <c r="AA994" i="1"/>
  <c r="Z994" i="1"/>
  <c r="AA993" i="1"/>
  <c r="Z993" i="1"/>
  <c r="AA992" i="1"/>
  <c r="Z992" i="1"/>
  <c r="AA991" i="1"/>
  <c r="Z991" i="1"/>
  <c r="AA990" i="1"/>
  <c r="Z990" i="1"/>
  <c r="AA989" i="1"/>
  <c r="Z989" i="1"/>
  <c r="AA988" i="1"/>
  <c r="Z988" i="1"/>
  <c r="AA987" i="1"/>
  <c r="Z987" i="1"/>
  <c r="AA986" i="1"/>
  <c r="Z986" i="1"/>
  <c r="AA985" i="1"/>
  <c r="Z985" i="1"/>
  <c r="AA984" i="1"/>
  <c r="Z984" i="1"/>
  <c r="AA983" i="1"/>
  <c r="Z983" i="1"/>
  <c r="AA982" i="1"/>
  <c r="Z982" i="1"/>
  <c r="AA981" i="1"/>
  <c r="Z981" i="1"/>
  <c r="AA980" i="1"/>
  <c r="Z980" i="1"/>
  <c r="AA979" i="1"/>
  <c r="Z979" i="1"/>
  <c r="AA978" i="1"/>
  <c r="Z978" i="1"/>
  <c r="AA977" i="1"/>
  <c r="Z977" i="1"/>
  <c r="AA976" i="1"/>
  <c r="Z976" i="1"/>
  <c r="AA975" i="1"/>
  <c r="Z975" i="1"/>
  <c r="AA974" i="1"/>
  <c r="Z974" i="1"/>
  <c r="AA973" i="1"/>
  <c r="Z973" i="1"/>
  <c r="AA972" i="1"/>
  <c r="Z972" i="1"/>
  <c r="AA971" i="1"/>
  <c r="Z971" i="1"/>
  <c r="AA970" i="1"/>
  <c r="Z970" i="1"/>
  <c r="AA969" i="1"/>
  <c r="Z969" i="1"/>
  <c r="AA968" i="1"/>
  <c r="Z968" i="1"/>
  <c r="AA967" i="1"/>
  <c r="Z967" i="1"/>
  <c r="AA966" i="1"/>
  <c r="Z966" i="1"/>
  <c r="AA965" i="1"/>
  <c r="Z965" i="1"/>
  <c r="AA964" i="1"/>
  <c r="Z964" i="1"/>
  <c r="AA963" i="1"/>
  <c r="Z963" i="1"/>
  <c r="AA962" i="1"/>
  <c r="Z962" i="1"/>
  <c r="AA961" i="1"/>
  <c r="Z961" i="1"/>
  <c r="AA960" i="1"/>
  <c r="Z960" i="1"/>
  <c r="AA959" i="1"/>
  <c r="Z959" i="1"/>
  <c r="AA958" i="1"/>
  <c r="Z958" i="1"/>
  <c r="AA957" i="1"/>
  <c r="Z957" i="1"/>
  <c r="AA956" i="1"/>
  <c r="Z956" i="1"/>
  <c r="AA955" i="1"/>
  <c r="Z955" i="1"/>
  <c r="AA954" i="1"/>
  <c r="Z954" i="1"/>
  <c r="AA953" i="1"/>
  <c r="Z953" i="1"/>
  <c r="AA952" i="1"/>
  <c r="Z952" i="1"/>
  <c r="AA951" i="1"/>
  <c r="Z951" i="1"/>
  <c r="AA950" i="1"/>
  <c r="Z950" i="1"/>
  <c r="AA949" i="1"/>
  <c r="Z949" i="1"/>
  <c r="AA948" i="1"/>
  <c r="Z948" i="1"/>
  <c r="AA947" i="1"/>
  <c r="Z947" i="1"/>
  <c r="AA946" i="1"/>
  <c r="Z946" i="1"/>
  <c r="AA945" i="1"/>
  <c r="Z945" i="1"/>
  <c r="AA944" i="1"/>
  <c r="Z944" i="1"/>
  <c r="AA943" i="1"/>
  <c r="Z943" i="1"/>
  <c r="AA942" i="1"/>
  <c r="Z942" i="1"/>
  <c r="AA941" i="1"/>
  <c r="Z941" i="1"/>
  <c r="AA940" i="1"/>
  <c r="Z940" i="1"/>
  <c r="AA939" i="1"/>
  <c r="Z939" i="1"/>
  <c r="AA938" i="1"/>
  <c r="Z938" i="1"/>
  <c r="AA937" i="1"/>
  <c r="Z937" i="1"/>
  <c r="AA936" i="1"/>
  <c r="Z936" i="1"/>
  <c r="AA935" i="1"/>
  <c r="Z935" i="1"/>
  <c r="AA934" i="1"/>
  <c r="Z934" i="1"/>
  <c r="AA933" i="1"/>
  <c r="Z933" i="1"/>
  <c r="AA932" i="1"/>
  <c r="Z932" i="1"/>
  <c r="AA931" i="1"/>
  <c r="Z931" i="1"/>
  <c r="AA930" i="1"/>
  <c r="Z930" i="1"/>
  <c r="AA929" i="1"/>
  <c r="Z929" i="1"/>
  <c r="AA928" i="1"/>
  <c r="Z928" i="1"/>
  <c r="AA927" i="1"/>
  <c r="Z927" i="1"/>
  <c r="AA926" i="1"/>
  <c r="Z926" i="1"/>
  <c r="AA925" i="1"/>
  <c r="Z925" i="1"/>
  <c r="AA924" i="1"/>
  <c r="Z924" i="1"/>
  <c r="AA923" i="1"/>
  <c r="Z923" i="1"/>
  <c r="AA922" i="1"/>
  <c r="Z922" i="1"/>
  <c r="AA921" i="1"/>
  <c r="Z921" i="1"/>
  <c r="AA920" i="1"/>
  <c r="Z920" i="1"/>
  <c r="AA919" i="1"/>
  <c r="Z919" i="1"/>
  <c r="AA918" i="1"/>
  <c r="Z918" i="1"/>
  <c r="AA917" i="1"/>
  <c r="Z917" i="1"/>
  <c r="AA916" i="1"/>
  <c r="Z916" i="1"/>
  <c r="AA915" i="1"/>
  <c r="Z915" i="1"/>
  <c r="AA914" i="1"/>
  <c r="Z914" i="1"/>
  <c r="AA913" i="1"/>
  <c r="Z913" i="1"/>
  <c r="AA912" i="1"/>
  <c r="Z912" i="1"/>
  <c r="AA911" i="1"/>
  <c r="Z911" i="1"/>
  <c r="AA910" i="1"/>
  <c r="Z910" i="1"/>
  <c r="AA909" i="1"/>
  <c r="Z909" i="1"/>
  <c r="AA908" i="1"/>
  <c r="Z908" i="1"/>
  <c r="AA907" i="1"/>
  <c r="Z907" i="1"/>
  <c r="AA906" i="1"/>
  <c r="Z906" i="1"/>
  <c r="AA905" i="1"/>
  <c r="Z905" i="1"/>
  <c r="AA904" i="1"/>
  <c r="Z904" i="1"/>
  <c r="AA903" i="1"/>
  <c r="Z903" i="1"/>
  <c r="AA902" i="1"/>
  <c r="Z902" i="1"/>
  <c r="AA901" i="1"/>
  <c r="Z901" i="1"/>
  <c r="AA900" i="1"/>
  <c r="Z900" i="1"/>
  <c r="AA899" i="1"/>
  <c r="Z899" i="1"/>
  <c r="AA898" i="1"/>
  <c r="Z898" i="1"/>
  <c r="AA897" i="1"/>
  <c r="Z897" i="1"/>
  <c r="AA896" i="1"/>
  <c r="Z896" i="1"/>
  <c r="AA895" i="1"/>
  <c r="Z895" i="1"/>
  <c r="AA894" i="1"/>
  <c r="Z894" i="1"/>
  <c r="AA893" i="1"/>
  <c r="Z893" i="1"/>
  <c r="AA892" i="1"/>
  <c r="Z892" i="1"/>
  <c r="AA891" i="1"/>
  <c r="Z891" i="1"/>
  <c r="AA890" i="1"/>
  <c r="Z890" i="1"/>
  <c r="AA889" i="1"/>
  <c r="Z889" i="1"/>
  <c r="AA888" i="1"/>
  <c r="Z888" i="1"/>
  <c r="AA887" i="1"/>
  <c r="Z887" i="1"/>
  <c r="AA886" i="1"/>
  <c r="Z886" i="1"/>
  <c r="AA885" i="1"/>
  <c r="Z885" i="1"/>
  <c r="AA884" i="1"/>
  <c r="Z884" i="1"/>
  <c r="AA883" i="1"/>
  <c r="Z883" i="1"/>
  <c r="AA882" i="1"/>
  <c r="Z882" i="1"/>
  <c r="AA881" i="1"/>
  <c r="Z881" i="1"/>
  <c r="AA880" i="1"/>
  <c r="Z880" i="1"/>
  <c r="AA879" i="1"/>
  <c r="Z879" i="1"/>
  <c r="AA878" i="1"/>
  <c r="Z878" i="1"/>
  <c r="AA877" i="1"/>
  <c r="Z877" i="1"/>
  <c r="AA876" i="1"/>
  <c r="Z876" i="1"/>
  <c r="AA875" i="1"/>
  <c r="Z875" i="1"/>
  <c r="AA874" i="1"/>
  <c r="Z874" i="1"/>
  <c r="AA873" i="1"/>
  <c r="Z873" i="1"/>
  <c r="AA872" i="1"/>
  <c r="Z872" i="1"/>
  <c r="AA871" i="1"/>
  <c r="Z871" i="1"/>
  <c r="AA870" i="1"/>
  <c r="Z870" i="1"/>
  <c r="AA869" i="1"/>
  <c r="Z869" i="1"/>
  <c r="AA868" i="1"/>
  <c r="Z868" i="1"/>
  <c r="AA867" i="1"/>
  <c r="Z867" i="1"/>
  <c r="AA866" i="1"/>
  <c r="Z866" i="1"/>
  <c r="AA865" i="1"/>
  <c r="Z865" i="1"/>
  <c r="AA864" i="1"/>
  <c r="Z864" i="1"/>
  <c r="AA863" i="1"/>
  <c r="Z863" i="1"/>
  <c r="AA862" i="1"/>
  <c r="Z862" i="1"/>
  <c r="AA861" i="1"/>
  <c r="Z861" i="1"/>
  <c r="AA860" i="1"/>
  <c r="Z860" i="1"/>
  <c r="AA859" i="1"/>
  <c r="Z859" i="1"/>
  <c r="AA858" i="1"/>
  <c r="Z858" i="1"/>
  <c r="AA857" i="1"/>
  <c r="Z857" i="1"/>
  <c r="AA856" i="1"/>
  <c r="Z856" i="1"/>
  <c r="AA855" i="1"/>
  <c r="Z855" i="1"/>
  <c r="AA854" i="1"/>
  <c r="Z854" i="1"/>
  <c r="AA853" i="1"/>
  <c r="Z853" i="1"/>
  <c r="AA852" i="1"/>
  <c r="Z852" i="1"/>
  <c r="AA851" i="1"/>
  <c r="Z851" i="1"/>
  <c r="AA850" i="1"/>
  <c r="Z850" i="1"/>
  <c r="AA849" i="1"/>
  <c r="Z849" i="1"/>
  <c r="AA848" i="1"/>
  <c r="Z848" i="1"/>
  <c r="AA847" i="1"/>
  <c r="Z847" i="1"/>
  <c r="AA846" i="1"/>
  <c r="Z846" i="1"/>
  <c r="AA845" i="1"/>
  <c r="Z845" i="1"/>
  <c r="AA844" i="1"/>
  <c r="Z844" i="1"/>
  <c r="AA843" i="1"/>
  <c r="Z843" i="1"/>
  <c r="AA842" i="1"/>
  <c r="Z842" i="1"/>
  <c r="AA841" i="1"/>
  <c r="Z841" i="1"/>
  <c r="AA840" i="1"/>
  <c r="Z840" i="1"/>
  <c r="AA839" i="1"/>
  <c r="Z839" i="1"/>
  <c r="AA838" i="1"/>
  <c r="Z838" i="1"/>
  <c r="AA837" i="1"/>
  <c r="Z837" i="1"/>
  <c r="AA836" i="1"/>
  <c r="Z836" i="1"/>
  <c r="AA835" i="1"/>
  <c r="Z835" i="1"/>
  <c r="AA834" i="1"/>
  <c r="Z834" i="1"/>
  <c r="AA833" i="1"/>
  <c r="Z833" i="1"/>
  <c r="AA832" i="1"/>
  <c r="Z832" i="1"/>
  <c r="AA831" i="1"/>
  <c r="Z831" i="1"/>
  <c r="AA830" i="1"/>
  <c r="Z830" i="1"/>
  <c r="AA829" i="1"/>
  <c r="Z829" i="1"/>
  <c r="AA828" i="1"/>
  <c r="Z828" i="1"/>
  <c r="AA827" i="1"/>
  <c r="Z827" i="1"/>
  <c r="AA826" i="1"/>
  <c r="Z826" i="1"/>
  <c r="AA825" i="1"/>
  <c r="Z825" i="1"/>
  <c r="AA824" i="1"/>
  <c r="Z824" i="1"/>
  <c r="AA823" i="1"/>
  <c r="Z823" i="1"/>
  <c r="AA822" i="1"/>
  <c r="Z822" i="1"/>
  <c r="AA821" i="1"/>
  <c r="Z821" i="1"/>
  <c r="AA820" i="1"/>
  <c r="Z820" i="1"/>
  <c r="AA819" i="1"/>
  <c r="Z819" i="1"/>
  <c r="AA818" i="1"/>
  <c r="Z818" i="1"/>
  <c r="AA817" i="1"/>
  <c r="Z817" i="1"/>
  <c r="AA816" i="1"/>
  <c r="Z816" i="1"/>
  <c r="AA815" i="1"/>
  <c r="Z815" i="1"/>
  <c r="AA814" i="1"/>
  <c r="Z814" i="1"/>
  <c r="AA813" i="1"/>
  <c r="Z813" i="1"/>
  <c r="AA812" i="1"/>
  <c r="Z812" i="1"/>
  <c r="AA811" i="1"/>
  <c r="Z811" i="1"/>
  <c r="AA810" i="1"/>
  <c r="Z810" i="1"/>
  <c r="AA809" i="1"/>
  <c r="Z809" i="1"/>
  <c r="AA808" i="1"/>
  <c r="Z808" i="1"/>
  <c r="AA807" i="1"/>
  <c r="Z807" i="1"/>
  <c r="AA806" i="1"/>
  <c r="Z806" i="1"/>
  <c r="AA805" i="1"/>
  <c r="Z805" i="1"/>
  <c r="AA804" i="1"/>
  <c r="Z804" i="1"/>
  <c r="AA803" i="1"/>
  <c r="Z803" i="1"/>
  <c r="AA802" i="1"/>
  <c r="Z802" i="1"/>
  <c r="AA801" i="1"/>
  <c r="Z801" i="1"/>
  <c r="AA800" i="1"/>
  <c r="Z800" i="1"/>
  <c r="AA799" i="1"/>
  <c r="Z799" i="1"/>
  <c r="AA798" i="1"/>
  <c r="Z798" i="1"/>
  <c r="AA797" i="1"/>
  <c r="Z797" i="1"/>
  <c r="AA796" i="1"/>
  <c r="Z796" i="1"/>
  <c r="AA795" i="1"/>
  <c r="Z795" i="1"/>
  <c r="AA794" i="1"/>
  <c r="Z794" i="1"/>
  <c r="AA793" i="1"/>
  <c r="Z793" i="1"/>
  <c r="AA792" i="1"/>
  <c r="Z792" i="1"/>
  <c r="AA791" i="1"/>
  <c r="Z791" i="1"/>
  <c r="AA790" i="1"/>
  <c r="Z790" i="1"/>
  <c r="AA789" i="1"/>
  <c r="Z789" i="1"/>
  <c r="AA788" i="1"/>
  <c r="Z788" i="1"/>
  <c r="AA787" i="1"/>
  <c r="Z787" i="1"/>
  <c r="AA786" i="1"/>
  <c r="Z786" i="1"/>
  <c r="AA785" i="1"/>
  <c r="Z785" i="1"/>
  <c r="AA784" i="1"/>
  <c r="Z784" i="1"/>
  <c r="AA783" i="1"/>
  <c r="Z783" i="1"/>
  <c r="AA782" i="1"/>
  <c r="Z782" i="1"/>
  <c r="AA781" i="1"/>
  <c r="Z781" i="1"/>
  <c r="AA780" i="1"/>
  <c r="Z780" i="1"/>
  <c r="AA779" i="1"/>
  <c r="Z779" i="1"/>
  <c r="AA778" i="1"/>
  <c r="Z778" i="1"/>
  <c r="AA777" i="1"/>
  <c r="Z777" i="1"/>
  <c r="AA776" i="1"/>
  <c r="Z776" i="1"/>
  <c r="AA775" i="1"/>
  <c r="Z775" i="1"/>
  <c r="AA774" i="1"/>
  <c r="Z774" i="1"/>
  <c r="AA773" i="1"/>
  <c r="Z773" i="1"/>
  <c r="AA772" i="1"/>
  <c r="Z772" i="1"/>
  <c r="AA771" i="1"/>
  <c r="Z771" i="1"/>
  <c r="AA770" i="1"/>
  <c r="Z770" i="1"/>
  <c r="AA769" i="1"/>
  <c r="Z769" i="1"/>
  <c r="AA768" i="1"/>
  <c r="Z768" i="1"/>
  <c r="AA767" i="1"/>
  <c r="Z767" i="1"/>
  <c r="AA766" i="1"/>
  <c r="Z766" i="1"/>
  <c r="AA765" i="1"/>
  <c r="Z765" i="1"/>
  <c r="AA764" i="1"/>
  <c r="Z764" i="1"/>
  <c r="AA763" i="1"/>
  <c r="Z763" i="1"/>
  <c r="AA762" i="1"/>
  <c r="Z762" i="1"/>
  <c r="AA761" i="1"/>
  <c r="Z761" i="1"/>
  <c r="AA760" i="1"/>
  <c r="Z760" i="1"/>
  <c r="AA759" i="1"/>
  <c r="Z759" i="1"/>
  <c r="AA758" i="1"/>
  <c r="Z758" i="1"/>
  <c r="AA757" i="1"/>
  <c r="Z757" i="1"/>
  <c r="AA756" i="1"/>
  <c r="Z756" i="1"/>
  <c r="AA755" i="1"/>
  <c r="Z755" i="1"/>
  <c r="AA754" i="1"/>
  <c r="Z754" i="1"/>
  <c r="AA753" i="1"/>
  <c r="Z753" i="1"/>
  <c r="AA752" i="1"/>
  <c r="Z752" i="1"/>
  <c r="AA751" i="1"/>
  <c r="Z751" i="1"/>
  <c r="Z750" i="1"/>
  <c r="AA750" i="1"/>
  <c r="Z749" i="1"/>
  <c r="AA749" i="1"/>
  <c r="Z748" i="1"/>
  <c r="AA748" i="1"/>
  <c r="Z747" i="1"/>
  <c r="AA747" i="1"/>
  <c r="Z746" i="1"/>
  <c r="AA746" i="1"/>
  <c r="AA745" i="1"/>
  <c r="Z745" i="1"/>
  <c r="AA744" i="1"/>
  <c r="Z744" i="1"/>
  <c r="AA743" i="1"/>
  <c r="Z743" i="1"/>
  <c r="Z742" i="1"/>
  <c r="AA742" i="1"/>
  <c r="Z741" i="1"/>
  <c r="AA741" i="1"/>
  <c r="AA740" i="1"/>
  <c r="Z740" i="1"/>
  <c r="Z739" i="1"/>
  <c r="AA739" i="1"/>
  <c r="Z738" i="1"/>
  <c r="AA738" i="1"/>
  <c r="AA737" i="1"/>
  <c r="Z737" i="1"/>
  <c r="AA736" i="1"/>
  <c r="Z736" i="1"/>
  <c r="Z735" i="1"/>
  <c r="AA735" i="1"/>
  <c r="Z734" i="1"/>
  <c r="AA734" i="1"/>
  <c r="Z733" i="1"/>
  <c r="AA733" i="1"/>
  <c r="AA732" i="1"/>
  <c r="Z732" i="1"/>
  <c r="AA731" i="1"/>
  <c r="Z731" i="1"/>
  <c r="AA730" i="1"/>
  <c r="Z730" i="1"/>
  <c r="AA729" i="1"/>
  <c r="Z729" i="1"/>
  <c r="Z728" i="1"/>
  <c r="AA728" i="1"/>
  <c r="Z727" i="1"/>
  <c r="AA727" i="1"/>
  <c r="Z726" i="1"/>
  <c r="AA726" i="1"/>
  <c r="Z725" i="1"/>
  <c r="AA725" i="1"/>
  <c r="Z724" i="1"/>
  <c r="AA724" i="1"/>
  <c r="Z723" i="1"/>
  <c r="AA723" i="1"/>
  <c r="Z722" i="1"/>
  <c r="AA722" i="1"/>
  <c r="Z721" i="1"/>
  <c r="AA721" i="1"/>
  <c r="AA720" i="1"/>
  <c r="Z720" i="1"/>
  <c r="Z719" i="1"/>
  <c r="AA719" i="1"/>
  <c r="Z718" i="1"/>
  <c r="AA718" i="1"/>
  <c r="Z717" i="1"/>
  <c r="AA717" i="1"/>
  <c r="Z716" i="1"/>
  <c r="AA716" i="1"/>
  <c r="Z715" i="1"/>
  <c r="AA715" i="1"/>
  <c r="Z714" i="1"/>
  <c r="AA714" i="1"/>
  <c r="Z713" i="1"/>
  <c r="AA713" i="1"/>
  <c r="AA712" i="1"/>
  <c r="Z712" i="1"/>
  <c r="Z711" i="1"/>
  <c r="AA711" i="1"/>
  <c r="AA710" i="1"/>
  <c r="Z710" i="1"/>
  <c r="AA709" i="1"/>
  <c r="Z709" i="1"/>
  <c r="AA708" i="1"/>
  <c r="Z708" i="1"/>
  <c r="AA707" i="1"/>
  <c r="Z707" i="1"/>
  <c r="AA706" i="1"/>
  <c r="Z706" i="1"/>
  <c r="AA705" i="1"/>
  <c r="Z705" i="1"/>
  <c r="AA704" i="1"/>
  <c r="Z704" i="1"/>
  <c r="AA703" i="1"/>
  <c r="Z703" i="1"/>
  <c r="AA702" i="1"/>
  <c r="Z702" i="1"/>
  <c r="AA701" i="1"/>
  <c r="Z701" i="1"/>
  <c r="AA700" i="1"/>
  <c r="Z700" i="1"/>
  <c r="AA699" i="1"/>
  <c r="Z699" i="1"/>
  <c r="AA698" i="1"/>
  <c r="Z698" i="1"/>
  <c r="AA697" i="1"/>
  <c r="Z697" i="1"/>
  <c r="AA696" i="1"/>
  <c r="Z696" i="1"/>
  <c r="AA695" i="1"/>
  <c r="Z695" i="1"/>
  <c r="AA694" i="1"/>
  <c r="Z694" i="1"/>
  <c r="AA693" i="1"/>
  <c r="Z693" i="1"/>
  <c r="Z692" i="1"/>
  <c r="AA692" i="1"/>
  <c r="AA691" i="1"/>
  <c r="Z691" i="1"/>
  <c r="AA690" i="1"/>
  <c r="Z690" i="1"/>
  <c r="AA689" i="1"/>
  <c r="Z689" i="1"/>
  <c r="Z688" i="1"/>
  <c r="AA688" i="1"/>
  <c r="Z687" i="1"/>
  <c r="AA687" i="1"/>
  <c r="Z686" i="1"/>
  <c r="AA686" i="1"/>
  <c r="Z685" i="1"/>
  <c r="AA685" i="1"/>
  <c r="Z684" i="1"/>
  <c r="AA684" i="1"/>
  <c r="AA683" i="1"/>
  <c r="Z683" i="1"/>
  <c r="Z682" i="1"/>
  <c r="AA682" i="1"/>
  <c r="Z681" i="1"/>
  <c r="AA681" i="1"/>
  <c r="Z680" i="1"/>
  <c r="AA680" i="1"/>
  <c r="AA679" i="1"/>
  <c r="Z679" i="1"/>
  <c r="Z678" i="1"/>
  <c r="AA678" i="1"/>
  <c r="AA677" i="1"/>
  <c r="Z677" i="1"/>
  <c r="Z676" i="1"/>
  <c r="AA676" i="1"/>
  <c r="AA675" i="1"/>
  <c r="Z675" i="1"/>
  <c r="AA674" i="1"/>
  <c r="Z674" i="1"/>
  <c r="AA673" i="1"/>
  <c r="Z673" i="1"/>
  <c r="AA672" i="1"/>
  <c r="Z672" i="1"/>
  <c r="AA671" i="1"/>
  <c r="Z671" i="1"/>
  <c r="AA670" i="1"/>
  <c r="Z670" i="1"/>
  <c r="AA669" i="1"/>
  <c r="Z669" i="1"/>
  <c r="Z668" i="1"/>
  <c r="AA668" i="1"/>
  <c r="Z667" i="1"/>
  <c r="AA667" i="1"/>
  <c r="Z666" i="1"/>
  <c r="AA666" i="1"/>
  <c r="Z665" i="1"/>
  <c r="AA665" i="1"/>
  <c r="AA664" i="1"/>
  <c r="Z664" i="1"/>
  <c r="Z663" i="1"/>
  <c r="AA663" i="1"/>
  <c r="AA662" i="1"/>
  <c r="Z662" i="1"/>
  <c r="AA661" i="1"/>
  <c r="Z661" i="1"/>
  <c r="AA660" i="1"/>
  <c r="Z660" i="1"/>
  <c r="AA659" i="1"/>
  <c r="Z659" i="1"/>
  <c r="AA658" i="1"/>
  <c r="Z658" i="1"/>
  <c r="Z657" i="1"/>
  <c r="AA657" i="1"/>
  <c r="AA656" i="1"/>
  <c r="Z656" i="1"/>
  <c r="AA655" i="1"/>
  <c r="Z655" i="1"/>
  <c r="AA654" i="1"/>
  <c r="Z654" i="1"/>
  <c r="AA653" i="1"/>
  <c r="Z653" i="1"/>
  <c r="Z652" i="1"/>
  <c r="AA652" i="1"/>
  <c r="Z651" i="1"/>
  <c r="AA651" i="1"/>
  <c r="Z650" i="1"/>
  <c r="AA650" i="1"/>
  <c r="AA649" i="1"/>
  <c r="Z649" i="1"/>
  <c r="AA648" i="1"/>
  <c r="Z648" i="1"/>
  <c r="AA647" i="1"/>
  <c r="Z647" i="1"/>
  <c r="AA646" i="1"/>
  <c r="Z646" i="1"/>
  <c r="AA645" i="1"/>
  <c r="Z645" i="1"/>
  <c r="AA644" i="1"/>
  <c r="Z644" i="1"/>
  <c r="AA643" i="1"/>
  <c r="Z643" i="1"/>
  <c r="Z642" i="1"/>
  <c r="AA642" i="1"/>
  <c r="AA641" i="1"/>
  <c r="Z641" i="1"/>
  <c r="AA640" i="1"/>
  <c r="Z640" i="1"/>
  <c r="AA639" i="1"/>
  <c r="Z639" i="1"/>
  <c r="AA638" i="1"/>
  <c r="Z638" i="1"/>
  <c r="AA637" i="1"/>
  <c r="Z637" i="1"/>
  <c r="AA636" i="1"/>
  <c r="Z636" i="1"/>
  <c r="AA635" i="1"/>
  <c r="Z635" i="1"/>
  <c r="Z634" i="1"/>
  <c r="AA634" i="1"/>
  <c r="Z633" i="1"/>
  <c r="AA633" i="1"/>
  <c r="Z632" i="1"/>
  <c r="AA632" i="1"/>
  <c r="Z631" i="1"/>
  <c r="AA631" i="1"/>
  <c r="Z630" i="1"/>
  <c r="AA630" i="1"/>
  <c r="AA629" i="1"/>
  <c r="Z629" i="1"/>
  <c r="Z628" i="1"/>
  <c r="AA628" i="1"/>
  <c r="Z627" i="1"/>
  <c r="AA627" i="1"/>
  <c r="AA626" i="1"/>
  <c r="Z626" i="1"/>
  <c r="AA625" i="1"/>
  <c r="Z625" i="1"/>
  <c r="Z624" i="1"/>
  <c r="AA624" i="1"/>
  <c r="Z623" i="1"/>
  <c r="AA623" i="1"/>
  <c r="AA622" i="1"/>
  <c r="Z622" i="1"/>
  <c r="AA621" i="1"/>
  <c r="Z621" i="1"/>
  <c r="AA620" i="1"/>
  <c r="Z620" i="1"/>
  <c r="AA619" i="1"/>
  <c r="Z619" i="1"/>
  <c r="AA618" i="1"/>
  <c r="Z618" i="1"/>
  <c r="AA617" i="1"/>
  <c r="Z617" i="1"/>
  <c r="AA616" i="1"/>
  <c r="Z616" i="1"/>
  <c r="AA615" i="1"/>
  <c r="Z615" i="1"/>
  <c r="Z614" i="1"/>
  <c r="AA614" i="1"/>
  <c r="AA613" i="1"/>
  <c r="Z613" i="1"/>
  <c r="AA612" i="1"/>
  <c r="Z612" i="1"/>
  <c r="AA611" i="1"/>
  <c r="Z611" i="1"/>
  <c r="AA610" i="1"/>
  <c r="Z610" i="1"/>
  <c r="AA609" i="1"/>
  <c r="Z609" i="1"/>
  <c r="Z608" i="1"/>
  <c r="AA608" i="1"/>
  <c r="Z607" i="1"/>
  <c r="AA607" i="1"/>
  <c r="Z606" i="1"/>
  <c r="AA606" i="1"/>
  <c r="Z605" i="1"/>
  <c r="AA605" i="1"/>
  <c r="Z604" i="1"/>
  <c r="AA604" i="1"/>
  <c r="Z603" i="1"/>
  <c r="AA603" i="1"/>
  <c r="AA602" i="1"/>
  <c r="Z602" i="1"/>
  <c r="AA601" i="1"/>
  <c r="Z601" i="1"/>
  <c r="AA600" i="1"/>
  <c r="Z600" i="1"/>
  <c r="Z599" i="1"/>
  <c r="AA599" i="1"/>
  <c r="Z598" i="1"/>
  <c r="AA598" i="1"/>
  <c r="Z597" i="1"/>
  <c r="AA597" i="1"/>
  <c r="Z596" i="1"/>
  <c r="AA596" i="1"/>
  <c r="AA595" i="1"/>
  <c r="Z595" i="1"/>
  <c r="AA594" i="1"/>
  <c r="Z594" i="1"/>
  <c r="AA593" i="1"/>
  <c r="Z593" i="1"/>
  <c r="AA592" i="1"/>
  <c r="Z592" i="1"/>
  <c r="AA591" i="1"/>
  <c r="Z591" i="1"/>
  <c r="AA590" i="1"/>
  <c r="Z590" i="1"/>
  <c r="AA589" i="1"/>
  <c r="Z589" i="1"/>
  <c r="AA588" i="1"/>
  <c r="Z588" i="1"/>
  <c r="AA587" i="1"/>
  <c r="Z587" i="1"/>
  <c r="AA586" i="1"/>
  <c r="Z586" i="1"/>
  <c r="AA585" i="1"/>
  <c r="Z585" i="1"/>
  <c r="AA584" i="1"/>
  <c r="Z584" i="1"/>
  <c r="AA583" i="1"/>
  <c r="Z583" i="1"/>
  <c r="AA582" i="1"/>
  <c r="Z582" i="1"/>
  <c r="AA581" i="1"/>
  <c r="Z581" i="1"/>
  <c r="AA580" i="1"/>
  <c r="Z580" i="1"/>
  <c r="Z579" i="1"/>
  <c r="AA579" i="1"/>
  <c r="Z578" i="1"/>
  <c r="AA578" i="1"/>
  <c r="AA577" i="1"/>
  <c r="Z577" i="1"/>
  <c r="Z576" i="1"/>
  <c r="AA576" i="1"/>
  <c r="Z575" i="1"/>
  <c r="AA575" i="1"/>
  <c r="Z574" i="1"/>
  <c r="AA574" i="1"/>
  <c r="Z573" i="1"/>
  <c r="AA573" i="1"/>
  <c r="Z572" i="1"/>
  <c r="AA572" i="1"/>
  <c r="AA571" i="1"/>
  <c r="Z571" i="1"/>
  <c r="Z570" i="1"/>
  <c r="AA570" i="1"/>
  <c r="AA569" i="1"/>
  <c r="Z569" i="1"/>
  <c r="AA568" i="1"/>
  <c r="Z568" i="1"/>
  <c r="AA567" i="1"/>
  <c r="Z567" i="1"/>
  <c r="AA566" i="1"/>
  <c r="Z566" i="1"/>
  <c r="AA565" i="1"/>
  <c r="Z565" i="1"/>
  <c r="AA564" i="1"/>
  <c r="Z564" i="1"/>
  <c r="AA563" i="1"/>
  <c r="Z563" i="1"/>
  <c r="AA562" i="1"/>
  <c r="Z562" i="1"/>
  <c r="Z561" i="1"/>
  <c r="AA561" i="1"/>
  <c r="AA560" i="1"/>
  <c r="Z560" i="1"/>
  <c r="AA559" i="1"/>
  <c r="Z559" i="1"/>
  <c r="AA558" i="1"/>
  <c r="Z558" i="1"/>
  <c r="AA557" i="1"/>
  <c r="Z557" i="1"/>
  <c r="Z556" i="1"/>
  <c r="AA556" i="1"/>
  <c r="AA555" i="1"/>
  <c r="Z555" i="1"/>
  <c r="AA554" i="1"/>
  <c r="Z554" i="1"/>
  <c r="AA553" i="1"/>
  <c r="Z553" i="1"/>
  <c r="AA552" i="1"/>
  <c r="Z552" i="1"/>
  <c r="AA551" i="1"/>
  <c r="Z551" i="1"/>
  <c r="AA550" i="1"/>
  <c r="Z550" i="1"/>
  <c r="AA549" i="1"/>
  <c r="Z549" i="1"/>
  <c r="AA548" i="1"/>
  <c r="Z548" i="1"/>
  <c r="Z547" i="1"/>
  <c r="AA547" i="1"/>
  <c r="AA546" i="1"/>
  <c r="Z546" i="1"/>
  <c r="AA545" i="1"/>
  <c r="Z545" i="1"/>
  <c r="Z544" i="1"/>
  <c r="AA544" i="1"/>
  <c r="AA543" i="1"/>
  <c r="Z543" i="1"/>
  <c r="AA542" i="1"/>
  <c r="Z542" i="1"/>
  <c r="Z541" i="1"/>
  <c r="AA541" i="1"/>
  <c r="Z540" i="1"/>
  <c r="AA540" i="1"/>
  <c r="Z539" i="1"/>
  <c r="AA539" i="1"/>
  <c r="AA538" i="1"/>
  <c r="Z538" i="1"/>
  <c r="AA537" i="1"/>
  <c r="Z537" i="1"/>
  <c r="AA536" i="1"/>
  <c r="Z536" i="1"/>
  <c r="AA535" i="1"/>
  <c r="Z535" i="1"/>
  <c r="Z534" i="1"/>
  <c r="AA534" i="1"/>
  <c r="AA533" i="1"/>
  <c r="Z533" i="1"/>
  <c r="AA532" i="1"/>
  <c r="Z532" i="1"/>
  <c r="Z531" i="1"/>
  <c r="AA531" i="1"/>
  <c r="AA530" i="1"/>
  <c r="Z530" i="1"/>
  <c r="AA529" i="1"/>
  <c r="Z529" i="1"/>
  <c r="AA528" i="1"/>
  <c r="Z528" i="1"/>
  <c r="AA527" i="1"/>
  <c r="Z527" i="1"/>
  <c r="Z526" i="1"/>
  <c r="AA526" i="1"/>
  <c r="AA525" i="1"/>
  <c r="Z525" i="1"/>
  <c r="AA524" i="1"/>
  <c r="Z524" i="1"/>
  <c r="AA523" i="1"/>
  <c r="Z523" i="1"/>
  <c r="AA522" i="1"/>
  <c r="Z522" i="1"/>
  <c r="AA521" i="1"/>
  <c r="Z521" i="1"/>
  <c r="AA520" i="1"/>
  <c r="Z520" i="1"/>
  <c r="AA519" i="1"/>
  <c r="Z519" i="1"/>
  <c r="AA518" i="1"/>
  <c r="Z518" i="1"/>
  <c r="AA517" i="1"/>
  <c r="Z517" i="1"/>
  <c r="AA516" i="1"/>
  <c r="Z516" i="1"/>
  <c r="Z515" i="1"/>
  <c r="AA515" i="1"/>
  <c r="Z514" i="1"/>
  <c r="AA514" i="1"/>
  <c r="AA513" i="1"/>
  <c r="Z513" i="1"/>
  <c r="AA512" i="1"/>
  <c r="Z512" i="1"/>
  <c r="AA511" i="1"/>
  <c r="Z511" i="1"/>
  <c r="AA510" i="1"/>
  <c r="Z510" i="1"/>
  <c r="AA509" i="1"/>
  <c r="Z509" i="1"/>
  <c r="AA508" i="1"/>
  <c r="Z508" i="1"/>
  <c r="Z507" i="1"/>
  <c r="AA507" i="1"/>
  <c r="Z506" i="1"/>
  <c r="AA506" i="1"/>
  <c r="Z505" i="1"/>
  <c r="AA505" i="1"/>
  <c r="Z504" i="1"/>
  <c r="AA504" i="1"/>
  <c r="AA503" i="1"/>
  <c r="Z503" i="1"/>
  <c r="Z502" i="1"/>
  <c r="AA502" i="1"/>
  <c r="AA501" i="1"/>
  <c r="Z501" i="1"/>
  <c r="AA500" i="1"/>
  <c r="Z500" i="1"/>
  <c r="AA499" i="1"/>
  <c r="Z499" i="1"/>
  <c r="AA498" i="1"/>
  <c r="Z498" i="1"/>
  <c r="AA497" i="1"/>
  <c r="Z497" i="1"/>
  <c r="AA496" i="1"/>
  <c r="Z496" i="1"/>
  <c r="AA495" i="1"/>
  <c r="Z495" i="1"/>
  <c r="AA494" i="1"/>
  <c r="Z494" i="1"/>
  <c r="AA493" i="1"/>
  <c r="Z493" i="1"/>
  <c r="AA492" i="1"/>
  <c r="Z492" i="1"/>
  <c r="AA491" i="1"/>
  <c r="Z491" i="1"/>
  <c r="AA490" i="1"/>
  <c r="Z490" i="1"/>
  <c r="Z489" i="1"/>
  <c r="AA489" i="1"/>
  <c r="Z488" i="1"/>
  <c r="AA488" i="1"/>
  <c r="Z487" i="1"/>
  <c r="AA487" i="1"/>
  <c r="AA486" i="1"/>
  <c r="Z486" i="1"/>
  <c r="AA485" i="1"/>
  <c r="Z485" i="1"/>
  <c r="AA484" i="1"/>
  <c r="Z484" i="1"/>
  <c r="AA483" i="1"/>
  <c r="Z483" i="1"/>
  <c r="AA482" i="1"/>
  <c r="Z482" i="1"/>
  <c r="Z481" i="1"/>
  <c r="AA481" i="1"/>
  <c r="Z480" i="1"/>
  <c r="AA480" i="1"/>
  <c r="AA479" i="1"/>
  <c r="Z479" i="1"/>
  <c r="Z478" i="1"/>
  <c r="AA478" i="1"/>
  <c r="AA477" i="1"/>
  <c r="Z477" i="1"/>
  <c r="AA476" i="1"/>
  <c r="Z476" i="1"/>
  <c r="AA475" i="1"/>
  <c r="Z475" i="1"/>
  <c r="AA474" i="1"/>
  <c r="Z474" i="1"/>
  <c r="AA473" i="1"/>
  <c r="Z473" i="1"/>
  <c r="AA472" i="1"/>
  <c r="Z472" i="1"/>
  <c r="Z471" i="1"/>
  <c r="AA471" i="1"/>
  <c r="AA470" i="1"/>
  <c r="Z470" i="1"/>
  <c r="Z469" i="1"/>
  <c r="AA469" i="1"/>
  <c r="AA468" i="1"/>
  <c r="Z468" i="1"/>
  <c r="AA467" i="1"/>
  <c r="Z467" i="1"/>
  <c r="Z466" i="1"/>
  <c r="AA466" i="1"/>
  <c r="Z465" i="1"/>
  <c r="AA465" i="1"/>
  <c r="AA464" i="1"/>
  <c r="Z464" i="1"/>
  <c r="AA463" i="1"/>
  <c r="Z463" i="1"/>
  <c r="AA462" i="1"/>
  <c r="Z462" i="1"/>
  <c r="AA461" i="1"/>
  <c r="Z461" i="1"/>
  <c r="Z460" i="1"/>
  <c r="AA460" i="1"/>
  <c r="AA459" i="1"/>
  <c r="Z459" i="1"/>
  <c r="Z458" i="1"/>
  <c r="AA458" i="1"/>
  <c r="AA457" i="1"/>
  <c r="Z457" i="1"/>
  <c r="AA456" i="1"/>
  <c r="Z456" i="1"/>
  <c r="AA455" i="1"/>
  <c r="Z455" i="1"/>
  <c r="Z454" i="1"/>
  <c r="AA454" i="1"/>
  <c r="Z453" i="1"/>
  <c r="AA453" i="1"/>
  <c r="Z452" i="1"/>
  <c r="AA452" i="1"/>
  <c r="Z451" i="1"/>
  <c r="AA451" i="1"/>
  <c r="Z450" i="1"/>
  <c r="AA450" i="1"/>
  <c r="Z449" i="1"/>
  <c r="AA449" i="1"/>
  <c r="Z448" i="1"/>
  <c r="AA448" i="1"/>
  <c r="AA447" i="1"/>
  <c r="Z447" i="1"/>
  <c r="AA446" i="1"/>
  <c r="Z446" i="1"/>
  <c r="AA445" i="1"/>
  <c r="Z445" i="1"/>
  <c r="AA444" i="1"/>
  <c r="Z444" i="1"/>
  <c r="AA443" i="1"/>
  <c r="Z443" i="1"/>
  <c r="Z442" i="1"/>
  <c r="AA442" i="1"/>
  <c r="Z441" i="1"/>
  <c r="AA441" i="1"/>
  <c r="Z440" i="1"/>
  <c r="AA440" i="1"/>
  <c r="Z439" i="1"/>
  <c r="AA439" i="1"/>
  <c r="Z438" i="1"/>
  <c r="AA438" i="1"/>
  <c r="Z437" i="1"/>
  <c r="AA437" i="1"/>
  <c r="Z436" i="1"/>
  <c r="AA436" i="1"/>
  <c r="Z435" i="1"/>
  <c r="AA435" i="1"/>
  <c r="Z434" i="1"/>
  <c r="AA434" i="1"/>
  <c r="AA433" i="1"/>
  <c r="Z433" i="1"/>
  <c r="Z432" i="1"/>
  <c r="AA432" i="1"/>
  <c r="Z431" i="1"/>
  <c r="AA431" i="1"/>
  <c r="Z430" i="1"/>
  <c r="AA430" i="1"/>
  <c r="Z429" i="1"/>
  <c r="AA429" i="1"/>
  <c r="AA428" i="1"/>
  <c r="Z428" i="1"/>
  <c r="AA427" i="1"/>
  <c r="Z427" i="1"/>
  <c r="AA426" i="1"/>
  <c r="Z426" i="1"/>
  <c r="AA425" i="1"/>
  <c r="Z425" i="1"/>
  <c r="AA424" i="1"/>
  <c r="Z424" i="1"/>
  <c r="AA423" i="1"/>
  <c r="Z423" i="1"/>
  <c r="AA422" i="1"/>
  <c r="Z422" i="1"/>
  <c r="AA421" i="1"/>
  <c r="Z421" i="1"/>
  <c r="Z420" i="1"/>
  <c r="AA420" i="1"/>
  <c r="Z419" i="1"/>
  <c r="AA419" i="1"/>
  <c r="Z418" i="1"/>
  <c r="AA418" i="1"/>
  <c r="AA417" i="1"/>
  <c r="Z417" i="1"/>
  <c r="Z416" i="1"/>
  <c r="AA416" i="1"/>
  <c r="AA415" i="1"/>
  <c r="Z415" i="1"/>
  <c r="AA414" i="1"/>
  <c r="Z414" i="1"/>
  <c r="AA413" i="1"/>
  <c r="Z413" i="1"/>
  <c r="AA412" i="1"/>
  <c r="Z412" i="1"/>
  <c r="AA411" i="1"/>
  <c r="Z411" i="1"/>
  <c r="AA410" i="1"/>
  <c r="Z410" i="1"/>
  <c r="AA409" i="1"/>
  <c r="Z409" i="1"/>
  <c r="Z408" i="1"/>
  <c r="AA408" i="1"/>
  <c r="AA407" i="1"/>
  <c r="Z407" i="1"/>
  <c r="Z406" i="1"/>
  <c r="AA406" i="1"/>
  <c r="AA405" i="1"/>
  <c r="Z405" i="1"/>
  <c r="AA404" i="1"/>
  <c r="Z404" i="1"/>
  <c r="Z403" i="1"/>
  <c r="AA403" i="1"/>
  <c r="AA402" i="1"/>
  <c r="Z402" i="1"/>
  <c r="Z401" i="1"/>
  <c r="AA401" i="1"/>
  <c r="Z400" i="1"/>
  <c r="AA400" i="1"/>
  <c r="Z399" i="1"/>
  <c r="AA399" i="1"/>
  <c r="AA398" i="1"/>
  <c r="Z398" i="1"/>
  <c r="AA397" i="1"/>
  <c r="Z397" i="1"/>
  <c r="Z396" i="1"/>
  <c r="AA396" i="1"/>
  <c r="Z395" i="1"/>
  <c r="AA395" i="1"/>
  <c r="Z394" i="1"/>
  <c r="AA394" i="1"/>
  <c r="Z393" i="1"/>
  <c r="AA393" i="1"/>
  <c r="Z392" i="1"/>
  <c r="AA392" i="1"/>
  <c r="Z391" i="1"/>
  <c r="AA391" i="1"/>
  <c r="Z390" i="1"/>
  <c r="AA390" i="1"/>
  <c r="AA389" i="1"/>
  <c r="Z389" i="1"/>
  <c r="Z388" i="1"/>
  <c r="AA388" i="1"/>
  <c r="AA387" i="1"/>
  <c r="Z387" i="1"/>
  <c r="Z386" i="1"/>
  <c r="AA386" i="1"/>
  <c r="Z385" i="1"/>
  <c r="AA385" i="1"/>
  <c r="AA384" i="1"/>
  <c r="Z384" i="1"/>
  <c r="Z383" i="1"/>
  <c r="AA383" i="1"/>
  <c r="Z382" i="1"/>
  <c r="AA382" i="1"/>
  <c r="Z381" i="1"/>
  <c r="AA381" i="1"/>
  <c r="Z380" i="1"/>
  <c r="AA380" i="1"/>
  <c r="AA379" i="1"/>
  <c r="Z379" i="1"/>
  <c r="AA378" i="1"/>
  <c r="Z378" i="1"/>
  <c r="AA377" i="1"/>
  <c r="Z377" i="1"/>
  <c r="Z376" i="1"/>
  <c r="AA376" i="1"/>
  <c r="Z375" i="1"/>
  <c r="AA375" i="1"/>
  <c r="AA374" i="1"/>
  <c r="Z374" i="1"/>
  <c r="Z373" i="1"/>
  <c r="AA373" i="1"/>
  <c r="AA372" i="1"/>
  <c r="Z372" i="1"/>
  <c r="Z371" i="1"/>
  <c r="AA371" i="1"/>
  <c r="Z370" i="1"/>
  <c r="AA370" i="1"/>
  <c r="Z369" i="1"/>
  <c r="AA369" i="1"/>
  <c r="AA368" i="1"/>
  <c r="Z368" i="1"/>
  <c r="Z367" i="1"/>
  <c r="AA367" i="1"/>
  <c r="Z366" i="1"/>
  <c r="AA366" i="1"/>
  <c r="Z365" i="1"/>
  <c r="AA365" i="1"/>
  <c r="AA364" i="1"/>
  <c r="Z364" i="1"/>
  <c r="AA363" i="1"/>
  <c r="Z363" i="1"/>
  <c r="AA362" i="1"/>
  <c r="Z362" i="1"/>
  <c r="Z361" i="1"/>
  <c r="AA361" i="1"/>
  <c r="Z360" i="1"/>
  <c r="AA360" i="1"/>
  <c r="Z359" i="1"/>
  <c r="AA359" i="1"/>
  <c r="AA358" i="1"/>
  <c r="Z358" i="1"/>
  <c r="AA357" i="1"/>
  <c r="Z357" i="1"/>
  <c r="Z356" i="1"/>
  <c r="AA356" i="1"/>
  <c r="Z355" i="1"/>
  <c r="AA355" i="1"/>
  <c r="Z354" i="1"/>
  <c r="AA354" i="1"/>
  <c r="AA353" i="1"/>
  <c r="Z353" i="1"/>
  <c r="AA352" i="1"/>
  <c r="Z352" i="1"/>
  <c r="AA351" i="1"/>
  <c r="Z351" i="1"/>
  <c r="Z350" i="1"/>
  <c r="AA350" i="1"/>
  <c r="Z349" i="1"/>
  <c r="AA349" i="1"/>
  <c r="AA348" i="1"/>
  <c r="Z348" i="1"/>
  <c r="Z347" i="1"/>
  <c r="AA347" i="1"/>
  <c r="Z346" i="1"/>
  <c r="AA346" i="1"/>
  <c r="Z345" i="1"/>
  <c r="AA345" i="1"/>
  <c r="Z344" i="1"/>
  <c r="AA344" i="1"/>
  <c r="AA343" i="1"/>
  <c r="Z343" i="1"/>
  <c r="Z342" i="1"/>
  <c r="AA342" i="1"/>
  <c r="AA341" i="1"/>
  <c r="Z341" i="1"/>
  <c r="AA340" i="1"/>
  <c r="Z340" i="1"/>
  <c r="Z339" i="1"/>
  <c r="AA339" i="1"/>
  <c r="AA338" i="1"/>
  <c r="Z338" i="1"/>
  <c r="Z337" i="1"/>
  <c r="AA337" i="1"/>
  <c r="Z336" i="1"/>
  <c r="AA336" i="1"/>
  <c r="Z335" i="1"/>
  <c r="AA335" i="1"/>
  <c r="AA334" i="1"/>
  <c r="Z334" i="1"/>
  <c r="AA333" i="1"/>
  <c r="Z333" i="1"/>
  <c r="Z332" i="1"/>
  <c r="AA332" i="1"/>
  <c r="Z331" i="1"/>
  <c r="AA331" i="1"/>
  <c r="Z330" i="1"/>
  <c r="AA330" i="1"/>
  <c r="AA329" i="1"/>
  <c r="Z329" i="1"/>
  <c r="AA328" i="1"/>
  <c r="Z328" i="1"/>
  <c r="AA327" i="1"/>
  <c r="Z327" i="1"/>
  <c r="Z326" i="1"/>
  <c r="AA326" i="1"/>
  <c r="AA325" i="1"/>
  <c r="Z325" i="1"/>
  <c r="AA324" i="1"/>
  <c r="Z324" i="1"/>
  <c r="Z323" i="1"/>
  <c r="AA323" i="1"/>
  <c r="AA322" i="1"/>
  <c r="Z322" i="1"/>
  <c r="AA321" i="1"/>
  <c r="Z321" i="1"/>
  <c r="Z320" i="1"/>
  <c r="AA320" i="1"/>
  <c r="Z319" i="1"/>
  <c r="AA319" i="1"/>
  <c r="AA318" i="1"/>
  <c r="Z318" i="1"/>
  <c r="AA317" i="1"/>
  <c r="Z317" i="1"/>
  <c r="AA316" i="1"/>
  <c r="Z316" i="1"/>
  <c r="AA315" i="1"/>
  <c r="Z315" i="1"/>
  <c r="Z314" i="1"/>
  <c r="AA314" i="1"/>
  <c r="AA313" i="1"/>
  <c r="Z313" i="1"/>
  <c r="AA312" i="1"/>
  <c r="Z312" i="1"/>
  <c r="Z311" i="1"/>
  <c r="AA311" i="1"/>
  <c r="Z310" i="1"/>
  <c r="AA310" i="1"/>
  <c r="AA309" i="1"/>
  <c r="Z309" i="1"/>
  <c r="Z308" i="1"/>
  <c r="AA308" i="1"/>
  <c r="AA307" i="1"/>
  <c r="Z307" i="1"/>
  <c r="Z306" i="1"/>
  <c r="AA306" i="1"/>
  <c r="Z305" i="1"/>
  <c r="AA305" i="1"/>
  <c r="Z304" i="1"/>
  <c r="AA304" i="1"/>
  <c r="AA303" i="1"/>
  <c r="Z303" i="1"/>
  <c r="AA302" i="1"/>
  <c r="Z302" i="1"/>
  <c r="AA301" i="1"/>
  <c r="Z301" i="1"/>
  <c r="AA300" i="1"/>
  <c r="Z300" i="1"/>
  <c r="Z299" i="1"/>
  <c r="AA299" i="1"/>
  <c r="AA298" i="1"/>
  <c r="Z298" i="1"/>
  <c r="Z297" i="1"/>
  <c r="AA297" i="1"/>
  <c r="Z296" i="1"/>
  <c r="AA296" i="1"/>
  <c r="Z295" i="1"/>
  <c r="AA295" i="1"/>
  <c r="AA294" i="1"/>
  <c r="Z294" i="1"/>
  <c r="Z293" i="1"/>
  <c r="AA293" i="1"/>
  <c r="AA292" i="1"/>
  <c r="Z292" i="1"/>
  <c r="AA291" i="1"/>
  <c r="Z291" i="1"/>
  <c r="Z290" i="1"/>
  <c r="AA290" i="1"/>
  <c r="AA289" i="1"/>
  <c r="Z289" i="1"/>
  <c r="AA288" i="1"/>
  <c r="Z288" i="1"/>
  <c r="Z287" i="1"/>
  <c r="AA287" i="1"/>
  <c r="AA286" i="1"/>
  <c r="Z286" i="1"/>
  <c r="Z285" i="1"/>
  <c r="AA285" i="1"/>
  <c r="AA284" i="1"/>
  <c r="Z284" i="1"/>
  <c r="AA283" i="1"/>
  <c r="Z283" i="1"/>
  <c r="Z282" i="1"/>
  <c r="AA282" i="1"/>
  <c r="Z281" i="1"/>
  <c r="AA281" i="1"/>
  <c r="Z280" i="1"/>
  <c r="AA280" i="1"/>
  <c r="Z279" i="1"/>
  <c r="AA279" i="1"/>
  <c r="AA278" i="1"/>
  <c r="Z278" i="1"/>
  <c r="AA277" i="1"/>
  <c r="Z277" i="1"/>
  <c r="Z276" i="1"/>
  <c r="AA276" i="1"/>
  <c r="AA275" i="1"/>
  <c r="Z275" i="1"/>
  <c r="AA274" i="1"/>
  <c r="Z274" i="1"/>
  <c r="Z273" i="1"/>
  <c r="AA273" i="1"/>
  <c r="AA272" i="1"/>
  <c r="Z272" i="1"/>
  <c r="AA271" i="1"/>
  <c r="Z271" i="1"/>
  <c r="AA270" i="1"/>
  <c r="Z270" i="1"/>
  <c r="Z269" i="1"/>
  <c r="AA269" i="1"/>
  <c r="AA268" i="1"/>
  <c r="Z268" i="1"/>
  <c r="AA267" i="1"/>
  <c r="Z267" i="1"/>
  <c r="AA266" i="1"/>
  <c r="Z266" i="1"/>
  <c r="Z265" i="1"/>
  <c r="AA265" i="1"/>
  <c r="AA264" i="1"/>
  <c r="Z264" i="1"/>
  <c r="AA263" i="1"/>
  <c r="Z263" i="1"/>
  <c r="Z262" i="1"/>
  <c r="AA262" i="1"/>
  <c r="AA261" i="1"/>
  <c r="Z261" i="1"/>
  <c r="Z260" i="1"/>
  <c r="AA260" i="1"/>
  <c r="Z259" i="1"/>
  <c r="AA259" i="1"/>
  <c r="Z258" i="1"/>
  <c r="AA258" i="1"/>
  <c r="AA257" i="1"/>
  <c r="Z257" i="1"/>
  <c r="Z256" i="1"/>
  <c r="AA256" i="1"/>
  <c r="AA255" i="1"/>
  <c r="Z255" i="1"/>
  <c r="Z254" i="1"/>
  <c r="AA254" i="1"/>
  <c r="AA253" i="1"/>
  <c r="Z253" i="1"/>
  <c r="AA252" i="1"/>
  <c r="Z252" i="1"/>
  <c r="AA251" i="1"/>
  <c r="Z251" i="1"/>
  <c r="AA250" i="1"/>
  <c r="Z250" i="1"/>
  <c r="AA249" i="1"/>
  <c r="Z249" i="1"/>
  <c r="AA248" i="1"/>
  <c r="Z248" i="1"/>
  <c r="AA247" i="1"/>
  <c r="Z247" i="1"/>
  <c r="Z246" i="1"/>
  <c r="AA246" i="1"/>
  <c r="AA245" i="1"/>
  <c r="Z245" i="1"/>
  <c r="AA244" i="1"/>
  <c r="Z244" i="1"/>
  <c r="AA243" i="1"/>
  <c r="Z243" i="1"/>
  <c r="Z242" i="1"/>
  <c r="AA242" i="1"/>
  <c r="AA241" i="1"/>
  <c r="Z241" i="1"/>
  <c r="AA240" i="1"/>
  <c r="Z240" i="1"/>
  <c r="AA239" i="1"/>
  <c r="Z239" i="1"/>
  <c r="AA238" i="1"/>
  <c r="Z238" i="1"/>
  <c r="AA237" i="1"/>
  <c r="Z237" i="1"/>
  <c r="Z236" i="1"/>
  <c r="AA236" i="1" s="1"/>
  <c r="Z235" i="1"/>
  <c r="AA235" i="1" s="1"/>
  <c r="Z234" i="1"/>
  <c r="AA234" i="1"/>
  <c r="Z233" i="1"/>
  <c r="AA233" i="1"/>
  <c r="Z232" i="1"/>
  <c r="AA232" i="1"/>
  <c r="Z231" i="1"/>
  <c r="AA231" i="1"/>
  <c r="Z230" i="1"/>
  <c r="AA230" i="1"/>
  <c r="Z229" i="1"/>
  <c r="AA229" i="1"/>
  <c r="Z228" i="1"/>
  <c r="AA228" i="1"/>
  <c r="Z227" i="1"/>
  <c r="AA227" i="1"/>
  <c r="Z226" i="1"/>
  <c r="AA226" i="1"/>
  <c r="Z225" i="1"/>
  <c r="AA225" i="1"/>
  <c r="Z224" i="1"/>
  <c r="AA224" i="1"/>
  <c r="Z223" i="1"/>
  <c r="AA223" i="1"/>
  <c r="Z222" i="1"/>
  <c r="AA222" i="1"/>
  <c r="Z221" i="1"/>
  <c r="AA221" i="1"/>
  <c r="Z220" i="1"/>
  <c r="AA220" i="1"/>
  <c r="Z219" i="1"/>
  <c r="AA219" i="1"/>
  <c r="Z218" i="1"/>
  <c r="AA218" i="1"/>
  <c r="Z217" i="1"/>
  <c r="AA217" i="1"/>
  <c r="Z216" i="1"/>
  <c r="AA216" i="1"/>
  <c r="Z215" i="1"/>
  <c r="AA215" i="1"/>
  <c r="Z214" i="1"/>
  <c r="AA214" i="1"/>
  <c r="Z213" i="1"/>
  <c r="AA213" i="1"/>
  <c r="Z212" i="1"/>
  <c r="AA212" i="1"/>
  <c r="Z211" i="1"/>
  <c r="AA211" i="1"/>
  <c r="Z210" i="1"/>
  <c r="AA210" i="1"/>
  <c r="Z209" i="1"/>
  <c r="AA209" i="1"/>
  <c r="Z208" i="1"/>
  <c r="AA208" i="1"/>
  <c r="Z207" i="1"/>
  <c r="AA207" i="1"/>
  <c r="Z206" i="1"/>
  <c r="AA206" i="1"/>
  <c r="Z205" i="1"/>
  <c r="AA205" i="1"/>
  <c r="Z204" i="1"/>
  <c r="AA204" i="1"/>
  <c r="Z203" i="1"/>
  <c r="AA203" i="1"/>
  <c r="Z202" i="1"/>
  <c r="AA202" i="1"/>
  <c r="Z201" i="1"/>
  <c r="AA201" i="1"/>
  <c r="Z200" i="1"/>
  <c r="AA200" i="1"/>
  <c r="Z199" i="1"/>
  <c r="AA199" i="1"/>
  <c r="Z198" i="1"/>
  <c r="AA198" i="1"/>
  <c r="Z197" i="1"/>
  <c r="AA197" i="1"/>
  <c r="Z196" i="1"/>
  <c r="AA196" i="1"/>
  <c r="Z195" i="1"/>
  <c r="AA195" i="1"/>
  <c r="Z194" i="1"/>
  <c r="AA194" i="1"/>
  <c r="Z193" i="1"/>
  <c r="AA193" i="1"/>
  <c r="Z192" i="1"/>
  <c r="AA192" i="1"/>
  <c r="Z191" i="1"/>
  <c r="AA191" i="1"/>
  <c r="Z190" i="1"/>
  <c r="AA190" i="1"/>
  <c r="Z189" i="1"/>
  <c r="AA189" i="1"/>
  <c r="Z188" i="1"/>
  <c r="AA188" i="1"/>
  <c r="Z187" i="1"/>
  <c r="AA187" i="1"/>
  <c r="Z186" i="1"/>
  <c r="AA186" i="1"/>
  <c r="Z185" i="1"/>
  <c r="AA185" i="1"/>
  <c r="Z184" i="1"/>
  <c r="AA184" i="1"/>
  <c r="Z183" i="1"/>
  <c r="AA183" i="1"/>
  <c r="Z182" i="1"/>
  <c r="AA182" i="1"/>
  <c r="Z181" i="1"/>
  <c r="AA181" i="1"/>
  <c r="Z180" i="1"/>
  <c r="AA180" i="1"/>
  <c r="Z179" i="1"/>
  <c r="AA179" i="1"/>
  <c r="Z178" i="1"/>
  <c r="AA178" i="1"/>
  <c r="Z177" i="1"/>
  <c r="AA177" i="1"/>
  <c r="Z176" i="1"/>
  <c r="AA176" i="1"/>
  <c r="Z175" i="1"/>
  <c r="AA175" i="1"/>
  <c r="Z174" i="1"/>
  <c r="AA174" i="1"/>
  <c r="Z173" i="1"/>
  <c r="AA173" i="1"/>
  <c r="Z172" i="1"/>
  <c r="AA172" i="1"/>
  <c r="Z171" i="1"/>
  <c r="AA171" i="1"/>
  <c r="Z170" i="1"/>
  <c r="AA170" i="1"/>
  <c r="Z169" i="1"/>
  <c r="AA169" i="1"/>
  <c r="Z168" i="1"/>
  <c r="AA168" i="1"/>
  <c r="Z167" i="1"/>
  <c r="AA167" i="1"/>
  <c r="Z166" i="1"/>
  <c r="AA166" i="1"/>
  <c r="Z165" i="1"/>
  <c r="AA165" i="1"/>
  <c r="Z164" i="1"/>
  <c r="AA164" i="1"/>
  <c r="Z163" i="1"/>
  <c r="AA163" i="1"/>
  <c r="Z162" i="1"/>
  <c r="AA162" i="1"/>
  <c r="Z161" i="1"/>
  <c r="AA161" i="1"/>
  <c r="Z160" i="1"/>
  <c r="AA160" i="1"/>
  <c r="Z159" i="1"/>
  <c r="AA159" i="1"/>
  <c r="Z158" i="1"/>
  <c r="AA158" i="1"/>
  <c r="Z157" i="1"/>
  <c r="AA157" i="1"/>
  <c r="Z156" i="1"/>
  <c r="AA156" i="1"/>
  <c r="Z155" i="1"/>
  <c r="AA155" i="1"/>
  <c r="Z154" i="1"/>
  <c r="AA154" i="1"/>
  <c r="Z153" i="1"/>
  <c r="AA153" i="1"/>
  <c r="Z152" i="1"/>
  <c r="AA152" i="1"/>
  <c r="Z151" i="1"/>
  <c r="AA151" i="1"/>
  <c r="Z150" i="1"/>
  <c r="AA150" i="1"/>
  <c r="Z149" i="1"/>
  <c r="AA149" i="1"/>
  <c r="Z148" i="1"/>
  <c r="AA148" i="1"/>
  <c r="Z147" i="1"/>
  <c r="AA147" i="1"/>
  <c r="Z146" i="1"/>
  <c r="AA146" i="1"/>
  <c r="Z145" i="1"/>
  <c r="AA145" i="1"/>
  <c r="Z144" i="1"/>
  <c r="AA144" i="1"/>
  <c r="Z143" i="1"/>
  <c r="AA143" i="1"/>
  <c r="Z142" i="1"/>
  <c r="AA142" i="1"/>
  <c r="Z141" i="1"/>
  <c r="AA141" i="1"/>
  <c r="Z140" i="1"/>
  <c r="AA140" i="1"/>
  <c r="Z139" i="1"/>
  <c r="AA139" i="1"/>
  <c r="Z138" i="1"/>
  <c r="AA138" i="1"/>
  <c r="Z137" i="1"/>
  <c r="AA137" i="1"/>
  <c r="Z136" i="1"/>
  <c r="AA136" i="1"/>
  <c r="Z135" i="1"/>
  <c r="AA135" i="1"/>
  <c r="Z134" i="1"/>
  <c r="AA134" i="1"/>
  <c r="Z133" i="1"/>
  <c r="AA133" i="1"/>
  <c r="Z132" i="1"/>
  <c r="AA132" i="1"/>
  <c r="Z131" i="1"/>
  <c r="AA131" i="1"/>
  <c r="Z130" i="1"/>
  <c r="AA130" i="1"/>
  <c r="Z129" i="1"/>
  <c r="AA129" i="1"/>
  <c r="Z128" i="1"/>
  <c r="AA128" i="1"/>
  <c r="Z127" i="1"/>
  <c r="AA127" i="1"/>
  <c r="Z126" i="1"/>
  <c r="AA126" i="1"/>
  <c r="Z125" i="1"/>
  <c r="AA125" i="1"/>
  <c r="Z124" i="1"/>
  <c r="AA124" i="1"/>
  <c r="Z123" i="1"/>
  <c r="AA123" i="1"/>
  <c r="Z122" i="1"/>
  <c r="AA122" i="1"/>
  <c r="Z121" i="1"/>
  <c r="AA121" i="1"/>
  <c r="Z120" i="1"/>
  <c r="AA120" i="1"/>
  <c r="Z119" i="1"/>
  <c r="AA119" i="1"/>
  <c r="Z118" i="1"/>
  <c r="AA118" i="1"/>
  <c r="Z117" i="1"/>
  <c r="AA117" i="1"/>
  <c r="Z116" i="1"/>
  <c r="AA116" i="1"/>
  <c r="Z115" i="1"/>
  <c r="AA115" i="1"/>
  <c r="Z114" i="1"/>
  <c r="AA114" i="1"/>
  <c r="Z113" i="1"/>
  <c r="AA113" i="1"/>
  <c r="Z112" i="1"/>
  <c r="AA112" i="1"/>
  <c r="Z111" i="1"/>
  <c r="AA111" i="1"/>
  <c r="Z110" i="1"/>
  <c r="AA110" i="1"/>
  <c r="Z109" i="1"/>
  <c r="AA109" i="1"/>
  <c r="Z108" i="1"/>
  <c r="AA108" i="1"/>
  <c r="Z107" i="1"/>
  <c r="AA107" i="1"/>
  <c r="Z106" i="1"/>
  <c r="AA106" i="1"/>
  <c r="Z105" i="1"/>
  <c r="AA105" i="1"/>
  <c r="Z104" i="1"/>
  <c r="AA104" i="1"/>
  <c r="Z103" i="1"/>
  <c r="AA103" i="1"/>
  <c r="Z102" i="1"/>
  <c r="AA102" i="1"/>
  <c r="Z101" i="1"/>
  <c r="AA101" i="1"/>
  <c r="Z100" i="1"/>
  <c r="AA100" i="1"/>
  <c r="Z99" i="1"/>
  <c r="AA99" i="1"/>
  <c r="Z98" i="1"/>
  <c r="AA98" i="1"/>
  <c r="Z97" i="1"/>
  <c r="AA97" i="1"/>
  <c r="Z96" i="1"/>
  <c r="AA96" i="1"/>
  <c r="Z95" i="1"/>
  <c r="AA95" i="1"/>
  <c r="Z94" i="1"/>
  <c r="AA94" i="1"/>
  <c r="Z93" i="1"/>
  <c r="AA93" i="1"/>
  <c r="Z92" i="1"/>
  <c r="AA92" i="1"/>
  <c r="Z91" i="1"/>
  <c r="AA91" i="1"/>
  <c r="Z90" i="1"/>
  <c r="AA90" i="1"/>
  <c r="Z89" i="1"/>
  <c r="AA89" i="1"/>
  <c r="Z88" i="1"/>
  <c r="AA88" i="1"/>
  <c r="Z87" i="1"/>
  <c r="AA87" i="1"/>
  <c r="Z86" i="1"/>
  <c r="AA86" i="1"/>
  <c r="Z85" i="1"/>
  <c r="AA85" i="1"/>
  <c r="Z84" i="1"/>
  <c r="AA84" i="1"/>
  <c r="Z83" i="1"/>
  <c r="AA83" i="1"/>
  <c r="Z82" i="1"/>
  <c r="AA82" i="1"/>
  <c r="Z81" i="1"/>
  <c r="AA81" i="1"/>
  <c r="Z80" i="1"/>
  <c r="AA80" i="1"/>
  <c r="Z79" i="1"/>
  <c r="AA79" i="1"/>
  <c r="Z78" i="1"/>
  <c r="AA78" i="1"/>
  <c r="Z77" i="1"/>
  <c r="AA77" i="1"/>
  <c r="Z76" i="1"/>
  <c r="AA76" i="1"/>
  <c r="Z75" i="1"/>
  <c r="AA75" i="1"/>
  <c r="Z74" i="1"/>
  <c r="AA74" i="1"/>
  <c r="Z73" i="1"/>
  <c r="AA73" i="1"/>
  <c r="Z72" i="1"/>
  <c r="AA72" i="1"/>
  <c r="Z71" i="1"/>
  <c r="AA71" i="1"/>
  <c r="Z70" i="1"/>
  <c r="AA70" i="1"/>
  <c r="Z69" i="1"/>
  <c r="AA69" i="1"/>
  <c r="Z68" i="1"/>
  <c r="AA68" i="1"/>
  <c r="Z67" i="1"/>
  <c r="AA67" i="1"/>
  <c r="Z66" i="1"/>
  <c r="AA66" i="1"/>
  <c r="Z65" i="1"/>
  <c r="AA65" i="1"/>
  <c r="Z64" i="1"/>
  <c r="AA64" i="1"/>
  <c r="Z63" i="1"/>
  <c r="AA63" i="1"/>
  <c r="Z62" i="1"/>
  <c r="AA62" i="1"/>
  <c r="Z61" i="1"/>
  <c r="AA61" i="1"/>
  <c r="Z60" i="1"/>
  <c r="AA60" i="1"/>
  <c r="Z59" i="1"/>
  <c r="AA59" i="1"/>
  <c r="Z58" i="1"/>
  <c r="AA58" i="1"/>
  <c r="Z57" i="1"/>
  <c r="AA57" i="1"/>
  <c r="Z56" i="1"/>
  <c r="AA56" i="1"/>
  <c r="Z55" i="1"/>
  <c r="AA55" i="1"/>
  <c r="Z54" i="1"/>
  <c r="AA54" i="1"/>
  <c r="Z53" i="1"/>
  <c r="AA53" i="1"/>
  <c r="Z52" i="1"/>
  <c r="AA52" i="1"/>
  <c r="Z51" i="1"/>
  <c r="AA51" i="1"/>
  <c r="Z50" i="1"/>
  <c r="AA50" i="1"/>
  <c r="Z49" i="1"/>
  <c r="AA49" i="1"/>
  <c r="Z48" i="1"/>
  <c r="AA48" i="1"/>
  <c r="Z47" i="1"/>
  <c r="AA47" i="1"/>
  <c r="Z46" i="1"/>
  <c r="AA46" i="1"/>
  <c r="Z45" i="1"/>
  <c r="AA45" i="1"/>
  <c r="Z44" i="1"/>
  <c r="AA44" i="1"/>
  <c r="Z43" i="1"/>
  <c r="AA43" i="1"/>
  <c r="Z42" i="1"/>
  <c r="AA42" i="1"/>
  <c r="Z41" i="1"/>
  <c r="AA41" i="1"/>
  <c r="Z40" i="1"/>
  <c r="AA40" i="1"/>
  <c r="Z39" i="1"/>
  <c r="AA39" i="1"/>
  <c r="Z38" i="1"/>
  <c r="AA38" i="1"/>
  <c r="Z37" i="1"/>
  <c r="AA37" i="1"/>
  <c r="AA36" i="1"/>
  <c r="Z36" i="1"/>
  <c r="Z35" i="1"/>
  <c r="AA35" i="1"/>
  <c r="Z34" i="1"/>
  <c r="AA34" i="1"/>
  <c r="Z33" i="1"/>
  <c r="AA33" i="1"/>
  <c r="Z32" i="1"/>
  <c r="AA32" i="1"/>
  <c r="Z31" i="1"/>
  <c r="AA31" i="1"/>
  <c r="Z30" i="1"/>
  <c r="AA30" i="1"/>
  <c r="Z29" i="1"/>
  <c r="AA29" i="1"/>
  <c r="Z28" i="1"/>
  <c r="AA28" i="1"/>
  <c r="Z27" i="1"/>
  <c r="AA27" i="1"/>
  <c r="Z26" i="1"/>
  <c r="AA26" i="1"/>
  <c r="Z25" i="1"/>
  <c r="AA25" i="1"/>
  <c r="Z24" i="1"/>
  <c r="AA24" i="1"/>
  <c r="Z23" i="1"/>
  <c r="AA23" i="1"/>
  <c r="Z22" i="1"/>
  <c r="AA22" i="1"/>
  <c r="Z21" i="1"/>
  <c r="AA21" i="1"/>
  <c r="Z20" i="1"/>
  <c r="AA20" i="1"/>
  <c r="Z19" i="1"/>
  <c r="AA19" i="1"/>
  <c r="Z18" i="1"/>
  <c r="AA18" i="1"/>
  <c r="Z17" i="1"/>
  <c r="AA17" i="1"/>
  <c r="Z16" i="1"/>
  <c r="AA16" i="1"/>
  <c r="Z15" i="1"/>
  <c r="AA15" i="1"/>
  <c r="Z14" i="1"/>
  <c r="AA14" i="1"/>
  <c r="Z13" i="1"/>
  <c r="AA13" i="1"/>
  <c r="Z12" i="1"/>
  <c r="AA12" i="1"/>
  <c r="Z11" i="1"/>
  <c r="AA11" i="1" s="1"/>
  <c r="Z10" i="1"/>
  <c r="AA10" i="1" s="1"/>
  <c r="Z9" i="1"/>
  <c r="AA9" i="1"/>
  <c r="Z8" i="1"/>
  <c r="AA8" i="1"/>
  <c r="Z7" i="1"/>
  <c r="AA7" i="1"/>
  <c r="Z6" i="1"/>
  <c r="AA6" i="1" s="1"/>
  <c r="Z5" i="1"/>
  <c r="AA5" i="1" s="1"/>
  <c r="Z4" i="1"/>
  <c r="AA4" i="1" s="1"/>
  <c r="Z3" i="1"/>
  <c r="AA3" i="1"/>
  <c r="B4" i="10"/>
  <c r="Z2" i="1"/>
  <c r="AA2" i="1" s="1"/>
  <c r="B6" i="10" l="1"/>
  <c r="B7" i="10" s="1"/>
</calcChain>
</file>

<file path=xl/sharedStrings.xml><?xml version="1.0" encoding="utf-8"?>
<sst xmlns="http://schemas.openxmlformats.org/spreadsheetml/2006/main" count="7570" uniqueCount="2212">
  <si>
    <t>ID</t>
  </si>
  <si>
    <t>CODIGO</t>
  </si>
  <si>
    <t>CATEGORIA</t>
  </si>
  <si>
    <t>SUBCATEGORIA</t>
  </si>
  <si>
    <t>MARCA</t>
  </si>
  <si>
    <t>PRODUCTO</t>
  </si>
  <si>
    <t>FRAGANCIA</t>
  </si>
  <si>
    <t>PRESENTACION</t>
  </si>
  <si>
    <t>NOMBRE FOTO</t>
  </si>
  <si>
    <t>COSTO</t>
  </si>
  <si>
    <t>% MARGEN</t>
  </si>
  <si>
    <t>PRECIO VENTA</t>
  </si>
  <si>
    <t>STOCK</t>
  </si>
  <si>
    <t>STOCK MINIMO</t>
  </si>
  <si>
    <t>ESTADO</t>
  </si>
  <si>
    <t>DESTACADO</t>
  </si>
  <si>
    <t>SLUG</t>
  </si>
  <si>
    <t>DESCRIPCION</t>
  </si>
  <si>
    <t>CARACTERISTICAS</t>
  </si>
  <si>
    <t>EMPAQUE/PRODUCTO</t>
  </si>
  <si>
    <t>VIÁTICO PRORRATEADO</t>
  </si>
  <si>
    <t>SUBSIDIO ENVÍO PRORR.</t>
  </si>
  <si>
    <t>COMISIÓN COBRO</t>
  </si>
  <si>
    <t>MARGEN BRUTO OBJ.</t>
  </si>
  <si>
    <t>PRECIO VENTA AJUSTADO</t>
  </si>
  <si>
    <t>GANANCIA BRUTA EST.</t>
  </si>
  <si>
    <t>MARGEN BRUTO EST.</t>
  </si>
  <si>
    <t>GRUPO</t>
  </si>
  <si>
    <t>VARIANTE</t>
  </si>
  <si>
    <t>001</t>
  </si>
  <si>
    <t>CLO001</t>
  </si>
  <si>
    <t>🚽 Baño</t>
  </si>
  <si>
    <t>Lavandina</t>
  </si>
  <si>
    <t>bethel</t>
  </si>
  <si>
    <t>Lavandina al 4%</t>
  </si>
  <si>
    <t>sin frangancia</t>
  </si>
  <si>
    <t>5 litros</t>
  </si>
  <si>
    <t>CLO001.jpg</t>
  </si>
  <si>
    <t>Activo</t>
  </si>
  <si>
    <t>NO</t>
  </si>
  <si>
    <t>Lavandina al 4%. Presentación: 5 litros.</t>
  </si>
  <si>
    <t>Lavandina. Elimina suciedad y gérmenes en inodoros, azulejos y superficies del baño, dejando un aroma agradable.</t>
  </si>
  <si>
    <t>002</t>
  </si>
  <si>
    <t>DET001</t>
  </si>
  <si>
    <t>🍽️ Cocina</t>
  </si>
  <si>
    <t>Detergente concentrado</t>
  </si>
  <si>
    <t>Detergente 30%</t>
  </si>
  <si>
    <t>DET001.jpg</t>
  </si>
  <si>
    <t>Detergente 30%. Presentación: 5 litros.</t>
  </si>
  <si>
    <t>Detergente concentrado. Ideal para desengrasar y limpiar utensilios, vajilla y superficies de cocina de forma rápida y efectiva.</t>
  </si>
  <si>
    <t>003</t>
  </si>
  <si>
    <t>LVA001</t>
  </si>
  <si>
    <t>Detergente listo para usar</t>
  </si>
  <si>
    <t>Detergente Magistral listo para usar</t>
  </si>
  <si>
    <t>LVA001.jpg</t>
  </si>
  <si>
    <t>Detergente Magistral listo para usar. Presentación: 5 litros.</t>
  </si>
  <si>
    <t>Detergente listo para usar. Ideal para desengrasar y limpiar utensilios, vajilla y superficies de cocina de forma rápida y efectiva.</t>
  </si>
  <si>
    <t>004</t>
  </si>
  <si>
    <t>LVA002</t>
  </si>
  <si>
    <t>Lava-vajillas concentrado</t>
  </si>
  <si>
    <t>Lava-Vajillas Concentrado</t>
  </si>
  <si>
    <t>LVA002.jpg</t>
  </si>
  <si>
    <t>Lava-Vajillas Concentrado. Presentación: 5 litros.</t>
  </si>
  <si>
    <t>Lava-vajillas concentrado. Ideal para desengrasar y limpiar utensilios, vajilla y superficies de cocina de forma rápida y efectiva.</t>
  </si>
  <si>
    <t>005</t>
  </si>
  <si>
    <t>SUA001</t>
  </si>
  <si>
    <t>👕 Ropa y lavado</t>
  </si>
  <si>
    <t>Suavizante</t>
  </si>
  <si>
    <t>Suavizante Blanco por 5 litros</t>
  </si>
  <si>
    <t>color blanco premium</t>
  </si>
  <si>
    <t>SUA001.jpg</t>
  </si>
  <si>
    <t>Suavizante Blanco por 5 litros. Presentación: 5 litros. Fragancia: color blanco premium.</t>
  </si>
  <si>
    <t>Suavizante. Cuida las fibras de la ropa, suaviza y deja un aroma agradable y duradero en cada lavado.</t>
  </si>
  <si>
    <t>006</t>
  </si>
  <si>
    <t>SUA002</t>
  </si>
  <si>
    <t>Tradicional</t>
  </si>
  <si>
    <t>Suavizante listo para usar</t>
  </si>
  <si>
    <t>color celeste economico</t>
  </si>
  <si>
    <t>SUA002.jpg</t>
  </si>
  <si>
    <t>Suavizante listo para usar. Presentación: 5 litros. Fragancia: color celeste economico.</t>
  </si>
  <si>
    <t>Tradicional. Cuida las fibras de la ropa, suaviza y deja un aroma agradable y duradero en cada lavado.</t>
  </si>
  <si>
    <t>007</t>
  </si>
  <si>
    <t>JBP001</t>
  </si>
  <si>
    <t>granby</t>
  </si>
  <si>
    <t>Jabon en polvo</t>
  </si>
  <si>
    <t>20 kg</t>
  </si>
  <si>
    <t>JBP001.jpg</t>
  </si>
  <si>
    <t>Jabon en polvo. Presentación: 20 kg. Marca granby.</t>
  </si>
  <si>
    <t>008</t>
  </si>
  <si>
    <t>PFA001</t>
  </si>
  <si>
    <t>🌸 Aromas y fragancias</t>
  </si>
  <si>
    <t>Perfumes para ropa</t>
  </si>
  <si>
    <t>Perfume aromatico de base en agua</t>
  </si>
  <si>
    <t>1056, algodón, arpege, bazzu, bebe, c.h.242 , coco, uva, flores blancas, caricias, confy, limon, melon, premium, sandia/frambuesa , softy, ultra, comiglio, vainilla, vivex, flores silvestres, chocolate</t>
  </si>
  <si>
    <t>1 litros</t>
  </si>
  <si>
    <t>PFA001.jpg</t>
  </si>
  <si>
    <t>Perfume aromatico de base en agua. Presentación: 1 litros.</t>
  </si>
  <si>
    <t>Perfumes para ropa. Perfuma ambientes y textiles con una fragancia agradable y duradera, ideal para dejar todo con olor a limpio. Disponible en múltiples fragancias a elección.</t>
  </si>
  <si>
    <t>009</t>
  </si>
  <si>
    <t>PFA002</t>
  </si>
  <si>
    <t>Perfume aromatico de base en alcohol</t>
  </si>
  <si>
    <t>PFA002.jpg</t>
  </si>
  <si>
    <t>Perfume aromatico de base en alcohol. Presentación: 5 litros.</t>
  </si>
  <si>
    <t>010</t>
  </si>
  <si>
    <t>DES001</t>
  </si>
  <si>
    <t>🦠 Desinfección y limpieza</t>
  </si>
  <si>
    <t>Desengrasantes</t>
  </si>
  <si>
    <t>Desengrasante industrial</t>
  </si>
  <si>
    <t>DES001.jpg</t>
  </si>
  <si>
    <t>Desengrasante industrial. Presentación: 5 litros.</t>
  </si>
  <si>
    <t>Desengrasantes. Elimina bacterias y gérmenes, desinfectando a fondo superficies del hogar, comercios e industrias.</t>
  </si>
  <si>
    <t>011</t>
  </si>
  <si>
    <t>DES002</t>
  </si>
  <si>
    <t>Desengrasante lavamotor</t>
  </si>
  <si>
    <t>DES002.jpg</t>
  </si>
  <si>
    <t>Desengrasante lavamotor. Presentación: 5 litros.</t>
  </si>
  <si>
    <t>012</t>
  </si>
  <si>
    <t>DES003</t>
  </si>
  <si>
    <t>Desengrasante multi usos</t>
  </si>
  <si>
    <t>DES003.jpg</t>
  </si>
  <si>
    <t>Desengrasante multi usos. Presentación: 5 litros.</t>
  </si>
  <si>
    <t>013</t>
  </si>
  <si>
    <t>DES004</t>
  </si>
  <si>
    <t>Desengrasante quima manchas</t>
  </si>
  <si>
    <t>DES004.jpg</t>
  </si>
  <si>
    <t>Desengrasante quima manchas. Presentación: 5 litros.</t>
  </si>
  <si>
    <t>014</t>
  </si>
  <si>
    <t>DES005</t>
  </si>
  <si>
    <t>Desengrasante limpiador cremoso</t>
  </si>
  <si>
    <t>DES005.jpg</t>
  </si>
  <si>
    <t>Desengrasante limpiador cremoso. Presentación: 5 litros.</t>
  </si>
  <si>
    <t>015</t>
  </si>
  <si>
    <t>RJR001</t>
  </si>
  <si>
    <t>🧰 Accesorios y equipamiento</t>
  </si>
  <si>
    <t>Rejillas y repasadores</t>
  </si>
  <si>
    <t>Franela 40x50</t>
  </si>
  <si>
    <t>1 unidad</t>
  </si>
  <si>
    <t>RJR001.jpg</t>
  </si>
  <si>
    <t>Franela 40x50. Presentación: 1 unidad.</t>
  </si>
  <si>
    <t>Rejillas y repasadores. Accesorio resistente y práctico, pensado para facilitar las tareas de limpieza del hogar.</t>
  </si>
  <si>
    <t>016</t>
  </si>
  <si>
    <t>RJR002</t>
  </si>
  <si>
    <t>Rejilla de cocina</t>
  </si>
  <si>
    <t>RJR002.jpg</t>
  </si>
  <si>
    <t>Rejilla de cocina. Presentación: 1 unidad.</t>
  </si>
  <si>
    <t>017</t>
  </si>
  <si>
    <t>RJR003</t>
  </si>
  <si>
    <t>Rejilla tipo americana</t>
  </si>
  <si>
    <t>RJR003.jpg</t>
  </si>
  <si>
    <t>Rejilla tipo americana. Presentación: 1 unidad.</t>
  </si>
  <si>
    <t>018</t>
  </si>
  <si>
    <t>RJR004</t>
  </si>
  <si>
    <t>Rejilla de auto</t>
  </si>
  <si>
    <t>RJR004.jpg</t>
  </si>
  <si>
    <t>Rejilla de auto. Presentación: 1 unidad.</t>
  </si>
  <si>
    <t>RJR-AUTO</t>
  </si>
  <si>
    <t>SIMPLE</t>
  </si>
  <si>
    <t>019</t>
  </si>
  <si>
    <t>RJR005</t>
  </si>
  <si>
    <t>Rejilla de pabilo</t>
  </si>
  <si>
    <t>RJR005.jpg</t>
  </si>
  <si>
    <t>Rejilla de pabilo. Presentación: 1 unidad.</t>
  </si>
  <si>
    <t>020</t>
  </si>
  <si>
    <t>RJR006</t>
  </si>
  <si>
    <t>RJR006.jpg</t>
  </si>
  <si>
    <t>DOBLE</t>
  </si>
  <si>
    <t>021</t>
  </si>
  <si>
    <t>RJR007</t>
  </si>
  <si>
    <t>RJR007.jpg</t>
  </si>
  <si>
    <t>TRIPLE</t>
  </si>
  <si>
    <t>022</t>
  </si>
  <si>
    <t>RJR008</t>
  </si>
  <si>
    <t>Rejilla cocina</t>
  </si>
  <si>
    <t>RJR008.jpg</t>
  </si>
  <si>
    <t>Rejilla cocina. Presentación: 1 unidad.</t>
  </si>
  <si>
    <t>RJR-COCINA</t>
  </si>
  <si>
    <t>023</t>
  </si>
  <si>
    <t>RJR009</t>
  </si>
  <si>
    <t>Kide</t>
  </si>
  <si>
    <t>RJR009.jpg</t>
  </si>
  <si>
    <t>Rejilla cocina. Presentación: 1 unidad. Marca Kide.</t>
  </si>
  <si>
    <t>024</t>
  </si>
  <si>
    <t>RJR010</t>
  </si>
  <si>
    <t>Rejilla pabilo</t>
  </si>
  <si>
    <t>RJR010.jpg</t>
  </si>
  <si>
    <t>RJR011</t>
  </si>
  <si>
    <t>Rejilla pabilo. Presentación: 1 unidad.</t>
  </si>
  <si>
    <t>025</t>
  </si>
  <si>
    <t>RJR011.jpg</t>
  </si>
  <si>
    <t>RJR012</t>
  </si>
  <si>
    <t>026</t>
  </si>
  <si>
    <t>RJR012.jpg</t>
  </si>
  <si>
    <t>RJR013</t>
  </si>
  <si>
    <t>027</t>
  </si>
  <si>
    <t>Repasador</t>
  </si>
  <si>
    <t>RJR013.jpg</t>
  </si>
  <si>
    <t>RJR014</t>
  </si>
  <si>
    <t>Repasador. Presentación: 1 unidad.</t>
  </si>
  <si>
    <t>028</t>
  </si>
  <si>
    <t>RJR014.jpg</t>
  </si>
  <si>
    <t>029</t>
  </si>
  <si>
    <t>RJR015</t>
  </si>
  <si>
    <t>Paño amarillo para piso</t>
  </si>
  <si>
    <t>RJR015.jpg</t>
  </si>
  <si>
    <t>Paño amarillo para piso. Presentación: 1 unidad.</t>
  </si>
  <si>
    <t>030</t>
  </si>
  <si>
    <t>TDP001</t>
  </si>
  <si>
    <t>Trapos de piso</t>
  </si>
  <si>
    <t>Trapo de piso blanco</t>
  </si>
  <si>
    <t>TDP001.jpg</t>
  </si>
  <si>
    <t>Trapo de piso blanco. Presentación: 1 unidad.</t>
  </si>
  <si>
    <t>Trapos de piso. Accesorio resistente y práctico, pensado para facilitar las tareas de limpieza del hogar.</t>
  </si>
  <si>
    <t>031</t>
  </si>
  <si>
    <t>TDP002</t>
  </si>
  <si>
    <t>Trapo de piso gris</t>
  </si>
  <si>
    <t>TDP002.jpg</t>
  </si>
  <si>
    <t>Trapo de piso gris. Presentación: 1 unidad.</t>
  </si>
  <si>
    <t>032</t>
  </si>
  <si>
    <t>TDP003</t>
  </si>
  <si>
    <t>mr trappo</t>
  </si>
  <si>
    <t>Trapo de piso costurado</t>
  </si>
  <si>
    <t>TDP003.jpg</t>
  </si>
  <si>
    <t>Trapo de piso costurado. Presentación: 1 unidad. Marca mr trappo.</t>
  </si>
  <si>
    <t>TDP-COSTURADO</t>
  </si>
  <si>
    <t>033</t>
  </si>
  <si>
    <t>TDP004</t>
  </si>
  <si>
    <t>Fibran</t>
  </si>
  <si>
    <t>TDP004.jpg</t>
  </si>
  <si>
    <t>Trapo de piso costurado. Presentación: 1 unidad. Marca Fibran.</t>
  </si>
  <si>
    <t>034</t>
  </si>
  <si>
    <t>TDP005</t>
  </si>
  <si>
    <t>Trapo de piso nido de abeja</t>
  </si>
  <si>
    <t>TDP005.jpg</t>
  </si>
  <si>
    <t>Trapo de piso nido de abeja. Presentación: 1 unidad.</t>
  </si>
  <si>
    <t>035</t>
  </si>
  <si>
    <t>TDP006</t>
  </si>
  <si>
    <t>Trapo de piso nido de abeja economico</t>
  </si>
  <si>
    <t>TDP006.jpg</t>
  </si>
  <si>
    <t>Inactivo</t>
  </si>
  <si>
    <t>Trapo de piso nido de abeja economico. Presentación: 1 unidad.</t>
  </si>
  <si>
    <t>036</t>
  </si>
  <si>
    <t>TDP007</t>
  </si>
  <si>
    <t>consorcio</t>
  </si>
  <si>
    <t>Trapo de piso rayado</t>
  </si>
  <si>
    <t>TDP007.jpg</t>
  </si>
  <si>
    <t>Trapo de piso rayado. Presentación: 1 unidad. Marca consorcio.</t>
  </si>
  <si>
    <t>037</t>
  </si>
  <si>
    <t>TDP008</t>
  </si>
  <si>
    <t>TDP008.jpg</t>
  </si>
  <si>
    <t>Trapo de piso rayado. Presentación: 1 unidad.</t>
  </si>
  <si>
    <t>038</t>
  </si>
  <si>
    <t>EYE001</t>
  </si>
  <si>
    <t>Escobas y escobillones</t>
  </si>
  <si>
    <t>Escoba Anden de 40 cm</t>
  </si>
  <si>
    <t>EYE001.jpg</t>
  </si>
  <si>
    <t>Escoba Anden de 40 cm. Presentación: 1 unidad.</t>
  </si>
  <si>
    <t>Escobas y escobillones. Accesorio resistente y práctico, pensado para facilitar las tareas de limpieza del hogar.</t>
  </si>
  <si>
    <t>EYE-ANDEN</t>
  </si>
  <si>
    <t>40 CM</t>
  </si>
  <si>
    <t>039</t>
  </si>
  <si>
    <t>EYE002</t>
  </si>
  <si>
    <t>Escoba Anden de 60 cm</t>
  </si>
  <si>
    <t>EYE002.jpg</t>
  </si>
  <si>
    <t>Escoba Anden de 60 cm. Presentación: 1 unidad.</t>
  </si>
  <si>
    <t>60 CM</t>
  </si>
  <si>
    <t>040</t>
  </si>
  <si>
    <t>EYE003</t>
  </si>
  <si>
    <t>Escoba Anden de 80 cm</t>
  </si>
  <si>
    <t>EYE003.jpg</t>
  </si>
  <si>
    <t>Escoba Anden de 80 cm. Presentación: 1 unidad.</t>
  </si>
  <si>
    <t>80 CM</t>
  </si>
  <si>
    <t>041</t>
  </si>
  <si>
    <t>EYE004</t>
  </si>
  <si>
    <t>Escoba Anden de 100 cm</t>
  </si>
  <si>
    <t>EYE004.jpg</t>
  </si>
  <si>
    <t>Escoba Anden de 100 cm. Presentación: 1 unidad.</t>
  </si>
  <si>
    <t>100 CM</t>
  </si>
  <si>
    <t>042</t>
  </si>
  <si>
    <t>EYE005</t>
  </si>
  <si>
    <t>Escoba Anden de 60 cm barregrueso</t>
  </si>
  <si>
    <t>EYE005.jpg</t>
  </si>
  <si>
    <t>Escoba Anden de 60 cm barregrueso. Presentación: 1 unidad.</t>
  </si>
  <si>
    <t>043</t>
  </si>
  <si>
    <t>EYE006</t>
  </si>
  <si>
    <t>Escobillon Barrendero Economico</t>
  </si>
  <si>
    <t>EYE006.jpg</t>
  </si>
  <si>
    <t>Escobillon Barrendero Economico. Presentación: 1 unidad.</t>
  </si>
  <si>
    <t>044</t>
  </si>
  <si>
    <t>EYE007</t>
  </si>
  <si>
    <t>Escoba tipo barredor de 35 cm</t>
  </si>
  <si>
    <t>EYE007.jpg</t>
  </si>
  <si>
    <t>Escoba tipo barredor de 35 cm. Presentación: 1 unidad.</t>
  </si>
  <si>
    <t>EYE-BARREDOR</t>
  </si>
  <si>
    <t>35 CM</t>
  </si>
  <si>
    <t>045</t>
  </si>
  <si>
    <t>EYE008</t>
  </si>
  <si>
    <t>Escoba tipo barredor de 60 cm</t>
  </si>
  <si>
    <t>EYE008.jpg</t>
  </si>
  <si>
    <t>Escoba tipo barredor de 60 cm. Presentación: 1 unidad.</t>
  </si>
  <si>
    <t>046</t>
  </si>
  <si>
    <t>EYE009</t>
  </si>
  <si>
    <t>Escoba tipo barredor de 80 cm</t>
  </si>
  <si>
    <t>EYE009.jpg</t>
  </si>
  <si>
    <t>Escoba tipo barredor de 80 cm. Presentación: 1 unidad.</t>
  </si>
  <si>
    <t>047</t>
  </si>
  <si>
    <t>EYE010</t>
  </si>
  <si>
    <t>Escoba tipo barredor de 100 cm</t>
  </si>
  <si>
    <t>EYE010.jpg</t>
  </si>
  <si>
    <t>Escoba tipo barredor de 100 cm. Presentación: 1 unidad.</t>
  </si>
  <si>
    <t>048</t>
  </si>
  <si>
    <t>EYE011</t>
  </si>
  <si>
    <t>Barre Hojas Comun</t>
  </si>
  <si>
    <t>EYE011.jpg</t>
  </si>
  <si>
    <t>Barre Hojas Comun. Presentación: 1 unidad.</t>
  </si>
  <si>
    <t>049</t>
  </si>
  <si>
    <t>EYE012</t>
  </si>
  <si>
    <t>Barre Hojas Profesional</t>
  </si>
  <si>
    <t>EYE012.jpg</t>
  </si>
  <si>
    <t>Barre Hojas Profesional. Presentación: 1 unidad.</t>
  </si>
  <si>
    <t>050</t>
  </si>
  <si>
    <t>EYE013</t>
  </si>
  <si>
    <t>Escoba de tipo 6 hilos</t>
  </si>
  <si>
    <t>EYE013.jpg</t>
  </si>
  <si>
    <t>Escoba de tipo 6 hilos. Presentación: 1 unidad.</t>
  </si>
  <si>
    <t>051</t>
  </si>
  <si>
    <t>EYE014</t>
  </si>
  <si>
    <t>Escoba de tipo Americana</t>
  </si>
  <si>
    <t>EYE014.jpg</t>
  </si>
  <si>
    <t>Escoba de tipo Americana. Presentación: 1 unidad.</t>
  </si>
  <si>
    <t>052</t>
  </si>
  <si>
    <t>EYE015</t>
  </si>
  <si>
    <t>Escoba de tipo Capuchina</t>
  </si>
  <si>
    <t>EYE015.jpg</t>
  </si>
  <si>
    <t>Escoba de tipo Capuchina. Presentación: 1 unidad.</t>
  </si>
  <si>
    <t>053</t>
  </si>
  <si>
    <t>EYE016</t>
  </si>
  <si>
    <t>Escoba de tipo Barregrueso</t>
  </si>
  <si>
    <t>EYE016.jpg</t>
  </si>
  <si>
    <t>Escoba de tipo Barregrueso. Presentación: 1 unidad.</t>
  </si>
  <si>
    <t>054</t>
  </si>
  <si>
    <t>EYE017</t>
  </si>
  <si>
    <t>Escobillon de tipo liso de Cerda</t>
  </si>
  <si>
    <t>EYE017.jpg</t>
  </si>
  <si>
    <t>Escobillon de tipo liso de Cerda. Presentación: 1 unidad.</t>
  </si>
  <si>
    <t>055</t>
  </si>
  <si>
    <t>EYE018</t>
  </si>
  <si>
    <t>Escoba de tipo Galponera</t>
  </si>
  <si>
    <t>EYE018.jpg</t>
  </si>
  <si>
    <t>Escoba de tipo Galponera. Presentación: 1 unidad.</t>
  </si>
  <si>
    <t>056</t>
  </si>
  <si>
    <t>EYE019</t>
  </si>
  <si>
    <t>Rey Laqueado</t>
  </si>
  <si>
    <t>Escobillon Rey Laqueado</t>
  </si>
  <si>
    <t>EYE019.jpg</t>
  </si>
  <si>
    <t>Escobillon Rey Laqueado. Presentación: 1 unidad. Marca Rey Laqueado.</t>
  </si>
  <si>
    <t>057</t>
  </si>
  <si>
    <t>EYE020</t>
  </si>
  <si>
    <t>Escobillon tipo princesa laqueado</t>
  </si>
  <si>
    <t>EYE020.jpg</t>
  </si>
  <si>
    <t>Escobillon tipo princesa laqueado. Presentación: 1 unidad.</t>
  </si>
  <si>
    <t>058</t>
  </si>
  <si>
    <t>EYE021</t>
  </si>
  <si>
    <t>Escobillon tipo barregrueso economico</t>
  </si>
  <si>
    <t>EYE021.jpg</t>
  </si>
  <si>
    <t>Escobillon tipo barregrueso economico. Presentación: 1 unidad.</t>
  </si>
  <si>
    <t>059</t>
  </si>
  <si>
    <t>EYE022</t>
  </si>
  <si>
    <t>Escobillon tipo barregrueso salzano</t>
  </si>
  <si>
    <t>EYE022.jpg</t>
  </si>
  <si>
    <t>Escobillon tipo barregrueso salzano. Presentación: 1 unidad.</t>
  </si>
  <si>
    <t>060</t>
  </si>
  <si>
    <t>EYE023</t>
  </si>
  <si>
    <t>Escobillon de tipo gondola</t>
  </si>
  <si>
    <t>EYE023.jpg</t>
  </si>
  <si>
    <t>Escobillon de tipo gondola. Presentación: 1 unidad.</t>
  </si>
  <si>
    <t>061</t>
  </si>
  <si>
    <t>EYE024</t>
  </si>
  <si>
    <t>Escobillon de tipo Barrendero Salzano</t>
  </si>
  <si>
    <t>EYE024.jpg</t>
  </si>
  <si>
    <t>Escobillon de tipo Barrendero Salzano. Presentación: 1 unidad.</t>
  </si>
  <si>
    <t>062</t>
  </si>
  <si>
    <t>EYE025</t>
  </si>
  <si>
    <t>Escobillon bigote (cerda) Salzano</t>
  </si>
  <si>
    <t>EYE025.jpg</t>
  </si>
  <si>
    <t>Escobillon bigote (cerda) Salzano. Presentación: 1 unidad.</t>
  </si>
  <si>
    <t>063</t>
  </si>
  <si>
    <t>EYE026</t>
  </si>
  <si>
    <t>Escobillon de tipo golf</t>
  </si>
  <si>
    <t>EYE026.jpg</t>
  </si>
  <si>
    <t>Escobillon de tipo golf. Presentación: 1 unidad.</t>
  </si>
  <si>
    <t>064</t>
  </si>
  <si>
    <t>EYE027</t>
  </si>
  <si>
    <t>Escobillon Italia Salzano</t>
  </si>
  <si>
    <t>EYE027.jpg</t>
  </si>
  <si>
    <t>Escobillon Italia Salzano. Presentación: 1 unidad.</t>
  </si>
  <si>
    <t>065</t>
  </si>
  <si>
    <t>EYE028</t>
  </si>
  <si>
    <t>Escobillon Martina Salzano</t>
  </si>
  <si>
    <t>EYE028.jpg</t>
  </si>
  <si>
    <t>Escobillon Martina Salzano. Presentación: 1 unidad.</t>
  </si>
  <si>
    <t>066</t>
  </si>
  <si>
    <t>EYE029</t>
  </si>
  <si>
    <t>Escobillon Super Gondola</t>
  </si>
  <si>
    <t>EYE029.jpg</t>
  </si>
  <si>
    <t>Escobillon Super Gondola. Presentación: 1 unidad.</t>
  </si>
  <si>
    <t>067</t>
  </si>
  <si>
    <t>EYE030</t>
  </si>
  <si>
    <t>Escobillon Super Panda</t>
  </si>
  <si>
    <t>EYE030.jpg</t>
  </si>
  <si>
    <t>Escobillon Super Panda. Presentación: 1 unidad.</t>
  </si>
  <si>
    <t>068</t>
  </si>
  <si>
    <t>EYE031</t>
  </si>
  <si>
    <t>Escobillon Venecia Salzano</t>
  </si>
  <si>
    <t>EYE031.jpg</t>
  </si>
  <si>
    <t>Escobillon Venecia Salzano. Presentación: 1 unidad.</t>
  </si>
  <si>
    <t>069</t>
  </si>
  <si>
    <t>EYE032</t>
  </si>
  <si>
    <t>Globo de Techo Make</t>
  </si>
  <si>
    <t>EYE032.jpg</t>
  </si>
  <si>
    <t>Globo de Techo Make. Presentación: 1 unidad.</t>
  </si>
  <si>
    <t>070</t>
  </si>
  <si>
    <t>EYE033</t>
  </si>
  <si>
    <t>Globo de Techo Punky</t>
  </si>
  <si>
    <t>EYE033.jpg</t>
  </si>
  <si>
    <t>Globo de Techo Punky. Presentación: 1 unidad.</t>
  </si>
  <si>
    <t>071</t>
  </si>
  <si>
    <t>EYE034</t>
  </si>
  <si>
    <t>Repuesto barredor</t>
  </si>
  <si>
    <t>EYE034.jpg</t>
  </si>
  <si>
    <t>Repuesto barredor. Presentación: 1 unidad.</t>
  </si>
  <si>
    <t>072</t>
  </si>
  <si>
    <t>EYE035</t>
  </si>
  <si>
    <t>EYE035.jpg</t>
  </si>
  <si>
    <t>073</t>
  </si>
  <si>
    <t>EYE036</t>
  </si>
  <si>
    <t>EYE036.jpg</t>
  </si>
  <si>
    <t>074</t>
  </si>
  <si>
    <t>EYE037</t>
  </si>
  <si>
    <t>EYE037.jpg</t>
  </si>
  <si>
    <t>075</t>
  </si>
  <si>
    <t>EYE038</t>
  </si>
  <si>
    <t>Quita Pelusa Make</t>
  </si>
  <si>
    <t>EYE038.jpg</t>
  </si>
  <si>
    <t>Quita Pelusa Make. Presentación: 1 unidad.</t>
  </si>
  <si>
    <t>076</t>
  </si>
  <si>
    <t>AUT001</t>
  </si>
  <si>
    <t>🚗 Automotor</t>
  </si>
  <si>
    <t>Bruja</t>
  </si>
  <si>
    <t>Limpiador Tipo "Bruja"</t>
  </si>
  <si>
    <t>AUT001.jpg</t>
  </si>
  <si>
    <t>Limpiador Tipo "Bruja". Presentación: 1 unidad.</t>
  </si>
  <si>
    <t>Bruja. Cuida y da brillo a las superficies del vehículo, prolongando su buen aspecto.</t>
  </si>
  <si>
    <t>077</t>
  </si>
  <si>
    <t>AUT002</t>
  </si>
  <si>
    <t>Esponja</t>
  </si>
  <si>
    <t>Esponja para auto</t>
  </si>
  <si>
    <t>AUT002.jpg</t>
  </si>
  <si>
    <t>Esponja para auto. Presentación: 1 unidad.</t>
  </si>
  <si>
    <t>Esponja. Cuida y da brillo a las superficies del vehículo, prolongando su buen aspecto.</t>
  </si>
  <si>
    <t>078</t>
  </si>
  <si>
    <t>AUT003</t>
  </si>
  <si>
    <t>Silicona</t>
  </si>
  <si>
    <t>Silicona para auto por litro</t>
  </si>
  <si>
    <t>AUT003.jpg</t>
  </si>
  <si>
    <t>Silicona para auto por litro. Presentación: 1 unidad.</t>
  </si>
  <si>
    <t>Silicona. Cuida y da brillo a las superficies del vehículo, prolongando su buen aspecto.</t>
  </si>
  <si>
    <t>079</t>
  </si>
  <si>
    <t>AUT004</t>
  </si>
  <si>
    <t>Silicona en Aerosol</t>
  </si>
  <si>
    <t>Walker</t>
  </si>
  <si>
    <t>Black</t>
  </si>
  <si>
    <t>AUT004.jpg</t>
  </si>
  <si>
    <t>Silicona en Aerosol. Presentación: 1 unidad. Marca Walker. Fragancia: Black.</t>
  </si>
  <si>
    <t>Silicona en Aerosol. Cuida y da brillo a las superficies del vehículo, prolongando su buen aspecto.</t>
  </si>
  <si>
    <t>AUT-SILICONA-AEROSOL</t>
  </si>
  <si>
    <t>080</t>
  </si>
  <si>
    <t>AUT005</t>
  </si>
  <si>
    <t>Carolina Herrera</t>
  </si>
  <si>
    <t>AUT005.jpg</t>
  </si>
  <si>
    <t>Silicona en Aerosol. Presentación: 1 unidad. Marca Walker. Fragancia: Carolina Herrera.</t>
  </si>
  <si>
    <t>081</t>
  </si>
  <si>
    <t>AUT006</t>
  </si>
  <si>
    <t>Frutilla</t>
  </si>
  <si>
    <t>AUT006.jpg</t>
  </si>
  <si>
    <t>Silicona en Aerosol. Presentación: 1 unidad. Marca Walker. Fragancia: Frutilla.</t>
  </si>
  <si>
    <t>082</t>
  </si>
  <si>
    <t>AUT007</t>
  </si>
  <si>
    <t>Kenzo</t>
  </si>
  <si>
    <t>AUT007.jpg</t>
  </si>
  <si>
    <t>Silicona en Aerosol. Presentación: 1 unidad. Marca Walker. Fragancia: Kenzo.</t>
  </si>
  <si>
    <t>083</t>
  </si>
  <si>
    <t>AUT008</t>
  </si>
  <si>
    <t>Lavanda</t>
  </si>
  <si>
    <t>AUT008.jpg</t>
  </si>
  <si>
    <t>Silicona en Aerosol. Presentación: 1 unidad. Marca Walker. Fragancia: Lavanda.</t>
  </si>
  <si>
    <t>084</t>
  </si>
  <si>
    <t>AUT009</t>
  </si>
  <si>
    <t>One Million</t>
  </si>
  <si>
    <t>AUT009.jpg</t>
  </si>
  <si>
    <t>Silicona en Aerosol. Presentación: 1 unidad. Marca Walker. Fragancia: One Million.</t>
  </si>
  <si>
    <t>085</t>
  </si>
  <si>
    <t>AUT010</t>
  </si>
  <si>
    <t>Paco rabanne</t>
  </si>
  <si>
    <t>AUT010.jpg</t>
  </si>
  <si>
    <t>Silicona en Aerosol. Presentación: 1 unidad. Marca Walker. Fragancia: Paco rabanne.</t>
  </si>
  <si>
    <t>086</t>
  </si>
  <si>
    <t>AUT011</t>
  </si>
  <si>
    <t>Sensual</t>
  </si>
  <si>
    <t>AUT011.jpg</t>
  </si>
  <si>
    <t>Silicona en Aerosol. Presentación: 1 unidad. Marca Walker. Fragancia: Sensual.</t>
  </si>
  <si>
    <t>087</t>
  </si>
  <si>
    <t>AUT012</t>
  </si>
  <si>
    <t>Vainilla</t>
  </si>
  <si>
    <t>AUT012.jpg</t>
  </si>
  <si>
    <t>Silicona en Aerosol. Presentación: 1 unidad. Marca Walker. Fragancia: Vainilla.</t>
  </si>
  <si>
    <t>088</t>
  </si>
  <si>
    <t>AUT013</t>
  </si>
  <si>
    <t>Shampoo Siliconado</t>
  </si>
  <si>
    <t>Shampoo Siliconado por litro</t>
  </si>
  <si>
    <t>AUT013.jpg</t>
  </si>
  <si>
    <t>Shampoo Siliconado por litro. Presentación: 1 unidad.</t>
  </si>
  <si>
    <t>Shampoo Siliconado. Cuida y da brillo a las superficies del vehículo, prolongando su buen aspecto.</t>
  </si>
  <si>
    <t>089</t>
  </si>
  <si>
    <t>AUT014</t>
  </si>
  <si>
    <t>Mini Lata Walker</t>
  </si>
  <si>
    <t>Mini Lata Walker para auto</t>
  </si>
  <si>
    <t>universal</t>
  </si>
  <si>
    <t>AUT014.jpg</t>
  </si>
  <si>
    <t>Mini Lata Walker para auto. Presentación: 1 unidad. Marca Walker. Fragancia: universal.</t>
  </si>
  <si>
    <t>Mini Lata Walker. Cuida y da brillo a las superficies del vehículo, prolongando su buen aspecto.</t>
  </si>
  <si>
    <t>090</t>
  </si>
  <si>
    <t>AUT015</t>
  </si>
  <si>
    <t>Perfume en Lata Walker</t>
  </si>
  <si>
    <t>AUT015.jpg</t>
  </si>
  <si>
    <t>Perfume en Lata Walker. Presentación: 1 unidad. Marca Walker. Fragancia: Black.</t>
  </si>
  <si>
    <t>Perfume en Lata Walker. Cuida y da brillo a las superficies del vehículo, prolongando su buen aspecto.</t>
  </si>
  <si>
    <t>AUT-PERFUME-LATA</t>
  </si>
  <si>
    <t>091</t>
  </si>
  <si>
    <t>AUT016</t>
  </si>
  <si>
    <t>AUT016.jpg</t>
  </si>
  <si>
    <t>Perfume en Lata Walker. Presentación: 1 unidad. Marca Walker. Fragancia: Frutilla.</t>
  </si>
  <si>
    <t>092</t>
  </si>
  <si>
    <t>AUT017</t>
  </si>
  <si>
    <t>Limon</t>
  </si>
  <si>
    <t>AUT017.jpg</t>
  </si>
  <si>
    <t>Perfume en Lata Walker. Presentación: 1 unidad. Marca Walker. Fragancia: Limon.</t>
  </si>
  <si>
    <t>093</t>
  </si>
  <si>
    <t>AUT018</t>
  </si>
  <si>
    <t>AUT018.jpg</t>
  </si>
  <si>
    <t>Perfume en Lata Walker. Presentación: 1 unidad. Marca Walker. Fragancia: Vainilla.</t>
  </si>
  <si>
    <t>094</t>
  </si>
  <si>
    <t>AUT019</t>
  </si>
  <si>
    <t>Aqua</t>
  </si>
  <si>
    <t>AUT019.jpg</t>
  </si>
  <si>
    <t>Perfume en Lata Walker. Presentación: 1 unidad. Marca Walker. Fragancia: Aqua.</t>
  </si>
  <si>
    <t>095</t>
  </si>
  <si>
    <t>AUT020</t>
  </si>
  <si>
    <t>Cera</t>
  </si>
  <si>
    <t>Cera para auto por litro</t>
  </si>
  <si>
    <t>AUT020.jpg</t>
  </si>
  <si>
    <t>Cera para auto por litro. Presentación: 1 unidad.</t>
  </si>
  <si>
    <t>Cera. Cuida y da brillo a las superficies del vehículo, prolongando su buen aspecto.</t>
  </si>
  <si>
    <t>096</t>
  </si>
  <si>
    <t>AUT021</t>
  </si>
  <si>
    <t>Limpia Tapizado en Aerosol</t>
  </si>
  <si>
    <t>AUT021.jpg</t>
  </si>
  <si>
    <t>Limpia Tapizado en Aerosol. Presentación: 1 unidad. Marca Walker.</t>
  </si>
  <si>
    <t>Limpia Tapizado en Aerosol. Cuida y da brillo a las superficies del vehículo, prolongando su buen aspecto.</t>
  </si>
  <si>
    <t>097</t>
  </si>
  <si>
    <t>SHA001</t>
  </si>
  <si>
    <t>Jabón líquido de manos</t>
  </si>
  <si>
    <t>Shampoo para manos</t>
  </si>
  <si>
    <t>SHA001.png</t>
  </si>
  <si>
    <t>Shampoo para manos. Presentación: 1 unidad. Fragancia: Frutilla.</t>
  </si>
  <si>
    <t>Jabón líquido de manos. Elimina suciedad y gérmenes en inodoros, azulejos y superficies del baño, dejando un aroma agradable.</t>
  </si>
  <si>
    <t>098</t>
  </si>
  <si>
    <t>SHA002</t>
  </si>
  <si>
    <t>Shampoo para manos por 5 litros</t>
  </si>
  <si>
    <t>blanco</t>
  </si>
  <si>
    <t>SHA002.png</t>
  </si>
  <si>
    <t>Shampoo para manos por 5 litros. Presentación: 1 unidad. Fragancia: blanco.</t>
  </si>
  <si>
    <t>099</t>
  </si>
  <si>
    <t>SHA003</t>
  </si>
  <si>
    <t>vaini coco</t>
  </si>
  <si>
    <t>SHA003.png</t>
  </si>
  <si>
    <t>Shampoo para manos por 5 litros. Presentación: 1 unidad. Fragancia: vaini coco.</t>
  </si>
  <si>
    <t>100</t>
  </si>
  <si>
    <t>SHA004</t>
  </si>
  <si>
    <t>manzana</t>
  </si>
  <si>
    <t>SHA004.png</t>
  </si>
  <si>
    <t>Shampoo para manos por 5 litros. Presentación: 1 unidad. Fragancia: manzana.</t>
  </si>
  <si>
    <t>101</t>
  </si>
  <si>
    <t>SHA005</t>
  </si>
  <si>
    <t>uva</t>
  </si>
  <si>
    <t>SHA005.png</t>
  </si>
  <si>
    <t>Shampoo para manos por 5 litros. Presentación: 1 unidad. Fragancia: uva.</t>
  </si>
  <si>
    <t>102</t>
  </si>
  <si>
    <t>SHA006</t>
  </si>
  <si>
    <t>antibacterial</t>
  </si>
  <si>
    <t>SHA006.png</t>
  </si>
  <si>
    <t>Shampoo para manos por 5 litros. Presentación: 1 unidad. Fragancia: antibacterial.</t>
  </si>
  <si>
    <t>103</t>
  </si>
  <si>
    <t>DAV001</t>
  </si>
  <si>
    <t>Difusores aromáticos</t>
  </si>
  <si>
    <t>Saphirus</t>
  </si>
  <si>
    <t>Difusor Aromatico Saphirus por 50 CC</t>
  </si>
  <si>
    <t>vainilla</t>
  </si>
  <si>
    <t>DAV001.jpg</t>
  </si>
  <si>
    <t>Difusor Aromatico Saphirus por 50 CC. Presentación: 1 unidad. Marca Saphirus. Fragancia: vainilla.</t>
  </si>
  <si>
    <t>Difusores aromáticos. Perfuma ambientes y textiles con una fragancia agradable y duradera, ideal para dejar todo con olor a limpio.</t>
  </si>
  <si>
    <t>DAV-SIMPLE-DIFUSOR-SAPHIRUS</t>
  </si>
  <si>
    <t>104</t>
  </si>
  <si>
    <t>DAV002</t>
  </si>
  <si>
    <t>lavanda</t>
  </si>
  <si>
    <t>DAV002.jpg</t>
  </si>
  <si>
    <t>Difusor Aromatico Saphirus por 50 CC. Presentación: 1 unidad. Marca Saphirus. Fragancia: lavanda.</t>
  </si>
  <si>
    <t>105</t>
  </si>
  <si>
    <t>DAV003</t>
  </si>
  <si>
    <t>DAV003.jpg</t>
  </si>
  <si>
    <t>Difusor Aromatico Saphirus por 50 CC. Presentación: 1 unidad. Marca Saphirus. Fragancia: uva.</t>
  </si>
  <si>
    <t>106</t>
  </si>
  <si>
    <t>DAV004</t>
  </si>
  <si>
    <t>palito de la selva</t>
  </si>
  <si>
    <t>DAV004.jpg</t>
  </si>
  <si>
    <t>Difusor Aromatico Saphirus por 50 CC. Presentación: 1 unidad. Marca Saphirus. Fragancia: palito de la selva.</t>
  </si>
  <si>
    <t>107</t>
  </si>
  <si>
    <t>DAV005</t>
  </si>
  <si>
    <t>DAV005.jpg</t>
  </si>
  <si>
    <t>Difusor Aromatico Saphirus por 50 CC. Presentación: 1 unidad. Marca Saphirus. Fragancia: vaini coco.</t>
  </si>
  <si>
    <t>108</t>
  </si>
  <si>
    <t>DAV006</t>
  </si>
  <si>
    <t>coniglio</t>
  </si>
  <si>
    <t>DAV006.jpg</t>
  </si>
  <si>
    <t>Difusor Aromatico Saphirus por 50 CC. Presentación: 1 unidad. Marca Saphirus. Fragancia: coniglio.</t>
  </si>
  <si>
    <t>109</t>
  </si>
  <si>
    <t>DAV007</t>
  </si>
  <si>
    <t>limon</t>
  </si>
  <si>
    <t>DAV007.jpg</t>
  </si>
  <si>
    <t>Difusor Aromatico Saphirus por 50 CC. Presentación: 1 unidad. Marca Saphirus. Fragancia: limon.</t>
  </si>
  <si>
    <t>110</t>
  </si>
  <si>
    <t>DAV008</t>
  </si>
  <si>
    <t>coco</t>
  </si>
  <si>
    <t>DAV008.jpg</t>
  </si>
  <si>
    <t>Difusor Aromatico Saphirus por 50 CC. Presentación: 1 unidad. Marca Saphirus. Fragancia: coco.</t>
  </si>
  <si>
    <t>111</t>
  </si>
  <si>
    <t>DAV009</t>
  </si>
  <si>
    <t>frutilla</t>
  </si>
  <si>
    <t>DAV009.jpg</t>
  </si>
  <si>
    <t>Difusor Aromatico Saphirus por 50 CC. Presentación: 1 unidad. Marca Saphirus. Fragancia: frutilla.</t>
  </si>
  <si>
    <t>112</t>
  </si>
  <si>
    <t>DAV010</t>
  </si>
  <si>
    <t>j.baby</t>
  </si>
  <si>
    <t>DAV010.jpg</t>
  </si>
  <si>
    <t>Difusor Aromatico Saphirus por 50 CC. Presentación: 1 unidad. Marca Saphirus. Fragancia: j.baby.</t>
  </si>
  <si>
    <t>113</t>
  </si>
  <si>
    <t>DAV011</t>
  </si>
  <si>
    <t>papaya</t>
  </si>
  <si>
    <t>DAV011.jpg</t>
  </si>
  <si>
    <t>Difusor Aromatico Saphirus por 50 CC. Presentación: 1 unidad. Marca Saphirus. Fragancia: papaya.</t>
  </si>
  <si>
    <t>114</t>
  </si>
  <si>
    <t>DAV012</t>
  </si>
  <si>
    <t>flores blancas</t>
  </si>
  <si>
    <t>DAV012.jpg</t>
  </si>
  <si>
    <t>Difusor Aromatico Saphirus por 50 CC. Presentación: 1 unidad. Marca Saphirus. Fragancia: flores blancas.</t>
  </si>
  <si>
    <t>115</t>
  </si>
  <si>
    <t>DAV013</t>
  </si>
  <si>
    <t>citrus</t>
  </si>
  <si>
    <t>DAV013.jpg</t>
  </si>
  <si>
    <t>Difusor Aromatico Saphirus por 50 CC. Presentación: 1 unidad. Marca Saphirus. Fragancia: citrus.</t>
  </si>
  <si>
    <t>116</t>
  </si>
  <si>
    <t>DAV014</t>
  </si>
  <si>
    <t>jazmin</t>
  </si>
  <si>
    <t>DAV014.jpg</t>
  </si>
  <si>
    <t>Difusor Aromatico Saphirus por 50 CC. Presentación: 1 unidad. Marca Saphirus. Fragancia: jazmin.</t>
  </si>
  <si>
    <t>117</t>
  </si>
  <si>
    <t>DAV015</t>
  </si>
  <si>
    <t>Difusor Aromatico Saphirus por 120 CC</t>
  </si>
  <si>
    <t>DAV015.jpg</t>
  </si>
  <si>
    <t>Difusor Aromatico Saphirus por 120 CC. Presentación: 1 unidad. Marca Saphirus. Fragancia: vainilla.</t>
  </si>
  <si>
    <t>118</t>
  </si>
  <si>
    <t>DAV016</t>
  </si>
  <si>
    <t>DAV016.jpg</t>
  </si>
  <si>
    <t>Difusor Aromatico Saphirus por 120 CC. Presentación: 1 unidad. Marca Saphirus. Fragancia: lavanda.</t>
  </si>
  <si>
    <t>119</t>
  </si>
  <si>
    <t>DAV017</t>
  </si>
  <si>
    <t>DAV017.jpg</t>
  </si>
  <si>
    <t>Difusor Aromatico Saphirus por 120 CC. Presentación: 1 unidad. Marca Saphirus. Fragancia: limon.</t>
  </si>
  <si>
    <t>120</t>
  </si>
  <si>
    <t>DAV018</t>
  </si>
  <si>
    <t>vainilla madagascar</t>
  </si>
  <si>
    <t>DAV018.jpg</t>
  </si>
  <si>
    <t>Difusor Aromatico Saphirus por 120 CC. Presentación: 1 unidad. Marca Saphirus. Fragancia: vainilla madagascar.</t>
  </si>
  <si>
    <t>121</t>
  </si>
  <si>
    <t>DAV019</t>
  </si>
  <si>
    <t>floral</t>
  </si>
  <si>
    <t>DAV019.jpg</t>
  </si>
  <si>
    <t>Difusor Aromatico Saphirus por 120 CC. Presentación: 1 unidad. Marca Saphirus. Fragancia: floral.</t>
  </si>
  <si>
    <t>122</t>
  </si>
  <si>
    <t>DAV020</t>
  </si>
  <si>
    <t>chicle</t>
  </si>
  <si>
    <t>DAV020.jpg</t>
  </si>
  <si>
    <t>Difusor Aromatico Saphirus por 120 CC. Presentación: 1 unidad. Marca Saphirus. Fragancia: chicle.</t>
  </si>
  <si>
    <t>123</t>
  </si>
  <si>
    <t>DAV021</t>
  </si>
  <si>
    <t>DAV021.jpg</t>
  </si>
  <si>
    <t>Difusor Aromatico Saphirus por 120 CC. Presentación: 1 unidad. Marca Saphirus. Fragancia: palito de la selva.</t>
  </si>
  <si>
    <t>124</t>
  </si>
  <si>
    <t>DAV022</t>
  </si>
  <si>
    <t>nag champa</t>
  </si>
  <si>
    <t>DAV022.jpg</t>
  </si>
  <si>
    <t>Difusor Aromatico Saphirus por 120 CC. Presentación: 1 unidad. Marca Saphirus. Fragancia: nag champa.</t>
  </si>
  <si>
    <t>125</t>
  </si>
  <si>
    <t>DAV023</t>
  </si>
  <si>
    <t>Difusor Aromatico Saphirus combinados por 120 CC</t>
  </si>
  <si>
    <t>sandia / melon</t>
  </si>
  <si>
    <t>DAV023.jpg</t>
  </si>
  <si>
    <t>Difusor Aromatico Saphirus combinados por 120 CC. Presentación: 1 unidad. Marca Saphirus. Fragancia: sandia / melon.</t>
  </si>
  <si>
    <t>DAV-COMBINADO-DIFUSOR-SAPHIRUS</t>
  </si>
  <si>
    <t>126</t>
  </si>
  <si>
    <t>DAV024</t>
  </si>
  <si>
    <t>vainilla / frambruesa</t>
  </si>
  <si>
    <t>DAV024.jpg</t>
  </si>
  <si>
    <t>Difusor Aromatico Saphirus combinados por 120 CC. Presentación: 1 unidad. Marca Saphirus. Fragancia: vainilla / frambruesa.</t>
  </si>
  <si>
    <t>127</t>
  </si>
  <si>
    <t>DAV025</t>
  </si>
  <si>
    <t>vainilla / chocolate</t>
  </si>
  <si>
    <t>DAV025.jpg</t>
  </si>
  <si>
    <t>Difusor Aromatico Saphirus combinados por 120 CC. Presentación: 1 unidad. Marca Saphirus. Fragancia: vainilla / chocolate.</t>
  </si>
  <si>
    <t>128</t>
  </si>
  <si>
    <t>DAV026</t>
  </si>
  <si>
    <t>vaini / coco</t>
  </si>
  <si>
    <t>DAV026.jpg</t>
  </si>
  <si>
    <t>Difusor Aromatico Saphirus combinados por 120 CC. Presentación: 1 unidad. Marca Saphirus. Fragancia: vaini / coco.</t>
  </si>
  <si>
    <t>129</t>
  </si>
  <si>
    <t>DAV027</t>
  </si>
  <si>
    <t>flores blancas / uvas</t>
  </si>
  <si>
    <t>DAV027.jpg</t>
  </si>
  <si>
    <t>Difusor Aromatico Saphirus combinados por 120 CC. Presentación: 1 unidad. Marca Saphirus. Fragancia: flores blancas / uvas.</t>
  </si>
  <si>
    <t>130</t>
  </si>
  <si>
    <t>PROM001</t>
  </si>
  <si>
    <t>📦 Packs y ofertas</t>
  </si>
  <si>
    <t>Promo 15 litros</t>
  </si>
  <si>
    <t>PROM001.png</t>
  </si>
  <si>
    <t>Promo 15 litros. Presentación: 1 unidad.</t>
  </si>
  <si>
    <t>Promo 15 litros. Combo pensado para ahorrar, con mayor cantidad de producto al mejor precio por litro.</t>
  </si>
  <si>
    <t>131</t>
  </si>
  <si>
    <t>PROM002</t>
  </si>
  <si>
    <t>Promo 12 litros</t>
  </si>
  <si>
    <t>Promo 12 litros + 5 de regalo</t>
  </si>
  <si>
    <t>PROM002.png</t>
  </si>
  <si>
    <t>Promo 12 litros + 5 de regalo. Presentación: 1 unidad.</t>
  </si>
  <si>
    <t>Promo 12 litros. Combo pensado para ahorrar, con mayor cantidad de producto al mejor precio por litro.</t>
  </si>
  <si>
    <t>132</t>
  </si>
  <si>
    <t>PROM003</t>
  </si>
  <si>
    <t>Promo 10 litros</t>
  </si>
  <si>
    <t>PROM003.png</t>
  </si>
  <si>
    <t>Promo 10 litros. Presentación: 1 unidad.</t>
  </si>
  <si>
    <t>Promo 10 litros. Combo pensado para ahorrar, con mayor cantidad de producto al mejor precio por litro.</t>
  </si>
  <si>
    <t>133</t>
  </si>
  <si>
    <t>CLO002</t>
  </si>
  <si>
    <t>Cloro</t>
  </si>
  <si>
    <t>Cloro liquido x 1 litro</t>
  </si>
  <si>
    <t>1 litro</t>
  </si>
  <si>
    <t>CLO002.png</t>
  </si>
  <si>
    <t>SI</t>
  </si>
  <si>
    <t>Cloro liquido x 1 litro. Presentación: 1 litro.</t>
  </si>
  <si>
    <t>Cloro. Elimina bacterias y gérmenes, desinfectando a fondo superficies del hogar, comercios e industrias.</t>
  </si>
  <si>
    <t>134</t>
  </si>
  <si>
    <t>CLO003</t>
  </si>
  <si>
    <t>Cloro liquido pack x 6</t>
  </si>
  <si>
    <t>6 litros</t>
  </si>
  <si>
    <t>CLO003.png</t>
  </si>
  <si>
    <t>Cloro liquido pack x 6. Presentación: 6 litros.</t>
  </si>
  <si>
    <t>135</t>
  </si>
  <si>
    <t>DET002</t>
  </si>
  <si>
    <t>Detergente liquido concentrado</t>
  </si>
  <si>
    <t>DET002.png</t>
  </si>
  <si>
    <t>Detergente liquido concentrado. Presentación: 1 litros.</t>
  </si>
  <si>
    <t>136</t>
  </si>
  <si>
    <t>DET003</t>
  </si>
  <si>
    <t>Detergente liquido concentrado pack 6 unidades</t>
  </si>
  <si>
    <t>DET003.png</t>
  </si>
  <si>
    <t>Detergente liquido concentrado pack 6 unidades. Presentación: 6 litros.</t>
  </si>
  <si>
    <t>137</t>
  </si>
  <si>
    <t>LVA003</t>
  </si>
  <si>
    <t>Lavavajillas Listo para usar</t>
  </si>
  <si>
    <t>Lavavajillas listo para usar 1 litro</t>
  </si>
  <si>
    <t>LVA003.png</t>
  </si>
  <si>
    <t>Lavavajillas listo para usar 1 litro. Presentación: 1 litro.</t>
  </si>
  <si>
    <t>Lavavajillas Listo para usar. Ideal para desengrasar y limpiar utensilios, vajilla y superficies de cocina de forma rápida y efectiva.</t>
  </si>
  <si>
    <t>138</t>
  </si>
  <si>
    <t>LVA004</t>
  </si>
  <si>
    <t>Lavavajillas listo para usar pack 6 litros</t>
  </si>
  <si>
    <t>LVA004.png</t>
  </si>
  <si>
    <t>Lavavajillas listo para usar pack 6 litros. Presentación: 6 litros.</t>
  </si>
  <si>
    <t>139</t>
  </si>
  <si>
    <t>LVA005</t>
  </si>
  <si>
    <t>Lavavajillas Concentrado</t>
  </si>
  <si>
    <t>Lavavajillas concentrado 1 litro</t>
  </si>
  <si>
    <t>LVA005.png</t>
  </si>
  <si>
    <t>Lavavajillas concentrado 1 litro. Presentación: 1 litro.</t>
  </si>
  <si>
    <t>Lavavajillas Concentrado. Ideal para desengrasar y limpiar utensilios, vajilla y superficies de cocina de forma rápida y efectiva.</t>
  </si>
  <si>
    <t>140</t>
  </si>
  <si>
    <t>LVA006</t>
  </si>
  <si>
    <t>Lavavajillas concentrado pack 6 litros</t>
  </si>
  <si>
    <t>LVA006.png</t>
  </si>
  <si>
    <t>Lavavajillas concentrado pack 6 litros. Presentación: 6 litros.</t>
  </si>
  <si>
    <t>141</t>
  </si>
  <si>
    <t>SUA003</t>
  </si>
  <si>
    <t>Suavizante listo para usar 1 litro</t>
  </si>
  <si>
    <t>SUA003.png</t>
  </si>
  <si>
    <t>Suavizante listo para usar 1 litro. Presentación: 1 litro. Fragancia: color blanco premium.</t>
  </si>
  <si>
    <t>142</t>
  </si>
  <si>
    <t>SUA004</t>
  </si>
  <si>
    <t>Suavizante listo para usar pack 6 x 6 litros</t>
  </si>
  <si>
    <t>SUA004.png</t>
  </si>
  <si>
    <t>Suavizante listo para usar pack 6 x 6 litros. Presentación: 6 litros.</t>
  </si>
  <si>
    <t>143</t>
  </si>
  <si>
    <t>SUA005</t>
  </si>
  <si>
    <t>Suavizante listo para usar x 1 litro</t>
  </si>
  <si>
    <t>SUA005.png</t>
  </si>
  <si>
    <t>Suavizante listo para usar x 1 litro. Presentación: 1 litro. Fragancia: color celeste economico.</t>
  </si>
  <si>
    <t>144</t>
  </si>
  <si>
    <t>SUA006</t>
  </si>
  <si>
    <t>Suavizante listo para usar pack x 6 litros</t>
  </si>
  <si>
    <t>SUA006.png</t>
  </si>
  <si>
    <t>Suavizante listo para usar pack x 6 litros. Presentación: 6 litros. Fragancia: color celeste economico.</t>
  </si>
  <si>
    <t>145</t>
  </si>
  <si>
    <t>DPP001</t>
  </si>
  <si>
    <t>🧹 Pisos y superficies</t>
  </si>
  <si>
    <t>Desodorante para piso</t>
  </si>
  <si>
    <t>Desodorante para piso x 5 litros</t>
  </si>
  <si>
    <t>DPP001.png</t>
  </si>
  <si>
    <t>Desodorante para piso x 5 litros. Presentación: 5 litros. Fragancia: 1056.</t>
  </si>
  <si>
    <t>Desodorante para piso. Limpia y perfuma pisos y superficies, dejando un aroma duradero y sensación de frescura en el hogar.</t>
  </si>
  <si>
    <t>DPP-1056</t>
  </si>
  <si>
    <t>5 L</t>
  </si>
  <si>
    <t>146</t>
  </si>
  <si>
    <t>DPP002</t>
  </si>
  <si>
    <t>Desodorante para piso x 1 litro</t>
  </si>
  <si>
    <t>DPP002.png</t>
  </si>
  <si>
    <t>Desodorante para piso x 1 litro. Presentación: 1 litro. Fragancia: 1056.</t>
  </si>
  <si>
    <t>1 L</t>
  </si>
  <si>
    <t>147</t>
  </si>
  <si>
    <t>DPP003</t>
  </si>
  <si>
    <t>Desodorante para piso pack x 6 unidades</t>
  </si>
  <si>
    <t>1 pack</t>
  </si>
  <si>
    <t>DPP003.png</t>
  </si>
  <si>
    <t>Desodorante para piso pack x 6 unidades. Presentación: 1 pack. Fragancia: 1056.</t>
  </si>
  <si>
    <t>6 L PACK</t>
  </si>
  <si>
    <t>148</t>
  </si>
  <si>
    <t>DPP004</t>
  </si>
  <si>
    <t>Cherry</t>
  </si>
  <si>
    <t>DPP004.png</t>
  </si>
  <si>
    <t>Desodorante para piso x 5 litros. Presentación: 5 litros. Fragancia: Cherry.</t>
  </si>
  <si>
    <t>DPP-CHERRY</t>
  </si>
  <si>
    <t>149</t>
  </si>
  <si>
    <t>DPP005</t>
  </si>
  <si>
    <t>DPP005.png</t>
  </si>
  <si>
    <t>Desodorante para piso x 1 litro. Presentación: 1 litro. Fragancia: Cherry.</t>
  </si>
  <si>
    <t>150</t>
  </si>
  <si>
    <t>DPP006</t>
  </si>
  <si>
    <t>DPP006.png</t>
  </si>
  <si>
    <t>Desodorante para piso pack x 6 unidades. Presentación: 1 pack. Fragancia: Cherry.</t>
  </si>
  <si>
    <t>151</t>
  </si>
  <si>
    <t>DPP007</t>
  </si>
  <si>
    <t>pino</t>
  </si>
  <si>
    <t>DPP007.png</t>
  </si>
  <si>
    <t>Desodorante para piso x 5 litros. Presentación: 5 litros. Fragancia: pino.</t>
  </si>
  <si>
    <t>DPP-PINO</t>
  </si>
  <si>
    <t>152</t>
  </si>
  <si>
    <t>DPP008</t>
  </si>
  <si>
    <t>DPP008.png</t>
  </si>
  <si>
    <t>Desodorante para piso x 1 litro. Presentación: 1 litro. Fragancia: pino.</t>
  </si>
  <si>
    <t>153</t>
  </si>
  <si>
    <t>DPP009</t>
  </si>
  <si>
    <t>DPP009.png</t>
  </si>
  <si>
    <t>Desodorante para piso pack x 6 unidades. Presentación: 1 pack. Fragancia: pino.</t>
  </si>
  <si>
    <t>154</t>
  </si>
  <si>
    <t>DPP010</t>
  </si>
  <si>
    <t>DPP010.png</t>
  </si>
  <si>
    <t>Desodorante para piso x 5 litros. Presentación: 5 litros. Fragancia: lavanda.</t>
  </si>
  <si>
    <t>DPP-LAVANDA</t>
  </si>
  <si>
    <t>155</t>
  </si>
  <si>
    <t>DPP011</t>
  </si>
  <si>
    <t>DPP011.png</t>
  </si>
  <si>
    <t>Desodorante para piso x 1 litro. Presentación: 1 litro. Fragancia: lavanda.</t>
  </si>
  <si>
    <t>156</t>
  </si>
  <si>
    <t>DPP012</t>
  </si>
  <si>
    <t>DPP012.png</t>
  </si>
  <si>
    <t>Desodorante para piso pack x 6 unidades. Presentación: 1 pack. Fragancia: lavanda.</t>
  </si>
  <si>
    <t>157</t>
  </si>
  <si>
    <t>CBS001</t>
  </si>
  <si>
    <t>Cabos y mangos</t>
  </si>
  <si>
    <t>Cabo de madera de 1,2 Metros</t>
  </si>
  <si>
    <t>1,2 Metros</t>
  </si>
  <si>
    <t>CBS001.jpg</t>
  </si>
  <si>
    <t>Cabo de madera de 1,2 Metros. Presentación: 1 unidad.</t>
  </si>
  <si>
    <t>Cabos y mangos. Accesorio resistente y práctico, pensado para facilitar las tareas de limpieza del hogar. Disponible en múltiples fragancias a elección.</t>
  </si>
  <si>
    <t>CBS-CABO-MADERA</t>
  </si>
  <si>
    <t>1.2 MTS</t>
  </si>
  <si>
    <t>158</t>
  </si>
  <si>
    <t>CBS002</t>
  </si>
  <si>
    <t>Cabo de madera de 1,5 Metros</t>
  </si>
  <si>
    <t>1,5 Metros</t>
  </si>
  <si>
    <t>CBS002.jpg</t>
  </si>
  <si>
    <t>Cabo de madera de 1,5 Metros. Presentación: 1 unidad.</t>
  </si>
  <si>
    <t>1.5 MTS</t>
  </si>
  <si>
    <t>159</t>
  </si>
  <si>
    <t>CBS003</t>
  </si>
  <si>
    <t>Cabo de madera de 2 Metros</t>
  </si>
  <si>
    <t>2 Metros</t>
  </si>
  <si>
    <t>CBS003.jpg</t>
  </si>
  <si>
    <t>Cabo de madera de 2 Metros. Presentación: 1 unidad. Fragancia: 2 Metros.</t>
  </si>
  <si>
    <t>Cabos y mangos. Accesorio resistente y práctico, pensado para facilitar las tareas de limpieza del hogar.</t>
  </si>
  <si>
    <t>2.0 MTS</t>
  </si>
  <si>
    <t>160</t>
  </si>
  <si>
    <t>CBS004</t>
  </si>
  <si>
    <t>Cabo de metal make</t>
  </si>
  <si>
    <t>CBS004.jpg</t>
  </si>
  <si>
    <t>Cabo de metal make. Presentación: 1 unidad.</t>
  </si>
  <si>
    <t>161</t>
  </si>
  <si>
    <t>CBS005</t>
  </si>
  <si>
    <t>Cabo Saca Hojas</t>
  </si>
  <si>
    <t>CBS005.jpg</t>
  </si>
  <si>
    <t>Cabo Saca Hojas. Presentación: 1 unidad.</t>
  </si>
  <si>
    <t>162</t>
  </si>
  <si>
    <t>CBS006</t>
  </si>
  <si>
    <t>Cabo extensible 2 metros</t>
  </si>
  <si>
    <t>CBS006.jpg</t>
  </si>
  <si>
    <t>Cabo extensible 2 metros. Presentación: 1 unidad.</t>
  </si>
  <si>
    <t>163</t>
  </si>
  <si>
    <t>CBS007</t>
  </si>
  <si>
    <t>Cabo extensible 3 metros</t>
  </si>
  <si>
    <t>CBS007.jpg</t>
  </si>
  <si>
    <t>Cabo extensible 3 metros. Presentación: 1 unidad.</t>
  </si>
  <si>
    <t>164</t>
  </si>
  <si>
    <t>ESP001</t>
  </si>
  <si>
    <t>Esponjas</t>
  </si>
  <si>
    <t>Make</t>
  </si>
  <si>
    <t>Esponja de acero 10 Gr</t>
  </si>
  <si>
    <t>ESP001.jpg</t>
  </si>
  <si>
    <t>Esponja de acero 10 Gr. Presentación: 1 unidad.</t>
  </si>
  <si>
    <t>Esponjas. Accesorio resistente y práctico, pensado para facilitar las tareas de limpieza del hogar.</t>
  </si>
  <si>
    <t>165</t>
  </si>
  <si>
    <t>ESP002</t>
  </si>
  <si>
    <t>Esponja dorada de 30 Gr</t>
  </si>
  <si>
    <t>ESP002.jpg</t>
  </si>
  <si>
    <t>Esponja dorada de 30 Gr. Presentación: 1 unidad.</t>
  </si>
  <si>
    <t>166</t>
  </si>
  <si>
    <t>ESP003</t>
  </si>
  <si>
    <t>Esponja azul para teflon</t>
  </si>
  <si>
    <t>ESP003.jpg</t>
  </si>
  <si>
    <t>Esponja azul para teflon. Presentación: 1 unidad.</t>
  </si>
  <si>
    <t>167</t>
  </si>
  <si>
    <t>ESP004</t>
  </si>
  <si>
    <t>Esponja de acero 10 Gr pack de 12 unidades</t>
  </si>
  <si>
    <t>ESP004.jpg</t>
  </si>
  <si>
    <t>Esponja de acero 10 Gr pack de 12 unidades. Presentación: 1 pack.</t>
  </si>
  <si>
    <t>168</t>
  </si>
  <si>
    <t>ESP005</t>
  </si>
  <si>
    <t>Esponja dorada 30 Gr pack de 12 unidades</t>
  </si>
  <si>
    <t>ESP005.jpg</t>
  </si>
  <si>
    <t>Esponja dorada 30 Gr pack de 12 unidades. Presentación: 1 pack.</t>
  </si>
  <si>
    <t>169</t>
  </si>
  <si>
    <t>ESP006</t>
  </si>
  <si>
    <t>Lana de acero Make</t>
  </si>
  <si>
    <t>ESP006.jpg</t>
  </si>
  <si>
    <t>Lana de acero Make. Presentación: 1 unidad.</t>
  </si>
  <si>
    <t>170</t>
  </si>
  <si>
    <t>ESP007</t>
  </si>
  <si>
    <t>Lana de acero virulana</t>
  </si>
  <si>
    <t>ESP007.jpg</t>
  </si>
  <si>
    <t>Lana de acero virulana. Presentación: 1 unidad.</t>
  </si>
  <si>
    <t>171</t>
  </si>
  <si>
    <t>APR001</t>
  </si>
  <si>
    <t>Artículos para tender</t>
  </si>
  <si>
    <t>Tender Vertical para Ropa 3 niveles</t>
  </si>
  <si>
    <t>APR001.jpg</t>
  </si>
  <si>
    <t>Tender Vertical para Ropa 3 niveles. Presentación: 1 unidad.</t>
  </si>
  <si>
    <t>Artículos para tender. Accesorio resistente y práctico, pensado para facilitar las tareas de limpieza del hogar.</t>
  </si>
  <si>
    <t>172</t>
  </si>
  <si>
    <t>APR002</t>
  </si>
  <si>
    <t>Tender Para Medias de 18 Broches</t>
  </si>
  <si>
    <t>APR002.jpg</t>
  </si>
  <si>
    <t>Tender Para Medias de 18 Broches. Presentación: 1 unidad.</t>
  </si>
  <si>
    <t>173</t>
  </si>
  <si>
    <t>APR003</t>
  </si>
  <si>
    <t>Tender 10 varillas con Alas</t>
  </si>
  <si>
    <t>APR003.jpg</t>
  </si>
  <si>
    <t>Tender 10 varillas con Alas. Presentación: 1 unidad.</t>
  </si>
  <si>
    <t>174</t>
  </si>
  <si>
    <t>APR004</t>
  </si>
  <si>
    <t>Broches Plasticos x 12 unidades</t>
  </si>
  <si>
    <t>APR004.jpg</t>
  </si>
  <si>
    <t>Broches Plasticos x 12 unidades. Presentación: 1 pack.</t>
  </si>
  <si>
    <t>175</t>
  </si>
  <si>
    <t>APR005</t>
  </si>
  <si>
    <t>Broches Madera x 12 unidades</t>
  </si>
  <si>
    <t>APR005.jpg</t>
  </si>
  <si>
    <t>Broches Madera x 12 unidades. Presentación: 1 pack.</t>
  </si>
  <si>
    <t>176</t>
  </si>
  <si>
    <t>APB001</t>
  </si>
  <si>
    <t>Accesorios de baño</t>
  </si>
  <si>
    <t>Cepillo Lava Espalda Plastico</t>
  </si>
  <si>
    <t>APB001.jpg</t>
  </si>
  <si>
    <t>Cepillo Lava Espalda Plastico. Presentación: 1 unidad.</t>
  </si>
  <si>
    <t>Accesorios de baño. Elimina suciedad y gérmenes en inodoros, azulejos y superficies del baño, dejando un aroma agradable.</t>
  </si>
  <si>
    <t>177</t>
  </si>
  <si>
    <t>APB002</t>
  </si>
  <si>
    <t>Jabonera Deseplast</t>
  </si>
  <si>
    <t>APB002.jpg</t>
  </si>
  <si>
    <t>Jabonera Deseplast. Presentación: 1 unidad.</t>
  </si>
  <si>
    <t>178</t>
  </si>
  <si>
    <t>APB003</t>
  </si>
  <si>
    <t>Pato</t>
  </si>
  <si>
    <t>Limpiador Adhesivo inodoro</t>
  </si>
  <si>
    <t>APB003.jpg</t>
  </si>
  <si>
    <t>Limpiador Adhesivo inodoro. Presentación: 1 unidad. Marca Pato.</t>
  </si>
  <si>
    <t>179</t>
  </si>
  <si>
    <t>APB004</t>
  </si>
  <si>
    <t>Glade</t>
  </si>
  <si>
    <t>Pastilla para inodoro</t>
  </si>
  <si>
    <t>APB004.jpg</t>
  </si>
  <si>
    <t>Pastilla para inodoro. Presentación: 1 unidad. Marca Glade.</t>
  </si>
  <si>
    <t>180</t>
  </si>
  <si>
    <t>APB005</t>
  </si>
  <si>
    <t>Protector cortina de baño</t>
  </si>
  <si>
    <t>APB005.jpg</t>
  </si>
  <si>
    <t>Protector cortina de baño. Presentación: 1 unidad.</t>
  </si>
  <si>
    <t>181</t>
  </si>
  <si>
    <t>AER001</t>
  </si>
  <si>
    <t>Aerosol ambiental</t>
  </si>
  <si>
    <t>Poe</t>
  </si>
  <si>
    <t>Poett Desodorante de Ambiente</t>
  </si>
  <si>
    <t>AER001.jpg</t>
  </si>
  <si>
    <t>Poett Desodorante de Ambiente. Presentación: 1 unidad. Marca Poe.</t>
  </si>
  <si>
    <t>Aerosol ambiental. Perfuma ambientes y textiles con una fragancia agradable y duradera, ideal para dejar todo con olor a limpio.</t>
  </si>
  <si>
    <t>182</t>
  </si>
  <si>
    <t>AER002</t>
  </si>
  <si>
    <t>Aerosol desinfectante</t>
  </si>
  <si>
    <t>Lysoform</t>
  </si>
  <si>
    <t>Lysoform Desisfectante</t>
  </si>
  <si>
    <t>AER002.jpg</t>
  </si>
  <si>
    <t>Lysoform Desisfectante. Presentación: 1 unidad.</t>
  </si>
  <si>
    <t>Aerosol desinfectante. Elimina bacterias y gérmenes, desinfectando a fondo superficies del hogar, comercios e industrias.</t>
  </si>
  <si>
    <t>183</t>
  </si>
  <si>
    <t>AER003</t>
  </si>
  <si>
    <t>🏠 Hogar y varios</t>
  </si>
  <si>
    <t>Lustramuebles</t>
  </si>
  <si>
    <t>Blem</t>
  </si>
  <si>
    <t>Lustra Muebles</t>
  </si>
  <si>
    <t>AER003.jpg</t>
  </si>
  <si>
    <t>Lustra Muebles. Presentación: 1 unidad. Marca Blem.</t>
  </si>
  <si>
    <t>Lustramuebles. Producto práctico pensado para facilitar las tareas diarias del hogar.</t>
  </si>
  <si>
    <t>184</t>
  </si>
  <si>
    <t>AER004</t>
  </si>
  <si>
    <t>Limpiador de horno</t>
  </si>
  <si>
    <t>Mr. Musculo</t>
  </si>
  <si>
    <t>Limpiador para hornos</t>
  </si>
  <si>
    <t>AER004.jpg</t>
  </si>
  <si>
    <t>Limpiador para hornos. Presentación: 1 unidad. Marca Mr. Musculo.</t>
  </si>
  <si>
    <t>Limpiador de horno. Ideal para desengrasar y limpiar utensilios, vajilla y superficies de cocina de forma rápida y efectiva.</t>
  </si>
  <si>
    <t>185</t>
  </si>
  <si>
    <t>AER005</t>
  </si>
  <si>
    <t>Apresto para ropa</t>
  </si>
  <si>
    <t>Apresto Danubio</t>
  </si>
  <si>
    <t>AER005.jpg</t>
  </si>
  <si>
    <t>Apresto Danubio. Presentación: 1 unidad. Marca Apresto Danubio.</t>
  </si>
  <si>
    <t>Apresto para ropa. Cuida las fibras de la ropa, suaviza y deja un aroma agradable y duradero en cada lavado.</t>
  </si>
  <si>
    <t>186</t>
  </si>
  <si>
    <t>AER006</t>
  </si>
  <si>
    <t>Insecticidas</t>
  </si>
  <si>
    <t>Fuyi</t>
  </si>
  <si>
    <t>Fuyi Mata Moscas y Mosquitos</t>
  </si>
  <si>
    <t>AER006.jpg</t>
  </si>
  <si>
    <t>Fuyi Mata Moscas y Mosquitos. Presentación: 1 unidad.</t>
  </si>
  <si>
    <t>Insecticidas. Producto práctico pensado para facilitar las tareas diarias del hogar.</t>
  </si>
  <si>
    <t>187</t>
  </si>
  <si>
    <t>AER007</t>
  </si>
  <si>
    <t>Raid</t>
  </si>
  <si>
    <t>Raid Azul</t>
  </si>
  <si>
    <t>AER007.jpg</t>
  </si>
  <si>
    <t>Raid Azul. Presentación: 1 unidad.</t>
  </si>
  <si>
    <t>188</t>
  </si>
  <si>
    <t>AER008</t>
  </si>
  <si>
    <t>Raid Negro</t>
  </si>
  <si>
    <t>AER008.jpg</t>
  </si>
  <si>
    <t>Raid Negro. Presentación: 1 unidad.</t>
  </si>
  <si>
    <t>189</t>
  </si>
  <si>
    <t>MYG001</t>
  </si>
  <si>
    <t>Guantes</t>
  </si>
  <si>
    <t>Guantes de Goma Make</t>
  </si>
  <si>
    <t>Talle S</t>
  </si>
  <si>
    <t>MYG001.jpg</t>
  </si>
  <si>
    <t>Guantes de Goma Make. Presentación: 1 unidad. Fragancia: Talle S.</t>
  </si>
  <si>
    <t>Guantes. Accesorio resistente y práctico, pensado para facilitar las tareas de limpieza del hogar.</t>
  </si>
  <si>
    <t>MYG-GUANTES</t>
  </si>
  <si>
    <t>TALLE S</t>
  </si>
  <si>
    <t>190</t>
  </si>
  <si>
    <t>MYG002</t>
  </si>
  <si>
    <t>Talle M</t>
  </si>
  <si>
    <t>MYG002.jpg</t>
  </si>
  <si>
    <t>Guantes de Goma Make. Presentación: 1 unidad. Fragancia: Talle M.</t>
  </si>
  <si>
    <t>TALLE M</t>
  </si>
  <si>
    <t>191</t>
  </si>
  <si>
    <t>MYG003</t>
  </si>
  <si>
    <t>Talle L</t>
  </si>
  <si>
    <t>MYG003.jpg</t>
  </si>
  <si>
    <t>Guantes de Goma Make. Presentación: 1 unidad. Fragancia: Talle L.</t>
  </si>
  <si>
    <t>TALLE L</t>
  </si>
  <si>
    <t>192</t>
  </si>
  <si>
    <t>MYG004</t>
  </si>
  <si>
    <t>Talle XL</t>
  </si>
  <si>
    <t>MYG004.jpg</t>
  </si>
  <si>
    <t>Guantes de Goma Make. Presentación: 1 unidad. Fragancia: Talle XL.</t>
  </si>
  <si>
    <t>TALLE XL</t>
  </si>
  <si>
    <t>193</t>
  </si>
  <si>
    <t>MYG005</t>
  </si>
  <si>
    <t>Guantes de Latex descartable Caja x 100 unidades</t>
  </si>
  <si>
    <t>MYG005.jpg</t>
  </si>
  <si>
    <t>Guantes de Latex descartable Caja x 100 unidades. Presentación: 1 pack.</t>
  </si>
  <si>
    <t>194</t>
  </si>
  <si>
    <t>MYG006</t>
  </si>
  <si>
    <t>Guantes de Nitrilo Caja x 100 unidades</t>
  </si>
  <si>
    <t>MYG006.jpg</t>
  </si>
  <si>
    <t>Guantes de Nitrilo Caja x 100 unidades. Presentación: 1 pack.</t>
  </si>
  <si>
    <t>195</t>
  </si>
  <si>
    <t>MYG007</t>
  </si>
  <si>
    <t>Mopas</t>
  </si>
  <si>
    <t>Iberia</t>
  </si>
  <si>
    <t>Escurre Facil Iberia</t>
  </si>
  <si>
    <t>MYG007.jpg</t>
  </si>
  <si>
    <t>Escurre Facil Iberia. Presentación: 1 unidad. Marca Iberia.</t>
  </si>
  <si>
    <t>Mopas. Accesorio resistente y práctico, pensado para facilitar las tareas de limpieza del hogar.</t>
  </si>
  <si>
    <t>196</t>
  </si>
  <si>
    <t>MYG008</t>
  </si>
  <si>
    <t>MrTrapo</t>
  </si>
  <si>
    <t>Mopa Algodon Amarillo MrTrapo</t>
  </si>
  <si>
    <t>MYG008.jpg</t>
  </si>
  <si>
    <t>Mopa Algodon Amarillo MrTrapo. Presentación: 1 unidad. Marca MrTrapo.</t>
  </si>
  <si>
    <t>197</t>
  </si>
  <si>
    <t>MYG009</t>
  </si>
  <si>
    <t>Romyl</t>
  </si>
  <si>
    <t>Mopa Amarilla Romyl</t>
  </si>
  <si>
    <t>MYG009.jpg</t>
  </si>
  <si>
    <t>Mopa Amarilla Romyl. Presentación: 1 unidad. Marca Romyl.</t>
  </si>
  <si>
    <t>198</t>
  </si>
  <si>
    <t>MYG010</t>
  </si>
  <si>
    <t>Fibran Sur</t>
  </si>
  <si>
    <t>Mopa Blanca Algodon FibranSur</t>
  </si>
  <si>
    <t>MYG010.jpg</t>
  </si>
  <si>
    <t>Mopa Blanca Algodon FibranSur. Presentación: 1 unidad. Marca Fibran Sur.</t>
  </si>
  <si>
    <t>199</t>
  </si>
  <si>
    <t>MYG011</t>
  </si>
  <si>
    <t>Mopa Blanca Algodon Make</t>
  </si>
  <si>
    <t>MYG011.jpg</t>
  </si>
  <si>
    <t>Mopa Blanca Algodon Make. Presentación: 1 unidad.</t>
  </si>
  <si>
    <t>200</t>
  </si>
  <si>
    <t>MYG012</t>
  </si>
  <si>
    <t>Repuestos</t>
  </si>
  <si>
    <t>Turbo Facil</t>
  </si>
  <si>
    <t>Repuesto Mopa Pelo Corto Turbo Facil</t>
  </si>
  <si>
    <t>MYG012.jpg</t>
  </si>
  <si>
    <t>Repuesto Mopa Pelo Corto Turbo Facil. Presentación: 1 unidad. Marca Turbo Facil.</t>
  </si>
  <si>
    <t>Repuestos. Accesorio resistente y práctico, pensado para facilitar las tareas de limpieza del hogar.</t>
  </si>
  <si>
    <t>201</t>
  </si>
  <si>
    <t>MYG013</t>
  </si>
  <si>
    <t>Turbo Matic</t>
  </si>
  <si>
    <t>Repuesto Mopa Pelo Largo Turbo Matic</t>
  </si>
  <si>
    <t>MYG013.jpg</t>
  </si>
  <si>
    <t>Repuesto Mopa Pelo Largo Turbo Matic. Presentación: 1 unidad. Marca Turbo Matic.</t>
  </si>
  <si>
    <t>202</t>
  </si>
  <si>
    <t>RPP001</t>
  </si>
  <si>
    <t>Baldes y recipientes</t>
  </si>
  <si>
    <t>Matriplaster</t>
  </si>
  <si>
    <t>Balde Mopa 9 lts Matriplaster</t>
  </si>
  <si>
    <t>RPP001.jpg</t>
  </si>
  <si>
    <t>Balde Mopa 9 lts Matriplaster. Presentación: 1 unidad. Marca Matriplaster.</t>
  </si>
  <si>
    <t>Baldes y recipientes. Accesorio resistente y práctico, pensado para facilitar las tareas de limpieza del hogar.</t>
  </si>
  <si>
    <t>203</t>
  </si>
  <si>
    <t>RPP002</t>
  </si>
  <si>
    <t>Balde Mopa 14 lts Matriplaster</t>
  </si>
  <si>
    <t>RPP002.jpg</t>
  </si>
  <si>
    <t>Balde Mopa 14 lts Matriplaster. Presentación: 1 unidad. Marca Matriplaster.</t>
  </si>
  <si>
    <t>204</t>
  </si>
  <si>
    <t>RPP003</t>
  </si>
  <si>
    <t>Balde x 10 lts</t>
  </si>
  <si>
    <t>RPP003.jpg</t>
  </si>
  <si>
    <t>Balde x 10 lts. Presentación: 1 unidad.</t>
  </si>
  <si>
    <t>205</t>
  </si>
  <si>
    <t>RPP004</t>
  </si>
  <si>
    <t>Balde x 12 lts</t>
  </si>
  <si>
    <t>RPP004.jpg</t>
  </si>
  <si>
    <t>Balde x 12 lts. Presentación: 1 unidad.</t>
  </si>
  <si>
    <t>206</t>
  </si>
  <si>
    <t>RPP005</t>
  </si>
  <si>
    <t>Balde Mopa Duo Matriplaster</t>
  </si>
  <si>
    <t>RPP005.jpg</t>
  </si>
  <si>
    <t>Balde Mopa Duo Matriplaster. Presentación: 1 unidad. Marca Matriplaster.</t>
  </si>
  <si>
    <t>207</t>
  </si>
  <si>
    <t>RPP006</t>
  </si>
  <si>
    <t>Balde Mopa Plana</t>
  </si>
  <si>
    <t>RPP006.jpg</t>
  </si>
  <si>
    <t>Balde Mopa Plana. Presentación: 1 unidad.</t>
  </si>
  <si>
    <t>208</t>
  </si>
  <si>
    <t>PPP001</t>
  </si>
  <si>
    <t>🏊 Piletas</t>
  </si>
  <si>
    <t>Líquidos</t>
  </si>
  <si>
    <t>Clorotec</t>
  </si>
  <si>
    <t>Alguicida Clorotec 1 litro</t>
  </si>
  <si>
    <t>PPP001.jpg</t>
  </si>
  <si>
    <t>Alguicida Clorotec 1 litro. Presentación: 1 litro. Marca Clorotec.</t>
  </si>
  <si>
    <t>Líquidos. Mantiene el agua de la pileta limpia, clara y segura para el baño durante toda la temporada.</t>
  </si>
  <si>
    <t>209</t>
  </si>
  <si>
    <t>PPP002</t>
  </si>
  <si>
    <t>Clarificante Clorotec 1 litro</t>
  </si>
  <si>
    <t>PPP002.jpg</t>
  </si>
  <si>
    <t>Clarificante Clorotec 1 litro. Presentación: 1 litro. Marca Clorotec.</t>
  </si>
  <si>
    <t>210</t>
  </si>
  <si>
    <t>PPP003</t>
  </si>
  <si>
    <t>Regulador PH 5 litros</t>
  </si>
  <si>
    <t>PPP003.jpg</t>
  </si>
  <si>
    <t>Regulador PH 5 litros. Presentación: 5 litros.</t>
  </si>
  <si>
    <t>211</t>
  </si>
  <si>
    <t>PPP004</t>
  </si>
  <si>
    <t>Químicos</t>
  </si>
  <si>
    <t>Cloro Granulado Lento x 50 kg</t>
  </si>
  <si>
    <t>50 kilos</t>
  </si>
  <si>
    <t>PPP004.jpg</t>
  </si>
  <si>
    <t>Cloro Granulado Lento x 50 kg. Presentación: 50 kilos.</t>
  </si>
  <si>
    <t>Químicos. Mantiene el agua de la pileta limpia, clara y segura para el baño durante toda la temporada.</t>
  </si>
  <si>
    <t>212</t>
  </si>
  <si>
    <t>PPP005</t>
  </si>
  <si>
    <t>Cloro Granulado Lento 1 kg</t>
  </si>
  <si>
    <t>1 kilo</t>
  </si>
  <si>
    <t>PPP005.jpg</t>
  </si>
  <si>
    <t>Cloro Granulado Lento 1 kg. Presentación: 1 kilo.</t>
  </si>
  <si>
    <t>213</t>
  </si>
  <si>
    <t>PPP006</t>
  </si>
  <si>
    <t>Reactivos x 2</t>
  </si>
  <si>
    <t>PPP006.jpg</t>
  </si>
  <si>
    <t>Reactivos x 2. Presentación: 1 unidad.</t>
  </si>
  <si>
    <t>214</t>
  </si>
  <si>
    <t>PPP007</t>
  </si>
  <si>
    <t>Pastillas de Cloro triple Accion de 200 gr pack x 5 pastillas</t>
  </si>
  <si>
    <t>PPP007.jpg</t>
  </si>
  <si>
    <t>Pastillas de Cloro triple Accion de 200 gr pack x 5 pastillas. Presentación: 1 pack.</t>
  </si>
  <si>
    <t>215</t>
  </si>
  <si>
    <t>PPP008</t>
  </si>
  <si>
    <t>Test kit</t>
  </si>
  <si>
    <t>PPP008.jpg</t>
  </si>
  <si>
    <t>Test kit. Presentación: 1 unidad.</t>
  </si>
  <si>
    <t>216</t>
  </si>
  <si>
    <t>PPP009</t>
  </si>
  <si>
    <t>Mangueras</t>
  </si>
  <si>
    <t>Manguera 1'' x 15 mts</t>
  </si>
  <si>
    <t>PPP009.jpg</t>
  </si>
  <si>
    <t>Manguera 1'' x 15 mts. Presentación: 1 unidad.</t>
  </si>
  <si>
    <t>Mangueras. Mantiene el agua de la pileta limpia, clara y segura para el baño durante toda la temporada.</t>
  </si>
  <si>
    <t>217</t>
  </si>
  <si>
    <t>PPP010</t>
  </si>
  <si>
    <t>Manguera 3/4" x 15 mts</t>
  </si>
  <si>
    <t>PPP010.jpg</t>
  </si>
  <si>
    <t>Manguera 3/4" x 15 mts. Presentación: 1 unidad.</t>
  </si>
  <si>
    <t>218</t>
  </si>
  <si>
    <t>PPP011</t>
  </si>
  <si>
    <t>Manguera 1/2" x 15 mts</t>
  </si>
  <si>
    <t>PPP011.jpg</t>
  </si>
  <si>
    <t>Manguera 1/2" x 15 mts. Presentación: 1 unidad.</t>
  </si>
  <si>
    <t>219</t>
  </si>
  <si>
    <t>PPP012</t>
  </si>
  <si>
    <t>Manguera Corrugada 1 1/2" x 10 mts</t>
  </si>
  <si>
    <t>PPP012.jpg</t>
  </si>
  <si>
    <t>Manguera Corrugada 1 1/2" x 10 mts. Presentación: 1 unidad.</t>
  </si>
  <si>
    <t>220</t>
  </si>
  <si>
    <t>PPP013</t>
  </si>
  <si>
    <t>Accesorios de pileta</t>
  </si>
  <si>
    <t>Flota Flota</t>
  </si>
  <si>
    <t>PPP013.jpg</t>
  </si>
  <si>
    <t>Flota Flota. Presentación: 1 unidad.</t>
  </si>
  <si>
    <t>Accesorios de pileta. Mantiene el agua de la pileta limpia, clara y segura para el baño durante toda la temporada.</t>
  </si>
  <si>
    <t>221</t>
  </si>
  <si>
    <t>PPP014</t>
  </si>
  <si>
    <t>Barrefondo 8 Ruedas</t>
  </si>
  <si>
    <t>PPP014.jpg</t>
  </si>
  <si>
    <t>Barrefondo 8 Ruedas. Presentación: 1 unidad.</t>
  </si>
  <si>
    <t>222</t>
  </si>
  <si>
    <t>PPP015</t>
  </si>
  <si>
    <t>Barrefondo Medialuna</t>
  </si>
  <si>
    <t>PPP015.jpg</t>
  </si>
  <si>
    <t>Barrefondo Medialuna. Presentación: 1 unidad.</t>
  </si>
  <si>
    <t>223</t>
  </si>
  <si>
    <t>PPP016</t>
  </si>
  <si>
    <t>Boya Hongo</t>
  </si>
  <si>
    <t>PPP016.jpg</t>
  </si>
  <si>
    <t>Boya Hongo. Presentación: 1 unidad.</t>
  </si>
  <si>
    <t>224</t>
  </si>
  <si>
    <t>PPP017</t>
  </si>
  <si>
    <t>Boya Satelite</t>
  </si>
  <si>
    <t>PPP017.jpg</t>
  </si>
  <si>
    <t>Boya Satelite. Presentación: 1 unidad.</t>
  </si>
  <si>
    <t>225</t>
  </si>
  <si>
    <t>VAR001</t>
  </si>
  <si>
    <t>Velas</t>
  </si>
  <si>
    <t>Velas x 4 de 205 mm make</t>
  </si>
  <si>
    <t>VAR001.jpg</t>
  </si>
  <si>
    <t>Velas x 4 de 205 mm make. Presentación: 1 unidad.</t>
  </si>
  <si>
    <t>Velas. Producto práctico pensado para facilitar las tareas diarias del hogar.</t>
  </si>
  <si>
    <t>226</t>
  </si>
  <si>
    <t>VAR002</t>
  </si>
  <si>
    <t>Velas x 12 de 205 mm make</t>
  </si>
  <si>
    <t>VAR002.jpg</t>
  </si>
  <si>
    <t>Velas x 12 de 205 mm make. Presentación: 1 unidad.</t>
  </si>
  <si>
    <t>227</t>
  </si>
  <si>
    <t>VAR003</t>
  </si>
  <si>
    <t>Papel y film</t>
  </si>
  <si>
    <t>Papel Manteca Make</t>
  </si>
  <si>
    <t>VAR003.jpg</t>
  </si>
  <si>
    <t>Papel Manteca Make. Presentación: 1 unidad.</t>
  </si>
  <si>
    <t>Papel y film. Producto práctico pensado para facilitar las tareas diarias del hogar.</t>
  </si>
  <si>
    <t>228</t>
  </si>
  <si>
    <t>VAR004</t>
  </si>
  <si>
    <t>Papel Aluminio Make</t>
  </si>
  <si>
    <t>VAR004.jpg</t>
  </si>
  <si>
    <t>Papel Aluminio Make. Presentación: 1 unidad.</t>
  </si>
  <si>
    <t>229</t>
  </si>
  <si>
    <t>VAR005</t>
  </si>
  <si>
    <t>Film Adherente Make 30 metros</t>
  </si>
  <si>
    <t>VAR005.jpg</t>
  </si>
  <si>
    <t>Film Adherente Make 30 metros. Presentación: 1 unidad.</t>
  </si>
  <si>
    <t>230</t>
  </si>
  <si>
    <t>VAR006</t>
  </si>
  <si>
    <t>Bolsas y freezer</t>
  </si>
  <si>
    <t>Separador de Freezer Make x 200 unidades</t>
  </si>
  <si>
    <t>VAR006.jpg</t>
  </si>
  <si>
    <t>Separador de Freezer Make x 200 unidades. Presentación: 1 unidad.</t>
  </si>
  <si>
    <t>Bolsas y freezer. Producto práctico pensado para facilitar las tareas diarias del hogar.</t>
  </si>
  <si>
    <t>231</t>
  </si>
  <si>
    <t>VAR007</t>
  </si>
  <si>
    <t>Bolzip</t>
  </si>
  <si>
    <t>Bolsa para cubitos Bolzip</t>
  </si>
  <si>
    <t>VAR007.jpg</t>
  </si>
  <si>
    <t>Bolsa para cubitos Bolzip. Presentación: 1 unidad. Marca Bolzip.</t>
  </si>
  <si>
    <t>232</t>
  </si>
  <si>
    <t>VAR008</t>
  </si>
  <si>
    <t>Varios</t>
  </si>
  <si>
    <t>Palmeta Mata Moscas Plastica</t>
  </si>
  <si>
    <t>VAR008.jpg</t>
  </si>
  <si>
    <t>Palmeta Mata Moscas Plastica. Presentación: 1 unidad.</t>
  </si>
  <si>
    <t>Varios. Producto práctico pensado para facilitar las tareas diarias del hogar.</t>
  </si>
  <si>
    <t>233</t>
  </si>
  <si>
    <t>VAR009</t>
  </si>
  <si>
    <t>Gorrion</t>
  </si>
  <si>
    <t>Insecticida liquido Gorrion x 500 cc</t>
  </si>
  <si>
    <t>VAR009.jpg</t>
  </si>
  <si>
    <t>Insecticida liquido Gorrion x 500 cc. Presentación: 1 unidad. Marca Gorrion.</t>
  </si>
  <si>
    <t>234</t>
  </si>
  <si>
    <t xml:space="preserve"> 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</si>
  <si>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</si>
  <si>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</si>
  <si>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</si>
  <si>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</si>
  <si>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</si>
  <si>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</si>
  <si>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</si>
  <si>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</si>
  <si>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</si>
  <si>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</si>
  <si>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</si>
  <si>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</si>
  <si>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</si>
  <si>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</si>
  <si>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</si>
  <si>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</si>
  <si>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</si>
  <si>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</si>
  <si>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</si>
  <si>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</si>
  <si>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</si>
  <si>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</si>
  <si>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</si>
  <si>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</si>
  <si>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</si>
  <si>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</si>
  <si>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</si>
  <si>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</si>
  <si>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</si>
  <si>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</si>
  <si>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</si>
  <si>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</si>
  <si>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</si>
  <si>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</si>
  <si>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</si>
  <si>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</si>
  <si>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</si>
  <si>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</si>
  <si>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</si>
  <si>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</si>
  <si>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</si>
  <si>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</si>
  <si>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</si>
  <si>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</si>
  <si>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</si>
  <si>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</si>
  <si>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</si>
  <si>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</si>
  <si>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</si>
  <si>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</si>
  <si>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</si>
  <si>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</si>
  <si>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</si>
  <si>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</si>
  <si>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</si>
  <si>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</si>
  <si>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</si>
  <si>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</si>
  <si>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</si>
  <si>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</si>
  <si>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</si>
  <si>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</si>
  <si>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</si>
  <si>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</si>
  <si>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</si>
  <si>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</si>
  <si>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</si>
  <si>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</si>
  <si>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</si>
  <si>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</si>
  <si>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</si>
  <si>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</si>
  <si>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</si>
  <si>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</si>
  <si>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</si>
  <si>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</si>
  <si>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</si>
  <si>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</si>
  <si>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</si>
  <si>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</si>
  <si>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</si>
  <si>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</si>
  <si>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</si>
  <si>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</si>
  <si>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</si>
  <si>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</si>
  <si>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</si>
  <si>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</si>
  <si>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</si>
  <si>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</si>
  <si>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</si>
  <si>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</si>
  <si>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</si>
  <si>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</si>
  <si>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</si>
  <si>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</si>
  <si>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</si>
  <si>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</si>
  <si>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</si>
  <si>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</si>
  <si>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</si>
  <si>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</si>
  <si>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</si>
  <si>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</si>
  <si>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</si>
  <si>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</si>
  <si>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</si>
  <si>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</si>
  <si>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</si>
  <si>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</si>
  <si>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</si>
  <si>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</si>
  <si>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</si>
  <si>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</si>
  <si>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</si>
  <si>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</si>
  <si>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</si>
  <si>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</si>
  <si>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</si>
  <si>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</si>
  <si>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</si>
  <si>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</si>
  <si>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</si>
  <si>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</si>
  <si>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</si>
  <si>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</si>
  <si>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</si>
  <si>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</si>
  <si>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</si>
  <si>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</si>
  <si>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</si>
  <si>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</si>
  <si>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</si>
  <si>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</si>
  <si>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</si>
  <si>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</si>
  <si>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</si>
  <si>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</si>
  <si>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</si>
  <si>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</si>
  <si>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</si>
  <si>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</si>
  <si>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</si>
  <si>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</si>
  <si>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</si>
  <si>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</si>
  <si>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</si>
  <si>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</si>
  <si>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</si>
  <si>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</si>
  <si>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</si>
  <si>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</si>
  <si>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</si>
  <si>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</si>
  <si>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</si>
  <si>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</si>
  <si>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</si>
  <si>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</si>
  <si>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</si>
  <si>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</si>
  <si>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</si>
  <si>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</si>
  <si>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</si>
  <si>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</si>
  <si>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</si>
  <si>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</si>
  <si>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</si>
  <si>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</si>
  <si>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</si>
  <si>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</si>
  <si>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</si>
  <si>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</si>
  <si>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</si>
  <si>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</si>
  <si>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</si>
  <si>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</si>
  <si>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</si>
  <si>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</si>
  <si>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</si>
  <si>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</si>
  <si>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</si>
  <si>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</si>
  <si>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</si>
  <si>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</si>
  <si>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</si>
  <si>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</si>
  <si>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</si>
  <si>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</si>
  <si>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</si>
  <si>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</si>
  <si>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</si>
  <si>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</si>
  <si>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</si>
  <si>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</si>
  <si>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</si>
  <si>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</si>
  <si>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</si>
  <si>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</si>
  <si>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</si>
  <si>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</si>
  <si>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</si>
  <si>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</si>
  <si>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</si>
  <si>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</si>
  <si>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</si>
  <si>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</si>
  <si>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</si>
  <si>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</si>
  <si>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</si>
  <si>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</si>
  <si>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</si>
  <si>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</si>
  <si>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</si>
  <si>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</si>
  <si>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</si>
  <si>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</si>
  <si>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</si>
  <si>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</si>
  <si>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</si>
  <si>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</si>
  <si>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</si>
  <si>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</si>
  <si>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</si>
  <si>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</si>
  <si>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</si>
  <si>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</si>
  <si>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</si>
  <si>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</si>
  <si>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</si>
  <si>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</si>
  <si>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</si>
  <si>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</si>
  <si>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</si>
  <si>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</si>
  <si>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</si>
  <si>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</si>
  <si>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</si>
  <si>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</si>
  <si>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</si>
  <si>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</si>
  <si>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</si>
  <si>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</si>
  <si>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</si>
  <si>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</si>
  <si>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</si>
  <si>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</si>
  <si>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</si>
  <si>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</si>
  <si>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</si>
  <si>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</si>
  <si>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</si>
  <si>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</si>
  <si>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</si>
  <si>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</si>
  <si>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</si>
  <si>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</si>
  <si>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</si>
  <si>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</si>
  <si>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</si>
  <si>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</si>
  <si>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</si>
  <si>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</si>
  <si>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</si>
  <si>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</si>
  <si>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</si>
  <si>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</si>
  <si>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</si>
  <si>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</si>
  <si>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</si>
  <si>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</si>
  <si>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</si>
  <si>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</si>
  <si>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</si>
  <si>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</si>
  <si>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</si>
  <si>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</si>
  <si>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</si>
  <si>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</si>
  <si>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</si>
  <si>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</si>
  <si>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</si>
  <si>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</si>
  <si>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</si>
  <si>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</si>
  <si>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</si>
  <si>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</si>
  <si>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</si>
  <si>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</si>
  <si>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</si>
  <si>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</si>
  <si>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</si>
  <si>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</si>
  <si>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</si>
  <si>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</si>
  <si>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</si>
  <si>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</si>
  <si>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</si>
  <si>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</si>
  <si>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</si>
  <si>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</si>
  <si>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</si>
  <si>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</si>
  <si>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</si>
  <si>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</si>
  <si>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</si>
  <si>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</si>
  <si>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</si>
  <si>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</si>
  <si>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</si>
  <si>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</si>
  <si>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</si>
  <si>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</si>
  <si>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</si>
  <si>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</si>
  <si>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</si>
  <si>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</si>
  <si>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</si>
  <si>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</si>
  <si>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</si>
  <si>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</si>
  <si>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</si>
  <si>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</si>
  <si>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</si>
  <si>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</si>
  <si>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</si>
  <si>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</si>
  <si>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</si>
  <si>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</si>
  <si>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</si>
  <si>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</si>
  <si>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</si>
  <si>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</si>
  <si>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</si>
  <si>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</si>
  <si>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</si>
  <si>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</si>
  <si>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</si>
  <si>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</si>
  <si>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</si>
  <si>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</si>
  <si>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</si>
  <si>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</si>
  <si>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</si>
  <si>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</si>
  <si>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</si>
  <si>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</si>
  <si>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</si>
  <si>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</si>
  <si>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</si>
  <si>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</si>
  <si>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</si>
  <si>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</si>
  <si>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</si>
  <si>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</si>
  <si>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</si>
  <si>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</si>
  <si>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</si>
  <si>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</si>
  <si>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</si>
  <si>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</si>
  <si>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</si>
  <si>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</si>
  <si>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</si>
  <si>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</si>
  <si>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</si>
  <si>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</si>
  <si>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</si>
  <si>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</si>
  <si>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</si>
  <si>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</si>
  <si>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</si>
  <si>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</si>
  <si>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</si>
  <si>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</si>
  <si>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</si>
  <si>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</si>
  <si>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</si>
  <si>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</si>
  <si>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</si>
  <si>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</si>
  <si>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</si>
  <si>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</si>
  <si>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</si>
  <si>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</si>
  <si>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</si>
  <si>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</si>
  <si>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</si>
  <si>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</si>
  <si>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</si>
  <si>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</si>
  <si>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</si>
  <si>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</si>
  <si>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</si>
  <si>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</si>
  <si>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</si>
  <si>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</si>
  <si>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</si>
  <si>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</si>
  <si>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</si>
  <si>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</si>
  <si>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</si>
  <si>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</si>
  <si>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</si>
  <si>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</si>
  <si>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</si>
  <si>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</si>
  <si>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</si>
  <si>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</si>
  <si>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</si>
  <si>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</si>
  <si>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</si>
  <si>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</si>
  <si>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</si>
  <si>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</si>
  <si>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</si>
  <si>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</si>
  <si>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</si>
  <si>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</si>
  <si>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</si>
  <si>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</si>
  <si>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</si>
  <si>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</si>
  <si>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</si>
  <si>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</si>
  <si>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</si>
  <si>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</si>
  <si>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</si>
  <si>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</si>
  <si>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</si>
  <si>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</si>
  <si>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</si>
  <si>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</si>
  <si>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</si>
  <si>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</si>
  <si>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</si>
  <si>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</si>
  <si>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</si>
  <si>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</si>
  <si>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</si>
  <si>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</si>
  <si>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</si>
  <si>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</si>
  <si>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</si>
  <si>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</si>
  <si>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</si>
  <si>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</si>
  <si>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</si>
  <si>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</si>
  <si>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</si>
  <si>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</si>
  <si>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</si>
  <si>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</si>
  <si>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</si>
  <si>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</si>
  <si>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</si>
  <si>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</si>
  <si>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</si>
  <si>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</si>
  <si>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</si>
  <si>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</si>
  <si>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</si>
  <si>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</si>
  <si>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</si>
  <si>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</si>
  <si>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</si>
  <si>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</si>
  <si>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</si>
  <si>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</si>
  <si>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</si>
  <si>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</si>
  <si>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</si>
  <si>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</si>
  <si>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</si>
  <si>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</si>
  <si>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</si>
  <si>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</si>
  <si>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</si>
  <si>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</si>
  <si>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</si>
  <si>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</si>
  <si>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</si>
  <si>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</si>
  <si>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</si>
  <si>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</si>
  <si>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</si>
  <si>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</si>
  <si>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</si>
  <si>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</si>
  <si>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</si>
  <si>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</si>
  <si>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</si>
  <si>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</si>
  <si>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</si>
  <si>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</si>
  <si>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</si>
  <si>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</si>
  <si>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</si>
  <si>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</si>
  <si>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</si>
  <si>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</si>
  <si>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</si>
  <si>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</si>
  <si>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</si>
  <si>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</si>
  <si>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</si>
  <si>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</si>
  <si>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</si>
  <si>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</si>
  <si>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</si>
  <si>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</si>
  <si>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</si>
  <si>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</si>
  <si>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</si>
  <si>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</si>
  <si>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</si>
  <si>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</si>
  <si>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</si>
  <si>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</si>
  <si>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</si>
  <si>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</si>
  <si>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</si>
  <si>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</si>
  <si>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</si>
  <si>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</si>
  <si>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</si>
  <si>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</si>
  <si>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</si>
  <si>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</si>
  <si>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</si>
  <si>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</si>
  <si>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</si>
  <si>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</si>
  <si>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</si>
  <si>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</si>
  <si>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</si>
  <si>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</si>
  <si>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</si>
  <si>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</si>
  <si>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</si>
  <si>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</si>
  <si>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</si>
  <si>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</si>
  <si>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</si>
  <si>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</si>
  <si>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</si>
  <si>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</si>
  <si>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</si>
  <si>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</si>
  <si>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</si>
  <si>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</si>
  <si>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</si>
  <si>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</si>
  <si>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</si>
  <si>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</si>
  <si>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</si>
  <si>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</si>
  <si>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</si>
  <si>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</si>
  <si>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</si>
  <si>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</si>
  <si>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</si>
  <si>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</si>
  <si>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</si>
  <si>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</si>
  <si>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</si>
  <si>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</si>
  <si>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</si>
  <si>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</si>
  <si>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</si>
  <si>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</si>
  <si>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</si>
  <si>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</si>
  <si>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</si>
  <si>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</si>
  <si>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</si>
  <si>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</si>
  <si>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</si>
  <si>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</si>
  <si>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</si>
  <si>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</si>
  <si>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</si>
  <si>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</si>
  <si>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</si>
  <si>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</si>
  <si>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</si>
  <si>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</si>
  <si>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</si>
  <si>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</si>
  <si>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</si>
  <si>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</si>
  <si>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</si>
  <si>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</si>
  <si>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</si>
  <si>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</si>
  <si>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</si>
  <si>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</si>
  <si>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</si>
  <si>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</si>
  <si>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</si>
  <si>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</si>
  <si>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</si>
  <si>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</si>
  <si>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</si>
  <si>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</si>
  <si>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</si>
  <si>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</si>
  <si>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</si>
  <si>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</si>
  <si>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</si>
  <si>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</si>
  <si>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</si>
  <si>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</si>
  <si>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</si>
  <si>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</si>
  <si>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</si>
  <si>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</si>
  <si>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</si>
  <si>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</si>
  <si>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</si>
  <si>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</si>
  <si>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</si>
  <si>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</si>
  <si>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</si>
  <si>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</si>
  <si>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</si>
  <si>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</si>
  <si>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</si>
  <si>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</si>
  <si>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</si>
  <si>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</si>
  <si>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</si>
  <si>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</si>
  <si>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</si>
  <si>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</si>
  <si>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</si>
  <si>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</si>
  <si>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</si>
  <si>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</si>
  <si>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</si>
  <si>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</si>
  <si>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</si>
  <si>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</si>
  <si>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</si>
  <si>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</si>
  <si>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</si>
  <si>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</si>
  <si>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</si>
  <si>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</si>
  <si>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</si>
  <si>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</si>
  <si>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</si>
  <si>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</si>
  <si>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</si>
  <si>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</si>
  <si>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</si>
  <si>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</si>
  <si>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</si>
  <si>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</si>
  <si>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</si>
  <si>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</si>
  <si>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</si>
  <si>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</si>
  <si>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</si>
  <si>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</si>
  <si>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</si>
  <si>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</si>
  <si>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</si>
  <si>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</si>
  <si>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</si>
  <si>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</si>
  <si>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</si>
  <si>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</si>
  <si>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</si>
  <si>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</si>
  <si>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</si>
  <si>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</si>
  <si>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</si>
  <si>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</si>
  <si>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</si>
  <si>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</si>
  <si>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</si>
  <si>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</si>
  <si>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</si>
  <si>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</si>
  <si>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</si>
  <si>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</si>
  <si>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</si>
  <si>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</si>
  <si>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</si>
  <si>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</si>
  <si>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</si>
  <si>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</si>
  <si>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</si>
  <si>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</si>
  <si>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</si>
  <si>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</si>
  <si>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</si>
  <si>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</si>
  <si>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</si>
  <si>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</si>
  <si>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</si>
  <si>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</si>
  <si>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</si>
  <si>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</si>
  <si>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</si>
  <si>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</si>
  <si>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</si>
  <si>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</si>
  <si>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</si>
  <si>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</si>
  <si>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</si>
  <si>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</si>
  <si>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</si>
  <si>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</si>
  <si>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</si>
  <si>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</si>
  <si>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</si>
  <si>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</si>
  <si>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</si>
  <si>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</si>
  <si>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</si>
  <si>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</si>
  <si>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</si>
  <si>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</si>
  <si>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</si>
  <si>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</si>
  <si>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</si>
  <si>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</si>
  <si>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</si>
  <si>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</si>
  <si>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</si>
  <si>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</si>
  <si>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</si>
  <si>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</si>
  <si>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</si>
  <si>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</si>
  <si>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</si>
  <si>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</si>
  <si>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</si>
  <si>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</si>
  <si>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</si>
  <si>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</si>
  <si>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</si>
  <si>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</si>
  <si>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</si>
  <si>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</si>
  <si>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</si>
  <si>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</si>
  <si>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</si>
  <si>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</si>
  <si>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</si>
  <si>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</si>
  <si>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</si>
  <si>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</si>
  <si>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</si>
  <si>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</si>
  <si>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</si>
  <si>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</si>
  <si>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</si>
  <si>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</si>
  <si>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</si>
  <si>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</si>
  <si>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</si>
  <si>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</si>
  <si>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</si>
  <si>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</si>
  <si>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FECHA</t>
  </si>
  <si>
    <t>ENTRADA</t>
  </si>
  <si>
    <t>SALIDA</t>
  </si>
  <si>
    <t>OBSERVACION</t>
  </si>
  <si>
    <t>Indicador</t>
  </si>
  <si>
    <t>Valor</t>
  </si>
  <si>
    <t>Total Productos</t>
  </si>
  <si>
    <t>Bethel</t>
  </si>
  <si>
    <t>K2</t>
  </si>
  <si>
    <t>Genérica</t>
  </si>
  <si>
    <t>500 ml</t>
  </si>
  <si>
    <t>2 L</t>
  </si>
  <si>
    <t>10 L</t>
  </si>
  <si>
    <t>20 L</t>
  </si>
  <si>
    <t>25 kg</t>
  </si>
  <si>
    <t>Control de fotos del catálogo</t>
  </si>
  <si>
    <t>Cómo usarla: revisá cada imagen y completá DECISIÓN con MANTENER o REEMPLAZAR. Para las urgentes, reemplazá la imagen antes de publicar la campaña.</t>
  </si>
  <si>
    <t>CÓDIGO</t>
  </si>
  <si>
    <t>ARCHIVO ACTUAL</t>
  </si>
  <si>
    <t>PRIORIDAD</t>
  </si>
  <si>
    <t>HALLAZGO</t>
  </si>
  <si>
    <t>FOTO RECOMENDADA</t>
  </si>
  <si>
    <t>DECISIÓN</t>
  </si>
  <si>
    <t>NOTAS</t>
  </si>
  <si>
    <t>PENDIENTE</t>
  </si>
  <si>
    <t>Revisar manualmente: producto correcto, imagen nítida, fondo limpio y sin marcas ajenas.</t>
  </si>
  <si>
    <t>Si se reemplaza: foto real del producto, fondo blanco o neutro, buena luz y encuadre cuadrado.</t>
  </si>
  <si>
    <t>URGENTE</t>
  </si>
  <si>
    <t>Arte de promoción con identidad y datos que deben actualizarse.</t>
  </si>
  <si>
    <t>Nuevo arte de promo con identidad actual, fotos reales y precio vigente.</t>
  </si>
  <si>
    <t>La imagen muestra la marca anterior Química Bethel.</t>
  </si>
  <si>
    <t>Foto real del pack sin marca anterior, sobre fondo limpio.</t>
  </si>
  <si>
    <t>Supuestos para el precio de venta</t>
  </si>
  <si>
    <t>Margen bruto objetivo</t>
  </si>
  <si>
    <t>%</t>
  </si>
  <si>
    <t>Precio calculado para dejar 40% de margen luego de costos y comisión.</t>
  </si>
  <si>
    <t>Supuesto</t>
  </si>
  <si>
    <t>Unidad</t>
  </si>
  <si>
    <t>Nota</t>
  </si>
  <si>
    <t>Productos promedio por pedido</t>
  </si>
  <si>
    <t>productos</t>
  </si>
  <si>
    <t>Punto medio de 2 a 6 productos.</t>
  </si>
  <si>
    <t>Viático de abastecimiento por pedido</t>
  </si>
  <si>
    <t>$ / pedido</t>
  </si>
  <si>
    <t>Costo de ir a comprar y llevar los productos.</t>
  </si>
  <si>
    <t>Costo real de entrega por pedido</t>
  </si>
  <si>
    <t>Costo del reparto al cliente.</t>
  </si>
  <si>
    <t>Envío cobrado de referencia</t>
  </si>
  <si>
    <t>Tramo recomendado para compras de $15.000 a $19.999.</t>
  </si>
  <si>
    <t>Comisión de cobro QR Mercado Pago</t>
  </si>
  <si>
    <t>0,8% + IVA. Efectivo o transferencia directa: 0%.</t>
  </si>
  <si>
    <t>Empaque promedio por producto</t>
  </si>
  <si>
    <t>$ / producto</t>
  </si>
  <si>
    <t>Editable: completalo cuando tengas ese costo.</t>
  </si>
  <si>
    <t>Fórmula aplicada a PRECIO VENTA AJUSTADO</t>
  </si>
  <si>
    <t>(Costo del producto + Empaque por producto + Viático prorrateado + Subsidio de envío prorrateado) / (1 - Comisión de cobro - Margen bruto objetivo).
La comisión está calculada como porcentaje del precio final. Los importes amarillos son editables; las fórmulas del catálogo se actualizan al abrir Excel.</t>
  </si>
  <si>
    <t>Tarifas de envío a domicilio — referencia operativa</t>
  </si>
  <si>
    <t>Compra de productos</t>
  </si>
  <si>
    <t>Envío a cobrar</t>
  </si>
  <si>
    <t>Costo real de entrega</t>
  </si>
  <si>
    <t>Subsidio absorbido</t>
  </si>
  <si>
    <t>Mensaje comercial</t>
  </si>
  <si>
    <t>$10.000 a $14.999</t>
  </si>
  <si>
    <t>Envío a domicilio $2.990</t>
  </si>
  <si>
    <t>$15.000 a $19.999</t>
  </si>
  <si>
    <t>Envío a domicilio $2.490</t>
  </si>
  <si>
    <t>Desde $20.000</t>
  </si>
  <si>
    <t>Envío desde $1.990</t>
  </si>
  <si>
    <t>Política: se cobra un envío proporcional para atraer pedidos; el negocio absorbe la diferencia entre la tarifa y el costo real. La fórmula de precios usa el subsidio del tramo medio ($2.490 de envío).</t>
  </si>
  <si>
    <t>Control de cálculo de precios</t>
  </si>
  <si>
    <t>Control</t>
  </si>
  <si>
    <t>Resultado</t>
  </si>
  <si>
    <t>Productos con costo y precio ajustado</t>
  </si>
  <si>
    <t>Filas con productos cargados</t>
  </si>
  <si>
    <t>Margen bruto promedio estimado</t>
  </si>
  <si>
    <t>Estado</t>
  </si>
  <si>
    <t>RJR015-REPASADOR</t>
  </si>
  <si>
    <t>CIF001</t>
  </si>
  <si>
    <t>CIF</t>
  </si>
  <si>
    <t>KING</t>
  </si>
  <si>
    <t>Limpiador Cremoso CIF x 5 litros</t>
  </si>
  <si>
    <t>CIF001.jpg</t>
  </si>
  <si>
    <t>CIF limpiador cremoso</t>
  </si>
  <si>
    <t>CIF002</t>
  </si>
  <si>
    <t>Limpiador Cremoso CIF x 1 litros</t>
  </si>
  <si>
    <t>CIF002.jpg</t>
  </si>
  <si>
    <t>CIF-CREMOSO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</si>
</sst>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;\-"/>
    <numFmt numFmtId="165" formatCode="0.0%;[Red]\(0.0%\);\-"/>
    <numFmt numFmtId="166" formatCode="0.0%"/>
  </numFmts>
  <fonts count="9" x14ac:knownFonts="1">
    <font>
      <sz val="11"/>
      <color theme="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1B5E20"/>
      <name val="Calibri"/>
    </font>
    <font>
      <b/>
      <sz val="11"/>
      <color rgb="FF0000FF"/>
      <name val="Calibri"/>
    </font>
    <font>
      <b/>
      <sz val="11"/>
      <color rgb="FF0F172A"/>
      <name val="Calibri"/>
    </font>
    <font>
      <b/>
      <sz val="11"/>
      <color theme="1"/>
      <name val="Calibri"/>
    </font>
    <font>
      <b/>
      <sz val="15"/>
      <color rgb="FFFFFFFF"/>
      <name val="Calibri"/>
    </font>
    <font>
      <i/>
      <sz val="11"/>
      <color rgb="FF7A4E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4C5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8FAFC"/>
      </patternFill>
    </fill>
    <fill>
      <patternFill patternType="solid">
        <fgColor rgb="FF0F4C5C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6">
    <border>
      <left/>
      <right/>
      <top/>
      <bottom/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7E7"/>
      </left>
      <right/>
      <top style="thin">
        <color rgb="FFB4C7E7"/>
      </top>
      <bottom/>
      <diagonal/>
    </border>
    <border>
      <left/>
      <right/>
      <top style="thin">
        <color rgb="FFB4C7E7"/>
      </top>
      <bottom/>
      <diagonal/>
    </border>
    <border>
      <left/>
      <right style="thin">
        <color rgb="FFD9E2F3"/>
      </right>
      <top style="thin">
        <color rgb="FFB4C7E7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B4C7E7"/>
      </top>
      <bottom style="thin">
        <color rgb="FFD9E2F3"/>
      </bottom>
      <diagonal/>
    </border>
    <border>
      <left style="thin">
        <color rgb="FFD9E2F3"/>
      </left>
      <right style="thin">
        <color rgb="FFB4C7E7"/>
      </right>
      <top style="thin">
        <color rgb="FFB4C7E7"/>
      </top>
      <bottom style="thin">
        <color rgb="FFD9E2F3"/>
      </bottom>
      <diagonal/>
    </border>
    <border>
      <left style="thin">
        <color rgb="FFB4C7E7"/>
      </left>
      <right/>
      <top/>
      <bottom/>
      <diagonal/>
    </border>
    <border>
      <left style="thin">
        <color rgb="FFD9E2F3"/>
      </left>
      <right style="thin">
        <color rgb="FFB4C7E7"/>
      </right>
      <top style="thin">
        <color rgb="FFD9E2F3"/>
      </top>
      <bottom style="thin">
        <color rgb="FFD9E2F3"/>
      </bottom>
      <diagonal/>
    </border>
    <border>
      <left style="thin">
        <color rgb="FFB4C7E7"/>
      </left>
      <right/>
      <top/>
      <bottom style="thin">
        <color rgb="FFB4C7E7"/>
      </bottom>
      <diagonal/>
    </border>
    <border>
      <left/>
      <right/>
      <top/>
      <bottom style="thin">
        <color rgb="FFB4C7E7"/>
      </bottom>
      <diagonal/>
    </border>
    <border>
      <left/>
      <right style="thin">
        <color rgb="FFD9E2F3"/>
      </right>
      <top style="thin">
        <color rgb="FFD9E2F3"/>
      </top>
      <bottom style="thin">
        <color rgb="FFB4C7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B4C7E7"/>
      </bottom>
      <diagonal/>
    </border>
    <border>
      <left style="thin">
        <color rgb="FFD9E2F3"/>
      </left>
      <right style="thin">
        <color rgb="FFB4C7E7"/>
      </right>
      <top style="thin">
        <color rgb="FFD9E2F3"/>
      </top>
      <bottom style="thin">
        <color rgb="FFB4C7E7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164" fontId="0" fillId="0" borderId="1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8" xfId="0" applyBorder="1"/>
    <xf numFmtId="165" fontId="0" fillId="0" borderId="9" xfId="0" applyNumberFormat="1" applyBorder="1"/>
    <xf numFmtId="0" fontId="0" fillId="0" borderId="10" xfId="0" applyBorder="1"/>
    <xf numFmtId="0" fontId="0" fillId="0" borderId="11" xfId="0" applyBorder="1"/>
    <xf numFmtId="164" fontId="0" fillId="0" borderId="12" xfId="0" applyNumberFormat="1" applyBorder="1"/>
    <xf numFmtId="164" fontId="0" fillId="0" borderId="13" xfId="0" applyNumberFormat="1" applyBorder="1"/>
    <xf numFmtId="165" fontId="0" fillId="0" borderId="13" xfId="0" applyNumberFormat="1" applyBorder="1"/>
    <xf numFmtId="165" fontId="0" fillId="0" borderId="14" xfId="0" applyNumberFormat="1" applyBorder="1"/>
    <xf numFmtId="0" fontId="0" fillId="0" borderId="15" xfId="0" applyBorder="1"/>
    <xf numFmtId="0" fontId="5" fillId="6" borderId="15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vertical="center" wrapText="1"/>
    </xf>
    <xf numFmtId="166" fontId="4" fillId="5" borderId="15" xfId="0" applyNumberFormat="1" applyFont="1" applyFill="1" applyBorder="1" applyAlignment="1">
      <alignment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0" fontId="4" fillId="5" borderId="15" xfId="0" applyFont="1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164" fontId="4" fillId="5" borderId="15" xfId="0" applyNumberFormat="1" applyFont="1" applyFill="1" applyBorder="1" applyAlignment="1">
      <alignment vertical="center" wrapText="1"/>
    </xf>
    <xf numFmtId="164" fontId="0" fillId="0" borderId="15" xfId="0" applyNumberFormat="1" applyBorder="1"/>
    <xf numFmtId="0" fontId="6" fillId="6" borderId="15" xfId="0" applyFont="1" applyFill="1" applyBorder="1"/>
    <xf numFmtId="166" fontId="0" fillId="0" borderId="15" xfId="0" applyNumberFormat="1" applyBorder="1"/>
    <xf numFmtId="0" fontId="5" fillId="1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0" fillId="7" borderId="0" xfId="0" applyFill="1" applyAlignment="1">
      <alignment vertical="center" wrapText="1"/>
    </xf>
    <xf numFmtId="0" fontId="7" fillId="3" borderId="0" xfId="0" applyFont="1" applyFill="1" applyAlignment="1">
      <alignment horizontal="center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2">
    <dxf>
      <font>
        <b/>
        <color rgb="FFC00000"/>
      </font>
      <fill>
        <patternFill>
          <bgColor rgb="FFFCE4D6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"/>
  <sheetViews>
    <sheetView tabSelected="1" topLeftCell="J222" workbookViewId="0">
      <selection activeCell="J236" sqref="J236"/>
    </sheetView>
  </sheetViews>
  <sheetFormatPr defaultColWidth="9.1796875" defaultRowHeight="14.5" x14ac:dyDescent="0.35"/>
  <cols>
    <col min="6" max="6" width="26.1796875" customWidth="1"/>
    <col min="7" max="7" width="23" customWidth="1"/>
    <col min="20" max="24" width="16" customWidth="1"/>
    <col min="25" max="25" width="20" customWidth="1"/>
    <col min="26" max="27" width="16" customWidth="1"/>
  </cols>
  <sheetData>
    <row r="1" spans="1:29" ht="25.4" customHeigh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6" t="s">
        <v>27</v>
      </c>
      <c r="AC1" s="6" t="s">
        <v>28</v>
      </c>
    </row>
    <row r="2" spans="1:29" x14ac:dyDescent="0.35">
      <c r="A2" s="10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3300</v>
      </c>
      <c r="K2">
        <v>0.4</v>
      </c>
      <c r="L2">
        <f t="shared" ref="L2:L65" si="0">IF(J2="","",J2*(1+K2))</f>
        <v>4620</v>
      </c>
      <c r="M2" t="s">
        <v>38</v>
      </c>
      <c r="O2" t="s">
        <v>38</v>
      </c>
      <c r="P2" t="s">
        <v>39</v>
      </c>
      <c r="Q2" t="s">
        <v>30</v>
      </c>
      <c r="R2" t="s">
        <v>40</v>
      </c>
      <c r="S2" t="s">
        <v>41</v>
      </c>
      <c r="T2" s="2">
        <f>'SUPUESTOS PRECIOS'!$B$9</f>
        <v>0</v>
      </c>
      <c r="U2" s="3">
        <f>'SUPUESTOS PRECIOS'!$B$5/'SUPUESTOS PRECIOS'!$B$4</f>
        <v>1000</v>
      </c>
      <c r="V2" s="3">
        <f>('SUPUESTOS PRECIOS'!$B$6-'SUPUESTOS PRECIOS'!$B$7)/'SUPUESTOS PRECIOS'!$B$4</f>
        <v>377.5</v>
      </c>
      <c r="W2" s="4">
        <f>'SUPUESTOS PRECIOS'!$B$8</f>
        <v>9.6799999999999994E-3</v>
      </c>
      <c r="X2" s="4">
        <f>'SUPUESTOS PRECIOS'!$B$2</f>
        <v>0.4</v>
      </c>
      <c r="Y2" s="3">
        <f t="shared" ref="Y2:Y65" si="1">IF(OR($B2="",$J2=""),"",ROUND(($J2+$T2+$U2+$V2)/(1-$W2-$X2),-1))</f>
        <v>7920</v>
      </c>
      <c r="Z2" s="3">
        <f t="shared" ref="Z2:Z65" si="2">IF($Y2="","",$Y2-$J2-$T2-$U2-$V2-($Y2*$W2))</f>
        <v>3165.8344000000002</v>
      </c>
      <c r="AA2" s="11">
        <f t="shared" ref="AA2:AA65" si="3">IF($Y2="","",$Z2/$Y2)</f>
        <v>0.39972656565656567</v>
      </c>
    </row>
    <row r="3" spans="1:29" x14ac:dyDescent="0.35">
      <c r="A3" s="10" t="s">
        <v>42</v>
      </c>
      <c r="B3" t="s">
        <v>43</v>
      </c>
      <c r="C3" t="s">
        <v>44</v>
      </c>
      <c r="D3" t="s">
        <v>45</v>
      </c>
      <c r="E3" t="s">
        <v>33</v>
      </c>
      <c r="F3" s="1" t="s">
        <v>46</v>
      </c>
      <c r="G3" t="s">
        <v>35</v>
      </c>
      <c r="H3" t="s">
        <v>36</v>
      </c>
      <c r="I3" t="s">
        <v>47</v>
      </c>
      <c r="J3">
        <v>9000</v>
      </c>
      <c r="K3">
        <v>0.3</v>
      </c>
      <c r="L3">
        <f t="shared" si="0"/>
        <v>11700</v>
      </c>
      <c r="M3" t="s">
        <v>38</v>
      </c>
      <c r="O3" t="s">
        <v>38</v>
      </c>
      <c r="P3" t="s">
        <v>39</v>
      </c>
      <c r="Q3" t="s">
        <v>43</v>
      </c>
      <c r="R3" t="s">
        <v>48</v>
      </c>
      <c r="S3" t="s">
        <v>49</v>
      </c>
      <c r="T3" s="2">
        <f>'SUPUESTOS PRECIOS'!$B$9</f>
        <v>0</v>
      </c>
      <c r="U3" s="3">
        <f>'SUPUESTOS PRECIOS'!$B$5/'SUPUESTOS PRECIOS'!$B$4</f>
        <v>1000</v>
      </c>
      <c r="V3" s="3">
        <f>('SUPUESTOS PRECIOS'!$B$6-'SUPUESTOS PRECIOS'!$B$7)/'SUPUESTOS PRECIOS'!$B$4</f>
        <v>377.5</v>
      </c>
      <c r="W3" s="4">
        <f>'SUPUESTOS PRECIOS'!$B$8</f>
        <v>9.6799999999999994E-3</v>
      </c>
      <c r="X3" s="4">
        <f>'SUPUESTOS PRECIOS'!$B$2</f>
        <v>0.4</v>
      </c>
      <c r="Y3" s="3">
        <f t="shared" si="1"/>
        <v>17580</v>
      </c>
      <c r="Z3" s="3">
        <f t="shared" si="2"/>
        <v>7032.3256000000001</v>
      </c>
      <c r="AA3" s="11">
        <f t="shared" si="3"/>
        <v>0.40001852104664393</v>
      </c>
    </row>
    <row r="4" spans="1:29" x14ac:dyDescent="0.35">
      <c r="A4" s="10" t="s">
        <v>50</v>
      </c>
      <c r="B4" t="s">
        <v>51</v>
      </c>
      <c r="C4" t="s">
        <v>44</v>
      </c>
      <c r="D4" t="s">
        <v>52</v>
      </c>
      <c r="E4" t="s">
        <v>33</v>
      </c>
      <c r="F4" t="s">
        <v>53</v>
      </c>
      <c r="G4" t="s">
        <v>35</v>
      </c>
      <c r="H4" t="s">
        <v>36</v>
      </c>
      <c r="I4" t="s">
        <v>54</v>
      </c>
      <c r="J4">
        <v>2750</v>
      </c>
      <c r="K4">
        <v>0.3</v>
      </c>
      <c r="L4">
        <f t="shared" si="0"/>
        <v>3575</v>
      </c>
      <c r="M4" t="s">
        <v>38</v>
      </c>
      <c r="O4" t="s">
        <v>38</v>
      </c>
      <c r="P4" t="s">
        <v>39</v>
      </c>
      <c r="Q4" t="s">
        <v>51</v>
      </c>
      <c r="R4" t="s">
        <v>55</v>
      </c>
      <c r="S4" t="s">
        <v>56</v>
      </c>
      <c r="T4" s="2">
        <f>'SUPUESTOS PRECIOS'!$B$9</f>
        <v>0</v>
      </c>
      <c r="U4" s="3">
        <f>'SUPUESTOS PRECIOS'!$B$5/'SUPUESTOS PRECIOS'!$B$4</f>
        <v>1000</v>
      </c>
      <c r="V4" s="3">
        <f>('SUPUESTOS PRECIOS'!$B$6-'SUPUESTOS PRECIOS'!$B$7)/'SUPUESTOS PRECIOS'!$B$4</f>
        <v>377.5</v>
      </c>
      <c r="W4" s="4">
        <f>'SUPUESTOS PRECIOS'!$B$8</f>
        <v>9.6799999999999994E-3</v>
      </c>
      <c r="X4" s="4">
        <f>'SUPUESTOS PRECIOS'!$B$2</f>
        <v>0.4</v>
      </c>
      <c r="Y4" s="3">
        <f t="shared" si="1"/>
        <v>6990</v>
      </c>
      <c r="Z4" s="3">
        <f t="shared" si="2"/>
        <v>2794.8368</v>
      </c>
      <c r="AA4" s="11">
        <f t="shared" si="3"/>
        <v>0.39983359084406295</v>
      </c>
    </row>
    <row r="5" spans="1:29" x14ac:dyDescent="0.35">
      <c r="A5" s="10" t="s">
        <v>57</v>
      </c>
      <c r="B5" t="s">
        <v>58</v>
      </c>
      <c r="C5" t="s">
        <v>44</v>
      </c>
      <c r="D5" t="s">
        <v>59</v>
      </c>
      <c r="E5" t="s">
        <v>33</v>
      </c>
      <c r="F5" t="s">
        <v>60</v>
      </c>
      <c r="H5" t="s">
        <v>36</v>
      </c>
      <c r="I5" t="s">
        <v>61</v>
      </c>
      <c r="J5">
        <v>3250</v>
      </c>
      <c r="K5">
        <v>0.3</v>
      </c>
      <c r="L5">
        <f t="shared" si="0"/>
        <v>4225</v>
      </c>
      <c r="M5" t="s">
        <v>38</v>
      </c>
      <c r="O5" t="s">
        <v>38</v>
      </c>
      <c r="P5" t="s">
        <v>39</v>
      </c>
      <c r="Q5" t="s">
        <v>58</v>
      </c>
      <c r="R5" t="s">
        <v>62</v>
      </c>
      <c r="S5" t="s">
        <v>63</v>
      </c>
      <c r="T5" s="2">
        <f>'SUPUESTOS PRECIOS'!$B$9</f>
        <v>0</v>
      </c>
      <c r="U5" s="3">
        <f>'SUPUESTOS PRECIOS'!$B$5/'SUPUESTOS PRECIOS'!$B$4</f>
        <v>1000</v>
      </c>
      <c r="V5" s="3">
        <f>('SUPUESTOS PRECIOS'!$B$6-'SUPUESTOS PRECIOS'!$B$7)/'SUPUESTOS PRECIOS'!$B$4</f>
        <v>377.5</v>
      </c>
      <c r="W5" s="4">
        <f>'SUPUESTOS PRECIOS'!$B$8</f>
        <v>9.6799999999999994E-3</v>
      </c>
      <c r="X5" s="4">
        <f>'SUPUESTOS PRECIOS'!$B$2</f>
        <v>0.4</v>
      </c>
      <c r="Y5" s="3">
        <f t="shared" si="1"/>
        <v>7840</v>
      </c>
      <c r="Z5" s="3">
        <f t="shared" si="2"/>
        <v>3136.6088</v>
      </c>
      <c r="AA5" s="11">
        <f t="shared" si="3"/>
        <v>0.4000776530612245</v>
      </c>
    </row>
    <row r="6" spans="1:29" x14ac:dyDescent="0.35">
      <c r="A6" s="10" t="s">
        <v>64</v>
      </c>
      <c r="B6" t="s">
        <v>65</v>
      </c>
      <c r="C6" t="s">
        <v>66</v>
      </c>
      <c r="D6" t="s">
        <v>67</v>
      </c>
      <c r="E6" t="s">
        <v>33</v>
      </c>
      <c r="F6" t="s">
        <v>68</v>
      </c>
      <c r="G6" t="s">
        <v>69</v>
      </c>
      <c r="H6" t="s">
        <v>36</v>
      </c>
      <c r="I6" t="s">
        <v>70</v>
      </c>
      <c r="J6">
        <v>5000</v>
      </c>
      <c r="K6">
        <v>0.3</v>
      </c>
      <c r="L6">
        <f t="shared" si="0"/>
        <v>6500</v>
      </c>
      <c r="M6" t="s">
        <v>38</v>
      </c>
      <c r="O6" t="s">
        <v>38</v>
      </c>
      <c r="P6" t="s">
        <v>39</v>
      </c>
      <c r="Q6" t="s">
        <v>65</v>
      </c>
      <c r="R6" t="s">
        <v>71</v>
      </c>
      <c r="S6" t="s">
        <v>72</v>
      </c>
      <c r="T6" s="2">
        <f>'SUPUESTOS PRECIOS'!$B$9</f>
        <v>0</v>
      </c>
      <c r="U6" s="3">
        <f>'SUPUESTOS PRECIOS'!$B$5/'SUPUESTOS PRECIOS'!$B$4</f>
        <v>1000</v>
      </c>
      <c r="V6" s="3">
        <f>('SUPUESTOS PRECIOS'!$B$6-'SUPUESTOS PRECIOS'!$B$7)/'SUPUESTOS PRECIOS'!$B$4</f>
        <v>377.5</v>
      </c>
      <c r="W6" s="4">
        <f>'SUPUESTOS PRECIOS'!$B$8</f>
        <v>9.6799999999999994E-3</v>
      </c>
      <c r="X6" s="4">
        <f>'SUPUESTOS PRECIOS'!$B$2</f>
        <v>0.4</v>
      </c>
      <c r="Y6" s="3">
        <f t="shared" si="1"/>
        <v>10800</v>
      </c>
      <c r="Z6" s="3">
        <f t="shared" si="2"/>
        <v>4317.9560000000001</v>
      </c>
      <c r="AA6" s="11">
        <f t="shared" si="3"/>
        <v>0.39981074074074074</v>
      </c>
    </row>
    <row r="7" spans="1:29" x14ac:dyDescent="0.35">
      <c r="A7" s="10" t="s">
        <v>73</v>
      </c>
      <c r="B7" t="s">
        <v>74</v>
      </c>
      <c r="C7" t="s">
        <v>66</v>
      </c>
      <c r="D7" t="s">
        <v>75</v>
      </c>
      <c r="E7" t="s">
        <v>33</v>
      </c>
      <c r="F7" t="s">
        <v>76</v>
      </c>
      <c r="G7" t="s">
        <v>77</v>
      </c>
      <c r="H7" t="s">
        <v>36</v>
      </c>
      <c r="I7" t="s">
        <v>78</v>
      </c>
      <c r="J7">
        <v>4000</v>
      </c>
      <c r="K7">
        <v>0.3</v>
      </c>
      <c r="L7">
        <f t="shared" si="0"/>
        <v>5200</v>
      </c>
      <c r="M7" t="s">
        <v>38</v>
      </c>
      <c r="O7" t="s">
        <v>38</v>
      </c>
      <c r="P7" t="s">
        <v>39</v>
      </c>
      <c r="Q7" t="s">
        <v>74</v>
      </c>
      <c r="R7" t="s">
        <v>79</v>
      </c>
      <c r="S7" t="s">
        <v>80</v>
      </c>
      <c r="T7" s="2">
        <f>'SUPUESTOS PRECIOS'!$B$9</f>
        <v>0</v>
      </c>
      <c r="U7" s="3">
        <f>'SUPUESTOS PRECIOS'!$B$5/'SUPUESTOS PRECIOS'!$B$4</f>
        <v>1000</v>
      </c>
      <c r="V7" s="3">
        <f>('SUPUESTOS PRECIOS'!$B$6-'SUPUESTOS PRECIOS'!$B$7)/'SUPUESTOS PRECIOS'!$B$4</f>
        <v>377.5</v>
      </c>
      <c r="W7" s="4">
        <f>'SUPUESTOS PRECIOS'!$B$8</f>
        <v>9.6799999999999994E-3</v>
      </c>
      <c r="X7" s="4">
        <f>'SUPUESTOS PRECIOS'!$B$2</f>
        <v>0.4</v>
      </c>
      <c r="Y7" s="3">
        <f t="shared" si="1"/>
        <v>9110</v>
      </c>
      <c r="Z7" s="3">
        <f t="shared" si="2"/>
        <v>3644.3152</v>
      </c>
      <c r="AA7" s="11">
        <f t="shared" si="3"/>
        <v>0.40003459934138308</v>
      </c>
    </row>
    <row r="8" spans="1:29" x14ac:dyDescent="0.35">
      <c r="A8" s="10" t="s">
        <v>81</v>
      </c>
      <c r="B8" t="s">
        <v>82</v>
      </c>
      <c r="C8" t="s">
        <v>66</v>
      </c>
      <c r="D8" t="s">
        <v>75</v>
      </c>
      <c r="E8" t="s">
        <v>83</v>
      </c>
      <c r="F8" t="s">
        <v>84</v>
      </c>
      <c r="H8" t="s">
        <v>85</v>
      </c>
      <c r="I8" t="s">
        <v>86</v>
      </c>
      <c r="J8">
        <v>20000</v>
      </c>
      <c r="K8">
        <v>0.3</v>
      </c>
      <c r="L8">
        <f t="shared" si="0"/>
        <v>26000</v>
      </c>
      <c r="M8" t="s">
        <v>38</v>
      </c>
      <c r="O8" t="s">
        <v>38</v>
      </c>
      <c r="P8" t="s">
        <v>39</v>
      </c>
      <c r="Q8" t="s">
        <v>82</v>
      </c>
      <c r="R8" t="s">
        <v>87</v>
      </c>
      <c r="S8" t="s">
        <v>80</v>
      </c>
      <c r="T8" s="2">
        <f>'SUPUESTOS PRECIOS'!$B$9</f>
        <v>0</v>
      </c>
      <c r="U8" s="3">
        <f>'SUPUESTOS PRECIOS'!$B$5/'SUPUESTOS PRECIOS'!$B$4</f>
        <v>1000</v>
      </c>
      <c r="V8" s="3">
        <f>('SUPUESTOS PRECIOS'!$B$6-'SUPUESTOS PRECIOS'!$B$7)/'SUPUESTOS PRECIOS'!$B$4</f>
        <v>377.5</v>
      </c>
      <c r="W8" s="4">
        <f>'SUPUESTOS PRECIOS'!$B$8</f>
        <v>9.6799999999999994E-3</v>
      </c>
      <c r="X8" s="4">
        <f>'SUPUESTOS PRECIOS'!$B$2</f>
        <v>0.4</v>
      </c>
      <c r="Y8" s="3">
        <f t="shared" si="1"/>
        <v>36210</v>
      </c>
      <c r="Z8" s="3">
        <f t="shared" si="2"/>
        <v>14481.9872</v>
      </c>
      <c r="AA8" s="11">
        <f t="shared" si="3"/>
        <v>0.39994441314553991</v>
      </c>
    </row>
    <row r="9" spans="1:29" x14ac:dyDescent="0.35">
      <c r="A9" s="10" t="s">
        <v>88</v>
      </c>
      <c r="B9" t="s">
        <v>89</v>
      </c>
      <c r="C9" t="s">
        <v>90</v>
      </c>
      <c r="D9" t="s">
        <v>91</v>
      </c>
      <c r="E9" t="s">
        <v>33</v>
      </c>
      <c r="F9" t="s">
        <v>92</v>
      </c>
      <c r="G9" t="s">
        <v>93</v>
      </c>
      <c r="H9" t="s">
        <v>94</v>
      </c>
      <c r="I9" t="s">
        <v>95</v>
      </c>
      <c r="J9">
        <v>2200</v>
      </c>
      <c r="K9">
        <v>0.3</v>
      </c>
      <c r="L9">
        <f t="shared" si="0"/>
        <v>2860</v>
      </c>
      <c r="M9" t="s">
        <v>38</v>
      </c>
      <c r="O9" t="s">
        <v>38</v>
      </c>
      <c r="P9" t="s">
        <v>39</v>
      </c>
      <c r="Q9" t="s">
        <v>89</v>
      </c>
      <c r="R9" t="s">
        <v>96</v>
      </c>
      <c r="S9" t="s">
        <v>97</v>
      </c>
      <c r="T9" s="2">
        <f>'SUPUESTOS PRECIOS'!$B$9</f>
        <v>0</v>
      </c>
      <c r="U9" s="3">
        <f>'SUPUESTOS PRECIOS'!$B$5/'SUPUESTOS PRECIOS'!$B$4</f>
        <v>1000</v>
      </c>
      <c r="V9" s="3">
        <f>('SUPUESTOS PRECIOS'!$B$6-'SUPUESTOS PRECIOS'!$B$7)/'SUPUESTOS PRECIOS'!$B$4</f>
        <v>377.5</v>
      </c>
      <c r="W9" s="4">
        <f>'SUPUESTOS PRECIOS'!$B$8</f>
        <v>9.6799999999999994E-3</v>
      </c>
      <c r="X9" s="4">
        <f>'SUPUESTOS PRECIOS'!$B$2</f>
        <v>0.4</v>
      </c>
      <c r="Y9" s="3">
        <f t="shared" si="1"/>
        <v>6060</v>
      </c>
      <c r="Z9" s="3">
        <f t="shared" si="2"/>
        <v>2423.8391999999999</v>
      </c>
      <c r="AA9" s="11">
        <f t="shared" si="3"/>
        <v>0.39997346534653466</v>
      </c>
    </row>
    <row r="10" spans="1:29" x14ac:dyDescent="0.35">
      <c r="A10" s="10" t="s">
        <v>98</v>
      </c>
      <c r="B10" t="s">
        <v>99</v>
      </c>
      <c r="C10" t="s">
        <v>90</v>
      </c>
      <c r="D10" t="s">
        <v>91</v>
      </c>
      <c r="E10" t="s">
        <v>33</v>
      </c>
      <c r="F10" t="s">
        <v>100</v>
      </c>
      <c r="G10" t="s">
        <v>93</v>
      </c>
      <c r="H10" t="s">
        <v>36</v>
      </c>
      <c r="I10" t="s">
        <v>101</v>
      </c>
      <c r="J10">
        <v>16000</v>
      </c>
      <c r="K10">
        <v>0.3</v>
      </c>
      <c r="L10">
        <f t="shared" si="0"/>
        <v>20800</v>
      </c>
      <c r="M10" t="s">
        <v>38</v>
      </c>
      <c r="O10" t="s">
        <v>38</v>
      </c>
      <c r="P10" t="s">
        <v>39</v>
      </c>
      <c r="Q10" t="s">
        <v>99</v>
      </c>
      <c r="R10" t="s">
        <v>102</v>
      </c>
      <c r="S10" t="s">
        <v>97</v>
      </c>
      <c r="T10" s="2">
        <f>'SUPUESTOS PRECIOS'!$B$9</f>
        <v>0</v>
      </c>
      <c r="U10" s="3">
        <f>'SUPUESTOS PRECIOS'!$B$5/'SUPUESTOS PRECIOS'!$B$4</f>
        <v>1000</v>
      </c>
      <c r="V10" s="3">
        <f>('SUPUESTOS PRECIOS'!$B$6-'SUPUESTOS PRECIOS'!$B$7)/'SUPUESTOS PRECIOS'!$B$4</f>
        <v>377.5</v>
      </c>
      <c r="W10" s="4">
        <f>'SUPUESTOS PRECIOS'!$B$8</f>
        <v>9.6799999999999994E-3</v>
      </c>
      <c r="X10" s="4">
        <f>'SUPUESTOS PRECIOS'!$B$2</f>
        <v>0.4</v>
      </c>
      <c r="Y10" s="3">
        <f t="shared" si="1"/>
        <v>29440</v>
      </c>
      <c r="Z10" s="3">
        <f t="shared" si="2"/>
        <v>11777.5208</v>
      </c>
      <c r="AA10" s="11">
        <f t="shared" si="3"/>
        <v>0.40005165760869565</v>
      </c>
    </row>
    <row r="11" spans="1:29" x14ac:dyDescent="0.35">
      <c r="A11" s="10" t="s">
        <v>103</v>
      </c>
      <c r="B11" t="s">
        <v>104</v>
      </c>
      <c r="C11" t="s">
        <v>105</v>
      </c>
      <c r="D11" t="s">
        <v>106</v>
      </c>
      <c r="E11" t="s">
        <v>33</v>
      </c>
      <c r="F11" t="s">
        <v>107</v>
      </c>
      <c r="H11" t="s">
        <v>36</v>
      </c>
      <c r="I11" t="s">
        <v>108</v>
      </c>
      <c r="J11">
        <v>4600</v>
      </c>
      <c r="K11">
        <v>0.3</v>
      </c>
      <c r="L11">
        <f t="shared" si="0"/>
        <v>5980</v>
      </c>
      <c r="M11" t="s">
        <v>38</v>
      </c>
      <c r="O11" t="s">
        <v>38</v>
      </c>
      <c r="P11" t="s">
        <v>39</v>
      </c>
      <c r="Q11" t="s">
        <v>104</v>
      </c>
      <c r="R11" t="s">
        <v>109</v>
      </c>
      <c r="S11" t="s">
        <v>110</v>
      </c>
      <c r="T11" s="2">
        <f>'SUPUESTOS PRECIOS'!$B$9</f>
        <v>0</v>
      </c>
      <c r="U11" s="3">
        <f>'SUPUESTOS PRECIOS'!$B$5/'SUPUESTOS PRECIOS'!$B$4</f>
        <v>1000</v>
      </c>
      <c r="V11" s="3">
        <f>('SUPUESTOS PRECIOS'!$B$6-'SUPUESTOS PRECIOS'!$B$7)/'SUPUESTOS PRECIOS'!$B$4</f>
        <v>377.5</v>
      </c>
      <c r="W11" s="4">
        <f>'SUPUESTOS PRECIOS'!$B$8</f>
        <v>9.6799999999999994E-3</v>
      </c>
      <c r="X11" s="4">
        <f>'SUPUESTOS PRECIOS'!$B$2</f>
        <v>0.4</v>
      </c>
      <c r="Y11" s="3">
        <f t="shared" si="1"/>
        <v>10130</v>
      </c>
      <c r="Z11" s="3">
        <f t="shared" si="2"/>
        <v>4054.4416000000001</v>
      </c>
      <c r="AA11" s="11">
        <f t="shared" si="3"/>
        <v>0.40024102665350447</v>
      </c>
    </row>
    <row r="12" spans="1:29" x14ac:dyDescent="0.35">
      <c r="A12" s="10" t="s">
        <v>111</v>
      </c>
      <c r="B12" t="s">
        <v>112</v>
      </c>
      <c r="C12" t="s">
        <v>105</v>
      </c>
      <c r="D12" t="s">
        <v>106</v>
      </c>
      <c r="E12" t="s">
        <v>33</v>
      </c>
      <c r="F12" t="s">
        <v>113</v>
      </c>
      <c r="H12" t="s">
        <v>36</v>
      </c>
      <c r="I12" t="s">
        <v>114</v>
      </c>
      <c r="J12">
        <v>5400</v>
      </c>
      <c r="K12">
        <v>0.3</v>
      </c>
      <c r="L12">
        <f t="shared" si="0"/>
        <v>7020</v>
      </c>
      <c r="M12" t="s">
        <v>38</v>
      </c>
      <c r="O12" t="s">
        <v>38</v>
      </c>
      <c r="P12" t="s">
        <v>39</v>
      </c>
      <c r="Q12" t="s">
        <v>112</v>
      </c>
      <c r="R12" t="s">
        <v>115</v>
      </c>
      <c r="S12" t="s">
        <v>110</v>
      </c>
      <c r="T12" s="2">
        <f>'SUPUESTOS PRECIOS'!$B$9</f>
        <v>0</v>
      </c>
      <c r="U12" s="3">
        <f>'SUPUESTOS PRECIOS'!$B$5/'SUPUESTOS PRECIOS'!$B$4</f>
        <v>1000</v>
      </c>
      <c r="V12" s="3">
        <f>('SUPUESTOS PRECIOS'!$B$6-'SUPUESTOS PRECIOS'!$B$7)/'SUPUESTOS PRECIOS'!$B$4</f>
        <v>377.5</v>
      </c>
      <c r="W12" s="4">
        <f>'SUPUESTOS PRECIOS'!$B$8</f>
        <v>9.6799999999999994E-3</v>
      </c>
      <c r="X12" s="4">
        <f>'SUPUESTOS PRECIOS'!$B$2</f>
        <v>0.4</v>
      </c>
      <c r="Y12" s="3">
        <f t="shared" si="1"/>
        <v>11480</v>
      </c>
      <c r="Z12" s="3">
        <f t="shared" si="2"/>
        <v>4591.3735999999999</v>
      </c>
      <c r="AA12" s="11">
        <f t="shared" si="3"/>
        <v>0.39994543554006967</v>
      </c>
    </row>
    <row r="13" spans="1:29" x14ac:dyDescent="0.35">
      <c r="A13" s="10" t="s">
        <v>116</v>
      </c>
      <c r="B13" t="s">
        <v>117</v>
      </c>
      <c r="C13" t="s">
        <v>105</v>
      </c>
      <c r="D13" t="s">
        <v>106</v>
      </c>
      <c r="E13" t="s">
        <v>33</v>
      </c>
      <c r="F13" t="s">
        <v>118</v>
      </c>
      <c r="H13" t="s">
        <v>36</v>
      </c>
      <c r="I13" t="s">
        <v>119</v>
      </c>
      <c r="J13">
        <v>5400</v>
      </c>
      <c r="K13">
        <v>0.3</v>
      </c>
      <c r="L13">
        <f t="shared" si="0"/>
        <v>7020</v>
      </c>
      <c r="M13" t="s">
        <v>38</v>
      </c>
      <c r="O13" t="s">
        <v>38</v>
      </c>
      <c r="P13" t="s">
        <v>39</v>
      </c>
      <c r="Q13" t="s">
        <v>117</v>
      </c>
      <c r="R13" t="s">
        <v>120</v>
      </c>
      <c r="S13" t="s">
        <v>110</v>
      </c>
      <c r="T13" s="2">
        <f>'SUPUESTOS PRECIOS'!$B$9</f>
        <v>0</v>
      </c>
      <c r="U13" s="3">
        <f>'SUPUESTOS PRECIOS'!$B$5/'SUPUESTOS PRECIOS'!$B$4</f>
        <v>1000</v>
      </c>
      <c r="V13" s="3">
        <f>('SUPUESTOS PRECIOS'!$B$6-'SUPUESTOS PRECIOS'!$B$7)/'SUPUESTOS PRECIOS'!$B$4</f>
        <v>377.5</v>
      </c>
      <c r="W13" s="4">
        <f>'SUPUESTOS PRECIOS'!$B$8</f>
        <v>9.6799999999999994E-3</v>
      </c>
      <c r="X13" s="4">
        <f>'SUPUESTOS PRECIOS'!$B$2</f>
        <v>0.4</v>
      </c>
      <c r="Y13" s="3">
        <f t="shared" si="1"/>
        <v>11480</v>
      </c>
      <c r="Z13" s="3">
        <f t="shared" si="2"/>
        <v>4591.3735999999999</v>
      </c>
      <c r="AA13" s="11">
        <f t="shared" si="3"/>
        <v>0.39994543554006967</v>
      </c>
    </row>
    <row r="14" spans="1:29" x14ac:dyDescent="0.35">
      <c r="A14" s="10" t="s">
        <v>121</v>
      </c>
      <c r="B14" t="s">
        <v>122</v>
      </c>
      <c r="C14" t="s">
        <v>105</v>
      </c>
      <c r="D14" t="s">
        <v>106</v>
      </c>
      <c r="E14" t="s">
        <v>33</v>
      </c>
      <c r="F14" t="s">
        <v>123</v>
      </c>
      <c r="H14" t="s">
        <v>36</v>
      </c>
      <c r="I14" t="s">
        <v>124</v>
      </c>
      <c r="J14">
        <v>5400</v>
      </c>
      <c r="K14">
        <v>0.3</v>
      </c>
      <c r="L14">
        <f t="shared" si="0"/>
        <v>7020</v>
      </c>
      <c r="M14" t="s">
        <v>38</v>
      </c>
      <c r="O14" t="s">
        <v>38</v>
      </c>
      <c r="P14" t="s">
        <v>39</v>
      </c>
      <c r="Q14" t="s">
        <v>122</v>
      </c>
      <c r="R14" t="s">
        <v>125</v>
      </c>
      <c r="S14" t="s">
        <v>110</v>
      </c>
      <c r="T14" s="2">
        <f>'SUPUESTOS PRECIOS'!$B$9</f>
        <v>0</v>
      </c>
      <c r="U14" s="3">
        <f>'SUPUESTOS PRECIOS'!$B$5/'SUPUESTOS PRECIOS'!$B$4</f>
        <v>1000</v>
      </c>
      <c r="V14" s="3">
        <f>('SUPUESTOS PRECIOS'!$B$6-'SUPUESTOS PRECIOS'!$B$7)/'SUPUESTOS PRECIOS'!$B$4</f>
        <v>377.5</v>
      </c>
      <c r="W14" s="4">
        <f>'SUPUESTOS PRECIOS'!$B$8</f>
        <v>9.6799999999999994E-3</v>
      </c>
      <c r="X14" s="4">
        <f>'SUPUESTOS PRECIOS'!$B$2</f>
        <v>0.4</v>
      </c>
      <c r="Y14" s="3">
        <f t="shared" si="1"/>
        <v>11480</v>
      </c>
      <c r="Z14" s="3">
        <f t="shared" si="2"/>
        <v>4591.3735999999999</v>
      </c>
      <c r="AA14" s="11">
        <f t="shared" si="3"/>
        <v>0.39994543554006967</v>
      </c>
    </row>
    <row r="15" spans="1:29" x14ac:dyDescent="0.35">
      <c r="A15" s="10" t="s">
        <v>126</v>
      </c>
      <c r="B15" t="s">
        <v>127</v>
      </c>
      <c r="C15" t="s">
        <v>105</v>
      </c>
      <c r="D15" t="s">
        <v>106</v>
      </c>
      <c r="E15" t="s">
        <v>33</v>
      </c>
      <c r="F15" t="s">
        <v>128</v>
      </c>
      <c r="H15" t="s">
        <v>36</v>
      </c>
      <c r="I15" t="s">
        <v>129</v>
      </c>
      <c r="J15">
        <v>7300</v>
      </c>
      <c r="K15">
        <v>0.3</v>
      </c>
      <c r="L15">
        <f t="shared" si="0"/>
        <v>9490</v>
      </c>
      <c r="M15" t="s">
        <v>38</v>
      </c>
      <c r="O15" t="s">
        <v>38</v>
      </c>
      <c r="P15" t="s">
        <v>39</v>
      </c>
      <c r="Q15" t="s">
        <v>127</v>
      </c>
      <c r="R15" t="s">
        <v>130</v>
      </c>
      <c r="S15" t="s">
        <v>110</v>
      </c>
      <c r="T15" s="2">
        <f>'SUPUESTOS PRECIOS'!$B$9</f>
        <v>0</v>
      </c>
      <c r="U15" s="3">
        <f>'SUPUESTOS PRECIOS'!$B$5/'SUPUESTOS PRECIOS'!$B$4</f>
        <v>1000</v>
      </c>
      <c r="V15" s="3">
        <f>('SUPUESTOS PRECIOS'!$B$6-'SUPUESTOS PRECIOS'!$B$7)/'SUPUESTOS PRECIOS'!$B$4</f>
        <v>377.5</v>
      </c>
      <c r="W15" s="4">
        <f>'SUPUESTOS PRECIOS'!$B$8</f>
        <v>9.6799999999999994E-3</v>
      </c>
      <c r="X15" s="4">
        <f>'SUPUESTOS PRECIOS'!$B$2</f>
        <v>0.4</v>
      </c>
      <c r="Y15" s="3">
        <f t="shared" si="1"/>
        <v>14700</v>
      </c>
      <c r="Z15" s="3">
        <f t="shared" si="2"/>
        <v>5880.2039999999997</v>
      </c>
      <c r="AA15" s="11">
        <f t="shared" si="3"/>
        <v>0.40001387755102041</v>
      </c>
    </row>
    <row r="16" spans="1:29" x14ac:dyDescent="0.35">
      <c r="A16" s="10" t="s">
        <v>131</v>
      </c>
      <c r="B16" t="s">
        <v>132</v>
      </c>
      <c r="C16" t="s">
        <v>133</v>
      </c>
      <c r="D16" t="s">
        <v>134</v>
      </c>
      <c r="E16" t="s">
        <v>33</v>
      </c>
      <c r="F16" t="s">
        <v>135</v>
      </c>
      <c r="H16" t="s">
        <v>136</v>
      </c>
      <c r="I16" t="s">
        <v>137</v>
      </c>
      <c r="J16">
        <v>700</v>
      </c>
      <c r="K16">
        <v>0.3</v>
      </c>
      <c r="L16">
        <f t="shared" si="0"/>
        <v>910</v>
      </c>
      <c r="M16" t="s">
        <v>38</v>
      </c>
      <c r="O16" t="s">
        <v>38</v>
      </c>
      <c r="P16" t="s">
        <v>39</v>
      </c>
      <c r="Q16" t="s">
        <v>132</v>
      </c>
      <c r="R16" t="s">
        <v>138</v>
      </c>
      <c r="S16" t="s">
        <v>139</v>
      </c>
      <c r="T16" s="2">
        <f>'SUPUESTOS PRECIOS'!$B$9</f>
        <v>0</v>
      </c>
      <c r="U16" s="3">
        <f>'SUPUESTOS PRECIOS'!$B$5/'SUPUESTOS PRECIOS'!$B$4</f>
        <v>1000</v>
      </c>
      <c r="V16" s="3">
        <f>('SUPUESTOS PRECIOS'!$B$6-'SUPUESTOS PRECIOS'!$B$7)/'SUPUESTOS PRECIOS'!$B$4</f>
        <v>377.5</v>
      </c>
      <c r="W16" s="4">
        <f>'SUPUESTOS PRECIOS'!$B$8</f>
        <v>9.6799999999999994E-3</v>
      </c>
      <c r="X16" s="4">
        <f>'SUPUESTOS PRECIOS'!$B$2</f>
        <v>0.4</v>
      </c>
      <c r="Y16" s="3">
        <f t="shared" si="1"/>
        <v>3520</v>
      </c>
      <c r="Z16" s="3">
        <f t="shared" si="2"/>
        <v>1408.4264000000001</v>
      </c>
      <c r="AA16" s="11">
        <f t="shared" si="3"/>
        <v>0.40012113636363639</v>
      </c>
    </row>
    <row r="17" spans="1:29" x14ac:dyDescent="0.35">
      <c r="A17" s="10" t="s">
        <v>140</v>
      </c>
      <c r="B17" t="s">
        <v>141</v>
      </c>
      <c r="C17" t="s">
        <v>133</v>
      </c>
      <c r="D17" t="s">
        <v>134</v>
      </c>
      <c r="E17" t="s">
        <v>33</v>
      </c>
      <c r="F17" t="s">
        <v>142</v>
      </c>
      <c r="H17" t="s">
        <v>136</v>
      </c>
      <c r="I17" t="s">
        <v>143</v>
      </c>
      <c r="J17">
        <v>300</v>
      </c>
      <c r="K17">
        <v>0.3</v>
      </c>
      <c r="L17">
        <f t="shared" si="0"/>
        <v>390</v>
      </c>
      <c r="M17" t="s">
        <v>38</v>
      </c>
      <c r="O17" t="s">
        <v>38</v>
      </c>
      <c r="P17" t="s">
        <v>39</v>
      </c>
      <c r="Q17" t="s">
        <v>141</v>
      </c>
      <c r="R17" t="s">
        <v>144</v>
      </c>
      <c r="S17" t="s">
        <v>139</v>
      </c>
      <c r="T17" s="2">
        <f>'SUPUESTOS PRECIOS'!$B$9</f>
        <v>0</v>
      </c>
      <c r="U17" s="3">
        <f>'SUPUESTOS PRECIOS'!$B$5/'SUPUESTOS PRECIOS'!$B$4</f>
        <v>1000</v>
      </c>
      <c r="V17" s="3">
        <f>('SUPUESTOS PRECIOS'!$B$6-'SUPUESTOS PRECIOS'!$B$7)/'SUPUESTOS PRECIOS'!$B$4</f>
        <v>377.5</v>
      </c>
      <c r="W17" s="4">
        <f>'SUPUESTOS PRECIOS'!$B$8</f>
        <v>9.6799999999999994E-3</v>
      </c>
      <c r="X17" s="4">
        <f>'SUPUESTOS PRECIOS'!$B$2</f>
        <v>0.4</v>
      </c>
      <c r="Y17" s="3">
        <f t="shared" si="1"/>
        <v>2840</v>
      </c>
      <c r="Z17" s="3">
        <f t="shared" si="2"/>
        <v>1135.0088000000001</v>
      </c>
      <c r="AA17" s="11">
        <f t="shared" si="3"/>
        <v>0.39965098591549297</v>
      </c>
    </row>
    <row r="18" spans="1:29" x14ac:dyDescent="0.35">
      <c r="A18" s="10" t="s">
        <v>145</v>
      </c>
      <c r="B18" t="s">
        <v>146</v>
      </c>
      <c r="C18" t="s">
        <v>133</v>
      </c>
      <c r="D18" t="s">
        <v>134</v>
      </c>
      <c r="E18" t="s">
        <v>33</v>
      </c>
      <c r="F18" t="s">
        <v>147</v>
      </c>
      <c r="H18" t="s">
        <v>136</v>
      </c>
      <c r="I18" t="s">
        <v>148</v>
      </c>
      <c r="J18">
        <v>500</v>
      </c>
      <c r="K18">
        <v>0.3</v>
      </c>
      <c r="L18">
        <f t="shared" si="0"/>
        <v>650</v>
      </c>
      <c r="M18" t="s">
        <v>38</v>
      </c>
      <c r="O18" t="s">
        <v>38</v>
      </c>
      <c r="P18" t="s">
        <v>39</v>
      </c>
      <c r="Q18" t="s">
        <v>146</v>
      </c>
      <c r="R18" t="s">
        <v>149</v>
      </c>
      <c r="S18" t="s">
        <v>139</v>
      </c>
      <c r="T18" s="2">
        <f>'SUPUESTOS PRECIOS'!$B$9</f>
        <v>0</v>
      </c>
      <c r="U18" s="3">
        <f>'SUPUESTOS PRECIOS'!$B$5/'SUPUESTOS PRECIOS'!$B$4</f>
        <v>1000</v>
      </c>
      <c r="V18" s="3">
        <f>('SUPUESTOS PRECIOS'!$B$6-'SUPUESTOS PRECIOS'!$B$7)/'SUPUESTOS PRECIOS'!$B$4</f>
        <v>377.5</v>
      </c>
      <c r="W18" s="4">
        <f>'SUPUESTOS PRECIOS'!$B$8</f>
        <v>9.6799999999999994E-3</v>
      </c>
      <c r="X18" s="4">
        <f>'SUPUESTOS PRECIOS'!$B$2</f>
        <v>0.4</v>
      </c>
      <c r="Y18" s="3">
        <f t="shared" si="1"/>
        <v>3180</v>
      </c>
      <c r="Z18" s="3">
        <f t="shared" si="2"/>
        <v>1271.7175999999999</v>
      </c>
      <c r="AA18" s="11">
        <f t="shared" si="3"/>
        <v>0.39991119496855343</v>
      </c>
    </row>
    <row r="19" spans="1:29" x14ac:dyDescent="0.35">
      <c r="A19" s="10" t="s">
        <v>150</v>
      </c>
      <c r="B19" t="s">
        <v>151</v>
      </c>
      <c r="C19" t="s">
        <v>133</v>
      </c>
      <c r="D19" t="s">
        <v>134</v>
      </c>
      <c r="E19" t="s">
        <v>33</v>
      </c>
      <c r="F19" t="s">
        <v>152</v>
      </c>
      <c r="H19" t="s">
        <v>136</v>
      </c>
      <c r="I19" t="s">
        <v>153</v>
      </c>
      <c r="J19">
        <v>500</v>
      </c>
      <c r="K19">
        <v>0.3</v>
      </c>
      <c r="L19">
        <f t="shared" si="0"/>
        <v>650</v>
      </c>
      <c r="M19" t="s">
        <v>38</v>
      </c>
      <c r="O19" t="s">
        <v>38</v>
      </c>
      <c r="P19" t="s">
        <v>39</v>
      </c>
      <c r="Q19" t="s">
        <v>151</v>
      </c>
      <c r="R19" t="s">
        <v>154</v>
      </c>
      <c r="S19" t="s">
        <v>139</v>
      </c>
      <c r="T19" s="2">
        <f>'SUPUESTOS PRECIOS'!$B$9</f>
        <v>0</v>
      </c>
      <c r="U19" s="3">
        <f>'SUPUESTOS PRECIOS'!$B$5/'SUPUESTOS PRECIOS'!$B$4</f>
        <v>1000</v>
      </c>
      <c r="V19" s="3">
        <f>('SUPUESTOS PRECIOS'!$B$6-'SUPUESTOS PRECIOS'!$B$7)/'SUPUESTOS PRECIOS'!$B$4</f>
        <v>377.5</v>
      </c>
      <c r="W19" s="4">
        <f>'SUPUESTOS PRECIOS'!$B$8</f>
        <v>9.6799999999999994E-3</v>
      </c>
      <c r="X19" s="4">
        <f>'SUPUESTOS PRECIOS'!$B$2</f>
        <v>0.4</v>
      </c>
      <c r="Y19" s="3">
        <f t="shared" si="1"/>
        <v>3180</v>
      </c>
      <c r="Z19" s="3">
        <f t="shared" si="2"/>
        <v>1271.7175999999999</v>
      </c>
      <c r="AA19" s="11">
        <f t="shared" si="3"/>
        <v>0.39991119496855343</v>
      </c>
      <c r="AB19" t="s">
        <v>155</v>
      </c>
      <c r="AC19" t="s">
        <v>156</v>
      </c>
    </row>
    <row r="20" spans="1:29" x14ac:dyDescent="0.35">
      <c r="A20" s="10" t="s">
        <v>157</v>
      </c>
      <c r="B20" t="s">
        <v>158</v>
      </c>
      <c r="C20" t="s">
        <v>133</v>
      </c>
      <c r="D20" t="s">
        <v>134</v>
      </c>
      <c r="E20" t="s">
        <v>33</v>
      </c>
      <c r="F20" t="s">
        <v>159</v>
      </c>
      <c r="H20" t="s">
        <v>136</v>
      </c>
      <c r="I20" t="s">
        <v>160</v>
      </c>
      <c r="J20">
        <v>500</v>
      </c>
      <c r="K20">
        <v>0.3</v>
      </c>
      <c r="L20">
        <f t="shared" si="0"/>
        <v>650</v>
      </c>
      <c r="M20" t="s">
        <v>38</v>
      </c>
      <c r="O20" t="s">
        <v>38</v>
      </c>
      <c r="P20" t="s">
        <v>39</v>
      </c>
      <c r="Q20" t="s">
        <v>158</v>
      </c>
      <c r="R20" t="s">
        <v>161</v>
      </c>
      <c r="S20" t="s">
        <v>139</v>
      </c>
      <c r="T20" s="2">
        <f>'SUPUESTOS PRECIOS'!$B$9</f>
        <v>0</v>
      </c>
      <c r="U20" s="3">
        <f>'SUPUESTOS PRECIOS'!$B$5/'SUPUESTOS PRECIOS'!$B$4</f>
        <v>1000</v>
      </c>
      <c r="V20" s="3">
        <f>('SUPUESTOS PRECIOS'!$B$6-'SUPUESTOS PRECIOS'!$B$7)/'SUPUESTOS PRECIOS'!$B$4</f>
        <v>377.5</v>
      </c>
      <c r="W20" s="4">
        <f>'SUPUESTOS PRECIOS'!$B$8</f>
        <v>9.6799999999999994E-3</v>
      </c>
      <c r="X20" s="4">
        <f>'SUPUESTOS PRECIOS'!$B$2</f>
        <v>0.4</v>
      </c>
      <c r="Y20" s="3">
        <f t="shared" si="1"/>
        <v>3180</v>
      </c>
      <c r="Z20" s="3">
        <f t="shared" si="2"/>
        <v>1271.7175999999999</v>
      </c>
      <c r="AA20" s="11">
        <f t="shared" si="3"/>
        <v>0.39991119496855343</v>
      </c>
    </row>
    <row r="21" spans="1:29" x14ac:dyDescent="0.35">
      <c r="A21" s="10" t="s">
        <v>162</v>
      </c>
      <c r="B21" t="s">
        <v>163</v>
      </c>
      <c r="C21" t="s">
        <v>133</v>
      </c>
      <c r="D21" t="s">
        <v>134</v>
      </c>
      <c r="E21" t="s">
        <v>33</v>
      </c>
      <c r="F21" t="s">
        <v>152</v>
      </c>
      <c r="H21" t="s">
        <v>136</v>
      </c>
      <c r="I21" t="s">
        <v>164</v>
      </c>
      <c r="J21">
        <v>2050</v>
      </c>
      <c r="K21">
        <v>0.3</v>
      </c>
      <c r="L21">
        <f t="shared" si="0"/>
        <v>2665</v>
      </c>
      <c r="M21" t="s">
        <v>38</v>
      </c>
      <c r="O21" t="s">
        <v>38</v>
      </c>
      <c r="P21" t="s">
        <v>39</v>
      </c>
      <c r="Q21" t="s">
        <v>163</v>
      </c>
      <c r="R21" t="s">
        <v>154</v>
      </c>
      <c r="S21" t="s">
        <v>139</v>
      </c>
      <c r="T21" s="2">
        <f>'SUPUESTOS PRECIOS'!$B$9</f>
        <v>0</v>
      </c>
      <c r="U21" s="3">
        <f>'SUPUESTOS PRECIOS'!$B$5/'SUPUESTOS PRECIOS'!$B$4</f>
        <v>1000</v>
      </c>
      <c r="V21" s="3">
        <f>('SUPUESTOS PRECIOS'!$B$6-'SUPUESTOS PRECIOS'!$B$7)/'SUPUESTOS PRECIOS'!$B$4</f>
        <v>377.5</v>
      </c>
      <c r="W21" s="4">
        <f>'SUPUESTOS PRECIOS'!$B$8</f>
        <v>9.6799999999999994E-3</v>
      </c>
      <c r="X21" s="4">
        <f>'SUPUESTOS PRECIOS'!$B$2</f>
        <v>0.4</v>
      </c>
      <c r="Y21" s="3">
        <f t="shared" si="1"/>
        <v>5810</v>
      </c>
      <c r="Z21" s="3">
        <f t="shared" si="2"/>
        <v>2326.2592</v>
      </c>
      <c r="AA21" s="11">
        <f t="shared" si="3"/>
        <v>0.40038884681583475</v>
      </c>
      <c r="AB21" t="s">
        <v>155</v>
      </c>
      <c r="AC21" t="s">
        <v>165</v>
      </c>
    </row>
    <row r="22" spans="1:29" x14ac:dyDescent="0.35">
      <c r="A22" s="10" t="s">
        <v>166</v>
      </c>
      <c r="B22" t="s">
        <v>167</v>
      </c>
      <c r="C22" t="s">
        <v>133</v>
      </c>
      <c r="D22" t="s">
        <v>134</v>
      </c>
      <c r="E22" t="s">
        <v>33</v>
      </c>
      <c r="F22" t="s">
        <v>152</v>
      </c>
      <c r="H22" t="s">
        <v>136</v>
      </c>
      <c r="I22" t="s">
        <v>168</v>
      </c>
      <c r="J22">
        <v>2050</v>
      </c>
      <c r="K22">
        <v>0.3</v>
      </c>
      <c r="L22">
        <f t="shared" si="0"/>
        <v>2665</v>
      </c>
      <c r="M22" t="s">
        <v>38</v>
      </c>
      <c r="O22" t="s">
        <v>38</v>
      </c>
      <c r="P22" t="s">
        <v>39</v>
      </c>
      <c r="Q22" t="s">
        <v>167</v>
      </c>
      <c r="R22" t="s">
        <v>154</v>
      </c>
      <c r="S22" t="s">
        <v>139</v>
      </c>
      <c r="T22" s="2">
        <f>'SUPUESTOS PRECIOS'!$B$9</f>
        <v>0</v>
      </c>
      <c r="U22" s="3">
        <f>'SUPUESTOS PRECIOS'!$B$5/'SUPUESTOS PRECIOS'!$B$4</f>
        <v>1000</v>
      </c>
      <c r="V22" s="3">
        <f>('SUPUESTOS PRECIOS'!$B$6-'SUPUESTOS PRECIOS'!$B$7)/'SUPUESTOS PRECIOS'!$B$4</f>
        <v>377.5</v>
      </c>
      <c r="W22" s="4">
        <f>'SUPUESTOS PRECIOS'!$B$8</f>
        <v>9.6799999999999994E-3</v>
      </c>
      <c r="X22" s="4">
        <f>'SUPUESTOS PRECIOS'!$B$2</f>
        <v>0.4</v>
      </c>
      <c r="Y22" s="3">
        <f t="shared" si="1"/>
        <v>5810</v>
      </c>
      <c r="Z22" s="3">
        <f t="shared" si="2"/>
        <v>2326.2592</v>
      </c>
      <c r="AA22" s="11">
        <f t="shared" si="3"/>
        <v>0.40038884681583475</v>
      </c>
      <c r="AB22" t="s">
        <v>155</v>
      </c>
      <c r="AC22" t="s">
        <v>169</v>
      </c>
    </row>
    <row r="23" spans="1:29" x14ac:dyDescent="0.35">
      <c r="A23" s="10" t="s">
        <v>170</v>
      </c>
      <c r="B23" t="s">
        <v>171</v>
      </c>
      <c r="C23" t="s">
        <v>133</v>
      </c>
      <c r="D23" t="s">
        <v>134</v>
      </c>
      <c r="E23" t="s">
        <v>33</v>
      </c>
      <c r="F23" t="s">
        <v>172</v>
      </c>
      <c r="H23" t="s">
        <v>136</v>
      </c>
      <c r="I23" t="s">
        <v>173</v>
      </c>
      <c r="J23">
        <v>750</v>
      </c>
      <c r="K23">
        <v>0.3</v>
      </c>
      <c r="L23">
        <f t="shared" si="0"/>
        <v>975</v>
      </c>
      <c r="M23" t="s">
        <v>38</v>
      </c>
      <c r="O23" t="s">
        <v>38</v>
      </c>
      <c r="P23" t="s">
        <v>39</v>
      </c>
      <c r="Q23" t="s">
        <v>171</v>
      </c>
      <c r="R23" t="s">
        <v>174</v>
      </c>
      <c r="S23" t="s">
        <v>139</v>
      </c>
      <c r="T23" s="2">
        <f>'SUPUESTOS PRECIOS'!$B$9</f>
        <v>0</v>
      </c>
      <c r="U23" s="3">
        <f>'SUPUESTOS PRECIOS'!$B$5/'SUPUESTOS PRECIOS'!$B$4</f>
        <v>1000</v>
      </c>
      <c r="V23" s="3">
        <f>('SUPUESTOS PRECIOS'!$B$6-'SUPUESTOS PRECIOS'!$B$7)/'SUPUESTOS PRECIOS'!$B$4</f>
        <v>377.5</v>
      </c>
      <c r="W23" s="4">
        <f>'SUPUESTOS PRECIOS'!$B$8</f>
        <v>9.6799999999999994E-3</v>
      </c>
      <c r="X23" s="4">
        <f>'SUPUESTOS PRECIOS'!$B$2</f>
        <v>0.4</v>
      </c>
      <c r="Y23" s="3">
        <f t="shared" si="1"/>
        <v>3600</v>
      </c>
      <c r="Z23" s="3">
        <f t="shared" si="2"/>
        <v>1437.652</v>
      </c>
      <c r="AA23" s="11">
        <f t="shared" si="3"/>
        <v>0.3993477777777778</v>
      </c>
      <c r="AB23" t="s">
        <v>175</v>
      </c>
      <c r="AC23" t="s">
        <v>169</v>
      </c>
    </row>
    <row r="24" spans="1:29" x14ac:dyDescent="0.35">
      <c r="A24" s="10" t="s">
        <v>176</v>
      </c>
      <c r="B24" t="s">
        <v>177</v>
      </c>
      <c r="C24" t="s">
        <v>133</v>
      </c>
      <c r="D24" t="s">
        <v>134</v>
      </c>
      <c r="E24" t="s">
        <v>178</v>
      </c>
      <c r="F24" t="s">
        <v>172</v>
      </c>
      <c r="H24" t="s">
        <v>136</v>
      </c>
      <c r="I24" t="s">
        <v>179</v>
      </c>
      <c r="J24">
        <v>650</v>
      </c>
      <c r="K24">
        <v>0.3</v>
      </c>
      <c r="L24">
        <f t="shared" si="0"/>
        <v>845</v>
      </c>
      <c r="M24" t="s">
        <v>38</v>
      </c>
      <c r="O24" t="s">
        <v>38</v>
      </c>
      <c r="P24" t="s">
        <v>39</v>
      </c>
      <c r="Q24" t="s">
        <v>177</v>
      </c>
      <c r="R24" t="s">
        <v>180</v>
      </c>
      <c r="S24" t="s">
        <v>139</v>
      </c>
      <c r="T24" s="2">
        <f>'SUPUESTOS PRECIOS'!$B$9</f>
        <v>0</v>
      </c>
      <c r="U24" s="3">
        <f>'SUPUESTOS PRECIOS'!$B$5/'SUPUESTOS PRECIOS'!$B$4</f>
        <v>1000</v>
      </c>
      <c r="V24" s="3">
        <f>('SUPUESTOS PRECIOS'!$B$6-'SUPUESTOS PRECIOS'!$B$7)/'SUPUESTOS PRECIOS'!$B$4</f>
        <v>377.5</v>
      </c>
      <c r="W24" s="4">
        <f>'SUPUESTOS PRECIOS'!$B$8</f>
        <v>9.6799999999999994E-3</v>
      </c>
      <c r="X24" s="4">
        <f>'SUPUESTOS PRECIOS'!$B$2</f>
        <v>0.4</v>
      </c>
      <c r="Y24" s="3">
        <f t="shared" si="1"/>
        <v>3430</v>
      </c>
      <c r="Z24" s="3">
        <f t="shared" si="2"/>
        <v>1369.2976000000001</v>
      </c>
      <c r="AA24" s="11">
        <f t="shared" si="3"/>
        <v>0.39921212827988339</v>
      </c>
      <c r="AB24" t="s">
        <v>175</v>
      </c>
      <c r="AC24" t="s">
        <v>165</v>
      </c>
    </row>
    <row r="25" spans="1:29" x14ac:dyDescent="0.35">
      <c r="A25" s="10" t="s">
        <v>181</v>
      </c>
      <c r="B25" t="s">
        <v>182</v>
      </c>
      <c r="C25" t="s">
        <v>133</v>
      </c>
      <c r="D25" t="s">
        <v>134</v>
      </c>
      <c r="E25" t="s">
        <v>33</v>
      </c>
      <c r="F25" t="s">
        <v>183</v>
      </c>
      <c r="H25" t="s">
        <v>136</v>
      </c>
      <c r="I25" t="s">
        <v>184</v>
      </c>
      <c r="J25">
        <v>260</v>
      </c>
      <c r="K25">
        <v>0.3</v>
      </c>
      <c r="L25">
        <f t="shared" si="0"/>
        <v>338</v>
      </c>
      <c r="M25" t="s">
        <v>38</v>
      </c>
      <c r="O25" t="s">
        <v>38</v>
      </c>
      <c r="P25" t="s">
        <v>39</v>
      </c>
      <c r="Q25" t="s">
        <v>185</v>
      </c>
      <c r="R25" t="s">
        <v>186</v>
      </c>
      <c r="S25" t="s">
        <v>139</v>
      </c>
      <c r="T25" s="2">
        <f>'SUPUESTOS PRECIOS'!$B$9</f>
        <v>0</v>
      </c>
      <c r="U25" s="3">
        <f>'SUPUESTOS PRECIOS'!$B$5/'SUPUESTOS PRECIOS'!$B$4</f>
        <v>1000</v>
      </c>
      <c r="V25" s="3">
        <f>('SUPUESTOS PRECIOS'!$B$6-'SUPUESTOS PRECIOS'!$B$7)/'SUPUESTOS PRECIOS'!$B$4</f>
        <v>377.5</v>
      </c>
      <c r="W25" s="4">
        <f>'SUPUESTOS PRECIOS'!$B$8</f>
        <v>9.6799999999999994E-3</v>
      </c>
      <c r="X25" s="4">
        <f>'SUPUESTOS PRECIOS'!$B$2</f>
        <v>0.4</v>
      </c>
      <c r="Y25" s="3">
        <f t="shared" si="1"/>
        <v>2770</v>
      </c>
      <c r="Z25" s="3">
        <f t="shared" si="2"/>
        <v>1105.6864</v>
      </c>
      <c r="AA25" s="11">
        <f t="shared" si="3"/>
        <v>0.3991647653429603</v>
      </c>
    </row>
    <row r="26" spans="1:29" x14ac:dyDescent="0.35">
      <c r="A26" s="10" t="s">
        <v>187</v>
      </c>
      <c r="B26" t="s">
        <v>185</v>
      </c>
      <c r="C26" t="s">
        <v>133</v>
      </c>
      <c r="D26" t="s">
        <v>134</v>
      </c>
      <c r="E26" t="s">
        <v>33</v>
      </c>
      <c r="F26" t="s">
        <v>183</v>
      </c>
      <c r="H26" t="s">
        <v>136</v>
      </c>
      <c r="I26" t="s">
        <v>188</v>
      </c>
      <c r="J26">
        <v>300</v>
      </c>
      <c r="K26">
        <v>0.3</v>
      </c>
      <c r="L26">
        <f t="shared" si="0"/>
        <v>390</v>
      </c>
      <c r="M26" t="s">
        <v>38</v>
      </c>
      <c r="O26" t="s">
        <v>38</v>
      </c>
      <c r="P26" t="s">
        <v>39</v>
      </c>
      <c r="Q26" t="s">
        <v>189</v>
      </c>
      <c r="R26" t="s">
        <v>186</v>
      </c>
      <c r="S26" t="s">
        <v>139</v>
      </c>
      <c r="T26" s="2">
        <f>'SUPUESTOS PRECIOS'!$B$9</f>
        <v>0</v>
      </c>
      <c r="U26" s="3">
        <f>'SUPUESTOS PRECIOS'!$B$5/'SUPUESTOS PRECIOS'!$B$4</f>
        <v>1000</v>
      </c>
      <c r="V26" s="3">
        <f>('SUPUESTOS PRECIOS'!$B$6-'SUPUESTOS PRECIOS'!$B$7)/'SUPUESTOS PRECIOS'!$B$4</f>
        <v>377.5</v>
      </c>
      <c r="W26" s="4">
        <f>'SUPUESTOS PRECIOS'!$B$8</f>
        <v>9.6799999999999994E-3</v>
      </c>
      <c r="X26" s="4">
        <f>'SUPUESTOS PRECIOS'!$B$2</f>
        <v>0.4</v>
      </c>
      <c r="Y26" s="3">
        <f t="shared" si="1"/>
        <v>2840</v>
      </c>
      <c r="Z26" s="3">
        <f t="shared" si="2"/>
        <v>1135.0088000000001</v>
      </c>
      <c r="AA26" s="11">
        <f t="shared" si="3"/>
        <v>0.39965098591549297</v>
      </c>
    </row>
    <row r="27" spans="1:29" x14ac:dyDescent="0.35">
      <c r="A27" s="10" t="s">
        <v>190</v>
      </c>
      <c r="B27" t="s">
        <v>189</v>
      </c>
      <c r="C27" t="s">
        <v>133</v>
      </c>
      <c r="D27" t="s">
        <v>134</v>
      </c>
      <c r="E27" t="s">
        <v>33</v>
      </c>
      <c r="F27" t="s">
        <v>172</v>
      </c>
      <c r="H27" t="s">
        <v>136</v>
      </c>
      <c r="I27" t="s">
        <v>191</v>
      </c>
      <c r="J27">
        <v>300</v>
      </c>
      <c r="K27">
        <v>0.3</v>
      </c>
      <c r="L27">
        <f t="shared" si="0"/>
        <v>390</v>
      </c>
      <c r="M27" t="s">
        <v>38</v>
      </c>
      <c r="O27" t="s">
        <v>38</v>
      </c>
      <c r="P27" t="s">
        <v>39</v>
      </c>
      <c r="Q27" t="s">
        <v>192</v>
      </c>
      <c r="R27" t="s">
        <v>174</v>
      </c>
      <c r="S27" t="s">
        <v>139</v>
      </c>
      <c r="T27" s="2">
        <f>'SUPUESTOS PRECIOS'!$B$9</f>
        <v>0</v>
      </c>
      <c r="U27" s="3">
        <f>'SUPUESTOS PRECIOS'!$B$5/'SUPUESTOS PRECIOS'!$B$4</f>
        <v>1000</v>
      </c>
      <c r="V27" s="3">
        <f>('SUPUESTOS PRECIOS'!$B$6-'SUPUESTOS PRECIOS'!$B$7)/'SUPUESTOS PRECIOS'!$B$4</f>
        <v>377.5</v>
      </c>
      <c r="W27" s="4">
        <f>'SUPUESTOS PRECIOS'!$B$8</f>
        <v>9.6799999999999994E-3</v>
      </c>
      <c r="X27" s="4">
        <f>'SUPUESTOS PRECIOS'!$B$2</f>
        <v>0.4</v>
      </c>
      <c r="Y27" s="3">
        <f t="shared" si="1"/>
        <v>2840</v>
      </c>
      <c r="Z27" s="3">
        <f t="shared" si="2"/>
        <v>1135.0088000000001</v>
      </c>
      <c r="AA27" s="11">
        <f t="shared" si="3"/>
        <v>0.39965098591549297</v>
      </c>
      <c r="AB27" t="s">
        <v>175</v>
      </c>
      <c r="AC27" t="s">
        <v>156</v>
      </c>
    </row>
    <row r="28" spans="1:29" x14ac:dyDescent="0.35">
      <c r="A28" s="10" t="s">
        <v>193</v>
      </c>
      <c r="B28" t="s">
        <v>192</v>
      </c>
      <c r="C28" t="s">
        <v>133</v>
      </c>
      <c r="D28" t="s">
        <v>134</v>
      </c>
      <c r="E28" t="s">
        <v>33</v>
      </c>
      <c r="F28" t="s">
        <v>194</v>
      </c>
      <c r="H28" t="s">
        <v>136</v>
      </c>
      <c r="I28" t="s">
        <v>195</v>
      </c>
      <c r="J28">
        <v>1100</v>
      </c>
      <c r="K28">
        <v>0.3</v>
      </c>
      <c r="L28">
        <f t="shared" si="0"/>
        <v>1430</v>
      </c>
      <c r="M28" t="s">
        <v>38</v>
      </c>
      <c r="O28" t="s">
        <v>38</v>
      </c>
      <c r="P28" t="s">
        <v>39</v>
      </c>
      <c r="Q28" t="s">
        <v>196</v>
      </c>
      <c r="R28" t="s">
        <v>197</v>
      </c>
      <c r="S28" t="s">
        <v>139</v>
      </c>
      <c r="T28" s="2">
        <f>'SUPUESTOS PRECIOS'!$B$9</f>
        <v>0</v>
      </c>
      <c r="U28" s="3">
        <f>'SUPUESTOS PRECIOS'!$B$5/'SUPUESTOS PRECIOS'!$B$4</f>
        <v>1000</v>
      </c>
      <c r="V28" s="3">
        <f>('SUPUESTOS PRECIOS'!$B$6-'SUPUESTOS PRECIOS'!$B$7)/'SUPUESTOS PRECIOS'!$B$4</f>
        <v>377.5</v>
      </c>
      <c r="W28" s="4">
        <f>'SUPUESTOS PRECIOS'!$B$8</f>
        <v>9.6799999999999994E-3</v>
      </c>
      <c r="X28" s="4">
        <f>'SUPUESTOS PRECIOS'!$B$2</f>
        <v>0.4</v>
      </c>
      <c r="Y28" s="3">
        <f t="shared" si="1"/>
        <v>4200</v>
      </c>
      <c r="Z28" s="3">
        <f t="shared" si="2"/>
        <v>1681.8440000000001</v>
      </c>
      <c r="AA28" s="11">
        <f t="shared" si="3"/>
        <v>0.40043904761904764</v>
      </c>
    </row>
    <row r="29" spans="1:29" x14ac:dyDescent="0.35">
      <c r="A29" s="10" t="s">
        <v>198</v>
      </c>
      <c r="B29" t="s">
        <v>196</v>
      </c>
      <c r="C29" t="s">
        <v>133</v>
      </c>
      <c r="D29" t="s">
        <v>134</v>
      </c>
      <c r="E29" t="s">
        <v>33</v>
      </c>
      <c r="F29" t="s">
        <v>194</v>
      </c>
      <c r="H29" t="s">
        <v>136</v>
      </c>
      <c r="I29" t="s">
        <v>199</v>
      </c>
      <c r="J29">
        <v>1700</v>
      </c>
      <c r="K29">
        <v>0.3</v>
      </c>
      <c r="L29">
        <f t="shared" si="0"/>
        <v>2210</v>
      </c>
      <c r="M29" t="s">
        <v>38</v>
      </c>
      <c r="O29" t="s">
        <v>38</v>
      </c>
      <c r="P29" t="s">
        <v>39</v>
      </c>
      <c r="Q29" t="s">
        <v>2201</v>
      </c>
      <c r="R29" t="s">
        <v>197</v>
      </c>
      <c r="S29" t="s">
        <v>139</v>
      </c>
      <c r="T29" s="2">
        <f>'SUPUESTOS PRECIOS'!$B$9</f>
        <v>0</v>
      </c>
      <c r="U29" s="3">
        <f>'SUPUESTOS PRECIOS'!$B$5/'SUPUESTOS PRECIOS'!$B$4</f>
        <v>1000</v>
      </c>
      <c r="V29" s="3">
        <f>('SUPUESTOS PRECIOS'!$B$6-'SUPUESTOS PRECIOS'!$B$7)/'SUPUESTOS PRECIOS'!$B$4</f>
        <v>377.5</v>
      </c>
      <c r="W29" s="4">
        <f>'SUPUESTOS PRECIOS'!$B$8</f>
        <v>9.6799999999999994E-3</v>
      </c>
      <c r="X29" s="4">
        <f>'SUPUESTOS PRECIOS'!$B$2</f>
        <v>0.4</v>
      </c>
      <c r="Y29" s="3">
        <f t="shared" si="1"/>
        <v>5210</v>
      </c>
      <c r="Z29" s="3">
        <f t="shared" si="2"/>
        <v>2082.0672</v>
      </c>
      <c r="AA29" s="11">
        <f t="shared" si="3"/>
        <v>0.39962902111324378</v>
      </c>
    </row>
    <row r="30" spans="1:29" x14ac:dyDescent="0.35">
      <c r="A30" s="10" t="s">
        <v>200</v>
      </c>
      <c r="B30" t="s">
        <v>201</v>
      </c>
      <c r="C30" t="s">
        <v>133</v>
      </c>
      <c r="D30" t="s">
        <v>134</v>
      </c>
      <c r="E30" t="s">
        <v>33</v>
      </c>
      <c r="F30" t="s">
        <v>202</v>
      </c>
      <c r="H30" t="s">
        <v>136</v>
      </c>
      <c r="I30" t="s">
        <v>203</v>
      </c>
      <c r="J30">
        <v>600</v>
      </c>
      <c r="K30">
        <v>0.3</v>
      </c>
      <c r="L30">
        <f t="shared" si="0"/>
        <v>780</v>
      </c>
      <c r="M30" t="s">
        <v>38</v>
      </c>
      <c r="O30" t="s">
        <v>38</v>
      </c>
      <c r="P30" t="s">
        <v>39</v>
      </c>
      <c r="Q30" t="s">
        <v>201</v>
      </c>
      <c r="R30" t="s">
        <v>204</v>
      </c>
      <c r="S30" t="s">
        <v>139</v>
      </c>
      <c r="T30" s="2">
        <f>'SUPUESTOS PRECIOS'!$B$9</f>
        <v>0</v>
      </c>
      <c r="U30" s="3">
        <f>'SUPUESTOS PRECIOS'!$B$5/'SUPUESTOS PRECIOS'!$B$4</f>
        <v>1000</v>
      </c>
      <c r="V30" s="3">
        <f>('SUPUESTOS PRECIOS'!$B$6-'SUPUESTOS PRECIOS'!$B$7)/'SUPUESTOS PRECIOS'!$B$4</f>
        <v>377.5</v>
      </c>
      <c r="W30" s="4">
        <f>'SUPUESTOS PRECIOS'!$B$8</f>
        <v>9.6799999999999994E-3</v>
      </c>
      <c r="X30" s="4">
        <f>'SUPUESTOS PRECIOS'!$B$2</f>
        <v>0.4</v>
      </c>
      <c r="Y30" s="3">
        <f t="shared" si="1"/>
        <v>3350</v>
      </c>
      <c r="Z30" s="3">
        <f t="shared" si="2"/>
        <v>1340.0720000000001</v>
      </c>
      <c r="AA30" s="11">
        <f t="shared" si="3"/>
        <v>0.40002149253731345</v>
      </c>
    </row>
    <row r="31" spans="1:29" x14ac:dyDescent="0.35">
      <c r="A31" s="10" t="s">
        <v>205</v>
      </c>
      <c r="B31" t="s">
        <v>206</v>
      </c>
      <c r="C31" t="s">
        <v>133</v>
      </c>
      <c r="D31" t="s">
        <v>207</v>
      </c>
      <c r="E31" t="s">
        <v>33</v>
      </c>
      <c r="F31" t="s">
        <v>208</v>
      </c>
      <c r="H31" t="s">
        <v>136</v>
      </c>
      <c r="I31" t="s">
        <v>209</v>
      </c>
      <c r="J31">
        <v>1150</v>
      </c>
      <c r="K31">
        <v>0.3</v>
      </c>
      <c r="L31">
        <f t="shared" si="0"/>
        <v>1495</v>
      </c>
      <c r="M31" t="s">
        <v>38</v>
      </c>
      <c r="O31" t="s">
        <v>38</v>
      </c>
      <c r="P31" t="s">
        <v>39</v>
      </c>
      <c r="Q31" t="s">
        <v>206</v>
      </c>
      <c r="R31" t="s">
        <v>210</v>
      </c>
      <c r="S31" t="s">
        <v>211</v>
      </c>
      <c r="T31" s="2">
        <f>'SUPUESTOS PRECIOS'!$B$9</f>
        <v>0</v>
      </c>
      <c r="U31" s="3">
        <f>'SUPUESTOS PRECIOS'!$B$5/'SUPUESTOS PRECIOS'!$B$4</f>
        <v>1000</v>
      </c>
      <c r="V31" s="3">
        <f>('SUPUESTOS PRECIOS'!$B$6-'SUPUESTOS PRECIOS'!$B$7)/'SUPUESTOS PRECIOS'!$B$4</f>
        <v>377.5</v>
      </c>
      <c r="W31" s="4">
        <f>'SUPUESTOS PRECIOS'!$B$8</f>
        <v>9.6799999999999994E-3</v>
      </c>
      <c r="X31" s="4">
        <f>'SUPUESTOS PRECIOS'!$B$2</f>
        <v>0.4</v>
      </c>
      <c r="Y31" s="3">
        <f t="shared" si="1"/>
        <v>4280</v>
      </c>
      <c r="Z31" s="3">
        <f t="shared" si="2"/>
        <v>1711.0696</v>
      </c>
      <c r="AA31" s="11">
        <f t="shared" si="3"/>
        <v>0.39978261682242994</v>
      </c>
    </row>
    <row r="32" spans="1:29" x14ac:dyDescent="0.35">
      <c r="A32" s="10" t="s">
        <v>212</v>
      </c>
      <c r="B32" t="s">
        <v>213</v>
      </c>
      <c r="C32" t="s">
        <v>133</v>
      </c>
      <c r="D32" t="s">
        <v>207</v>
      </c>
      <c r="E32" t="s">
        <v>33</v>
      </c>
      <c r="F32" t="s">
        <v>214</v>
      </c>
      <c r="H32" t="s">
        <v>136</v>
      </c>
      <c r="I32" t="s">
        <v>215</v>
      </c>
      <c r="J32">
        <v>1150</v>
      </c>
      <c r="K32">
        <v>0.3</v>
      </c>
      <c r="L32">
        <f t="shared" si="0"/>
        <v>1495</v>
      </c>
      <c r="M32" t="s">
        <v>38</v>
      </c>
      <c r="O32" t="s">
        <v>38</v>
      </c>
      <c r="P32" t="s">
        <v>39</v>
      </c>
      <c r="Q32" t="s">
        <v>213</v>
      </c>
      <c r="R32" t="s">
        <v>216</v>
      </c>
      <c r="S32" t="s">
        <v>211</v>
      </c>
      <c r="T32" s="2">
        <f>'SUPUESTOS PRECIOS'!$B$9</f>
        <v>0</v>
      </c>
      <c r="U32" s="3">
        <f>'SUPUESTOS PRECIOS'!$B$5/'SUPUESTOS PRECIOS'!$B$4</f>
        <v>1000</v>
      </c>
      <c r="V32" s="3">
        <f>('SUPUESTOS PRECIOS'!$B$6-'SUPUESTOS PRECIOS'!$B$7)/'SUPUESTOS PRECIOS'!$B$4</f>
        <v>377.5</v>
      </c>
      <c r="W32" s="4">
        <f>'SUPUESTOS PRECIOS'!$B$8</f>
        <v>9.6799999999999994E-3</v>
      </c>
      <c r="X32" s="4">
        <f>'SUPUESTOS PRECIOS'!$B$2</f>
        <v>0.4</v>
      </c>
      <c r="Y32" s="3">
        <f t="shared" si="1"/>
        <v>4280</v>
      </c>
      <c r="Z32" s="3">
        <f t="shared" si="2"/>
        <v>1711.0696</v>
      </c>
      <c r="AA32" s="11">
        <f t="shared" si="3"/>
        <v>0.39978261682242994</v>
      </c>
    </row>
    <row r="33" spans="1:29" x14ac:dyDescent="0.35">
      <c r="A33" s="10" t="s">
        <v>217</v>
      </c>
      <c r="B33" t="s">
        <v>218</v>
      </c>
      <c r="C33" t="s">
        <v>133</v>
      </c>
      <c r="D33" t="s">
        <v>207</v>
      </c>
      <c r="E33" t="s">
        <v>219</v>
      </c>
      <c r="F33" t="s">
        <v>220</v>
      </c>
      <c r="H33" t="s">
        <v>136</v>
      </c>
      <c r="I33" t="s">
        <v>221</v>
      </c>
      <c r="J33">
        <v>1000</v>
      </c>
      <c r="K33">
        <v>0.3</v>
      </c>
      <c r="L33">
        <f t="shared" si="0"/>
        <v>1300</v>
      </c>
      <c r="M33" t="s">
        <v>38</v>
      </c>
      <c r="O33" t="s">
        <v>38</v>
      </c>
      <c r="P33" t="s">
        <v>39</v>
      </c>
      <c r="Q33" t="s">
        <v>218</v>
      </c>
      <c r="R33" t="s">
        <v>222</v>
      </c>
      <c r="S33" t="s">
        <v>211</v>
      </c>
      <c r="T33" s="2">
        <f>'SUPUESTOS PRECIOS'!$B$9</f>
        <v>0</v>
      </c>
      <c r="U33" s="3">
        <f>'SUPUESTOS PRECIOS'!$B$5/'SUPUESTOS PRECIOS'!$B$4</f>
        <v>1000</v>
      </c>
      <c r="V33" s="3">
        <f>('SUPUESTOS PRECIOS'!$B$6-'SUPUESTOS PRECIOS'!$B$7)/'SUPUESTOS PRECIOS'!$B$4</f>
        <v>377.5</v>
      </c>
      <c r="W33" s="4">
        <f>'SUPUESTOS PRECIOS'!$B$8</f>
        <v>9.6799999999999994E-3</v>
      </c>
      <c r="X33" s="4">
        <f>'SUPUESTOS PRECIOS'!$B$2</f>
        <v>0.4</v>
      </c>
      <c r="Y33" s="3">
        <f t="shared" si="1"/>
        <v>4030</v>
      </c>
      <c r="Z33" s="3">
        <f t="shared" si="2"/>
        <v>1613.4896000000001</v>
      </c>
      <c r="AA33" s="11">
        <f t="shared" si="3"/>
        <v>0.40036962779156332</v>
      </c>
      <c r="AB33" t="s">
        <v>223</v>
      </c>
      <c r="AC33" t="s">
        <v>165</v>
      </c>
    </row>
    <row r="34" spans="1:29" x14ac:dyDescent="0.35">
      <c r="A34" s="10" t="s">
        <v>224</v>
      </c>
      <c r="B34" t="s">
        <v>225</v>
      </c>
      <c r="C34" t="s">
        <v>133</v>
      </c>
      <c r="D34" t="s">
        <v>207</v>
      </c>
      <c r="E34" t="s">
        <v>226</v>
      </c>
      <c r="F34" t="s">
        <v>220</v>
      </c>
      <c r="H34" t="s">
        <v>136</v>
      </c>
      <c r="I34" t="s">
        <v>227</v>
      </c>
      <c r="J34">
        <v>650</v>
      </c>
      <c r="K34">
        <v>0.3</v>
      </c>
      <c r="L34">
        <f t="shared" si="0"/>
        <v>845</v>
      </c>
      <c r="M34" t="s">
        <v>38</v>
      </c>
      <c r="O34" t="s">
        <v>38</v>
      </c>
      <c r="P34" t="s">
        <v>39</v>
      </c>
      <c r="Q34" t="s">
        <v>225</v>
      </c>
      <c r="R34" t="s">
        <v>228</v>
      </c>
      <c r="S34" t="s">
        <v>211</v>
      </c>
      <c r="T34" s="2">
        <f>'SUPUESTOS PRECIOS'!$B$9</f>
        <v>0</v>
      </c>
      <c r="U34" s="3">
        <f>'SUPUESTOS PRECIOS'!$B$5/'SUPUESTOS PRECIOS'!$B$4</f>
        <v>1000</v>
      </c>
      <c r="V34" s="3">
        <f>('SUPUESTOS PRECIOS'!$B$6-'SUPUESTOS PRECIOS'!$B$7)/'SUPUESTOS PRECIOS'!$B$4</f>
        <v>377.5</v>
      </c>
      <c r="W34" s="4">
        <f>'SUPUESTOS PRECIOS'!$B$8</f>
        <v>9.6799999999999994E-3</v>
      </c>
      <c r="X34" s="4">
        <f>'SUPUESTOS PRECIOS'!$B$2</f>
        <v>0.4</v>
      </c>
      <c r="Y34" s="3">
        <f t="shared" si="1"/>
        <v>3430</v>
      </c>
      <c r="Z34" s="3">
        <f t="shared" si="2"/>
        <v>1369.2976000000001</v>
      </c>
      <c r="AA34" s="11">
        <f t="shared" si="3"/>
        <v>0.39921212827988339</v>
      </c>
      <c r="AB34" t="s">
        <v>223</v>
      </c>
      <c r="AC34" t="s">
        <v>156</v>
      </c>
    </row>
    <row r="35" spans="1:29" x14ac:dyDescent="0.35">
      <c r="A35" s="10" t="s">
        <v>229</v>
      </c>
      <c r="B35" t="s">
        <v>230</v>
      </c>
      <c r="C35" t="s">
        <v>133</v>
      </c>
      <c r="D35" t="s">
        <v>207</v>
      </c>
      <c r="E35" t="s">
        <v>33</v>
      </c>
      <c r="F35" t="s">
        <v>231</v>
      </c>
      <c r="H35" t="s">
        <v>136</v>
      </c>
      <c r="I35" t="s">
        <v>232</v>
      </c>
      <c r="J35">
        <v>1300</v>
      </c>
      <c r="K35">
        <v>0.3</v>
      </c>
      <c r="L35">
        <f t="shared" si="0"/>
        <v>1690</v>
      </c>
      <c r="M35" t="s">
        <v>38</v>
      </c>
      <c r="O35" t="s">
        <v>38</v>
      </c>
      <c r="P35" t="s">
        <v>39</v>
      </c>
      <c r="Q35" t="s">
        <v>230</v>
      </c>
      <c r="R35" t="s">
        <v>233</v>
      </c>
      <c r="S35" t="s">
        <v>211</v>
      </c>
      <c r="T35" s="2">
        <f>'SUPUESTOS PRECIOS'!$B$9</f>
        <v>0</v>
      </c>
      <c r="U35" s="3">
        <f>'SUPUESTOS PRECIOS'!$B$5/'SUPUESTOS PRECIOS'!$B$4</f>
        <v>1000</v>
      </c>
      <c r="V35" s="3">
        <f>('SUPUESTOS PRECIOS'!$B$6-'SUPUESTOS PRECIOS'!$B$7)/'SUPUESTOS PRECIOS'!$B$4</f>
        <v>377.5</v>
      </c>
      <c r="W35" s="4">
        <f>'SUPUESTOS PRECIOS'!$B$8</f>
        <v>9.6799999999999994E-3</v>
      </c>
      <c r="X35" s="4">
        <f>'SUPUESTOS PRECIOS'!$B$2</f>
        <v>0.4</v>
      </c>
      <c r="Y35" s="3">
        <f t="shared" si="1"/>
        <v>4540</v>
      </c>
      <c r="Z35" s="3">
        <f t="shared" si="2"/>
        <v>1818.5527999999999</v>
      </c>
      <c r="AA35" s="11">
        <f t="shared" si="3"/>
        <v>0.40056229074889865</v>
      </c>
    </row>
    <row r="36" spans="1:29" x14ac:dyDescent="0.35">
      <c r="A36" s="10" t="s">
        <v>234</v>
      </c>
      <c r="B36" t="s">
        <v>235</v>
      </c>
      <c r="C36" t="s">
        <v>133</v>
      </c>
      <c r="D36" t="s">
        <v>207</v>
      </c>
      <c r="E36" t="s">
        <v>33</v>
      </c>
      <c r="F36" t="s">
        <v>236</v>
      </c>
      <c r="H36" t="s">
        <v>136</v>
      </c>
      <c r="I36" t="s">
        <v>237</v>
      </c>
      <c r="K36">
        <v>0.3</v>
      </c>
      <c r="L36" t="str">
        <f t="shared" si="0"/>
        <v/>
      </c>
      <c r="M36" t="s">
        <v>38</v>
      </c>
      <c r="O36" t="s">
        <v>238</v>
      </c>
      <c r="P36" t="s">
        <v>39</v>
      </c>
      <c r="Q36" t="s">
        <v>235</v>
      </c>
      <c r="R36" t="s">
        <v>239</v>
      </c>
      <c r="S36" t="s">
        <v>211</v>
      </c>
      <c r="T36" s="2">
        <f>'SUPUESTOS PRECIOS'!$B$9</f>
        <v>0</v>
      </c>
      <c r="U36" s="3">
        <f>'SUPUESTOS PRECIOS'!$B$5/'SUPUESTOS PRECIOS'!$B$4</f>
        <v>1000</v>
      </c>
      <c r="V36" s="3">
        <f>('SUPUESTOS PRECIOS'!$B$6-'SUPUESTOS PRECIOS'!$B$7)/'SUPUESTOS PRECIOS'!$B$4</f>
        <v>377.5</v>
      </c>
      <c r="W36" s="4">
        <f>'SUPUESTOS PRECIOS'!$B$8</f>
        <v>9.6799999999999994E-3</v>
      </c>
      <c r="X36" s="4">
        <f>'SUPUESTOS PRECIOS'!$B$2</f>
        <v>0.4</v>
      </c>
      <c r="Y36" s="3" t="str">
        <f t="shared" si="1"/>
        <v/>
      </c>
      <c r="Z36" s="3" t="str">
        <f t="shared" si="2"/>
        <v/>
      </c>
      <c r="AA36" s="11" t="str">
        <f t="shared" si="3"/>
        <v/>
      </c>
    </row>
    <row r="37" spans="1:29" x14ac:dyDescent="0.35">
      <c r="A37" s="10" t="s">
        <v>240</v>
      </c>
      <c r="B37" t="s">
        <v>241</v>
      </c>
      <c r="C37" t="s">
        <v>133</v>
      </c>
      <c r="D37" t="s">
        <v>207</v>
      </c>
      <c r="E37" t="s">
        <v>242</v>
      </c>
      <c r="F37" t="s">
        <v>243</v>
      </c>
      <c r="H37" t="s">
        <v>136</v>
      </c>
      <c r="I37" t="s">
        <v>244</v>
      </c>
      <c r="J37">
        <v>1100</v>
      </c>
      <c r="K37">
        <v>0.3</v>
      </c>
      <c r="L37">
        <f t="shared" si="0"/>
        <v>1430</v>
      </c>
      <c r="M37" t="s">
        <v>38</v>
      </c>
      <c r="O37" t="s">
        <v>38</v>
      </c>
      <c r="P37" t="s">
        <v>39</v>
      </c>
      <c r="Q37" t="s">
        <v>241</v>
      </c>
      <c r="R37" t="s">
        <v>245</v>
      </c>
      <c r="S37" t="s">
        <v>211</v>
      </c>
      <c r="T37" s="2">
        <f>'SUPUESTOS PRECIOS'!$B$9</f>
        <v>0</v>
      </c>
      <c r="U37" s="3">
        <f>'SUPUESTOS PRECIOS'!$B$5/'SUPUESTOS PRECIOS'!$B$4</f>
        <v>1000</v>
      </c>
      <c r="V37" s="3">
        <f>('SUPUESTOS PRECIOS'!$B$6-'SUPUESTOS PRECIOS'!$B$7)/'SUPUESTOS PRECIOS'!$B$4</f>
        <v>377.5</v>
      </c>
      <c r="W37" s="4">
        <f>'SUPUESTOS PRECIOS'!$B$8</f>
        <v>9.6799999999999994E-3</v>
      </c>
      <c r="X37" s="4">
        <f>'SUPUESTOS PRECIOS'!$B$2</f>
        <v>0.4</v>
      </c>
      <c r="Y37" s="3">
        <f t="shared" si="1"/>
        <v>4200</v>
      </c>
      <c r="Z37" s="3">
        <f t="shared" si="2"/>
        <v>1681.8440000000001</v>
      </c>
      <c r="AA37" s="11">
        <f t="shared" si="3"/>
        <v>0.40043904761904764</v>
      </c>
    </row>
    <row r="38" spans="1:29" x14ac:dyDescent="0.35">
      <c r="A38" s="10" t="s">
        <v>246</v>
      </c>
      <c r="B38" t="s">
        <v>247</v>
      </c>
      <c r="C38" t="s">
        <v>133</v>
      </c>
      <c r="D38" t="s">
        <v>207</v>
      </c>
      <c r="E38" t="s">
        <v>33</v>
      </c>
      <c r="F38" t="s">
        <v>243</v>
      </c>
      <c r="H38" t="s">
        <v>136</v>
      </c>
      <c r="I38" t="s">
        <v>248</v>
      </c>
      <c r="J38">
        <v>1150</v>
      </c>
      <c r="K38">
        <v>0.3</v>
      </c>
      <c r="L38">
        <f t="shared" si="0"/>
        <v>1495</v>
      </c>
      <c r="M38" t="s">
        <v>38</v>
      </c>
      <c r="O38" t="s">
        <v>38</v>
      </c>
      <c r="P38" t="s">
        <v>39</v>
      </c>
      <c r="Q38" t="s">
        <v>247</v>
      </c>
      <c r="R38" t="s">
        <v>249</v>
      </c>
      <c r="S38" t="s">
        <v>211</v>
      </c>
      <c r="T38" s="2">
        <f>'SUPUESTOS PRECIOS'!$B$9</f>
        <v>0</v>
      </c>
      <c r="U38" s="3">
        <f>'SUPUESTOS PRECIOS'!$B$5/'SUPUESTOS PRECIOS'!$B$4</f>
        <v>1000</v>
      </c>
      <c r="V38" s="3">
        <f>('SUPUESTOS PRECIOS'!$B$6-'SUPUESTOS PRECIOS'!$B$7)/'SUPUESTOS PRECIOS'!$B$4</f>
        <v>377.5</v>
      </c>
      <c r="W38" s="4">
        <f>'SUPUESTOS PRECIOS'!$B$8</f>
        <v>9.6799999999999994E-3</v>
      </c>
      <c r="X38" s="4">
        <f>'SUPUESTOS PRECIOS'!$B$2</f>
        <v>0.4</v>
      </c>
      <c r="Y38" s="3">
        <f t="shared" si="1"/>
        <v>4280</v>
      </c>
      <c r="Z38" s="3">
        <f t="shared" si="2"/>
        <v>1711.0696</v>
      </c>
      <c r="AA38" s="11">
        <f t="shared" si="3"/>
        <v>0.39978261682242994</v>
      </c>
    </row>
    <row r="39" spans="1:29" x14ac:dyDescent="0.35">
      <c r="A39" s="10" t="s">
        <v>250</v>
      </c>
      <c r="B39" t="s">
        <v>251</v>
      </c>
      <c r="C39" t="s">
        <v>133</v>
      </c>
      <c r="D39" t="s">
        <v>252</v>
      </c>
      <c r="E39" t="s">
        <v>33</v>
      </c>
      <c r="F39" t="s">
        <v>253</v>
      </c>
      <c r="H39" t="s">
        <v>136</v>
      </c>
      <c r="I39" t="s">
        <v>254</v>
      </c>
      <c r="J39">
        <v>5100</v>
      </c>
      <c r="K39">
        <v>0.3</v>
      </c>
      <c r="L39">
        <f t="shared" si="0"/>
        <v>6630</v>
      </c>
      <c r="M39" t="s">
        <v>38</v>
      </c>
      <c r="O39" t="s">
        <v>38</v>
      </c>
      <c r="P39" t="s">
        <v>39</v>
      </c>
      <c r="Q39" t="s">
        <v>251</v>
      </c>
      <c r="R39" t="s">
        <v>255</v>
      </c>
      <c r="S39" t="s">
        <v>256</v>
      </c>
      <c r="T39" s="2">
        <f>'SUPUESTOS PRECIOS'!$B$9</f>
        <v>0</v>
      </c>
      <c r="U39" s="3">
        <f>'SUPUESTOS PRECIOS'!$B$5/'SUPUESTOS PRECIOS'!$B$4</f>
        <v>1000</v>
      </c>
      <c r="V39" s="3">
        <f>('SUPUESTOS PRECIOS'!$B$6-'SUPUESTOS PRECIOS'!$B$7)/'SUPUESTOS PRECIOS'!$B$4</f>
        <v>377.5</v>
      </c>
      <c r="W39" s="4">
        <f>'SUPUESTOS PRECIOS'!$B$8</f>
        <v>9.6799999999999994E-3</v>
      </c>
      <c r="X39" s="4">
        <f>'SUPUESTOS PRECIOS'!$B$2</f>
        <v>0.4</v>
      </c>
      <c r="Y39" s="3">
        <f t="shared" si="1"/>
        <v>10970</v>
      </c>
      <c r="Z39" s="3">
        <f t="shared" si="2"/>
        <v>4386.3104000000003</v>
      </c>
      <c r="AA39" s="11">
        <f t="shared" si="3"/>
        <v>0.39984597994530541</v>
      </c>
      <c r="AB39" t="s">
        <v>257</v>
      </c>
      <c r="AC39" t="s">
        <v>258</v>
      </c>
    </row>
    <row r="40" spans="1:29" x14ac:dyDescent="0.35">
      <c r="A40" s="10" t="s">
        <v>259</v>
      </c>
      <c r="B40" t="s">
        <v>260</v>
      </c>
      <c r="C40" t="s">
        <v>133</v>
      </c>
      <c r="D40" t="s">
        <v>252</v>
      </c>
      <c r="E40" t="s">
        <v>33</v>
      </c>
      <c r="F40" t="s">
        <v>261</v>
      </c>
      <c r="H40" t="s">
        <v>136</v>
      </c>
      <c r="I40" t="s">
        <v>262</v>
      </c>
      <c r="J40">
        <v>7200</v>
      </c>
      <c r="K40">
        <v>0.3</v>
      </c>
      <c r="L40">
        <f t="shared" si="0"/>
        <v>9360</v>
      </c>
      <c r="M40" t="s">
        <v>38</v>
      </c>
      <c r="O40" t="s">
        <v>38</v>
      </c>
      <c r="P40" t="s">
        <v>39</v>
      </c>
      <c r="Q40" t="s">
        <v>260</v>
      </c>
      <c r="R40" t="s">
        <v>263</v>
      </c>
      <c r="S40" t="s">
        <v>256</v>
      </c>
      <c r="T40" s="2">
        <f>'SUPUESTOS PRECIOS'!$B$9</f>
        <v>0</v>
      </c>
      <c r="U40" s="3">
        <f>'SUPUESTOS PRECIOS'!$B$5/'SUPUESTOS PRECIOS'!$B$4</f>
        <v>1000</v>
      </c>
      <c r="V40" s="3">
        <f>('SUPUESTOS PRECIOS'!$B$6-'SUPUESTOS PRECIOS'!$B$7)/'SUPUESTOS PRECIOS'!$B$4</f>
        <v>377.5</v>
      </c>
      <c r="W40" s="4">
        <f>'SUPUESTOS PRECIOS'!$B$8</f>
        <v>9.6799999999999994E-3</v>
      </c>
      <c r="X40" s="4">
        <f>'SUPUESTOS PRECIOS'!$B$2</f>
        <v>0.4</v>
      </c>
      <c r="Y40" s="3">
        <f t="shared" si="1"/>
        <v>14530</v>
      </c>
      <c r="Z40" s="3">
        <f t="shared" si="2"/>
        <v>5811.8495999999996</v>
      </c>
      <c r="AA40" s="11">
        <f t="shared" si="3"/>
        <v>0.39998964900206468</v>
      </c>
      <c r="AB40" t="s">
        <v>257</v>
      </c>
      <c r="AC40" t="s">
        <v>264</v>
      </c>
    </row>
    <row r="41" spans="1:29" x14ac:dyDescent="0.35">
      <c r="A41" s="10" t="s">
        <v>265</v>
      </c>
      <c r="B41" t="s">
        <v>266</v>
      </c>
      <c r="C41" t="s">
        <v>133</v>
      </c>
      <c r="D41" t="s">
        <v>252</v>
      </c>
      <c r="E41" t="s">
        <v>33</v>
      </c>
      <c r="F41" t="s">
        <v>267</v>
      </c>
      <c r="H41" t="s">
        <v>136</v>
      </c>
      <c r="I41" t="s">
        <v>268</v>
      </c>
      <c r="J41">
        <v>8900</v>
      </c>
      <c r="K41">
        <v>0.3</v>
      </c>
      <c r="L41">
        <f t="shared" si="0"/>
        <v>11570</v>
      </c>
      <c r="M41" t="s">
        <v>38</v>
      </c>
      <c r="O41" t="s">
        <v>38</v>
      </c>
      <c r="P41" t="s">
        <v>39</v>
      </c>
      <c r="Q41" t="s">
        <v>266</v>
      </c>
      <c r="R41" t="s">
        <v>269</v>
      </c>
      <c r="S41" t="s">
        <v>256</v>
      </c>
      <c r="T41" s="2">
        <f>'SUPUESTOS PRECIOS'!$B$9</f>
        <v>0</v>
      </c>
      <c r="U41" s="3">
        <f>'SUPUESTOS PRECIOS'!$B$5/'SUPUESTOS PRECIOS'!$B$4</f>
        <v>1000</v>
      </c>
      <c r="V41" s="3">
        <f>('SUPUESTOS PRECIOS'!$B$6-'SUPUESTOS PRECIOS'!$B$7)/'SUPUESTOS PRECIOS'!$B$4</f>
        <v>377.5</v>
      </c>
      <c r="W41" s="4">
        <f>'SUPUESTOS PRECIOS'!$B$8</f>
        <v>9.6799999999999994E-3</v>
      </c>
      <c r="X41" s="4">
        <f>'SUPUESTOS PRECIOS'!$B$2</f>
        <v>0.4</v>
      </c>
      <c r="Y41" s="3">
        <f t="shared" si="1"/>
        <v>17410</v>
      </c>
      <c r="Z41" s="3">
        <f t="shared" si="2"/>
        <v>6963.9712</v>
      </c>
      <c r="AA41" s="11">
        <f t="shared" si="3"/>
        <v>0.39999834577828836</v>
      </c>
      <c r="AB41" t="s">
        <v>257</v>
      </c>
      <c r="AC41" t="s">
        <v>270</v>
      </c>
    </row>
    <row r="42" spans="1:29" x14ac:dyDescent="0.35">
      <c r="A42" s="10" t="s">
        <v>271</v>
      </c>
      <c r="B42" t="s">
        <v>272</v>
      </c>
      <c r="C42" t="s">
        <v>133</v>
      </c>
      <c r="D42" t="s">
        <v>252</v>
      </c>
      <c r="E42" t="s">
        <v>33</v>
      </c>
      <c r="F42" t="s">
        <v>273</v>
      </c>
      <c r="H42" t="s">
        <v>136</v>
      </c>
      <c r="I42" t="s">
        <v>274</v>
      </c>
      <c r="J42">
        <v>11500</v>
      </c>
      <c r="K42">
        <v>0.3</v>
      </c>
      <c r="L42">
        <f t="shared" si="0"/>
        <v>14950</v>
      </c>
      <c r="M42" t="s">
        <v>38</v>
      </c>
      <c r="O42" t="s">
        <v>38</v>
      </c>
      <c r="P42" t="s">
        <v>39</v>
      </c>
      <c r="Q42" t="s">
        <v>272</v>
      </c>
      <c r="R42" t="s">
        <v>275</v>
      </c>
      <c r="S42" t="s">
        <v>256</v>
      </c>
      <c r="T42" s="2">
        <f>'SUPUESTOS PRECIOS'!$B$9</f>
        <v>0</v>
      </c>
      <c r="U42" s="3">
        <f>'SUPUESTOS PRECIOS'!$B$5/'SUPUESTOS PRECIOS'!$B$4</f>
        <v>1000</v>
      </c>
      <c r="V42" s="3">
        <f>('SUPUESTOS PRECIOS'!$B$6-'SUPUESTOS PRECIOS'!$B$7)/'SUPUESTOS PRECIOS'!$B$4</f>
        <v>377.5</v>
      </c>
      <c r="W42" s="4">
        <f>'SUPUESTOS PRECIOS'!$B$8</f>
        <v>9.6799999999999994E-3</v>
      </c>
      <c r="X42" s="4">
        <f>'SUPUESTOS PRECIOS'!$B$2</f>
        <v>0.4</v>
      </c>
      <c r="Y42" s="3">
        <f t="shared" si="1"/>
        <v>21810</v>
      </c>
      <c r="Z42" s="3">
        <f t="shared" si="2"/>
        <v>8721.3791999999994</v>
      </c>
      <c r="AA42" s="11">
        <f t="shared" si="3"/>
        <v>0.39987983493810175</v>
      </c>
      <c r="AB42" t="s">
        <v>257</v>
      </c>
      <c r="AC42" t="s">
        <v>276</v>
      </c>
    </row>
    <row r="43" spans="1:29" x14ac:dyDescent="0.35">
      <c r="A43" s="10" t="s">
        <v>277</v>
      </c>
      <c r="B43" t="s">
        <v>278</v>
      </c>
      <c r="C43" t="s">
        <v>133</v>
      </c>
      <c r="D43" t="s">
        <v>252</v>
      </c>
      <c r="E43" t="s">
        <v>33</v>
      </c>
      <c r="F43" t="s">
        <v>279</v>
      </c>
      <c r="H43" t="s">
        <v>136</v>
      </c>
      <c r="I43" t="s">
        <v>280</v>
      </c>
      <c r="J43">
        <v>6200</v>
      </c>
      <c r="K43">
        <v>0.3</v>
      </c>
      <c r="L43">
        <f t="shared" si="0"/>
        <v>8060</v>
      </c>
      <c r="M43" t="s">
        <v>38</v>
      </c>
      <c r="O43" t="s">
        <v>38</v>
      </c>
      <c r="P43" t="s">
        <v>39</v>
      </c>
      <c r="Q43" t="s">
        <v>278</v>
      </c>
      <c r="R43" t="s">
        <v>281</v>
      </c>
      <c r="S43" t="s">
        <v>256</v>
      </c>
      <c r="T43" s="2">
        <f>'SUPUESTOS PRECIOS'!$B$9</f>
        <v>0</v>
      </c>
      <c r="U43" s="3">
        <f>'SUPUESTOS PRECIOS'!$B$5/'SUPUESTOS PRECIOS'!$B$4</f>
        <v>1000</v>
      </c>
      <c r="V43" s="3">
        <f>('SUPUESTOS PRECIOS'!$B$6-'SUPUESTOS PRECIOS'!$B$7)/'SUPUESTOS PRECIOS'!$B$4</f>
        <v>377.5</v>
      </c>
      <c r="W43" s="4">
        <f>'SUPUESTOS PRECIOS'!$B$8</f>
        <v>9.6799999999999994E-3</v>
      </c>
      <c r="X43" s="4">
        <f>'SUPUESTOS PRECIOS'!$B$2</f>
        <v>0.4</v>
      </c>
      <c r="Y43" s="3">
        <f t="shared" si="1"/>
        <v>12840</v>
      </c>
      <c r="Z43" s="3">
        <f t="shared" si="2"/>
        <v>5138.2088000000003</v>
      </c>
      <c r="AA43" s="11">
        <f t="shared" si="3"/>
        <v>0.4001720249221184</v>
      </c>
    </row>
    <row r="44" spans="1:29" x14ac:dyDescent="0.35">
      <c r="A44" s="10" t="s">
        <v>282</v>
      </c>
      <c r="B44" t="s">
        <v>283</v>
      </c>
      <c r="C44" t="s">
        <v>133</v>
      </c>
      <c r="D44" t="s">
        <v>252</v>
      </c>
      <c r="E44" t="s">
        <v>33</v>
      </c>
      <c r="F44" t="s">
        <v>284</v>
      </c>
      <c r="H44" t="s">
        <v>136</v>
      </c>
      <c r="I44" t="s">
        <v>285</v>
      </c>
      <c r="J44">
        <v>7100</v>
      </c>
      <c r="K44">
        <v>0.3</v>
      </c>
      <c r="L44">
        <f t="shared" si="0"/>
        <v>9230</v>
      </c>
      <c r="M44" t="s">
        <v>38</v>
      </c>
      <c r="O44" t="s">
        <v>38</v>
      </c>
      <c r="P44" t="s">
        <v>39</v>
      </c>
      <c r="Q44" t="s">
        <v>283</v>
      </c>
      <c r="R44" t="s">
        <v>286</v>
      </c>
      <c r="S44" t="s">
        <v>256</v>
      </c>
      <c r="T44" s="2">
        <f>'SUPUESTOS PRECIOS'!$B$9</f>
        <v>0</v>
      </c>
      <c r="U44" s="3">
        <f>'SUPUESTOS PRECIOS'!$B$5/'SUPUESTOS PRECIOS'!$B$4</f>
        <v>1000</v>
      </c>
      <c r="V44" s="3">
        <f>('SUPUESTOS PRECIOS'!$B$6-'SUPUESTOS PRECIOS'!$B$7)/'SUPUESTOS PRECIOS'!$B$4</f>
        <v>377.5</v>
      </c>
      <c r="W44" s="4">
        <f>'SUPUESTOS PRECIOS'!$B$8</f>
        <v>9.6799999999999994E-3</v>
      </c>
      <c r="X44" s="4">
        <f>'SUPUESTOS PRECIOS'!$B$2</f>
        <v>0.4</v>
      </c>
      <c r="Y44" s="3">
        <f t="shared" si="1"/>
        <v>14360</v>
      </c>
      <c r="Z44" s="3">
        <f t="shared" si="2"/>
        <v>5743.4952000000003</v>
      </c>
      <c r="AA44" s="11">
        <f t="shared" si="3"/>
        <v>0.39996484679665739</v>
      </c>
    </row>
    <row r="45" spans="1:29" x14ac:dyDescent="0.35">
      <c r="A45" s="10" t="s">
        <v>287</v>
      </c>
      <c r="B45" t="s">
        <v>288</v>
      </c>
      <c r="C45" t="s">
        <v>133</v>
      </c>
      <c r="D45" t="s">
        <v>252</v>
      </c>
      <c r="E45" t="s">
        <v>33</v>
      </c>
      <c r="F45" t="s">
        <v>289</v>
      </c>
      <c r="H45" t="s">
        <v>136</v>
      </c>
      <c r="I45" t="s">
        <v>290</v>
      </c>
      <c r="J45">
        <v>5500</v>
      </c>
      <c r="K45">
        <v>0.3</v>
      </c>
      <c r="L45">
        <f t="shared" si="0"/>
        <v>7150</v>
      </c>
      <c r="M45" t="s">
        <v>38</v>
      </c>
      <c r="O45" t="s">
        <v>38</v>
      </c>
      <c r="P45" t="s">
        <v>39</v>
      </c>
      <c r="Q45" t="s">
        <v>288</v>
      </c>
      <c r="R45" t="s">
        <v>291</v>
      </c>
      <c r="S45" t="s">
        <v>256</v>
      </c>
      <c r="T45" s="2">
        <f>'SUPUESTOS PRECIOS'!$B$9</f>
        <v>0</v>
      </c>
      <c r="U45" s="3">
        <f>'SUPUESTOS PRECIOS'!$B$5/'SUPUESTOS PRECIOS'!$B$4</f>
        <v>1000</v>
      </c>
      <c r="V45" s="3">
        <f>('SUPUESTOS PRECIOS'!$B$6-'SUPUESTOS PRECIOS'!$B$7)/'SUPUESTOS PRECIOS'!$B$4</f>
        <v>377.5</v>
      </c>
      <c r="W45" s="4">
        <f>'SUPUESTOS PRECIOS'!$B$8</f>
        <v>9.6799999999999994E-3</v>
      </c>
      <c r="X45" s="4">
        <f>'SUPUESTOS PRECIOS'!$B$2</f>
        <v>0.4</v>
      </c>
      <c r="Y45" s="3">
        <f t="shared" si="1"/>
        <v>11650</v>
      </c>
      <c r="Z45" s="3">
        <f t="shared" si="2"/>
        <v>4659.7280000000001</v>
      </c>
      <c r="AA45" s="11">
        <f t="shared" si="3"/>
        <v>0.39997665236051505</v>
      </c>
      <c r="AB45" t="s">
        <v>292</v>
      </c>
      <c r="AC45" t="s">
        <v>293</v>
      </c>
    </row>
    <row r="46" spans="1:29" x14ac:dyDescent="0.35">
      <c r="A46" s="10" t="s">
        <v>294</v>
      </c>
      <c r="B46" t="s">
        <v>295</v>
      </c>
      <c r="C46" t="s">
        <v>133</v>
      </c>
      <c r="D46" t="s">
        <v>252</v>
      </c>
      <c r="E46" t="s">
        <v>33</v>
      </c>
      <c r="F46" t="s">
        <v>296</v>
      </c>
      <c r="H46" t="s">
        <v>136</v>
      </c>
      <c r="I46" t="s">
        <v>297</v>
      </c>
      <c r="J46">
        <v>7000</v>
      </c>
      <c r="K46">
        <v>0.3</v>
      </c>
      <c r="L46">
        <f t="shared" si="0"/>
        <v>9100</v>
      </c>
      <c r="M46" t="s">
        <v>38</v>
      </c>
      <c r="O46" t="s">
        <v>38</v>
      </c>
      <c r="P46" t="s">
        <v>39</v>
      </c>
      <c r="Q46" t="s">
        <v>295</v>
      </c>
      <c r="R46" t="s">
        <v>298</v>
      </c>
      <c r="S46" t="s">
        <v>256</v>
      </c>
      <c r="T46" s="2">
        <f>'SUPUESTOS PRECIOS'!$B$9</f>
        <v>0</v>
      </c>
      <c r="U46" s="3">
        <f>'SUPUESTOS PRECIOS'!$B$5/'SUPUESTOS PRECIOS'!$B$4</f>
        <v>1000</v>
      </c>
      <c r="V46" s="3">
        <f>('SUPUESTOS PRECIOS'!$B$6-'SUPUESTOS PRECIOS'!$B$7)/'SUPUESTOS PRECIOS'!$B$4</f>
        <v>377.5</v>
      </c>
      <c r="W46" s="4">
        <f>'SUPUESTOS PRECIOS'!$B$8</f>
        <v>9.6799999999999994E-3</v>
      </c>
      <c r="X46" s="4">
        <f>'SUPUESTOS PRECIOS'!$B$2</f>
        <v>0.4</v>
      </c>
      <c r="Y46" s="3">
        <f t="shared" si="1"/>
        <v>14190</v>
      </c>
      <c r="Z46" s="3">
        <f t="shared" si="2"/>
        <v>5675.1408000000001</v>
      </c>
      <c r="AA46" s="11">
        <f t="shared" si="3"/>
        <v>0.39993945031712475</v>
      </c>
      <c r="AB46" t="s">
        <v>292</v>
      </c>
      <c r="AC46" t="s">
        <v>264</v>
      </c>
    </row>
    <row r="47" spans="1:29" x14ac:dyDescent="0.35">
      <c r="A47" s="10" t="s">
        <v>299</v>
      </c>
      <c r="B47" t="s">
        <v>300</v>
      </c>
      <c r="C47" t="s">
        <v>133</v>
      </c>
      <c r="D47" t="s">
        <v>252</v>
      </c>
      <c r="E47" t="s">
        <v>33</v>
      </c>
      <c r="F47" t="s">
        <v>301</v>
      </c>
      <c r="H47" t="s">
        <v>136</v>
      </c>
      <c r="I47" t="s">
        <v>302</v>
      </c>
      <c r="J47">
        <v>8000</v>
      </c>
      <c r="K47">
        <v>0.3</v>
      </c>
      <c r="L47">
        <f t="shared" si="0"/>
        <v>10400</v>
      </c>
      <c r="M47" t="s">
        <v>38</v>
      </c>
      <c r="O47" t="s">
        <v>38</v>
      </c>
      <c r="P47" t="s">
        <v>39</v>
      </c>
      <c r="Q47" t="s">
        <v>300</v>
      </c>
      <c r="R47" t="s">
        <v>303</v>
      </c>
      <c r="S47" t="s">
        <v>256</v>
      </c>
      <c r="T47" s="2">
        <f>'SUPUESTOS PRECIOS'!$B$9</f>
        <v>0</v>
      </c>
      <c r="U47" s="3">
        <f>'SUPUESTOS PRECIOS'!$B$5/'SUPUESTOS PRECIOS'!$B$4</f>
        <v>1000</v>
      </c>
      <c r="V47" s="3">
        <f>('SUPUESTOS PRECIOS'!$B$6-'SUPUESTOS PRECIOS'!$B$7)/'SUPUESTOS PRECIOS'!$B$4</f>
        <v>377.5</v>
      </c>
      <c r="W47" s="4">
        <f>'SUPUESTOS PRECIOS'!$B$8</f>
        <v>9.6799999999999994E-3</v>
      </c>
      <c r="X47" s="4">
        <f>'SUPUESTOS PRECIOS'!$B$2</f>
        <v>0.4</v>
      </c>
      <c r="Y47" s="3">
        <f t="shared" si="1"/>
        <v>15890</v>
      </c>
      <c r="Z47" s="3">
        <f t="shared" si="2"/>
        <v>6358.6848</v>
      </c>
      <c r="AA47" s="11">
        <f t="shared" si="3"/>
        <v>0.40016896161107612</v>
      </c>
      <c r="AB47" t="s">
        <v>292</v>
      </c>
      <c r="AC47" t="s">
        <v>270</v>
      </c>
    </row>
    <row r="48" spans="1:29" x14ac:dyDescent="0.35">
      <c r="A48" s="10" t="s">
        <v>304</v>
      </c>
      <c r="B48" t="s">
        <v>305</v>
      </c>
      <c r="C48" t="s">
        <v>133</v>
      </c>
      <c r="D48" t="s">
        <v>252</v>
      </c>
      <c r="E48" t="s">
        <v>33</v>
      </c>
      <c r="F48" t="s">
        <v>306</v>
      </c>
      <c r="H48" t="s">
        <v>136</v>
      </c>
      <c r="I48" t="s">
        <v>307</v>
      </c>
      <c r="J48">
        <v>9900</v>
      </c>
      <c r="K48">
        <v>0.3</v>
      </c>
      <c r="L48">
        <f t="shared" si="0"/>
        <v>12870</v>
      </c>
      <c r="M48" t="s">
        <v>38</v>
      </c>
      <c r="O48" t="s">
        <v>38</v>
      </c>
      <c r="P48" t="s">
        <v>39</v>
      </c>
      <c r="Q48" t="s">
        <v>305</v>
      </c>
      <c r="R48" t="s">
        <v>308</v>
      </c>
      <c r="S48" t="s">
        <v>256</v>
      </c>
      <c r="T48" s="2">
        <f>'SUPUESTOS PRECIOS'!$B$9</f>
        <v>0</v>
      </c>
      <c r="U48" s="3">
        <f>'SUPUESTOS PRECIOS'!$B$5/'SUPUESTOS PRECIOS'!$B$4</f>
        <v>1000</v>
      </c>
      <c r="V48" s="3">
        <f>('SUPUESTOS PRECIOS'!$B$6-'SUPUESTOS PRECIOS'!$B$7)/'SUPUESTOS PRECIOS'!$B$4</f>
        <v>377.5</v>
      </c>
      <c r="W48" s="4">
        <f>'SUPUESTOS PRECIOS'!$B$8</f>
        <v>9.6799999999999994E-3</v>
      </c>
      <c r="X48" s="4">
        <f>'SUPUESTOS PRECIOS'!$B$2</f>
        <v>0.4</v>
      </c>
      <c r="Y48" s="3">
        <f t="shared" si="1"/>
        <v>19100</v>
      </c>
      <c r="Z48" s="3">
        <f t="shared" si="2"/>
        <v>7637.6120000000001</v>
      </c>
      <c r="AA48" s="11">
        <f t="shared" si="3"/>
        <v>0.39987497382198955</v>
      </c>
      <c r="AB48" t="s">
        <v>292</v>
      </c>
      <c r="AC48" t="s">
        <v>276</v>
      </c>
    </row>
    <row r="49" spans="1:27" x14ac:dyDescent="0.35">
      <c r="A49" s="10" t="s">
        <v>309</v>
      </c>
      <c r="B49" t="s">
        <v>310</v>
      </c>
      <c r="C49" t="s">
        <v>133</v>
      </c>
      <c r="D49" t="s">
        <v>252</v>
      </c>
      <c r="E49" t="s">
        <v>33</v>
      </c>
      <c r="F49" t="s">
        <v>311</v>
      </c>
      <c r="H49" t="s">
        <v>136</v>
      </c>
      <c r="I49" t="s">
        <v>312</v>
      </c>
      <c r="J49">
        <v>1800</v>
      </c>
      <c r="K49">
        <v>0.3</v>
      </c>
      <c r="L49">
        <f t="shared" si="0"/>
        <v>2340</v>
      </c>
      <c r="M49" t="s">
        <v>38</v>
      </c>
      <c r="O49" t="s">
        <v>38</v>
      </c>
      <c r="P49" t="s">
        <v>39</v>
      </c>
      <c r="Q49" t="s">
        <v>310</v>
      </c>
      <c r="R49" t="s">
        <v>313</v>
      </c>
      <c r="S49" t="s">
        <v>256</v>
      </c>
      <c r="T49" s="2">
        <f>'SUPUESTOS PRECIOS'!$B$9</f>
        <v>0</v>
      </c>
      <c r="U49" s="3">
        <f>'SUPUESTOS PRECIOS'!$B$5/'SUPUESTOS PRECIOS'!$B$4</f>
        <v>1000</v>
      </c>
      <c r="V49" s="3">
        <f>('SUPUESTOS PRECIOS'!$B$6-'SUPUESTOS PRECIOS'!$B$7)/'SUPUESTOS PRECIOS'!$B$4</f>
        <v>377.5</v>
      </c>
      <c r="W49" s="4">
        <f>'SUPUESTOS PRECIOS'!$B$8</f>
        <v>9.6799999999999994E-3</v>
      </c>
      <c r="X49" s="4">
        <f>'SUPUESTOS PRECIOS'!$B$2</f>
        <v>0.4</v>
      </c>
      <c r="Y49" s="3">
        <f t="shared" si="1"/>
        <v>5380</v>
      </c>
      <c r="Z49" s="3">
        <f t="shared" si="2"/>
        <v>2150.4216000000001</v>
      </c>
      <c r="AA49" s="11">
        <f t="shared" si="3"/>
        <v>0.39970661710037175</v>
      </c>
    </row>
    <row r="50" spans="1:27" x14ac:dyDescent="0.35">
      <c r="A50" s="10" t="s">
        <v>314</v>
      </c>
      <c r="B50" t="s">
        <v>315</v>
      </c>
      <c r="C50" t="s">
        <v>133</v>
      </c>
      <c r="D50" t="s">
        <v>252</v>
      </c>
      <c r="E50" t="s">
        <v>33</v>
      </c>
      <c r="F50" t="s">
        <v>316</v>
      </c>
      <c r="H50" t="s">
        <v>136</v>
      </c>
      <c r="I50" t="s">
        <v>317</v>
      </c>
      <c r="J50">
        <v>2900</v>
      </c>
      <c r="K50">
        <v>0.3</v>
      </c>
      <c r="L50">
        <f t="shared" si="0"/>
        <v>3770</v>
      </c>
      <c r="M50" t="s">
        <v>38</v>
      </c>
      <c r="O50" t="s">
        <v>38</v>
      </c>
      <c r="P50" t="s">
        <v>39</v>
      </c>
      <c r="Q50" t="s">
        <v>315</v>
      </c>
      <c r="R50" t="s">
        <v>318</v>
      </c>
      <c r="S50" t="s">
        <v>256</v>
      </c>
      <c r="T50" s="2">
        <f>'SUPUESTOS PRECIOS'!$B$9</f>
        <v>0</v>
      </c>
      <c r="U50" s="3">
        <f>'SUPUESTOS PRECIOS'!$B$5/'SUPUESTOS PRECIOS'!$B$4</f>
        <v>1000</v>
      </c>
      <c r="V50" s="3">
        <f>('SUPUESTOS PRECIOS'!$B$6-'SUPUESTOS PRECIOS'!$B$7)/'SUPUESTOS PRECIOS'!$B$4</f>
        <v>377.5</v>
      </c>
      <c r="W50" s="4">
        <f>'SUPUESTOS PRECIOS'!$B$8</f>
        <v>9.6799999999999994E-3</v>
      </c>
      <c r="X50" s="4">
        <f>'SUPUESTOS PRECIOS'!$B$2</f>
        <v>0.4</v>
      </c>
      <c r="Y50" s="3">
        <f t="shared" si="1"/>
        <v>7250</v>
      </c>
      <c r="Z50" s="3">
        <f t="shared" si="2"/>
        <v>2902.32</v>
      </c>
      <c r="AA50" s="11">
        <f t="shared" si="3"/>
        <v>0.40032000000000001</v>
      </c>
    </row>
    <row r="51" spans="1:27" x14ac:dyDescent="0.35">
      <c r="A51" s="10" t="s">
        <v>319</v>
      </c>
      <c r="B51" t="s">
        <v>320</v>
      </c>
      <c r="C51" t="s">
        <v>133</v>
      </c>
      <c r="D51" t="s">
        <v>252</v>
      </c>
      <c r="E51" t="s">
        <v>33</v>
      </c>
      <c r="F51" t="s">
        <v>321</v>
      </c>
      <c r="H51" t="s">
        <v>136</v>
      </c>
      <c r="I51" t="s">
        <v>322</v>
      </c>
      <c r="J51">
        <v>6500</v>
      </c>
      <c r="K51">
        <v>0.3</v>
      </c>
      <c r="L51">
        <f t="shared" si="0"/>
        <v>8450</v>
      </c>
      <c r="M51" t="s">
        <v>38</v>
      </c>
      <c r="O51" t="s">
        <v>38</v>
      </c>
      <c r="P51" t="s">
        <v>39</v>
      </c>
      <c r="Q51" t="s">
        <v>320</v>
      </c>
      <c r="R51" t="s">
        <v>323</v>
      </c>
      <c r="S51" t="s">
        <v>256</v>
      </c>
      <c r="T51" s="2">
        <f>'SUPUESTOS PRECIOS'!$B$9</f>
        <v>0</v>
      </c>
      <c r="U51" s="3">
        <f>'SUPUESTOS PRECIOS'!$B$5/'SUPUESTOS PRECIOS'!$B$4</f>
        <v>1000</v>
      </c>
      <c r="V51" s="3">
        <f>('SUPUESTOS PRECIOS'!$B$6-'SUPUESTOS PRECIOS'!$B$7)/'SUPUESTOS PRECIOS'!$B$4</f>
        <v>377.5</v>
      </c>
      <c r="W51" s="4">
        <f>'SUPUESTOS PRECIOS'!$B$8</f>
        <v>9.6799999999999994E-3</v>
      </c>
      <c r="X51" s="4">
        <f>'SUPUESTOS PRECIOS'!$B$2</f>
        <v>0.4</v>
      </c>
      <c r="Y51" s="3">
        <f t="shared" si="1"/>
        <v>13340</v>
      </c>
      <c r="Z51" s="3">
        <f t="shared" si="2"/>
        <v>5333.3688000000002</v>
      </c>
      <c r="AA51" s="11">
        <f t="shared" si="3"/>
        <v>0.39980275862068965</v>
      </c>
    </row>
    <row r="52" spans="1:27" x14ac:dyDescent="0.35">
      <c r="A52" s="10" t="s">
        <v>324</v>
      </c>
      <c r="B52" t="s">
        <v>325</v>
      </c>
      <c r="C52" t="s">
        <v>133</v>
      </c>
      <c r="D52" t="s">
        <v>252</v>
      </c>
      <c r="E52" t="s">
        <v>33</v>
      </c>
      <c r="F52" t="s">
        <v>326</v>
      </c>
      <c r="H52" t="s">
        <v>136</v>
      </c>
      <c r="I52" t="s">
        <v>327</v>
      </c>
      <c r="J52">
        <v>2000</v>
      </c>
      <c r="K52">
        <v>0.3</v>
      </c>
      <c r="L52">
        <f t="shared" si="0"/>
        <v>2600</v>
      </c>
      <c r="M52" t="s">
        <v>38</v>
      </c>
      <c r="O52" t="s">
        <v>38</v>
      </c>
      <c r="P52" t="s">
        <v>39</v>
      </c>
      <c r="Q52" t="s">
        <v>325</v>
      </c>
      <c r="R52" t="s">
        <v>328</v>
      </c>
      <c r="S52" t="s">
        <v>256</v>
      </c>
      <c r="T52" s="2">
        <f>'SUPUESTOS PRECIOS'!$B$9</f>
        <v>0</v>
      </c>
      <c r="U52" s="3">
        <f>'SUPUESTOS PRECIOS'!$B$5/'SUPUESTOS PRECIOS'!$B$4</f>
        <v>1000</v>
      </c>
      <c r="V52" s="3">
        <f>('SUPUESTOS PRECIOS'!$B$6-'SUPUESTOS PRECIOS'!$B$7)/'SUPUESTOS PRECIOS'!$B$4</f>
        <v>377.5</v>
      </c>
      <c r="W52" s="4">
        <f>'SUPUESTOS PRECIOS'!$B$8</f>
        <v>9.6799999999999994E-3</v>
      </c>
      <c r="X52" s="4">
        <f>'SUPUESTOS PRECIOS'!$B$2</f>
        <v>0.4</v>
      </c>
      <c r="Y52" s="3">
        <f t="shared" si="1"/>
        <v>5720</v>
      </c>
      <c r="Z52" s="3">
        <f t="shared" si="2"/>
        <v>2287.1304</v>
      </c>
      <c r="AA52" s="11">
        <f t="shared" si="3"/>
        <v>0.39984797202797201</v>
      </c>
    </row>
    <row r="53" spans="1:27" x14ac:dyDescent="0.35">
      <c r="A53" s="10" t="s">
        <v>329</v>
      </c>
      <c r="B53" t="s">
        <v>330</v>
      </c>
      <c r="C53" t="s">
        <v>133</v>
      </c>
      <c r="D53" t="s">
        <v>252</v>
      </c>
      <c r="E53" t="s">
        <v>33</v>
      </c>
      <c r="F53" t="s">
        <v>331</v>
      </c>
      <c r="H53" t="s">
        <v>136</v>
      </c>
      <c r="I53" t="s">
        <v>332</v>
      </c>
      <c r="J53">
        <v>2600</v>
      </c>
      <c r="K53">
        <v>0.3</v>
      </c>
      <c r="L53">
        <f t="shared" si="0"/>
        <v>3380</v>
      </c>
      <c r="M53" t="s">
        <v>38</v>
      </c>
      <c r="O53" t="s">
        <v>38</v>
      </c>
      <c r="P53" t="s">
        <v>39</v>
      </c>
      <c r="Q53" t="s">
        <v>330</v>
      </c>
      <c r="R53" t="s">
        <v>333</v>
      </c>
      <c r="S53" t="s">
        <v>256</v>
      </c>
      <c r="T53" s="2">
        <f>'SUPUESTOS PRECIOS'!$B$9</f>
        <v>0</v>
      </c>
      <c r="U53" s="3">
        <f>'SUPUESTOS PRECIOS'!$B$5/'SUPUESTOS PRECIOS'!$B$4</f>
        <v>1000</v>
      </c>
      <c r="V53" s="3">
        <f>('SUPUESTOS PRECIOS'!$B$6-'SUPUESTOS PRECIOS'!$B$7)/'SUPUESTOS PRECIOS'!$B$4</f>
        <v>377.5</v>
      </c>
      <c r="W53" s="4">
        <f>'SUPUESTOS PRECIOS'!$B$8</f>
        <v>9.6799999999999994E-3</v>
      </c>
      <c r="X53" s="4">
        <f>'SUPUESTOS PRECIOS'!$B$2</f>
        <v>0.4</v>
      </c>
      <c r="Y53" s="3">
        <f t="shared" si="1"/>
        <v>6740</v>
      </c>
      <c r="Z53" s="3">
        <f t="shared" si="2"/>
        <v>2697.2568000000001</v>
      </c>
      <c r="AA53" s="11">
        <f t="shared" si="3"/>
        <v>0.40018646884273001</v>
      </c>
    </row>
    <row r="54" spans="1:27" x14ac:dyDescent="0.35">
      <c r="A54" s="10" t="s">
        <v>334</v>
      </c>
      <c r="B54" t="s">
        <v>335</v>
      </c>
      <c r="C54" t="s">
        <v>133</v>
      </c>
      <c r="D54" t="s">
        <v>252</v>
      </c>
      <c r="E54" t="s">
        <v>33</v>
      </c>
      <c r="F54" t="s">
        <v>336</v>
      </c>
      <c r="H54" t="s">
        <v>136</v>
      </c>
      <c r="I54" t="s">
        <v>337</v>
      </c>
      <c r="J54">
        <v>2000</v>
      </c>
      <c r="K54">
        <v>0.3</v>
      </c>
      <c r="L54">
        <f t="shared" si="0"/>
        <v>2600</v>
      </c>
      <c r="M54" t="s">
        <v>38</v>
      </c>
      <c r="O54" t="s">
        <v>38</v>
      </c>
      <c r="P54" t="s">
        <v>39</v>
      </c>
      <c r="Q54" t="s">
        <v>335</v>
      </c>
      <c r="R54" t="s">
        <v>338</v>
      </c>
      <c r="S54" t="s">
        <v>256</v>
      </c>
      <c r="T54" s="2">
        <f>'SUPUESTOS PRECIOS'!$B$9</f>
        <v>0</v>
      </c>
      <c r="U54" s="3">
        <f>'SUPUESTOS PRECIOS'!$B$5/'SUPUESTOS PRECIOS'!$B$4</f>
        <v>1000</v>
      </c>
      <c r="V54" s="3">
        <f>('SUPUESTOS PRECIOS'!$B$6-'SUPUESTOS PRECIOS'!$B$7)/'SUPUESTOS PRECIOS'!$B$4</f>
        <v>377.5</v>
      </c>
      <c r="W54" s="4">
        <f>'SUPUESTOS PRECIOS'!$B$8</f>
        <v>9.6799999999999994E-3</v>
      </c>
      <c r="X54" s="4">
        <f>'SUPUESTOS PRECIOS'!$B$2</f>
        <v>0.4</v>
      </c>
      <c r="Y54" s="3">
        <f t="shared" si="1"/>
        <v>5720</v>
      </c>
      <c r="Z54" s="3">
        <f t="shared" si="2"/>
        <v>2287.1304</v>
      </c>
      <c r="AA54" s="11">
        <f t="shared" si="3"/>
        <v>0.39984797202797201</v>
      </c>
    </row>
    <row r="55" spans="1:27" x14ac:dyDescent="0.35">
      <c r="A55" s="10" t="s">
        <v>339</v>
      </c>
      <c r="B55" t="s">
        <v>340</v>
      </c>
      <c r="C55" t="s">
        <v>133</v>
      </c>
      <c r="D55" t="s">
        <v>252</v>
      </c>
      <c r="E55" t="s">
        <v>33</v>
      </c>
      <c r="F55" t="s">
        <v>341</v>
      </c>
      <c r="H55" t="s">
        <v>136</v>
      </c>
      <c r="I55" t="s">
        <v>342</v>
      </c>
      <c r="J55">
        <v>9100</v>
      </c>
      <c r="K55">
        <v>0.3</v>
      </c>
      <c r="L55">
        <f t="shared" si="0"/>
        <v>11830</v>
      </c>
      <c r="M55" t="s">
        <v>38</v>
      </c>
      <c r="O55" t="s">
        <v>38</v>
      </c>
      <c r="P55" t="s">
        <v>39</v>
      </c>
      <c r="Q55" t="s">
        <v>340</v>
      </c>
      <c r="R55" t="s">
        <v>343</v>
      </c>
      <c r="S55" t="s">
        <v>256</v>
      </c>
      <c r="T55" s="2">
        <f>'SUPUESTOS PRECIOS'!$B$9</f>
        <v>0</v>
      </c>
      <c r="U55" s="3">
        <f>'SUPUESTOS PRECIOS'!$B$5/'SUPUESTOS PRECIOS'!$B$4</f>
        <v>1000</v>
      </c>
      <c r="V55" s="3">
        <f>('SUPUESTOS PRECIOS'!$B$6-'SUPUESTOS PRECIOS'!$B$7)/'SUPUESTOS PRECIOS'!$B$4</f>
        <v>377.5</v>
      </c>
      <c r="W55" s="4">
        <f>'SUPUESTOS PRECIOS'!$B$8</f>
        <v>9.6799999999999994E-3</v>
      </c>
      <c r="X55" s="4">
        <f>'SUPUESTOS PRECIOS'!$B$2</f>
        <v>0.4</v>
      </c>
      <c r="Y55" s="3">
        <f t="shared" si="1"/>
        <v>17750</v>
      </c>
      <c r="Z55" s="3">
        <f t="shared" si="2"/>
        <v>7100.68</v>
      </c>
      <c r="AA55" s="11">
        <f t="shared" si="3"/>
        <v>0.40003830985915495</v>
      </c>
    </row>
    <row r="56" spans="1:27" x14ac:dyDescent="0.35">
      <c r="A56" s="10" t="s">
        <v>344</v>
      </c>
      <c r="B56" t="s">
        <v>345</v>
      </c>
      <c r="C56" t="s">
        <v>133</v>
      </c>
      <c r="D56" t="s">
        <v>252</v>
      </c>
      <c r="E56" t="s">
        <v>33</v>
      </c>
      <c r="F56" t="s">
        <v>346</v>
      </c>
      <c r="H56" t="s">
        <v>136</v>
      </c>
      <c r="I56" t="s">
        <v>347</v>
      </c>
      <c r="J56">
        <v>3000</v>
      </c>
      <c r="K56">
        <v>0.3</v>
      </c>
      <c r="L56">
        <f t="shared" si="0"/>
        <v>3900</v>
      </c>
      <c r="M56" t="s">
        <v>38</v>
      </c>
      <c r="O56" t="s">
        <v>38</v>
      </c>
      <c r="P56" t="s">
        <v>39</v>
      </c>
      <c r="Q56" t="s">
        <v>345</v>
      </c>
      <c r="R56" t="s">
        <v>348</v>
      </c>
      <c r="S56" t="s">
        <v>256</v>
      </c>
      <c r="T56" s="2">
        <f>'SUPUESTOS PRECIOS'!$B$9</f>
        <v>0</v>
      </c>
      <c r="U56" s="3">
        <f>'SUPUESTOS PRECIOS'!$B$5/'SUPUESTOS PRECIOS'!$B$4</f>
        <v>1000</v>
      </c>
      <c r="V56" s="3">
        <f>('SUPUESTOS PRECIOS'!$B$6-'SUPUESTOS PRECIOS'!$B$7)/'SUPUESTOS PRECIOS'!$B$4</f>
        <v>377.5</v>
      </c>
      <c r="W56" s="4">
        <f>'SUPUESTOS PRECIOS'!$B$8</f>
        <v>9.6799999999999994E-3</v>
      </c>
      <c r="X56" s="4">
        <f>'SUPUESTOS PRECIOS'!$B$2</f>
        <v>0.4</v>
      </c>
      <c r="Y56" s="3">
        <f t="shared" si="1"/>
        <v>7420</v>
      </c>
      <c r="Z56" s="3">
        <f t="shared" si="2"/>
        <v>2970.6743999999999</v>
      </c>
      <c r="AA56" s="11">
        <f t="shared" si="3"/>
        <v>0.40036043126684634</v>
      </c>
    </row>
    <row r="57" spans="1:27" x14ac:dyDescent="0.35">
      <c r="A57" s="10" t="s">
        <v>349</v>
      </c>
      <c r="B57" t="s">
        <v>350</v>
      </c>
      <c r="C57" t="s">
        <v>133</v>
      </c>
      <c r="D57" t="s">
        <v>252</v>
      </c>
      <c r="E57" t="s">
        <v>351</v>
      </c>
      <c r="F57" t="s">
        <v>352</v>
      </c>
      <c r="H57" t="s">
        <v>136</v>
      </c>
      <c r="I57" t="s">
        <v>353</v>
      </c>
      <c r="J57">
        <v>3000</v>
      </c>
      <c r="K57">
        <v>0.3</v>
      </c>
      <c r="L57">
        <f t="shared" si="0"/>
        <v>3900</v>
      </c>
      <c r="M57" t="s">
        <v>38</v>
      </c>
      <c r="O57" t="s">
        <v>38</v>
      </c>
      <c r="P57" t="s">
        <v>39</v>
      </c>
      <c r="Q57" t="s">
        <v>350</v>
      </c>
      <c r="R57" t="s">
        <v>354</v>
      </c>
      <c r="S57" t="s">
        <v>256</v>
      </c>
      <c r="T57" s="2">
        <f>'SUPUESTOS PRECIOS'!$B$9</f>
        <v>0</v>
      </c>
      <c r="U57" s="3">
        <f>'SUPUESTOS PRECIOS'!$B$5/'SUPUESTOS PRECIOS'!$B$4</f>
        <v>1000</v>
      </c>
      <c r="V57" s="3">
        <f>('SUPUESTOS PRECIOS'!$B$6-'SUPUESTOS PRECIOS'!$B$7)/'SUPUESTOS PRECIOS'!$B$4</f>
        <v>377.5</v>
      </c>
      <c r="W57" s="4">
        <f>'SUPUESTOS PRECIOS'!$B$8</f>
        <v>9.6799999999999994E-3</v>
      </c>
      <c r="X57" s="4">
        <f>'SUPUESTOS PRECIOS'!$B$2</f>
        <v>0.4</v>
      </c>
      <c r="Y57" s="3">
        <f t="shared" si="1"/>
        <v>7420</v>
      </c>
      <c r="Z57" s="3">
        <f t="shared" si="2"/>
        <v>2970.6743999999999</v>
      </c>
      <c r="AA57" s="11">
        <f t="shared" si="3"/>
        <v>0.40036043126684634</v>
      </c>
    </row>
    <row r="58" spans="1:27" x14ac:dyDescent="0.35">
      <c r="A58" s="10" t="s">
        <v>355</v>
      </c>
      <c r="B58" t="s">
        <v>356</v>
      </c>
      <c r="C58" t="s">
        <v>133</v>
      </c>
      <c r="D58" t="s">
        <v>252</v>
      </c>
      <c r="E58" t="s">
        <v>33</v>
      </c>
      <c r="F58" t="s">
        <v>357</v>
      </c>
      <c r="H58" t="s">
        <v>136</v>
      </c>
      <c r="I58" t="s">
        <v>358</v>
      </c>
      <c r="J58">
        <v>4200</v>
      </c>
      <c r="K58">
        <v>0.3</v>
      </c>
      <c r="L58">
        <f t="shared" si="0"/>
        <v>5460</v>
      </c>
      <c r="M58" t="s">
        <v>38</v>
      </c>
      <c r="O58" t="s">
        <v>38</v>
      </c>
      <c r="P58" t="s">
        <v>39</v>
      </c>
      <c r="Q58" t="s">
        <v>356</v>
      </c>
      <c r="R58" t="s">
        <v>359</v>
      </c>
      <c r="S58" t="s">
        <v>256</v>
      </c>
      <c r="T58" s="2">
        <f>'SUPUESTOS PRECIOS'!$B$9</f>
        <v>0</v>
      </c>
      <c r="U58" s="3">
        <f>'SUPUESTOS PRECIOS'!$B$5/'SUPUESTOS PRECIOS'!$B$4</f>
        <v>1000</v>
      </c>
      <c r="V58" s="3">
        <f>('SUPUESTOS PRECIOS'!$B$6-'SUPUESTOS PRECIOS'!$B$7)/'SUPUESTOS PRECIOS'!$B$4</f>
        <v>377.5</v>
      </c>
      <c r="W58" s="4">
        <f>'SUPUESTOS PRECIOS'!$B$8</f>
        <v>9.6799999999999994E-3</v>
      </c>
      <c r="X58" s="4">
        <f>'SUPUESTOS PRECIOS'!$B$2</f>
        <v>0.4</v>
      </c>
      <c r="Y58" s="3">
        <f t="shared" si="1"/>
        <v>9450</v>
      </c>
      <c r="Z58" s="3">
        <f t="shared" si="2"/>
        <v>3781.0239999999999</v>
      </c>
      <c r="AA58" s="11">
        <f t="shared" si="3"/>
        <v>0.40010835978835979</v>
      </c>
    </row>
    <row r="59" spans="1:27" x14ac:dyDescent="0.35">
      <c r="A59" s="10" t="s">
        <v>360</v>
      </c>
      <c r="B59" t="s">
        <v>361</v>
      </c>
      <c r="C59" t="s">
        <v>133</v>
      </c>
      <c r="D59" t="s">
        <v>252</v>
      </c>
      <c r="E59" t="s">
        <v>33</v>
      </c>
      <c r="F59" t="s">
        <v>362</v>
      </c>
      <c r="H59" t="s">
        <v>136</v>
      </c>
      <c r="I59" t="s">
        <v>363</v>
      </c>
      <c r="J59">
        <v>3100</v>
      </c>
      <c r="K59">
        <v>0.3</v>
      </c>
      <c r="L59">
        <f t="shared" si="0"/>
        <v>4030</v>
      </c>
      <c r="M59" t="s">
        <v>38</v>
      </c>
      <c r="O59" t="s">
        <v>38</v>
      </c>
      <c r="P59" t="s">
        <v>39</v>
      </c>
      <c r="Q59" t="s">
        <v>361</v>
      </c>
      <c r="R59" t="s">
        <v>364</v>
      </c>
      <c r="S59" t="s">
        <v>256</v>
      </c>
      <c r="T59" s="2">
        <f>'SUPUESTOS PRECIOS'!$B$9</f>
        <v>0</v>
      </c>
      <c r="U59" s="3">
        <f>'SUPUESTOS PRECIOS'!$B$5/'SUPUESTOS PRECIOS'!$B$4</f>
        <v>1000</v>
      </c>
      <c r="V59" s="3">
        <f>('SUPUESTOS PRECIOS'!$B$6-'SUPUESTOS PRECIOS'!$B$7)/'SUPUESTOS PRECIOS'!$B$4</f>
        <v>377.5</v>
      </c>
      <c r="W59" s="4">
        <f>'SUPUESTOS PRECIOS'!$B$8</f>
        <v>9.6799999999999994E-3</v>
      </c>
      <c r="X59" s="4">
        <f>'SUPUESTOS PRECIOS'!$B$2</f>
        <v>0.4</v>
      </c>
      <c r="Y59" s="3">
        <f t="shared" si="1"/>
        <v>7580</v>
      </c>
      <c r="Z59" s="3">
        <f t="shared" si="2"/>
        <v>3029.1255999999998</v>
      </c>
      <c r="AA59" s="11">
        <f t="shared" si="3"/>
        <v>0.39962079155672819</v>
      </c>
    </row>
    <row r="60" spans="1:27" x14ac:dyDescent="0.35">
      <c r="A60" s="10" t="s">
        <v>365</v>
      </c>
      <c r="B60" t="s">
        <v>366</v>
      </c>
      <c r="C60" t="s">
        <v>133</v>
      </c>
      <c r="D60" t="s">
        <v>252</v>
      </c>
      <c r="E60" t="s">
        <v>33</v>
      </c>
      <c r="F60" t="s">
        <v>367</v>
      </c>
      <c r="H60" t="s">
        <v>136</v>
      </c>
      <c r="I60" t="s">
        <v>368</v>
      </c>
      <c r="J60">
        <v>4000</v>
      </c>
      <c r="K60">
        <v>0.3</v>
      </c>
      <c r="L60">
        <f t="shared" si="0"/>
        <v>5200</v>
      </c>
      <c r="M60" t="s">
        <v>38</v>
      </c>
      <c r="O60" t="s">
        <v>38</v>
      </c>
      <c r="P60" t="s">
        <v>39</v>
      </c>
      <c r="Q60" t="s">
        <v>366</v>
      </c>
      <c r="R60" t="s">
        <v>369</v>
      </c>
      <c r="S60" t="s">
        <v>256</v>
      </c>
      <c r="T60" s="2">
        <f>'SUPUESTOS PRECIOS'!$B$9</f>
        <v>0</v>
      </c>
      <c r="U60" s="3">
        <f>'SUPUESTOS PRECIOS'!$B$5/'SUPUESTOS PRECIOS'!$B$4</f>
        <v>1000</v>
      </c>
      <c r="V60" s="3">
        <f>('SUPUESTOS PRECIOS'!$B$6-'SUPUESTOS PRECIOS'!$B$7)/'SUPUESTOS PRECIOS'!$B$4</f>
        <v>377.5</v>
      </c>
      <c r="W60" s="4">
        <f>'SUPUESTOS PRECIOS'!$B$8</f>
        <v>9.6799999999999994E-3</v>
      </c>
      <c r="X60" s="4">
        <f>'SUPUESTOS PRECIOS'!$B$2</f>
        <v>0.4</v>
      </c>
      <c r="Y60" s="3">
        <f t="shared" si="1"/>
        <v>9110</v>
      </c>
      <c r="Z60" s="3">
        <f t="shared" si="2"/>
        <v>3644.3152</v>
      </c>
      <c r="AA60" s="11">
        <f t="shared" si="3"/>
        <v>0.40003459934138308</v>
      </c>
    </row>
    <row r="61" spans="1:27" x14ac:dyDescent="0.35">
      <c r="A61" s="10" t="s">
        <v>370</v>
      </c>
      <c r="B61" t="s">
        <v>371</v>
      </c>
      <c r="C61" t="s">
        <v>133</v>
      </c>
      <c r="D61" t="s">
        <v>252</v>
      </c>
      <c r="E61" t="s">
        <v>33</v>
      </c>
      <c r="F61" t="s">
        <v>372</v>
      </c>
      <c r="H61" t="s">
        <v>136</v>
      </c>
      <c r="I61" t="s">
        <v>373</v>
      </c>
      <c r="J61">
        <v>2000</v>
      </c>
      <c r="K61">
        <v>0.3</v>
      </c>
      <c r="L61">
        <f t="shared" si="0"/>
        <v>2600</v>
      </c>
      <c r="M61" t="s">
        <v>38</v>
      </c>
      <c r="O61" t="s">
        <v>38</v>
      </c>
      <c r="P61" t="s">
        <v>39</v>
      </c>
      <c r="Q61" t="s">
        <v>371</v>
      </c>
      <c r="R61" t="s">
        <v>374</v>
      </c>
      <c r="S61" t="s">
        <v>256</v>
      </c>
      <c r="T61" s="2">
        <f>'SUPUESTOS PRECIOS'!$B$9</f>
        <v>0</v>
      </c>
      <c r="U61" s="3">
        <f>'SUPUESTOS PRECIOS'!$B$5/'SUPUESTOS PRECIOS'!$B$4</f>
        <v>1000</v>
      </c>
      <c r="V61" s="3">
        <f>('SUPUESTOS PRECIOS'!$B$6-'SUPUESTOS PRECIOS'!$B$7)/'SUPUESTOS PRECIOS'!$B$4</f>
        <v>377.5</v>
      </c>
      <c r="W61" s="4">
        <f>'SUPUESTOS PRECIOS'!$B$8</f>
        <v>9.6799999999999994E-3</v>
      </c>
      <c r="X61" s="4">
        <f>'SUPUESTOS PRECIOS'!$B$2</f>
        <v>0.4</v>
      </c>
      <c r="Y61" s="3">
        <f t="shared" si="1"/>
        <v>5720</v>
      </c>
      <c r="Z61" s="3">
        <f t="shared" si="2"/>
        <v>2287.1304</v>
      </c>
      <c r="AA61" s="11">
        <f t="shared" si="3"/>
        <v>0.39984797202797201</v>
      </c>
    </row>
    <row r="62" spans="1:27" x14ac:dyDescent="0.35">
      <c r="A62" s="10" t="s">
        <v>375</v>
      </c>
      <c r="B62" t="s">
        <v>376</v>
      </c>
      <c r="C62" t="s">
        <v>133</v>
      </c>
      <c r="D62" t="s">
        <v>252</v>
      </c>
      <c r="E62" t="s">
        <v>33</v>
      </c>
      <c r="F62" t="s">
        <v>377</v>
      </c>
      <c r="H62" t="s">
        <v>136</v>
      </c>
      <c r="I62" t="s">
        <v>378</v>
      </c>
      <c r="J62">
        <v>7500</v>
      </c>
      <c r="K62">
        <v>0.3</v>
      </c>
      <c r="L62">
        <f t="shared" si="0"/>
        <v>9750</v>
      </c>
      <c r="M62" t="s">
        <v>38</v>
      </c>
      <c r="O62" t="s">
        <v>38</v>
      </c>
      <c r="P62" t="s">
        <v>39</v>
      </c>
      <c r="Q62" t="s">
        <v>376</v>
      </c>
      <c r="R62" t="s">
        <v>379</v>
      </c>
      <c r="S62" t="s">
        <v>256</v>
      </c>
      <c r="T62" s="2">
        <f>'SUPUESTOS PRECIOS'!$B$9</f>
        <v>0</v>
      </c>
      <c r="U62" s="3">
        <f>'SUPUESTOS PRECIOS'!$B$5/'SUPUESTOS PRECIOS'!$B$4</f>
        <v>1000</v>
      </c>
      <c r="V62" s="3">
        <f>('SUPUESTOS PRECIOS'!$B$6-'SUPUESTOS PRECIOS'!$B$7)/'SUPUESTOS PRECIOS'!$B$4</f>
        <v>377.5</v>
      </c>
      <c r="W62" s="4">
        <f>'SUPUESTOS PRECIOS'!$B$8</f>
        <v>9.6799999999999994E-3</v>
      </c>
      <c r="X62" s="4">
        <f>'SUPUESTOS PRECIOS'!$B$2</f>
        <v>0.4</v>
      </c>
      <c r="Y62" s="3">
        <f t="shared" si="1"/>
        <v>15040</v>
      </c>
      <c r="Z62" s="3">
        <f t="shared" si="2"/>
        <v>6016.9128000000001</v>
      </c>
      <c r="AA62" s="11">
        <f t="shared" si="3"/>
        <v>0.40006069148936169</v>
      </c>
    </row>
    <row r="63" spans="1:27" x14ac:dyDescent="0.35">
      <c r="A63" s="10" t="s">
        <v>380</v>
      </c>
      <c r="B63" t="s">
        <v>381</v>
      </c>
      <c r="C63" t="s">
        <v>133</v>
      </c>
      <c r="D63" t="s">
        <v>252</v>
      </c>
      <c r="E63" t="s">
        <v>33</v>
      </c>
      <c r="F63" t="s">
        <v>382</v>
      </c>
      <c r="H63" t="s">
        <v>136</v>
      </c>
      <c r="I63" t="s">
        <v>383</v>
      </c>
      <c r="J63">
        <v>5700</v>
      </c>
      <c r="K63">
        <v>0.3</v>
      </c>
      <c r="L63">
        <f t="shared" si="0"/>
        <v>7410</v>
      </c>
      <c r="M63" t="s">
        <v>38</v>
      </c>
      <c r="O63" t="s">
        <v>38</v>
      </c>
      <c r="P63" t="s">
        <v>39</v>
      </c>
      <c r="Q63" t="s">
        <v>381</v>
      </c>
      <c r="R63" t="s">
        <v>384</v>
      </c>
      <c r="S63" t="s">
        <v>256</v>
      </c>
      <c r="T63" s="2">
        <f>'SUPUESTOS PRECIOS'!$B$9</f>
        <v>0</v>
      </c>
      <c r="U63" s="3">
        <f>'SUPUESTOS PRECIOS'!$B$5/'SUPUESTOS PRECIOS'!$B$4</f>
        <v>1000</v>
      </c>
      <c r="V63" s="3">
        <f>('SUPUESTOS PRECIOS'!$B$6-'SUPUESTOS PRECIOS'!$B$7)/'SUPUESTOS PRECIOS'!$B$4</f>
        <v>377.5</v>
      </c>
      <c r="W63" s="4">
        <f>'SUPUESTOS PRECIOS'!$B$8</f>
        <v>9.6799999999999994E-3</v>
      </c>
      <c r="X63" s="4">
        <f>'SUPUESTOS PRECIOS'!$B$2</f>
        <v>0.4</v>
      </c>
      <c r="Y63" s="3">
        <f t="shared" si="1"/>
        <v>11990</v>
      </c>
      <c r="Z63" s="3">
        <f t="shared" si="2"/>
        <v>4796.4368000000004</v>
      </c>
      <c r="AA63" s="11">
        <f t="shared" si="3"/>
        <v>0.40003643035863223</v>
      </c>
    </row>
    <row r="64" spans="1:27" x14ac:dyDescent="0.35">
      <c r="A64" s="10" t="s">
        <v>385</v>
      </c>
      <c r="B64" t="s">
        <v>386</v>
      </c>
      <c r="C64" t="s">
        <v>133</v>
      </c>
      <c r="D64" t="s">
        <v>252</v>
      </c>
      <c r="E64" t="s">
        <v>33</v>
      </c>
      <c r="F64" t="s">
        <v>387</v>
      </c>
      <c r="H64" t="s">
        <v>136</v>
      </c>
      <c r="I64" t="s">
        <v>388</v>
      </c>
      <c r="J64">
        <v>5000</v>
      </c>
      <c r="K64">
        <v>0.3</v>
      </c>
      <c r="L64">
        <f t="shared" si="0"/>
        <v>6500</v>
      </c>
      <c r="M64" t="s">
        <v>38</v>
      </c>
      <c r="O64" t="s">
        <v>38</v>
      </c>
      <c r="P64" t="s">
        <v>39</v>
      </c>
      <c r="Q64" t="s">
        <v>386</v>
      </c>
      <c r="R64" t="s">
        <v>389</v>
      </c>
      <c r="S64" t="s">
        <v>256</v>
      </c>
      <c r="T64" s="2">
        <f>'SUPUESTOS PRECIOS'!$B$9</f>
        <v>0</v>
      </c>
      <c r="U64" s="3">
        <f>'SUPUESTOS PRECIOS'!$B$5/'SUPUESTOS PRECIOS'!$B$4</f>
        <v>1000</v>
      </c>
      <c r="V64" s="3">
        <f>('SUPUESTOS PRECIOS'!$B$6-'SUPUESTOS PRECIOS'!$B$7)/'SUPUESTOS PRECIOS'!$B$4</f>
        <v>377.5</v>
      </c>
      <c r="W64" s="4">
        <f>'SUPUESTOS PRECIOS'!$B$8</f>
        <v>9.6799999999999994E-3</v>
      </c>
      <c r="X64" s="4">
        <f>'SUPUESTOS PRECIOS'!$B$2</f>
        <v>0.4</v>
      </c>
      <c r="Y64" s="3">
        <f t="shared" si="1"/>
        <v>10800</v>
      </c>
      <c r="Z64" s="3">
        <f t="shared" si="2"/>
        <v>4317.9560000000001</v>
      </c>
      <c r="AA64" s="11">
        <f t="shared" si="3"/>
        <v>0.39981074074074074</v>
      </c>
    </row>
    <row r="65" spans="1:29" x14ac:dyDescent="0.35">
      <c r="A65" s="10" t="s">
        <v>390</v>
      </c>
      <c r="B65" t="s">
        <v>391</v>
      </c>
      <c r="C65" t="s">
        <v>133</v>
      </c>
      <c r="D65" t="s">
        <v>252</v>
      </c>
      <c r="E65" t="s">
        <v>33</v>
      </c>
      <c r="F65" t="s">
        <v>392</v>
      </c>
      <c r="H65" t="s">
        <v>136</v>
      </c>
      <c r="I65" t="s">
        <v>393</v>
      </c>
      <c r="J65">
        <v>1600</v>
      </c>
      <c r="K65">
        <v>0.3</v>
      </c>
      <c r="L65">
        <f t="shared" si="0"/>
        <v>2080</v>
      </c>
      <c r="M65" t="s">
        <v>38</v>
      </c>
      <c r="O65" t="s">
        <v>38</v>
      </c>
      <c r="P65" t="s">
        <v>39</v>
      </c>
      <c r="Q65" t="s">
        <v>391</v>
      </c>
      <c r="R65" t="s">
        <v>394</v>
      </c>
      <c r="S65" t="s">
        <v>256</v>
      </c>
      <c r="T65" s="2">
        <f>'SUPUESTOS PRECIOS'!$B$9</f>
        <v>0</v>
      </c>
      <c r="U65" s="3">
        <f>'SUPUESTOS PRECIOS'!$B$5/'SUPUESTOS PRECIOS'!$B$4</f>
        <v>1000</v>
      </c>
      <c r="V65" s="3">
        <f>('SUPUESTOS PRECIOS'!$B$6-'SUPUESTOS PRECIOS'!$B$7)/'SUPUESTOS PRECIOS'!$B$4</f>
        <v>377.5</v>
      </c>
      <c r="W65" s="4">
        <f>'SUPUESTOS PRECIOS'!$B$8</f>
        <v>9.6799999999999994E-3</v>
      </c>
      <c r="X65" s="4">
        <f>'SUPUESTOS PRECIOS'!$B$2</f>
        <v>0.4</v>
      </c>
      <c r="Y65" s="3">
        <f t="shared" si="1"/>
        <v>5040</v>
      </c>
      <c r="Z65" s="3">
        <f t="shared" si="2"/>
        <v>2013.7128</v>
      </c>
      <c r="AA65" s="11">
        <f t="shared" si="3"/>
        <v>0.3995461904761905</v>
      </c>
    </row>
    <row r="66" spans="1:29" x14ac:dyDescent="0.35">
      <c r="A66" s="10" t="s">
        <v>395</v>
      </c>
      <c r="B66" t="s">
        <v>396</v>
      </c>
      <c r="C66" t="s">
        <v>133</v>
      </c>
      <c r="D66" t="s">
        <v>252</v>
      </c>
      <c r="E66" t="s">
        <v>33</v>
      </c>
      <c r="F66" t="s">
        <v>397</v>
      </c>
      <c r="H66" t="s">
        <v>136</v>
      </c>
      <c r="I66" t="s">
        <v>398</v>
      </c>
      <c r="J66">
        <v>4400</v>
      </c>
      <c r="K66">
        <v>0.3</v>
      </c>
      <c r="L66">
        <f t="shared" ref="L66:L129" si="4">IF(J66="","",J66*(1+K66))</f>
        <v>5720</v>
      </c>
      <c r="M66" t="s">
        <v>38</v>
      </c>
      <c r="O66" t="s">
        <v>38</v>
      </c>
      <c r="P66" t="s">
        <v>39</v>
      </c>
      <c r="Q66" t="s">
        <v>396</v>
      </c>
      <c r="R66" t="s">
        <v>399</v>
      </c>
      <c r="S66" t="s">
        <v>256</v>
      </c>
      <c r="T66" s="2">
        <f>'SUPUESTOS PRECIOS'!$B$9</f>
        <v>0</v>
      </c>
      <c r="U66" s="3">
        <f>'SUPUESTOS PRECIOS'!$B$5/'SUPUESTOS PRECIOS'!$B$4</f>
        <v>1000</v>
      </c>
      <c r="V66" s="3">
        <f>('SUPUESTOS PRECIOS'!$B$6-'SUPUESTOS PRECIOS'!$B$7)/'SUPUESTOS PRECIOS'!$B$4</f>
        <v>377.5</v>
      </c>
      <c r="W66" s="4">
        <f>'SUPUESTOS PRECIOS'!$B$8</f>
        <v>9.6799999999999994E-3</v>
      </c>
      <c r="X66" s="4">
        <f>'SUPUESTOS PRECIOS'!$B$2</f>
        <v>0.4</v>
      </c>
      <c r="Y66" s="3">
        <f t="shared" ref="Y66:Y129" si="5">IF(OR($B66="",$J66=""),"",ROUND(($J66+$T66+$U66+$V66)/(1-$W66-$X66),-1))</f>
        <v>9790</v>
      </c>
      <c r="Z66" s="3">
        <f t="shared" ref="Z66:Z129" si="6">IF($Y66="","",$Y66-$J66-$T66-$U66-$V66-($Y66*$W66))</f>
        <v>3917.7328000000002</v>
      </c>
      <c r="AA66" s="11">
        <f t="shared" ref="AA66:AA129" si="7">IF($Y66="","",$Z66/$Y66)</f>
        <v>0.40017699693564862</v>
      </c>
    </row>
    <row r="67" spans="1:29" x14ac:dyDescent="0.35">
      <c r="A67" s="10" t="s">
        <v>400</v>
      </c>
      <c r="B67" t="s">
        <v>401</v>
      </c>
      <c r="C67" t="s">
        <v>133</v>
      </c>
      <c r="D67" t="s">
        <v>252</v>
      </c>
      <c r="E67" t="s">
        <v>33</v>
      </c>
      <c r="F67" t="s">
        <v>402</v>
      </c>
      <c r="H67" t="s">
        <v>136</v>
      </c>
      <c r="I67" t="s">
        <v>403</v>
      </c>
      <c r="J67">
        <v>4300</v>
      </c>
      <c r="K67">
        <v>0.3</v>
      </c>
      <c r="L67">
        <f t="shared" si="4"/>
        <v>5590</v>
      </c>
      <c r="M67" t="s">
        <v>38</v>
      </c>
      <c r="O67" t="s">
        <v>38</v>
      </c>
      <c r="P67" t="s">
        <v>39</v>
      </c>
      <c r="Q67" t="s">
        <v>401</v>
      </c>
      <c r="R67" t="s">
        <v>404</v>
      </c>
      <c r="S67" t="s">
        <v>256</v>
      </c>
      <c r="T67" s="2">
        <f>'SUPUESTOS PRECIOS'!$B$9</f>
        <v>0</v>
      </c>
      <c r="U67" s="3">
        <f>'SUPUESTOS PRECIOS'!$B$5/'SUPUESTOS PRECIOS'!$B$4</f>
        <v>1000</v>
      </c>
      <c r="V67" s="3">
        <f>('SUPUESTOS PRECIOS'!$B$6-'SUPUESTOS PRECIOS'!$B$7)/'SUPUESTOS PRECIOS'!$B$4</f>
        <v>377.5</v>
      </c>
      <c r="W67" s="4">
        <f>'SUPUESTOS PRECIOS'!$B$8</f>
        <v>9.6799999999999994E-3</v>
      </c>
      <c r="X67" s="4">
        <f>'SUPUESTOS PRECIOS'!$B$2</f>
        <v>0.4</v>
      </c>
      <c r="Y67" s="3">
        <f t="shared" si="5"/>
        <v>9620</v>
      </c>
      <c r="Z67" s="3">
        <f t="shared" si="6"/>
        <v>3849.3784000000001</v>
      </c>
      <c r="AA67" s="11">
        <f t="shared" si="7"/>
        <v>0.40014328482328482</v>
      </c>
    </row>
    <row r="68" spans="1:29" x14ac:dyDescent="0.35">
      <c r="A68" s="10" t="s">
        <v>405</v>
      </c>
      <c r="B68" t="s">
        <v>406</v>
      </c>
      <c r="C68" t="s">
        <v>133</v>
      </c>
      <c r="D68" t="s">
        <v>252</v>
      </c>
      <c r="E68" t="s">
        <v>33</v>
      </c>
      <c r="F68" t="s">
        <v>407</v>
      </c>
      <c r="H68" t="s">
        <v>136</v>
      </c>
      <c r="I68" t="s">
        <v>408</v>
      </c>
      <c r="J68">
        <v>2200</v>
      </c>
      <c r="K68">
        <v>0.3</v>
      </c>
      <c r="L68">
        <f t="shared" si="4"/>
        <v>2860</v>
      </c>
      <c r="M68" t="s">
        <v>38</v>
      </c>
      <c r="O68" t="s">
        <v>38</v>
      </c>
      <c r="P68" t="s">
        <v>39</v>
      </c>
      <c r="Q68" t="s">
        <v>406</v>
      </c>
      <c r="R68" t="s">
        <v>409</v>
      </c>
      <c r="S68" t="s">
        <v>256</v>
      </c>
      <c r="T68" s="2">
        <f>'SUPUESTOS PRECIOS'!$B$9</f>
        <v>0</v>
      </c>
      <c r="U68" s="3">
        <f>'SUPUESTOS PRECIOS'!$B$5/'SUPUESTOS PRECIOS'!$B$4</f>
        <v>1000</v>
      </c>
      <c r="V68" s="3">
        <f>('SUPUESTOS PRECIOS'!$B$6-'SUPUESTOS PRECIOS'!$B$7)/'SUPUESTOS PRECIOS'!$B$4</f>
        <v>377.5</v>
      </c>
      <c r="W68" s="4">
        <f>'SUPUESTOS PRECIOS'!$B$8</f>
        <v>9.6799999999999994E-3</v>
      </c>
      <c r="X68" s="4">
        <f>'SUPUESTOS PRECIOS'!$B$2</f>
        <v>0.4</v>
      </c>
      <c r="Y68" s="3">
        <f t="shared" si="5"/>
        <v>6060</v>
      </c>
      <c r="Z68" s="3">
        <f t="shared" si="6"/>
        <v>2423.8391999999999</v>
      </c>
      <c r="AA68" s="11">
        <f t="shared" si="7"/>
        <v>0.39997346534653466</v>
      </c>
    </row>
    <row r="69" spans="1:29" x14ac:dyDescent="0.35">
      <c r="A69" s="10" t="s">
        <v>410</v>
      </c>
      <c r="B69" t="s">
        <v>411</v>
      </c>
      <c r="C69" t="s">
        <v>133</v>
      </c>
      <c r="D69" t="s">
        <v>252</v>
      </c>
      <c r="E69" t="s">
        <v>33</v>
      </c>
      <c r="F69" t="s">
        <v>412</v>
      </c>
      <c r="H69" t="s">
        <v>136</v>
      </c>
      <c r="I69" t="s">
        <v>413</v>
      </c>
      <c r="J69">
        <v>1900</v>
      </c>
      <c r="K69">
        <v>0.3</v>
      </c>
      <c r="L69">
        <f t="shared" si="4"/>
        <v>2470</v>
      </c>
      <c r="M69" t="s">
        <v>38</v>
      </c>
      <c r="O69" t="s">
        <v>38</v>
      </c>
      <c r="P69" t="s">
        <v>39</v>
      </c>
      <c r="Q69" t="s">
        <v>411</v>
      </c>
      <c r="R69" t="s">
        <v>414</v>
      </c>
      <c r="S69" t="s">
        <v>256</v>
      </c>
      <c r="T69" s="2">
        <f>'SUPUESTOS PRECIOS'!$B$9</f>
        <v>0</v>
      </c>
      <c r="U69" s="3">
        <f>'SUPUESTOS PRECIOS'!$B$5/'SUPUESTOS PRECIOS'!$B$4</f>
        <v>1000</v>
      </c>
      <c r="V69" s="3">
        <f>('SUPUESTOS PRECIOS'!$B$6-'SUPUESTOS PRECIOS'!$B$7)/'SUPUESTOS PRECIOS'!$B$4</f>
        <v>377.5</v>
      </c>
      <c r="W69" s="4">
        <f>'SUPUESTOS PRECIOS'!$B$8</f>
        <v>9.6799999999999994E-3</v>
      </c>
      <c r="X69" s="4">
        <f>'SUPUESTOS PRECIOS'!$B$2</f>
        <v>0.4</v>
      </c>
      <c r="Y69" s="3">
        <f t="shared" si="5"/>
        <v>5550</v>
      </c>
      <c r="Z69" s="3">
        <f t="shared" si="6"/>
        <v>2218.7759999999998</v>
      </c>
      <c r="AA69" s="11">
        <f t="shared" si="7"/>
        <v>0.39977945945945942</v>
      </c>
    </row>
    <row r="70" spans="1:29" x14ac:dyDescent="0.35">
      <c r="A70" s="10" t="s">
        <v>415</v>
      </c>
      <c r="B70" t="s">
        <v>416</v>
      </c>
      <c r="C70" t="s">
        <v>133</v>
      </c>
      <c r="D70" t="s">
        <v>252</v>
      </c>
      <c r="E70" t="s">
        <v>33</v>
      </c>
      <c r="F70" t="s">
        <v>417</v>
      </c>
      <c r="H70" t="s">
        <v>136</v>
      </c>
      <c r="I70" t="s">
        <v>418</v>
      </c>
      <c r="J70">
        <v>4500</v>
      </c>
      <c r="K70">
        <v>0.3</v>
      </c>
      <c r="L70">
        <f t="shared" si="4"/>
        <v>5850</v>
      </c>
      <c r="M70" t="s">
        <v>38</v>
      </c>
      <c r="O70" t="s">
        <v>38</v>
      </c>
      <c r="P70" t="s">
        <v>39</v>
      </c>
      <c r="Q70" t="s">
        <v>416</v>
      </c>
      <c r="R70" t="s">
        <v>419</v>
      </c>
      <c r="S70" t="s">
        <v>256</v>
      </c>
      <c r="T70" s="2">
        <f>'SUPUESTOS PRECIOS'!$B$9</f>
        <v>0</v>
      </c>
      <c r="U70" s="3">
        <f>'SUPUESTOS PRECIOS'!$B$5/'SUPUESTOS PRECIOS'!$B$4</f>
        <v>1000</v>
      </c>
      <c r="V70" s="3">
        <f>('SUPUESTOS PRECIOS'!$B$6-'SUPUESTOS PRECIOS'!$B$7)/'SUPUESTOS PRECIOS'!$B$4</f>
        <v>377.5</v>
      </c>
      <c r="W70" s="4">
        <f>'SUPUESTOS PRECIOS'!$B$8</f>
        <v>9.6799999999999994E-3</v>
      </c>
      <c r="X70" s="4">
        <f>'SUPUESTOS PRECIOS'!$B$2</f>
        <v>0.4</v>
      </c>
      <c r="Y70" s="3">
        <f t="shared" si="5"/>
        <v>9960</v>
      </c>
      <c r="Z70" s="3">
        <f t="shared" si="6"/>
        <v>3986.0871999999999</v>
      </c>
      <c r="AA70" s="11">
        <f t="shared" si="7"/>
        <v>0.40020955823293169</v>
      </c>
    </row>
    <row r="71" spans="1:29" x14ac:dyDescent="0.35">
      <c r="A71" s="10" t="s">
        <v>420</v>
      </c>
      <c r="B71" t="s">
        <v>421</v>
      </c>
      <c r="C71" t="s">
        <v>133</v>
      </c>
      <c r="D71" t="s">
        <v>252</v>
      </c>
      <c r="E71" t="s">
        <v>33</v>
      </c>
      <c r="F71" t="s">
        <v>422</v>
      </c>
      <c r="H71" t="s">
        <v>136</v>
      </c>
      <c r="I71" t="s">
        <v>423</v>
      </c>
      <c r="J71">
        <v>2700</v>
      </c>
      <c r="K71">
        <v>0.3</v>
      </c>
      <c r="L71">
        <f t="shared" si="4"/>
        <v>3510</v>
      </c>
      <c r="M71" t="s">
        <v>38</v>
      </c>
      <c r="O71" t="s">
        <v>38</v>
      </c>
      <c r="P71" t="s">
        <v>39</v>
      </c>
      <c r="Q71" t="s">
        <v>421</v>
      </c>
      <c r="R71" t="s">
        <v>424</v>
      </c>
      <c r="S71" t="s">
        <v>256</v>
      </c>
      <c r="T71" s="2">
        <f>'SUPUESTOS PRECIOS'!$B$9</f>
        <v>0</v>
      </c>
      <c r="U71" s="3">
        <f>'SUPUESTOS PRECIOS'!$B$5/'SUPUESTOS PRECIOS'!$B$4</f>
        <v>1000</v>
      </c>
      <c r="V71" s="3">
        <f>('SUPUESTOS PRECIOS'!$B$6-'SUPUESTOS PRECIOS'!$B$7)/'SUPUESTOS PRECIOS'!$B$4</f>
        <v>377.5</v>
      </c>
      <c r="W71" s="4">
        <f>'SUPUESTOS PRECIOS'!$B$8</f>
        <v>9.6799999999999994E-3</v>
      </c>
      <c r="X71" s="4">
        <f>'SUPUESTOS PRECIOS'!$B$2</f>
        <v>0.4</v>
      </c>
      <c r="Y71" s="3">
        <f t="shared" si="5"/>
        <v>6910</v>
      </c>
      <c r="Z71" s="3">
        <f t="shared" si="6"/>
        <v>2765.6111999999998</v>
      </c>
      <c r="AA71" s="11">
        <f t="shared" si="7"/>
        <v>0.40023316931982633</v>
      </c>
    </row>
    <row r="72" spans="1:29" x14ac:dyDescent="0.35">
      <c r="A72" s="10" t="s">
        <v>425</v>
      </c>
      <c r="B72" t="s">
        <v>426</v>
      </c>
      <c r="C72" t="s">
        <v>133</v>
      </c>
      <c r="D72" t="s">
        <v>252</v>
      </c>
      <c r="E72" t="s">
        <v>33</v>
      </c>
      <c r="F72" t="s">
        <v>427</v>
      </c>
      <c r="H72" t="s">
        <v>136</v>
      </c>
      <c r="I72" t="s">
        <v>428</v>
      </c>
      <c r="J72">
        <v>2600</v>
      </c>
      <c r="K72">
        <v>0.3</v>
      </c>
      <c r="L72">
        <f t="shared" si="4"/>
        <v>3380</v>
      </c>
      <c r="M72" t="s">
        <v>38</v>
      </c>
      <c r="O72" t="s">
        <v>38</v>
      </c>
      <c r="P72" t="s">
        <v>39</v>
      </c>
      <c r="Q72" t="s">
        <v>426</v>
      </c>
      <c r="R72" t="s">
        <v>429</v>
      </c>
      <c r="S72" t="s">
        <v>256</v>
      </c>
      <c r="T72" s="2">
        <f>'SUPUESTOS PRECIOS'!$B$9</f>
        <v>0</v>
      </c>
      <c r="U72" s="3">
        <f>'SUPUESTOS PRECIOS'!$B$5/'SUPUESTOS PRECIOS'!$B$4</f>
        <v>1000</v>
      </c>
      <c r="V72" s="3">
        <f>('SUPUESTOS PRECIOS'!$B$6-'SUPUESTOS PRECIOS'!$B$7)/'SUPUESTOS PRECIOS'!$B$4</f>
        <v>377.5</v>
      </c>
      <c r="W72" s="4">
        <f>'SUPUESTOS PRECIOS'!$B$8</f>
        <v>9.6799999999999994E-3</v>
      </c>
      <c r="X72" s="4">
        <f>'SUPUESTOS PRECIOS'!$B$2</f>
        <v>0.4</v>
      </c>
      <c r="Y72" s="3">
        <f t="shared" si="5"/>
        <v>6740</v>
      </c>
      <c r="Z72" s="3">
        <f t="shared" si="6"/>
        <v>2697.2568000000001</v>
      </c>
      <c r="AA72" s="11">
        <f t="shared" si="7"/>
        <v>0.40018646884273001</v>
      </c>
      <c r="AB72" t="s">
        <v>292</v>
      </c>
      <c r="AC72" t="s">
        <v>293</v>
      </c>
    </row>
    <row r="73" spans="1:29" x14ac:dyDescent="0.35">
      <c r="A73" s="10" t="s">
        <v>430</v>
      </c>
      <c r="B73" t="s">
        <v>431</v>
      </c>
      <c r="C73" t="s">
        <v>133</v>
      </c>
      <c r="D73" t="s">
        <v>252</v>
      </c>
      <c r="E73" t="s">
        <v>33</v>
      </c>
      <c r="F73" t="s">
        <v>427</v>
      </c>
      <c r="H73" t="s">
        <v>136</v>
      </c>
      <c r="I73" t="s">
        <v>432</v>
      </c>
      <c r="J73">
        <v>3700</v>
      </c>
      <c r="K73">
        <v>0.3</v>
      </c>
      <c r="L73">
        <f t="shared" si="4"/>
        <v>4810</v>
      </c>
      <c r="M73" t="s">
        <v>38</v>
      </c>
      <c r="O73" t="s">
        <v>38</v>
      </c>
      <c r="P73" t="s">
        <v>39</v>
      </c>
      <c r="Q73" t="s">
        <v>431</v>
      </c>
      <c r="R73" t="s">
        <v>429</v>
      </c>
      <c r="S73" t="s">
        <v>256</v>
      </c>
      <c r="T73" s="2">
        <f>'SUPUESTOS PRECIOS'!$B$9</f>
        <v>0</v>
      </c>
      <c r="U73" s="3">
        <f>'SUPUESTOS PRECIOS'!$B$5/'SUPUESTOS PRECIOS'!$B$4</f>
        <v>1000</v>
      </c>
      <c r="V73" s="3">
        <f>('SUPUESTOS PRECIOS'!$B$6-'SUPUESTOS PRECIOS'!$B$7)/'SUPUESTOS PRECIOS'!$B$4</f>
        <v>377.5</v>
      </c>
      <c r="W73" s="4">
        <f>'SUPUESTOS PRECIOS'!$B$8</f>
        <v>9.6799999999999994E-3</v>
      </c>
      <c r="X73" s="4">
        <f>'SUPUESTOS PRECIOS'!$B$2</f>
        <v>0.4</v>
      </c>
      <c r="Y73" s="3">
        <f t="shared" si="5"/>
        <v>8600</v>
      </c>
      <c r="Z73" s="3">
        <f t="shared" si="6"/>
        <v>3439.252</v>
      </c>
      <c r="AA73" s="11">
        <f t="shared" si="7"/>
        <v>0.39991302325581396</v>
      </c>
      <c r="AB73" t="s">
        <v>292</v>
      </c>
      <c r="AC73" t="s">
        <v>264</v>
      </c>
    </row>
    <row r="74" spans="1:29" x14ac:dyDescent="0.35">
      <c r="A74" s="10" t="s">
        <v>433</v>
      </c>
      <c r="B74" t="s">
        <v>434</v>
      </c>
      <c r="C74" t="s">
        <v>133</v>
      </c>
      <c r="D74" t="s">
        <v>252</v>
      </c>
      <c r="E74" t="s">
        <v>33</v>
      </c>
      <c r="F74" t="s">
        <v>427</v>
      </c>
      <c r="H74" t="s">
        <v>136</v>
      </c>
      <c r="I74" t="s">
        <v>435</v>
      </c>
      <c r="J74">
        <v>4000</v>
      </c>
      <c r="K74">
        <v>0.3</v>
      </c>
      <c r="L74">
        <f t="shared" si="4"/>
        <v>5200</v>
      </c>
      <c r="M74" t="s">
        <v>38</v>
      </c>
      <c r="O74" t="s">
        <v>38</v>
      </c>
      <c r="P74" t="s">
        <v>39</v>
      </c>
      <c r="Q74" t="s">
        <v>434</v>
      </c>
      <c r="R74" t="s">
        <v>429</v>
      </c>
      <c r="S74" t="s">
        <v>256</v>
      </c>
      <c r="T74" s="2">
        <f>'SUPUESTOS PRECIOS'!$B$9</f>
        <v>0</v>
      </c>
      <c r="U74" s="3">
        <f>'SUPUESTOS PRECIOS'!$B$5/'SUPUESTOS PRECIOS'!$B$4</f>
        <v>1000</v>
      </c>
      <c r="V74" s="3">
        <f>('SUPUESTOS PRECIOS'!$B$6-'SUPUESTOS PRECIOS'!$B$7)/'SUPUESTOS PRECIOS'!$B$4</f>
        <v>377.5</v>
      </c>
      <c r="W74" s="4">
        <f>'SUPUESTOS PRECIOS'!$B$8</f>
        <v>9.6799999999999994E-3</v>
      </c>
      <c r="X74" s="4">
        <f>'SUPUESTOS PRECIOS'!$B$2</f>
        <v>0.4</v>
      </c>
      <c r="Y74" s="3">
        <f t="shared" si="5"/>
        <v>9110</v>
      </c>
      <c r="Z74" s="3">
        <f t="shared" si="6"/>
        <v>3644.3152</v>
      </c>
      <c r="AA74" s="11">
        <f t="shared" si="7"/>
        <v>0.40003459934138308</v>
      </c>
      <c r="AB74" t="s">
        <v>292</v>
      </c>
      <c r="AC74" t="s">
        <v>270</v>
      </c>
    </row>
    <row r="75" spans="1:29" x14ac:dyDescent="0.35">
      <c r="A75" s="10" t="s">
        <v>436</v>
      </c>
      <c r="B75" t="s">
        <v>437</v>
      </c>
      <c r="C75" t="s">
        <v>133</v>
      </c>
      <c r="D75" t="s">
        <v>252</v>
      </c>
      <c r="E75" t="s">
        <v>33</v>
      </c>
      <c r="F75" t="s">
        <v>427</v>
      </c>
      <c r="H75" t="s">
        <v>136</v>
      </c>
      <c r="I75" t="s">
        <v>438</v>
      </c>
      <c r="J75">
        <v>4900</v>
      </c>
      <c r="K75">
        <v>0.3</v>
      </c>
      <c r="L75">
        <f t="shared" si="4"/>
        <v>6370</v>
      </c>
      <c r="M75" t="s">
        <v>38</v>
      </c>
      <c r="O75" t="s">
        <v>38</v>
      </c>
      <c r="P75" t="s">
        <v>39</v>
      </c>
      <c r="Q75" t="s">
        <v>437</v>
      </c>
      <c r="R75" t="s">
        <v>429</v>
      </c>
      <c r="S75" t="s">
        <v>256</v>
      </c>
      <c r="T75" s="2">
        <f>'SUPUESTOS PRECIOS'!$B$9</f>
        <v>0</v>
      </c>
      <c r="U75" s="3">
        <f>'SUPUESTOS PRECIOS'!$B$5/'SUPUESTOS PRECIOS'!$B$4</f>
        <v>1000</v>
      </c>
      <c r="V75" s="3">
        <f>('SUPUESTOS PRECIOS'!$B$6-'SUPUESTOS PRECIOS'!$B$7)/'SUPUESTOS PRECIOS'!$B$4</f>
        <v>377.5</v>
      </c>
      <c r="W75" s="4">
        <f>'SUPUESTOS PRECIOS'!$B$8</f>
        <v>9.6799999999999994E-3</v>
      </c>
      <c r="X75" s="4">
        <f>'SUPUESTOS PRECIOS'!$B$2</f>
        <v>0.4</v>
      </c>
      <c r="Y75" s="3">
        <f t="shared" si="5"/>
        <v>10630</v>
      </c>
      <c r="Z75" s="3">
        <f t="shared" si="6"/>
        <v>4249.6016</v>
      </c>
      <c r="AA75" s="11">
        <f t="shared" si="7"/>
        <v>0.39977437441204139</v>
      </c>
      <c r="AB75" t="s">
        <v>292</v>
      </c>
      <c r="AC75" t="s">
        <v>276</v>
      </c>
    </row>
    <row r="76" spans="1:29" x14ac:dyDescent="0.35">
      <c r="A76" s="10" t="s">
        <v>439</v>
      </c>
      <c r="B76" t="s">
        <v>440</v>
      </c>
      <c r="C76" t="s">
        <v>133</v>
      </c>
      <c r="D76" t="s">
        <v>252</v>
      </c>
      <c r="E76" t="s">
        <v>33</v>
      </c>
      <c r="F76" t="s">
        <v>441</v>
      </c>
      <c r="H76" t="s">
        <v>136</v>
      </c>
      <c r="I76" t="s">
        <v>442</v>
      </c>
      <c r="J76">
        <v>2200</v>
      </c>
      <c r="K76">
        <v>0.3</v>
      </c>
      <c r="L76">
        <f t="shared" si="4"/>
        <v>2860</v>
      </c>
      <c r="M76" t="s">
        <v>38</v>
      </c>
      <c r="O76" t="s">
        <v>38</v>
      </c>
      <c r="P76" t="s">
        <v>39</v>
      </c>
      <c r="Q76" t="s">
        <v>440</v>
      </c>
      <c r="R76" t="s">
        <v>443</v>
      </c>
      <c r="S76" t="s">
        <v>256</v>
      </c>
      <c r="T76" s="2">
        <f>'SUPUESTOS PRECIOS'!$B$9</f>
        <v>0</v>
      </c>
      <c r="U76" s="3">
        <f>'SUPUESTOS PRECIOS'!$B$5/'SUPUESTOS PRECIOS'!$B$4</f>
        <v>1000</v>
      </c>
      <c r="V76" s="3">
        <f>('SUPUESTOS PRECIOS'!$B$6-'SUPUESTOS PRECIOS'!$B$7)/'SUPUESTOS PRECIOS'!$B$4</f>
        <v>377.5</v>
      </c>
      <c r="W76" s="4">
        <f>'SUPUESTOS PRECIOS'!$B$8</f>
        <v>9.6799999999999994E-3</v>
      </c>
      <c r="X76" s="4">
        <f>'SUPUESTOS PRECIOS'!$B$2</f>
        <v>0.4</v>
      </c>
      <c r="Y76" s="3">
        <f t="shared" si="5"/>
        <v>6060</v>
      </c>
      <c r="Z76" s="3">
        <f t="shared" si="6"/>
        <v>2423.8391999999999</v>
      </c>
      <c r="AA76" s="11">
        <f t="shared" si="7"/>
        <v>0.39997346534653466</v>
      </c>
    </row>
    <row r="77" spans="1:29" x14ac:dyDescent="0.35">
      <c r="A77" s="10" t="s">
        <v>444</v>
      </c>
      <c r="B77" t="s">
        <v>445</v>
      </c>
      <c r="C77" t="s">
        <v>446</v>
      </c>
      <c r="D77" t="s">
        <v>447</v>
      </c>
      <c r="E77" t="s">
        <v>33</v>
      </c>
      <c r="F77" t="s">
        <v>448</v>
      </c>
      <c r="H77" t="s">
        <v>136</v>
      </c>
      <c r="I77" t="s">
        <v>449</v>
      </c>
      <c r="J77">
        <v>1900</v>
      </c>
      <c r="K77">
        <v>0.3</v>
      </c>
      <c r="L77">
        <f t="shared" si="4"/>
        <v>2470</v>
      </c>
      <c r="M77" t="s">
        <v>38</v>
      </c>
      <c r="O77" t="s">
        <v>38</v>
      </c>
      <c r="P77" t="s">
        <v>39</v>
      </c>
      <c r="Q77" t="s">
        <v>445</v>
      </c>
      <c r="R77" t="s">
        <v>450</v>
      </c>
      <c r="S77" t="s">
        <v>451</v>
      </c>
      <c r="T77" s="2">
        <f>'SUPUESTOS PRECIOS'!$B$9</f>
        <v>0</v>
      </c>
      <c r="U77" s="3">
        <f>'SUPUESTOS PRECIOS'!$B$5/'SUPUESTOS PRECIOS'!$B$4</f>
        <v>1000</v>
      </c>
      <c r="V77" s="3">
        <f>('SUPUESTOS PRECIOS'!$B$6-'SUPUESTOS PRECIOS'!$B$7)/'SUPUESTOS PRECIOS'!$B$4</f>
        <v>377.5</v>
      </c>
      <c r="W77" s="4">
        <f>'SUPUESTOS PRECIOS'!$B$8</f>
        <v>9.6799999999999994E-3</v>
      </c>
      <c r="X77" s="4">
        <f>'SUPUESTOS PRECIOS'!$B$2</f>
        <v>0.4</v>
      </c>
      <c r="Y77" s="3">
        <f t="shared" si="5"/>
        <v>5550</v>
      </c>
      <c r="Z77" s="3">
        <f t="shared" si="6"/>
        <v>2218.7759999999998</v>
      </c>
      <c r="AA77" s="11">
        <f t="shared" si="7"/>
        <v>0.39977945945945942</v>
      </c>
    </row>
    <row r="78" spans="1:29" x14ac:dyDescent="0.35">
      <c r="A78" s="10" t="s">
        <v>452</v>
      </c>
      <c r="B78" t="s">
        <v>453</v>
      </c>
      <c r="C78" t="s">
        <v>446</v>
      </c>
      <c r="D78" t="s">
        <v>454</v>
      </c>
      <c r="E78" t="s">
        <v>33</v>
      </c>
      <c r="F78" t="s">
        <v>455</v>
      </c>
      <c r="H78" t="s">
        <v>136</v>
      </c>
      <c r="I78" t="s">
        <v>456</v>
      </c>
      <c r="J78">
        <v>800</v>
      </c>
      <c r="K78">
        <v>0.3</v>
      </c>
      <c r="L78">
        <f t="shared" si="4"/>
        <v>1040</v>
      </c>
      <c r="M78" t="s">
        <v>38</v>
      </c>
      <c r="O78" t="s">
        <v>38</v>
      </c>
      <c r="P78" t="s">
        <v>39</v>
      </c>
      <c r="Q78" t="s">
        <v>453</v>
      </c>
      <c r="R78" t="s">
        <v>457</v>
      </c>
      <c r="S78" t="s">
        <v>458</v>
      </c>
      <c r="T78" s="2">
        <f>'SUPUESTOS PRECIOS'!$B$9</f>
        <v>0</v>
      </c>
      <c r="U78" s="3">
        <f>'SUPUESTOS PRECIOS'!$B$5/'SUPUESTOS PRECIOS'!$B$4</f>
        <v>1000</v>
      </c>
      <c r="V78" s="3">
        <f>('SUPUESTOS PRECIOS'!$B$6-'SUPUESTOS PRECIOS'!$B$7)/'SUPUESTOS PRECIOS'!$B$4</f>
        <v>377.5</v>
      </c>
      <c r="W78" s="4">
        <f>'SUPUESTOS PRECIOS'!$B$8</f>
        <v>9.6799999999999994E-3</v>
      </c>
      <c r="X78" s="4">
        <f>'SUPUESTOS PRECIOS'!$B$2</f>
        <v>0.4</v>
      </c>
      <c r="Y78" s="3">
        <f t="shared" si="5"/>
        <v>3690</v>
      </c>
      <c r="Z78" s="3">
        <f t="shared" si="6"/>
        <v>1476.7808</v>
      </c>
      <c r="AA78" s="11">
        <f t="shared" si="7"/>
        <v>0.40021159891598918</v>
      </c>
    </row>
    <row r="79" spans="1:29" x14ac:dyDescent="0.35">
      <c r="A79" s="10" t="s">
        <v>459</v>
      </c>
      <c r="B79" t="s">
        <v>460</v>
      </c>
      <c r="C79" t="s">
        <v>446</v>
      </c>
      <c r="D79" t="s">
        <v>461</v>
      </c>
      <c r="E79" t="s">
        <v>33</v>
      </c>
      <c r="F79" t="s">
        <v>462</v>
      </c>
      <c r="H79" t="s">
        <v>136</v>
      </c>
      <c r="I79" t="s">
        <v>463</v>
      </c>
      <c r="J79">
        <v>5000</v>
      </c>
      <c r="K79">
        <v>0.3</v>
      </c>
      <c r="L79">
        <f t="shared" si="4"/>
        <v>6500</v>
      </c>
      <c r="M79" t="s">
        <v>38</v>
      </c>
      <c r="O79" t="s">
        <v>38</v>
      </c>
      <c r="P79" t="s">
        <v>39</v>
      </c>
      <c r="Q79" t="s">
        <v>460</v>
      </c>
      <c r="R79" t="s">
        <v>464</v>
      </c>
      <c r="S79" t="s">
        <v>465</v>
      </c>
      <c r="T79" s="2">
        <f>'SUPUESTOS PRECIOS'!$B$9</f>
        <v>0</v>
      </c>
      <c r="U79" s="3">
        <f>'SUPUESTOS PRECIOS'!$B$5/'SUPUESTOS PRECIOS'!$B$4</f>
        <v>1000</v>
      </c>
      <c r="V79" s="3">
        <f>('SUPUESTOS PRECIOS'!$B$6-'SUPUESTOS PRECIOS'!$B$7)/'SUPUESTOS PRECIOS'!$B$4</f>
        <v>377.5</v>
      </c>
      <c r="W79" s="4">
        <f>'SUPUESTOS PRECIOS'!$B$8</f>
        <v>9.6799999999999994E-3</v>
      </c>
      <c r="X79" s="4">
        <f>'SUPUESTOS PRECIOS'!$B$2</f>
        <v>0.4</v>
      </c>
      <c r="Y79" s="3">
        <f t="shared" si="5"/>
        <v>10800</v>
      </c>
      <c r="Z79" s="3">
        <f t="shared" si="6"/>
        <v>4317.9560000000001</v>
      </c>
      <c r="AA79" s="11">
        <f t="shared" si="7"/>
        <v>0.39981074074074074</v>
      </c>
    </row>
    <row r="80" spans="1:29" x14ac:dyDescent="0.35">
      <c r="A80" s="10" t="s">
        <v>466</v>
      </c>
      <c r="B80" t="s">
        <v>467</v>
      </c>
      <c r="C80" t="s">
        <v>446</v>
      </c>
      <c r="D80" t="s">
        <v>468</v>
      </c>
      <c r="E80" t="s">
        <v>469</v>
      </c>
      <c r="F80" t="s">
        <v>468</v>
      </c>
      <c r="G80" t="s">
        <v>470</v>
      </c>
      <c r="H80" t="s">
        <v>136</v>
      </c>
      <c r="I80" t="s">
        <v>471</v>
      </c>
      <c r="J80">
        <v>4100</v>
      </c>
      <c r="K80">
        <v>0.3</v>
      </c>
      <c r="L80">
        <f t="shared" si="4"/>
        <v>5330</v>
      </c>
      <c r="M80" t="s">
        <v>38</v>
      </c>
      <c r="O80" t="s">
        <v>38</v>
      </c>
      <c r="P80" t="s">
        <v>39</v>
      </c>
      <c r="Q80" t="s">
        <v>467</v>
      </c>
      <c r="R80" t="s">
        <v>472</v>
      </c>
      <c r="S80" t="s">
        <v>473</v>
      </c>
      <c r="T80" s="2">
        <f>'SUPUESTOS PRECIOS'!$B$9</f>
        <v>0</v>
      </c>
      <c r="U80" s="3">
        <f>'SUPUESTOS PRECIOS'!$B$5/'SUPUESTOS PRECIOS'!$B$4</f>
        <v>1000</v>
      </c>
      <c r="V80" s="3">
        <f>('SUPUESTOS PRECIOS'!$B$6-'SUPUESTOS PRECIOS'!$B$7)/'SUPUESTOS PRECIOS'!$B$4</f>
        <v>377.5</v>
      </c>
      <c r="W80" s="4">
        <f>'SUPUESTOS PRECIOS'!$B$8</f>
        <v>9.6799999999999994E-3</v>
      </c>
      <c r="X80" s="4">
        <f>'SUPUESTOS PRECIOS'!$B$2</f>
        <v>0.4</v>
      </c>
      <c r="Y80" s="3">
        <f t="shared" si="5"/>
        <v>9280</v>
      </c>
      <c r="Z80" s="3">
        <f t="shared" si="6"/>
        <v>3712.6696000000002</v>
      </c>
      <c r="AA80" s="11">
        <f t="shared" si="7"/>
        <v>0.40007215517241379</v>
      </c>
      <c r="AB80" t="s">
        <v>474</v>
      </c>
      <c r="AC80" t="s">
        <v>470</v>
      </c>
    </row>
    <row r="81" spans="1:29" x14ac:dyDescent="0.35">
      <c r="A81" s="10" t="s">
        <v>475</v>
      </c>
      <c r="B81" t="s">
        <v>476</v>
      </c>
      <c r="C81" t="s">
        <v>446</v>
      </c>
      <c r="D81" t="s">
        <v>468</v>
      </c>
      <c r="E81" t="s">
        <v>469</v>
      </c>
      <c r="F81" t="s">
        <v>468</v>
      </c>
      <c r="G81" t="s">
        <v>477</v>
      </c>
      <c r="H81" t="s">
        <v>136</v>
      </c>
      <c r="I81" t="s">
        <v>478</v>
      </c>
      <c r="J81">
        <v>4100</v>
      </c>
      <c r="K81">
        <v>0.3</v>
      </c>
      <c r="L81">
        <f t="shared" si="4"/>
        <v>5330</v>
      </c>
      <c r="M81" t="s">
        <v>38</v>
      </c>
      <c r="O81" t="s">
        <v>38</v>
      </c>
      <c r="P81" t="s">
        <v>39</v>
      </c>
      <c r="Q81" t="s">
        <v>476</v>
      </c>
      <c r="R81" t="s">
        <v>479</v>
      </c>
      <c r="S81" t="s">
        <v>473</v>
      </c>
      <c r="T81" s="2">
        <f>'SUPUESTOS PRECIOS'!$B$9</f>
        <v>0</v>
      </c>
      <c r="U81" s="3">
        <f>'SUPUESTOS PRECIOS'!$B$5/'SUPUESTOS PRECIOS'!$B$4</f>
        <v>1000</v>
      </c>
      <c r="V81" s="3">
        <f>('SUPUESTOS PRECIOS'!$B$6-'SUPUESTOS PRECIOS'!$B$7)/'SUPUESTOS PRECIOS'!$B$4</f>
        <v>377.5</v>
      </c>
      <c r="W81" s="4">
        <f>'SUPUESTOS PRECIOS'!$B$8</f>
        <v>9.6799999999999994E-3</v>
      </c>
      <c r="X81" s="4">
        <f>'SUPUESTOS PRECIOS'!$B$2</f>
        <v>0.4</v>
      </c>
      <c r="Y81" s="3">
        <f t="shared" si="5"/>
        <v>9280</v>
      </c>
      <c r="Z81" s="3">
        <f t="shared" si="6"/>
        <v>3712.6696000000002</v>
      </c>
      <c r="AA81" s="11">
        <f t="shared" si="7"/>
        <v>0.40007215517241379</v>
      </c>
      <c r="AB81" t="s">
        <v>474</v>
      </c>
      <c r="AC81" t="s">
        <v>477</v>
      </c>
    </row>
    <row r="82" spans="1:29" x14ac:dyDescent="0.35">
      <c r="A82" s="10" t="s">
        <v>480</v>
      </c>
      <c r="B82" t="s">
        <v>481</v>
      </c>
      <c r="C82" t="s">
        <v>446</v>
      </c>
      <c r="D82" t="s">
        <v>468</v>
      </c>
      <c r="E82" t="s">
        <v>469</v>
      </c>
      <c r="F82" t="s">
        <v>468</v>
      </c>
      <c r="G82" t="s">
        <v>482</v>
      </c>
      <c r="H82" t="s">
        <v>136</v>
      </c>
      <c r="I82" t="s">
        <v>483</v>
      </c>
      <c r="J82">
        <v>4100</v>
      </c>
      <c r="K82">
        <v>0.3</v>
      </c>
      <c r="L82">
        <f t="shared" si="4"/>
        <v>5330</v>
      </c>
      <c r="M82" t="s">
        <v>38</v>
      </c>
      <c r="O82" t="s">
        <v>38</v>
      </c>
      <c r="P82" t="s">
        <v>39</v>
      </c>
      <c r="Q82" t="s">
        <v>481</v>
      </c>
      <c r="R82" t="s">
        <v>484</v>
      </c>
      <c r="S82" t="s">
        <v>473</v>
      </c>
      <c r="T82" s="2">
        <f>'SUPUESTOS PRECIOS'!$B$9</f>
        <v>0</v>
      </c>
      <c r="U82" s="3">
        <f>'SUPUESTOS PRECIOS'!$B$5/'SUPUESTOS PRECIOS'!$B$4</f>
        <v>1000</v>
      </c>
      <c r="V82" s="3">
        <f>('SUPUESTOS PRECIOS'!$B$6-'SUPUESTOS PRECIOS'!$B$7)/'SUPUESTOS PRECIOS'!$B$4</f>
        <v>377.5</v>
      </c>
      <c r="W82" s="4">
        <f>'SUPUESTOS PRECIOS'!$B$8</f>
        <v>9.6799999999999994E-3</v>
      </c>
      <c r="X82" s="4">
        <f>'SUPUESTOS PRECIOS'!$B$2</f>
        <v>0.4</v>
      </c>
      <c r="Y82" s="3">
        <f t="shared" si="5"/>
        <v>9280</v>
      </c>
      <c r="Z82" s="3">
        <f t="shared" si="6"/>
        <v>3712.6696000000002</v>
      </c>
      <c r="AA82" s="11">
        <f t="shared" si="7"/>
        <v>0.40007215517241379</v>
      </c>
      <c r="AB82" t="s">
        <v>474</v>
      </c>
      <c r="AC82" t="s">
        <v>482</v>
      </c>
    </row>
    <row r="83" spans="1:29" x14ac:dyDescent="0.35">
      <c r="A83" s="10" t="s">
        <v>485</v>
      </c>
      <c r="B83" t="s">
        <v>486</v>
      </c>
      <c r="C83" t="s">
        <v>446</v>
      </c>
      <c r="D83" t="s">
        <v>468</v>
      </c>
      <c r="E83" t="s">
        <v>469</v>
      </c>
      <c r="F83" t="s">
        <v>468</v>
      </c>
      <c r="G83" t="s">
        <v>487</v>
      </c>
      <c r="H83" t="s">
        <v>136</v>
      </c>
      <c r="I83" t="s">
        <v>488</v>
      </c>
      <c r="J83">
        <v>4100</v>
      </c>
      <c r="K83">
        <v>0.3</v>
      </c>
      <c r="L83">
        <f t="shared" si="4"/>
        <v>5330</v>
      </c>
      <c r="M83" t="s">
        <v>38</v>
      </c>
      <c r="O83" t="s">
        <v>38</v>
      </c>
      <c r="P83" t="s">
        <v>39</v>
      </c>
      <c r="Q83" t="s">
        <v>486</v>
      </c>
      <c r="R83" t="s">
        <v>489</v>
      </c>
      <c r="S83" t="s">
        <v>473</v>
      </c>
      <c r="T83" s="2">
        <f>'SUPUESTOS PRECIOS'!$B$9</f>
        <v>0</v>
      </c>
      <c r="U83" s="3">
        <f>'SUPUESTOS PRECIOS'!$B$5/'SUPUESTOS PRECIOS'!$B$4</f>
        <v>1000</v>
      </c>
      <c r="V83" s="3">
        <f>('SUPUESTOS PRECIOS'!$B$6-'SUPUESTOS PRECIOS'!$B$7)/'SUPUESTOS PRECIOS'!$B$4</f>
        <v>377.5</v>
      </c>
      <c r="W83" s="4">
        <f>'SUPUESTOS PRECIOS'!$B$8</f>
        <v>9.6799999999999994E-3</v>
      </c>
      <c r="X83" s="4">
        <f>'SUPUESTOS PRECIOS'!$B$2</f>
        <v>0.4</v>
      </c>
      <c r="Y83" s="3">
        <f t="shared" si="5"/>
        <v>9280</v>
      </c>
      <c r="Z83" s="3">
        <f t="shared" si="6"/>
        <v>3712.6696000000002</v>
      </c>
      <c r="AA83" s="11">
        <f t="shared" si="7"/>
        <v>0.40007215517241379</v>
      </c>
      <c r="AB83" t="s">
        <v>474</v>
      </c>
      <c r="AC83" t="s">
        <v>487</v>
      </c>
    </row>
    <row r="84" spans="1:29" x14ac:dyDescent="0.35">
      <c r="A84" s="10" t="s">
        <v>490</v>
      </c>
      <c r="B84" t="s">
        <v>491</v>
      </c>
      <c r="C84" t="s">
        <v>446</v>
      </c>
      <c r="D84" t="s">
        <v>468</v>
      </c>
      <c r="E84" t="s">
        <v>469</v>
      </c>
      <c r="F84" t="s">
        <v>468</v>
      </c>
      <c r="G84" t="s">
        <v>492</v>
      </c>
      <c r="H84" t="s">
        <v>136</v>
      </c>
      <c r="I84" t="s">
        <v>493</v>
      </c>
      <c r="J84">
        <v>4100</v>
      </c>
      <c r="K84">
        <v>0.3</v>
      </c>
      <c r="L84">
        <f t="shared" si="4"/>
        <v>5330</v>
      </c>
      <c r="M84" t="s">
        <v>38</v>
      </c>
      <c r="O84" t="s">
        <v>38</v>
      </c>
      <c r="P84" t="s">
        <v>39</v>
      </c>
      <c r="Q84" t="s">
        <v>491</v>
      </c>
      <c r="R84" t="s">
        <v>494</v>
      </c>
      <c r="S84" t="s">
        <v>473</v>
      </c>
      <c r="T84" s="2">
        <f>'SUPUESTOS PRECIOS'!$B$9</f>
        <v>0</v>
      </c>
      <c r="U84" s="3">
        <f>'SUPUESTOS PRECIOS'!$B$5/'SUPUESTOS PRECIOS'!$B$4</f>
        <v>1000</v>
      </c>
      <c r="V84" s="3">
        <f>('SUPUESTOS PRECIOS'!$B$6-'SUPUESTOS PRECIOS'!$B$7)/'SUPUESTOS PRECIOS'!$B$4</f>
        <v>377.5</v>
      </c>
      <c r="W84" s="4">
        <f>'SUPUESTOS PRECIOS'!$B$8</f>
        <v>9.6799999999999994E-3</v>
      </c>
      <c r="X84" s="4">
        <f>'SUPUESTOS PRECIOS'!$B$2</f>
        <v>0.4</v>
      </c>
      <c r="Y84" s="3">
        <f t="shared" si="5"/>
        <v>9280</v>
      </c>
      <c r="Z84" s="3">
        <f t="shared" si="6"/>
        <v>3712.6696000000002</v>
      </c>
      <c r="AA84" s="11">
        <f t="shared" si="7"/>
        <v>0.40007215517241379</v>
      </c>
      <c r="AB84" t="s">
        <v>474</v>
      </c>
      <c r="AC84" t="s">
        <v>492</v>
      </c>
    </row>
    <row r="85" spans="1:29" x14ac:dyDescent="0.35">
      <c r="A85" s="10" t="s">
        <v>495</v>
      </c>
      <c r="B85" t="s">
        <v>496</v>
      </c>
      <c r="C85" t="s">
        <v>446</v>
      </c>
      <c r="D85" t="s">
        <v>468</v>
      </c>
      <c r="E85" t="s">
        <v>469</v>
      </c>
      <c r="F85" t="s">
        <v>468</v>
      </c>
      <c r="G85" t="s">
        <v>497</v>
      </c>
      <c r="H85" t="s">
        <v>136</v>
      </c>
      <c r="I85" t="s">
        <v>498</v>
      </c>
      <c r="J85">
        <v>4100</v>
      </c>
      <c r="K85">
        <v>0.3</v>
      </c>
      <c r="L85">
        <f t="shared" si="4"/>
        <v>5330</v>
      </c>
      <c r="M85" t="s">
        <v>38</v>
      </c>
      <c r="O85" t="s">
        <v>38</v>
      </c>
      <c r="P85" t="s">
        <v>39</v>
      </c>
      <c r="Q85" t="s">
        <v>496</v>
      </c>
      <c r="R85" t="s">
        <v>499</v>
      </c>
      <c r="S85" t="s">
        <v>473</v>
      </c>
      <c r="T85" s="2">
        <f>'SUPUESTOS PRECIOS'!$B$9</f>
        <v>0</v>
      </c>
      <c r="U85" s="3">
        <f>'SUPUESTOS PRECIOS'!$B$5/'SUPUESTOS PRECIOS'!$B$4</f>
        <v>1000</v>
      </c>
      <c r="V85" s="3">
        <f>('SUPUESTOS PRECIOS'!$B$6-'SUPUESTOS PRECIOS'!$B$7)/'SUPUESTOS PRECIOS'!$B$4</f>
        <v>377.5</v>
      </c>
      <c r="W85" s="4">
        <f>'SUPUESTOS PRECIOS'!$B$8</f>
        <v>9.6799999999999994E-3</v>
      </c>
      <c r="X85" s="4">
        <f>'SUPUESTOS PRECIOS'!$B$2</f>
        <v>0.4</v>
      </c>
      <c r="Y85" s="3">
        <f t="shared" si="5"/>
        <v>9280</v>
      </c>
      <c r="Z85" s="3">
        <f t="shared" si="6"/>
        <v>3712.6696000000002</v>
      </c>
      <c r="AA85" s="11">
        <f t="shared" si="7"/>
        <v>0.40007215517241379</v>
      </c>
      <c r="AB85" t="s">
        <v>474</v>
      </c>
      <c r="AC85" t="s">
        <v>497</v>
      </c>
    </row>
    <row r="86" spans="1:29" x14ac:dyDescent="0.35">
      <c r="A86" s="10" t="s">
        <v>500</v>
      </c>
      <c r="B86" t="s">
        <v>501</v>
      </c>
      <c r="C86" t="s">
        <v>446</v>
      </c>
      <c r="D86" t="s">
        <v>468</v>
      </c>
      <c r="E86" t="s">
        <v>469</v>
      </c>
      <c r="F86" t="s">
        <v>468</v>
      </c>
      <c r="G86" t="s">
        <v>502</v>
      </c>
      <c r="H86" t="s">
        <v>136</v>
      </c>
      <c r="I86" t="s">
        <v>503</v>
      </c>
      <c r="J86">
        <v>4100</v>
      </c>
      <c r="K86">
        <v>0.3</v>
      </c>
      <c r="L86">
        <f t="shared" si="4"/>
        <v>5330</v>
      </c>
      <c r="M86" t="s">
        <v>38</v>
      </c>
      <c r="O86" t="s">
        <v>38</v>
      </c>
      <c r="P86" t="s">
        <v>39</v>
      </c>
      <c r="Q86" t="s">
        <v>501</v>
      </c>
      <c r="R86" t="s">
        <v>504</v>
      </c>
      <c r="S86" t="s">
        <v>473</v>
      </c>
      <c r="T86" s="2">
        <f>'SUPUESTOS PRECIOS'!$B$9</f>
        <v>0</v>
      </c>
      <c r="U86" s="3">
        <f>'SUPUESTOS PRECIOS'!$B$5/'SUPUESTOS PRECIOS'!$B$4</f>
        <v>1000</v>
      </c>
      <c r="V86" s="3">
        <f>('SUPUESTOS PRECIOS'!$B$6-'SUPUESTOS PRECIOS'!$B$7)/'SUPUESTOS PRECIOS'!$B$4</f>
        <v>377.5</v>
      </c>
      <c r="W86" s="4">
        <f>'SUPUESTOS PRECIOS'!$B$8</f>
        <v>9.6799999999999994E-3</v>
      </c>
      <c r="X86" s="4">
        <f>'SUPUESTOS PRECIOS'!$B$2</f>
        <v>0.4</v>
      </c>
      <c r="Y86" s="3">
        <f t="shared" si="5"/>
        <v>9280</v>
      </c>
      <c r="Z86" s="3">
        <f t="shared" si="6"/>
        <v>3712.6696000000002</v>
      </c>
      <c r="AA86" s="11">
        <f t="shared" si="7"/>
        <v>0.40007215517241379</v>
      </c>
      <c r="AB86" t="s">
        <v>474</v>
      </c>
      <c r="AC86" t="s">
        <v>502</v>
      </c>
    </row>
    <row r="87" spans="1:29" x14ac:dyDescent="0.35">
      <c r="A87" s="10" t="s">
        <v>505</v>
      </c>
      <c r="B87" t="s">
        <v>506</v>
      </c>
      <c r="C87" t="s">
        <v>446</v>
      </c>
      <c r="D87" t="s">
        <v>468</v>
      </c>
      <c r="E87" t="s">
        <v>469</v>
      </c>
      <c r="F87" t="s">
        <v>468</v>
      </c>
      <c r="G87" t="s">
        <v>507</v>
      </c>
      <c r="H87" t="s">
        <v>136</v>
      </c>
      <c r="I87" t="s">
        <v>508</v>
      </c>
      <c r="J87">
        <v>4100</v>
      </c>
      <c r="K87">
        <v>0.3</v>
      </c>
      <c r="L87">
        <f t="shared" si="4"/>
        <v>5330</v>
      </c>
      <c r="M87" t="s">
        <v>38</v>
      </c>
      <c r="O87" t="s">
        <v>38</v>
      </c>
      <c r="P87" t="s">
        <v>39</v>
      </c>
      <c r="Q87" t="s">
        <v>506</v>
      </c>
      <c r="R87" t="s">
        <v>509</v>
      </c>
      <c r="S87" t="s">
        <v>473</v>
      </c>
      <c r="T87" s="2">
        <f>'SUPUESTOS PRECIOS'!$B$9</f>
        <v>0</v>
      </c>
      <c r="U87" s="3">
        <f>'SUPUESTOS PRECIOS'!$B$5/'SUPUESTOS PRECIOS'!$B$4</f>
        <v>1000</v>
      </c>
      <c r="V87" s="3">
        <f>('SUPUESTOS PRECIOS'!$B$6-'SUPUESTOS PRECIOS'!$B$7)/'SUPUESTOS PRECIOS'!$B$4</f>
        <v>377.5</v>
      </c>
      <c r="W87" s="4">
        <f>'SUPUESTOS PRECIOS'!$B$8</f>
        <v>9.6799999999999994E-3</v>
      </c>
      <c r="X87" s="4">
        <f>'SUPUESTOS PRECIOS'!$B$2</f>
        <v>0.4</v>
      </c>
      <c r="Y87" s="3">
        <f t="shared" si="5"/>
        <v>9280</v>
      </c>
      <c r="Z87" s="3">
        <f t="shared" si="6"/>
        <v>3712.6696000000002</v>
      </c>
      <c r="AA87" s="11">
        <f t="shared" si="7"/>
        <v>0.40007215517241379</v>
      </c>
      <c r="AB87" t="s">
        <v>474</v>
      </c>
      <c r="AC87" t="s">
        <v>507</v>
      </c>
    </row>
    <row r="88" spans="1:29" x14ac:dyDescent="0.35">
      <c r="A88" s="10" t="s">
        <v>510</v>
      </c>
      <c r="B88" t="s">
        <v>511</v>
      </c>
      <c r="C88" t="s">
        <v>446</v>
      </c>
      <c r="D88" t="s">
        <v>468</v>
      </c>
      <c r="E88" t="s">
        <v>469</v>
      </c>
      <c r="F88" t="s">
        <v>468</v>
      </c>
      <c r="G88" t="s">
        <v>512</v>
      </c>
      <c r="H88" t="s">
        <v>136</v>
      </c>
      <c r="I88" t="s">
        <v>513</v>
      </c>
      <c r="J88">
        <v>4100</v>
      </c>
      <c r="K88">
        <v>0.3</v>
      </c>
      <c r="L88">
        <f t="shared" si="4"/>
        <v>5330</v>
      </c>
      <c r="M88" t="s">
        <v>38</v>
      </c>
      <c r="O88" t="s">
        <v>38</v>
      </c>
      <c r="P88" t="s">
        <v>39</v>
      </c>
      <c r="Q88" t="s">
        <v>511</v>
      </c>
      <c r="R88" t="s">
        <v>514</v>
      </c>
      <c r="S88" t="s">
        <v>473</v>
      </c>
      <c r="T88" s="2">
        <f>'SUPUESTOS PRECIOS'!$B$9</f>
        <v>0</v>
      </c>
      <c r="U88" s="3">
        <f>'SUPUESTOS PRECIOS'!$B$5/'SUPUESTOS PRECIOS'!$B$4</f>
        <v>1000</v>
      </c>
      <c r="V88" s="3">
        <f>('SUPUESTOS PRECIOS'!$B$6-'SUPUESTOS PRECIOS'!$B$7)/'SUPUESTOS PRECIOS'!$B$4</f>
        <v>377.5</v>
      </c>
      <c r="W88" s="4">
        <f>'SUPUESTOS PRECIOS'!$B$8</f>
        <v>9.6799999999999994E-3</v>
      </c>
      <c r="X88" s="4">
        <f>'SUPUESTOS PRECIOS'!$B$2</f>
        <v>0.4</v>
      </c>
      <c r="Y88" s="3">
        <f t="shared" si="5"/>
        <v>9280</v>
      </c>
      <c r="Z88" s="3">
        <f t="shared" si="6"/>
        <v>3712.6696000000002</v>
      </c>
      <c r="AA88" s="11">
        <f t="shared" si="7"/>
        <v>0.40007215517241379</v>
      </c>
      <c r="AB88" t="s">
        <v>474</v>
      </c>
      <c r="AC88" t="s">
        <v>512</v>
      </c>
    </row>
    <row r="89" spans="1:29" x14ac:dyDescent="0.35">
      <c r="A89" s="10" t="s">
        <v>515</v>
      </c>
      <c r="B89" t="s">
        <v>516</v>
      </c>
      <c r="C89" t="s">
        <v>446</v>
      </c>
      <c r="D89" t="s">
        <v>517</v>
      </c>
      <c r="E89" t="s">
        <v>33</v>
      </c>
      <c r="F89" t="s">
        <v>518</v>
      </c>
      <c r="H89" t="s">
        <v>136</v>
      </c>
      <c r="I89" t="s">
        <v>519</v>
      </c>
      <c r="J89">
        <v>3000</v>
      </c>
      <c r="K89">
        <v>0.3</v>
      </c>
      <c r="L89">
        <f t="shared" si="4"/>
        <v>3900</v>
      </c>
      <c r="M89" t="s">
        <v>38</v>
      </c>
      <c r="O89" t="s">
        <v>38</v>
      </c>
      <c r="P89" t="s">
        <v>39</v>
      </c>
      <c r="Q89" t="s">
        <v>516</v>
      </c>
      <c r="R89" t="s">
        <v>520</v>
      </c>
      <c r="S89" t="s">
        <v>521</v>
      </c>
      <c r="T89" s="2">
        <f>'SUPUESTOS PRECIOS'!$B$9</f>
        <v>0</v>
      </c>
      <c r="U89" s="3">
        <f>'SUPUESTOS PRECIOS'!$B$5/'SUPUESTOS PRECIOS'!$B$4</f>
        <v>1000</v>
      </c>
      <c r="V89" s="3">
        <f>('SUPUESTOS PRECIOS'!$B$6-'SUPUESTOS PRECIOS'!$B$7)/'SUPUESTOS PRECIOS'!$B$4</f>
        <v>377.5</v>
      </c>
      <c r="W89" s="4">
        <f>'SUPUESTOS PRECIOS'!$B$8</f>
        <v>9.6799999999999994E-3</v>
      </c>
      <c r="X89" s="4">
        <f>'SUPUESTOS PRECIOS'!$B$2</f>
        <v>0.4</v>
      </c>
      <c r="Y89" s="3">
        <f t="shared" si="5"/>
        <v>7420</v>
      </c>
      <c r="Z89" s="3">
        <f t="shared" si="6"/>
        <v>2970.6743999999999</v>
      </c>
      <c r="AA89" s="11">
        <f t="shared" si="7"/>
        <v>0.40036043126684634</v>
      </c>
    </row>
    <row r="90" spans="1:29" x14ac:dyDescent="0.35">
      <c r="A90" s="10" t="s">
        <v>522</v>
      </c>
      <c r="B90" t="s">
        <v>523</v>
      </c>
      <c r="C90" t="s">
        <v>446</v>
      </c>
      <c r="D90" t="s">
        <v>524</v>
      </c>
      <c r="E90" t="s">
        <v>469</v>
      </c>
      <c r="F90" t="s">
        <v>525</v>
      </c>
      <c r="G90" t="s">
        <v>526</v>
      </c>
      <c r="H90" t="s">
        <v>136</v>
      </c>
      <c r="I90" t="s">
        <v>527</v>
      </c>
      <c r="J90">
        <v>4300</v>
      </c>
      <c r="K90">
        <v>0.3</v>
      </c>
      <c r="L90">
        <f t="shared" si="4"/>
        <v>5590</v>
      </c>
      <c r="M90" t="s">
        <v>38</v>
      </c>
      <c r="O90" t="s">
        <v>38</v>
      </c>
      <c r="P90" t="s">
        <v>39</v>
      </c>
      <c r="Q90" t="s">
        <v>523</v>
      </c>
      <c r="R90" t="s">
        <v>528</v>
      </c>
      <c r="S90" t="s">
        <v>529</v>
      </c>
      <c r="T90" s="2">
        <f>'SUPUESTOS PRECIOS'!$B$9</f>
        <v>0</v>
      </c>
      <c r="U90" s="3">
        <f>'SUPUESTOS PRECIOS'!$B$5/'SUPUESTOS PRECIOS'!$B$4</f>
        <v>1000</v>
      </c>
      <c r="V90" s="3">
        <f>('SUPUESTOS PRECIOS'!$B$6-'SUPUESTOS PRECIOS'!$B$7)/'SUPUESTOS PRECIOS'!$B$4</f>
        <v>377.5</v>
      </c>
      <c r="W90" s="4">
        <f>'SUPUESTOS PRECIOS'!$B$8</f>
        <v>9.6799999999999994E-3</v>
      </c>
      <c r="X90" s="4">
        <f>'SUPUESTOS PRECIOS'!$B$2</f>
        <v>0.4</v>
      </c>
      <c r="Y90" s="3">
        <f t="shared" si="5"/>
        <v>9620</v>
      </c>
      <c r="Z90" s="3">
        <f t="shared" si="6"/>
        <v>3849.3784000000001</v>
      </c>
      <c r="AA90" s="11">
        <f t="shared" si="7"/>
        <v>0.40014328482328482</v>
      </c>
    </row>
    <row r="91" spans="1:29" x14ac:dyDescent="0.35">
      <c r="A91" s="10" t="s">
        <v>530</v>
      </c>
      <c r="B91" t="s">
        <v>531</v>
      </c>
      <c r="C91" t="s">
        <v>446</v>
      </c>
      <c r="D91" t="s">
        <v>532</v>
      </c>
      <c r="E91" t="s">
        <v>469</v>
      </c>
      <c r="F91" t="s">
        <v>532</v>
      </c>
      <c r="G91" t="s">
        <v>470</v>
      </c>
      <c r="H91" t="s">
        <v>136</v>
      </c>
      <c r="I91" t="s">
        <v>533</v>
      </c>
      <c r="J91">
        <v>6500</v>
      </c>
      <c r="K91">
        <v>0.3</v>
      </c>
      <c r="L91">
        <f t="shared" si="4"/>
        <v>8450</v>
      </c>
      <c r="M91" t="s">
        <v>38</v>
      </c>
      <c r="O91" t="s">
        <v>38</v>
      </c>
      <c r="P91" t="s">
        <v>39</v>
      </c>
      <c r="Q91" t="s">
        <v>531</v>
      </c>
      <c r="R91" t="s">
        <v>534</v>
      </c>
      <c r="S91" t="s">
        <v>535</v>
      </c>
      <c r="T91" s="2">
        <f>'SUPUESTOS PRECIOS'!$B$9</f>
        <v>0</v>
      </c>
      <c r="U91" s="3">
        <f>'SUPUESTOS PRECIOS'!$B$5/'SUPUESTOS PRECIOS'!$B$4</f>
        <v>1000</v>
      </c>
      <c r="V91" s="3">
        <f>('SUPUESTOS PRECIOS'!$B$6-'SUPUESTOS PRECIOS'!$B$7)/'SUPUESTOS PRECIOS'!$B$4</f>
        <v>377.5</v>
      </c>
      <c r="W91" s="4">
        <f>'SUPUESTOS PRECIOS'!$B$8</f>
        <v>9.6799999999999994E-3</v>
      </c>
      <c r="X91" s="4">
        <f>'SUPUESTOS PRECIOS'!$B$2</f>
        <v>0.4</v>
      </c>
      <c r="Y91" s="3">
        <f t="shared" si="5"/>
        <v>13340</v>
      </c>
      <c r="Z91" s="3">
        <f t="shared" si="6"/>
        <v>5333.3688000000002</v>
      </c>
      <c r="AA91" s="11">
        <f t="shared" si="7"/>
        <v>0.39980275862068965</v>
      </c>
      <c r="AB91" t="s">
        <v>536</v>
      </c>
      <c r="AC91" t="s">
        <v>470</v>
      </c>
    </row>
    <row r="92" spans="1:29" x14ac:dyDescent="0.35">
      <c r="A92" s="10" t="s">
        <v>537</v>
      </c>
      <c r="B92" t="s">
        <v>538</v>
      </c>
      <c r="C92" t="s">
        <v>446</v>
      </c>
      <c r="D92" t="s">
        <v>532</v>
      </c>
      <c r="E92" t="s">
        <v>469</v>
      </c>
      <c r="F92" t="s">
        <v>532</v>
      </c>
      <c r="G92" t="s">
        <v>482</v>
      </c>
      <c r="H92" t="s">
        <v>136</v>
      </c>
      <c r="I92" t="s">
        <v>539</v>
      </c>
      <c r="J92">
        <v>6500</v>
      </c>
      <c r="K92">
        <v>0.3</v>
      </c>
      <c r="L92">
        <f t="shared" si="4"/>
        <v>8450</v>
      </c>
      <c r="M92" t="s">
        <v>38</v>
      </c>
      <c r="O92" t="s">
        <v>38</v>
      </c>
      <c r="P92" t="s">
        <v>39</v>
      </c>
      <c r="Q92" t="s">
        <v>538</v>
      </c>
      <c r="R92" t="s">
        <v>540</v>
      </c>
      <c r="S92" t="s">
        <v>535</v>
      </c>
      <c r="T92" s="2">
        <f>'SUPUESTOS PRECIOS'!$B$9</f>
        <v>0</v>
      </c>
      <c r="U92" s="3">
        <f>'SUPUESTOS PRECIOS'!$B$5/'SUPUESTOS PRECIOS'!$B$4</f>
        <v>1000</v>
      </c>
      <c r="V92" s="3">
        <f>('SUPUESTOS PRECIOS'!$B$6-'SUPUESTOS PRECIOS'!$B$7)/'SUPUESTOS PRECIOS'!$B$4</f>
        <v>377.5</v>
      </c>
      <c r="W92" s="4">
        <f>'SUPUESTOS PRECIOS'!$B$8</f>
        <v>9.6799999999999994E-3</v>
      </c>
      <c r="X92" s="4">
        <f>'SUPUESTOS PRECIOS'!$B$2</f>
        <v>0.4</v>
      </c>
      <c r="Y92" s="3">
        <f t="shared" si="5"/>
        <v>13340</v>
      </c>
      <c r="Z92" s="3">
        <f t="shared" si="6"/>
        <v>5333.3688000000002</v>
      </c>
      <c r="AA92" s="11">
        <f t="shared" si="7"/>
        <v>0.39980275862068965</v>
      </c>
      <c r="AB92" t="s">
        <v>536</v>
      </c>
      <c r="AC92" t="s">
        <v>482</v>
      </c>
    </row>
    <row r="93" spans="1:29" x14ac:dyDescent="0.35">
      <c r="A93" s="10" t="s">
        <v>541</v>
      </c>
      <c r="B93" t="s">
        <v>542</v>
      </c>
      <c r="C93" t="s">
        <v>446</v>
      </c>
      <c r="D93" t="s">
        <v>532</v>
      </c>
      <c r="E93" t="s">
        <v>469</v>
      </c>
      <c r="F93" t="s">
        <v>532</v>
      </c>
      <c r="G93" t="s">
        <v>543</v>
      </c>
      <c r="H93" t="s">
        <v>136</v>
      </c>
      <c r="I93" t="s">
        <v>544</v>
      </c>
      <c r="J93">
        <v>6500</v>
      </c>
      <c r="K93">
        <v>0.3</v>
      </c>
      <c r="L93">
        <f t="shared" si="4"/>
        <v>8450</v>
      </c>
      <c r="M93" t="s">
        <v>38</v>
      </c>
      <c r="O93" t="s">
        <v>38</v>
      </c>
      <c r="P93" t="s">
        <v>39</v>
      </c>
      <c r="Q93" t="s">
        <v>542</v>
      </c>
      <c r="R93" t="s">
        <v>545</v>
      </c>
      <c r="S93" t="s">
        <v>535</v>
      </c>
      <c r="T93" s="2">
        <f>'SUPUESTOS PRECIOS'!$B$9</f>
        <v>0</v>
      </c>
      <c r="U93" s="3">
        <f>'SUPUESTOS PRECIOS'!$B$5/'SUPUESTOS PRECIOS'!$B$4</f>
        <v>1000</v>
      </c>
      <c r="V93" s="3">
        <f>('SUPUESTOS PRECIOS'!$B$6-'SUPUESTOS PRECIOS'!$B$7)/'SUPUESTOS PRECIOS'!$B$4</f>
        <v>377.5</v>
      </c>
      <c r="W93" s="4">
        <f>'SUPUESTOS PRECIOS'!$B$8</f>
        <v>9.6799999999999994E-3</v>
      </c>
      <c r="X93" s="4">
        <f>'SUPUESTOS PRECIOS'!$B$2</f>
        <v>0.4</v>
      </c>
      <c r="Y93" s="3">
        <f t="shared" si="5"/>
        <v>13340</v>
      </c>
      <c r="Z93" s="3">
        <f t="shared" si="6"/>
        <v>5333.3688000000002</v>
      </c>
      <c r="AA93" s="11">
        <f t="shared" si="7"/>
        <v>0.39980275862068965</v>
      </c>
      <c r="AB93" t="s">
        <v>536</v>
      </c>
      <c r="AC93" t="s">
        <v>543</v>
      </c>
    </row>
    <row r="94" spans="1:29" x14ac:dyDescent="0.35">
      <c r="A94" s="10" t="s">
        <v>546</v>
      </c>
      <c r="B94" t="s">
        <v>547</v>
      </c>
      <c r="C94" t="s">
        <v>446</v>
      </c>
      <c r="D94" t="s">
        <v>532</v>
      </c>
      <c r="E94" t="s">
        <v>469</v>
      </c>
      <c r="F94" t="s">
        <v>532</v>
      </c>
      <c r="G94" t="s">
        <v>512</v>
      </c>
      <c r="H94" t="s">
        <v>136</v>
      </c>
      <c r="I94" t="s">
        <v>548</v>
      </c>
      <c r="J94">
        <v>6500</v>
      </c>
      <c r="K94">
        <v>0.3</v>
      </c>
      <c r="L94">
        <f t="shared" si="4"/>
        <v>8450</v>
      </c>
      <c r="M94" t="s">
        <v>38</v>
      </c>
      <c r="O94" t="s">
        <v>38</v>
      </c>
      <c r="P94" t="s">
        <v>39</v>
      </c>
      <c r="Q94" t="s">
        <v>547</v>
      </c>
      <c r="R94" t="s">
        <v>549</v>
      </c>
      <c r="S94" t="s">
        <v>535</v>
      </c>
      <c r="T94" s="2">
        <f>'SUPUESTOS PRECIOS'!$B$9</f>
        <v>0</v>
      </c>
      <c r="U94" s="3">
        <f>'SUPUESTOS PRECIOS'!$B$5/'SUPUESTOS PRECIOS'!$B$4</f>
        <v>1000</v>
      </c>
      <c r="V94" s="3">
        <f>('SUPUESTOS PRECIOS'!$B$6-'SUPUESTOS PRECIOS'!$B$7)/'SUPUESTOS PRECIOS'!$B$4</f>
        <v>377.5</v>
      </c>
      <c r="W94" s="4">
        <f>'SUPUESTOS PRECIOS'!$B$8</f>
        <v>9.6799999999999994E-3</v>
      </c>
      <c r="X94" s="4">
        <f>'SUPUESTOS PRECIOS'!$B$2</f>
        <v>0.4</v>
      </c>
      <c r="Y94" s="3">
        <f t="shared" si="5"/>
        <v>13340</v>
      </c>
      <c r="Z94" s="3">
        <f t="shared" si="6"/>
        <v>5333.3688000000002</v>
      </c>
      <c r="AA94" s="11">
        <f t="shared" si="7"/>
        <v>0.39980275862068965</v>
      </c>
      <c r="AB94" t="s">
        <v>536</v>
      </c>
      <c r="AC94" t="s">
        <v>512</v>
      </c>
    </row>
    <row r="95" spans="1:29" x14ac:dyDescent="0.35">
      <c r="A95" s="10" t="s">
        <v>550</v>
      </c>
      <c r="B95" t="s">
        <v>551</v>
      </c>
      <c r="C95" t="s">
        <v>446</v>
      </c>
      <c r="D95" t="s">
        <v>532</v>
      </c>
      <c r="E95" t="s">
        <v>469</v>
      </c>
      <c r="F95" t="s">
        <v>532</v>
      </c>
      <c r="G95" t="s">
        <v>552</v>
      </c>
      <c r="H95" t="s">
        <v>136</v>
      </c>
      <c r="I95" t="s">
        <v>553</v>
      </c>
      <c r="J95">
        <v>6500</v>
      </c>
      <c r="K95">
        <v>0.3</v>
      </c>
      <c r="L95">
        <f t="shared" si="4"/>
        <v>8450</v>
      </c>
      <c r="M95" t="s">
        <v>38</v>
      </c>
      <c r="O95" t="s">
        <v>38</v>
      </c>
      <c r="P95" t="s">
        <v>39</v>
      </c>
      <c r="Q95" t="s">
        <v>551</v>
      </c>
      <c r="R95" t="s">
        <v>554</v>
      </c>
      <c r="S95" t="s">
        <v>535</v>
      </c>
      <c r="T95" s="2">
        <f>'SUPUESTOS PRECIOS'!$B$9</f>
        <v>0</v>
      </c>
      <c r="U95" s="3">
        <f>'SUPUESTOS PRECIOS'!$B$5/'SUPUESTOS PRECIOS'!$B$4</f>
        <v>1000</v>
      </c>
      <c r="V95" s="3">
        <f>('SUPUESTOS PRECIOS'!$B$6-'SUPUESTOS PRECIOS'!$B$7)/'SUPUESTOS PRECIOS'!$B$4</f>
        <v>377.5</v>
      </c>
      <c r="W95" s="4">
        <f>'SUPUESTOS PRECIOS'!$B$8</f>
        <v>9.6799999999999994E-3</v>
      </c>
      <c r="X95" s="4">
        <f>'SUPUESTOS PRECIOS'!$B$2</f>
        <v>0.4</v>
      </c>
      <c r="Y95" s="3">
        <f t="shared" si="5"/>
        <v>13340</v>
      </c>
      <c r="Z95" s="3">
        <f t="shared" si="6"/>
        <v>5333.3688000000002</v>
      </c>
      <c r="AA95" s="11">
        <f t="shared" si="7"/>
        <v>0.39980275862068965</v>
      </c>
      <c r="AB95" t="s">
        <v>536</v>
      </c>
      <c r="AC95" t="s">
        <v>552</v>
      </c>
    </row>
    <row r="96" spans="1:29" x14ac:dyDescent="0.35">
      <c r="A96" s="10" t="s">
        <v>555</v>
      </c>
      <c r="B96" t="s">
        <v>556</v>
      </c>
      <c r="C96" t="s">
        <v>446</v>
      </c>
      <c r="D96" t="s">
        <v>557</v>
      </c>
      <c r="E96" t="s">
        <v>33</v>
      </c>
      <c r="F96" t="s">
        <v>558</v>
      </c>
      <c r="H96" t="s">
        <v>136</v>
      </c>
      <c r="I96" t="s">
        <v>559</v>
      </c>
      <c r="J96">
        <v>2500</v>
      </c>
      <c r="K96">
        <v>0.3</v>
      </c>
      <c r="L96">
        <f t="shared" si="4"/>
        <v>3250</v>
      </c>
      <c r="M96" t="s">
        <v>38</v>
      </c>
      <c r="O96" t="s">
        <v>38</v>
      </c>
      <c r="P96" t="s">
        <v>39</v>
      </c>
      <c r="Q96" t="s">
        <v>556</v>
      </c>
      <c r="R96" t="s">
        <v>560</v>
      </c>
      <c r="S96" t="s">
        <v>561</v>
      </c>
      <c r="T96" s="2">
        <f>'SUPUESTOS PRECIOS'!$B$9</f>
        <v>0</v>
      </c>
      <c r="U96" s="3">
        <f>'SUPUESTOS PRECIOS'!$B$5/'SUPUESTOS PRECIOS'!$B$4</f>
        <v>1000</v>
      </c>
      <c r="V96" s="3">
        <f>('SUPUESTOS PRECIOS'!$B$6-'SUPUESTOS PRECIOS'!$B$7)/'SUPUESTOS PRECIOS'!$B$4</f>
        <v>377.5</v>
      </c>
      <c r="W96" s="4">
        <f>'SUPUESTOS PRECIOS'!$B$8</f>
        <v>9.6799999999999994E-3</v>
      </c>
      <c r="X96" s="4">
        <f>'SUPUESTOS PRECIOS'!$B$2</f>
        <v>0.4</v>
      </c>
      <c r="Y96" s="3">
        <f t="shared" si="5"/>
        <v>6570</v>
      </c>
      <c r="Z96" s="3">
        <f t="shared" si="6"/>
        <v>2628.9023999999999</v>
      </c>
      <c r="AA96" s="11">
        <f t="shared" si="7"/>
        <v>0.40013735159817349</v>
      </c>
    </row>
    <row r="97" spans="1:29" x14ac:dyDescent="0.35">
      <c r="A97" s="10" t="s">
        <v>562</v>
      </c>
      <c r="B97" t="s">
        <v>563</v>
      </c>
      <c r="C97" t="s">
        <v>446</v>
      </c>
      <c r="D97" t="s">
        <v>564</v>
      </c>
      <c r="E97" t="s">
        <v>469</v>
      </c>
      <c r="F97" t="s">
        <v>564</v>
      </c>
      <c r="H97" t="s">
        <v>136</v>
      </c>
      <c r="I97" t="s">
        <v>565</v>
      </c>
      <c r="J97">
        <v>3400</v>
      </c>
      <c r="K97">
        <v>0.3</v>
      </c>
      <c r="L97">
        <f t="shared" si="4"/>
        <v>4420</v>
      </c>
      <c r="M97" t="s">
        <v>38</v>
      </c>
      <c r="O97" t="s">
        <v>38</v>
      </c>
      <c r="P97" t="s">
        <v>39</v>
      </c>
      <c r="Q97" t="s">
        <v>563</v>
      </c>
      <c r="R97" t="s">
        <v>566</v>
      </c>
      <c r="S97" t="s">
        <v>567</v>
      </c>
      <c r="T97" s="2">
        <f>'SUPUESTOS PRECIOS'!$B$9</f>
        <v>0</v>
      </c>
      <c r="U97" s="3">
        <f>'SUPUESTOS PRECIOS'!$B$5/'SUPUESTOS PRECIOS'!$B$4</f>
        <v>1000</v>
      </c>
      <c r="V97" s="3">
        <f>('SUPUESTOS PRECIOS'!$B$6-'SUPUESTOS PRECIOS'!$B$7)/'SUPUESTOS PRECIOS'!$B$4</f>
        <v>377.5</v>
      </c>
      <c r="W97" s="4">
        <f>'SUPUESTOS PRECIOS'!$B$8</f>
        <v>9.6799999999999994E-3</v>
      </c>
      <c r="X97" s="4">
        <f>'SUPUESTOS PRECIOS'!$B$2</f>
        <v>0.4</v>
      </c>
      <c r="Y97" s="3">
        <f t="shared" si="5"/>
        <v>8090</v>
      </c>
      <c r="Z97" s="3">
        <f t="shared" si="6"/>
        <v>3234.1887999999999</v>
      </c>
      <c r="AA97" s="11">
        <f t="shared" si="7"/>
        <v>0.39977611866501855</v>
      </c>
    </row>
    <row r="98" spans="1:29" x14ac:dyDescent="0.35">
      <c r="A98" s="10" t="s">
        <v>568</v>
      </c>
      <c r="B98" t="s">
        <v>569</v>
      </c>
      <c r="C98" t="s">
        <v>31</v>
      </c>
      <c r="D98" t="s">
        <v>570</v>
      </c>
      <c r="E98" t="s">
        <v>33</v>
      </c>
      <c r="F98" t="s">
        <v>571</v>
      </c>
      <c r="G98" t="s">
        <v>482</v>
      </c>
      <c r="H98" t="s">
        <v>136</v>
      </c>
      <c r="I98" t="s">
        <v>572</v>
      </c>
      <c r="J98">
        <v>4300</v>
      </c>
      <c r="K98">
        <v>0.3</v>
      </c>
      <c r="L98">
        <f t="shared" si="4"/>
        <v>5590</v>
      </c>
      <c r="M98" t="s">
        <v>38</v>
      </c>
      <c r="O98" t="s">
        <v>38</v>
      </c>
      <c r="P98" t="s">
        <v>39</v>
      </c>
      <c r="Q98" t="s">
        <v>569</v>
      </c>
      <c r="R98" t="s">
        <v>573</v>
      </c>
      <c r="S98" t="s">
        <v>574</v>
      </c>
      <c r="T98" s="2">
        <f>'SUPUESTOS PRECIOS'!$B$9</f>
        <v>0</v>
      </c>
      <c r="U98" s="3">
        <f>'SUPUESTOS PRECIOS'!$B$5/'SUPUESTOS PRECIOS'!$B$4</f>
        <v>1000</v>
      </c>
      <c r="V98" s="3">
        <f>('SUPUESTOS PRECIOS'!$B$6-'SUPUESTOS PRECIOS'!$B$7)/'SUPUESTOS PRECIOS'!$B$4</f>
        <v>377.5</v>
      </c>
      <c r="W98" s="4">
        <f>'SUPUESTOS PRECIOS'!$B$8</f>
        <v>9.6799999999999994E-3</v>
      </c>
      <c r="X98" s="4">
        <f>'SUPUESTOS PRECIOS'!$B$2</f>
        <v>0.4</v>
      </c>
      <c r="Y98" s="3">
        <f t="shared" si="5"/>
        <v>9620</v>
      </c>
      <c r="Z98" s="3">
        <f t="shared" si="6"/>
        <v>3849.3784000000001</v>
      </c>
      <c r="AA98" s="11">
        <f t="shared" si="7"/>
        <v>0.40014328482328482</v>
      </c>
    </row>
    <row r="99" spans="1:29" x14ac:dyDescent="0.35">
      <c r="A99" s="10" t="s">
        <v>575</v>
      </c>
      <c r="B99" t="s">
        <v>576</v>
      </c>
      <c r="C99" t="s">
        <v>31</v>
      </c>
      <c r="D99" t="s">
        <v>570</v>
      </c>
      <c r="E99" t="s">
        <v>33</v>
      </c>
      <c r="F99" t="s">
        <v>577</v>
      </c>
      <c r="G99" t="s">
        <v>578</v>
      </c>
      <c r="H99" t="s">
        <v>136</v>
      </c>
      <c r="I99" t="s">
        <v>579</v>
      </c>
      <c r="J99">
        <v>4300</v>
      </c>
      <c r="K99">
        <v>0.3</v>
      </c>
      <c r="L99">
        <f t="shared" si="4"/>
        <v>5590</v>
      </c>
      <c r="M99" t="s">
        <v>38</v>
      </c>
      <c r="O99" t="s">
        <v>38</v>
      </c>
      <c r="P99" t="s">
        <v>39</v>
      </c>
      <c r="Q99" t="s">
        <v>576</v>
      </c>
      <c r="R99" t="s">
        <v>580</v>
      </c>
      <c r="S99" t="s">
        <v>574</v>
      </c>
      <c r="T99" s="2">
        <f>'SUPUESTOS PRECIOS'!$B$9</f>
        <v>0</v>
      </c>
      <c r="U99" s="3">
        <f>'SUPUESTOS PRECIOS'!$B$5/'SUPUESTOS PRECIOS'!$B$4</f>
        <v>1000</v>
      </c>
      <c r="V99" s="3">
        <f>('SUPUESTOS PRECIOS'!$B$6-'SUPUESTOS PRECIOS'!$B$7)/'SUPUESTOS PRECIOS'!$B$4</f>
        <v>377.5</v>
      </c>
      <c r="W99" s="4">
        <f>'SUPUESTOS PRECIOS'!$B$8</f>
        <v>9.6799999999999994E-3</v>
      </c>
      <c r="X99" s="4">
        <f>'SUPUESTOS PRECIOS'!$B$2</f>
        <v>0.4</v>
      </c>
      <c r="Y99" s="3">
        <f t="shared" si="5"/>
        <v>9620</v>
      </c>
      <c r="Z99" s="3">
        <f t="shared" si="6"/>
        <v>3849.3784000000001</v>
      </c>
      <c r="AA99" s="11">
        <f t="shared" si="7"/>
        <v>0.40014328482328482</v>
      </c>
    </row>
    <row r="100" spans="1:29" x14ac:dyDescent="0.35">
      <c r="A100" s="10" t="s">
        <v>581</v>
      </c>
      <c r="B100" t="s">
        <v>582</v>
      </c>
      <c r="C100" t="s">
        <v>31</v>
      </c>
      <c r="D100" t="s">
        <v>570</v>
      </c>
      <c r="E100" t="s">
        <v>33</v>
      </c>
      <c r="F100" t="s">
        <v>577</v>
      </c>
      <c r="G100" t="s">
        <v>583</v>
      </c>
      <c r="H100" t="s">
        <v>136</v>
      </c>
      <c r="I100" t="s">
        <v>584</v>
      </c>
      <c r="J100">
        <v>4300</v>
      </c>
      <c r="K100">
        <v>0.3</v>
      </c>
      <c r="L100">
        <f t="shared" si="4"/>
        <v>5590</v>
      </c>
      <c r="M100" t="s">
        <v>38</v>
      </c>
      <c r="O100" t="s">
        <v>38</v>
      </c>
      <c r="P100" t="s">
        <v>39</v>
      </c>
      <c r="Q100" t="s">
        <v>582</v>
      </c>
      <c r="R100" t="s">
        <v>585</v>
      </c>
      <c r="S100" t="s">
        <v>574</v>
      </c>
      <c r="T100" s="2">
        <f>'SUPUESTOS PRECIOS'!$B$9</f>
        <v>0</v>
      </c>
      <c r="U100" s="3">
        <f>'SUPUESTOS PRECIOS'!$B$5/'SUPUESTOS PRECIOS'!$B$4</f>
        <v>1000</v>
      </c>
      <c r="V100" s="3">
        <f>('SUPUESTOS PRECIOS'!$B$6-'SUPUESTOS PRECIOS'!$B$7)/'SUPUESTOS PRECIOS'!$B$4</f>
        <v>377.5</v>
      </c>
      <c r="W100" s="4">
        <f>'SUPUESTOS PRECIOS'!$B$8</f>
        <v>9.6799999999999994E-3</v>
      </c>
      <c r="X100" s="4">
        <f>'SUPUESTOS PRECIOS'!$B$2</f>
        <v>0.4</v>
      </c>
      <c r="Y100" s="3">
        <f t="shared" si="5"/>
        <v>9620</v>
      </c>
      <c r="Z100" s="3">
        <f t="shared" si="6"/>
        <v>3849.3784000000001</v>
      </c>
      <c r="AA100" s="11">
        <f t="shared" si="7"/>
        <v>0.40014328482328482</v>
      </c>
    </row>
    <row r="101" spans="1:29" x14ac:dyDescent="0.35">
      <c r="A101" s="10" t="s">
        <v>586</v>
      </c>
      <c r="B101" t="s">
        <v>587</v>
      </c>
      <c r="C101" t="s">
        <v>31</v>
      </c>
      <c r="D101" t="s">
        <v>570</v>
      </c>
      <c r="E101" t="s">
        <v>33</v>
      </c>
      <c r="F101" t="s">
        <v>577</v>
      </c>
      <c r="G101" t="s">
        <v>588</v>
      </c>
      <c r="H101" t="s">
        <v>136</v>
      </c>
      <c r="I101" t="s">
        <v>589</v>
      </c>
      <c r="J101">
        <v>4300</v>
      </c>
      <c r="K101">
        <v>0.3</v>
      </c>
      <c r="L101">
        <f t="shared" si="4"/>
        <v>5590</v>
      </c>
      <c r="M101" t="s">
        <v>38</v>
      </c>
      <c r="O101" t="s">
        <v>38</v>
      </c>
      <c r="P101" t="s">
        <v>39</v>
      </c>
      <c r="Q101" t="s">
        <v>587</v>
      </c>
      <c r="R101" t="s">
        <v>590</v>
      </c>
      <c r="S101" t="s">
        <v>574</v>
      </c>
      <c r="T101" s="2">
        <f>'SUPUESTOS PRECIOS'!$B$9</f>
        <v>0</v>
      </c>
      <c r="U101" s="3">
        <f>'SUPUESTOS PRECIOS'!$B$5/'SUPUESTOS PRECIOS'!$B$4</f>
        <v>1000</v>
      </c>
      <c r="V101" s="3">
        <f>('SUPUESTOS PRECIOS'!$B$6-'SUPUESTOS PRECIOS'!$B$7)/'SUPUESTOS PRECIOS'!$B$4</f>
        <v>377.5</v>
      </c>
      <c r="W101" s="4">
        <f>'SUPUESTOS PRECIOS'!$B$8</f>
        <v>9.6799999999999994E-3</v>
      </c>
      <c r="X101" s="4">
        <f>'SUPUESTOS PRECIOS'!$B$2</f>
        <v>0.4</v>
      </c>
      <c r="Y101" s="3">
        <f t="shared" si="5"/>
        <v>9620</v>
      </c>
      <c r="Z101" s="3">
        <f t="shared" si="6"/>
        <v>3849.3784000000001</v>
      </c>
      <c r="AA101" s="11">
        <f t="shared" si="7"/>
        <v>0.40014328482328482</v>
      </c>
    </row>
    <row r="102" spans="1:29" x14ac:dyDescent="0.35">
      <c r="A102" s="10" t="s">
        <v>591</v>
      </c>
      <c r="B102" t="s">
        <v>592</v>
      </c>
      <c r="C102" t="s">
        <v>31</v>
      </c>
      <c r="D102" t="s">
        <v>570</v>
      </c>
      <c r="E102" t="s">
        <v>33</v>
      </c>
      <c r="F102" t="s">
        <v>577</v>
      </c>
      <c r="G102" t="s">
        <v>593</v>
      </c>
      <c r="H102" t="s">
        <v>136</v>
      </c>
      <c r="I102" t="s">
        <v>594</v>
      </c>
      <c r="J102">
        <v>4300</v>
      </c>
      <c r="K102">
        <v>0.3</v>
      </c>
      <c r="L102">
        <f t="shared" si="4"/>
        <v>5590</v>
      </c>
      <c r="M102" t="s">
        <v>38</v>
      </c>
      <c r="O102" t="s">
        <v>38</v>
      </c>
      <c r="P102" t="s">
        <v>39</v>
      </c>
      <c r="Q102" t="s">
        <v>592</v>
      </c>
      <c r="R102" t="s">
        <v>595</v>
      </c>
      <c r="S102" t="s">
        <v>574</v>
      </c>
      <c r="T102" s="2">
        <f>'SUPUESTOS PRECIOS'!$B$9</f>
        <v>0</v>
      </c>
      <c r="U102" s="3">
        <f>'SUPUESTOS PRECIOS'!$B$5/'SUPUESTOS PRECIOS'!$B$4</f>
        <v>1000</v>
      </c>
      <c r="V102" s="3">
        <f>('SUPUESTOS PRECIOS'!$B$6-'SUPUESTOS PRECIOS'!$B$7)/'SUPUESTOS PRECIOS'!$B$4</f>
        <v>377.5</v>
      </c>
      <c r="W102" s="4">
        <f>'SUPUESTOS PRECIOS'!$B$8</f>
        <v>9.6799999999999994E-3</v>
      </c>
      <c r="X102" s="4">
        <f>'SUPUESTOS PRECIOS'!$B$2</f>
        <v>0.4</v>
      </c>
      <c r="Y102" s="3">
        <f t="shared" si="5"/>
        <v>9620</v>
      </c>
      <c r="Z102" s="3">
        <f t="shared" si="6"/>
        <v>3849.3784000000001</v>
      </c>
      <c r="AA102" s="11">
        <f t="shared" si="7"/>
        <v>0.40014328482328482</v>
      </c>
    </row>
    <row r="103" spans="1:29" x14ac:dyDescent="0.35">
      <c r="A103" s="10" t="s">
        <v>596</v>
      </c>
      <c r="B103" t="s">
        <v>597</v>
      </c>
      <c r="C103" t="s">
        <v>31</v>
      </c>
      <c r="D103" t="s">
        <v>570</v>
      </c>
      <c r="E103" t="s">
        <v>33</v>
      </c>
      <c r="F103" t="s">
        <v>577</v>
      </c>
      <c r="G103" t="s">
        <v>598</v>
      </c>
      <c r="H103" t="s">
        <v>136</v>
      </c>
      <c r="I103" t="s">
        <v>599</v>
      </c>
      <c r="J103">
        <v>4300</v>
      </c>
      <c r="K103">
        <v>0.3</v>
      </c>
      <c r="L103">
        <f t="shared" si="4"/>
        <v>5590</v>
      </c>
      <c r="M103" t="s">
        <v>38</v>
      </c>
      <c r="O103" t="s">
        <v>38</v>
      </c>
      <c r="P103" t="s">
        <v>39</v>
      </c>
      <c r="Q103" t="s">
        <v>597</v>
      </c>
      <c r="R103" t="s">
        <v>600</v>
      </c>
      <c r="S103" t="s">
        <v>574</v>
      </c>
      <c r="T103" s="2">
        <f>'SUPUESTOS PRECIOS'!$B$9</f>
        <v>0</v>
      </c>
      <c r="U103" s="3">
        <f>'SUPUESTOS PRECIOS'!$B$5/'SUPUESTOS PRECIOS'!$B$4</f>
        <v>1000</v>
      </c>
      <c r="V103" s="3">
        <f>('SUPUESTOS PRECIOS'!$B$6-'SUPUESTOS PRECIOS'!$B$7)/'SUPUESTOS PRECIOS'!$B$4</f>
        <v>377.5</v>
      </c>
      <c r="W103" s="4">
        <f>'SUPUESTOS PRECIOS'!$B$8</f>
        <v>9.6799999999999994E-3</v>
      </c>
      <c r="X103" s="4">
        <f>'SUPUESTOS PRECIOS'!$B$2</f>
        <v>0.4</v>
      </c>
      <c r="Y103" s="3">
        <f t="shared" si="5"/>
        <v>9620</v>
      </c>
      <c r="Z103" s="3">
        <f t="shared" si="6"/>
        <v>3849.3784000000001</v>
      </c>
      <c r="AA103" s="11">
        <f t="shared" si="7"/>
        <v>0.40014328482328482</v>
      </c>
    </row>
    <row r="104" spans="1:29" x14ac:dyDescent="0.35">
      <c r="A104" s="10" t="s">
        <v>601</v>
      </c>
      <c r="B104" t="s">
        <v>602</v>
      </c>
      <c r="C104" t="s">
        <v>90</v>
      </c>
      <c r="D104" t="s">
        <v>603</v>
      </c>
      <c r="E104" t="s">
        <v>604</v>
      </c>
      <c r="F104" t="s">
        <v>605</v>
      </c>
      <c r="G104" t="s">
        <v>606</v>
      </c>
      <c r="H104" t="s">
        <v>136</v>
      </c>
      <c r="I104" t="s">
        <v>607</v>
      </c>
      <c r="J104">
        <v>1600</v>
      </c>
      <c r="K104">
        <v>0.3</v>
      </c>
      <c r="L104">
        <f t="shared" si="4"/>
        <v>2080</v>
      </c>
      <c r="M104" t="s">
        <v>38</v>
      </c>
      <c r="O104" t="s">
        <v>38</v>
      </c>
      <c r="P104" t="s">
        <v>39</v>
      </c>
      <c r="Q104" t="s">
        <v>602</v>
      </c>
      <c r="R104" t="s">
        <v>608</v>
      </c>
      <c r="S104" t="s">
        <v>609</v>
      </c>
      <c r="T104" s="2">
        <f>'SUPUESTOS PRECIOS'!$B$9</f>
        <v>0</v>
      </c>
      <c r="U104" s="3">
        <f>'SUPUESTOS PRECIOS'!$B$5/'SUPUESTOS PRECIOS'!$B$4</f>
        <v>1000</v>
      </c>
      <c r="V104" s="3">
        <f>('SUPUESTOS PRECIOS'!$B$6-'SUPUESTOS PRECIOS'!$B$7)/'SUPUESTOS PRECIOS'!$B$4</f>
        <v>377.5</v>
      </c>
      <c r="W104" s="4">
        <f>'SUPUESTOS PRECIOS'!$B$8</f>
        <v>9.6799999999999994E-3</v>
      </c>
      <c r="X104" s="4">
        <f>'SUPUESTOS PRECIOS'!$B$2</f>
        <v>0.4</v>
      </c>
      <c r="Y104" s="3">
        <f t="shared" si="5"/>
        <v>5040</v>
      </c>
      <c r="Z104" s="3">
        <f t="shared" si="6"/>
        <v>2013.7128</v>
      </c>
      <c r="AA104" s="11">
        <f t="shared" si="7"/>
        <v>0.3995461904761905</v>
      </c>
      <c r="AB104" t="s">
        <v>610</v>
      </c>
      <c r="AC104" t="s">
        <v>606</v>
      </c>
    </row>
    <row r="105" spans="1:29" x14ac:dyDescent="0.35">
      <c r="A105" s="10" t="s">
        <v>611</v>
      </c>
      <c r="B105" t="s">
        <v>612</v>
      </c>
      <c r="C105" t="s">
        <v>90</v>
      </c>
      <c r="D105" t="s">
        <v>603</v>
      </c>
      <c r="E105" t="s">
        <v>604</v>
      </c>
      <c r="F105" t="s">
        <v>605</v>
      </c>
      <c r="G105" t="s">
        <v>613</v>
      </c>
      <c r="H105" t="s">
        <v>136</v>
      </c>
      <c r="I105" t="s">
        <v>614</v>
      </c>
      <c r="J105">
        <v>1600</v>
      </c>
      <c r="K105">
        <v>0.3</v>
      </c>
      <c r="L105">
        <f t="shared" si="4"/>
        <v>2080</v>
      </c>
      <c r="M105" t="s">
        <v>38</v>
      </c>
      <c r="O105" t="s">
        <v>38</v>
      </c>
      <c r="P105" t="s">
        <v>39</v>
      </c>
      <c r="Q105" t="s">
        <v>612</v>
      </c>
      <c r="R105" t="s">
        <v>615</v>
      </c>
      <c r="S105" t="s">
        <v>609</v>
      </c>
      <c r="T105" s="2">
        <f>'SUPUESTOS PRECIOS'!$B$9</f>
        <v>0</v>
      </c>
      <c r="U105" s="3">
        <f>'SUPUESTOS PRECIOS'!$B$5/'SUPUESTOS PRECIOS'!$B$4</f>
        <v>1000</v>
      </c>
      <c r="V105" s="3">
        <f>('SUPUESTOS PRECIOS'!$B$6-'SUPUESTOS PRECIOS'!$B$7)/'SUPUESTOS PRECIOS'!$B$4</f>
        <v>377.5</v>
      </c>
      <c r="W105" s="4">
        <f>'SUPUESTOS PRECIOS'!$B$8</f>
        <v>9.6799999999999994E-3</v>
      </c>
      <c r="X105" s="4">
        <f>'SUPUESTOS PRECIOS'!$B$2</f>
        <v>0.4</v>
      </c>
      <c r="Y105" s="3">
        <f t="shared" si="5"/>
        <v>5040</v>
      </c>
      <c r="Z105" s="3">
        <f t="shared" si="6"/>
        <v>2013.7128</v>
      </c>
      <c r="AA105" s="11">
        <f t="shared" si="7"/>
        <v>0.3995461904761905</v>
      </c>
      <c r="AB105" t="s">
        <v>610</v>
      </c>
      <c r="AC105" t="s">
        <v>613</v>
      </c>
    </row>
    <row r="106" spans="1:29" x14ac:dyDescent="0.35">
      <c r="A106" s="10" t="s">
        <v>616</v>
      </c>
      <c r="B106" t="s">
        <v>617</v>
      </c>
      <c r="C106" t="s">
        <v>90</v>
      </c>
      <c r="D106" t="s">
        <v>603</v>
      </c>
      <c r="E106" t="s">
        <v>604</v>
      </c>
      <c r="F106" t="s">
        <v>605</v>
      </c>
      <c r="G106" t="s">
        <v>593</v>
      </c>
      <c r="H106" t="s">
        <v>136</v>
      </c>
      <c r="I106" t="s">
        <v>618</v>
      </c>
      <c r="J106">
        <v>1600</v>
      </c>
      <c r="K106">
        <v>0.3</v>
      </c>
      <c r="L106">
        <f t="shared" si="4"/>
        <v>2080</v>
      </c>
      <c r="M106" t="s">
        <v>38</v>
      </c>
      <c r="O106" t="s">
        <v>38</v>
      </c>
      <c r="P106" t="s">
        <v>39</v>
      </c>
      <c r="Q106" t="s">
        <v>617</v>
      </c>
      <c r="R106" t="s">
        <v>619</v>
      </c>
      <c r="S106" t="s">
        <v>609</v>
      </c>
      <c r="T106" s="2">
        <f>'SUPUESTOS PRECIOS'!$B$9</f>
        <v>0</v>
      </c>
      <c r="U106" s="3">
        <f>'SUPUESTOS PRECIOS'!$B$5/'SUPUESTOS PRECIOS'!$B$4</f>
        <v>1000</v>
      </c>
      <c r="V106" s="3">
        <f>('SUPUESTOS PRECIOS'!$B$6-'SUPUESTOS PRECIOS'!$B$7)/'SUPUESTOS PRECIOS'!$B$4</f>
        <v>377.5</v>
      </c>
      <c r="W106" s="4">
        <f>'SUPUESTOS PRECIOS'!$B$8</f>
        <v>9.6799999999999994E-3</v>
      </c>
      <c r="X106" s="4">
        <f>'SUPUESTOS PRECIOS'!$B$2</f>
        <v>0.4</v>
      </c>
      <c r="Y106" s="3">
        <f t="shared" si="5"/>
        <v>5040</v>
      </c>
      <c r="Z106" s="3">
        <f t="shared" si="6"/>
        <v>2013.7128</v>
      </c>
      <c r="AA106" s="11">
        <f t="shared" si="7"/>
        <v>0.3995461904761905</v>
      </c>
      <c r="AB106" t="s">
        <v>610</v>
      </c>
      <c r="AC106" t="s">
        <v>593</v>
      </c>
    </row>
    <row r="107" spans="1:29" x14ac:dyDescent="0.35">
      <c r="A107" s="10" t="s">
        <v>620</v>
      </c>
      <c r="B107" t="s">
        <v>621</v>
      </c>
      <c r="C107" t="s">
        <v>90</v>
      </c>
      <c r="D107" t="s">
        <v>603</v>
      </c>
      <c r="E107" t="s">
        <v>604</v>
      </c>
      <c r="F107" t="s">
        <v>605</v>
      </c>
      <c r="G107" t="s">
        <v>622</v>
      </c>
      <c r="H107" t="s">
        <v>136</v>
      </c>
      <c r="I107" t="s">
        <v>623</v>
      </c>
      <c r="J107">
        <v>1600</v>
      </c>
      <c r="K107">
        <v>0.3</v>
      </c>
      <c r="L107">
        <f t="shared" si="4"/>
        <v>2080</v>
      </c>
      <c r="M107" t="s">
        <v>38</v>
      </c>
      <c r="O107" t="s">
        <v>38</v>
      </c>
      <c r="P107" t="s">
        <v>39</v>
      </c>
      <c r="Q107" t="s">
        <v>621</v>
      </c>
      <c r="R107" t="s">
        <v>624</v>
      </c>
      <c r="S107" t="s">
        <v>609</v>
      </c>
      <c r="T107" s="2">
        <f>'SUPUESTOS PRECIOS'!$B$9</f>
        <v>0</v>
      </c>
      <c r="U107" s="3">
        <f>'SUPUESTOS PRECIOS'!$B$5/'SUPUESTOS PRECIOS'!$B$4</f>
        <v>1000</v>
      </c>
      <c r="V107" s="3">
        <f>('SUPUESTOS PRECIOS'!$B$6-'SUPUESTOS PRECIOS'!$B$7)/'SUPUESTOS PRECIOS'!$B$4</f>
        <v>377.5</v>
      </c>
      <c r="W107" s="4">
        <f>'SUPUESTOS PRECIOS'!$B$8</f>
        <v>9.6799999999999994E-3</v>
      </c>
      <c r="X107" s="4">
        <f>'SUPUESTOS PRECIOS'!$B$2</f>
        <v>0.4</v>
      </c>
      <c r="Y107" s="3">
        <f t="shared" si="5"/>
        <v>5040</v>
      </c>
      <c r="Z107" s="3">
        <f t="shared" si="6"/>
        <v>2013.7128</v>
      </c>
      <c r="AA107" s="11">
        <f t="shared" si="7"/>
        <v>0.3995461904761905</v>
      </c>
      <c r="AB107" t="s">
        <v>610</v>
      </c>
      <c r="AC107" t="s">
        <v>622</v>
      </c>
    </row>
    <row r="108" spans="1:29" x14ac:dyDescent="0.35">
      <c r="A108" s="10" t="s">
        <v>625</v>
      </c>
      <c r="B108" t="s">
        <v>626</v>
      </c>
      <c r="C108" t="s">
        <v>90</v>
      </c>
      <c r="D108" t="s">
        <v>603</v>
      </c>
      <c r="E108" t="s">
        <v>604</v>
      </c>
      <c r="F108" t="s">
        <v>605</v>
      </c>
      <c r="G108" t="s">
        <v>583</v>
      </c>
      <c r="H108" t="s">
        <v>136</v>
      </c>
      <c r="I108" t="s">
        <v>627</v>
      </c>
      <c r="J108">
        <v>1600</v>
      </c>
      <c r="K108">
        <v>0.3</v>
      </c>
      <c r="L108">
        <f t="shared" si="4"/>
        <v>2080</v>
      </c>
      <c r="M108" t="s">
        <v>38</v>
      </c>
      <c r="O108" t="s">
        <v>38</v>
      </c>
      <c r="P108" t="s">
        <v>39</v>
      </c>
      <c r="Q108" t="s">
        <v>626</v>
      </c>
      <c r="R108" t="s">
        <v>628</v>
      </c>
      <c r="S108" t="s">
        <v>609</v>
      </c>
      <c r="T108" s="2">
        <f>'SUPUESTOS PRECIOS'!$B$9</f>
        <v>0</v>
      </c>
      <c r="U108" s="3">
        <f>'SUPUESTOS PRECIOS'!$B$5/'SUPUESTOS PRECIOS'!$B$4</f>
        <v>1000</v>
      </c>
      <c r="V108" s="3">
        <f>('SUPUESTOS PRECIOS'!$B$6-'SUPUESTOS PRECIOS'!$B$7)/'SUPUESTOS PRECIOS'!$B$4</f>
        <v>377.5</v>
      </c>
      <c r="W108" s="4">
        <f>'SUPUESTOS PRECIOS'!$B$8</f>
        <v>9.6799999999999994E-3</v>
      </c>
      <c r="X108" s="4">
        <f>'SUPUESTOS PRECIOS'!$B$2</f>
        <v>0.4</v>
      </c>
      <c r="Y108" s="3">
        <f t="shared" si="5"/>
        <v>5040</v>
      </c>
      <c r="Z108" s="3">
        <f t="shared" si="6"/>
        <v>2013.7128</v>
      </c>
      <c r="AA108" s="11">
        <f t="shared" si="7"/>
        <v>0.3995461904761905</v>
      </c>
      <c r="AB108" t="s">
        <v>610</v>
      </c>
      <c r="AC108" t="s">
        <v>583</v>
      </c>
    </row>
    <row r="109" spans="1:29" x14ac:dyDescent="0.35">
      <c r="A109" s="10" t="s">
        <v>629</v>
      </c>
      <c r="B109" t="s">
        <v>630</v>
      </c>
      <c r="C109" t="s">
        <v>90</v>
      </c>
      <c r="D109" t="s">
        <v>603</v>
      </c>
      <c r="E109" t="s">
        <v>604</v>
      </c>
      <c r="F109" t="s">
        <v>605</v>
      </c>
      <c r="G109" t="s">
        <v>631</v>
      </c>
      <c r="H109" t="s">
        <v>136</v>
      </c>
      <c r="I109" t="s">
        <v>632</v>
      </c>
      <c r="J109">
        <v>1600</v>
      </c>
      <c r="K109">
        <v>0.3</v>
      </c>
      <c r="L109">
        <f t="shared" si="4"/>
        <v>2080</v>
      </c>
      <c r="M109" t="s">
        <v>38</v>
      </c>
      <c r="O109" t="s">
        <v>38</v>
      </c>
      <c r="P109" t="s">
        <v>39</v>
      </c>
      <c r="Q109" t="s">
        <v>630</v>
      </c>
      <c r="R109" t="s">
        <v>633</v>
      </c>
      <c r="S109" t="s">
        <v>609</v>
      </c>
      <c r="T109" s="2">
        <f>'SUPUESTOS PRECIOS'!$B$9</f>
        <v>0</v>
      </c>
      <c r="U109" s="3">
        <f>'SUPUESTOS PRECIOS'!$B$5/'SUPUESTOS PRECIOS'!$B$4</f>
        <v>1000</v>
      </c>
      <c r="V109" s="3">
        <f>('SUPUESTOS PRECIOS'!$B$6-'SUPUESTOS PRECIOS'!$B$7)/'SUPUESTOS PRECIOS'!$B$4</f>
        <v>377.5</v>
      </c>
      <c r="W109" s="4">
        <f>'SUPUESTOS PRECIOS'!$B$8</f>
        <v>9.6799999999999994E-3</v>
      </c>
      <c r="X109" s="4">
        <f>'SUPUESTOS PRECIOS'!$B$2</f>
        <v>0.4</v>
      </c>
      <c r="Y109" s="3">
        <f t="shared" si="5"/>
        <v>5040</v>
      </c>
      <c r="Z109" s="3">
        <f t="shared" si="6"/>
        <v>2013.7128</v>
      </c>
      <c r="AA109" s="11">
        <f t="shared" si="7"/>
        <v>0.3995461904761905</v>
      </c>
      <c r="AB109" t="s">
        <v>610</v>
      </c>
      <c r="AC109" t="s">
        <v>631</v>
      </c>
    </row>
    <row r="110" spans="1:29" x14ac:dyDescent="0.35">
      <c r="A110" s="10" t="s">
        <v>634</v>
      </c>
      <c r="B110" t="s">
        <v>635</v>
      </c>
      <c r="C110" t="s">
        <v>90</v>
      </c>
      <c r="D110" t="s">
        <v>603</v>
      </c>
      <c r="E110" t="s">
        <v>604</v>
      </c>
      <c r="F110" t="s">
        <v>605</v>
      </c>
      <c r="G110" t="s">
        <v>636</v>
      </c>
      <c r="H110" t="s">
        <v>136</v>
      </c>
      <c r="I110" t="s">
        <v>637</v>
      </c>
      <c r="J110">
        <v>1600</v>
      </c>
      <c r="K110">
        <v>0.3</v>
      </c>
      <c r="L110">
        <f t="shared" si="4"/>
        <v>2080</v>
      </c>
      <c r="M110" t="s">
        <v>38</v>
      </c>
      <c r="O110" t="s">
        <v>38</v>
      </c>
      <c r="P110" t="s">
        <v>39</v>
      </c>
      <c r="Q110" t="s">
        <v>635</v>
      </c>
      <c r="R110" t="s">
        <v>638</v>
      </c>
      <c r="S110" t="s">
        <v>609</v>
      </c>
      <c r="T110" s="2">
        <f>'SUPUESTOS PRECIOS'!$B$9</f>
        <v>0</v>
      </c>
      <c r="U110" s="3">
        <f>'SUPUESTOS PRECIOS'!$B$5/'SUPUESTOS PRECIOS'!$B$4</f>
        <v>1000</v>
      </c>
      <c r="V110" s="3">
        <f>('SUPUESTOS PRECIOS'!$B$6-'SUPUESTOS PRECIOS'!$B$7)/'SUPUESTOS PRECIOS'!$B$4</f>
        <v>377.5</v>
      </c>
      <c r="W110" s="4">
        <f>'SUPUESTOS PRECIOS'!$B$8</f>
        <v>9.6799999999999994E-3</v>
      </c>
      <c r="X110" s="4">
        <f>'SUPUESTOS PRECIOS'!$B$2</f>
        <v>0.4</v>
      </c>
      <c r="Y110" s="3">
        <f t="shared" si="5"/>
        <v>5040</v>
      </c>
      <c r="Z110" s="3">
        <f t="shared" si="6"/>
        <v>2013.7128</v>
      </c>
      <c r="AA110" s="11">
        <f t="shared" si="7"/>
        <v>0.3995461904761905</v>
      </c>
      <c r="AB110" t="s">
        <v>610</v>
      </c>
      <c r="AC110" t="s">
        <v>636</v>
      </c>
    </row>
    <row r="111" spans="1:29" x14ac:dyDescent="0.35">
      <c r="A111" s="10" t="s">
        <v>639</v>
      </c>
      <c r="B111" t="s">
        <v>640</v>
      </c>
      <c r="C111" t="s">
        <v>90</v>
      </c>
      <c r="D111" t="s">
        <v>603</v>
      </c>
      <c r="E111" t="s">
        <v>604</v>
      </c>
      <c r="F111" t="s">
        <v>605</v>
      </c>
      <c r="G111" t="s">
        <v>641</v>
      </c>
      <c r="H111" t="s">
        <v>136</v>
      </c>
      <c r="I111" t="s">
        <v>642</v>
      </c>
      <c r="J111">
        <v>1600</v>
      </c>
      <c r="K111">
        <v>0.3</v>
      </c>
      <c r="L111">
        <f t="shared" si="4"/>
        <v>2080</v>
      </c>
      <c r="M111" t="s">
        <v>38</v>
      </c>
      <c r="O111" t="s">
        <v>38</v>
      </c>
      <c r="P111" t="s">
        <v>39</v>
      </c>
      <c r="Q111" t="s">
        <v>640</v>
      </c>
      <c r="R111" t="s">
        <v>643</v>
      </c>
      <c r="S111" t="s">
        <v>609</v>
      </c>
      <c r="T111" s="2">
        <f>'SUPUESTOS PRECIOS'!$B$9</f>
        <v>0</v>
      </c>
      <c r="U111" s="3">
        <f>'SUPUESTOS PRECIOS'!$B$5/'SUPUESTOS PRECIOS'!$B$4</f>
        <v>1000</v>
      </c>
      <c r="V111" s="3">
        <f>('SUPUESTOS PRECIOS'!$B$6-'SUPUESTOS PRECIOS'!$B$7)/'SUPUESTOS PRECIOS'!$B$4</f>
        <v>377.5</v>
      </c>
      <c r="W111" s="4">
        <f>'SUPUESTOS PRECIOS'!$B$8</f>
        <v>9.6799999999999994E-3</v>
      </c>
      <c r="X111" s="4">
        <f>'SUPUESTOS PRECIOS'!$B$2</f>
        <v>0.4</v>
      </c>
      <c r="Y111" s="3">
        <f t="shared" si="5"/>
        <v>5040</v>
      </c>
      <c r="Z111" s="3">
        <f t="shared" si="6"/>
        <v>2013.7128</v>
      </c>
      <c r="AA111" s="11">
        <f t="shared" si="7"/>
        <v>0.3995461904761905</v>
      </c>
      <c r="AB111" t="s">
        <v>610</v>
      </c>
      <c r="AC111" t="s">
        <v>641</v>
      </c>
    </row>
    <row r="112" spans="1:29" x14ac:dyDescent="0.35">
      <c r="A112" s="10" t="s">
        <v>644</v>
      </c>
      <c r="B112" t="s">
        <v>645</v>
      </c>
      <c r="C112" t="s">
        <v>90</v>
      </c>
      <c r="D112" t="s">
        <v>603</v>
      </c>
      <c r="E112" t="s">
        <v>604</v>
      </c>
      <c r="F112" t="s">
        <v>605</v>
      </c>
      <c r="G112" t="s">
        <v>646</v>
      </c>
      <c r="H112" t="s">
        <v>136</v>
      </c>
      <c r="I112" t="s">
        <v>647</v>
      </c>
      <c r="J112">
        <v>1600</v>
      </c>
      <c r="K112">
        <v>0.3</v>
      </c>
      <c r="L112">
        <f t="shared" si="4"/>
        <v>2080</v>
      </c>
      <c r="M112" t="s">
        <v>38</v>
      </c>
      <c r="O112" t="s">
        <v>38</v>
      </c>
      <c r="P112" t="s">
        <v>39</v>
      </c>
      <c r="Q112" t="s">
        <v>645</v>
      </c>
      <c r="R112" t="s">
        <v>648</v>
      </c>
      <c r="S112" t="s">
        <v>609</v>
      </c>
      <c r="T112" s="2">
        <f>'SUPUESTOS PRECIOS'!$B$9</f>
        <v>0</v>
      </c>
      <c r="U112" s="3">
        <f>'SUPUESTOS PRECIOS'!$B$5/'SUPUESTOS PRECIOS'!$B$4</f>
        <v>1000</v>
      </c>
      <c r="V112" s="3">
        <f>('SUPUESTOS PRECIOS'!$B$6-'SUPUESTOS PRECIOS'!$B$7)/'SUPUESTOS PRECIOS'!$B$4</f>
        <v>377.5</v>
      </c>
      <c r="W112" s="4">
        <f>'SUPUESTOS PRECIOS'!$B$8</f>
        <v>9.6799999999999994E-3</v>
      </c>
      <c r="X112" s="4">
        <f>'SUPUESTOS PRECIOS'!$B$2</f>
        <v>0.4</v>
      </c>
      <c r="Y112" s="3">
        <f t="shared" si="5"/>
        <v>5040</v>
      </c>
      <c r="Z112" s="3">
        <f t="shared" si="6"/>
        <v>2013.7128</v>
      </c>
      <c r="AA112" s="11">
        <f t="shared" si="7"/>
        <v>0.3995461904761905</v>
      </c>
      <c r="AB112" t="s">
        <v>610</v>
      </c>
      <c r="AC112" t="s">
        <v>646</v>
      </c>
    </row>
    <row r="113" spans="1:29" x14ac:dyDescent="0.35">
      <c r="A113" s="10" t="s">
        <v>649</v>
      </c>
      <c r="B113" t="s">
        <v>650</v>
      </c>
      <c r="C113" t="s">
        <v>90</v>
      </c>
      <c r="D113" t="s">
        <v>603</v>
      </c>
      <c r="E113" t="s">
        <v>604</v>
      </c>
      <c r="F113" t="s">
        <v>605</v>
      </c>
      <c r="G113" t="s">
        <v>651</v>
      </c>
      <c r="H113" t="s">
        <v>136</v>
      </c>
      <c r="I113" t="s">
        <v>652</v>
      </c>
      <c r="J113">
        <v>1600</v>
      </c>
      <c r="K113">
        <v>0.3</v>
      </c>
      <c r="L113">
        <f t="shared" si="4"/>
        <v>2080</v>
      </c>
      <c r="M113" t="s">
        <v>38</v>
      </c>
      <c r="O113" t="s">
        <v>38</v>
      </c>
      <c r="P113" t="s">
        <v>39</v>
      </c>
      <c r="Q113" t="s">
        <v>650</v>
      </c>
      <c r="R113" t="s">
        <v>653</v>
      </c>
      <c r="S113" t="s">
        <v>609</v>
      </c>
      <c r="T113" s="2">
        <f>'SUPUESTOS PRECIOS'!$B$9</f>
        <v>0</v>
      </c>
      <c r="U113" s="3">
        <f>'SUPUESTOS PRECIOS'!$B$5/'SUPUESTOS PRECIOS'!$B$4</f>
        <v>1000</v>
      </c>
      <c r="V113" s="3">
        <f>('SUPUESTOS PRECIOS'!$B$6-'SUPUESTOS PRECIOS'!$B$7)/'SUPUESTOS PRECIOS'!$B$4</f>
        <v>377.5</v>
      </c>
      <c r="W113" s="4">
        <f>'SUPUESTOS PRECIOS'!$B$8</f>
        <v>9.6799999999999994E-3</v>
      </c>
      <c r="X113" s="4">
        <f>'SUPUESTOS PRECIOS'!$B$2</f>
        <v>0.4</v>
      </c>
      <c r="Y113" s="3">
        <f t="shared" si="5"/>
        <v>5040</v>
      </c>
      <c r="Z113" s="3">
        <f t="shared" si="6"/>
        <v>2013.7128</v>
      </c>
      <c r="AA113" s="11">
        <f t="shared" si="7"/>
        <v>0.3995461904761905</v>
      </c>
      <c r="AB113" t="s">
        <v>610</v>
      </c>
      <c r="AC113" t="s">
        <v>651</v>
      </c>
    </row>
    <row r="114" spans="1:29" x14ac:dyDescent="0.35">
      <c r="A114" s="10" t="s">
        <v>654</v>
      </c>
      <c r="B114" t="s">
        <v>655</v>
      </c>
      <c r="C114" t="s">
        <v>90</v>
      </c>
      <c r="D114" t="s">
        <v>603</v>
      </c>
      <c r="E114" t="s">
        <v>604</v>
      </c>
      <c r="F114" t="s">
        <v>605</v>
      </c>
      <c r="G114" t="s">
        <v>656</v>
      </c>
      <c r="H114" t="s">
        <v>136</v>
      </c>
      <c r="I114" t="s">
        <v>657</v>
      </c>
      <c r="J114">
        <v>1600</v>
      </c>
      <c r="K114">
        <v>0.3</v>
      </c>
      <c r="L114">
        <f t="shared" si="4"/>
        <v>2080</v>
      </c>
      <c r="M114" t="s">
        <v>38</v>
      </c>
      <c r="O114" t="s">
        <v>38</v>
      </c>
      <c r="P114" t="s">
        <v>39</v>
      </c>
      <c r="Q114" t="s">
        <v>655</v>
      </c>
      <c r="R114" t="s">
        <v>658</v>
      </c>
      <c r="S114" t="s">
        <v>609</v>
      </c>
      <c r="T114" s="2">
        <f>'SUPUESTOS PRECIOS'!$B$9</f>
        <v>0</v>
      </c>
      <c r="U114" s="3">
        <f>'SUPUESTOS PRECIOS'!$B$5/'SUPUESTOS PRECIOS'!$B$4</f>
        <v>1000</v>
      </c>
      <c r="V114" s="3">
        <f>('SUPUESTOS PRECIOS'!$B$6-'SUPUESTOS PRECIOS'!$B$7)/'SUPUESTOS PRECIOS'!$B$4</f>
        <v>377.5</v>
      </c>
      <c r="W114" s="4">
        <f>'SUPUESTOS PRECIOS'!$B$8</f>
        <v>9.6799999999999994E-3</v>
      </c>
      <c r="X114" s="4">
        <f>'SUPUESTOS PRECIOS'!$B$2</f>
        <v>0.4</v>
      </c>
      <c r="Y114" s="3">
        <f t="shared" si="5"/>
        <v>5040</v>
      </c>
      <c r="Z114" s="3">
        <f t="shared" si="6"/>
        <v>2013.7128</v>
      </c>
      <c r="AA114" s="11">
        <f t="shared" si="7"/>
        <v>0.3995461904761905</v>
      </c>
      <c r="AB114" t="s">
        <v>610</v>
      </c>
      <c r="AC114" t="s">
        <v>656</v>
      </c>
    </row>
    <row r="115" spans="1:29" x14ac:dyDescent="0.35">
      <c r="A115" s="10" t="s">
        <v>659</v>
      </c>
      <c r="B115" t="s">
        <v>660</v>
      </c>
      <c r="C115" t="s">
        <v>90</v>
      </c>
      <c r="D115" t="s">
        <v>603</v>
      </c>
      <c r="E115" t="s">
        <v>604</v>
      </c>
      <c r="F115" t="s">
        <v>605</v>
      </c>
      <c r="G115" t="s">
        <v>661</v>
      </c>
      <c r="H115" t="s">
        <v>136</v>
      </c>
      <c r="I115" t="s">
        <v>662</v>
      </c>
      <c r="J115">
        <v>1600</v>
      </c>
      <c r="K115">
        <v>0.3</v>
      </c>
      <c r="L115">
        <f t="shared" si="4"/>
        <v>2080</v>
      </c>
      <c r="M115" t="s">
        <v>38</v>
      </c>
      <c r="O115" t="s">
        <v>38</v>
      </c>
      <c r="P115" t="s">
        <v>39</v>
      </c>
      <c r="Q115" t="s">
        <v>660</v>
      </c>
      <c r="R115" t="s">
        <v>663</v>
      </c>
      <c r="S115" t="s">
        <v>609</v>
      </c>
      <c r="T115" s="2">
        <f>'SUPUESTOS PRECIOS'!$B$9</f>
        <v>0</v>
      </c>
      <c r="U115" s="3">
        <f>'SUPUESTOS PRECIOS'!$B$5/'SUPUESTOS PRECIOS'!$B$4</f>
        <v>1000</v>
      </c>
      <c r="V115" s="3">
        <f>('SUPUESTOS PRECIOS'!$B$6-'SUPUESTOS PRECIOS'!$B$7)/'SUPUESTOS PRECIOS'!$B$4</f>
        <v>377.5</v>
      </c>
      <c r="W115" s="4">
        <f>'SUPUESTOS PRECIOS'!$B$8</f>
        <v>9.6799999999999994E-3</v>
      </c>
      <c r="X115" s="4">
        <f>'SUPUESTOS PRECIOS'!$B$2</f>
        <v>0.4</v>
      </c>
      <c r="Y115" s="3">
        <f t="shared" si="5"/>
        <v>5040</v>
      </c>
      <c r="Z115" s="3">
        <f t="shared" si="6"/>
        <v>2013.7128</v>
      </c>
      <c r="AA115" s="11">
        <f t="shared" si="7"/>
        <v>0.3995461904761905</v>
      </c>
      <c r="AB115" t="s">
        <v>610</v>
      </c>
      <c r="AC115" t="s">
        <v>661</v>
      </c>
    </row>
    <row r="116" spans="1:29" x14ac:dyDescent="0.35">
      <c r="A116" s="10" t="s">
        <v>664</v>
      </c>
      <c r="B116" t="s">
        <v>665</v>
      </c>
      <c r="C116" t="s">
        <v>90</v>
      </c>
      <c r="D116" t="s">
        <v>603</v>
      </c>
      <c r="E116" t="s">
        <v>604</v>
      </c>
      <c r="F116" t="s">
        <v>605</v>
      </c>
      <c r="G116" t="s">
        <v>666</v>
      </c>
      <c r="H116" t="s">
        <v>136</v>
      </c>
      <c r="I116" t="s">
        <v>667</v>
      </c>
      <c r="J116">
        <v>1600</v>
      </c>
      <c r="K116">
        <v>0.3</v>
      </c>
      <c r="L116">
        <f t="shared" si="4"/>
        <v>2080</v>
      </c>
      <c r="M116" t="s">
        <v>38</v>
      </c>
      <c r="O116" t="s">
        <v>38</v>
      </c>
      <c r="P116" t="s">
        <v>39</v>
      </c>
      <c r="Q116" t="s">
        <v>665</v>
      </c>
      <c r="R116" t="s">
        <v>668</v>
      </c>
      <c r="S116" t="s">
        <v>609</v>
      </c>
      <c r="T116" s="2">
        <f>'SUPUESTOS PRECIOS'!$B$9</f>
        <v>0</v>
      </c>
      <c r="U116" s="3">
        <f>'SUPUESTOS PRECIOS'!$B$5/'SUPUESTOS PRECIOS'!$B$4</f>
        <v>1000</v>
      </c>
      <c r="V116" s="3">
        <f>('SUPUESTOS PRECIOS'!$B$6-'SUPUESTOS PRECIOS'!$B$7)/'SUPUESTOS PRECIOS'!$B$4</f>
        <v>377.5</v>
      </c>
      <c r="W116" s="4">
        <f>'SUPUESTOS PRECIOS'!$B$8</f>
        <v>9.6799999999999994E-3</v>
      </c>
      <c r="X116" s="4">
        <f>'SUPUESTOS PRECIOS'!$B$2</f>
        <v>0.4</v>
      </c>
      <c r="Y116" s="3">
        <f t="shared" si="5"/>
        <v>5040</v>
      </c>
      <c r="Z116" s="3">
        <f t="shared" si="6"/>
        <v>2013.7128</v>
      </c>
      <c r="AA116" s="11">
        <f t="shared" si="7"/>
        <v>0.3995461904761905</v>
      </c>
      <c r="AB116" t="s">
        <v>610</v>
      </c>
      <c r="AC116" t="s">
        <v>666</v>
      </c>
    </row>
    <row r="117" spans="1:29" x14ac:dyDescent="0.35">
      <c r="A117" s="10" t="s">
        <v>669</v>
      </c>
      <c r="B117" t="s">
        <v>670</v>
      </c>
      <c r="C117" t="s">
        <v>90</v>
      </c>
      <c r="D117" t="s">
        <v>603</v>
      </c>
      <c r="E117" t="s">
        <v>604</v>
      </c>
      <c r="F117" t="s">
        <v>605</v>
      </c>
      <c r="G117" t="s">
        <v>671</v>
      </c>
      <c r="H117" t="s">
        <v>136</v>
      </c>
      <c r="I117" t="s">
        <v>672</v>
      </c>
      <c r="J117">
        <v>1600</v>
      </c>
      <c r="K117">
        <v>0.3</v>
      </c>
      <c r="L117">
        <f t="shared" si="4"/>
        <v>2080</v>
      </c>
      <c r="M117" t="s">
        <v>38</v>
      </c>
      <c r="O117" t="s">
        <v>38</v>
      </c>
      <c r="P117" t="s">
        <v>39</v>
      </c>
      <c r="Q117" t="s">
        <v>670</v>
      </c>
      <c r="R117" t="s">
        <v>673</v>
      </c>
      <c r="S117" t="s">
        <v>609</v>
      </c>
      <c r="T117" s="2">
        <f>'SUPUESTOS PRECIOS'!$B$9</f>
        <v>0</v>
      </c>
      <c r="U117" s="3">
        <f>'SUPUESTOS PRECIOS'!$B$5/'SUPUESTOS PRECIOS'!$B$4</f>
        <v>1000</v>
      </c>
      <c r="V117" s="3">
        <f>('SUPUESTOS PRECIOS'!$B$6-'SUPUESTOS PRECIOS'!$B$7)/'SUPUESTOS PRECIOS'!$B$4</f>
        <v>377.5</v>
      </c>
      <c r="W117" s="4">
        <f>'SUPUESTOS PRECIOS'!$B$8</f>
        <v>9.6799999999999994E-3</v>
      </c>
      <c r="X117" s="4">
        <f>'SUPUESTOS PRECIOS'!$B$2</f>
        <v>0.4</v>
      </c>
      <c r="Y117" s="3">
        <f t="shared" si="5"/>
        <v>5040</v>
      </c>
      <c r="Z117" s="3">
        <f t="shared" si="6"/>
        <v>2013.7128</v>
      </c>
      <c r="AA117" s="11">
        <f t="shared" si="7"/>
        <v>0.3995461904761905</v>
      </c>
      <c r="AB117" t="s">
        <v>610</v>
      </c>
      <c r="AC117" t="s">
        <v>671</v>
      </c>
    </row>
    <row r="118" spans="1:29" x14ac:dyDescent="0.35">
      <c r="A118" s="10" t="s">
        <v>674</v>
      </c>
      <c r="B118" t="s">
        <v>675</v>
      </c>
      <c r="C118" t="s">
        <v>90</v>
      </c>
      <c r="D118" t="s">
        <v>603</v>
      </c>
      <c r="E118" t="s">
        <v>604</v>
      </c>
      <c r="F118" t="s">
        <v>676</v>
      </c>
      <c r="G118" t="s">
        <v>606</v>
      </c>
      <c r="H118" t="s">
        <v>136</v>
      </c>
      <c r="I118" t="s">
        <v>677</v>
      </c>
      <c r="J118">
        <v>2000</v>
      </c>
      <c r="K118">
        <v>0.3</v>
      </c>
      <c r="L118">
        <f t="shared" si="4"/>
        <v>2600</v>
      </c>
      <c r="M118" t="s">
        <v>38</v>
      </c>
      <c r="O118" t="s">
        <v>38</v>
      </c>
      <c r="P118" t="s">
        <v>39</v>
      </c>
      <c r="Q118" t="s">
        <v>675</v>
      </c>
      <c r="R118" t="s">
        <v>678</v>
      </c>
      <c r="S118" t="s">
        <v>609</v>
      </c>
      <c r="T118" s="2">
        <f>'SUPUESTOS PRECIOS'!$B$9</f>
        <v>0</v>
      </c>
      <c r="U118" s="3">
        <f>'SUPUESTOS PRECIOS'!$B$5/'SUPUESTOS PRECIOS'!$B$4</f>
        <v>1000</v>
      </c>
      <c r="V118" s="3">
        <f>('SUPUESTOS PRECIOS'!$B$6-'SUPUESTOS PRECIOS'!$B$7)/'SUPUESTOS PRECIOS'!$B$4</f>
        <v>377.5</v>
      </c>
      <c r="W118" s="4">
        <f>'SUPUESTOS PRECIOS'!$B$8</f>
        <v>9.6799999999999994E-3</v>
      </c>
      <c r="X118" s="4">
        <f>'SUPUESTOS PRECIOS'!$B$2</f>
        <v>0.4</v>
      </c>
      <c r="Y118" s="3">
        <f t="shared" si="5"/>
        <v>5720</v>
      </c>
      <c r="Z118" s="3">
        <f t="shared" si="6"/>
        <v>2287.1304</v>
      </c>
      <c r="AA118" s="11">
        <f t="shared" si="7"/>
        <v>0.39984797202797201</v>
      </c>
      <c r="AB118" t="s">
        <v>610</v>
      </c>
      <c r="AC118" t="s">
        <v>606</v>
      </c>
    </row>
    <row r="119" spans="1:29" x14ac:dyDescent="0.35">
      <c r="A119" s="10" t="s">
        <v>679</v>
      </c>
      <c r="B119" t="s">
        <v>680</v>
      </c>
      <c r="C119" t="s">
        <v>90</v>
      </c>
      <c r="D119" t="s">
        <v>603</v>
      </c>
      <c r="E119" t="s">
        <v>604</v>
      </c>
      <c r="F119" t="s">
        <v>676</v>
      </c>
      <c r="G119" t="s">
        <v>613</v>
      </c>
      <c r="H119" t="s">
        <v>136</v>
      </c>
      <c r="I119" t="s">
        <v>681</v>
      </c>
      <c r="J119">
        <v>2000</v>
      </c>
      <c r="K119">
        <v>0.3</v>
      </c>
      <c r="L119">
        <f t="shared" si="4"/>
        <v>2600</v>
      </c>
      <c r="M119" t="s">
        <v>38</v>
      </c>
      <c r="O119" t="s">
        <v>38</v>
      </c>
      <c r="P119" t="s">
        <v>39</v>
      </c>
      <c r="Q119" t="s">
        <v>680</v>
      </c>
      <c r="R119" t="s">
        <v>682</v>
      </c>
      <c r="S119" t="s">
        <v>609</v>
      </c>
      <c r="T119" s="2">
        <f>'SUPUESTOS PRECIOS'!$B$9</f>
        <v>0</v>
      </c>
      <c r="U119" s="3">
        <f>'SUPUESTOS PRECIOS'!$B$5/'SUPUESTOS PRECIOS'!$B$4</f>
        <v>1000</v>
      </c>
      <c r="V119" s="3">
        <f>('SUPUESTOS PRECIOS'!$B$6-'SUPUESTOS PRECIOS'!$B$7)/'SUPUESTOS PRECIOS'!$B$4</f>
        <v>377.5</v>
      </c>
      <c r="W119" s="4">
        <f>'SUPUESTOS PRECIOS'!$B$8</f>
        <v>9.6799999999999994E-3</v>
      </c>
      <c r="X119" s="4">
        <f>'SUPUESTOS PRECIOS'!$B$2</f>
        <v>0.4</v>
      </c>
      <c r="Y119" s="3">
        <f t="shared" si="5"/>
        <v>5720</v>
      </c>
      <c r="Z119" s="3">
        <f t="shared" si="6"/>
        <v>2287.1304</v>
      </c>
      <c r="AA119" s="11">
        <f t="shared" si="7"/>
        <v>0.39984797202797201</v>
      </c>
      <c r="AB119" t="s">
        <v>610</v>
      </c>
      <c r="AC119" t="s">
        <v>613</v>
      </c>
    </row>
    <row r="120" spans="1:29" x14ac:dyDescent="0.35">
      <c r="A120" s="10" t="s">
        <v>683</v>
      </c>
      <c r="B120" t="s">
        <v>684</v>
      </c>
      <c r="C120" t="s">
        <v>90</v>
      </c>
      <c r="D120" t="s">
        <v>603</v>
      </c>
      <c r="E120" t="s">
        <v>604</v>
      </c>
      <c r="F120" t="s">
        <v>676</v>
      </c>
      <c r="G120" t="s">
        <v>636</v>
      </c>
      <c r="H120" t="s">
        <v>136</v>
      </c>
      <c r="I120" t="s">
        <v>685</v>
      </c>
      <c r="J120">
        <v>2000</v>
      </c>
      <c r="K120">
        <v>0.3</v>
      </c>
      <c r="L120">
        <f t="shared" si="4"/>
        <v>2600</v>
      </c>
      <c r="M120" t="s">
        <v>38</v>
      </c>
      <c r="O120" t="s">
        <v>38</v>
      </c>
      <c r="P120" t="s">
        <v>39</v>
      </c>
      <c r="Q120" t="s">
        <v>684</v>
      </c>
      <c r="R120" t="s">
        <v>686</v>
      </c>
      <c r="S120" t="s">
        <v>609</v>
      </c>
      <c r="T120" s="2">
        <f>'SUPUESTOS PRECIOS'!$B$9</f>
        <v>0</v>
      </c>
      <c r="U120" s="3">
        <f>'SUPUESTOS PRECIOS'!$B$5/'SUPUESTOS PRECIOS'!$B$4</f>
        <v>1000</v>
      </c>
      <c r="V120" s="3">
        <f>('SUPUESTOS PRECIOS'!$B$6-'SUPUESTOS PRECIOS'!$B$7)/'SUPUESTOS PRECIOS'!$B$4</f>
        <v>377.5</v>
      </c>
      <c r="W120" s="4">
        <f>'SUPUESTOS PRECIOS'!$B$8</f>
        <v>9.6799999999999994E-3</v>
      </c>
      <c r="X120" s="4">
        <f>'SUPUESTOS PRECIOS'!$B$2</f>
        <v>0.4</v>
      </c>
      <c r="Y120" s="3">
        <f t="shared" si="5"/>
        <v>5720</v>
      </c>
      <c r="Z120" s="3">
        <f t="shared" si="6"/>
        <v>2287.1304</v>
      </c>
      <c r="AA120" s="11">
        <f t="shared" si="7"/>
        <v>0.39984797202797201</v>
      </c>
      <c r="AB120" t="s">
        <v>610</v>
      </c>
      <c r="AC120" t="s">
        <v>636</v>
      </c>
    </row>
    <row r="121" spans="1:29" x14ac:dyDescent="0.35">
      <c r="A121" s="10" t="s">
        <v>687</v>
      </c>
      <c r="B121" t="s">
        <v>688</v>
      </c>
      <c r="C121" t="s">
        <v>90</v>
      </c>
      <c r="D121" t="s">
        <v>603</v>
      </c>
      <c r="E121" t="s">
        <v>604</v>
      </c>
      <c r="F121" t="s">
        <v>676</v>
      </c>
      <c r="G121" t="s">
        <v>689</v>
      </c>
      <c r="H121" t="s">
        <v>136</v>
      </c>
      <c r="I121" t="s">
        <v>690</v>
      </c>
      <c r="J121">
        <v>2000</v>
      </c>
      <c r="K121">
        <v>0.3</v>
      </c>
      <c r="L121">
        <f t="shared" si="4"/>
        <v>2600</v>
      </c>
      <c r="M121" t="s">
        <v>38</v>
      </c>
      <c r="O121" t="s">
        <v>38</v>
      </c>
      <c r="P121" t="s">
        <v>39</v>
      </c>
      <c r="Q121" t="s">
        <v>688</v>
      </c>
      <c r="R121" t="s">
        <v>691</v>
      </c>
      <c r="S121" t="s">
        <v>609</v>
      </c>
      <c r="T121" s="2">
        <f>'SUPUESTOS PRECIOS'!$B$9</f>
        <v>0</v>
      </c>
      <c r="U121" s="3">
        <f>'SUPUESTOS PRECIOS'!$B$5/'SUPUESTOS PRECIOS'!$B$4</f>
        <v>1000</v>
      </c>
      <c r="V121" s="3">
        <f>('SUPUESTOS PRECIOS'!$B$6-'SUPUESTOS PRECIOS'!$B$7)/'SUPUESTOS PRECIOS'!$B$4</f>
        <v>377.5</v>
      </c>
      <c r="W121" s="4">
        <f>'SUPUESTOS PRECIOS'!$B$8</f>
        <v>9.6799999999999994E-3</v>
      </c>
      <c r="X121" s="4">
        <f>'SUPUESTOS PRECIOS'!$B$2</f>
        <v>0.4</v>
      </c>
      <c r="Y121" s="3">
        <f t="shared" si="5"/>
        <v>5720</v>
      </c>
      <c r="Z121" s="3">
        <f t="shared" si="6"/>
        <v>2287.1304</v>
      </c>
      <c r="AA121" s="11">
        <f t="shared" si="7"/>
        <v>0.39984797202797201</v>
      </c>
      <c r="AB121" t="s">
        <v>610</v>
      </c>
      <c r="AC121" t="s">
        <v>689</v>
      </c>
    </row>
    <row r="122" spans="1:29" x14ac:dyDescent="0.35">
      <c r="A122" s="10" t="s">
        <v>692</v>
      </c>
      <c r="B122" t="s">
        <v>693</v>
      </c>
      <c r="C122" t="s">
        <v>90</v>
      </c>
      <c r="D122" t="s">
        <v>603</v>
      </c>
      <c r="E122" t="s">
        <v>604</v>
      </c>
      <c r="F122" t="s">
        <v>676</v>
      </c>
      <c r="G122" t="s">
        <v>694</v>
      </c>
      <c r="H122" t="s">
        <v>136</v>
      </c>
      <c r="I122" t="s">
        <v>695</v>
      </c>
      <c r="J122">
        <v>2000</v>
      </c>
      <c r="K122">
        <v>0.3</v>
      </c>
      <c r="L122">
        <f t="shared" si="4"/>
        <v>2600</v>
      </c>
      <c r="M122" t="s">
        <v>38</v>
      </c>
      <c r="O122" t="s">
        <v>38</v>
      </c>
      <c r="P122" t="s">
        <v>39</v>
      </c>
      <c r="Q122" t="s">
        <v>693</v>
      </c>
      <c r="R122" t="s">
        <v>696</v>
      </c>
      <c r="S122" t="s">
        <v>609</v>
      </c>
      <c r="T122" s="2">
        <f>'SUPUESTOS PRECIOS'!$B$9</f>
        <v>0</v>
      </c>
      <c r="U122" s="3">
        <f>'SUPUESTOS PRECIOS'!$B$5/'SUPUESTOS PRECIOS'!$B$4</f>
        <v>1000</v>
      </c>
      <c r="V122" s="3">
        <f>('SUPUESTOS PRECIOS'!$B$6-'SUPUESTOS PRECIOS'!$B$7)/'SUPUESTOS PRECIOS'!$B$4</f>
        <v>377.5</v>
      </c>
      <c r="W122" s="4">
        <f>'SUPUESTOS PRECIOS'!$B$8</f>
        <v>9.6799999999999994E-3</v>
      </c>
      <c r="X122" s="4">
        <f>'SUPUESTOS PRECIOS'!$B$2</f>
        <v>0.4</v>
      </c>
      <c r="Y122" s="3">
        <f t="shared" si="5"/>
        <v>5720</v>
      </c>
      <c r="Z122" s="3">
        <f t="shared" si="6"/>
        <v>2287.1304</v>
      </c>
      <c r="AA122" s="11">
        <f t="shared" si="7"/>
        <v>0.39984797202797201</v>
      </c>
      <c r="AB122" t="s">
        <v>610</v>
      </c>
      <c r="AC122" t="s">
        <v>694</v>
      </c>
    </row>
    <row r="123" spans="1:29" x14ac:dyDescent="0.35">
      <c r="A123" s="10" t="s">
        <v>697</v>
      </c>
      <c r="B123" t="s">
        <v>698</v>
      </c>
      <c r="C123" t="s">
        <v>90</v>
      </c>
      <c r="D123" t="s">
        <v>603</v>
      </c>
      <c r="E123" t="s">
        <v>604</v>
      </c>
      <c r="F123" t="s">
        <v>676</v>
      </c>
      <c r="G123" t="s">
        <v>699</v>
      </c>
      <c r="H123" t="s">
        <v>136</v>
      </c>
      <c r="I123" t="s">
        <v>700</v>
      </c>
      <c r="J123">
        <v>2000</v>
      </c>
      <c r="K123">
        <v>0.3</v>
      </c>
      <c r="L123">
        <f t="shared" si="4"/>
        <v>2600</v>
      </c>
      <c r="M123" t="s">
        <v>38</v>
      </c>
      <c r="O123" t="s">
        <v>38</v>
      </c>
      <c r="P123" t="s">
        <v>39</v>
      </c>
      <c r="Q123" t="s">
        <v>698</v>
      </c>
      <c r="R123" t="s">
        <v>701</v>
      </c>
      <c r="S123" t="s">
        <v>609</v>
      </c>
      <c r="T123" s="2">
        <f>'SUPUESTOS PRECIOS'!$B$9</f>
        <v>0</v>
      </c>
      <c r="U123" s="3">
        <f>'SUPUESTOS PRECIOS'!$B$5/'SUPUESTOS PRECIOS'!$B$4</f>
        <v>1000</v>
      </c>
      <c r="V123" s="3">
        <f>('SUPUESTOS PRECIOS'!$B$6-'SUPUESTOS PRECIOS'!$B$7)/'SUPUESTOS PRECIOS'!$B$4</f>
        <v>377.5</v>
      </c>
      <c r="W123" s="4">
        <f>'SUPUESTOS PRECIOS'!$B$8</f>
        <v>9.6799999999999994E-3</v>
      </c>
      <c r="X123" s="4">
        <f>'SUPUESTOS PRECIOS'!$B$2</f>
        <v>0.4</v>
      </c>
      <c r="Y123" s="3">
        <f t="shared" si="5"/>
        <v>5720</v>
      </c>
      <c r="Z123" s="3">
        <f t="shared" si="6"/>
        <v>2287.1304</v>
      </c>
      <c r="AA123" s="11">
        <f t="shared" si="7"/>
        <v>0.39984797202797201</v>
      </c>
      <c r="AB123" t="s">
        <v>610</v>
      </c>
      <c r="AC123" t="s">
        <v>699</v>
      </c>
    </row>
    <row r="124" spans="1:29" x14ac:dyDescent="0.35">
      <c r="A124" s="10" t="s">
        <v>702</v>
      </c>
      <c r="B124" t="s">
        <v>703</v>
      </c>
      <c r="C124" t="s">
        <v>90</v>
      </c>
      <c r="D124" t="s">
        <v>603</v>
      </c>
      <c r="E124" t="s">
        <v>604</v>
      </c>
      <c r="F124" t="s">
        <v>676</v>
      </c>
      <c r="G124" t="s">
        <v>622</v>
      </c>
      <c r="H124" t="s">
        <v>136</v>
      </c>
      <c r="I124" t="s">
        <v>704</v>
      </c>
      <c r="J124">
        <v>2000</v>
      </c>
      <c r="K124">
        <v>0.3</v>
      </c>
      <c r="L124">
        <f t="shared" si="4"/>
        <v>2600</v>
      </c>
      <c r="M124" t="s">
        <v>38</v>
      </c>
      <c r="O124" t="s">
        <v>38</v>
      </c>
      <c r="P124" t="s">
        <v>39</v>
      </c>
      <c r="Q124" t="s">
        <v>703</v>
      </c>
      <c r="R124" t="s">
        <v>705</v>
      </c>
      <c r="S124" t="s">
        <v>609</v>
      </c>
      <c r="T124" s="2">
        <f>'SUPUESTOS PRECIOS'!$B$9</f>
        <v>0</v>
      </c>
      <c r="U124" s="3">
        <f>'SUPUESTOS PRECIOS'!$B$5/'SUPUESTOS PRECIOS'!$B$4</f>
        <v>1000</v>
      </c>
      <c r="V124" s="3">
        <f>('SUPUESTOS PRECIOS'!$B$6-'SUPUESTOS PRECIOS'!$B$7)/'SUPUESTOS PRECIOS'!$B$4</f>
        <v>377.5</v>
      </c>
      <c r="W124" s="4">
        <f>'SUPUESTOS PRECIOS'!$B$8</f>
        <v>9.6799999999999994E-3</v>
      </c>
      <c r="X124" s="4">
        <f>'SUPUESTOS PRECIOS'!$B$2</f>
        <v>0.4</v>
      </c>
      <c r="Y124" s="3">
        <f t="shared" si="5"/>
        <v>5720</v>
      </c>
      <c r="Z124" s="3">
        <f t="shared" si="6"/>
        <v>2287.1304</v>
      </c>
      <c r="AA124" s="11">
        <f t="shared" si="7"/>
        <v>0.39984797202797201</v>
      </c>
      <c r="AB124" t="s">
        <v>610</v>
      </c>
      <c r="AC124" t="s">
        <v>622</v>
      </c>
    </row>
    <row r="125" spans="1:29" x14ac:dyDescent="0.35">
      <c r="A125" s="10" t="s">
        <v>706</v>
      </c>
      <c r="B125" t="s">
        <v>707</v>
      </c>
      <c r="C125" t="s">
        <v>90</v>
      </c>
      <c r="D125" t="s">
        <v>603</v>
      </c>
      <c r="E125" t="s">
        <v>604</v>
      </c>
      <c r="F125" t="s">
        <v>676</v>
      </c>
      <c r="G125" t="s">
        <v>708</v>
      </c>
      <c r="H125" t="s">
        <v>136</v>
      </c>
      <c r="I125" t="s">
        <v>709</v>
      </c>
      <c r="J125">
        <v>2000</v>
      </c>
      <c r="K125">
        <v>0.3</v>
      </c>
      <c r="L125">
        <f t="shared" si="4"/>
        <v>2600</v>
      </c>
      <c r="M125" t="s">
        <v>38</v>
      </c>
      <c r="O125" t="s">
        <v>38</v>
      </c>
      <c r="P125" t="s">
        <v>39</v>
      </c>
      <c r="Q125" t="s">
        <v>707</v>
      </c>
      <c r="R125" t="s">
        <v>710</v>
      </c>
      <c r="S125" t="s">
        <v>609</v>
      </c>
      <c r="T125" s="2">
        <f>'SUPUESTOS PRECIOS'!$B$9</f>
        <v>0</v>
      </c>
      <c r="U125" s="3">
        <f>'SUPUESTOS PRECIOS'!$B$5/'SUPUESTOS PRECIOS'!$B$4</f>
        <v>1000</v>
      </c>
      <c r="V125" s="3">
        <f>('SUPUESTOS PRECIOS'!$B$6-'SUPUESTOS PRECIOS'!$B$7)/'SUPUESTOS PRECIOS'!$B$4</f>
        <v>377.5</v>
      </c>
      <c r="W125" s="4">
        <f>'SUPUESTOS PRECIOS'!$B$8</f>
        <v>9.6799999999999994E-3</v>
      </c>
      <c r="X125" s="4">
        <f>'SUPUESTOS PRECIOS'!$B$2</f>
        <v>0.4</v>
      </c>
      <c r="Y125" s="3">
        <f t="shared" si="5"/>
        <v>5720</v>
      </c>
      <c r="Z125" s="3">
        <f t="shared" si="6"/>
        <v>2287.1304</v>
      </c>
      <c r="AA125" s="11">
        <f t="shared" si="7"/>
        <v>0.39984797202797201</v>
      </c>
      <c r="AB125" t="s">
        <v>610</v>
      </c>
      <c r="AC125" t="s">
        <v>708</v>
      </c>
    </row>
    <row r="126" spans="1:29" x14ac:dyDescent="0.35">
      <c r="A126" s="10" t="s">
        <v>711</v>
      </c>
      <c r="B126" t="s">
        <v>712</v>
      </c>
      <c r="C126" t="s">
        <v>90</v>
      </c>
      <c r="D126" t="s">
        <v>603</v>
      </c>
      <c r="E126" t="s">
        <v>604</v>
      </c>
      <c r="F126" t="s">
        <v>713</v>
      </c>
      <c r="G126" t="s">
        <v>714</v>
      </c>
      <c r="H126" t="s">
        <v>136</v>
      </c>
      <c r="I126" t="s">
        <v>715</v>
      </c>
      <c r="J126">
        <v>2000</v>
      </c>
      <c r="K126">
        <v>0.3</v>
      </c>
      <c r="L126">
        <f t="shared" si="4"/>
        <v>2600</v>
      </c>
      <c r="M126" t="s">
        <v>38</v>
      </c>
      <c r="O126" t="s">
        <v>38</v>
      </c>
      <c r="P126" t="s">
        <v>39</v>
      </c>
      <c r="Q126" t="s">
        <v>712</v>
      </c>
      <c r="R126" t="s">
        <v>716</v>
      </c>
      <c r="S126" t="s">
        <v>609</v>
      </c>
      <c r="T126" s="2">
        <f>'SUPUESTOS PRECIOS'!$B$9</f>
        <v>0</v>
      </c>
      <c r="U126" s="3">
        <f>'SUPUESTOS PRECIOS'!$B$5/'SUPUESTOS PRECIOS'!$B$4</f>
        <v>1000</v>
      </c>
      <c r="V126" s="3">
        <f>('SUPUESTOS PRECIOS'!$B$6-'SUPUESTOS PRECIOS'!$B$7)/'SUPUESTOS PRECIOS'!$B$4</f>
        <v>377.5</v>
      </c>
      <c r="W126" s="4">
        <f>'SUPUESTOS PRECIOS'!$B$8</f>
        <v>9.6799999999999994E-3</v>
      </c>
      <c r="X126" s="4">
        <f>'SUPUESTOS PRECIOS'!$B$2</f>
        <v>0.4</v>
      </c>
      <c r="Y126" s="3">
        <f t="shared" si="5"/>
        <v>5720</v>
      </c>
      <c r="Z126" s="3">
        <f t="shared" si="6"/>
        <v>2287.1304</v>
      </c>
      <c r="AA126" s="11">
        <f t="shared" si="7"/>
        <v>0.39984797202797201</v>
      </c>
      <c r="AB126" t="s">
        <v>717</v>
      </c>
      <c r="AC126" t="s">
        <v>714</v>
      </c>
    </row>
    <row r="127" spans="1:29" x14ac:dyDescent="0.35">
      <c r="A127" s="10" t="s">
        <v>718</v>
      </c>
      <c r="B127" t="s">
        <v>719</v>
      </c>
      <c r="C127" t="s">
        <v>90</v>
      </c>
      <c r="D127" t="s">
        <v>603</v>
      </c>
      <c r="E127" t="s">
        <v>604</v>
      </c>
      <c r="F127" t="s">
        <v>713</v>
      </c>
      <c r="G127" t="s">
        <v>720</v>
      </c>
      <c r="H127" t="s">
        <v>136</v>
      </c>
      <c r="I127" t="s">
        <v>721</v>
      </c>
      <c r="J127">
        <v>2000</v>
      </c>
      <c r="K127">
        <v>0.3</v>
      </c>
      <c r="L127">
        <f t="shared" si="4"/>
        <v>2600</v>
      </c>
      <c r="M127" t="s">
        <v>38</v>
      </c>
      <c r="O127" t="s">
        <v>38</v>
      </c>
      <c r="P127" t="s">
        <v>39</v>
      </c>
      <c r="Q127" t="s">
        <v>719</v>
      </c>
      <c r="R127" t="s">
        <v>722</v>
      </c>
      <c r="S127" t="s">
        <v>609</v>
      </c>
      <c r="T127" s="2">
        <f>'SUPUESTOS PRECIOS'!$B$9</f>
        <v>0</v>
      </c>
      <c r="U127" s="3">
        <f>'SUPUESTOS PRECIOS'!$B$5/'SUPUESTOS PRECIOS'!$B$4</f>
        <v>1000</v>
      </c>
      <c r="V127" s="3">
        <f>('SUPUESTOS PRECIOS'!$B$6-'SUPUESTOS PRECIOS'!$B$7)/'SUPUESTOS PRECIOS'!$B$4</f>
        <v>377.5</v>
      </c>
      <c r="W127" s="4">
        <f>'SUPUESTOS PRECIOS'!$B$8</f>
        <v>9.6799999999999994E-3</v>
      </c>
      <c r="X127" s="4">
        <f>'SUPUESTOS PRECIOS'!$B$2</f>
        <v>0.4</v>
      </c>
      <c r="Y127" s="3">
        <f t="shared" si="5"/>
        <v>5720</v>
      </c>
      <c r="Z127" s="3">
        <f t="shared" si="6"/>
        <v>2287.1304</v>
      </c>
      <c r="AA127" s="11">
        <f t="shared" si="7"/>
        <v>0.39984797202797201</v>
      </c>
      <c r="AB127" t="s">
        <v>717</v>
      </c>
      <c r="AC127" t="s">
        <v>720</v>
      </c>
    </row>
    <row r="128" spans="1:29" x14ac:dyDescent="0.35">
      <c r="A128" s="10" t="s">
        <v>723</v>
      </c>
      <c r="B128" t="s">
        <v>724</v>
      </c>
      <c r="C128" t="s">
        <v>90</v>
      </c>
      <c r="D128" t="s">
        <v>603</v>
      </c>
      <c r="E128" t="s">
        <v>604</v>
      </c>
      <c r="F128" t="s">
        <v>713</v>
      </c>
      <c r="G128" t="s">
        <v>725</v>
      </c>
      <c r="H128" t="s">
        <v>136</v>
      </c>
      <c r="I128" t="s">
        <v>726</v>
      </c>
      <c r="J128">
        <v>2000</v>
      </c>
      <c r="K128">
        <v>0.3</v>
      </c>
      <c r="L128">
        <f t="shared" si="4"/>
        <v>2600</v>
      </c>
      <c r="M128" t="s">
        <v>38</v>
      </c>
      <c r="O128" t="s">
        <v>38</v>
      </c>
      <c r="P128" t="s">
        <v>39</v>
      </c>
      <c r="Q128" t="s">
        <v>724</v>
      </c>
      <c r="R128" t="s">
        <v>727</v>
      </c>
      <c r="S128" t="s">
        <v>609</v>
      </c>
      <c r="T128" s="2">
        <f>'SUPUESTOS PRECIOS'!$B$9</f>
        <v>0</v>
      </c>
      <c r="U128" s="3">
        <f>'SUPUESTOS PRECIOS'!$B$5/'SUPUESTOS PRECIOS'!$B$4</f>
        <v>1000</v>
      </c>
      <c r="V128" s="3">
        <f>('SUPUESTOS PRECIOS'!$B$6-'SUPUESTOS PRECIOS'!$B$7)/'SUPUESTOS PRECIOS'!$B$4</f>
        <v>377.5</v>
      </c>
      <c r="W128" s="4">
        <f>'SUPUESTOS PRECIOS'!$B$8</f>
        <v>9.6799999999999994E-3</v>
      </c>
      <c r="X128" s="4">
        <f>'SUPUESTOS PRECIOS'!$B$2</f>
        <v>0.4</v>
      </c>
      <c r="Y128" s="3">
        <f t="shared" si="5"/>
        <v>5720</v>
      </c>
      <c r="Z128" s="3">
        <f t="shared" si="6"/>
        <v>2287.1304</v>
      </c>
      <c r="AA128" s="11">
        <f t="shared" si="7"/>
        <v>0.39984797202797201</v>
      </c>
      <c r="AB128" t="s">
        <v>717</v>
      </c>
      <c r="AC128" t="s">
        <v>725</v>
      </c>
    </row>
    <row r="129" spans="1:29" x14ac:dyDescent="0.35">
      <c r="A129" s="10" t="s">
        <v>728</v>
      </c>
      <c r="B129" t="s">
        <v>729</v>
      </c>
      <c r="C129" t="s">
        <v>90</v>
      </c>
      <c r="D129" t="s">
        <v>603</v>
      </c>
      <c r="E129" t="s">
        <v>604</v>
      </c>
      <c r="F129" t="s">
        <v>713</v>
      </c>
      <c r="G129" t="s">
        <v>730</v>
      </c>
      <c r="H129" t="s">
        <v>136</v>
      </c>
      <c r="I129" t="s">
        <v>731</v>
      </c>
      <c r="J129">
        <v>2000</v>
      </c>
      <c r="K129">
        <v>0.3</v>
      </c>
      <c r="L129">
        <f t="shared" si="4"/>
        <v>2600</v>
      </c>
      <c r="M129" t="s">
        <v>38</v>
      </c>
      <c r="O129" t="s">
        <v>38</v>
      </c>
      <c r="P129" t="s">
        <v>39</v>
      </c>
      <c r="Q129" t="s">
        <v>729</v>
      </c>
      <c r="R129" t="s">
        <v>732</v>
      </c>
      <c r="S129" t="s">
        <v>609</v>
      </c>
      <c r="T129" s="2">
        <f>'SUPUESTOS PRECIOS'!$B$9</f>
        <v>0</v>
      </c>
      <c r="U129" s="3">
        <f>'SUPUESTOS PRECIOS'!$B$5/'SUPUESTOS PRECIOS'!$B$4</f>
        <v>1000</v>
      </c>
      <c r="V129" s="3">
        <f>('SUPUESTOS PRECIOS'!$B$6-'SUPUESTOS PRECIOS'!$B$7)/'SUPUESTOS PRECIOS'!$B$4</f>
        <v>377.5</v>
      </c>
      <c r="W129" s="4">
        <f>'SUPUESTOS PRECIOS'!$B$8</f>
        <v>9.6799999999999994E-3</v>
      </c>
      <c r="X129" s="4">
        <f>'SUPUESTOS PRECIOS'!$B$2</f>
        <v>0.4</v>
      </c>
      <c r="Y129" s="3">
        <f t="shared" si="5"/>
        <v>5720</v>
      </c>
      <c r="Z129" s="3">
        <f t="shared" si="6"/>
        <v>2287.1304</v>
      </c>
      <c r="AA129" s="11">
        <f t="shared" si="7"/>
        <v>0.39984797202797201</v>
      </c>
      <c r="AB129" t="s">
        <v>717</v>
      </c>
      <c r="AC129" t="s">
        <v>730</v>
      </c>
    </row>
    <row r="130" spans="1:29" x14ac:dyDescent="0.35">
      <c r="A130" s="10" t="s">
        <v>733</v>
      </c>
      <c r="B130" t="s">
        <v>734</v>
      </c>
      <c r="C130" t="s">
        <v>90</v>
      </c>
      <c r="D130" t="s">
        <v>603</v>
      </c>
      <c r="E130" t="s">
        <v>604</v>
      </c>
      <c r="F130" t="s">
        <v>713</v>
      </c>
      <c r="G130" t="s">
        <v>735</v>
      </c>
      <c r="H130" t="s">
        <v>136</v>
      </c>
      <c r="I130" t="s">
        <v>736</v>
      </c>
      <c r="J130">
        <v>2000</v>
      </c>
      <c r="K130">
        <v>0.3</v>
      </c>
      <c r="L130">
        <f t="shared" ref="L130:L193" si="8">IF(J130="","",J130*(1+K130))</f>
        <v>2600</v>
      </c>
      <c r="M130" t="s">
        <v>38</v>
      </c>
      <c r="O130" t="s">
        <v>38</v>
      </c>
      <c r="P130" t="s">
        <v>39</v>
      </c>
      <c r="Q130" t="s">
        <v>734</v>
      </c>
      <c r="R130" t="s">
        <v>737</v>
      </c>
      <c r="S130" t="s">
        <v>609</v>
      </c>
      <c r="T130" s="2">
        <f>'SUPUESTOS PRECIOS'!$B$9</f>
        <v>0</v>
      </c>
      <c r="U130" s="3">
        <f>'SUPUESTOS PRECIOS'!$B$5/'SUPUESTOS PRECIOS'!$B$4</f>
        <v>1000</v>
      </c>
      <c r="V130" s="3">
        <f>('SUPUESTOS PRECIOS'!$B$6-'SUPUESTOS PRECIOS'!$B$7)/'SUPUESTOS PRECIOS'!$B$4</f>
        <v>377.5</v>
      </c>
      <c r="W130" s="4">
        <f>'SUPUESTOS PRECIOS'!$B$8</f>
        <v>9.6799999999999994E-3</v>
      </c>
      <c r="X130" s="4">
        <f>'SUPUESTOS PRECIOS'!$B$2</f>
        <v>0.4</v>
      </c>
      <c r="Y130" s="3">
        <f t="shared" ref="Y130:Y193" si="9">IF(OR($B130="",$J130=""),"",ROUND(($J130+$T130+$U130+$V130)/(1-$W130-$X130),-1))</f>
        <v>5720</v>
      </c>
      <c r="Z130" s="3">
        <f t="shared" ref="Z130:Z193" si="10">IF($Y130="","",$Y130-$J130-$T130-$U130-$V130-($Y130*$W130))</f>
        <v>2287.1304</v>
      </c>
      <c r="AA130" s="11">
        <f t="shared" ref="AA130:AA193" si="11">IF($Y130="","",$Z130/$Y130)</f>
        <v>0.39984797202797201</v>
      </c>
      <c r="AB130" t="s">
        <v>717</v>
      </c>
      <c r="AC130" t="s">
        <v>735</v>
      </c>
    </row>
    <row r="131" spans="1:29" x14ac:dyDescent="0.35">
      <c r="A131" s="10" t="s">
        <v>738</v>
      </c>
      <c r="B131" t="s">
        <v>739</v>
      </c>
      <c r="C131" t="s">
        <v>740</v>
      </c>
      <c r="D131" t="s">
        <v>741</v>
      </c>
      <c r="E131" t="s">
        <v>33</v>
      </c>
      <c r="F131" t="s">
        <v>741</v>
      </c>
      <c r="H131" t="s">
        <v>136</v>
      </c>
      <c r="I131" t="s">
        <v>742</v>
      </c>
      <c r="J131">
        <v>20000</v>
      </c>
      <c r="K131">
        <v>0.3</v>
      </c>
      <c r="L131">
        <f t="shared" si="8"/>
        <v>26000</v>
      </c>
      <c r="M131" t="s">
        <v>38</v>
      </c>
      <c r="O131" t="s">
        <v>38</v>
      </c>
      <c r="P131" t="s">
        <v>39</v>
      </c>
      <c r="Q131" t="s">
        <v>739</v>
      </c>
      <c r="R131" t="s">
        <v>743</v>
      </c>
      <c r="S131" t="s">
        <v>744</v>
      </c>
      <c r="T131" s="2">
        <f>'SUPUESTOS PRECIOS'!$B$9</f>
        <v>0</v>
      </c>
      <c r="U131" s="3">
        <f>'SUPUESTOS PRECIOS'!$B$5/'SUPUESTOS PRECIOS'!$B$4</f>
        <v>1000</v>
      </c>
      <c r="V131" s="3">
        <f>('SUPUESTOS PRECIOS'!$B$6-'SUPUESTOS PRECIOS'!$B$7)/'SUPUESTOS PRECIOS'!$B$4</f>
        <v>377.5</v>
      </c>
      <c r="W131" s="4">
        <f>'SUPUESTOS PRECIOS'!$B$8</f>
        <v>9.6799999999999994E-3</v>
      </c>
      <c r="X131" s="4">
        <f>'SUPUESTOS PRECIOS'!$B$2</f>
        <v>0.4</v>
      </c>
      <c r="Y131" s="3">
        <f t="shared" si="9"/>
        <v>36210</v>
      </c>
      <c r="Z131" s="3">
        <f t="shared" si="10"/>
        <v>14481.9872</v>
      </c>
      <c r="AA131" s="11">
        <f t="shared" si="11"/>
        <v>0.39994441314553991</v>
      </c>
    </row>
    <row r="132" spans="1:29" x14ac:dyDescent="0.35">
      <c r="A132" s="10" t="s">
        <v>745</v>
      </c>
      <c r="B132" t="s">
        <v>746</v>
      </c>
      <c r="C132" t="s">
        <v>740</v>
      </c>
      <c r="D132" t="s">
        <v>747</v>
      </c>
      <c r="E132" t="s">
        <v>33</v>
      </c>
      <c r="F132" t="s">
        <v>748</v>
      </c>
      <c r="H132" t="s">
        <v>136</v>
      </c>
      <c r="I132" t="s">
        <v>749</v>
      </c>
      <c r="J132">
        <v>6500</v>
      </c>
      <c r="K132">
        <v>0.3</v>
      </c>
      <c r="L132">
        <f t="shared" si="8"/>
        <v>8450</v>
      </c>
      <c r="M132" t="s">
        <v>38</v>
      </c>
      <c r="O132" t="s">
        <v>38</v>
      </c>
      <c r="P132" t="s">
        <v>39</v>
      </c>
      <c r="Q132" t="s">
        <v>746</v>
      </c>
      <c r="R132" t="s">
        <v>750</v>
      </c>
      <c r="S132" t="s">
        <v>751</v>
      </c>
      <c r="T132" s="2">
        <f>'SUPUESTOS PRECIOS'!$B$9</f>
        <v>0</v>
      </c>
      <c r="U132" s="3">
        <f>'SUPUESTOS PRECIOS'!$B$5/'SUPUESTOS PRECIOS'!$B$4</f>
        <v>1000</v>
      </c>
      <c r="V132" s="3">
        <f>('SUPUESTOS PRECIOS'!$B$6-'SUPUESTOS PRECIOS'!$B$7)/'SUPUESTOS PRECIOS'!$B$4</f>
        <v>377.5</v>
      </c>
      <c r="W132" s="4">
        <f>'SUPUESTOS PRECIOS'!$B$8</f>
        <v>9.6799999999999994E-3</v>
      </c>
      <c r="X132" s="4">
        <f>'SUPUESTOS PRECIOS'!$B$2</f>
        <v>0.4</v>
      </c>
      <c r="Y132" s="3">
        <f t="shared" si="9"/>
        <v>13340</v>
      </c>
      <c r="Z132" s="3">
        <f t="shared" si="10"/>
        <v>5333.3688000000002</v>
      </c>
      <c r="AA132" s="11">
        <f t="shared" si="11"/>
        <v>0.39980275862068965</v>
      </c>
    </row>
    <row r="133" spans="1:29" x14ac:dyDescent="0.35">
      <c r="A133" s="10" t="s">
        <v>752</v>
      </c>
      <c r="B133" t="s">
        <v>753</v>
      </c>
      <c r="C133" t="s">
        <v>740</v>
      </c>
      <c r="D133" t="s">
        <v>754</v>
      </c>
      <c r="E133" t="s">
        <v>33</v>
      </c>
      <c r="F133" t="s">
        <v>754</v>
      </c>
      <c r="H133" t="s">
        <v>136</v>
      </c>
      <c r="I133" t="s">
        <v>755</v>
      </c>
      <c r="J133">
        <v>9000</v>
      </c>
      <c r="K133">
        <v>0.3</v>
      </c>
      <c r="L133">
        <f t="shared" si="8"/>
        <v>11700</v>
      </c>
      <c r="M133" t="s">
        <v>38</v>
      </c>
      <c r="O133" t="s">
        <v>38</v>
      </c>
      <c r="P133" t="s">
        <v>39</v>
      </c>
      <c r="Q133" t="s">
        <v>753</v>
      </c>
      <c r="R133" t="s">
        <v>756</v>
      </c>
      <c r="S133" t="s">
        <v>757</v>
      </c>
      <c r="T133" s="2">
        <f>'SUPUESTOS PRECIOS'!$B$9</f>
        <v>0</v>
      </c>
      <c r="U133" s="3">
        <f>'SUPUESTOS PRECIOS'!$B$5/'SUPUESTOS PRECIOS'!$B$4</f>
        <v>1000</v>
      </c>
      <c r="V133" s="3">
        <f>('SUPUESTOS PRECIOS'!$B$6-'SUPUESTOS PRECIOS'!$B$7)/'SUPUESTOS PRECIOS'!$B$4</f>
        <v>377.5</v>
      </c>
      <c r="W133" s="4">
        <f>'SUPUESTOS PRECIOS'!$B$8</f>
        <v>9.6799999999999994E-3</v>
      </c>
      <c r="X133" s="4">
        <f>'SUPUESTOS PRECIOS'!$B$2</f>
        <v>0.4</v>
      </c>
      <c r="Y133" s="3">
        <f t="shared" si="9"/>
        <v>17580</v>
      </c>
      <c r="Z133" s="3">
        <f t="shared" si="10"/>
        <v>7032.3256000000001</v>
      </c>
      <c r="AA133" s="11">
        <f t="shared" si="11"/>
        <v>0.40001852104664393</v>
      </c>
    </row>
    <row r="134" spans="1:29" x14ac:dyDescent="0.35">
      <c r="A134" s="10" t="s">
        <v>758</v>
      </c>
      <c r="B134" t="s">
        <v>759</v>
      </c>
      <c r="C134" t="s">
        <v>105</v>
      </c>
      <c r="D134" t="s">
        <v>760</v>
      </c>
      <c r="E134" t="s">
        <v>33</v>
      </c>
      <c r="F134" t="s">
        <v>761</v>
      </c>
      <c r="H134" t="s">
        <v>762</v>
      </c>
      <c r="I134" t="s">
        <v>763</v>
      </c>
      <c r="J134">
        <v>1660</v>
      </c>
      <c r="K134">
        <v>0.3</v>
      </c>
      <c r="L134">
        <f t="shared" si="8"/>
        <v>2158</v>
      </c>
      <c r="M134" t="s">
        <v>38</v>
      </c>
      <c r="O134" t="s">
        <v>38</v>
      </c>
      <c r="P134" t="s">
        <v>764</v>
      </c>
      <c r="Q134" t="s">
        <v>759</v>
      </c>
      <c r="R134" t="s">
        <v>765</v>
      </c>
      <c r="S134" t="s">
        <v>766</v>
      </c>
      <c r="T134" s="2">
        <f>'SUPUESTOS PRECIOS'!$B$9</f>
        <v>0</v>
      </c>
      <c r="U134" s="3">
        <f>'SUPUESTOS PRECIOS'!$B$5/'SUPUESTOS PRECIOS'!$B$4</f>
        <v>1000</v>
      </c>
      <c r="V134" s="3">
        <f>('SUPUESTOS PRECIOS'!$B$6-'SUPUESTOS PRECIOS'!$B$7)/'SUPUESTOS PRECIOS'!$B$4</f>
        <v>377.5</v>
      </c>
      <c r="W134" s="4">
        <f>'SUPUESTOS PRECIOS'!$B$8</f>
        <v>9.6799999999999994E-3</v>
      </c>
      <c r="X134" s="4">
        <f>'SUPUESTOS PRECIOS'!$B$2</f>
        <v>0.4</v>
      </c>
      <c r="Y134" s="3">
        <f t="shared" si="9"/>
        <v>5150</v>
      </c>
      <c r="Z134" s="3">
        <f t="shared" si="10"/>
        <v>2062.6480000000001</v>
      </c>
      <c r="AA134" s="11">
        <f t="shared" si="11"/>
        <v>0.40051417475728157</v>
      </c>
    </row>
    <row r="135" spans="1:29" x14ac:dyDescent="0.35">
      <c r="A135" s="10" t="s">
        <v>767</v>
      </c>
      <c r="B135" t="s">
        <v>768</v>
      </c>
      <c r="C135" t="s">
        <v>105</v>
      </c>
      <c r="D135" t="s">
        <v>760</v>
      </c>
      <c r="E135" t="s">
        <v>33</v>
      </c>
      <c r="F135" t="s">
        <v>769</v>
      </c>
      <c r="H135" t="s">
        <v>770</v>
      </c>
      <c r="I135" t="s">
        <v>771</v>
      </c>
      <c r="J135">
        <v>9960</v>
      </c>
      <c r="K135">
        <v>0.3</v>
      </c>
      <c r="L135">
        <f t="shared" si="8"/>
        <v>12948</v>
      </c>
      <c r="M135" t="s">
        <v>38</v>
      </c>
      <c r="O135" t="s">
        <v>38</v>
      </c>
      <c r="P135" t="s">
        <v>764</v>
      </c>
      <c r="Q135" t="s">
        <v>768</v>
      </c>
      <c r="R135" t="s">
        <v>772</v>
      </c>
      <c r="S135" t="s">
        <v>766</v>
      </c>
      <c r="T135" s="2">
        <f>'SUPUESTOS PRECIOS'!$B$9</f>
        <v>0</v>
      </c>
      <c r="U135" s="3">
        <f>'SUPUESTOS PRECIOS'!$B$5/'SUPUESTOS PRECIOS'!$B$4</f>
        <v>1000</v>
      </c>
      <c r="V135" s="3">
        <f>('SUPUESTOS PRECIOS'!$B$6-'SUPUESTOS PRECIOS'!$B$7)/'SUPUESTOS PRECIOS'!$B$4</f>
        <v>377.5</v>
      </c>
      <c r="W135" s="4">
        <f>'SUPUESTOS PRECIOS'!$B$8</f>
        <v>9.6799999999999994E-3</v>
      </c>
      <c r="X135" s="4">
        <f>'SUPUESTOS PRECIOS'!$B$2</f>
        <v>0.4</v>
      </c>
      <c r="Y135" s="3">
        <f t="shared" si="9"/>
        <v>19210</v>
      </c>
      <c r="Z135" s="3">
        <f t="shared" si="10"/>
        <v>7686.5472</v>
      </c>
      <c r="AA135" s="11">
        <f t="shared" si="11"/>
        <v>0.40013259760541386</v>
      </c>
    </row>
    <row r="136" spans="1:29" x14ac:dyDescent="0.35">
      <c r="A136" s="10" t="s">
        <v>773</v>
      </c>
      <c r="B136" t="s">
        <v>774</v>
      </c>
      <c r="C136" t="s">
        <v>44</v>
      </c>
      <c r="D136" t="s">
        <v>45</v>
      </c>
      <c r="E136" t="s">
        <v>33</v>
      </c>
      <c r="F136" t="s">
        <v>775</v>
      </c>
      <c r="H136" t="s">
        <v>94</v>
      </c>
      <c r="I136" t="s">
        <v>776</v>
      </c>
      <c r="J136">
        <v>2800</v>
      </c>
      <c r="K136">
        <v>0.3</v>
      </c>
      <c r="L136">
        <f t="shared" si="8"/>
        <v>3640</v>
      </c>
      <c r="M136" t="s">
        <v>38</v>
      </c>
      <c r="O136" t="s">
        <v>38</v>
      </c>
      <c r="P136" t="s">
        <v>764</v>
      </c>
      <c r="Q136" t="s">
        <v>774</v>
      </c>
      <c r="R136" t="s">
        <v>777</v>
      </c>
      <c r="S136" t="s">
        <v>49</v>
      </c>
      <c r="T136" s="2">
        <f>'SUPUESTOS PRECIOS'!$B$9</f>
        <v>0</v>
      </c>
      <c r="U136" s="3">
        <f>'SUPUESTOS PRECIOS'!$B$5/'SUPUESTOS PRECIOS'!$B$4</f>
        <v>1000</v>
      </c>
      <c r="V136" s="3">
        <f>('SUPUESTOS PRECIOS'!$B$6-'SUPUESTOS PRECIOS'!$B$7)/'SUPUESTOS PRECIOS'!$B$4</f>
        <v>377.5</v>
      </c>
      <c r="W136" s="4">
        <f>'SUPUESTOS PRECIOS'!$B$8</f>
        <v>9.6799999999999994E-3</v>
      </c>
      <c r="X136" s="4">
        <f>'SUPUESTOS PRECIOS'!$B$2</f>
        <v>0.4</v>
      </c>
      <c r="Y136" s="3">
        <f t="shared" si="9"/>
        <v>7080</v>
      </c>
      <c r="Z136" s="3">
        <f t="shared" si="10"/>
        <v>2833.9656</v>
      </c>
      <c r="AA136" s="11">
        <f t="shared" si="11"/>
        <v>0.40027762711864406</v>
      </c>
    </row>
    <row r="137" spans="1:29" x14ac:dyDescent="0.35">
      <c r="A137" s="10" t="s">
        <v>778</v>
      </c>
      <c r="B137" t="s">
        <v>779</v>
      </c>
      <c r="C137" t="s">
        <v>44</v>
      </c>
      <c r="D137" t="s">
        <v>45</v>
      </c>
      <c r="E137" t="s">
        <v>33</v>
      </c>
      <c r="F137" t="s">
        <v>780</v>
      </c>
      <c r="H137" t="s">
        <v>770</v>
      </c>
      <c r="I137" t="s">
        <v>781</v>
      </c>
      <c r="J137">
        <v>16800</v>
      </c>
      <c r="K137">
        <v>0.3</v>
      </c>
      <c r="L137">
        <f t="shared" si="8"/>
        <v>21840</v>
      </c>
      <c r="M137" t="s">
        <v>38</v>
      </c>
      <c r="O137" t="s">
        <v>38</v>
      </c>
      <c r="P137" t="s">
        <v>764</v>
      </c>
      <c r="Q137" t="s">
        <v>779</v>
      </c>
      <c r="R137" t="s">
        <v>782</v>
      </c>
      <c r="S137" t="s">
        <v>49</v>
      </c>
      <c r="T137" s="2">
        <f>'SUPUESTOS PRECIOS'!$B$9</f>
        <v>0</v>
      </c>
      <c r="U137" s="3">
        <f>'SUPUESTOS PRECIOS'!$B$5/'SUPUESTOS PRECIOS'!$B$4</f>
        <v>1000</v>
      </c>
      <c r="V137" s="3">
        <f>('SUPUESTOS PRECIOS'!$B$6-'SUPUESTOS PRECIOS'!$B$7)/'SUPUESTOS PRECIOS'!$B$4</f>
        <v>377.5</v>
      </c>
      <c r="W137" s="4">
        <f>'SUPUESTOS PRECIOS'!$B$8</f>
        <v>9.6799999999999994E-3</v>
      </c>
      <c r="X137" s="4">
        <f>'SUPUESTOS PRECIOS'!$B$2</f>
        <v>0.4</v>
      </c>
      <c r="Y137" s="3">
        <f t="shared" si="9"/>
        <v>30790</v>
      </c>
      <c r="Z137" s="3">
        <f t="shared" si="10"/>
        <v>12314.452799999999</v>
      </c>
      <c r="AA137" s="11">
        <f t="shared" si="11"/>
        <v>0.39994974991880478</v>
      </c>
    </row>
    <row r="138" spans="1:29" x14ac:dyDescent="0.35">
      <c r="A138" s="10" t="s">
        <v>783</v>
      </c>
      <c r="B138" t="s">
        <v>784</v>
      </c>
      <c r="C138" t="s">
        <v>44</v>
      </c>
      <c r="D138" t="s">
        <v>785</v>
      </c>
      <c r="E138" t="s">
        <v>33</v>
      </c>
      <c r="F138" t="s">
        <v>786</v>
      </c>
      <c r="H138" t="s">
        <v>762</v>
      </c>
      <c r="I138" t="s">
        <v>787</v>
      </c>
      <c r="J138">
        <v>1550</v>
      </c>
      <c r="K138">
        <v>0.3</v>
      </c>
      <c r="L138">
        <f t="shared" si="8"/>
        <v>2015</v>
      </c>
      <c r="M138" t="s">
        <v>38</v>
      </c>
      <c r="O138" t="s">
        <v>38</v>
      </c>
      <c r="P138" t="s">
        <v>764</v>
      </c>
      <c r="Q138" t="s">
        <v>784</v>
      </c>
      <c r="R138" t="s">
        <v>788</v>
      </c>
      <c r="S138" t="s">
        <v>789</v>
      </c>
      <c r="T138" s="2">
        <f>'SUPUESTOS PRECIOS'!$B$9</f>
        <v>0</v>
      </c>
      <c r="U138" s="3">
        <f>'SUPUESTOS PRECIOS'!$B$5/'SUPUESTOS PRECIOS'!$B$4</f>
        <v>1000</v>
      </c>
      <c r="V138" s="3">
        <f>('SUPUESTOS PRECIOS'!$B$6-'SUPUESTOS PRECIOS'!$B$7)/'SUPUESTOS PRECIOS'!$B$4</f>
        <v>377.5</v>
      </c>
      <c r="W138" s="4">
        <f>'SUPUESTOS PRECIOS'!$B$8</f>
        <v>9.6799999999999994E-3</v>
      </c>
      <c r="X138" s="4">
        <f>'SUPUESTOS PRECIOS'!$B$2</f>
        <v>0.4</v>
      </c>
      <c r="Y138" s="3">
        <f t="shared" si="9"/>
        <v>4960</v>
      </c>
      <c r="Z138" s="3">
        <f t="shared" si="10"/>
        <v>1984.4872</v>
      </c>
      <c r="AA138" s="11">
        <f t="shared" si="11"/>
        <v>0.4000982258064516</v>
      </c>
    </row>
    <row r="139" spans="1:29" x14ac:dyDescent="0.35">
      <c r="A139" s="10" t="s">
        <v>790</v>
      </c>
      <c r="B139" t="s">
        <v>791</v>
      </c>
      <c r="C139" t="s">
        <v>44</v>
      </c>
      <c r="D139" t="s">
        <v>785</v>
      </c>
      <c r="E139" t="s">
        <v>33</v>
      </c>
      <c r="F139" t="s">
        <v>792</v>
      </c>
      <c r="H139" t="s">
        <v>770</v>
      </c>
      <c r="I139" t="s">
        <v>793</v>
      </c>
      <c r="J139">
        <v>9300</v>
      </c>
      <c r="K139">
        <v>0.3</v>
      </c>
      <c r="L139">
        <f t="shared" si="8"/>
        <v>12090</v>
      </c>
      <c r="M139" t="s">
        <v>38</v>
      </c>
      <c r="O139" t="s">
        <v>38</v>
      </c>
      <c r="P139" t="s">
        <v>764</v>
      </c>
      <c r="Q139" t="s">
        <v>791</v>
      </c>
      <c r="R139" t="s">
        <v>794</v>
      </c>
      <c r="S139" t="s">
        <v>789</v>
      </c>
      <c r="T139" s="2">
        <f>'SUPUESTOS PRECIOS'!$B$9</f>
        <v>0</v>
      </c>
      <c r="U139" s="3">
        <f>'SUPUESTOS PRECIOS'!$B$5/'SUPUESTOS PRECIOS'!$B$4</f>
        <v>1000</v>
      </c>
      <c r="V139" s="3">
        <f>('SUPUESTOS PRECIOS'!$B$6-'SUPUESTOS PRECIOS'!$B$7)/'SUPUESTOS PRECIOS'!$B$4</f>
        <v>377.5</v>
      </c>
      <c r="W139" s="4">
        <f>'SUPUESTOS PRECIOS'!$B$8</f>
        <v>9.6799999999999994E-3</v>
      </c>
      <c r="X139" s="4">
        <f>'SUPUESTOS PRECIOS'!$B$2</f>
        <v>0.4</v>
      </c>
      <c r="Y139" s="3">
        <f t="shared" si="9"/>
        <v>18090</v>
      </c>
      <c r="Z139" s="3">
        <f t="shared" si="10"/>
        <v>7237.3887999999997</v>
      </c>
      <c r="AA139" s="11">
        <f t="shared" si="11"/>
        <v>0.40007677169707018</v>
      </c>
    </row>
    <row r="140" spans="1:29" x14ac:dyDescent="0.35">
      <c r="A140" s="10" t="s">
        <v>795</v>
      </c>
      <c r="B140" t="s">
        <v>796</v>
      </c>
      <c r="C140" t="s">
        <v>44</v>
      </c>
      <c r="D140" t="s">
        <v>797</v>
      </c>
      <c r="E140" t="s">
        <v>33</v>
      </c>
      <c r="F140" t="s">
        <v>798</v>
      </c>
      <c r="H140" t="s">
        <v>762</v>
      </c>
      <c r="I140" t="s">
        <v>799</v>
      </c>
      <c r="J140">
        <v>1650</v>
      </c>
      <c r="K140">
        <v>0.3</v>
      </c>
      <c r="L140">
        <f t="shared" si="8"/>
        <v>2145</v>
      </c>
      <c r="M140" t="s">
        <v>38</v>
      </c>
      <c r="O140" t="s">
        <v>38</v>
      </c>
      <c r="P140" t="s">
        <v>764</v>
      </c>
      <c r="Q140" t="s">
        <v>796</v>
      </c>
      <c r="R140" t="s">
        <v>800</v>
      </c>
      <c r="S140" t="s">
        <v>801</v>
      </c>
      <c r="T140" s="2">
        <f>'SUPUESTOS PRECIOS'!$B$9</f>
        <v>0</v>
      </c>
      <c r="U140" s="3">
        <f>'SUPUESTOS PRECIOS'!$B$5/'SUPUESTOS PRECIOS'!$B$4</f>
        <v>1000</v>
      </c>
      <c r="V140" s="3">
        <f>('SUPUESTOS PRECIOS'!$B$6-'SUPUESTOS PRECIOS'!$B$7)/'SUPUESTOS PRECIOS'!$B$4</f>
        <v>377.5</v>
      </c>
      <c r="W140" s="4">
        <f>'SUPUESTOS PRECIOS'!$B$8</f>
        <v>9.6799999999999994E-3</v>
      </c>
      <c r="X140" s="4">
        <f>'SUPUESTOS PRECIOS'!$B$2</f>
        <v>0.4</v>
      </c>
      <c r="Y140" s="3">
        <f t="shared" si="9"/>
        <v>5130</v>
      </c>
      <c r="Z140" s="3">
        <f t="shared" si="10"/>
        <v>2052.8416000000002</v>
      </c>
      <c r="AA140" s="11">
        <f t="shared" si="11"/>
        <v>0.40016405458089671</v>
      </c>
    </row>
    <row r="141" spans="1:29" x14ac:dyDescent="0.35">
      <c r="A141" s="10" t="s">
        <v>802</v>
      </c>
      <c r="B141" t="s">
        <v>803</v>
      </c>
      <c r="C141" t="s">
        <v>44</v>
      </c>
      <c r="D141" t="s">
        <v>797</v>
      </c>
      <c r="E141" t="s">
        <v>33</v>
      </c>
      <c r="F141" t="s">
        <v>804</v>
      </c>
      <c r="H141" t="s">
        <v>770</v>
      </c>
      <c r="I141" t="s">
        <v>805</v>
      </c>
      <c r="J141">
        <v>9900</v>
      </c>
      <c r="K141">
        <v>0.3</v>
      </c>
      <c r="L141">
        <f t="shared" si="8"/>
        <v>12870</v>
      </c>
      <c r="M141" t="s">
        <v>38</v>
      </c>
      <c r="O141" t="s">
        <v>38</v>
      </c>
      <c r="P141" t="s">
        <v>764</v>
      </c>
      <c r="Q141" t="s">
        <v>803</v>
      </c>
      <c r="R141" t="s">
        <v>806</v>
      </c>
      <c r="S141" t="s">
        <v>801</v>
      </c>
      <c r="T141" s="2">
        <f>'SUPUESTOS PRECIOS'!$B$9</f>
        <v>0</v>
      </c>
      <c r="U141" s="3">
        <f>'SUPUESTOS PRECIOS'!$B$5/'SUPUESTOS PRECIOS'!$B$4</f>
        <v>1000</v>
      </c>
      <c r="V141" s="3">
        <f>('SUPUESTOS PRECIOS'!$B$6-'SUPUESTOS PRECIOS'!$B$7)/'SUPUESTOS PRECIOS'!$B$4</f>
        <v>377.5</v>
      </c>
      <c r="W141" s="4">
        <f>'SUPUESTOS PRECIOS'!$B$8</f>
        <v>9.6799999999999994E-3</v>
      </c>
      <c r="X141" s="4">
        <f>'SUPUESTOS PRECIOS'!$B$2</f>
        <v>0.4</v>
      </c>
      <c r="Y141" s="3">
        <f t="shared" si="9"/>
        <v>19100</v>
      </c>
      <c r="Z141" s="3">
        <f t="shared" si="10"/>
        <v>7637.6120000000001</v>
      </c>
      <c r="AA141" s="11">
        <f t="shared" si="11"/>
        <v>0.39987497382198955</v>
      </c>
    </row>
    <row r="142" spans="1:29" x14ac:dyDescent="0.35">
      <c r="A142" s="10" t="s">
        <v>807</v>
      </c>
      <c r="B142" t="s">
        <v>808</v>
      </c>
      <c r="C142" t="s">
        <v>66</v>
      </c>
      <c r="D142" t="s">
        <v>67</v>
      </c>
      <c r="E142" t="s">
        <v>33</v>
      </c>
      <c r="F142" t="s">
        <v>809</v>
      </c>
      <c r="G142" t="s">
        <v>69</v>
      </c>
      <c r="H142" t="s">
        <v>762</v>
      </c>
      <c r="I142" t="s">
        <v>810</v>
      </c>
      <c r="J142">
        <v>2000</v>
      </c>
      <c r="K142">
        <v>0.3</v>
      </c>
      <c r="L142">
        <f t="shared" si="8"/>
        <v>2600</v>
      </c>
      <c r="M142" t="s">
        <v>38</v>
      </c>
      <c r="O142" t="s">
        <v>38</v>
      </c>
      <c r="P142" t="s">
        <v>764</v>
      </c>
      <c r="Q142" t="s">
        <v>808</v>
      </c>
      <c r="R142" t="s">
        <v>811</v>
      </c>
      <c r="S142" t="s">
        <v>72</v>
      </c>
      <c r="T142" s="2">
        <f>'SUPUESTOS PRECIOS'!$B$9</f>
        <v>0</v>
      </c>
      <c r="U142" s="3">
        <f>'SUPUESTOS PRECIOS'!$B$5/'SUPUESTOS PRECIOS'!$B$4</f>
        <v>1000</v>
      </c>
      <c r="V142" s="3">
        <f>('SUPUESTOS PRECIOS'!$B$6-'SUPUESTOS PRECIOS'!$B$7)/'SUPUESTOS PRECIOS'!$B$4</f>
        <v>377.5</v>
      </c>
      <c r="W142" s="4">
        <f>'SUPUESTOS PRECIOS'!$B$8</f>
        <v>9.6799999999999994E-3</v>
      </c>
      <c r="X142" s="4">
        <f>'SUPUESTOS PRECIOS'!$B$2</f>
        <v>0.4</v>
      </c>
      <c r="Y142" s="3">
        <f t="shared" si="9"/>
        <v>5720</v>
      </c>
      <c r="Z142" s="3">
        <f t="shared" si="10"/>
        <v>2287.1304</v>
      </c>
      <c r="AA142" s="11">
        <f t="shared" si="11"/>
        <v>0.39984797202797201</v>
      </c>
    </row>
    <row r="143" spans="1:29" x14ac:dyDescent="0.35">
      <c r="A143" s="10" t="s">
        <v>812</v>
      </c>
      <c r="B143" t="s">
        <v>813</v>
      </c>
      <c r="C143" t="s">
        <v>66</v>
      </c>
      <c r="D143" t="s">
        <v>67</v>
      </c>
      <c r="E143" t="s">
        <v>33</v>
      </c>
      <c r="F143" t="s">
        <v>814</v>
      </c>
      <c r="H143" t="s">
        <v>770</v>
      </c>
      <c r="I143" t="s">
        <v>815</v>
      </c>
      <c r="J143">
        <v>12000</v>
      </c>
      <c r="K143">
        <v>0.3</v>
      </c>
      <c r="L143">
        <f t="shared" si="8"/>
        <v>15600</v>
      </c>
      <c r="M143" t="s">
        <v>38</v>
      </c>
      <c r="O143" t="s">
        <v>38</v>
      </c>
      <c r="P143" t="s">
        <v>764</v>
      </c>
      <c r="Q143" t="s">
        <v>813</v>
      </c>
      <c r="R143" t="s">
        <v>816</v>
      </c>
      <c r="S143" t="s">
        <v>72</v>
      </c>
      <c r="T143" s="2">
        <f>'SUPUESTOS PRECIOS'!$B$9</f>
        <v>0</v>
      </c>
      <c r="U143" s="3">
        <f>'SUPUESTOS PRECIOS'!$B$5/'SUPUESTOS PRECIOS'!$B$4</f>
        <v>1000</v>
      </c>
      <c r="V143" s="3">
        <f>('SUPUESTOS PRECIOS'!$B$6-'SUPUESTOS PRECIOS'!$B$7)/'SUPUESTOS PRECIOS'!$B$4</f>
        <v>377.5</v>
      </c>
      <c r="W143" s="4">
        <f>'SUPUESTOS PRECIOS'!$B$8</f>
        <v>9.6799999999999994E-3</v>
      </c>
      <c r="X143" s="4">
        <f>'SUPUESTOS PRECIOS'!$B$2</f>
        <v>0.4</v>
      </c>
      <c r="Y143" s="3">
        <f t="shared" si="9"/>
        <v>22660</v>
      </c>
      <c r="Z143" s="3">
        <f t="shared" si="10"/>
        <v>9063.1512000000002</v>
      </c>
      <c r="AA143" s="11">
        <f t="shared" si="11"/>
        <v>0.39996254192409536</v>
      </c>
    </row>
    <row r="144" spans="1:29" x14ac:dyDescent="0.35">
      <c r="A144" s="10" t="s">
        <v>817</v>
      </c>
      <c r="B144" t="s">
        <v>818</v>
      </c>
      <c r="C144" t="s">
        <v>66</v>
      </c>
      <c r="D144" t="s">
        <v>67</v>
      </c>
      <c r="E144" t="s">
        <v>33</v>
      </c>
      <c r="F144" t="s">
        <v>819</v>
      </c>
      <c r="G144" t="s">
        <v>77</v>
      </c>
      <c r="H144" t="s">
        <v>762</v>
      </c>
      <c r="I144" t="s">
        <v>820</v>
      </c>
      <c r="J144">
        <v>1800</v>
      </c>
      <c r="K144">
        <v>0.3</v>
      </c>
      <c r="L144">
        <f t="shared" si="8"/>
        <v>2340</v>
      </c>
      <c r="M144" t="s">
        <v>38</v>
      </c>
      <c r="O144" t="s">
        <v>38</v>
      </c>
      <c r="P144" t="s">
        <v>764</v>
      </c>
      <c r="Q144" t="s">
        <v>818</v>
      </c>
      <c r="R144" t="s">
        <v>821</v>
      </c>
      <c r="S144" t="s">
        <v>72</v>
      </c>
      <c r="T144" s="2">
        <f>'SUPUESTOS PRECIOS'!$B$9</f>
        <v>0</v>
      </c>
      <c r="U144" s="3">
        <f>'SUPUESTOS PRECIOS'!$B$5/'SUPUESTOS PRECIOS'!$B$4</f>
        <v>1000</v>
      </c>
      <c r="V144" s="3">
        <f>('SUPUESTOS PRECIOS'!$B$6-'SUPUESTOS PRECIOS'!$B$7)/'SUPUESTOS PRECIOS'!$B$4</f>
        <v>377.5</v>
      </c>
      <c r="W144" s="4">
        <f>'SUPUESTOS PRECIOS'!$B$8</f>
        <v>9.6799999999999994E-3</v>
      </c>
      <c r="X144" s="4">
        <f>'SUPUESTOS PRECIOS'!$B$2</f>
        <v>0.4</v>
      </c>
      <c r="Y144" s="3">
        <f t="shared" si="9"/>
        <v>5380</v>
      </c>
      <c r="Z144" s="3">
        <f t="shared" si="10"/>
        <v>2150.4216000000001</v>
      </c>
      <c r="AA144" s="11">
        <f t="shared" si="11"/>
        <v>0.39970661710037175</v>
      </c>
    </row>
    <row r="145" spans="1:29" x14ac:dyDescent="0.35">
      <c r="A145" s="10" t="s">
        <v>822</v>
      </c>
      <c r="B145" t="s">
        <v>823</v>
      </c>
      <c r="C145" t="s">
        <v>66</v>
      </c>
      <c r="D145" t="s">
        <v>67</v>
      </c>
      <c r="E145" t="s">
        <v>33</v>
      </c>
      <c r="F145" t="s">
        <v>824</v>
      </c>
      <c r="G145" t="s">
        <v>77</v>
      </c>
      <c r="H145" t="s">
        <v>770</v>
      </c>
      <c r="I145" t="s">
        <v>825</v>
      </c>
      <c r="J145">
        <v>10800</v>
      </c>
      <c r="K145">
        <v>0.3</v>
      </c>
      <c r="L145">
        <f t="shared" si="8"/>
        <v>14040</v>
      </c>
      <c r="M145" t="s">
        <v>38</v>
      </c>
      <c r="O145" t="s">
        <v>38</v>
      </c>
      <c r="P145" t="s">
        <v>764</v>
      </c>
      <c r="Q145" t="s">
        <v>823</v>
      </c>
      <c r="R145" t="s">
        <v>826</v>
      </c>
      <c r="S145" t="s">
        <v>72</v>
      </c>
      <c r="T145" s="2">
        <f>'SUPUESTOS PRECIOS'!$B$9</f>
        <v>0</v>
      </c>
      <c r="U145" s="3">
        <f>'SUPUESTOS PRECIOS'!$B$5/'SUPUESTOS PRECIOS'!$B$4</f>
        <v>1000</v>
      </c>
      <c r="V145" s="3">
        <f>('SUPUESTOS PRECIOS'!$B$6-'SUPUESTOS PRECIOS'!$B$7)/'SUPUESTOS PRECIOS'!$B$4</f>
        <v>377.5</v>
      </c>
      <c r="W145" s="4">
        <f>'SUPUESTOS PRECIOS'!$B$8</f>
        <v>9.6799999999999994E-3</v>
      </c>
      <c r="X145" s="4">
        <f>'SUPUESTOS PRECIOS'!$B$2</f>
        <v>0.4</v>
      </c>
      <c r="Y145" s="3">
        <f t="shared" si="9"/>
        <v>20630</v>
      </c>
      <c r="Z145" s="3">
        <f t="shared" si="10"/>
        <v>8252.8016000000007</v>
      </c>
      <c r="AA145" s="11">
        <f t="shared" si="11"/>
        <v>0.40003885603490064</v>
      </c>
    </row>
    <row r="146" spans="1:29" x14ac:dyDescent="0.35">
      <c r="A146" s="10" t="s">
        <v>827</v>
      </c>
      <c r="B146" t="s">
        <v>828</v>
      </c>
      <c r="C146" t="s">
        <v>829</v>
      </c>
      <c r="D146" t="s">
        <v>830</v>
      </c>
      <c r="E146" t="s">
        <v>33</v>
      </c>
      <c r="F146" t="s">
        <v>831</v>
      </c>
      <c r="G146">
        <v>1056</v>
      </c>
      <c r="H146" t="s">
        <v>36</v>
      </c>
      <c r="I146" t="s">
        <v>832</v>
      </c>
      <c r="J146">
        <v>2750</v>
      </c>
      <c r="K146">
        <v>0.3</v>
      </c>
      <c r="L146">
        <f t="shared" si="8"/>
        <v>3575</v>
      </c>
      <c r="M146" t="s">
        <v>38</v>
      </c>
      <c r="O146" t="s">
        <v>38</v>
      </c>
      <c r="P146" t="s">
        <v>39</v>
      </c>
      <c r="Q146" t="s">
        <v>828</v>
      </c>
      <c r="R146" t="s">
        <v>833</v>
      </c>
      <c r="S146" t="s">
        <v>834</v>
      </c>
      <c r="T146" s="2">
        <f>'SUPUESTOS PRECIOS'!$B$9</f>
        <v>0</v>
      </c>
      <c r="U146" s="3">
        <f>'SUPUESTOS PRECIOS'!$B$5/'SUPUESTOS PRECIOS'!$B$4</f>
        <v>1000</v>
      </c>
      <c r="V146" s="3">
        <f>('SUPUESTOS PRECIOS'!$B$6-'SUPUESTOS PRECIOS'!$B$7)/'SUPUESTOS PRECIOS'!$B$4</f>
        <v>377.5</v>
      </c>
      <c r="W146" s="4">
        <f>'SUPUESTOS PRECIOS'!$B$8</f>
        <v>9.6799999999999994E-3</v>
      </c>
      <c r="X146" s="4">
        <f>'SUPUESTOS PRECIOS'!$B$2</f>
        <v>0.4</v>
      </c>
      <c r="Y146" s="3">
        <f t="shared" si="9"/>
        <v>6990</v>
      </c>
      <c r="Z146" s="3">
        <f t="shared" si="10"/>
        <v>2794.8368</v>
      </c>
      <c r="AA146" s="11">
        <f t="shared" si="11"/>
        <v>0.39983359084406295</v>
      </c>
      <c r="AB146" t="s">
        <v>835</v>
      </c>
      <c r="AC146" t="s">
        <v>836</v>
      </c>
    </row>
    <row r="147" spans="1:29" x14ac:dyDescent="0.35">
      <c r="A147" s="10" t="s">
        <v>837</v>
      </c>
      <c r="B147" t="s">
        <v>838</v>
      </c>
      <c r="C147" t="s">
        <v>829</v>
      </c>
      <c r="D147" t="s">
        <v>830</v>
      </c>
      <c r="E147" t="s">
        <v>33</v>
      </c>
      <c r="F147" t="s">
        <v>839</v>
      </c>
      <c r="G147">
        <v>1056</v>
      </c>
      <c r="H147" t="s">
        <v>762</v>
      </c>
      <c r="I147" t="s">
        <v>840</v>
      </c>
      <c r="J147">
        <v>1350</v>
      </c>
      <c r="K147">
        <v>0.3</v>
      </c>
      <c r="L147">
        <f t="shared" si="8"/>
        <v>1755</v>
      </c>
      <c r="M147" t="s">
        <v>38</v>
      </c>
      <c r="O147" t="s">
        <v>38</v>
      </c>
      <c r="P147" t="s">
        <v>39</v>
      </c>
      <c r="Q147" t="s">
        <v>838</v>
      </c>
      <c r="R147" t="s">
        <v>841</v>
      </c>
      <c r="S147" t="s">
        <v>834</v>
      </c>
      <c r="T147" s="2">
        <f>'SUPUESTOS PRECIOS'!$B$9</f>
        <v>0</v>
      </c>
      <c r="U147" s="3">
        <f>'SUPUESTOS PRECIOS'!$B$5/'SUPUESTOS PRECIOS'!$B$4</f>
        <v>1000</v>
      </c>
      <c r="V147" s="3">
        <f>('SUPUESTOS PRECIOS'!$B$6-'SUPUESTOS PRECIOS'!$B$7)/'SUPUESTOS PRECIOS'!$B$4</f>
        <v>377.5</v>
      </c>
      <c r="W147" s="4">
        <f>'SUPUESTOS PRECIOS'!$B$8</f>
        <v>9.6799999999999994E-3</v>
      </c>
      <c r="X147" s="4">
        <f>'SUPUESTOS PRECIOS'!$B$2</f>
        <v>0.4</v>
      </c>
      <c r="Y147" s="3">
        <f t="shared" si="9"/>
        <v>4620</v>
      </c>
      <c r="Z147" s="3">
        <f t="shared" si="10"/>
        <v>1847.7783999999999</v>
      </c>
      <c r="AA147" s="11">
        <f t="shared" si="11"/>
        <v>0.3999520346320346</v>
      </c>
      <c r="AB147" t="s">
        <v>835</v>
      </c>
      <c r="AC147" t="s">
        <v>842</v>
      </c>
    </row>
    <row r="148" spans="1:29" x14ac:dyDescent="0.35">
      <c r="A148" s="10" t="s">
        <v>843</v>
      </c>
      <c r="B148" t="s">
        <v>844</v>
      </c>
      <c r="C148" t="s">
        <v>829</v>
      </c>
      <c r="D148" t="s">
        <v>830</v>
      </c>
      <c r="E148" t="s">
        <v>33</v>
      </c>
      <c r="F148" t="s">
        <v>845</v>
      </c>
      <c r="G148">
        <v>1056</v>
      </c>
      <c r="H148" t="s">
        <v>846</v>
      </c>
      <c r="I148" t="s">
        <v>847</v>
      </c>
      <c r="J148">
        <v>7100</v>
      </c>
      <c r="K148">
        <v>0.3</v>
      </c>
      <c r="L148">
        <f t="shared" si="8"/>
        <v>9230</v>
      </c>
      <c r="M148" t="s">
        <v>38</v>
      </c>
      <c r="O148" t="s">
        <v>38</v>
      </c>
      <c r="P148" t="s">
        <v>39</v>
      </c>
      <c r="Q148" t="s">
        <v>844</v>
      </c>
      <c r="R148" t="s">
        <v>848</v>
      </c>
      <c r="S148" t="s">
        <v>834</v>
      </c>
      <c r="T148" s="2">
        <f>'SUPUESTOS PRECIOS'!$B$9</f>
        <v>0</v>
      </c>
      <c r="U148" s="3">
        <f>'SUPUESTOS PRECIOS'!$B$5/'SUPUESTOS PRECIOS'!$B$4</f>
        <v>1000</v>
      </c>
      <c r="V148" s="3">
        <f>('SUPUESTOS PRECIOS'!$B$6-'SUPUESTOS PRECIOS'!$B$7)/'SUPUESTOS PRECIOS'!$B$4</f>
        <v>377.5</v>
      </c>
      <c r="W148" s="4">
        <f>'SUPUESTOS PRECIOS'!$B$8</f>
        <v>9.6799999999999994E-3</v>
      </c>
      <c r="X148" s="4">
        <f>'SUPUESTOS PRECIOS'!$B$2</f>
        <v>0.4</v>
      </c>
      <c r="Y148" s="3">
        <f t="shared" si="9"/>
        <v>14360</v>
      </c>
      <c r="Z148" s="3">
        <f t="shared" si="10"/>
        <v>5743.4952000000003</v>
      </c>
      <c r="AA148" s="11">
        <f t="shared" si="11"/>
        <v>0.39996484679665739</v>
      </c>
      <c r="AB148" t="s">
        <v>835</v>
      </c>
      <c r="AC148" t="s">
        <v>849</v>
      </c>
    </row>
    <row r="149" spans="1:29" x14ac:dyDescent="0.35">
      <c r="A149" s="10" t="s">
        <v>850</v>
      </c>
      <c r="B149" t="s">
        <v>851</v>
      </c>
      <c r="C149" t="s">
        <v>829</v>
      </c>
      <c r="D149" t="s">
        <v>830</v>
      </c>
      <c r="E149" t="s">
        <v>33</v>
      </c>
      <c r="F149" t="s">
        <v>831</v>
      </c>
      <c r="G149" t="s">
        <v>852</v>
      </c>
      <c r="H149" t="s">
        <v>36</v>
      </c>
      <c r="I149" t="s">
        <v>853</v>
      </c>
      <c r="J149">
        <v>2750</v>
      </c>
      <c r="K149">
        <v>0.3</v>
      </c>
      <c r="L149">
        <f t="shared" si="8"/>
        <v>3575</v>
      </c>
      <c r="M149" t="s">
        <v>38</v>
      </c>
      <c r="O149" t="s">
        <v>38</v>
      </c>
      <c r="P149" t="s">
        <v>39</v>
      </c>
      <c r="Q149" t="s">
        <v>851</v>
      </c>
      <c r="R149" t="s">
        <v>854</v>
      </c>
      <c r="S149" t="s">
        <v>834</v>
      </c>
      <c r="T149" s="2">
        <f>'SUPUESTOS PRECIOS'!$B$9</f>
        <v>0</v>
      </c>
      <c r="U149" s="3">
        <f>'SUPUESTOS PRECIOS'!$B$5/'SUPUESTOS PRECIOS'!$B$4</f>
        <v>1000</v>
      </c>
      <c r="V149" s="3">
        <f>('SUPUESTOS PRECIOS'!$B$6-'SUPUESTOS PRECIOS'!$B$7)/'SUPUESTOS PRECIOS'!$B$4</f>
        <v>377.5</v>
      </c>
      <c r="W149" s="4">
        <f>'SUPUESTOS PRECIOS'!$B$8</f>
        <v>9.6799999999999994E-3</v>
      </c>
      <c r="X149" s="4">
        <f>'SUPUESTOS PRECIOS'!$B$2</f>
        <v>0.4</v>
      </c>
      <c r="Y149" s="3">
        <f t="shared" si="9"/>
        <v>6990</v>
      </c>
      <c r="Z149" s="3">
        <f t="shared" si="10"/>
        <v>2794.8368</v>
      </c>
      <c r="AA149" s="11">
        <f t="shared" si="11"/>
        <v>0.39983359084406295</v>
      </c>
      <c r="AB149" t="s">
        <v>855</v>
      </c>
      <c r="AC149" t="s">
        <v>836</v>
      </c>
    </row>
    <row r="150" spans="1:29" x14ac:dyDescent="0.35">
      <c r="A150" s="10" t="s">
        <v>856</v>
      </c>
      <c r="B150" t="s">
        <v>857</v>
      </c>
      <c r="C150" t="s">
        <v>829</v>
      </c>
      <c r="D150" t="s">
        <v>830</v>
      </c>
      <c r="E150" t="s">
        <v>33</v>
      </c>
      <c r="F150" t="s">
        <v>839</v>
      </c>
      <c r="G150" t="s">
        <v>852</v>
      </c>
      <c r="H150" t="s">
        <v>762</v>
      </c>
      <c r="I150" t="s">
        <v>858</v>
      </c>
      <c r="J150">
        <v>1350</v>
      </c>
      <c r="K150">
        <v>0.3</v>
      </c>
      <c r="L150">
        <f t="shared" si="8"/>
        <v>1755</v>
      </c>
      <c r="M150" t="s">
        <v>38</v>
      </c>
      <c r="O150" t="s">
        <v>38</v>
      </c>
      <c r="P150" t="s">
        <v>39</v>
      </c>
      <c r="Q150" t="s">
        <v>857</v>
      </c>
      <c r="R150" t="s">
        <v>859</v>
      </c>
      <c r="S150" t="s">
        <v>834</v>
      </c>
      <c r="T150" s="2">
        <f>'SUPUESTOS PRECIOS'!$B$9</f>
        <v>0</v>
      </c>
      <c r="U150" s="3">
        <f>'SUPUESTOS PRECIOS'!$B$5/'SUPUESTOS PRECIOS'!$B$4</f>
        <v>1000</v>
      </c>
      <c r="V150" s="3">
        <f>('SUPUESTOS PRECIOS'!$B$6-'SUPUESTOS PRECIOS'!$B$7)/'SUPUESTOS PRECIOS'!$B$4</f>
        <v>377.5</v>
      </c>
      <c r="W150" s="4">
        <f>'SUPUESTOS PRECIOS'!$B$8</f>
        <v>9.6799999999999994E-3</v>
      </c>
      <c r="X150" s="4">
        <f>'SUPUESTOS PRECIOS'!$B$2</f>
        <v>0.4</v>
      </c>
      <c r="Y150" s="3">
        <f t="shared" si="9"/>
        <v>4620</v>
      </c>
      <c r="Z150" s="3">
        <f t="shared" si="10"/>
        <v>1847.7783999999999</v>
      </c>
      <c r="AA150" s="11">
        <f t="shared" si="11"/>
        <v>0.3999520346320346</v>
      </c>
      <c r="AB150" t="s">
        <v>855</v>
      </c>
      <c r="AC150" t="s">
        <v>842</v>
      </c>
    </row>
    <row r="151" spans="1:29" x14ac:dyDescent="0.35">
      <c r="A151" s="10" t="s">
        <v>860</v>
      </c>
      <c r="B151" t="s">
        <v>861</v>
      </c>
      <c r="C151" t="s">
        <v>829</v>
      </c>
      <c r="D151" t="s">
        <v>830</v>
      </c>
      <c r="E151" t="s">
        <v>33</v>
      </c>
      <c r="F151" t="s">
        <v>845</v>
      </c>
      <c r="G151" t="s">
        <v>852</v>
      </c>
      <c r="H151" t="s">
        <v>846</v>
      </c>
      <c r="I151" t="s">
        <v>862</v>
      </c>
      <c r="J151">
        <v>7100</v>
      </c>
      <c r="K151">
        <v>0.3</v>
      </c>
      <c r="L151">
        <f t="shared" si="8"/>
        <v>9230</v>
      </c>
      <c r="M151" t="s">
        <v>38</v>
      </c>
      <c r="O151" t="s">
        <v>38</v>
      </c>
      <c r="P151" t="s">
        <v>39</v>
      </c>
      <c r="Q151" t="s">
        <v>861</v>
      </c>
      <c r="R151" t="s">
        <v>863</v>
      </c>
      <c r="S151" t="s">
        <v>834</v>
      </c>
      <c r="T151" s="2">
        <f>'SUPUESTOS PRECIOS'!$B$9</f>
        <v>0</v>
      </c>
      <c r="U151" s="3">
        <f>'SUPUESTOS PRECIOS'!$B$5/'SUPUESTOS PRECIOS'!$B$4</f>
        <v>1000</v>
      </c>
      <c r="V151" s="3">
        <f>('SUPUESTOS PRECIOS'!$B$6-'SUPUESTOS PRECIOS'!$B$7)/'SUPUESTOS PRECIOS'!$B$4</f>
        <v>377.5</v>
      </c>
      <c r="W151" s="4">
        <f>'SUPUESTOS PRECIOS'!$B$8</f>
        <v>9.6799999999999994E-3</v>
      </c>
      <c r="X151" s="4">
        <f>'SUPUESTOS PRECIOS'!$B$2</f>
        <v>0.4</v>
      </c>
      <c r="Y151" s="3">
        <f t="shared" si="9"/>
        <v>14360</v>
      </c>
      <c r="Z151" s="3">
        <f t="shared" si="10"/>
        <v>5743.4952000000003</v>
      </c>
      <c r="AA151" s="11">
        <f t="shared" si="11"/>
        <v>0.39996484679665739</v>
      </c>
      <c r="AB151" t="s">
        <v>855</v>
      </c>
      <c r="AC151" t="s">
        <v>849</v>
      </c>
    </row>
    <row r="152" spans="1:29" x14ac:dyDescent="0.35">
      <c r="A152" s="10" t="s">
        <v>864</v>
      </c>
      <c r="B152" t="s">
        <v>865</v>
      </c>
      <c r="C152" t="s">
        <v>829</v>
      </c>
      <c r="D152" t="s">
        <v>830</v>
      </c>
      <c r="E152" t="s">
        <v>33</v>
      </c>
      <c r="F152" t="s">
        <v>831</v>
      </c>
      <c r="G152" t="s">
        <v>866</v>
      </c>
      <c r="H152" t="s">
        <v>36</v>
      </c>
      <c r="I152" t="s">
        <v>867</v>
      </c>
      <c r="J152">
        <v>2750</v>
      </c>
      <c r="K152">
        <v>0.3</v>
      </c>
      <c r="L152">
        <f t="shared" si="8"/>
        <v>3575</v>
      </c>
      <c r="M152" t="s">
        <v>38</v>
      </c>
      <c r="O152" t="s">
        <v>38</v>
      </c>
      <c r="P152" t="s">
        <v>39</v>
      </c>
      <c r="Q152" t="s">
        <v>865</v>
      </c>
      <c r="R152" t="s">
        <v>868</v>
      </c>
      <c r="S152" t="s">
        <v>834</v>
      </c>
      <c r="T152" s="2">
        <f>'SUPUESTOS PRECIOS'!$B$9</f>
        <v>0</v>
      </c>
      <c r="U152" s="3">
        <f>'SUPUESTOS PRECIOS'!$B$5/'SUPUESTOS PRECIOS'!$B$4</f>
        <v>1000</v>
      </c>
      <c r="V152" s="3">
        <f>('SUPUESTOS PRECIOS'!$B$6-'SUPUESTOS PRECIOS'!$B$7)/'SUPUESTOS PRECIOS'!$B$4</f>
        <v>377.5</v>
      </c>
      <c r="W152" s="4">
        <f>'SUPUESTOS PRECIOS'!$B$8</f>
        <v>9.6799999999999994E-3</v>
      </c>
      <c r="X152" s="4">
        <f>'SUPUESTOS PRECIOS'!$B$2</f>
        <v>0.4</v>
      </c>
      <c r="Y152" s="3">
        <f t="shared" si="9"/>
        <v>6990</v>
      </c>
      <c r="Z152" s="3">
        <f t="shared" si="10"/>
        <v>2794.8368</v>
      </c>
      <c r="AA152" s="11">
        <f t="shared" si="11"/>
        <v>0.39983359084406295</v>
      </c>
      <c r="AB152" t="s">
        <v>869</v>
      </c>
      <c r="AC152" t="s">
        <v>836</v>
      </c>
    </row>
    <row r="153" spans="1:29" x14ac:dyDescent="0.35">
      <c r="A153" s="10" t="s">
        <v>870</v>
      </c>
      <c r="B153" t="s">
        <v>871</v>
      </c>
      <c r="C153" t="s">
        <v>829</v>
      </c>
      <c r="D153" t="s">
        <v>830</v>
      </c>
      <c r="E153" t="s">
        <v>33</v>
      </c>
      <c r="F153" t="s">
        <v>839</v>
      </c>
      <c r="G153" t="s">
        <v>866</v>
      </c>
      <c r="H153" t="s">
        <v>762</v>
      </c>
      <c r="I153" t="s">
        <v>872</v>
      </c>
      <c r="J153">
        <v>1350</v>
      </c>
      <c r="K153">
        <v>0.3</v>
      </c>
      <c r="L153">
        <f t="shared" si="8"/>
        <v>1755</v>
      </c>
      <c r="M153" t="s">
        <v>38</v>
      </c>
      <c r="O153" t="s">
        <v>38</v>
      </c>
      <c r="P153" t="s">
        <v>39</v>
      </c>
      <c r="Q153" t="s">
        <v>871</v>
      </c>
      <c r="R153" t="s">
        <v>873</v>
      </c>
      <c r="S153" t="s">
        <v>834</v>
      </c>
      <c r="T153" s="2">
        <f>'SUPUESTOS PRECIOS'!$B$9</f>
        <v>0</v>
      </c>
      <c r="U153" s="3">
        <f>'SUPUESTOS PRECIOS'!$B$5/'SUPUESTOS PRECIOS'!$B$4</f>
        <v>1000</v>
      </c>
      <c r="V153" s="3">
        <f>('SUPUESTOS PRECIOS'!$B$6-'SUPUESTOS PRECIOS'!$B$7)/'SUPUESTOS PRECIOS'!$B$4</f>
        <v>377.5</v>
      </c>
      <c r="W153" s="4">
        <f>'SUPUESTOS PRECIOS'!$B$8</f>
        <v>9.6799999999999994E-3</v>
      </c>
      <c r="X153" s="4">
        <f>'SUPUESTOS PRECIOS'!$B$2</f>
        <v>0.4</v>
      </c>
      <c r="Y153" s="3">
        <f t="shared" si="9"/>
        <v>4620</v>
      </c>
      <c r="Z153" s="3">
        <f t="shared" si="10"/>
        <v>1847.7783999999999</v>
      </c>
      <c r="AA153" s="11">
        <f t="shared" si="11"/>
        <v>0.3999520346320346</v>
      </c>
      <c r="AB153" t="s">
        <v>869</v>
      </c>
      <c r="AC153" t="s">
        <v>842</v>
      </c>
    </row>
    <row r="154" spans="1:29" x14ac:dyDescent="0.35">
      <c r="A154" s="10" t="s">
        <v>874</v>
      </c>
      <c r="B154" t="s">
        <v>875</v>
      </c>
      <c r="C154" t="s">
        <v>829</v>
      </c>
      <c r="D154" t="s">
        <v>830</v>
      </c>
      <c r="E154" t="s">
        <v>33</v>
      </c>
      <c r="F154" t="s">
        <v>845</v>
      </c>
      <c r="G154" t="s">
        <v>866</v>
      </c>
      <c r="H154" t="s">
        <v>846</v>
      </c>
      <c r="I154" t="s">
        <v>876</v>
      </c>
      <c r="J154">
        <v>7100</v>
      </c>
      <c r="K154">
        <v>0.3</v>
      </c>
      <c r="L154">
        <f t="shared" si="8"/>
        <v>9230</v>
      </c>
      <c r="M154" t="s">
        <v>38</v>
      </c>
      <c r="O154" t="s">
        <v>38</v>
      </c>
      <c r="P154" t="s">
        <v>39</v>
      </c>
      <c r="Q154" t="s">
        <v>875</v>
      </c>
      <c r="R154" t="s">
        <v>877</v>
      </c>
      <c r="S154" t="s">
        <v>834</v>
      </c>
      <c r="T154" s="2">
        <f>'SUPUESTOS PRECIOS'!$B$9</f>
        <v>0</v>
      </c>
      <c r="U154" s="3">
        <f>'SUPUESTOS PRECIOS'!$B$5/'SUPUESTOS PRECIOS'!$B$4</f>
        <v>1000</v>
      </c>
      <c r="V154" s="3">
        <f>('SUPUESTOS PRECIOS'!$B$6-'SUPUESTOS PRECIOS'!$B$7)/'SUPUESTOS PRECIOS'!$B$4</f>
        <v>377.5</v>
      </c>
      <c r="W154" s="4">
        <f>'SUPUESTOS PRECIOS'!$B$8</f>
        <v>9.6799999999999994E-3</v>
      </c>
      <c r="X154" s="4">
        <f>'SUPUESTOS PRECIOS'!$B$2</f>
        <v>0.4</v>
      </c>
      <c r="Y154" s="3">
        <f t="shared" si="9"/>
        <v>14360</v>
      </c>
      <c r="Z154" s="3">
        <f t="shared" si="10"/>
        <v>5743.4952000000003</v>
      </c>
      <c r="AA154" s="11">
        <f t="shared" si="11"/>
        <v>0.39996484679665739</v>
      </c>
      <c r="AB154" t="s">
        <v>869</v>
      </c>
      <c r="AC154" t="s">
        <v>849</v>
      </c>
    </row>
    <row r="155" spans="1:29" x14ac:dyDescent="0.35">
      <c r="A155" s="10" t="s">
        <v>878</v>
      </c>
      <c r="B155" t="s">
        <v>879</v>
      </c>
      <c r="C155" t="s">
        <v>829</v>
      </c>
      <c r="D155" t="s">
        <v>830</v>
      </c>
      <c r="E155" t="s">
        <v>33</v>
      </c>
      <c r="F155" t="s">
        <v>831</v>
      </c>
      <c r="G155" t="s">
        <v>613</v>
      </c>
      <c r="H155" t="s">
        <v>36</v>
      </c>
      <c r="I155" t="s">
        <v>880</v>
      </c>
      <c r="J155">
        <v>2750</v>
      </c>
      <c r="K155">
        <v>0.3</v>
      </c>
      <c r="L155">
        <f t="shared" si="8"/>
        <v>3575</v>
      </c>
      <c r="M155" t="s">
        <v>38</v>
      </c>
      <c r="O155" t="s">
        <v>38</v>
      </c>
      <c r="P155" t="s">
        <v>39</v>
      </c>
      <c r="Q155" t="s">
        <v>879</v>
      </c>
      <c r="R155" t="s">
        <v>881</v>
      </c>
      <c r="S155" t="s">
        <v>834</v>
      </c>
      <c r="T155" s="2">
        <f>'SUPUESTOS PRECIOS'!$B$9</f>
        <v>0</v>
      </c>
      <c r="U155" s="3">
        <f>'SUPUESTOS PRECIOS'!$B$5/'SUPUESTOS PRECIOS'!$B$4</f>
        <v>1000</v>
      </c>
      <c r="V155" s="3">
        <f>('SUPUESTOS PRECIOS'!$B$6-'SUPUESTOS PRECIOS'!$B$7)/'SUPUESTOS PRECIOS'!$B$4</f>
        <v>377.5</v>
      </c>
      <c r="W155" s="4">
        <f>'SUPUESTOS PRECIOS'!$B$8</f>
        <v>9.6799999999999994E-3</v>
      </c>
      <c r="X155" s="4">
        <f>'SUPUESTOS PRECIOS'!$B$2</f>
        <v>0.4</v>
      </c>
      <c r="Y155" s="3">
        <f t="shared" si="9"/>
        <v>6990</v>
      </c>
      <c r="Z155" s="3">
        <f t="shared" si="10"/>
        <v>2794.8368</v>
      </c>
      <c r="AA155" s="11">
        <f t="shared" si="11"/>
        <v>0.39983359084406295</v>
      </c>
      <c r="AB155" t="s">
        <v>882</v>
      </c>
      <c r="AC155" t="s">
        <v>836</v>
      </c>
    </row>
    <row r="156" spans="1:29" x14ac:dyDescent="0.35">
      <c r="A156" s="10" t="s">
        <v>883</v>
      </c>
      <c r="B156" t="s">
        <v>884</v>
      </c>
      <c r="C156" t="s">
        <v>829</v>
      </c>
      <c r="D156" t="s">
        <v>830</v>
      </c>
      <c r="E156" t="s">
        <v>33</v>
      </c>
      <c r="F156" t="s">
        <v>839</v>
      </c>
      <c r="G156" t="s">
        <v>613</v>
      </c>
      <c r="H156" t="s">
        <v>762</v>
      </c>
      <c r="I156" t="s">
        <v>885</v>
      </c>
      <c r="J156">
        <v>1350</v>
      </c>
      <c r="K156">
        <v>0.3</v>
      </c>
      <c r="L156">
        <f t="shared" si="8"/>
        <v>1755</v>
      </c>
      <c r="M156" t="s">
        <v>38</v>
      </c>
      <c r="O156" t="s">
        <v>38</v>
      </c>
      <c r="P156" t="s">
        <v>39</v>
      </c>
      <c r="Q156" t="s">
        <v>884</v>
      </c>
      <c r="R156" t="s">
        <v>886</v>
      </c>
      <c r="S156" t="s">
        <v>834</v>
      </c>
      <c r="T156" s="2">
        <f>'SUPUESTOS PRECIOS'!$B$9</f>
        <v>0</v>
      </c>
      <c r="U156" s="3">
        <f>'SUPUESTOS PRECIOS'!$B$5/'SUPUESTOS PRECIOS'!$B$4</f>
        <v>1000</v>
      </c>
      <c r="V156" s="3">
        <f>('SUPUESTOS PRECIOS'!$B$6-'SUPUESTOS PRECIOS'!$B$7)/'SUPUESTOS PRECIOS'!$B$4</f>
        <v>377.5</v>
      </c>
      <c r="W156" s="4">
        <f>'SUPUESTOS PRECIOS'!$B$8</f>
        <v>9.6799999999999994E-3</v>
      </c>
      <c r="X156" s="4">
        <f>'SUPUESTOS PRECIOS'!$B$2</f>
        <v>0.4</v>
      </c>
      <c r="Y156" s="3">
        <f t="shared" si="9"/>
        <v>4620</v>
      </c>
      <c r="Z156" s="3">
        <f t="shared" si="10"/>
        <v>1847.7783999999999</v>
      </c>
      <c r="AA156" s="11">
        <f t="shared" si="11"/>
        <v>0.3999520346320346</v>
      </c>
      <c r="AB156" t="s">
        <v>882</v>
      </c>
      <c r="AC156" t="s">
        <v>842</v>
      </c>
    </row>
    <row r="157" spans="1:29" x14ac:dyDescent="0.35">
      <c r="A157" s="10" t="s">
        <v>887</v>
      </c>
      <c r="B157" t="s">
        <v>888</v>
      </c>
      <c r="C157" t="s">
        <v>829</v>
      </c>
      <c r="D157" t="s">
        <v>830</v>
      </c>
      <c r="E157" t="s">
        <v>33</v>
      </c>
      <c r="F157" t="s">
        <v>845</v>
      </c>
      <c r="G157" t="s">
        <v>613</v>
      </c>
      <c r="H157" t="s">
        <v>846</v>
      </c>
      <c r="I157" t="s">
        <v>889</v>
      </c>
      <c r="J157">
        <v>7100</v>
      </c>
      <c r="K157">
        <v>0.3</v>
      </c>
      <c r="L157">
        <f t="shared" si="8"/>
        <v>9230</v>
      </c>
      <c r="M157" t="s">
        <v>38</v>
      </c>
      <c r="O157" t="s">
        <v>38</v>
      </c>
      <c r="P157" t="s">
        <v>39</v>
      </c>
      <c r="Q157" t="s">
        <v>888</v>
      </c>
      <c r="R157" t="s">
        <v>890</v>
      </c>
      <c r="S157" t="s">
        <v>834</v>
      </c>
      <c r="T157" s="2">
        <f>'SUPUESTOS PRECIOS'!$B$9</f>
        <v>0</v>
      </c>
      <c r="U157" s="3">
        <f>'SUPUESTOS PRECIOS'!$B$5/'SUPUESTOS PRECIOS'!$B$4</f>
        <v>1000</v>
      </c>
      <c r="V157" s="3">
        <f>('SUPUESTOS PRECIOS'!$B$6-'SUPUESTOS PRECIOS'!$B$7)/'SUPUESTOS PRECIOS'!$B$4</f>
        <v>377.5</v>
      </c>
      <c r="W157" s="4">
        <f>'SUPUESTOS PRECIOS'!$B$8</f>
        <v>9.6799999999999994E-3</v>
      </c>
      <c r="X157" s="4">
        <f>'SUPUESTOS PRECIOS'!$B$2</f>
        <v>0.4</v>
      </c>
      <c r="Y157" s="3">
        <f t="shared" si="9"/>
        <v>14360</v>
      </c>
      <c r="Z157" s="3">
        <f t="shared" si="10"/>
        <v>5743.4952000000003</v>
      </c>
      <c r="AA157" s="11">
        <f t="shared" si="11"/>
        <v>0.39996484679665739</v>
      </c>
      <c r="AB157" t="s">
        <v>882</v>
      </c>
      <c r="AC157" t="s">
        <v>849</v>
      </c>
    </row>
    <row r="158" spans="1:29" x14ac:dyDescent="0.35">
      <c r="A158" s="10" t="s">
        <v>891</v>
      </c>
      <c r="B158" t="s">
        <v>892</v>
      </c>
      <c r="C158" t="s">
        <v>133</v>
      </c>
      <c r="D158" t="s">
        <v>893</v>
      </c>
      <c r="E158" t="s">
        <v>33</v>
      </c>
      <c r="F158" t="s">
        <v>894</v>
      </c>
      <c r="G158" t="s">
        <v>895</v>
      </c>
      <c r="H158" t="s">
        <v>136</v>
      </c>
      <c r="I158" t="s">
        <v>896</v>
      </c>
      <c r="J158">
        <v>1000</v>
      </c>
      <c r="K158">
        <v>0.3</v>
      </c>
      <c r="L158">
        <f t="shared" si="8"/>
        <v>1300</v>
      </c>
      <c r="M158" t="s">
        <v>38</v>
      </c>
      <c r="O158" t="s">
        <v>38</v>
      </c>
      <c r="P158" t="s">
        <v>39</v>
      </c>
      <c r="Q158" t="s">
        <v>892</v>
      </c>
      <c r="R158" t="s">
        <v>897</v>
      </c>
      <c r="S158" t="s">
        <v>898</v>
      </c>
      <c r="T158" s="2">
        <f>'SUPUESTOS PRECIOS'!$B$9</f>
        <v>0</v>
      </c>
      <c r="U158" s="3">
        <f>'SUPUESTOS PRECIOS'!$B$5/'SUPUESTOS PRECIOS'!$B$4</f>
        <v>1000</v>
      </c>
      <c r="V158" s="3">
        <f>('SUPUESTOS PRECIOS'!$B$6-'SUPUESTOS PRECIOS'!$B$7)/'SUPUESTOS PRECIOS'!$B$4</f>
        <v>377.5</v>
      </c>
      <c r="W158" s="4">
        <f>'SUPUESTOS PRECIOS'!$B$8</f>
        <v>9.6799999999999994E-3</v>
      </c>
      <c r="X158" s="4">
        <f>'SUPUESTOS PRECIOS'!$B$2</f>
        <v>0.4</v>
      </c>
      <c r="Y158" s="3">
        <f t="shared" si="9"/>
        <v>4030</v>
      </c>
      <c r="Z158" s="3">
        <f t="shared" si="10"/>
        <v>1613.4896000000001</v>
      </c>
      <c r="AA158" s="11">
        <f t="shared" si="11"/>
        <v>0.40036962779156332</v>
      </c>
      <c r="AB158" t="s">
        <v>899</v>
      </c>
      <c r="AC158" t="s">
        <v>900</v>
      </c>
    </row>
    <row r="159" spans="1:29" x14ac:dyDescent="0.35">
      <c r="A159" s="10" t="s">
        <v>901</v>
      </c>
      <c r="B159" t="s">
        <v>902</v>
      </c>
      <c r="C159" t="s">
        <v>133</v>
      </c>
      <c r="D159" t="s">
        <v>893</v>
      </c>
      <c r="E159" t="s">
        <v>33</v>
      </c>
      <c r="F159" t="s">
        <v>903</v>
      </c>
      <c r="G159" t="s">
        <v>904</v>
      </c>
      <c r="H159" t="s">
        <v>136</v>
      </c>
      <c r="I159" t="s">
        <v>905</v>
      </c>
      <c r="J159">
        <v>1200</v>
      </c>
      <c r="K159">
        <v>0.3</v>
      </c>
      <c r="L159">
        <f t="shared" si="8"/>
        <v>1560</v>
      </c>
      <c r="M159" t="s">
        <v>38</v>
      </c>
      <c r="O159" t="s">
        <v>38</v>
      </c>
      <c r="P159" t="s">
        <v>39</v>
      </c>
      <c r="Q159" t="s">
        <v>902</v>
      </c>
      <c r="R159" t="s">
        <v>906</v>
      </c>
      <c r="S159" t="s">
        <v>898</v>
      </c>
      <c r="T159" s="2">
        <f>'SUPUESTOS PRECIOS'!$B$9</f>
        <v>0</v>
      </c>
      <c r="U159" s="3">
        <f>'SUPUESTOS PRECIOS'!$B$5/'SUPUESTOS PRECIOS'!$B$4</f>
        <v>1000</v>
      </c>
      <c r="V159" s="3">
        <f>('SUPUESTOS PRECIOS'!$B$6-'SUPUESTOS PRECIOS'!$B$7)/'SUPUESTOS PRECIOS'!$B$4</f>
        <v>377.5</v>
      </c>
      <c r="W159" s="4">
        <f>'SUPUESTOS PRECIOS'!$B$8</f>
        <v>9.6799999999999994E-3</v>
      </c>
      <c r="X159" s="4">
        <f>'SUPUESTOS PRECIOS'!$B$2</f>
        <v>0.4</v>
      </c>
      <c r="Y159" s="3">
        <f t="shared" si="9"/>
        <v>4370</v>
      </c>
      <c r="Z159" s="3">
        <f t="shared" si="10"/>
        <v>1750.1984</v>
      </c>
      <c r="AA159" s="11">
        <f t="shared" si="11"/>
        <v>0.40050306636155608</v>
      </c>
      <c r="AB159" t="s">
        <v>899</v>
      </c>
      <c r="AC159" t="s">
        <v>907</v>
      </c>
    </row>
    <row r="160" spans="1:29" x14ac:dyDescent="0.35">
      <c r="A160" s="10" t="s">
        <v>908</v>
      </c>
      <c r="B160" t="s">
        <v>909</v>
      </c>
      <c r="C160" t="s">
        <v>133</v>
      </c>
      <c r="D160" t="s">
        <v>893</v>
      </c>
      <c r="E160" t="s">
        <v>33</v>
      </c>
      <c r="F160" t="s">
        <v>910</v>
      </c>
      <c r="G160" t="s">
        <v>911</v>
      </c>
      <c r="H160" t="s">
        <v>136</v>
      </c>
      <c r="I160" t="s">
        <v>912</v>
      </c>
      <c r="J160">
        <v>1400</v>
      </c>
      <c r="K160">
        <v>0.3</v>
      </c>
      <c r="L160">
        <f t="shared" si="8"/>
        <v>1820</v>
      </c>
      <c r="M160" t="s">
        <v>38</v>
      </c>
      <c r="O160" t="s">
        <v>38</v>
      </c>
      <c r="P160" t="s">
        <v>39</v>
      </c>
      <c r="Q160" t="s">
        <v>909</v>
      </c>
      <c r="R160" t="s">
        <v>913</v>
      </c>
      <c r="S160" t="s">
        <v>914</v>
      </c>
      <c r="T160" s="2">
        <f>'SUPUESTOS PRECIOS'!$B$9</f>
        <v>0</v>
      </c>
      <c r="U160" s="3">
        <f>'SUPUESTOS PRECIOS'!$B$5/'SUPUESTOS PRECIOS'!$B$4</f>
        <v>1000</v>
      </c>
      <c r="V160" s="3">
        <f>('SUPUESTOS PRECIOS'!$B$6-'SUPUESTOS PRECIOS'!$B$7)/'SUPUESTOS PRECIOS'!$B$4</f>
        <v>377.5</v>
      </c>
      <c r="W160" s="4">
        <f>'SUPUESTOS PRECIOS'!$B$8</f>
        <v>9.6799999999999994E-3</v>
      </c>
      <c r="X160" s="4">
        <f>'SUPUESTOS PRECIOS'!$B$2</f>
        <v>0.4</v>
      </c>
      <c r="Y160" s="3">
        <f t="shared" si="9"/>
        <v>4710</v>
      </c>
      <c r="Z160" s="3">
        <f t="shared" si="10"/>
        <v>1886.9072000000001</v>
      </c>
      <c r="AA160" s="11">
        <f t="shared" si="11"/>
        <v>0.40061723991507431</v>
      </c>
      <c r="AB160" t="s">
        <v>899</v>
      </c>
      <c r="AC160" t="s">
        <v>915</v>
      </c>
    </row>
    <row r="161" spans="1:27" x14ac:dyDescent="0.35">
      <c r="A161" s="10" t="s">
        <v>916</v>
      </c>
      <c r="B161" t="s">
        <v>917</v>
      </c>
      <c r="C161" t="s">
        <v>133</v>
      </c>
      <c r="D161" t="s">
        <v>893</v>
      </c>
      <c r="E161" t="s">
        <v>33</v>
      </c>
      <c r="F161" t="s">
        <v>918</v>
      </c>
      <c r="H161" t="s">
        <v>136</v>
      </c>
      <c r="I161" t="s">
        <v>919</v>
      </c>
      <c r="J161">
        <v>2000</v>
      </c>
      <c r="K161">
        <v>0.3</v>
      </c>
      <c r="L161">
        <f t="shared" si="8"/>
        <v>2600</v>
      </c>
      <c r="M161" t="s">
        <v>38</v>
      </c>
      <c r="O161" t="s">
        <v>38</v>
      </c>
      <c r="P161" t="s">
        <v>39</v>
      </c>
      <c r="Q161" t="s">
        <v>917</v>
      </c>
      <c r="R161" t="s">
        <v>920</v>
      </c>
      <c r="S161" t="s">
        <v>914</v>
      </c>
      <c r="T161" s="2">
        <f>'SUPUESTOS PRECIOS'!$B$9</f>
        <v>0</v>
      </c>
      <c r="U161" s="3">
        <f>'SUPUESTOS PRECIOS'!$B$5/'SUPUESTOS PRECIOS'!$B$4</f>
        <v>1000</v>
      </c>
      <c r="V161" s="3">
        <f>('SUPUESTOS PRECIOS'!$B$6-'SUPUESTOS PRECIOS'!$B$7)/'SUPUESTOS PRECIOS'!$B$4</f>
        <v>377.5</v>
      </c>
      <c r="W161" s="4">
        <f>'SUPUESTOS PRECIOS'!$B$8</f>
        <v>9.6799999999999994E-3</v>
      </c>
      <c r="X161" s="4">
        <f>'SUPUESTOS PRECIOS'!$B$2</f>
        <v>0.4</v>
      </c>
      <c r="Y161" s="3">
        <f t="shared" si="9"/>
        <v>5720</v>
      </c>
      <c r="Z161" s="3">
        <f t="shared" si="10"/>
        <v>2287.1304</v>
      </c>
      <c r="AA161" s="11">
        <f t="shared" si="11"/>
        <v>0.39984797202797201</v>
      </c>
    </row>
    <row r="162" spans="1:27" x14ac:dyDescent="0.35">
      <c r="A162" s="10" t="s">
        <v>921</v>
      </c>
      <c r="B162" t="s">
        <v>922</v>
      </c>
      <c r="C162" t="s">
        <v>133</v>
      </c>
      <c r="D162" t="s">
        <v>893</v>
      </c>
      <c r="E162" t="s">
        <v>33</v>
      </c>
      <c r="F162" t="s">
        <v>923</v>
      </c>
      <c r="H162" t="s">
        <v>136</v>
      </c>
      <c r="I162" t="s">
        <v>924</v>
      </c>
      <c r="J162">
        <v>4400</v>
      </c>
      <c r="K162">
        <v>0.3</v>
      </c>
      <c r="L162">
        <f t="shared" si="8"/>
        <v>5720</v>
      </c>
      <c r="M162" t="s">
        <v>38</v>
      </c>
      <c r="O162" t="s">
        <v>38</v>
      </c>
      <c r="P162" t="s">
        <v>39</v>
      </c>
      <c r="Q162" t="s">
        <v>922</v>
      </c>
      <c r="R162" t="s">
        <v>925</v>
      </c>
      <c r="S162" t="s">
        <v>914</v>
      </c>
      <c r="T162" s="2">
        <f>'SUPUESTOS PRECIOS'!$B$9</f>
        <v>0</v>
      </c>
      <c r="U162" s="3">
        <f>'SUPUESTOS PRECIOS'!$B$5/'SUPUESTOS PRECIOS'!$B$4</f>
        <v>1000</v>
      </c>
      <c r="V162" s="3">
        <f>('SUPUESTOS PRECIOS'!$B$6-'SUPUESTOS PRECIOS'!$B$7)/'SUPUESTOS PRECIOS'!$B$4</f>
        <v>377.5</v>
      </c>
      <c r="W162" s="4">
        <f>'SUPUESTOS PRECIOS'!$B$8</f>
        <v>9.6799999999999994E-3</v>
      </c>
      <c r="X162" s="4">
        <f>'SUPUESTOS PRECIOS'!$B$2</f>
        <v>0.4</v>
      </c>
      <c r="Y162" s="3">
        <f t="shared" si="9"/>
        <v>9790</v>
      </c>
      <c r="Z162" s="3">
        <f t="shared" si="10"/>
        <v>3917.7328000000002</v>
      </c>
      <c r="AA162" s="11">
        <f t="shared" si="11"/>
        <v>0.40017699693564862</v>
      </c>
    </row>
    <row r="163" spans="1:27" x14ac:dyDescent="0.35">
      <c r="A163" s="10" t="s">
        <v>926</v>
      </c>
      <c r="B163" t="s">
        <v>927</v>
      </c>
      <c r="C163" t="s">
        <v>133</v>
      </c>
      <c r="D163" t="s">
        <v>893</v>
      </c>
      <c r="E163" t="s">
        <v>33</v>
      </c>
      <c r="F163" t="s">
        <v>928</v>
      </c>
      <c r="H163" t="s">
        <v>136</v>
      </c>
      <c r="I163" t="s">
        <v>929</v>
      </c>
      <c r="J163">
        <v>7000</v>
      </c>
      <c r="K163">
        <v>0.3</v>
      </c>
      <c r="L163">
        <f t="shared" si="8"/>
        <v>9100</v>
      </c>
      <c r="M163" t="s">
        <v>38</v>
      </c>
      <c r="O163" t="s">
        <v>38</v>
      </c>
      <c r="P163" t="s">
        <v>39</v>
      </c>
      <c r="Q163" t="s">
        <v>927</v>
      </c>
      <c r="R163" t="s">
        <v>930</v>
      </c>
      <c r="S163" t="s">
        <v>914</v>
      </c>
      <c r="T163" s="2">
        <f>'SUPUESTOS PRECIOS'!$B$9</f>
        <v>0</v>
      </c>
      <c r="U163" s="3">
        <f>'SUPUESTOS PRECIOS'!$B$5/'SUPUESTOS PRECIOS'!$B$4</f>
        <v>1000</v>
      </c>
      <c r="V163" s="3">
        <f>('SUPUESTOS PRECIOS'!$B$6-'SUPUESTOS PRECIOS'!$B$7)/'SUPUESTOS PRECIOS'!$B$4</f>
        <v>377.5</v>
      </c>
      <c r="W163" s="4">
        <f>'SUPUESTOS PRECIOS'!$B$8</f>
        <v>9.6799999999999994E-3</v>
      </c>
      <c r="X163" s="4">
        <f>'SUPUESTOS PRECIOS'!$B$2</f>
        <v>0.4</v>
      </c>
      <c r="Y163" s="3">
        <f t="shared" si="9"/>
        <v>14190</v>
      </c>
      <c r="Z163" s="3">
        <f t="shared" si="10"/>
        <v>5675.1408000000001</v>
      </c>
      <c r="AA163" s="11">
        <f t="shared" si="11"/>
        <v>0.39993945031712475</v>
      </c>
    </row>
    <row r="164" spans="1:27" x14ac:dyDescent="0.35">
      <c r="A164" s="10" t="s">
        <v>931</v>
      </c>
      <c r="B164" t="s">
        <v>932</v>
      </c>
      <c r="C164" t="s">
        <v>133</v>
      </c>
      <c r="D164" t="s">
        <v>893</v>
      </c>
      <c r="E164" t="s">
        <v>33</v>
      </c>
      <c r="F164" t="s">
        <v>933</v>
      </c>
      <c r="H164" t="s">
        <v>136</v>
      </c>
      <c r="I164" t="s">
        <v>934</v>
      </c>
      <c r="J164">
        <v>8800</v>
      </c>
      <c r="K164">
        <v>0.3</v>
      </c>
      <c r="L164">
        <f t="shared" si="8"/>
        <v>11440</v>
      </c>
      <c r="M164" t="s">
        <v>38</v>
      </c>
      <c r="O164" t="s">
        <v>38</v>
      </c>
      <c r="P164" t="s">
        <v>39</v>
      </c>
      <c r="Q164" t="s">
        <v>932</v>
      </c>
      <c r="R164" t="s">
        <v>935</v>
      </c>
      <c r="S164" t="s">
        <v>914</v>
      </c>
      <c r="T164" s="2">
        <f>'SUPUESTOS PRECIOS'!$B$9</f>
        <v>0</v>
      </c>
      <c r="U164" s="3">
        <f>'SUPUESTOS PRECIOS'!$B$5/'SUPUESTOS PRECIOS'!$B$4</f>
        <v>1000</v>
      </c>
      <c r="V164" s="3">
        <f>('SUPUESTOS PRECIOS'!$B$6-'SUPUESTOS PRECIOS'!$B$7)/'SUPUESTOS PRECIOS'!$B$4</f>
        <v>377.5</v>
      </c>
      <c r="W164" s="4">
        <f>'SUPUESTOS PRECIOS'!$B$8</f>
        <v>9.6799999999999994E-3</v>
      </c>
      <c r="X164" s="4">
        <f>'SUPUESTOS PRECIOS'!$B$2</f>
        <v>0.4</v>
      </c>
      <c r="Y164" s="3">
        <f t="shared" si="9"/>
        <v>17240</v>
      </c>
      <c r="Z164" s="3">
        <f t="shared" si="10"/>
        <v>6895.6167999999998</v>
      </c>
      <c r="AA164" s="11">
        <f t="shared" si="11"/>
        <v>0.39997777262180972</v>
      </c>
    </row>
    <row r="165" spans="1:27" x14ac:dyDescent="0.35">
      <c r="A165" s="10" t="s">
        <v>936</v>
      </c>
      <c r="B165" t="s">
        <v>937</v>
      </c>
      <c r="C165" t="s">
        <v>133</v>
      </c>
      <c r="D165" t="s">
        <v>938</v>
      </c>
      <c r="E165" t="s">
        <v>939</v>
      </c>
      <c r="F165" t="s">
        <v>940</v>
      </c>
      <c r="H165" t="s">
        <v>136</v>
      </c>
      <c r="I165" t="s">
        <v>941</v>
      </c>
      <c r="J165">
        <v>300</v>
      </c>
      <c r="K165">
        <v>0.3</v>
      </c>
      <c r="L165">
        <f t="shared" si="8"/>
        <v>390</v>
      </c>
      <c r="M165" t="s">
        <v>38</v>
      </c>
      <c r="O165" t="s">
        <v>38</v>
      </c>
      <c r="P165" t="s">
        <v>39</v>
      </c>
      <c r="Q165" t="s">
        <v>937</v>
      </c>
      <c r="R165" t="s">
        <v>942</v>
      </c>
      <c r="S165" t="s">
        <v>943</v>
      </c>
      <c r="T165" s="2">
        <f>'SUPUESTOS PRECIOS'!$B$9</f>
        <v>0</v>
      </c>
      <c r="U165" s="3">
        <f>'SUPUESTOS PRECIOS'!$B$5/'SUPUESTOS PRECIOS'!$B$4</f>
        <v>1000</v>
      </c>
      <c r="V165" s="3">
        <f>('SUPUESTOS PRECIOS'!$B$6-'SUPUESTOS PRECIOS'!$B$7)/'SUPUESTOS PRECIOS'!$B$4</f>
        <v>377.5</v>
      </c>
      <c r="W165" s="4">
        <f>'SUPUESTOS PRECIOS'!$B$8</f>
        <v>9.6799999999999994E-3</v>
      </c>
      <c r="X165" s="4">
        <f>'SUPUESTOS PRECIOS'!$B$2</f>
        <v>0.4</v>
      </c>
      <c r="Y165" s="3">
        <f t="shared" si="9"/>
        <v>2840</v>
      </c>
      <c r="Z165" s="3">
        <f t="shared" si="10"/>
        <v>1135.0088000000001</v>
      </c>
      <c r="AA165" s="11">
        <f t="shared" si="11"/>
        <v>0.39965098591549297</v>
      </c>
    </row>
    <row r="166" spans="1:27" x14ac:dyDescent="0.35">
      <c r="A166" s="10" t="s">
        <v>944</v>
      </c>
      <c r="B166" t="s">
        <v>945</v>
      </c>
      <c r="C166" t="s">
        <v>133</v>
      </c>
      <c r="D166" t="s">
        <v>938</v>
      </c>
      <c r="E166" t="s">
        <v>939</v>
      </c>
      <c r="F166" t="s">
        <v>946</v>
      </c>
      <c r="H166" t="s">
        <v>136</v>
      </c>
      <c r="I166" t="s">
        <v>947</v>
      </c>
      <c r="J166">
        <v>1400</v>
      </c>
      <c r="K166">
        <v>0.3</v>
      </c>
      <c r="L166">
        <f t="shared" si="8"/>
        <v>1820</v>
      </c>
      <c r="M166" t="s">
        <v>38</v>
      </c>
      <c r="O166" t="s">
        <v>38</v>
      </c>
      <c r="P166" t="s">
        <v>39</v>
      </c>
      <c r="Q166" t="s">
        <v>945</v>
      </c>
      <c r="R166" t="s">
        <v>948</v>
      </c>
      <c r="S166" t="s">
        <v>943</v>
      </c>
      <c r="T166" s="2">
        <f>'SUPUESTOS PRECIOS'!$B$9</f>
        <v>0</v>
      </c>
      <c r="U166" s="3">
        <f>'SUPUESTOS PRECIOS'!$B$5/'SUPUESTOS PRECIOS'!$B$4</f>
        <v>1000</v>
      </c>
      <c r="V166" s="3">
        <f>('SUPUESTOS PRECIOS'!$B$6-'SUPUESTOS PRECIOS'!$B$7)/'SUPUESTOS PRECIOS'!$B$4</f>
        <v>377.5</v>
      </c>
      <c r="W166" s="4">
        <f>'SUPUESTOS PRECIOS'!$B$8</f>
        <v>9.6799999999999994E-3</v>
      </c>
      <c r="X166" s="4">
        <f>'SUPUESTOS PRECIOS'!$B$2</f>
        <v>0.4</v>
      </c>
      <c r="Y166" s="3">
        <f t="shared" si="9"/>
        <v>4710</v>
      </c>
      <c r="Z166" s="3">
        <f t="shared" si="10"/>
        <v>1886.9072000000001</v>
      </c>
      <c r="AA166" s="11">
        <f t="shared" si="11"/>
        <v>0.40061723991507431</v>
      </c>
    </row>
    <row r="167" spans="1:27" x14ac:dyDescent="0.35">
      <c r="A167" s="10" t="s">
        <v>949</v>
      </c>
      <c r="B167" t="s">
        <v>950</v>
      </c>
      <c r="C167" t="s">
        <v>133</v>
      </c>
      <c r="D167" t="s">
        <v>938</v>
      </c>
      <c r="E167" t="s">
        <v>939</v>
      </c>
      <c r="F167" t="s">
        <v>951</v>
      </c>
      <c r="H167" t="s">
        <v>136</v>
      </c>
      <c r="I167" t="s">
        <v>952</v>
      </c>
      <c r="J167">
        <v>400</v>
      </c>
      <c r="K167">
        <v>0.3</v>
      </c>
      <c r="L167">
        <f t="shared" si="8"/>
        <v>520</v>
      </c>
      <c r="M167" t="s">
        <v>38</v>
      </c>
      <c r="O167" t="s">
        <v>38</v>
      </c>
      <c r="P167" t="s">
        <v>39</v>
      </c>
      <c r="Q167" t="s">
        <v>950</v>
      </c>
      <c r="R167" t="s">
        <v>953</v>
      </c>
      <c r="S167" t="s">
        <v>943</v>
      </c>
      <c r="T167" s="2">
        <f>'SUPUESTOS PRECIOS'!$B$9</f>
        <v>0</v>
      </c>
      <c r="U167" s="3">
        <f>'SUPUESTOS PRECIOS'!$B$5/'SUPUESTOS PRECIOS'!$B$4</f>
        <v>1000</v>
      </c>
      <c r="V167" s="3">
        <f>('SUPUESTOS PRECIOS'!$B$6-'SUPUESTOS PRECIOS'!$B$7)/'SUPUESTOS PRECIOS'!$B$4</f>
        <v>377.5</v>
      </c>
      <c r="W167" s="4">
        <f>'SUPUESTOS PRECIOS'!$B$8</f>
        <v>9.6799999999999994E-3</v>
      </c>
      <c r="X167" s="4">
        <f>'SUPUESTOS PRECIOS'!$B$2</f>
        <v>0.4</v>
      </c>
      <c r="Y167" s="3">
        <f t="shared" si="9"/>
        <v>3010</v>
      </c>
      <c r="Z167" s="3">
        <f t="shared" si="10"/>
        <v>1203.3632</v>
      </c>
      <c r="AA167" s="11">
        <f t="shared" si="11"/>
        <v>0.399788438538206</v>
      </c>
    </row>
    <row r="168" spans="1:27" x14ac:dyDescent="0.35">
      <c r="A168" s="10" t="s">
        <v>954</v>
      </c>
      <c r="B168" t="s">
        <v>955</v>
      </c>
      <c r="C168" t="s">
        <v>133</v>
      </c>
      <c r="D168" t="s">
        <v>938</v>
      </c>
      <c r="E168" t="s">
        <v>939</v>
      </c>
      <c r="F168" t="s">
        <v>956</v>
      </c>
      <c r="H168" t="s">
        <v>846</v>
      </c>
      <c r="I168" t="s">
        <v>957</v>
      </c>
      <c r="J168">
        <v>2280</v>
      </c>
      <c r="K168">
        <v>0.3</v>
      </c>
      <c r="L168">
        <f t="shared" si="8"/>
        <v>2964</v>
      </c>
      <c r="M168" t="s">
        <v>38</v>
      </c>
      <c r="O168" t="s">
        <v>38</v>
      </c>
      <c r="P168" t="s">
        <v>39</v>
      </c>
      <c r="Q168" t="s">
        <v>955</v>
      </c>
      <c r="R168" t="s">
        <v>958</v>
      </c>
      <c r="S168" t="s">
        <v>943</v>
      </c>
      <c r="T168" s="2">
        <f>'SUPUESTOS PRECIOS'!$B$9</f>
        <v>0</v>
      </c>
      <c r="U168" s="3">
        <f>'SUPUESTOS PRECIOS'!$B$5/'SUPUESTOS PRECIOS'!$B$4</f>
        <v>1000</v>
      </c>
      <c r="V168" s="3">
        <f>('SUPUESTOS PRECIOS'!$B$6-'SUPUESTOS PRECIOS'!$B$7)/'SUPUESTOS PRECIOS'!$B$4</f>
        <v>377.5</v>
      </c>
      <c r="W168" s="4">
        <f>'SUPUESTOS PRECIOS'!$B$8</f>
        <v>9.6799999999999994E-3</v>
      </c>
      <c r="X168" s="4">
        <f>'SUPUESTOS PRECIOS'!$B$2</f>
        <v>0.4</v>
      </c>
      <c r="Y168" s="3">
        <f t="shared" si="9"/>
        <v>6200</v>
      </c>
      <c r="Z168" s="3">
        <f t="shared" si="10"/>
        <v>2482.4839999999999</v>
      </c>
      <c r="AA168" s="11">
        <f t="shared" si="11"/>
        <v>0.40040064516129031</v>
      </c>
    </row>
    <row r="169" spans="1:27" x14ac:dyDescent="0.35">
      <c r="A169" s="10" t="s">
        <v>959</v>
      </c>
      <c r="B169" t="s">
        <v>960</v>
      </c>
      <c r="C169" t="s">
        <v>133</v>
      </c>
      <c r="D169" t="s">
        <v>938</v>
      </c>
      <c r="E169" t="s">
        <v>939</v>
      </c>
      <c r="F169" t="s">
        <v>961</v>
      </c>
      <c r="H169" t="s">
        <v>846</v>
      </c>
      <c r="I169" t="s">
        <v>962</v>
      </c>
      <c r="J169">
        <v>14000</v>
      </c>
      <c r="K169">
        <v>0.3</v>
      </c>
      <c r="L169">
        <f t="shared" si="8"/>
        <v>18200</v>
      </c>
      <c r="M169" t="s">
        <v>38</v>
      </c>
      <c r="O169" t="s">
        <v>38</v>
      </c>
      <c r="P169" t="s">
        <v>39</v>
      </c>
      <c r="Q169" t="s">
        <v>960</v>
      </c>
      <c r="R169" t="s">
        <v>963</v>
      </c>
      <c r="S169" t="s">
        <v>943</v>
      </c>
      <c r="T169" s="2">
        <f>'SUPUESTOS PRECIOS'!$B$9</f>
        <v>0</v>
      </c>
      <c r="U169" s="3">
        <f>'SUPUESTOS PRECIOS'!$B$5/'SUPUESTOS PRECIOS'!$B$4</f>
        <v>1000</v>
      </c>
      <c r="V169" s="3">
        <f>('SUPUESTOS PRECIOS'!$B$6-'SUPUESTOS PRECIOS'!$B$7)/'SUPUESTOS PRECIOS'!$B$4</f>
        <v>377.5</v>
      </c>
      <c r="W169" s="4">
        <f>'SUPUESTOS PRECIOS'!$B$8</f>
        <v>9.6799999999999994E-3</v>
      </c>
      <c r="X169" s="4">
        <f>'SUPUESTOS PRECIOS'!$B$2</f>
        <v>0.4</v>
      </c>
      <c r="Y169" s="3">
        <f t="shared" si="9"/>
        <v>26050</v>
      </c>
      <c r="Z169" s="3">
        <f t="shared" si="10"/>
        <v>10420.335999999999</v>
      </c>
      <c r="AA169" s="11">
        <f t="shared" si="11"/>
        <v>0.40001289827255276</v>
      </c>
    </row>
    <row r="170" spans="1:27" x14ac:dyDescent="0.35">
      <c r="A170" s="10" t="s">
        <v>964</v>
      </c>
      <c r="B170" t="s">
        <v>965</v>
      </c>
      <c r="C170" t="s">
        <v>133</v>
      </c>
      <c r="D170" t="s">
        <v>938</v>
      </c>
      <c r="E170" t="s">
        <v>939</v>
      </c>
      <c r="F170" t="s">
        <v>966</v>
      </c>
      <c r="H170" t="s">
        <v>136</v>
      </c>
      <c r="I170" t="s">
        <v>967</v>
      </c>
      <c r="J170">
        <v>650</v>
      </c>
      <c r="K170">
        <v>0.3</v>
      </c>
      <c r="L170">
        <f t="shared" si="8"/>
        <v>845</v>
      </c>
      <c r="M170" t="s">
        <v>38</v>
      </c>
      <c r="O170" t="s">
        <v>38</v>
      </c>
      <c r="P170" t="s">
        <v>39</v>
      </c>
      <c r="Q170" t="s">
        <v>965</v>
      </c>
      <c r="R170" t="s">
        <v>968</v>
      </c>
      <c r="S170" t="s">
        <v>943</v>
      </c>
      <c r="T170" s="2">
        <f>'SUPUESTOS PRECIOS'!$B$9</f>
        <v>0</v>
      </c>
      <c r="U170" s="3">
        <f>'SUPUESTOS PRECIOS'!$B$5/'SUPUESTOS PRECIOS'!$B$4</f>
        <v>1000</v>
      </c>
      <c r="V170" s="3">
        <f>('SUPUESTOS PRECIOS'!$B$6-'SUPUESTOS PRECIOS'!$B$7)/'SUPUESTOS PRECIOS'!$B$4</f>
        <v>377.5</v>
      </c>
      <c r="W170" s="4">
        <f>'SUPUESTOS PRECIOS'!$B$8</f>
        <v>9.6799999999999994E-3</v>
      </c>
      <c r="X170" s="4">
        <f>'SUPUESTOS PRECIOS'!$B$2</f>
        <v>0.4</v>
      </c>
      <c r="Y170" s="3">
        <f t="shared" si="9"/>
        <v>3430</v>
      </c>
      <c r="Z170" s="3">
        <f t="shared" si="10"/>
        <v>1369.2976000000001</v>
      </c>
      <c r="AA170" s="11">
        <f t="shared" si="11"/>
        <v>0.39921212827988339</v>
      </c>
    </row>
    <row r="171" spans="1:27" x14ac:dyDescent="0.35">
      <c r="A171" s="10" t="s">
        <v>969</v>
      </c>
      <c r="B171" t="s">
        <v>970</v>
      </c>
      <c r="C171" t="s">
        <v>133</v>
      </c>
      <c r="D171" t="s">
        <v>938</v>
      </c>
      <c r="E171" t="s">
        <v>33</v>
      </c>
      <c r="F171" t="s">
        <v>971</v>
      </c>
      <c r="H171" t="s">
        <v>136</v>
      </c>
      <c r="I171" t="s">
        <v>972</v>
      </c>
      <c r="J171">
        <v>1700</v>
      </c>
      <c r="K171">
        <v>0.3</v>
      </c>
      <c r="L171">
        <f t="shared" si="8"/>
        <v>2210</v>
      </c>
      <c r="M171" t="s">
        <v>38</v>
      </c>
      <c r="O171" t="s">
        <v>38</v>
      </c>
      <c r="P171" t="s">
        <v>39</v>
      </c>
      <c r="Q171" t="s">
        <v>970</v>
      </c>
      <c r="R171" t="s">
        <v>973</v>
      </c>
      <c r="S171" t="s">
        <v>943</v>
      </c>
      <c r="T171" s="2">
        <f>'SUPUESTOS PRECIOS'!$B$9</f>
        <v>0</v>
      </c>
      <c r="U171" s="3">
        <f>'SUPUESTOS PRECIOS'!$B$5/'SUPUESTOS PRECIOS'!$B$4</f>
        <v>1000</v>
      </c>
      <c r="V171" s="3">
        <f>('SUPUESTOS PRECIOS'!$B$6-'SUPUESTOS PRECIOS'!$B$7)/'SUPUESTOS PRECIOS'!$B$4</f>
        <v>377.5</v>
      </c>
      <c r="W171" s="4">
        <f>'SUPUESTOS PRECIOS'!$B$8</f>
        <v>9.6799999999999994E-3</v>
      </c>
      <c r="X171" s="4">
        <f>'SUPUESTOS PRECIOS'!$B$2</f>
        <v>0.4</v>
      </c>
      <c r="Y171" s="3">
        <f t="shared" si="9"/>
        <v>5210</v>
      </c>
      <c r="Z171" s="3">
        <f t="shared" si="10"/>
        <v>2082.0672</v>
      </c>
      <c r="AA171" s="11">
        <f t="shared" si="11"/>
        <v>0.39962902111324378</v>
      </c>
    </row>
    <row r="172" spans="1:27" x14ac:dyDescent="0.35">
      <c r="A172" s="10" t="s">
        <v>974</v>
      </c>
      <c r="B172" t="s">
        <v>975</v>
      </c>
      <c r="C172" t="s">
        <v>133</v>
      </c>
      <c r="D172" t="s">
        <v>976</v>
      </c>
      <c r="E172" t="s">
        <v>33</v>
      </c>
      <c r="F172" t="s">
        <v>977</v>
      </c>
      <c r="H172" t="s">
        <v>136</v>
      </c>
      <c r="I172" t="s">
        <v>978</v>
      </c>
      <c r="J172">
        <v>20000</v>
      </c>
      <c r="K172">
        <v>0.5</v>
      </c>
      <c r="L172">
        <f t="shared" si="8"/>
        <v>30000</v>
      </c>
      <c r="M172" t="s">
        <v>38</v>
      </c>
      <c r="O172" t="s">
        <v>38</v>
      </c>
      <c r="P172" t="s">
        <v>39</v>
      </c>
      <c r="Q172" t="s">
        <v>975</v>
      </c>
      <c r="R172" t="s">
        <v>979</v>
      </c>
      <c r="S172" t="s">
        <v>980</v>
      </c>
      <c r="T172" s="2">
        <f>'SUPUESTOS PRECIOS'!$B$9</f>
        <v>0</v>
      </c>
      <c r="U172" s="3">
        <f>'SUPUESTOS PRECIOS'!$B$5/'SUPUESTOS PRECIOS'!$B$4</f>
        <v>1000</v>
      </c>
      <c r="V172" s="3">
        <f>('SUPUESTOS PRECIOS'!$B$6-'SUPUESTOS PRECIOS'!$B$7)/'SUPUESTOS PRECIOS'!$B$4</f>
        <v>377.5</v>
      </c>
      <c r="W172" s="4">
        <f>'SUPUESTOS PRECIOS'!$B$8</f>
        <v>9.6799999999999994E-3</v>
      </c>
      <c r="X172" s="4">
        <f>'SUPUESTOS PRECIOS'!$B$2</f>
        <v>0.4</v>
      </c>
      <c r="Y172" s="3">
        <f t="shared" si="9"/>
        <v>36210</v>
      </c>
      <c r="Z172" s="3">
        <f t="shared" si="10"/>
        <v>14481.9872</v>
      </c>
      <c r="AA172" s="11">
        <f t="shared" si="11"/>
        <v>0.39994441314553991</v>
      </c>
    </row>
    <row r="173" spans="1:27" x14ac:dyDescent="0.35">
      <c r="A173" s="10" t="s">
        <v>981</v>
      </c>
      <c r="B173" t="s">
        <v>982</v>
      </c>
      <c r="C173" t="s">
        <v>133</v>
      </c>
      <c r="D173" t="s">
        <v>976</v>
      </c>
      <c r="E173" t="s">
        <v>33</v>
      </c>
      <c r="F173" t="s">
        <v>983</v>
      </c>
      <c r="H173" t="s">
        <v>136</v>
      </c>
      <c r="I173" t="s">
        <v>984</v>
      </c>
      <c r="J173">
        <v>4000</v>
      </c>
      <c r="K173">
        <v>0.5</v>
      </c>
      <c r="L173">
        <f t="shared" si="8"/>
        <v>6000</v>
      </c>
      <c r="M173" t="s">
        <v>38</v>
      </c>
      <c r="O173" t="s">
        <v>38</v>
      </c>
      <c r="P173" t="s">
        <v>39</v>
      </c>
      <c r="Q173" t="s">
        <v>982</v>
      </c>
      <c r="R173" t="s">
        <v>985</v>
      </c>
      <c r="S173" t="s">
        <v>980</v>
      </c>
      <c r="T173" s="2">
        <f>'SUPUESTOS PRECIOS'!$B$9</f>
        <v>0</v>
      </c>
      <c r="U173" s="3">
        <f>'SUPUESTOS PRECIOS'!$B$5/'SUPUESTOS PRECIOS'!$B$4</f>
        <v>1000</v>
      </c>
      <c r="V173" s="3">
        <f>('SUPUESTOS PRECIOS'!$B$6-'SUPUESTOS PRECIOS'!$B$7)/'SUPUESTOS PRECIOS'!$B$4</f>
        <v>377.5</v>
      </c>
      <c r="W173" s="4">
        <f>'SUPUESTOS PRECIOS'!$B$8</f>
        <v>9.6799999999999994E-3</v>
      </c>
      <c r="X173" s="4">
        <f>'SUPUESTOS PRECIOS'!$B$2</f>
        <v>0.4</v>
      </c>
      <c r="Y173" s="3">
        <f t="shared" si="9"/>
        <v>9110</v>
      </c>
      <c r="Z173" s="3">
        <f t="shared" si="10"/>
        <v>3644.3152</v>
      </c>
      <c r="AA173" s="11">
        <f t="shared" si="11"/>
        <v>0.40003459934138308</v>
      </c>
    </row>
    <row r="174" spans="1:27" x14ac:dyDescent="0.35">
      <c r="A174" s="10" t="s">
        <v>986</v>
      </c>
      <c r="B174" t="s">
        <v>987</v>
      </c>
      <c r="C174" t="s">
        <v>133</v>
      </c>
      <c r="D174" t="s">
        <v>976</v>
      </c>
      <c r="E174" t="s">
        <v>33</v>
      </c>
      <c r="F174" t="s">
        <v>988</v>
      </c>
      <c r="H174" t="s">
        <v>136</v>
      </c>
      <c r="I174" t="s">
        <v>989</v>
      </c>
      <c r="J174">
        <v>27000</v>
      </c>
      <c r="K174">
        <v>0.5</v>
      </c>
      <c r="L174">
        <f t="shared" si="8"/>
        <v>40500</v>
      </c>
      <c r="M174" t="s">
        <v>38</v>
      </c>
      <c r="O174" t="s">
        <v>38</v>
      </c>
      <c r="P174" t="s">
        <v>39</v>
      </c>
      <c r="Q174" t="s">
        <v>987</v>
      </c>
      <c r="R174" t="s">
        <v>990</v>
      </c>
      <c r="S174" t="s">
        <v>980</v>
      </c>
      <c r="T174" s="2">
        <f>'SUPUESTOS PRECIOS'!$B$9</f>
        <v>0</v>
      </c>
      <c r="U174" s="3">
        <f>'SUPUESTOS PRECIOS'!$B$5/'SUPUESTOS PRECIOS'!$B$4</f>
        <v>1000</v>
      </c>
      <c r="V174" s="3">
        <f>('SUPUESTOS PRECIOS'!$B$6-'SUPUESTOS PRECIOS'!$B$7)/'SUPUESTOS PRECIOS'!$B$4</f>
        <v>377.5</v>
      </c>
      <c r="W174" s="4">
        <f>'SUPUESTOS PRECIOS'!$B$8</f>
        <v>9.6799999999999994E-3</v>
      </c>
      <c r="X174" s="4">
        <f>'SUPUESTOS PRECIOS'!$B$2</f>
        <v>0.4</v>
      </c>
      <c r="Y174" s="3">
        <f t="shared" si="9"/>
        <v>48070</v>
      </c>
      <c r="Z174" s="3">
        <f t="shared" si="10"/>
        <v>19227.182400000002</v>
      </c>
      <c r="AA174" s="11">
        <f t="shared" si="11"/>
        <v>0.39998299147077182</v>
      </c>
    </row>
    <row r="175" spans="1:27" x14ac:dyDescent="0.35">
      <c r="A175" s="10" t="s">
        <v>991</v>
      </c>
      <c r="B175" t="s">
        <v>992</v>
      </c>
      <c r="C175" t="s">
        <v>133</v>
      </c>
      <c r="D175" t="s">
        <v>976</v>
      </c>
      <c r="E175" t="s">
        <v>33</v>
      </c>
      <c r="F175" t="s">
        <v>993</v>
      </c>
      <c r="H175" t="s">
        <v>846</v>
      </c>
      <c r="I175" t="s">
        <v>994</v>
      </c>
      <c r="J175">
        <v>700</v>
      </c>
      <c r="K175">
        <v>0.5</v>
      </c>
      <c r="L175">
        <f t="shared" si="8"/>
        <v>1050</v>
      </c>
      <c r="M175" t="s">
        <v>38</v>
      </c>
      <c r="O175" t="s">
        <v>38</v>
      </c>
      <c r="P175" t="s">
        <v>39</v>
      </c>
      <c r="Q175" t="s">
        <v>992</v>
      </c>
      <c r="R175" t="s">
        <v>995</v>
      </c>
      <c r="S175" t="s">
        <v>980</v>
      </c>
      <c r="T175" s="2">
        <f>'SUPUESTOS PRECIOS'!$B$9</f>
        <v>0</v>
      </c>
      <c r="U175" s="3">
        <f>'SUPUESTOS PRECIOS'!$B$5/'SUPUESTOS PRECIOS'!$B$4</f>
        <v>1000</v>
      </c>
      <c r="V175" s="3">
        <f>('SUPUESTOS PRECIOS'!$B$6-'SUPUESTOS PRECIOS'!$B$7)/'SUPUESTOS PRECIOS'!$B$4</f>
        <v>377.5</v>
      </c>
      <c r="W175" s="4">
        <f>'SUPUESTOS PRECIOS'!$B$8</f>
        <v>9.6799999999999994E-3</v>
      </c>
      <c r="X175" s="4">
        <f>'SUPUESTOS PRECIOS'!$B$2</f>
        <v>0.4</v>
      </c>
      <c r="Y175" s="3">
        <f t="shared" si="9"/>
        <v>3520</v>
      </c>
      <c r="Z175" s="3">
        <f t="shared" si="10"/>
        <v>1408.4264000000001</v>
      </c>
      <c r="AA175" s="11">
        <f t="shared" si="11"/>
        <v>0.40012113636363639</v>
      </c>
    </row>
    <row r="176" spans="1:27" x14ac:dyDescent="0.35">
      <c r="A176" s="10" t="s">
        <v>996</v>
      </c>
      <c r="B176" t="s">
        <v>997</v>
      </c>
      <c r="C176" t="s">
        <v>133</v>
      </c>
      <c r="D176" t="s">
        <v>976</v>
      </c>
      <c r="E176" t="s">
        <v>33</v>
      </c>
      <c r="F176" t="s">
        <v>998</v>
      </c>
      <c r="H176" t="s">
        <v>846</v>
      </c>
      <c r="I176" t="s">
        <v>999</v>
      </c>
      <c r="J176">
        <v>800</v>
      </c>
      <c r="K176">
        <v>0.5</v>
      </c>
      <c r="L176">
        <f t="shared" si="8"/>
        <v>1200</v>
      </c>
      <c r="M176" t="s">
        <v>38</v>
      </c>
      <c r="O176" t="s">
        <v>38</v>
      </c>
      <c r="P176" t="s">
        <v>39</v>
      </c>
      <c r="Q176" t="s">
        <v>997</v>
      </c>
      <c r="R176" t="s">
        <v>1000</v>
      </c>
      <c r="S176" t="s">
        <v>980</v>
      </c>
      <c r="T176" s="2">
        <f>'SUPUESTOS PRECIOS'!$B$9</f>
        <v>0</v>
      </c>
      <c r="U176" s="3">
        <f>'SUPUESTOS PRECIOS'!$B$5/'SUPUESTOS PRECIOS'!$B$4</f>
        <v>1000</v>
      </c>
      <c r="V176" s="3">
        <f>('SUPUESTOS PRECIOS'!$B$6-'SUPUESTOS PRECIOS'!$B$7)/'SUPUESTOS PRECIOS'!$B$4</f>
        <v>377.5</v>
      </c>
      <c r="W176" s="4">
        <f>'SUPUESTOS PRECIOS'!$B$8</f>
        <v>9.6799999999999994E-3</v>
      </c>
      <c r="X176" s="4">
        <f>'SUPUESTOS PRECIOS'!$B$2</f>
        <v>0.4</v>
      </c>
      <c r="Y176" s="3">
        <f t="shared" si="9"/>
        <v>3690</v>
      </c>
      <c r="Z176" s="3">
        <f t="shared" si="10"/>
        <v>1476.7808</v>
      </c>
      <c r="AA176" s="11">
        <f t="shared" si="11"/>
        <v>0.40021159891598918</v>
      </c>
    </row>
    <row r="177" spans="1:29" x14ac:dyDescent="0.35">
      <c r="A177" s="10" t="s">
        <v>1001</v>
      </c>
      <c r="B177" t="s">
        <v>1002</v>
      </c>
      <c r="C177" t="s">
        <v>31</v>
      </c>
      <c r="D177" t="s">
        <v>1003</v>
      </c>
      <c r="E177" t="s">
        <v>33</v>
      </c>
      <c r="F177" t="s">
        <v>1004</v>
      </c>
      <c r="H177" t="s">
        <v>136</v>
      </c>
      <c r="I177" t="s">
        <v>1005</v>
      </c>
      <c r="J177">
        <v>1400</v>
      </c>
      <c r="K177">
        <v>0.5</v>
      </c>
      <c r="L177">
        <f t="shared" si="8"/>
        <v>2100</v>
      </c>
      <c r="M177" t="s">
        <v>38</v>
      </c>
      <c r="O177" t="s">
        <v>38</v>
      </c>
      <c r="P177" t="s">
        <v>39</v>
      </c>
      <c r="Q177" t="s">
        <v>1002</v>
      </c>
      <c r="R177" t="s">
        <v>1006</v>
      </c>
      <c r="S177" t="s">
        <v>1007</v>
      </c>
      <c r="T177" s="2">
        <f>'SUPUESTOS PRECIOS'!$B$9</f>
        <v>0</v>
      </c>
      <c r="U177" s="3">
        <f>'SUPUESTOS PRECIOS'!$B$5/'SUPUESTOS PRECIOS'!$B$4</f>
        <v>1000</v>
      </c>
      <c r="V177" s="3">
        <f>('SUPUESTOS PRECIOS'!$B$6-'SUPUESTOS PRECIOS'!$B$7)/'SUPUESTOS PRECIOS'!$B$4</f>
        <v>377.5</v>
      </c>
      <c r="W177" s="4">
        <f>'SUPUESTOS PRECIOS'!$B$8</f>
        <v>9.6799999999999994E-3</v>
      </c>
      <c r="X177" s="4">
        <f>'SUPUESTOS PRECIOS'!$B$2</f>
        <v>0.4</v>
      </c>
      <c r="Y177" s="3">
        <f t="shared" si="9"/>
        <v>4710</v>
      </c>
      <c r="Z177" s="3">
        <f t="shared" si="10"/>
        <v>1886.9072000000001</v>
      </c>
      <c r="AA177" s="11">
        <f t="shared" si="11"/>
        <v>0.40061723991507431</v>
      </c>
    </row>
    <row r="178" spans="1:29" x14ac:dyDescent="0.35">
      <c r="A178" s="10" t="s">
        <v>1008</v>
      </c>
      <c r="B178" t="s">
        <v>1009</v>
      </c>
      <c r="C178" t="s">
        <v>31</v>
      </c>
      <c r="D178" t="s">
        <v>1003</v>
      </c>
      <c r="E178" t="s">
        <v>33</v>
      </c>
      <c r="F178" t="s">
        <v>1010</v>
      </c>
      <c r="H178" t="s">
        <v>136</v>
      </c>
      <c r="I178" t="s">
        <v>1011</v>
      </c>
      <c r="J178">
        <v>700</v>
      </c>
      <c r="K178">
        <v>0.5</v>
      </c>
      <c r="L178">
        <f t="shared" si="8"/>
        <v>1050</v>
      </c>
      <c r="M178" t="s">
        <v>38</v>
      </c>
      <c r="O178" t="s">
        <v>38</v>
      </c>
      <c r="P178" t="s">
        <v>39</v>
      </c>
      <c r="Q178" t="s">
        <v>1009</v>
      </c>
      <c r="R178" t="s">
        <v>1012</v>
      </c>
      <c r="S178" t="s">
        <v>1007</v>
      </c>
      <c r="T178" s="2">
        <f>'SUPUESTOS PRECIOS'!$B$9</f>
        <v>0</v>
      </c>
      <c r="U178" s="3">
        <f>'SUPUESTOS PRECIOS'!$B$5/'SUPUESTOS PRECIOS'!$B$4</f>
        <v>1000</v>
      </c>
      <c r="V178" s="3">
        <f>('SUPUESTOS PRECIOS'!$B$6-'SUPUESTOS PRECIOS'!$B$7)/'SUPUESTOS PRECIOS'!$B$4</f>
        <v>377.5</v>
      </c>
      <c r="W178" s="4">
        <f>'SUPUESTOS PRECIOS'!$B$8</f>
        <v>9.6799999999999994E-3</v>
      </c>
      <c r="X178" s="4">
        <f>'SUPUESTOS PRECIOS'!$B$2</f>
        <v>0.4</v>
      </c>
      <c r="Y178" s="3">
        <f t="shared" si="9"/>
        <v>3520</v>
      </c>
      <c r="Z178" s="3">
        <f t="shared" si="10"/>
        <v>1408.4264000000001</v>
      </c>
      <c r="AA178" s="11">
        <f t="shared" si="11"/>
        <v>0.40012113636363639</v>
      </c>
    </row>
    <row r="179" spans="1:29" x14ac:dyDescent="0.35">
      <c r="A179" s="10" t="s">
        <v>1013</v>
      </c>
      <c r="B179" t="s">
        <v>1014</v>
      </c>
      <c r="C179" t="s">
        <v>31</v>
      </c>
      <c r="D179" t="s">
        <v>1003</v>
      </c>
      <c r="E179" t="s">
        <v>1015</v>
      </c>
      <c r="F179" t="s">
        <v>1016</v>
      </c>
      <c r="H179" t="s">
        <v>136</v>
      </c>
      <c r="I179" t="s">
        <v>1017</v>
      </c>
      <c r="J179">
        <v>1800</v>
      </c>
      <c r="K179">
        <v>0.5</v>
      </c>
      <c r="L179">
        <f t="shared" si="8"/>
        <v>2700</v>
      </c>
      <c r="M179" t="s">
        <v>38</v>
      </c>
      <c r="O179" t="s">
        <v>38</v>
      </c>
      <c r="P179" t="s">
        <v>39</v>
      </c>
      <c r="Q179" t="s">
        <v>1014</v>
      </c>
      <c r="R179" t="s">
        <v>1018</v>
      </c>
      <c r="S179" t="s">
        <v>1007</v>
      </c>
      <c r="T179" s="2">
        <f>'SUPUESTOS PRECIOS'!$B$9</f>
        <v>0</v>
      </c>
      <c r="U179" s="3">
        <f>'SUPUESTOS PRECIOS'!$B$5/'SUPUESTOS PRECIOS'!$B$4</f>
        <v>1000</v>
      </c>
      <c r="V179" s="3">
        <f>('SUPUESTOS PRECIOS'!$B$6-'SUPUESTOS PRECIOS'!$B$7)/'SUPUESTOS PRECIOS'!$B$4</f>
        <v>377.5</v>
      </c>
      <c r="W179" s="4">
        <f>'SUPUESTOS PRECIOS'!$B$8</f>
        <v>9.6799999999999994E-3</v>
      </c>
      <c r="X179" s="4">
        <f>'SUPUESTOS PRECIOS'!$B$2</f>
        <v>0.4</v>
      </c>
      <c r="Y179" s="3">
        <f t="shared" si="9"/>
        <v>5380</v>
      </c>
      <c r="Z179" s="3">
        <f t="shared" si="10"/>
        <v>2150.4216000000001</v>
      </c>
      <c r="AA179" s="11">
        <f t="shared" si="11"/>
        <v>0.39970661710037175</v>
      </c>
    </row>
    <row r="180" spans="1:29" x14ac:dyDescent="0.35">
      <c r="A180" s="10" t="s">
        <v>1019</v>
      </c>
      <c r="B180" t="s">
        <v>1020</v>
      </c>
      <c r="C180" t="s">
        <v>31</v>
      </c>
      <c r="D180" t="s">
        <v>1003</v>
      </c>
      <c r="E180" t="s">
        <v>1021</v>
      </c>
      <c r="F180" t="s">
        <v>1022</v>
      </c>
      <c r="H180" t="s">
        <v>136</v>
      </c>
      <c r="I180" t="s">
        <v>1023</v>
      </c>
      <c r="J180">
        <v>1400</v>
      </c>
      <c r="K180">
        <v>0.5</v>
      </c>
      <c r="L180">
        <f t="shared" si="8"/>
        <v>2100</v>
      </c>
      <c r="M180" t="s">
        <v>38</v>
      </c>
      <c r="O180" t="s">
        <v>38</v>
      </c>
      <c r="P180" t="s">
        <v>39</v>
      </c>
      <c r="Q180" t="s">
        <v>1020</v>
      </c>
      <c r="R180" t="s">
        <v>1024</v>
      </c>
      <c r="S180" t="s">
        <v>1007</v>
      </c>
      <c r="T180" s="2">
        <f>'SUPUESTOS PRECIOS'!$B$9</f>
        <v>0</v>
      </c>
      <c r="U180" s="3">
        <f>'SUPUESTOS PRECIOS'!$B$5/'SUPUESTOS PRECIOS'!$B$4</f>
        <v>1000</v>
      </c>
      <c r="V180" s="3">
        <f>('SUPUESTOS PRECIOS'!$B$6-'SUPUESTOS PRECIOS'!$B$7)/'SUPUESTOS PRECIOS'!$B$4</f>
        <v>377.5</v>
      </c>
      <c r="W180" s="4">
        <f>'SUPUESTOS PRECIOS'!$B$8</f>
        <v>9.6799999999999994E-3</v>
      </c>
      <c r="X180" s="4">
        <f>'SUPUESTOS PRECIOS'!$B$2</f>
        <v>0.4</v>
      </c>
      <c r="Y180" s="3">
        <f t="shared" si="9"/>
        <v>4710</v>
      </c>
      <c r="Z180" s="3">
        <f t="shared" si="10"/>
        <v>1886.9072000000001</v>
      </c>
      <c r="AA180" s="11">
        <f t="shared" si="11"/>
        <v>0.40061723991507431</v>
      </c>
    </row>
    <row r="181" spans="1:29" x14ac:dyDescent="0.35">
      <c r="A181" s="10" t="s">
        <v>1025</v>
      </c>
      <c r="B181" t="s">
        <v>1026</v>
      </c>
      <c r="C181" t="s">
        <v>31</v>
      </c>
      <c r="D181" t="s">
        <v>1003</v>
      </c>
      <c r="E181" t="s">
        <v>33</v>
      </c>
      <c r="F181" t="s">
        <v>1027</v>
      </c>
      <c r="H181" t="s">
        <v>136</v>
      </c>
      <c r="I181" t="s">
        <v>1028</v>
      </c>
      <c r="J181">
        <v>2600</v>
      </c>
      <c r="K181">
        <v>0.5</v>
      </c>
      <c r="L181">
        <f t="shared" si="8"/>
        <v>3900</v>
      </c>
      <c r="M181" t="s">
        <v>38</v>
      </c>
      <c r="O181" t="s">
        <v>38</v>
      </c>
      <c r="P181" t="s">
        <v>39</v>
      </c>
      <c r="Q181" t="s">
        <v>1026</v>
      </c>
      <c r="R181" t="s">
        <v>1029</v>
      </c>
      <c r="S181" t="s">
        <v>1007</v>
      </c>
      <c r="T181" s="2">
        <f>'SUPUESTOS PRECIOS'!$B$9</f>
        <v>0</v>
      </c>
      <c r="U181" s="3">
        <f>'SUPUESTOS PRECIOS'!$B$5/'SUPUESTOS PRECIOS'!$B$4</f>
        <v>1000</v>
      </c>
      <c r="V181" s="3">
        <f>('SUPUESTOS PRECIOS'!$B$6-'SUPUESTOS PRECIOS'!$B$7)/'SUPUESTOS PRECIOS'!$B$4</f>
        <v>377.5</v>
      </c>
      <c r="W181" s="4">
        <f>'SUPUESTOS PRECIOS'!$B$8</f>
        <v>9.6799999999999994E-3</v>
      </c>
      <c r="X181" s="4">
        <f>'SUPUESTOS PRECIOS'!$B$2</f>
        <v>0.4</v>
      </c>
      <c r="Y181" s="3">
        <f t="shared" si="9"/>
        <v>6740</v>
      </c>
      <c r="Z181" s="3">
        <f t="shared" si="10"/>
        <v>2697.2568000000001</v>
      </c>
      <c r="AA181" s="11">
        <f t="shared" si="11"/>
        <v>0.40018646884273001</v>
      </c>
    </row>
    <row r="182" spans="1:29" x14ac:dyDescent="0.35">
      <c r="A182" s="10" t="s">
        <v>1030</v>
      </c>
      <c r="B182" t="s">
        <v>1031</v>
      </c>
      <c r="C182" t="s">
        <v>90</v>
      </c>
      <c r="D182" t="s">
        <v>1032</v>
      </c>
      <c r="E182" t="s">
        <v>1033</v>
      </c>
      <c r="F182" t="s">
        <v>1034</v>
      </c>
      <c r="H182" t="s">
        <v>136</v>
      </c>
      <c r="I182" t="s">
        <v>1035</v>
      </c>
      <c r="J182">
        <v>2600</v>
      </c>
      <c r="K182">
        <v>0.5</v>
      </c>
      <c r="L182">
        <f t="shared" si="8"/>
        <v>3900</v>
      </c>
      <c r="M182" t="s">
        <v>38</v>
      </c>
      <c r="O182" t="s">
        <v>38</v>
      </c>
      <c r="P182" t="s">
        <v>39</v>
      </c>
      <c r="Q182" t="s">
        <v>1031</v>
      </c>
      <c r="R182" t="s">
        <v>1036</v>
      </c>
      <c r="S182" t="s">
        <v>1037</v>
      </c>
      <c r="T182" s="2">
        <f>'SUPUESTOS PRECIOS'!$B$9</f>
        <v>0</v>
      </c>
      <c r="U182" s="3">
        <f>'SUPUESTOS PRECIOS'!$B$5/'SUPUESTOS PRECIOS'!$B$4</f>
        <v>1000</v>
      </c>
      <c r="V182" s="3">
        <f>('SUPUESTOS PRECIOS'!$B$6-'SUPUESTOS PRECIOS'!$B$7)/'SUPUESTOS PRECIOS'!$B$4</f>
        <v>377.5</v>
      </c>
      <c r="W182" s="4">
        <f>'SUPUESTOS PRECIOS'!$B$8</f>
        <v>9.6799999999999994E-3</v>
      </c>
      <c r="X182" s="4">
        <f>'SUPUESTOS PRECIOS'!$B$2</f>
        <v>0.4</v>
      </c>
      <c r="Y182" s="3">
        <f t="shared" si="9"/>
        <v>6740</v>
      </c>
      <c r="Z182" s="3">
        <f t="shared" si="10"/>
        <v>2697.2568000000001</v>
      </c>
      <c r="AA182" s="11">
        <f t="shared" si="11"/>
        <v>0.40018646884273001</v>
      </c>
    </row>
    <row r="183" spans="1:29" x14ac:dyDescent="0.35">
      <c r="A183" s="10" t="s">
        <v>1038</v>
      </c>
      <c r="B183" t="s">
        <v>1039</v>
      </c>
      <c r="C183" t="s">
        <v>105</v>
      </c>
      <c r="D183" t="s">
        <v>1040</v>
      </c>
      <c r="E183" t="s">
        <v>1041</v>
      </c>
      <c r="F183" t="s">
        <v>1042</v>
      </c>
      <c r="H183" t="s">
        <v>136</v>
      </c>
      <c r="I183" t="s">
        <v>1043</v>
      </c>
      <c r="J183">
        <v>3200</v>
      </c>
      <c r="K183">
        <v>0.5</v>
      </c>
      <c r="L183">
        <f t="shared" si="8"/>
        <v>4800</v>
      </c>
      <c r="M183" t="s">
        <v>38</v>
      </c>
      <c r="O183" t="s">
        <v>38</v>
      </c>
      <c r="P183" t="s">
        <v>39</v>
      </c>
      <c r="Q183" t="s">
        <v>1039</v>
      </c>
      <c r="R183" t="s">
        <v>1044</v>
      </c>
      <c r="S183" t="s">
        <v>1045</v>
      </c>
      <c r="T183" s="2">
        <f>'SUPUESTOS PRECIOS'!$B$9</f>
        <v>0</v>
      </c>
      <c r="U183" s="3">
        <f>'SUPUESTOS PRECIOS'!$B$5/'SUPUESTOS PRECIOS'!$B$4</f>
        <v>1000</v>
      </c>
      <c r="V183" s="3">
        <f>('SUPUESTOS PRECIOS'!$B$6-'SUPUESTOS PRECIOS'!$B$7)/'SUPUESTOS PRECIOS'!$B$4</f>
        <v>377.5</v>
      </c>
      <c r="W183" s="4">
        <f>'SUPUESTOS PRECIOS'!$B$8</f>
        <v>9.6799999999999994E-3</v>
      </c>
      <c r="X183" s="4">
        <f>'SUPUESTOS PRECIOS'!$B$2</f>
        <v>0.4</v>
      </c>
      <c r="Y183" s="3">
        <f t="shared" si="9"/>
        <v>7750</v>
      </c>
      <c r="Z183" s="3">
        <f t="shared" si="10"/>
        <v>3097.48</v>
      </c>
      <c r="AA183" s="11">
        <f t="shared" si="11"/>
        <v>0.3996748387096774</v>
      </c>
    </row>
    <row r="184" spans="1:29" x14ac:dyDescent="0.35">
      <c r="A184" s="10" t="s">
        <v>1046</v>
      </c>
      <c r="B184" t="s">
        <v>1047</v>
      </c>
      <c r="C184" t="s">
        <v>1048</v>
      </c>
      <c r="D184" t="s">
        <v>1049</v>
      </c>
      <c r="E184" t="s">
        <v>1050</v>
      </c>
      <c r="F184" t="s">
        <v>1051</v>
      </c>
      <c r="H184" t="s">
        <v>136</v>
      </c>
      <c r="I184" t="s">
        <v>1052</v>
      </c>
      <c r="J184">
        <v>4600</v>
      </c>
      <c r="K184">
        <v>0.5</v>
      </c>
      <c r="L184">
        <f t="shared" si="8"/>
        <v>6900</v>
      </c>
      <c r="M184" t="s">
        <v>38</v>
      </c>
      <c r="O184" t="s">
        <v>38</v>
      </c>
      <c r="P184" t="s">
        <v>764</v>
      </c>
      <c r="Q184" t="s">
        <v>1047</v>
      </c>
      <c r="R184" t="s">
        <v>1053</v>
      </c>
      <c r="S184" t="s">
        <v>1054</v>
      </c>
      <c r="T184" s="2">
        <f>'SUPUESTOS PRECIOS'!$B$9</f>
        <v>0</v>
      </c>
      <c r="U184" s="3">
        <f>'SUPUESTOS PRECIOS'!$B$5/'SUPUESTOS PRECIOS'!$B$4</f>
        <v>1000</v>
      </c>
      <c r="V184" s="3">
        <f>('SUPUESTOS PRECIOS'!$B$6-'SUPUESTOS PRECIOS'!$B$7)/'SUPUESTOS PRECIOS'!$B$4</f>
        <v>377.5</v>
      </c>
      <c r="W184" s="4">
        <f>'SUPUESTOS PRECIOS'!$B$8</f>
        <v>9.6799999999999994E-3</v>
      </c>
      <c r="X184" s="4">
        <f>'SUPUESTOS PRECIOS'!$B$2</f>
        <v>0.4</v>
      </c>
      <c r="Y184" s="3">
        <f t="shared" si="9"/>
        <v>10130</v>
      </c>
      <c r="Z184" s="3">
        <f t="shared" si="10"/>
        <v>4054.4416000000001</v>
      </c>
      <c r="AA184" s="11">
        <f t="shared" si="11"/>
        <v>0.40024102665350447</v>
      </c>
    </row>
    <row r="185" spans="1:29" x14ac:dyDescent="0.35">
      <c r="A185" s="10" t="s">
        <v>1055</v>
      </c>
      <c r="B185" t="s">
        <v>1056</v>
      </c>
      <c r="C185" t="s">
        <v>44</v>
      </c>
      <c r="D185" t="s">
        <v>1057</v>
      </c>
      <c r="E185" t="s">
        <v>1058</v>
      </c>
      <c r="F185" t="s">
        <v>1059</v>
      </c>
      <c r="H185" t="s">
        <v>136</v>
      </c>
      <c r="I185" t="s">
        <v>1060</v>
      </c>
      <c r="J185">
        <v>2600</v>
      </c>
      <c r="K185">
        <v>0.5</v>
      </c>
      <c r="L185">
        <f t="shared" si="8"/>
        <v>3900</v>
      </c>
      <c r="M185" t="s">
        <v>38</v>
      </c>
      <c r="O185" t="s">
        <v>38</v>
      </c>
      <c r="P185" t="s">
        <v>39</v>
      </c>
      <c r="Q185" t="s">
        <v>1056</v>
      </c>
      <c r="R185" t="s">
        <v>1061</v>
      </c>
      <c r="S185" t="s">
        <v>1062</v>
      </c>
      <c r="T185" s="2">
        <f>'SUPUESTOS PRECIOS'!$B$9</f>
        <v>0</v>
      </c>
      <c r="U185" s="3">
        <f>'SUPUESTOS PRECIOS'!$B$5/'SUPUESTOS PRECIOS'!$B$4</f>
        <v>1000</v>
      </c>
      <c r="V185" s="3">
        <f>('SUPUESTOS PRECIOS'!$B$6-'SUPUESTOS PRECIOS'!$B$7)/'SUPUESTOS PRECIOS'!$B$4</f>
        <v>377.5</v>
      </c>
      <c r="W185" s="4">
        <f>'SUPUESTOS PRECIOS'!$B$8</f>
        <v>9.6799999999999994E-3</v>
      </c>
      <c r="X185" s="4">
        <f>'SUPUESTOS PRECIOS'!$B$2</f>
        <v>0.4</v>
      </c>
      <c r="Y185" s="3">
        <f t="shared" si="9"/>
        <v>6740</v>
      </c>
      <c r="Z185" s="3">
        <f t="shared" si="10"/>
        <v>2697.2568000000001</v>
      </c>
      <c r="AA185" s="11">
        <f t="shared" si="11"/>
        <v>0.40018646884273001</v>
      </c>
    </row>
    <row r="186" spans="1:29" x14ac:dyDescent="0.35">
      <c r="A186" s="10" t="s">
        <v>1063</v>
      </c>
      <c r="B186" t="s">
        <v>1064</v>
      </c>
      <c r="C186" t="s">
        <v>66</v>
      </c>
      <c r="D186" t="s">
        <v>1065</v>
      </c>
      <c r="E186" t="s">
        <v>1066</v>
      </c>
      <c r="F186" t="s">
        <v>1066</v>
      </c>
      <c r="H186" t="s">
        <v>136</v>
      </c>
      <c r="I186" t="s">
        <v>1067</v>
      </c>
      <c r="J186">
        <v>2900</v>
      </c>
      <c r="K186">
        <v>0.5</v>
      </c>
      <c r="L186">
        <f t="shared" si="8"/>
        <v>4350</v>
      </c>
      <c r="M186" t="s">
        <v>38</v>
      </c>
      <c r="O186" t="s">
        <v>38</v>
      </c>
      <c r="P186" t="s">
        <v>39</v>
      </c>
      <c r="Q186" t="s">
        <v>1064</v>
      </c>
      <c r="R186" t="s">
        <v>1068</v>
      </c>
      <c r="S186" t="s">
        <v>1069</v>
      </c>
      <c r="T186" s="2">
        <f>'SUPUESTOS PRECIOS'!$B$9</f>
        <v>0</v>
      </c>
      <c r="U186" s="3">
        <f>'SUPUESTOS PRECIOS'!$B$5/'SUPUESTOS PRECIOS'!$B$4</f>
        <v>1000</v>
      </c>
      <c r="V186" s="3">
        <f>('SUPUESTOS PRECIOS'!$B$6-'SUPUESTOS PRECIOS'!$B$7)/'SUPUESTOS PRECIOS'!$B$4</f>
        <v>377.5</v>
      </c>
      <c r="W186" s="4">
        <f>'SUPUESTOS PRECIOS'!$B$8</f>
        <v>9.6799999999999994E-3</v>
      </c>
      <c r="X186" s="4">
        <f>'SUPUESTOS PRECIOS'!$B$2</f>
        <v>0.4</v>
      </c>
      <c r="Y186" s="3">
        <f t="shared" si="9"/>
        <v>7250</v>
      </c>
      <c r="Z186" s="3">
        <f t="shared" si="10"/>
        <v>2902.32</v>
      </c>
      <c r="AA186" s="11">
        <f t="shared" si="11"/>
        <v>0.40032000000000001</v>
      </c>
    </row>
    <row r="187" spans="1:29" x14ac:dyDescent="0.35">
      <c r="A187" s="10" t="s">
        <v>1070</v>
      </c>
      <c r="B187" t="s">
        <v>1071</v>
      </c>
      <c r="C187" t="s">
        <v>1048</v>
      </c>
      <c r="D187" t="s">
        <v>1072</v>
      </c>
      <c r="E187" t="s">
        <v>1073</v>
      </c>
      <c r="F187" t="s">
        <v>1074</v>
      </c>
      <c r="H187" t="s">
        <v>136</v>
      </c>
      <c r="I187" t="s">
        <v>1075</v>
      </c>
      <c r="J187">
        <v>4200</v>
      </c>
      <c r="K187">
        <v>0.5</v>
      </c>
      <c r="L187">
        <f t="shared" si="8"/>
        <v>6300</v>
      </c>
      <c r="M187" t="s">
        <v>38</v>
      </c>
      <c r="O187" t="s">
        <v>38</v>
      </c>
      <c r="P187" t="s">
        <v>39</v>
      </c>
      <c r="Q187" t="s">
        <v>1071</v>
      </c>
      <c r="R187" t="s">
        <v>1076</v>
      </c>
      <c r="S187" t="s">
        <v>1077</v>
      </c>
      <c r="T187" s="2">
        <f>'SUPUESTOS PRECIOS'!$B$9</f>
        <v>0</v>
      </c>
      <c r="U187" s="3">
        <f>'SUPUESTOS PRECIOS'!$B$5/'SUPUESTOS PRECIOS'!$B$4</f>
        <v>1000</v>
      </c>
      <c r="V187" s="3">
        <f>('SUPUESTOS PRECIOS'!$B$6-'SUPUESTOS PRECIOS'!$B$7)/'SUPUESTOS PRECIOS'!$B$4</f>
        <v>377.5</v>
      </c>
      <c r="W187" s="4">
        <f>'SUPUESTOS PRECIOS'!$B$8</f>
        <v>9.6799999999999994E-3</v>
      </c>
      <c r="X187" s="4">
        <f>'SUPUESTOS PRECIOS'!$B$2</f>
        <v>0.4</v>
      </c>
      <c r="Y187" s="3">
        <f t="shared" si="9"/>
        <v>9450</v>
      </c>
      <c r="Z187" s="3">
        <f t="shared" si="10"/>
        <v>3781.0239999999999</v>
      </c>
      <c r="AA187" s="11">
        <f t="shared" si="11"/>
        <v>0.40010835978835979</v>
      </c>
    </row>
    <row r="188" spans="1:29" x14ac:dyDescent="0.35">
      <c r="A188" s="10" t="s">
        <v>1078</v>
      </c>
      <c r="B188" t="s">
        <v>1079</v>
      </c>
      <c r="C188" t="s">
        <v>1048</v>
      </c>
      <c r="D188" t="s">
        <v>1072</v>
      </c>
      <c r="E188" t="s">
        <v>1080</v>
      </c>
      <c r="F188" t="s">
        <v>1081</v>
      </c>
      <c r="H188" t="s">
        <v>136</v>
      </c>
      <c r="I188" t="s">
        <v>1082</v>
      </c>
      <c r="J188">
        <v>6000</v>
      </c>
      <c r="K188">
        <v>0.5</v>
      </c>
      <c r="L188">
        <f t="shared" si="8"/>
        <v>9000</v>
      </c>
      <c r="M188" t="s">
        <v>38</v>
      </c>
      <c r="O188" t="s">
        <v>38</v>
      </c>
      <c r="P188" t="s">
        <v>39</v>
      </c>
      <c r="Q188" t="s">
        <v>1079</v>
      </c>
      <c r="R188" t="s">
        <v>1083</v>
      </c>
      <c r="S188" t="s">
        <v>1077</v>
      </c>
      <c r="T188" s="2">
        <f>'SUPUESTOS PRECIOS'!$B$9</f>
        <v>0</v>
      </c>
      <c r="U188" s="3">
        <f>'SUPUESTOS PRECIOS'!$B$5/'SUPUESTOS PRECIOS'!$B$4</f>
        <v>1000</v>
      </c>
      <c r="V188" s="3">
        <f>('SUPUESTOS PRECIOS'!$B$6-'SUPUESTOS PRECIOS'!$B$7)/'SUPUESTOS PRECIOS'!$B$4</f>
        <v>377.5</v>
      </c>
      <c r="W188" s="4">
        <f>'SUPUESTOS PRECIOS'!$B$8</f>
        <v>9.6799999999999994E-3</v>
      </c>
      <c r="X188" s="4">
        <f>'SUPUESTOS PRECIOS'!$B$2</f>
        <v>0.4</v>
      </c>
      <c r="Y188" s="3">
        <f t="shared" si="9"/>
        <v>12500</v>
      </c>
      <c r="Z188" s="3">
        <f t="shared" si="10"/>
        <v>5001.5</v>
      </c>
      <c r="AA188" s="11">
        <f t="shared" si="11"/>
        <v>0.40011999999999998</v>
      </c>
    </row>
    <row r="189" spans="1:29" x14ac:dyDescent="0.35">
      <c r="A189" s="10" t="s">
        <v>1084</v>
      </c>
      <c r="B189" t="s">
        <v>1085</v>
      </c>
      <c r="C189" t="s">
        <v>1048</v>
      </c>
      <c r="D189" t="s">
        <v>1072</v>
      </c>
      <c r="E189" t="s">
        <v>1080</v>
      </c>
      <c r="F189" t="s">
        <v>1086</v>
      </c>
      <c r="H189" t="s">
        <v>136</v>
      </c>
      <c r="I189" t="s">
        <v>1087</v>
      </c>
      <c r="J189">
        <v>5000</v>
      </c>
      <c r="K189">
        <v>0.5</v>
      </c>
      <c r="L189">
        <f t="shared" si="8"/>
        <v>7500</v>
      </c>
      <c r="M189" t="s">
        <v>38</v>
      </c>
      <c r="O189" t="s">
        <v>38</v>
      </c>
      <c r="P189" t="s">
        <v>39</v>
      </c>
      <c r="Q189" t="s">
        <v>1085</v>
      </c>
      <c r="R189" t="s">
        <v>1088</v>
      </c>
      <c r="S189" t="s">
        <v>1077</v>
      </c>
      <c r="T189" s="2">
        <f>'SUPUESTOS PRECIOS'!$B$9</f>
        <v>0</v>
      </c>
      <c r="U189" s="3">
        <f>'SUPUESTOS PRECIOS'!$B$5/'SUPUESTOS PRECIOS'!$B$4</f>
        <v>1000</v>
      </c>
      <c r="V189" s="3">
        <f>('SUPUESTOS PRECIOS'!$B$6-'SUPUESTOS PRECIOS'!$B$7)/'SUPUESTOS PRECIOS'!$B$4</f>
        <v>377.5</v>
      </c>
      <c r="W189" s="4">
        <f>'SUPUESTOS PRECIOS'!$B$8</f>
        <v>9.6799999999999994E-3</v>
      </c>
      <c r="X189" s="4">
        <f>'SUPUESTOS PRECIOS'!$B$2</f>
        <v>0.4</v>
      </c>
      <c r="Y189" s="3">
        <f t="shared" si="9"/>
        <v>10800</v>
      </c>
      <c r="Z189" s="3">
        <f t="shared" si="10"/>
        <v>4317.9560000000001</v>
      </c>
      <c r="AA189" s="11">
        <f t="shared" si="11"/>
        <v>0.39981074074074074</v>
      </c>
    </row>
    <row r="190" spans="1:29" x14ac:dyDescent="0.35">
      <c r="A190" s="10" t="s">
        <v>1089</v>
      </c>
      <c r="B190" t="s">
        <v>1090</v>
      </c>
      <c r="C190" t="s">
        <v>133</v>
      </c>
      <c r="D190" t="s">
        <v>1091</v>
      </c>
      <c r="E190" t="s">
        <v>939</v>
      </c>
      <c r="F190" t="s">
        <v>1092</v>
      </c>
      <c r="G190" t="s">
        <v>1093</v>
      </c>
      <c r="H190" t="s">
        <v>136</v>
      </c>
      <c r="I190" t="s">
        <v>1094</v>
      </c>
      <c r="J190">
        <v>1300</v>
      </c>
      <c r="K190">
        <v>0.5</v>
      </c>
      <c r="L190">
        <f t="shared" si="8"/>
        <v>1950</v>
      </c>
      <c r="M190" t="s">
        <v>38</v>
      </c>
      <c r="O190" t="s">
        <v>38</v>
      </c>
      <c r="P190" t="s">
        <v>39</v>
      </c>
      <c r="Q190" t="s">
        <v>1090</v>
      </c>
      <c r="R190" t="s">
        <v>1095</v>
      </c>
      <c r="S190" t="s">
        <v>1096</v>
      </c>
      <c r="T190" s="2">
        <f>'SUPUESTOS PRECIOS'!$B$9</f>
        <v>0</v>
      </c>
      <c r="U190" s="3">
        <f>'SUPUESTOS PRECIOS'!$B$5/'SUPUESTOS PRECIOS'!$B$4</f>
        <v>1000</v>
      </c>
      <c r="V190" s="3">
        <f>('SUPUESTOS PRECIOS'!$B$6-'SUPUESTOS PRECIOS'!$B$7)/'SUPUESTOS PRECIOS'!$B$4</f>
        <v>377.5</v>
      </c>
      <c r="W190" s="4">
        <f>'SUPUESTOS PRECIOS'!$B$8</f>
        <v>9.6799999999999994E-3</v>
      </c>
      <c r="X190" s="4">
        <f>'SUPUESTOS PRECIOS'!$B$2</f>
        <v>0.4</v>
      </c>
      <c r="Y190" s="3">
        <f t="shared" si="9"/>
        <v>4540</v>
      </c>
      <c r="Z190" s="3">
        <f t="shared" si="10"/>
        <v>1818.5527999999999</v>
      </c>
      <c r="AA190" s="11">
        <f t="shared" si="11"/>
        <v>0.40056229074889865</v>
      </c>
      <c r="AB190" t="s">
        <v>1097</v>
      </c>
      <c r="AC190" t="s">
        <v>1098</v>
      </c>
    </row>
    <row r="191" spans="1:29" x14ac:dyDescent="0.35">
      <c r="A191" s="10" t="s">
        <v>1099</v>
      </c>
      <c r="B191" t="s">
        <v>1100</v>
      </c>
      <c r="C191" t="s">
        <v>133</v>
      </c>
      <c r="D191" t="s">
        <v>1091</v>
      </c>
      <c r="E191" t="s">
        <v>939</v>
      </c>
      <c r="F191" t="s">
        <v>1092</v>
      </c>
      <c r="G191" t="s">
        <v>1101</v>
      </c>
      <c r="H191" t="s">
        <v>136</v>
      </c>
      <c r="I191" t="s">
        <v>1102</v>
      </c>
      <c r="J191">
        <v>1300</v>
      </c>
      <c r="K191">
        <v>0.5</v>
      </c>
      <c r="L191">
        <f t="shared" si="8"/>
        <v>1950</v>
      </c>
      <c r="M191" t="s">
        <v>38</v>
      </c>
      <c r="O191" t="s">
        <v>38</v>
      </c>
      <c r="P191" t="s">
        <v>39</v>
      </c>
      <c r="Q191" t="s">
        <v>1100</v>
      </c>
      <c r="R191" t="s">
        <v>1103</v>
      </c>
      <c r="S191" t="s">
        <v>1096</v>
      </c>
      <c r="T191" s="2">
        <f>'SUPUESTOS PRECIOS'!$B$9</f>
        <v>0</v>
      </c>
      <c r="U191" s="3">
        <f>'SUPUESTOS PRECIOS'!$B$5/'SUPUESTOS PRECIOS'!$B$4</f>
        <v>1000</v>
      </c>
      <c r="V191" s="3">
        <f>('SUPUESTOS PRECIOS'!$B$6-'SUPUESTOS PRECIOS'!$B$7)/'SUPUESTOS PRECIOS'!$B$4</f>
        <v>377.5</v>
      </c>
      <c r="W191" s="4">
        <f>'SUPUESTOS PRECIOS'!$B$8</f>
        <v>9.6799999999999994E-3</v>
      </c>
      <c r="X191" s="4">
        <f>'SUPUESTOS PRECIOS'!$B$2</f>
        <v>0.4</v>
      </c>
      <c r="Y191" s="3">
        <f t="shared" si="9"/>
        <v>4540</v>
      </c>
      <c r="Z191" s="3">
        <f t="shared" si="10"/>
        <v>1818.5527999999999</v>
      </c>
      <c r="AA191" s="11">
        <f t="shared" si="11"/>
        <v>0.40056229074889865</v>
      </c>
      <c r="AB191" t="s">
        <v>1097</v>
      </c>
      <c r="AC191" t="s">
        <v>1104</v>
      </c>
    </row>
    <row r="192" spans="1:29" x14ac:dyDescent="0.35">
      <c r="A192" s="10" t="s">
        <v>1105</v>
      </c>
      <c r="B192" t="s">
        <v>1106</v>
      </c>
      <c r="C192" t="s">
        <v>133</v>
      </c>
      <c r="D192" t="s">
        <v>1091</v>
      </c>
      <c r="E192" t="s">
        <v>939</v>
      </c>
      <c r="F192" t="s">
        <v>1092</v>
      </c>
      <c r="G192" t="s">
        <v>1107</v>
      </c>
      <c r="H192" t="s">
        <v>136</v>
      </c>
      <c r="I192" t="s">
        <v>1108</v>
      </c>
      <c r="J192">
        <v>1300</v>
      </c>
      <c r="K192">
        <v>0.5</v>
      </c>
      <c r="L192">
        <f t="shared" si="8"/>
        <v>1950</v>
      </c>
      <c r="M192" t="s">
        <v>38</v>
      </c>
      <c r="O192" t="s">
        <v>38</v>
      </c>
      <c r="P192" t="s">
        <v>39</v>
      </c>
      <c r="Q192" t="s">
        <v>1106</v>
      </c>
      <c r="R192" t="s">
        <v>1109</v>
      </c>
      <c r="S192" t="s">
        <v>1096</v>
      </c>
      <c r="T192" s="2">
        <f>'SUPUESTOS PRECIOS'!$B$9</f>
        <v>0</v>
      </c>
      <c r="U192" s="3">
        <f>'SUPUESTOS PRECIOS'!$B$5/'SUPUESTOS PRECIOS'!$B$4</f>
        <v>1000</v>
      </c>
      <c r="V192" s="3">
        <f>('SUPUESTOS PRECIOS'!$B$6-'SUPUESTOS PRECIOS'!$B$7)/'SUPUESTOS PRECIOS'!$B$4</f>
        <v>377.5</v>
      </c>
      <c r="W192" s="4">
        <f>'SUPUESTOS PRECIOS'!$B$8</f>
        <v>9.6799999999999994E-3</v>
      </c>
      <c r="X192" s="4">
        <f>'SUPUESTOS PRECIOS'!$B$2</f>
        <v>0.4</v>
      </c>
      <c r="Y192" s="3">
        <f t="shared" si="9"/>
        <v>4540</v>
      </c>
      <c r="Z192" s="3">
        <f t="shared" si="10"/>
        <v>1818.5527999999999</v>
      </c>
      <c r="AA192" s="11">
        <f t="shared" si="11"/>
        <v>0.40056229074889865</v>
      </c>
      <c r="AB192" t="s">
        <v>1097</v>
      </c>
      <c r="AC192" t="s">
        <v>1110</v>
      </c>
    </row>
    <row r="193" spans="1:29" x14ac:dyDescent="0.35">
      <c r="A193" s="10" t="s">
        <v>1111</v>
      </c>
      <c r="B193" t="s">
        <v>1112</v>
      </c>
      <c r="C193" t="s">
        <v>133</v>
      </c>
      <c r="D193" t="s">
        <v>1091</v>
      </c>
      <c r="E193" t="s">
        <v>939</v>
      </c>
      <c r="F193" t="s">
        <v>1092</v>
      </c>
      <c r="G193" t="s">
        <v>1113</v>
      </c>
      <c r="H193" t="s">
        <v>136</v>
      </c>
      <c r="I193" t="s">
        <v>1114</v>
      </c>
      <c r="J193">
        <v>1300</v>
      </c>
      <c r="K193">
        <v>0.5</v>
      </c>
      <c r="L193">
        <f t="shared" si="8"/>
        <v>1950</v>
      </c>
      <c r="M193" t="s">
        <v>38</v>
      </c>
      <c r="O193" t="s">
        <v>38</v>
      </c>
      <c r="P193" t="s">
        <v>39</v>
      </c>
      <c r="Q193" t="s">
        <v>1112</v>
      </c>
      <c r="R193" t="s">
        <v>1115</v>
      </c>
      <c r="S193" t="s">
        <v>1096</v>
      </c>
      <c r="T193" s="2">
        <f>'SUPUESTOS PRECIOS'!$B$9</f>
        <v>0</v>
      </c>
      <c r="U193" s="3">
        <f>'SUPUESTOS PRECIOS'!$B$5/'SUPUESTOS PRECIOS'!$B$4</f>
        <v>1000</v>
      </c>
      <c r="V193" s="3">
        <f>('SUPUESTOS PRECIOS'!$B$6-'SUPUESTOS PRECIOS'!$B$7)/'SUPUESTOS PRECIOS'!$B$4</f>
        <v>377.5</v>
      </c>
      <c r="W193" s="4">
        <f>'SUPUESTOS PRECIOS'!$B$8</f>
        <v>9.6799999999999994E-3</v>
      </c>
      <c r="X193" s="4">
        <f>'SUPUESTOS PRECIOS'!$B$2</f>
        <v>0.4</v>
      </c>
      <c r="Y193" s="3">
        <f t="shared" si="9"/>
        <v>4540</v>
      </c>
      <c r="Z193" s="3">
        <f t="shared" si="10"/>
        <v>1818.5527999999999</v>
      </c>
      <c r="AA193" s="11">
        <f t="shared" si="11"/>
        <v>0.40056229074889865</v>
      </c>
      <c r="AB193" t="s">
        <v>1097</v>
      </c>
      <c r="AC193" t="s">
        <v>1116</v>
      </c>
    </row>
    <row r="194" spans="1:29" x14ac:dyDescent="0.35">
      <c r="A194" s="10" t="s">
        <v>1117</v>
      </c>
      <c r="B194" t="s">
        <v>1118</v>
      </c>
      <c r="C194" t="s">
        <v>133</v>
      </c>
      <c r="D194" t="s">
        <v>1091</v>
      </c>
      <c r="E194" t="s">
        <v>33</v>
      </c>
      <c r="F194" t="s">
        <v>1119</v>
      </c>
      <c r="H194" t="s">
        <v>846</v>
      </c>
      <c r="I194" t="s">
        <v>1120</v>
      </c>
      <c r="J194">
        <v>7000</v>
      </c>
      <c r="K194">
        <v>0.5</v>
      </c>
      <c r="L194">
        <f t="shared" ref="L194:L257" si="12">IF(J194="","",J194*(1+K194))</f>
        <v>10500</v>
      </c>
      <c r="M194" t="s">
        <v>38</v>
      </c>
      <c r="O194" t="s">
        <v>38</v>
      </c>
      <c r="P194" t="s">
        <v>39</v>
      </c>
      <c r="Q194" t="s">
        <v>1118</v>
      </c>
      <c r="R194" t="s">
        <v>1121</v>
      </c>
      <c r="S194" t="s">
        <v>1096</v>
      </c>
      <c r="T194" s="2">
        <f>'SUPUESTOS PRECIOS'!$B$9</f>
        <v>0</v>
      </c>
      <c r="U194" s="3">
        <f>'SUPUESTOS PRECIOS'!$B$5/'SUPUESTOS PRECIOS'!$B$4</f>
        <v>1000</v>
      </c>
      <c r="V194" s="3">
        <f>('SUPUESTOS PRECIOS'!$B$6-'SUPUESTOS PRECIOS'!$B$7)/'SUPUESTOS PRECIOS'!$B$4</f>
        <v>377.5</v>
      </c>
      <c r="W194" s="4">
        <f>'SUPUESTOS PRECIOS'!$B$8</f>
        <v>9.6799999999999994E-3</v>
      </c>
      <c r="X194" s="4">
        <f>'SUPUESTOS PRECIOS'!$B$2</f>
        <v>0.4</v>
      </c>
      <c r="Y194" s="3">
        <f t="shared" ref="Y194:Y257" si="13">IF(OR($B194="",$J194=""),"",ROUND(($J194+$T194+$U194+$V194)/(1-$W194-$X194),-1))</f>
        <v>14190</v>
      </c>
      <c r="Z194" s="3">
        <f t="shared" ref="Z194:Z257" si="14">IF($Y194="","",$Y194-$J194-$T194-$U194-$V194-($Y194*$W194))</f>
        <v>5675.1408000000001</v>
      </c>
      <c r="AA194" s="11">
        <f t="shared" ref="AA194:AA257" si="15">IF($Y194="","",$Z194/$Y194)</f>
        <v>0.39993945031712475</v>
      </c>
    </row>
    <row r="195" spans="1:29" x14ac:dyDescent="0.35">
      <c r="A195" s="10" t="s">
        <v>1122</v>
      </c>
      <c r="B195" t="s">
        <v>1123</v>
      </c>
      <c r="C195" t="s">
        <v>133</v>
      </c>
      <c r="D195" t="s">
        <v>1091</v>
      </c>
      <c r="E195" t="s">
        <v>33</v>
      </c>
      <c r="F195" t="s">
        <v>1124</v>
      </c>
      <c r="H195" t="s">
        <v>846</v>
      </c>
      <c r="I195" t="s">
        <v>1125</v>
      </c>
      <c r="J195">
        <v>8000</v>
      </c>
      <c r="K195">
        <v>0.5</v>
      </c>
      <c r="L195">
        <f t="shared" si="12"/>
        <v>12000</v>
      </c>
      <c r="M195" t="s">
        <v>38</v>
      </c>
      <c r="O195" t="s">
        <v>38</v>
      </c>
      <c r="P195" t="s">
        <v>39</v>
      </c>
      <c r="Q195" t="s">
        <v>1123</v>
      </c>
      <c r="R195" t="s">
        <v>1126</v>
      </c>
      <c r="S195" t="s">
        <v>1096</v>
      </c>
      <c r="T195" s="2">
        <f>'SUPUESTOS PRECIOS'!$B$9</f>
        <v>0</v>
      </c>
      <c r="U195" s="3">
        <f>'SUPUESTOS PRECIOS'!$B$5/'SUPUESTOS PRECIOS'!$B$4</f>
        <v>1000</v>
      </c>
      <c r="V195" s="3">
        <f>('SUPUESTOS PRECIOS'!$B$6-'SUPUESTOS PRECIOS'!$B$7)/'SUPUESTOS PRECIOS'!$B$4</f>
        <v>377.5</v>
      </c>
      <c r="W195" s="4">
        <f>'SUPUESTOS PRECIOS'!$B$8</f>
        <v>9.6799999999999994E-3</v>
      </c>
      <c r="X195" s="4">
        <f>'SUPUESTOS PRECIOS'!$B$2</f>
        <v>0.4</v>
      </c>
      <c r="Y195" s="3">
        <f t="shared" si="13"/>
        <v>15890</v>
      </c>
      <c r="Z195" s="3">
        <f t="shared" si="14"/>
        <v>6358.6848</v>
      </c>
      <c r="AA195" s="11">
        <f t="shared" si="15"/>
        <v>0.40016896161107612</v>
      </c>
    </row>
    <row r="196" spans="1:29" x14ac:dyDescent="0.35">
      <c r="A196" s="10" t="s">
        <v>1127</v>
      </c>
      <c r="B196" t="s">
        <v>1128</v>
      </c>
      <c r="C196" t="s">
        <v>133</v>
      </c>
      <c r="D196" t="s">
        <v>1129</v>
      </c>
      <c r="E196" t="s">
        <v>1130</v>
      </c>
      <c r="F196" t="s">
        <v>1131</v>
      </c>
      <c r="H196" t="s">
        <v>136</v>
      </c>
      <c r="I196" t="s">
        <v>1132</v>
      </c>
      <c r="J196">
        <v>7000</v>
      </c>
      <c r="K196">
        <v>0.5</v>
      </c>
      <c r="L196">
        <f t="shared" si="12"/>
        <v>10500</v>
      </c>
      <c r="M196" t="s">
        <v>38</v>
      </c>
      <c r="O196" t="s">
        <v>38</v>
      </c>
      <c r="P196" t="s">
        <v>39</v>
      </c>
      <c r="Q196" t="s">
        <v>1128</v>
      </c>
      <c r="R196" t="s">
        <v>1133</v>
      </c>
      <c r="S196" t="s">
        <v>1134</v>
      </c>
      <c r="T196" s="2">
        <f>'SUPUESTOS PRECIOS'!$B$9</f>
        <v>0</v>
      </c>
      <c r="U196" s="3">
        <f>'SUPUESTOS PRECIOS'!$B$5/'SUPUESTOS PRECIOS'!$B$4</f>
        <v>1000</v>
      </c>
      <c r="V196" s="3">
        <f>('SUPUESTOS PRECIOS'!$B$6-'SUPUESTOS PRECIOS'!$B$7)/'SUPUESTOS PRECIOS'!$B$4</f>
        <v>377.5</v>
      </c>
      <c r="W196" s="4">
        <f>'SUPUESTOS PRECIOS'!$B$8</f>
        <v>9.6799999999999994E-3</v>
      </c>
      <c r="X196" s="4">
        <f>'SUPUESTOS PRECIOS'!$B$2</f>
        <v>0.4</v>
      </c>
      <c r="Y196" s="3">
        <f t="shared" si="13"/>
        <v>14190</v>
      </c>
      <c r="Z196" s="3">
        <f t="shared" si="14"/>
        <v>5675.1408000000001</v>
      </c>
      <c r="AA196" s="11">
        <f t="shared" si="15"/>
        <v>0.39993945031712475</v>
      </c>
    </row>
    <row r="197" spans="1:29" x14ac:dyDescent="0.35">
      <c r="A197" s="10" t="s">
        <v>1135</v>
      </c>
      <c r="B197" t="s">
        <v>1136</v>
      </c>
      <c r="C197" t="s">
        <v>133</v>
      </c>
      <c r="D197" t="s">
        <v>1129</v>
      </c>
      <c r="E197" t="s">
        <v>1137</v>
      </c>
      <c r="F197" t="s">
        <v>1138</v>
      </c>
      <c r="H197" t="s">
        <v>136</v>
      </c>
      <c r="I197" t="s">
        <v>1139</v>
      </c>
      <c r="J197">
        <v>1300</v>
      </c>
      <c r="K197">
        <v>1</v>
      </c>
      <c r="L197">
        <f t="shared" si="12"/>
        <v>2600</v>
      </c>
      <c r="M197" t="s">
        <v>38</v>
      </c>
      <c r="O197" t="s">
        <v>38</v>
      </c>
      <c r="P197" t="s">
        <v>39</v>
      </c>
      <c r="Q197" t="s">
        <v>1136</v>
      </c>
      <c r="R197" t="s">
        <v>1140</v>
      </c>
      <c r="S197" t="s">
        <v>1134</v>
      </c>
      <c r="T197" s="2">
        <f>'SUPUESTOS PRECIOS'!$B$9</f>
        <v>0</v>
      </c>
      <c r="U197" s="3">
        <f>'SUPUESTOS PRECIOS'!$B$5/'SUPUESTOS PRECIOS'!$B$4</f>
        <v>1000</v>
      </c>
      <c r="V197" s="3">
        <f>('SUPUESTOS PRECIOS'!$B$6-'SUPUESTOS PRECIOS'!$B$7)/'SUPUESTOS PRECIOS'!$B$4</f>
        <v>377.5</v>
      </c>
      <c r="W197" s="4">
        <f>'SUPUESTOS PRECIOS'!$B$8</f>
        <v>9.6799999999999994E-3</v>
      </c>
      <c r="X197" s="4">
        <f>'SUPUESTOS PRECIOS'!$B$2</f>
        <v>0.4</v>
      </c>
      <c r="Y197" s="3">
        <f t="shared" si="13"/>
        <v>4540</v>
      </c>
      <c r="Z197" s="3">
        <f t="shared" si="14"/>
        <v>1818.5527999999999</v>
      </c>
      <c r="AA197" s="11">
        <f t="shared" si="15"/>
        <v>0.40056229074889865</v>
      </c>
    </row>
    <row r="198" spans="1:29" x14ac:dyDescent="0.35">
      <c r="A198" s="10" t="s">
        <v>1141</v>
      </c>
      <c r="B198" t="s">
        <v>1142</v>
      </c>
      <c r="C198" t="s">
        <v>133</v>
      </c>
      <c r="D198" t="s">
        <v>1129</v>
      </c>
      <c r="E198" t="s">
        <v>1143</v>
      </c>
      <c r="F198" t="s">
        <v>1144</v>
      </c>
      <c r="H198" t="s">
        <v>136</v>
      </c>
      <c r="I198" t="s">
        <v>1145</v>
      </c>
      <c r="J198">
        <v>2100</v>
      </c>
      <c r="K198">
        <v>0.5</v>
      </c>
      <c r="L198">
        <f t="shared" si="12"/>
        <v>3150</v>
      </c>
      <c r="M198" t="s">
        <v>38</v>
      </c>
      <c r="O198" t="s">
        <v>38</v>
      </c>
      <c r="P198" t="s">
        <v>39</v>
      </c>
      <c r="Q198" t="s">
        <v>1142</v>
      </c>
      <c r="R198" t="s">
        <v>1146</v>
      </c>
      <c r="S198" t="s">
        <v>1134</v>
      </c>
      <c r="T198" s="2">
        <f>'SUPUESTOS PRECIOS'!$B$9</f>
        <v>0</v>
      </c>
      <c r="U198" s="3">
        <f>'SUPUESTOS PRECIOS'!$B$5/'SUPUESTOS PRECIOS'!$B$4</f>
        <v>1000</v>
      </c>
      <c r="V198" s="3">
        <f>('SUPUESTOS PRECIOS'!$B$6-'SUPUESTOS PRECIOS'!$B$7)/'SUPUESTOS PRECIOS'!$B$4</f>
        <v>377.5</v>
      </c>
      <c r="W198" s="4">
        <f>'SUPUESTOS PRECIOS'!$B$8</f>
        <v>9.6799999999999994E-3</v>
      </c>
      <c r="X198" s="4">
        <f>'SUPUESTOS PRECIOS'!$B$2</f>
        <v>0.4</v>
      </c>
      <c r="Y198" s="3">
        <f t="shared" si="13"/>
        <v>5890</v>
      </c>
      <c r="Z198" s="3">
        <f t="shared" si="14"/>
        <v>2355.4848000000002</v>
      </c>
      <c r="AA198" s="11">
        <f t="shared" si="15"/>
        <v>0.39991252971137525</v>
      </c>
    </row>
    <row r="199" spans="1:29" x14ac:dyDescent="0.35">
      <c r="A199" s="10" t="s">
        <v>1147</v>
      </c>
      <c r="B199" t="s">
        <v>1148</v>
      </c>
      <c r="C199" t="s">
        <v>133</v>
      </c>
      <c r="D199" t="s">
        <v>1129</v>
      </c>
      <c r="E199" t="s">
        <v>1149</v>
      </c>
      <c r="F199" t="s">
        <v>1150</v>
      </c>
      <c r="H199" t="s">
        <v>136</v>
      </c>
      <c r="I199" t="s">
        <v>1151</v>
      </c>
      <c r="J199">
        <v>2000</v>
      </c>
      <c r="K199">
        <v>0.5</v>
      </c>
      <c r="L199">
        <f t="shared" si="12"/>
        <v>3000</v>
      </c>
      <c r="M199" t="s">
        <v>38</v>
      </c>
      <c r="O199" t="s">
        <v>38</v>
      </c>
      <c r="P199" t="s">
        <v>39</v>
      </c>
      <c r="Q199" t="s">
        <v>1148</v>
      </c>
      <c r="R199" t="s">
        <v>1152</v>
      </c>
      <c r="S199" t="s">
        <v>1134</v>
      </c>
      <c r="T199" s="2">
        <f>'SUPUESTOS PRECIOS'!$B$9</f>
        <v>0</v>
      </c>
      <c r="U199" s="3">
        <f>'SUPUESTOS PRECIOS'!$B$5/'SUPUESTOS PRECIOS'!$B$4</f>
        <v>1000</v>
      </c>
      <c r="V199" s="3">
        <f>('SUPUESTOS PRECIOS'!$B$6-'SUPUESTOS PRECIOS'!$B$7)/'SUPUESTOS PRECIOS'!$B$4</f>
        <v>377.5</v>
      </c>
      <c r="W199" s="4">
        <f>'SUPUESTOS PRECIOS'!$B$8</f>
        <v>9.6799999999999994E-3</v>
      </c>
      <c r="X199" s="4">
        <f>'SUPUESTOS PRECIOS'!$B$2</f>
        <v>0.4</v>
      </c>
      <c r="Y199" s="3">
        <f t="shared" si="13"/>
        <v>5720</v>
      </c>
      <c r="Z199" s="3">
        <f t="shared" si="14"/>
        <v>2287.1304</v>
      </c>
      <c r="AA199" s="11">
        <f t="shared" si="15"/>
        <v>0.39984797202797201</v>
      </c>
    </row>
    <row r="200" spans="1:29" x14ac:dyDescent="0.35">
      <c r="A200" s="10" t="s">
        <v>1153</v>
      </c>
      <c r="B200" t="s">
        <v>1154</v>
      </c>
      <c r="C200" t="s">
        <v>133</v>
      </c>
      <c r="D200" t="s">
        <v>1129</v>
      </c>
      <c r="E200" t="s">
        <v>939</v>
      </c>
      <c r="F200" t="s">
        <v>1155</v>
      </c>
      <c r="H200" t="s">
        <v>136</v>
      </c>
      <c r="I200" t="s">
        <v>1156</v>
      </c>
      <c r="J200">
        <v>6600</v>
      </c>
      <c r="K200">
        <v>0.5</v>
      </c>
      <c r="L200">
        <f t="shared" si="12"/>
        <v>9900</v>
      </c>
      <c r="M200" t="s">
        <v>38</v>
      </c>
      <c r="O200" t="s">
        <v>38</v>
      </c>
      <c r="P200" t="s">
        <v>39</v>
      </c>
      <c r="Q200" t="s">
        <v>1154</v>
      </c>
      <c r="R200" t="s">
        <v>1157</v>
      </c>
      <c r="S200" t="s">
        <v>1134</v>
      </c>
      <c r="T200" s="2">
        <f>'SUPUESTOS PRECIOS'!$B$9</f>
        <v>0</v>
      </c>
      <c r="U200" s="3">
        <f>'SUPUESTOS PRECIOS'!$B$5/'SUPUESTOS PRECIOS'!$B$4</f>
        <v>1000</v>
      </c>
      <c r="V200" s="3">
        <f>('SUPUESTOS PRECIOS'!$B$6-'SUPUESTOS PRECIOS'!$B$7)/'SUPUESTOS PRECIOS'!$B$4</f>
        <v>377.5</v>
      </c>
      <c r="W200" s="4">
        <f>'SUPUESTOS PRECIOS'!$B$8</f>
        <v>9.6799999999999994E-3</v>
      </c>
      <c r="X200" s="4">
        <f>'SUPUESTOS PRECIOS'!$B$2</f>
        <v>0.4</v>
      </c>
      <c r="Y200" s="3">
        <f t="shared" si="13"/>
        <v>13510</v>
      </c>
      <c r="Z200" s="3">
        <f t="shared" si="14"/>
        <v>5401.7232000000004</v>
      </c>
      <c r="AA200" s="11">
        <f t="shared" si="15"/>
        <v>0.39983147298297561</v>
      </c>
    </row>
    <row r="201" spans="1:29" x14ac:dyDescent="0.35">
      <c r="A201" s="10" t="s">
        <v>1158</v>
      </c>
      <c r="B201" t="s">
        <v>1159</v>
      </c>
      <c r="C201" t="s">
        <v>133</v>
      </c>
      <c r="D201" t="s">
        <v>1160</v>
      </c>
      <c r="E201" t="s">
        <v>1161</v>
      </c>
      <c r="F201" t="s">
        <v>1162</v>
      </c>
      <c r="H201" t="s">
        <v>136</v>
      </c>
      <c r="I201" t="s">
        <v>1163</v>
      </c>
      <c r="J201">
        <v>1000</v>
      </c>
      <c r="K201">
        <v>1</v>
      </c>
      <c r="L201">
        <f t="shared" si="12"/>
        <v>2000</v>
      </c>
      <c r="M201" t="s">
        <v>38</v>
      </c>
      <c r="O201" t="s">
        <v>38</v>
      </c>
      <c r="P201" t="s">
        <v>39</v>
      </c>
      <c r="Q201" t="s">
        <v>1159</v>
      </c>
      <c r="R201" t="s">
        <v>1164</v>
      </c>
      <c r="S201" t="s">
        <v>1165</v>
      </c>
      <c r="T201" s="2">
        <f>'SUPUESTOS PRECIOS'!$B$9</f>
        <v>0</v>
      </c>
      <c r="U201" s="3">
        <f>'SUPUESTOS PRECIOS'!$B$5/'SUPUESTOS PRECIOS'!$B$4</f>
        <v>1000</v>
      </c>
      <c r="V201" s="3">
        <f>('SUPUESTOS PRECIOS'!$B$6-'SUPUESTOS PRECIOS'!$B$7)/'SUPUESTOS PRECIOS'!$B$4</f>
        <v>377.5</v>
      </c>
      <c r="W201" s="4">
        <f>'SUPUESTOS PRECIOS'!$B$8</f>
        <v>9.6799999999999994E-3</v>
      </c>
      <c r="X201" s="4">
        <f>'SUPUESTOS PRECIOS'!$B$2</f>
        <v>0.4</v>
      </c>
      <c r="Y201" s="3">
        <f t="shared" si="13"/>
        <v>4030</v>
      </c>
      <c r="Z201" s="3">
        <f t="shared" si="14"/>
        <v>1613.4896000000001</v>
      </c>
      <c r="AA201" s="11">
        <f t="shared" si="15"/>
        <v>0.40036962779156332</v>
      </c>
    </row>
    <row r="202" spans="1:29" x14ac:dyDescent="0.35">
      <c r="A202" s="10" t="s">
        <v>1166</v>
      </c>
      <c r="B202" t="s">
        <v>1167</v>
      </c>
      <c r="C202" t="s">
        <v>133</v>
      </c>
      <c r="D202" t="s">
        <v>1160</v>
      </c>
      <c r="E202" t="s">
        <v>1168</v>
      </c>
      <c r="F202" t="s">
        <v>1169</v>
      </c>
      <c r="H202" t="s">
        <v>136</v>
      </c>
      <c r="I202" t="s">
        <v>1170</v>
      </c>
      <c r="J202">
        <v>6600</v>
      </c>
      <c r="K202">
        <v>0.5</v>
      </c>
      <c r="L202">
        <f t="shared" si="12"/>
        <v>9900</v>
      </c>
      <c r="M202" t="s">
        <v>38</v>
      </c>
      <c r="O202" t="s">
        <v>38</v>
      </c>
      <c r="P202" t="s">
        <v>39</v>
      </c>
      <c r="Q202" t="s">
        <v>1167</v>
      </c>
      <c r="R202" t="s">
        <v>1171</v>
      </c>
      <c r="S202" t="s">
        <v>1165</v>
      </c>
      <c r="T202" s="2">
        <f>'SUPUESTOS PRECIOS'!$B$9</f>
        <v>0</v>
      </c>
      <c r="U202" s="3">
        <f>'SUPUESTOS PRECIOS'!$B$5/'SUPUESTOS PRECIOS'!$B$4</f>
        <v>1000</v>
      </c>
      <c r="V202" s="3">
        <f>('SUPUESTOS PRECIOS'!$B$6-'SUPUESTOS PRECIOS'!$B$7)/'SUPUESTOS PRECIOS'!$B$4</f>
        <v>377.5</v>
      </c>
      <c r="W202" s="4">
        <f>'SUPUESTOS PRECIOS'!$B$8</f>
        <v>9.6799999999999994E-3</v>
      </c>
      <c r="X202" s="4">
        <f>'SUPUESTOS PRECIOS'!$B$2</f>
        <v>0.4</v>
      </c>
      <c r="Y202" s="3">
        <f t="shared" si="13"/>
        <v>13510</v>
      </c>
      <c r="Z202" s="3">
        <f t="shared" si="14"/>
        <v>5401.7232000000004</v>
      </c>
      <c r="AA202" s="11">
        <f t="shared" si="15"/>
        <v>0.39983147298297561</v>
      </c>
    </row>
    <row r="203" spans="1:29" x14ac:dyDescent="0.35">
      <c r="A203" s="10" t="s">
        <v>1172</v>
      </c>
      <c r="B203" t="s">
        <v>1173</v>
      </c>
      <c r="C203" t="s">
        <v>133</v>
      </c>
      <c r="D203" t="s">
        <v>1174</v>
      </c>
      <c r="E203" t="s">
        <v>1175</v>
      </c>
      <c r="F203" t="s">
        <v>1176</v>
      </c>
      <c r="H203" t="s">
        <v>136</v>
      </c>
      <c r="I203" t="s">
        <v>1177</v>
      </c>
      <c r="J203">
        <v>6400</v>
      </c>
      <c r="K203">
        <v>0.5</v>
      </c>
      <c r="L203">
        <f t="shared" si="12"/>
        <v>9600</v>
      </c>
      <c r="M203" t="s">
        <v>38</v>
      </c>
      <c r="O203" t="s">
        <v>38</v>
      </c>
      <c r="P203" t="s">
        <v>39</v>
      </c>
      <c r="Q203" t="s">
        <v>1173</v>
      </c>
      <c r="R203" t="s">
        <v>1178</v>
      </c>
      <c r="S203" t="s">
        <v>1179</v>
      </c>
      <c r="T203" s="2">
        <f>'SUPUESTOS PRECIOS'!$B$9</f>
        <v>0</v>
      </c>
      <c r="U203" s="3">
        <f>'SUPUESTOS PRECIOS'!$B$5/'SUPUESTOS PRECIOS'!$B$4</f>
        <v>1000</v>
      </c>
      <c r="V203" s="3">
        <f>('SUPUESTOS PRECIOS'!$B$6-'SUPUESTOS PRECIOS'!$B$7)/'SUPUESTOS PRECIOS'!$B$4</f>
        <v>377.5</v>
      </c>
      <c r="W203" s="4">
        <f>'SUPUESTOS PRECIOS'!$B$8</f>
        <v>9.6799999999999994E-3</v>
      </c>
      <c r="X203" s="4">
        <f>'SUPUESTOS PRECIOS'!$B$2</f>
        <v>0.4</v>
      </c>
      <c r="Y203" s="3">
        <f t="shared" si="13"/>
        <v>13180</v>
      </c>
      <c r="Z203" s="3">
        <f t="shared" si="14"/>
        <v>5274.9175999999998</v>
      </c>
      <c r="AA203" s="11">
        <f t="shared" si="15"/>
        <v>0.40022136570561456</v>
      </c>
    </row>
    <row r="204" spans="1:29" x14ac:dyDescent="0.35">
      <c r="A204" s="10" t="s">
        <v>1180</v>
      </c>
      <c r="B204" t="s">
        <v>1181</v>
      </c>
      <c r="C204" t="s">
        <v>133</v>
      </c>
      <c r="D204" t="s">
        <v>1174</v>
      </c>
      <c r="E204" t="s">
        <v>1175</v>
      </c>
      <c r="F204" t="s">
        <v>1182</v>
      </c>
      <c r="H204" t="s">
        <v>136</v>
      </c>
      <c r="I204" t="s">
        <v>1183</v>
      </c>
      <c r="J204">
        <v>10000</v>
      </c>
      <c r="K204">
        <v>0.5</v>
      </c>
      <c r="L204">
        <f t="shared" si="12"/>
        <v>15000</v>
      </c>
      <c r="M204" t="s">
        <v>38</v>
      </c>
      <c r="O204" t="s">
        <v>38</v>
      </c>
      <c r="P204" t="s">
        <v>39</v>
      </c>
      <c r="Q204" t="s">
        <v>1181</v>
      </c>
      <c r="R204" t="s">
        <v>1184</v>
      </c>
      <c r="S204" t="s">
        <v>1179</v>
      </c>
      <c r="T204" s="2">
        <f>'SUPUESTOS PRECIOS'!$B$9</f>
        <v>0</v>
      </c>
      <c r="U204" s="3">
        <f>'SUPUESTOS PRECIOS'!$B$5/'SUPUESTOS PRECIOS'!$B$4</f>
        <v>1000</v>
      </c>
      <c r="V204" s="3">
        <f>('SUPUESTOS PRECIOS'!$B$6-'SUPUESTOS PRECIOS'!$B$7)/'SUPUESTOS PRECIOS'!$B$4</f>
        <v>377.5</v>
      </c>
      <c r="W204" s="4">
        <f>'SUPUESTOS PRECIOS'!$B$8</f>
        <v>9.6799999999999994E-3</v>
      </c>
      <c r="X204" s="4">
        <f>'SUPUESTOS PRECIOS'!$B$2</f>
        <v>0.4</v>
      </c>
      <c r="Y204" s="3">
        <f t="shared" si="13"/>
        <v>19270</v>
      </c>
      <c r="Z204" s="3">
        <f t="shared" si="14"/>
        <v>7705.9664000000002</v>
      </c>
      <c r="AA204" s="11">
        <f t="shared" si="15"/>
        <v>0.39989446808510637</v>
      </c>
    </row>
    <row r="205" spans="1:29" x14ac:dyDescent="0.35">
      <c r="A205" s="10" t="s">
        <v>1185</v>
      </c>
      <c r="B205" t="s">
        <v>1186</v>
      </c>
      <c r="C205" t="s">
        <v>133</v>
      </c>
      <c r="D205" t="s">
        <v>1174</v>
      </c>
      <c r="E205" t="s">
        <v>33</v>
      </c>
      <c r="F205" t="s">
        <v>1187</v>
      </c>
      <c r="H205" t="s">
        <v>136</v>
      </c>
      <c r="I205" t="s">
        <v>1188</v>
      </c>
      <c r="J205">
        <v>2400</v>
      </c>
      <c r="K205">
        <v>0.5</v>
      </c>
      <c r="L205">
        <f t="shared" si="12"/>
        <v>3600</v>
      </c>
      <c r="M205" t="s">
        <v>38</v>
      </c>
      <c r="O205" t="s">
        <v>38</v>
      </c>
      <c r="P205" t="s">
        <v>39</v>
      </c>
      <c r="Q205" t="s">
        <v>1186</v>
      </c>
      <c r="R205" t="s">
        <v>1189</v>
      </c>
      <c r="S205" t="s">
        <v>1179</v>
      </c>
      <c r="T205" s="2">
        <f>'SUPUESTOS PRECIOS'!$B$9</f>
        <v>0</v>
      </c>
      <c r="U205" s="3">
        <f>'SUPUESTOS PRECIOS'!$B$5/'SUPUESTOS PRECIOS'!$B$4</f>
        <v>1000</v>
      </c>
      <c r="V205" s="3">
        <f>('SUPUESTOS PRECIOS'!$B$6-'SUPUESTOS PRECIOS'!$B$7)/'SUPUESTOS PRECIOS'!$B$4</f>
        <v>377.5</v>
      </c>
      <c r="W205" s="4">
        <f>'SUPUESTOS PRECIOS'!$B$8</f>
        <v>9.6799999999999994E-3</v>
      </c>
      <c r="X205" s="4">
        <f>'SUPUESTOS PRECIOS'!$B$2</f>
        <v>0.4</v>
      </c>
      <c r="Y205" s="3">
        <f t="shared" si="13"/>
        <v>6400</v>
      </c>
      <c r="Z205" s="3">
        <f t="shared" si="14"/>
        <v>2560.5479999999998</v>
      </c>
      <c r="AA205" s="11">
        <f t="shared" si="15"/>
        <v>0.40008562499999994</v>
      </c>
    </row>
    <row r="206" spans="1:29" x14ac:dyDescent="0.35">
      <c r="A206" s="10" t="s">
        <v>1190</v>
      </c>
      <c r="B206" t="s">
        <v>1191</v>
      </c>
      <c r="C206" t="s">
        <v>133</v>
      </c>
      <c r="D206" t="s">
        <v>1174</v>
      </c>
      <c r="E206" t="s">
        <v>33</v>
      </c>
      <c r="F206" t="s">
        <v>1192</v>
      </c>
      <c r="H206" t="s">
        <v>136</v>
      </c>
      <c r="I206" t="s">
        <v>1193</v>
      </c>
      <c r="J206">
        <v>3200</v>
      </c>
      <c r="K206">
        <v>0.5</v>
      </c>
      <c r="L206">
        <f t="shared" si="12"/>
        <v>4800</v>
      </c>
      <c r="M206" t="s">
        <v>38</v>
      </c>
      <c r="O206" t="s">
        <v>38</v>
      </c>
      <c r="P206" t="s">
        <v>39</v>
      </c>
      <c r="Q206" t="s">
        <v>1191</v>
      </c>
      <c r="R206" t="s">
        <v>1194</v>
      </c>
      <c r="S206" t="s">
        <v>1179</v>
      </c>
      <c r="T206" s="2">
        <f>'SUPUESTOS PRECIOS'!$B$9</f>
        <v>0</v>
      </c>
      <c r="U206" s="3">
        <f>'SUPUESTOS PRECIOS'!$B$5/'SUPUESTOS PRECIOS'!$B$4</f>
        <v>1000</v>
      </c>
      <c r="V206" s="3">
        <f>('SUPUESTOS PRECIOS'!$B$6-'SUPUESTOS PRECIOS'!$B$7)/'SUPUESTOS PRECIOS'!$B$4</f>
        <v>377.5</v>
      </c>
      <c r="W206" s="4">
        <f>'SUPUESTOS PRECIOS'!$B$8</f>
        <v>9.6799999999999994E-3</v>
      </c>
      <c r="X206" s="4">
        <f>'SUPUESTOS PRECIOS'!$B$2</f>
        <v>0.4</v>
      </c>
      <c r="Y206" s="3">
        <f t="shared" si="13"/>
        <v>7750</v>
      </c>
      <c r="Z206" s="3">
        <f t="shared" si="14"/>
        <v>3097.48</v>
      </c>
      <c r="AA206" s="11">
        <f t="shared" si="15"/>
        <v>0.3996748387096774</v>
      </c>
    </row>
    <row r="207" spans="1:29" x14ac:dyDescent="0.35">
      <c r="A207" s="10" t="s">
        <v>1195</v>
      </c>
      <c r="B207" t="s">
        <v>1196</v>
      </c>
      <c r="C207" t="s">
        <v>133</v>
      </c>
      <c r="D207" t="s">
        <v>1174</v>
      </c>
      <c r="E207" t="s">
        <v>1175</v>
      </c>
      <c r="F207" t="s">
        <v>1197</v>
      </c>
      <c r="H207" t="s">
        <v>136</v>
      </c>
      <c r="I207" t="s">
        <v>1198</v>
      </c>
      <c r="J207">
        <v>11800</v>
      </c>
      <c r="K207">
        <v>0.5</v>
      </c>
      <c r="L207">
        <f t="shared" si="12"/>
        <v>17700</v>
      </c>
      <c r="M207" t="s">
        <v>38</v>
      </c>
      <c r="O207" t="s">
        <v>38</v>
      </c>
      <c r="P207" t="s">
        <v>39</v>
      </c>
      <c r="Q207" t="s">
        <v>1196</v>
      </c>
      <c r="R207" t="s">
        <v>1199</v>
      </c>
      <c r="S207" t="s">
        <v>1179</v>
      </c>
      <c r="T207" s="2">
        <f>'SUPUESTOS PRECIOS'!$B$9</f>
        <v>0</v>
      </c>
      <c r="U207" s="3">
        <f>'SUPUESTOS PRECIOS'!$B$5/'SUPUESTOS PRECIOS'!$B$4</f>
        <v>1000</v>
      </c>
      <c r="V207" s="3">
        <f>('SUPUESTOS PRECIOS'!$B$6-'SUPUESTOS PRECIOS'!$B$7)/'SUPUESTOS PRECIOS'!$B$4</f>
        <v>377.5</v>
      </c>
      <c r="W207" s="4">
        <f>'SUPUESTOS PRECIOS'!$B$8</f>
        <v>9.6799999999999994E-3</v>
      </c>
      <c r="X207" s="4">
        <f>'SUPUESTOS PRECIOS'!$B$2</f>
        <v>0.4</v>
      </c>
      <c r="Y207" s="3">
        <f t="shared" si="13"/>
        <v>22320</v>
      </c>
      <c r="Z207" s="3">
        <f t="shared" si="14"/>
        <v>8926.4423999999999</v>
      </c>
      <c r="AA207" s="11">
        <f t="shared" si="15"/>
        <v>0.39993021505376342</v>
      </c>
    </row>
    <row r="208" spans="1:29" x14ac:dyDescent="0.35">
      <c r="A208" s="10" t="s">
        <v>1200</v>
      </c>
      <c r="B208" t="s">
        <v>1201</v>
      </c>
      <c r="C208" t="s">
        <v>133</v>
      </c>
      <c r="D208" t="s">
        <v>1174</v>
      </c>
      <c r="E208" t="s">
        <v>33</v>
      </c>
      <c r="F208" t="s">
        <v>1202</v>
      </c>
      <c r="H208" t="s">
        <v>136</v>
      </c>
      <c r="I208" t="s">
        <v>1203</v>
      </c>
      <c r="J208">
        <v>11000</v>
      </c>
      <c r="K208">
        <v>0.5</v>
      </c>
      <c r="L208">
        <f t="shared" si="12"/>
        <v>16500</v>
      </c>
      <c r="M208" t="s">
        <v>38</v>
      </c>
      <c r="O208" t="s">
        <v>38</v>
      </c>
      <c r="P208" t="s">
        <v>39</v>
      </c>
      <c r="Q208" t="s">
        <v>1201</v>
      </c>
      <c r="R208" t="s">
        <v>1204</v>
      </c>
      <c r="S208" t="s">
        <v>1179</v>
      </c>
      <c r="T208" s="2">
        <f>'SUPUESTOS PRECIOS'!$B$9</f>
        <v>0</v>
      </c>
      <c r="U208" s="3">
        <f>'SUPUESTOS PRECIOS'!$B$5/'SUPUESTOS PRECIOS'!$B$4</f>
        <v>1000</v>
      </c>
      <c r="V208" s="3">
        <f>('SUPUESTOS PRECIOS'!$B$6-'SUPUESTOS PRECIOS'!$B$7)/'SUPUESTOS PRECIOS'!$B$4</f>
        <v>377.5</v>
      </c>
      <c r="W208" s="4">
        <f>'SUPUESTOS PRECIOS'!$B$8</f>
        <v>9.6799999999999994E-3</v>
      </c>
      <c r="X208" s="4">
        <f>'SUPUESTOS PRECIOS'!$B$2</f>
        <v>0.4</v>
      </c>
      <c r="Y208" s="3">
        <f t="shared" si="13"/>
        <v>20970</v>
      </c>
      <c r="Z208" s="3">
        <f t="shared" si="14"/>
        <v>8389.5103999999992</v>
      </c>
      <c r="AA208" s="11">
        <f t="shared" si="15"/>
        <v>0.40007202670481634</v>
      </c>
    </row>
    <row r="209" spans="1:27" x14ac:dyDescent="0.35">
      <c r="A209" s="10" t="s">
        <v>1205</v>
      </c>
      <c r="B209" t="s">
        <v>1206</v>
      </c>
      <c r="C209" t="s">
        <v>1207</v>
      </c>
      <c r="D209" t="s">
        <v>1208</v>
      </c>
      <c r="E209" t="s">
        <v>1209</v>
      </c>
      <c r="F209" t="s">
        <v>1210</v>
      </c>
      <c r="H209" t="s">
        <v>762</v>
      </c>
      <c r="I209" t="s">
        <v>1211</v>
      </c>
      <c r="J209">
        <v>5000</v>
      </c>
      <c r="K209">
        <v>0.5</v>
      </c>
      <c r="L209">
        <f t="shared" si="12"/>
        <v>7500</v>
      </c>
      <c r="M209" t="s">
        <v>38</v>
      </c>
      <c r="O209" t="s">
        <v>38</v>
      </c>
      <c r="P209" t="s">
        <v>39</v>
      </c>
      <c r="Q209" t="s">
        <v>1206</v>
      </c>
      <c r="R209" t="s">
        <v>1212</v>
      </c>
      <c r="S209" t="s">
        <v>1213</v>
      </c>
      <c r="T209" s="2">
        <f>'SUPUESTOS PRECIOS'!$B$9</f>
        <v>0</v>
      </c>
      <c r="U209" s="3">
        <f>'SUPUESTOS PRECIOS'!$B$5/'SUPUESTOS PRECIOS'!$B$4</f>
        <v>1000</v>
      </c>
      <c r="V209" s="3">
        <f>('SUPUESTOS PRECIOS'!$B$6-'SUPUESTOS PRECIOS'!$B$7)/'SUPUESTOS PRECIOS'!$B$4</f>
        <v>377.5</v>
      </c>
      <c r="W209" s="4">
        <f>'SUPUESTOS PRECIOS'!$B$8</f>
        <v>9.6799999999999994E-3</v>
      </c>
      <c r="X209" s="4">
        <f>'SUPUESTOS PRECIOS'!$B$2</f>
        <v>0.4</v>
      </c>
      <c r="Y209" s="3">
        <f t="shared" si="13"/>
        <v>10800</v>
      </c>
      <c r="Z209" s="3">
        <f t="shared" si="14"/>
        <v>4317.9560000000001</v>
      </c>
      <c r="AA209" s="11">
        <f t="shared" si="15"/>
        <v>0.39981074074074074</v>
      </c>
    </row>
    <row r="210" spans="1:27" x14ac:dyDescent="0.35">
      <c r="A210" s="10" t="s">
        <v>1214</v>
      </c>
      <c r="B210" t="s">
        <v>1215</v>
      </c>
      <c r="C210" t="s">
        <v>1207</v>
      </c>
      <c r="D210" t="s">
        <v>1208</v>
      </c>
      <c r="E210" t="s">
        <v>1209</v>
      </c>
      <c r="F210" t="s">
        <v>1216</v>
      </c>
      <c r="H210" t="s">
        <v>762</v>
      </c>
      <c r="I210" t="s">
        <v>1217</v>
      </c>
      <c r="J210">
        <v>4500</v>
      </c>
      <c r="K210">
        <v>0.5</v>
      </c>
      <c r="L210">
        <f t="shared" si="12"/>
        <v>6750</v>
      </c>
      <c r="M210" t="s">
        <v>38</v>
      </c>
      <c r="O210" t="s">
        <v>38</v>
      </c>
      <c r="P210" t="s">
        <v>39</v>
      </c>
      <c r="Q210" t="s">
        <v>1215</v>
      </c>
      <c r="R210" t="s">
        <v>1218</v>
      </c>
      <c r="S210" t="s">
        <v>1213</v>
      </c>
      <c r="T210" s="2">
        <f>'SUPUESTOS PRECIOS'!$B$9</f>
        <v>0</v>
      </c>
      <c r="U210" s="3">
        <f>'SUPUESTOS PRECIOS'!$B$5/'SUPUESTOS PRECIOS'!$B$4</f>
        <v>1000</v>
      </c>
      <c r="V210" s="3">
        <f>('SUPUESTOS PRECIOS'!$B$6-'SUPUESTOS PRECIOS'!$B$7)/'SUPUESTOS PRECIOS'!$B$4</f>
        <v>377.5</v>
      </c>
      <c r="W210" s="4">
        <f>'SUPUESTOS PRECIOS'!$B$8</f>
        <v>9.6799999999999994E-3</v>
      </c>
      <c r="X210" s="4">
        <f>'SUPUESTOS PRECIOS'!$B$2</f>
        <v>0.4</v>
      </c>
      <c r="Y210" s="3">
        <f t="shared" si="13"/>
        <v>9960</v>
      </c>
      <c r="Z210" s="3">
        <f t="shared" si="14"/>
        <v>3986.0871999999999</v>
      </c>
      <c r="AA210" s="11">
        <f t="shared" si="15"/>
        <v>0.40020955823293169</v>
      </c>
    </row>
    <row r="211" spans="1:27" x14ac:dyDescent="0.35">
      <c r="A211" s="10" t="s">
        <v>1219</v>
      </c>
      <c r="B211" t="s">
        <v>1220</v>
      </c>
      <c r="C211" t="s">
        <v>1207</v>
      </c>
      <c r="D211" t="s">
        <v>1208</v>
      </c>
      <c r="E211" t="s">
        <v>33</v>
      </c>
      <c r="F211" t="s">
        <v>1221</v>
      </c>
      <c r="H211" t="s">
        <v>36</v>
      </c>
      <c r="I211" t="s">
        <v>1222</v>
      </c>
      <c r="J211">
        <v>5800</v>
      </c>
      <c r="K211">
        <v>0.5</v>
      </c>
      <c r="L211">
        <f t="shared" si="12"/>
        <v>8700</v>
      </c>
      <c r="M211" t="s">
        <v>38</v>
      </c>
      <c r="O211" t="s">
        <v>38</v>
      </c>
      <c r="P211" t="s">
        <v>39</v>
      </c>
      <c r="Q211" t="s">
        <v>1220</v>
      </c>
      <c r="R211" t="s">
        <v>1223</v>
      </c>
      <c r="S211" t="s">
        <v>1213</v>
      </c>
      <c r="T211" s="2">
        <f>'SUPUESTOS PRECIOS'!$B$9</f>
        <v>0</v>
      </c>
      <c r="U211" s="3">
        <f>'SUPUESTOS PRECIOS'!$B$5/'SUPUESTOS PRECIOS'!$B$4</f>
        <v>1000</v>
      </c>
      <c r="V211" s="3">
        <f>('SUPUESTOS PRECIOS'!$B$6-'SUPUESTOS PRECIOS'!$B$7)/'SUPUESTOS PRECIOS'!$B$4</f>
        <v>377.5</v>
      </c>
      <c r="W211" s="4">
        <f>'SUPUESTOS PRECIOS'!$B$8</f>
        <v>9.6799999999999994E-3</v>
      </c>
      <c r="X211" s="4">
        <f>'SUPUESTOS PRECIOS'!$B$2</f>
        <v>0.4</v>
      </c>
      <c r="Y211" s="3">
        <f t="shared" si="13"/>
        <v>12160</v>
      </c>
      <c r="Z211" s="3">
        <f t="shared" si="14"/>
        <v>4864.7911999999997</v>
      </c>
      <c r="AA211" s="11">
        <f t="shared" si="15"/>
        <v>0.40006506578947365</v>
      </c>
    </row>
    <row r="212" spans="1:27" x14ac:dyDescent="0.35">
      <c r="A212" s="10" t="s">
        <v>1224</v>
      </c>
      <c r="B212" t="s">
        <v>1225</v>
      </c>
      <c r="C212" t="s">
        <v>1207</v>
      </c>
      <c r="D212" t="s">
        <v>1226</v>
      </c>
      <c r="E212" t="s">
        <v>33</v>
      </c>
      <c r="F212" t="s">
        <v>1227</v>
      </c>
      <c r="H212" t="s">
        <v>1228</v>
      </c>
      <c r="I212" t="s">
        <v>1229</v>
      </c>
      <c r="J212">
        <v>185000</v>
      </c>
      <c r="K212">
        <v>0.5</v>
      </c>
      <c r="L212">
        <f t="shared" si="12"/>
        <v>277500</v>
      </c>
      <c r="M212" t="s">
        <v>38</v>
      </c>
      <c r="O212" t="s">
        <v>38</v>
      </c>
      <c r="P212" t="s">
        <v>39</v>
      </c>
      <c r="Q212" t="s">
        <v>1225</v>
      </c>
      <c r="R212" t="s">
        <v>1230</v>
      </c>
      <c r="S212" t="s">
        <v>1231</v>
      </c>
      <c r="T212" s="2">
        <f>'SUPUESTOS PRECIOS'!$B$9</f>
        <v>0</v>
      </c>
      <c r="U212" s="3">
        <f>'SUPUESTOS PRECIOS'!$B$5/'SUPUESTOS PRECIOS'!$B$4</f>
        <v>1000</v>
      </c>
      <c r="V212" s="3">
        <f>('SUPUESTOS PRECIOS'!$B$6-'SUPUESTOS PRECIOS'!$B$7)/'SUPUESTOS PRECIOS'!$B$4</f>
        <v>377.5</v>
      </c>
      <c r="W212" s="4">
        <f>'SUPUESTOS PRECIOS'!$B$8</f>
        <v>9.6799999999999994E-3</v>
      </c>
      <c r="X212" s="4">
        <f>'SUPUESTOS PRECIOS'!$B$2</f>
        <v>0.4</v>
      </c>
      <c r="Y212" s="3">
        <f t="shared" si="13"/>
        <v>315720</v>
      </c>
      <c r="Z212" s="3">
        <f t="shared" si="14"/>
        <v>126286.33040000001</v>
      </c>
      <c r="AA212" s="11">
        <f t="shared" si="15"/>
        <v>0.39999471176992274</v>
      </c>
    </row>
    <row r="213" spans="1:27" x14ac:dyDescent="0.35">
      <c r="A213" s="10" t="s">
        <v>1232</v>
      </c>
      <c r="B213" t="s">
        <v>1233</v>
      </c>
      <c r="C213" t="s">
        <v>1207</v>
      </c>
      <c r="D213" t="s">
        <v>1226</v>
      </c>
      <c r="E213" t="s">
        <v>33</v>
      </c>
      <c r="F213" t="s">
        <v>1234</v>
      </c>
      <c r="H213" t="s">
        <v>1235</v>
      </c>
      <c r="I213" t="s">
        <v>1236</v>
      </c>
      <c r="J213">
        <v>4800</v>
      </c>
      <c r="K213">
        <v>0.5</v>
      </c>
      <c r="L213">
        <f t="shared" si="12"/>
        <v>7200</v>
      </c>
      <c r="M213" t="s">
        <v>38</v>
      </c>
      <c r="O213" t="s">
        <v>38</v>
      </c>
      <c r="P213" t="s">
        <v>39</v>
      </c>
      <c r="Q213" t="s">
        <v>1233</v>
      </c>
      <c r="R213" t="s">
        <v>1237</v>
      </c>
      <c r="S213" t="s">
        <v>1231</v>
      </c>
      <c r="T213" s="2">
        <f>'SUPUESTOS PRECIOS'!$B$9</f>
        <v>0</v>
      </c>
      <c r="U213" s="3">
        <f>'SUPUESTOS PRECIOS'!$B$5/'SUPUESTOS PRECIOS'!$B$4</f>
        <v>1000</v>
      </c>
      <c r="V213" s="3">
        <f>('SUPUESTOS PRECIOS'!$B$6-'SUPUESTOS PRECIOS'!$B$7)/'SUPUESTOS PRECIOS'!$B$4</f>
        <v>377.5</v>
      </c>
      <c r="W213" s="4">
        <f>'SUPUESTOS PRECIOS'!$B$8</f>
        <v>9.6799999999999994E-3</v>
      </c>
      <c r="X213" s="4">
        <f>'SUPUESTOS PRECIOS'!$B$2</f>
        <v>0.4</v>
      </c>
      <c r="Y213" s="3">
        <f t="shared" si="13"/>
        <v>10460</v>
      </c>
      <c r="Z213" s="3">
        <f t="shared" si="14"/>
        <v>4181.2471999999998</v>
      </c>
      <c r="AA213" s="11">
        <f t="shared" si="15"/>
        <v>0.3997368260038241</v>
      </c>
    </row>
    <row r="214" spans="1:27" x14ac:dyDescent="0.35">
      <c r="A214" s="10" t="s">
        <v>1238</v>
      </c>
      <c r="B214" t="s">
        <v>1239</v>
      </c>
      <c r="C214" t="s">
        <v>1207</v>
      </c>
      <c r="D214" t="s">
        <v>1226</v>
      </c>
      <c r="E214" t="s">
        <v>33</v>
      </c>
      <c r="F214" t="s">
        <v>1240</v>
      </c>
      <c r="H214" t="s">
        <v>136</v>
      </c>
      <c r="I214" t="s">
        <v>1241</v>
      </c>
      <c r="J214">
        <v>4400</v>
      </c>
      <c r="K214">
        <v>0.5</v>
      </c>
      <c r="L214">
        <f t="shared" si="12"/>
        <v>6600</v>
      </c>
      <c r="M214" t="s">
        <v>38</v>
      </c>
      <c r="O214" t="s">
        <v>38</v>
      </c>
      <c r="P214" t="s">
        <v>39</v>
      </c>
      <c r="Q214" t="s">
        <v>1239</v>
      </c>
      <c r="R214" t="s">
        <v>1242</v>
      </c>
      <c r="S214" t="s">
        <v>1231</v>
      </c>
      <c r="T214" s="2">
        <f>'SUPUESTOS PRECIOS'!$B$9</f>
        <v>0</v>
      </c>
      <c r="U214" s="3">
        <f>'SUPUESTOS PRECIOS'!$B$5/'SUPUESTOS PRECIOS'!$B$4</f>
        <v>1000</v>
      </c>
      <c r="V214" s="3">
        <f>('SUPUESTOS PRECIOS'!$B$6-'SUPUESTOS PRECIOS'!$B$7)/'SUPUESTOS PRECIOS'!$B$4</f>
        <v>377.5</v>
      </c>
      <c r="W214" s="4">
        <f>'SUPUESTOS PRECIOS'!$B$8</f>
        <v>9.6799999999999994E-3</v>
      </c>
      <c r="X214" s="4">
        <f>'SUPUESTOS PRECIOS'!$B$2</f>
        <v>0.4</v>
      </c>
      <c r="Y214" s="3">
        <f t="shared" si="13"/>
        <v>9790</v>
      </c>
      <c r="Z214" s="3">
        <f t="shared" si="14"/>
        <v>3917.7328000000002</v>
      </c>
      <c r="AA214" s="11">
        <f t="shared" si="15"/>
        <v>0.40017699693564862</v>
      </c>
    </row>
    <row r="215" spans="1:27" x14ac:dyDescent="0.35">
      <c r="A215" s="10" t="s">
        <v>1243</v>
      </c>
      <c r="B215" t="s">
        <v>1244</v>
      </c>
      <c r="C215" t="s">
        <v>1207</v>
      </c>
      <c r="D215" t="s">
        <v>1226</v>
      </c>
      <c r="E215" t="s">
        <v>33</v>
      </c>
      <c r="F215" t="s">
        <v>1245</v>
      </c>
      <c r="H215" t="s">
        <v>846</v>
      </c>
      <c r="I215" t="s">
        <v>1246</v>
      </c>
      <c r="J215">
        <v>26000</v>
      </c>
      <c r="K215">
        <v>0.5</v>
      </c>
      <c r="L215">
        <f t="shared" si="12"/>
        <v>39000</v>
      </c>
      <c r="M215" t="s">
        <v>38</v>
      </c>
      <c r="O215" t="s">
        <v>38</v>
      </c>
      <c r="P215" t="s">
        <v>39</v>
      </c>
      <c r="Q215" t="s">
        <v>1244</v>
      </c>
      <c r="R215" t="s">
        <v>1247</v>
      </c>
      <c r="S215" t="s">
        <v>1231</v>
      </c>
      <c r="T215" s="2">
        <f>'SUPUESTOS PRECIOS'!$B$9</f>
        <v>0</v>
      </c>
      <c r="U215" s="3">
        <f>'SUPUESTOS PRECIOS'!$B$5/'SUPUESTOS PRECIOS'!$B$4</f>
        <v>1000</v>
      </c>
      <c r="V215" s="3">
        <f>('SUPUESTOS PRECIOS'!$B$6-'SUPUESTOS PRECIOS'!$B$7)/'SUPUESTOS PRECIOS'!$B$4</f>
        <v>377.5</v>
      </c>
      <c r="W215" s="4">
        <f>'SUPUESTOS PRECIOS'!$B$8</f>
        <v>9.6799999999999994E-3</v>
      </c>
      <c r="X215" s="4">
        <f>'SUPUESTOS PRECIOS'!$B$2</f>
        <v>0.4</v>
      </c>
      <c r="Y215" s="3">
        <f t="shared" si="13"/>
        <v>46380</v>
      </c>
      <c r="Z215" s="3">
        <f t="shared" si="14"/>
        <v>18553.5416</v>
      </c>
      <c r="AA215" s="11">
        <f t="shared" si="15"/>
        <v>0.40003323846485556</v>
      </c>
    </row>
    <row r="216" spans="1:27" x14ac:dyDescent="0.35">
      <c r="A216" s="10" t="s">
        <v>1248</v>
      </c>
      <c r="B216" t="s">
        <v>1249</v>
      </c>
      <c r="C216" t="s">
        <v>1207</v>
      </c>
      <c r="D216" t="s">
        <v>1226</v>
      </c>
      <c r="E216" t="s">
        <v>33</v>
      </c>
      <c r="F216" t="s">
        <v>1250</v>
      </c>
      <c r="H216" t="s">
        <v>136</v>
      </c>
      <c r="I216" t="s">
        <v>1251</v>
      </c>
      <c r="J216">
        <v>7000</v>
      </c>
      <c r="K216">
        <v>0.5</v>
      </c>
      <c r="L216">
        <f t="shared" si="12"/>
        <v>10500</v>
      </c>
      <c r="M216" t="s">
        <v>38</v>
      </c>
      <c r="O216" t="s">
        <v>38</v>
      </c>
      <c r="P216" t="s">
        <v>39</v>
      </c>
      <c r="Q216" t="s">
        <v>1249</v>
      </c>
      <c r="R216" t="s">
        <v>1252</v>
      </c>
      <c r="S216" t="s">
        <v>1231</v>
      </c>
      <c r="T216" s="2">
        <f>'SUPUESTOS PRECIOS'!$B$9</f>
        <v>0</v>
      </c>
      <c r="U216" s="3">
        <f>'SUPUESTOS PRECIOS'!$B$5/'SUPUESTOS PRECIOS'!$B$4</f>
        <v>1000</v>
      </c>
      <c r="V216" s="3">
        <f>('SUPUESTOS PRECIOS'!$B$6-'SUPUESTOS PRECIOS'!$B$7)/'SUPUESTOS PRECIOS'!$B$4</f>
        <v>377.5</v>
      </c>
      <c r="W216" s="4">
        <f>'SUPUESTOS PRECIOS'!$B$8</f>
        <v>9.6799999999999994E-3</v>
      </c>
      <c r="X216" s="4">
        <f>'SUPUESTOS PRECIOS'!$B$2</f>
        <v>0.4</v>
      </c>
      <c r="Y216" s="3">
        <f t="shared" si="13"/>
        <v>14190</v>
      </c>
      <c r="Z216" s="3">
        <f t="shared" si="14"/>
        <v>5675.1408000000001</v>
      </c>
      <c r="AA216" s="11">
        <f t="shared" si="15"/>
        <v>0.39993945031712475</v>
      </c>
    </row>
    <row r="217" spans="1:27" x14ac:dyDescent="0.35">
      <c r="A217" s="10" t="s">
        <v>1253</v>
      </c>
      <c r="B217" t="s">
        <v>1254</v>
      </c>
      <c r="C217" t="s">
        <v>1207</v>
      </c>
      <c r="D217" t="s">
        <v>1255</v>
      </c>
      <c r="E217" t="s">
        <v>33</v>
      </c>
      <c r="F217" t="s">
        <v>1256</v>
      </c>
      <c r="H217" t="s">
        <v>136</v>
      </c>
      <c r="I217" t="s">
        <v>1257</v>
      </c>
      <c r="J217">
        <v>12700</v>
      </c>
      <c r="K217">
        <v>0.5</v>
      </c>
      <c r="L217">
        <f t="shared" si="12"/>
        <v>19050</v>
      </c>
      <c r="M217" t="s">
        <v>38</v>
      </c>
      <c r="O217" t="s">
        <v>38</v>
      </c>
      <c r="P217" t="s">
        <v>39</v>
      </c>
      <c r="Q217" t="s">
        <v>1254</v>
      </c>
      <c r="R217" t="s">
        <v>1258</v>
      </c>
      <c r="S217" t="s">
        <v>1259</v>
      </c>
      <c r="T217" s="2">
        <f>'SUPUESTOS PRECIOS'!$B$9</f>
        <v>0</v>
      </c>
      <c r="U217" s="3">
        <f>'SUPUESTOS PRECIOS'!$B$5/'SUPUESTOS PRECIOS'!$B$4</f>
        <v>1000</v>
      </c>
      <c r="V217" s="3">
        <f>('SUPUESTOS PRECIOS'!$B$6-'SUPUESTOS PRECIOS'!$B$7)/'SUPUESTOS PRECIOS'!$B$4</f>
        <v>377.5</v>
      </c>
      <c r="W217" s="4">
        <f>'SUPUESTOS PRECIOS'!$B$8</f>
        <v>9.6799999999999994E-3</v>
      </c>
      <c r="X217" s="4">
        <f>'SUPUESTOS PRECIOS'!$B$2</f>
        <v>0.4</v>
      </c>
      <c r="Y217" s="3">
        <f t="shared" si="13"/>
        <v>23850</v>
      </c>
      <c r="Z217" s="3">
        <f t="shared" si="14"/>
        <v>9541.6319999999996</v>
      </c>
      <c r="AA217" s="11">
        <f t="shared" si="15"/>
        <v>0.40006842767295597</v>
      </c>
    </row>
    <row r="218" spans="1:27" x14ac:dyDescent="0.35">
      <c r="A218" s="10" t="s">
        <v>1260</v>
      </c>
      <c r="B218" t="s">
        <v>1261</v>
      </c>
      <c r="C218" t="s">
        <v>1207</v>
      </c>
      <c r="D218" t="s">
        <v>1255</v>
      </c>
      <c r="E218" t="s">
        <v>33</v>
      </c>
      <c r="F218" t="s">
        <v>1262</v>
      </c>
      <c r="H218" t="s">
        <v>136</v>
      </c>
      <c r="I218" t="s">
        <v>1263</v>
      </c>
      <c r="J218">
        <v>9000</v>
      </c>
      <c r="K218">
        <v>0.5</v>
      </c>
      <c r="L218">
        <f t="shared" si="12"/>
        <v>13500</v>
      </c>
      <c r="M218" t="s">
        <v>38</v>
      </c>
      <c r="O218" t="s">
        <v>38</v>
      </c>
      <c r="P218" t="s">
        <v>39</v>
      </c>
      <c r="Q218" t="s">
        <v>1261</v>
      </c>
      <c r="R218" t="s">
        <v>1264</v>
      </c>
      <c r="S218" t="s">
        <v>1259</v>
      </c>
      <c r="T218" s="2">
        <f>'SUPUESTOS PRECIOS'!$B$9</f>
        <v>0</v>
      </c>
      <c r="U218" s="3">
        <f>'SUPUESTOS PRECIOS'!$B$5/'SUPUESTOS PRECIOS'!$B$4</f>
        <v>1000</v>
      </c>
      <c r="V218" s="3">
        <f>('SUPUESTOS PRECIOS'!$B$6-'SUPUESTOS PRECIOS'!$B$7)/'SUPUESTOS PRECIOS'!$B$4</f>
        <v>377.5</v>
      </c>
      <c r="W218" s="4">
        <f>'SUPUESTOS PRECIOS'!$B$8</f>
        <v>9.6799999999999994E-3</v>
      </c>
      <c r="X218" s="4">
        <f>'SUPUESTOS PRECIOS'!$B$2</f>
        <v>0.4</v>
      </c>
      <c r="Y218" s="3">
        <f t="shared" si="13"/>
        <v>17580</v>
      </c>
      <c r="Z218" s="3">
        <f t="shared" si="14"/>
        <v>7032.3256000000001</v>
      </c>
      <c r="AA218" s="11">
        <f t="shared" si="15"/>
        <v>0.40001852104664393</v>
      </c>
    </row>
    <row r="219" spans="1:27" x14ac:dyDescent="0.35">
      <c r="A219" s="10" t="s">
        <v>1265</v>
      </c>
      <c r="B219" t="s">
        <v>1266</v>
      </c>
      <c r="C219" t="s">
        <v>1207</v>
      </c>
      <c r="D219" t="s">
        <v>1255</v>
      </c>
      <c r="E219" t="s">
        <v>33</v>
      </c>
      <c r="F219" t="s">
        <v>1267</v>
      </c>
      <c r="H219" t="s">
        <v>136</v>
      </c>
      <c r="I219" t="s">
        <v>1268</v>
      </c>
      <c r="J219">
        <v>4500</v>
      </c>
      <c r="K219">
        <v>0.5</v>
      </c>
      <c r="L219">
        <f t="shared" si="12"/>
        <v>6750</v>
      </c>
      <c r="M219" t="s">
        <v>38</v>
      </c>
      <c r="O219" t="s">
        <v>38</v>
      </c>
      <c r="P219" t="s">
        <v>39</v>
      </c>
      <c r="Q219" t="s">
        <v>1266</v>
      </c>
      <c r="R219" t="s">
        <v>1269</v>
      </c>
      <c r="S219" t="s">
        <v>1259</v>
      </c>
      <c r="T219" s="2">
        <f>'SUPUESTOS PRECIOS'!$B$9</f>
        <v>0</v>
      </c>
      <c r="U219" s="3">
        <f>'SUPUESTOS PRECIOS'!$B$5/'SUPUESTOS PRECIOS'!$B$4</f>
        <v>1000</v>
      </c>
      <c r="V219" s="3">
        <f>('SUPUESTOS PRECIOS'!$B$6-'SUPUESTOS PRECIOS'!$B$7)/'SUPUESTOS PRECIOS'!$B$4</f>
        <v>377.5</v>
      </c>
      <c r="W219" s="4">
        <f>'SUPUESTOS PRECIOS'!$B$8</f>
        <v>9.6799999999999994E-3</v>
      </c>
      <c r="X219" s="4">
        <f>'SUPUESTOS PRECIOS'!$B$2</f>
        <v>0.4</v>
      </c>
      <c r="Y219" s="3">
        <f t="shared" si="13"/>
        <v>9960</v>
      </c>
      <c r="Z219" s="3">
        <f t="shared" si="14"/>
        <v>3986.0871999999999</v>
      </c>
      <c r="AA219" s="11">
        <f t="shared" si="15"/>
        <v>0.40020955823293169</v>
      </c>
    </row>
    <row r="220" spans="1:27" x14ac:dyDescent="0.35">
      <c r="A220" s="10" t="s">
        <v>1270</v>
      </c>
      <c r="B220" t="s">
        <v>1271</v>
      </c>
      <c r="C220" t="s">
        <v>1207</v>
      </c>
      <c r="D220" t="s">
        <v>1255</v>
      </c>
      <c r="E220" t="s">
        <v>33</v>
      </c>
      <c r="F220" t="s">
        <v>1272</v>
      </c>
      <c r="H220" t="s">
        <v>136</v>
      </c>
      <c r="I220" t="s">
        <v>1273</v>
      </c>
      <c r="J220">
        <v>19000</v>
      </c>
      <c r="K220">
        <v>0.5</v>
      </c>
      <c r="L220">
        <f t="shared" si="12"/>
        <v>28500</v>
      </c>
      <c r="M220" t="s">
        <v>38</v>
      </c>
      <c r="O220" t="s">
        <v>38</v>
      </c>
      <c r="P220" t="s">
        <v>39</v>
      </c>
      <c r="Q220" t="s">
        <v>1271</v>
      </c>
      <c r="R220" t="s">
        <v>1274</v>
      </c>
      <c r="S220" t="s">
        <v>1259</v>
      </c>
      <c r="T220" s="2">
        <f>'SUPUESTOS PRECIOS'!$B$9</f>
        <v>0</v>
      </c>
      <c r="U220" s="3">
        <f>'SUPUESTOS PRECIOS'!$B$5/'SUPUESTOS PRECIOS'!$B$4</f>
        <v>1000</v>
      </c>
      <c r="V220" s="3">
        <f>('SUPUESTOS PRECIOS'!$B$6-'SUPUESTOS PRECIOS'!$B$7)/'SUPUESTOS PRECIOS'!$B$4</f>
        <v>377.5</v>
      </c>
      <c r="W220" s="4">
        <f>'SUPUESTOS PRECIOS'!$B$8</f>
        <v>9.6799999999999994E-3</v>
      </c>
      <c r="X220" s="4">
        <f>'SUPUESTOS PRECIOS'!$B$2</f>
        <v>0.4</v>
      </c>
      <c r="Y220" s="3">
        <f t="shared" si="13"/>
        <v>34520</v>
      </c>
      <c r="Z220" s="3">
        <f t="shared" si="14"/>
        <v>13808.3464</v>
      </c>
      <c r="AA220" s="11">
        <f t="shared" si="15"/>
        <v>0.40001003476245656</v>
      </c>
    </row>
    <row r="221" spans="1:27" x14ac:dyDescent="0.35">
      <c r="A221" s="10" t="s">
        <v>1275</v>
      </c>
      <c r="B221" t="s">
        <v>1276</v>
      </c>
      <c r="C221" t="s">
        <v>1207</v>
      </c>
      <c r="D221" t="s">
        <v>1277</v>
      </c>
      <c r="E221" t="s">
        <v>33</v>
      </c>
      <c r="F221" t="s">
        <v>1278</v>
      </c>
      <c r="H221" t="s">
        <v>136</v>
      </c>
      <c r="I221" t="s">
        <v>1279</v>
      </c>
      <c r="J221">
        <v>1000</v>
      </c>
      <c r="K221">
        <v>1</v>
      </c>
      <c r="L221">
        <f t="shared" si="12"/>
        <v>2000</v>
      </c>
      <c r="M221" t="s">
        <v>38</v>
      </c>
      <c r="O221" t="s">
        <v>38</v>
      </c>
      <c r="P221" t="s">
        <v>39</v>
      </c>
      <c r="Q221" t="s">
        <v>1276</v>
      </c>
      <c r="R221" t="s">
        <v>1280</v>
      </c>
      <c r="S221" t="s">
        <v>1281</v>
      </c>
      <c r="T221" s="2">
        <f>'SUPUESTOS PRECIOS'!$B$9</f>
        <v>0</v>
      </c>
      <c r="U221" s="3">
        <f>'SUPUESTOS PRECIOS'!$B$5/'SUPUESTOS PRECIOS'!$B$4</f>
        <v>1000</v>
      </c>
      <c r="V221" s="3">
        <f>('SUPUESTOS PRECIOS'!$B$6-'SUPUESTOS PRECIOS'!$B$7)/'SUPUESTOS PRECIOS'!$B$4</f>
        <v>377.5</v>
      </c>
      <c r="W221" s="4">
        <f>'SUPUESTOS PRECIOS'!$B$8</f>
        <v>9.6799999999999994E-3</v>
      </c>
      <c r="X221" s="4">
        <f>'SUPUESTOS PRECIOS'!$B$2</f>
        <v>0.4</v>
      </c>
      <c r="Y221" s="3">
        <f t="shared" si="13"/>
        <v>4030</v>
      </c>
      <c r="Z221" s="3">
        <f t="shared" si="14"/>
        <v>1613.4896000000001</v>
      </c>
      <c r="AA221" s="11">
        <f t="shared" si="15"/>
        <v>0.40036962779156332</v>
      </c>
    </row>
    <row r="222" spans="1:27" x14ac:dyDescent="0.35">
      <c r="A222" s="10" t="s">
        <v>1282</v>
      </c>
      <c r="B222" t="s">
        <v>1283</v>
      </c>
      <c r="C222" t="s">
        <v>1207</v>
      </c>
      <c r="D222" t="s">
        <v>1277</v>
      </c>
      <c r="E222" t="s">
        <v>33</v>
      </c>
      <c r="F222" t="s">
        <v>1284</v>
      </c>
      <c r="H222" t="s">
        <v>136</v>
      </c>
      <c r="I222" t="s">
        <v>1285</v>
      </c>
      <c r="J222">
        <v>14000</v>
      </c>
      <c r="K222">
        <v>0.5</v>
      </c>
      <c r="L222">
        <f t="shared" si="12"/>
        <v>21000</v>
      </c>
      <c r="M222" t="s">
        <v>38</v>
      </c>
      <c r="O222" t="s">
        <v>38</v>
      </c>
      <c r="P222" t="s">
        <v>39</v>
      </c>
      <c r="Q222" t="s">
        <v>1283</v>
      </c>
      <c r="R222" t="s">
        <v>1286</v>
      </c>
      <c r="S222" t="s">
        <v>1281</v>
      </c>
      <c r="T222" s="2">
        <f>'SUPUESTOS PRECIOS'!$B$9</f>
        <v>0</v>
      </c>
      <c r="U222" s="3">
        <f>'SUPUESTOS PRECIOS'!$B$5/'SUPUESTOS PRECIOS'!$B$4</f>
        <v>1000</v>
      </c>
      <c r="V222" s="3">
        <f>('SUPUESTOS PRECIOS'!$B$6-'SUPUESTOS PRECIOS'!$B$7)/'SUPUESTOS PRECIOS'!$B$4</f>
        <v>377.5</v>
      </c>
      <c r="W222" s="4">
        <f>'SUPUESTOS PRECIOS'!$B$8</f>
        <v>9.6799999999999994E-3</v>
      </c>
      <c r="X222" s="4">
        <f>'SUPUESTOS PRECIOS'!$B$2</f>
        <v>0.4</v>
      </c>
      <c r="Y222" s="3">
        <f t="shared" si="13"/>
        <v>26050</v>
      </c>
      <c r="Z222" s="3">
        <f t="shared" si="14"/>
        <v>10420.335999999999</v>
      </c>
      <c r="AA222" s="11">
        <f t="shared" si="15"/>
        <v>0.40001289827255276</v>
      </c>
    </row>
    <row r="223" spans="1:27" x14ac:dyDescent="0.35">
      <c r="A223" s="10" t="s">
        <v>1287</v>
      </c>
      <c r="B223" t="s">
        <v>1288</v>
      </c>
      <c r="C223" t="s">
        <v>1207</v>
      </c>
      <c r="D223" t="s">
        <v>1277</v>
      </c>
      <c r="E223" t="s">
        <v>33</v>
      </c>
      <c r="F223" t="s">
        <v>1289</v>
      </c>
      <c r="H223" t="s">
        <v>136</v>
      </c>
      <c r="I223" t="s">
        <v>1290</v>
      </c>
      <c r="J223">
        <v>11000</v>
      </c>
      <c r="K223">
        <v>0.5</v>
      </c>
      <c r="L223">
        <f t="shared" si="12"/>
        <v>16500</v>
      </c>
      <c r="M223" t="s">
        <v>38</v>
      </c>
      <c r="O223" t="s">
        <v>38</v>
      </c>
      <c r="P223" t="s">
        <v>39</v>
      </c>
      <c r="Q223" t="s">
        <v>1288</v>
      </c>
      <c r="R223" t="s">
        <v>1291</v>
      </c>
      <c r="S223" t="s">
        <v>1281</v>
      </c>
      <c r="T223" s="2">
        <f>'SUPUESTOS PRECIOS'!$B$9</f>
        <v>0</v>
      </c>
      <c r="U223" s="3">
        <f>'SUPUESTOS PRECIOS'!$B$5/'SUPUESTOS PRECIOS'!$B$4</f>
        <v>1000</v>
      </c>
      <c r="V223" s="3">
        <f>('SUPUESTOS PRECIOS'!$B$6-'SUPUESTOS PRECIOS'!$B$7)/'SUPUESTOS PRECIOS'!$B$4</f>
        <v>377.5</v>
      </c>
      <c r="W223" s="4">
        <f>'SUPUESTOS PRECIOS'!$B$8</f>
        <v>9.6799999999999994E-3</v>
      </c>
      <c r="X223" s="4">
        <f>'SUPUESTOS PRECIOS'!$B$2</f>
        <v>0.4</v>
      </c>
      <c r="Y223" s="3">
        <f t="shared" si="13"/>
        <v>20970</v>
      </c>
      <c r="Z223" s="3">
        <f t="shared" si="14"/>
        <v>8389.5103999999992</v>
      </c>
      <c r="AA223" s="11">
        <f t="shared" si="15"/>
        <v>0.40007202670481634</v>
      </c>
    </row>
    <row r="224" spans="1:27" x14ac:dyDescent="0.35">
      <c r="A224" s="10" t="s">
        <v>1292</v>
      </c>
      <c r="B224" t="s">
        <v>1293</v>
      </c>
      <c r="C224" t="s">
        <v>1207</v>
      </c>
      <c r="D224" t="s">
        <v>1277</v>
      </c>
      <c r="E224" t="s">
        <v>33</v>
      </c>
      <c r="F224" t="s">
        <v>1294</v>
      </c>
      <c r="H224" t="s">
        <v>136</v>
      </c>
      <c r="I224" t="s">
        <v>1295</v>
      </c>
      <c r="J224">
        <v>2000</v>
      </c>
      <c r="K224">
        <v>0.5</v>
      </c>
      <c r="L224">
        <f t="shared" si="12"/>
        <v>3000</v>
      </c>
      <c r="M224" t="s">
        <v>38</v>
      </c>
      <c r="O224" t="s">
        <v>38</v>
      </c>
      <c r="P224" t="s">
        <v>39</v>
      </c>
      <c r="Q224" t="s">
        <v>1293</v>
      </c>
      <c r="R224" t="s">
        <v>1296</v>
      </c>
      <c r="S224" t="s">
        <v>1281</v>
      </c>
      <c r="T224" s="2">
        <f>'SUPUESTOS PRECIOS'!$B$9</f>
        <v>0</v>
      </c>
      <c r="U224" s="3">
        <f>'SUPUESTOS PRECIOS'!$B$5/'SUPUESTOS PRECIOS'!$B$4</f>
        <v>1000</v>
      </c>
      <c r="V224" s="3">
        <f>('SUPUESTOS PRECIOS'!$B$6-'SUPUESTOS PRECIOS'!$B$7)/'SUPUESTOS PRECIOS'!$B$4</f>
        <v>377.5</v>
      </c>
      <c r="W224" s="4">
        <f>'SUPUESTOS PRECIOS'!$B$8</f>
        <v>9.6799999999999994E-3</v>
      </c>
      <c r="X224" s="4">
        <f>'SUPUESTOS PRECIOS'!$B$2</f>
        <v>0.4</v>
      </c>
      <c r="Y224" s="3">
        <f t="shared" si="13"/>
        <v>5720</v>
      </c>
      <c r="Z224" s="3">
        <f t="shared" si="14"/>
        <v>2287.1304</v>
      </c>
      <c r="AA224" s="11">
        <f t="shared" si="15"/>
        <v>0.39984797202797201</v>
      </c>
    </row>
    <row r="225" spans="1:29" x14ac:dyDescent="0.35">
      <c r="A225" s="10" t="s">
        <v>1297</v>
      </c>
      <c r="B225" t="s">
        <v>1298</v>
      </c>
      <c r="C225" t="s">
        <v>1207</v>
      </c>
      <c r="D225" t="s">
        <v>1277</v>
      </c>
      <c r="E225" t="s">
        <v>33</v>
      </c>
      <c r="F225" t="s">
        <v>1299</v>
      </c>
      <c r="H225" t="s">
        <v>136</v>
      </c>
      <c r="I225" t="s">
        <v>1300</v>
      </c>
      <c r="J225">
        <v>2400</v>
      </c>
      <c r="K225">
        <v>0.5</v>
      </c>
      <c r="L225">
        <f t="shared" si="12"/>
        <v>3600</v>
      </c>
      <c r="M225" t="s">
        <v>38</v>
      </c>
      <c r="O225" t="s">
        <v>38</v>
      </c>
      <c r="P225" t="s">
        <v>39</v>
      </c>
      <c r="Q225" t="s">
        <v>1298</v>
      </c>
      <c r="R225" t="s">
        <v>1301</v>
      </c>
      <c r="S225" t="s">
        <v>1281</v>
      </c>
      <c r="T225" s="2">
        <f>'SUPUESTOS PRECIOS'!$B$9</f>
        <v>0</v>
      </c>
      <c r="U225" s="3">
        <f>'SUPUESTOS PRECIOS'!$B$5/'SUPUESTOS PRECIOS'!$B$4</f>
        <v>1000</v>
      </c>
      <c r="V225" s="3">
        <f>('SUPUESTOS PRECIOS'!$B$6-'SUPUESTOS PRECIOS'!$B$7)/'SUPUESTOS PRECIOS'!$B$4</f>
        <v>377.5</v>
      </c>
      <c r="W225" s="4">
        <f>'SUPUESTOS PRECIOS'!$B$8</f>
        <v>9.6799999999999994E-3</v>
      </c>
      <c r="X225" s="4">
        <f>'SUPUESTOS PRECIOS'!$B$2</f>
        <v>0.4</v>
      </c>
      <c r="Y225" s="3">
        <f t="shared" si="13"/>
        <v>6400</v>
      </c>
      <c r="Z225" s="3">
        <f t="shared" si="14"/>
        <v>2560.5479999999998</v>
      </c>
      <c r="AA225" s="11">
        <f t="shared" si="15"/>
        <v>0.40008562499999994</v>
      </c>
    </row>
    <row r="226" spans="1:29" x14ac:dyDescent="0.35">
      <c r="A226" s="10" t="s">
        <v>1302</v>
      </c>
      <c r="B226" t="s">
        <v>1303</v>
      </c>
      <c r="C226" t="s">
        <v>1048</v>
      </c>
      <c r="D226" t="s">
        <v>1304</v>
      </c>
      <c r="E226" t="s">
        <v>939</v>
      </c>
      <c r="F226" t="s">
        <v>1305</v>
      </c>
      <c r="H226" t="s">
        <v>136</v>
      </c>
      <c r="I226" t="s">
        <v>1306</v>
      </c>
      <c r="J226">
        <v>1050</v>
      </c>
      <c r="K226">
        <v>1</v>
      </c>
      <c r="L226">
        <f t="shared" si="12"/>
        <v>2100</v>
      </c>
      <c r="M226" t="s">
        <v>38</v>
      </c>
      <c r="O226" t="s">
        <v>38</v>
      </c>
      <c r="P226" t="s">
        <v>39</v>
      </c>
      <c r="Q226" t="s">
        <v>1303</v>
      </c>
      <c r="R226" t="s">
        <v>1307</v>
      </c>
      <c r="S226" t="s">
        <v>1308</v>
      </c>
      <c r="T226" s="2">
        <f>'SUPUESTOS PRECIOS'!$B$9</f>
        <v>0</v>
      </c>
      <c r="U226" s="3">
        <f>'SUPUESTOS PRECIOS'!$B$5/'SUPUESTOS PRECIOS'!$B$4</f>
        <v>1000</v>
      </c>
      <c r="V226" s="3">
        <f>('SUPUESTOS PRECIOS'!$B$6-'SUPUESTOS PRECIOS'!$B$7)/'SUPUESTOS PRECIOS'!$B$4</f>
        <v>377.5</v>
      </c>
      <c r="W226" s="4">
        <f>'SUPUESTOS PRECIOS'!$B$8</f>
        <v>9.6799999999999994E-3</v>
      </c>
      <c r="X226" s="4">
        <f>'SUPUESTOS PRECIOS'!$B$2</f>
        <v>0.4</v>
      </c>
      <c r="Y226" s="3">
        <f t="shared" si="13"/>
        <v>4110</v>
      </c>
      <c r="Z226" s="3">
        <f t="shared" si="14"/>
        <v>1642.7152000000001</v>
      </c>
      <c r="AA226" s="11">
        <f t="shared" si="15"/>
        <v>0.39968739659367397</v>
      </c>
    </row>
    <row r="227" spans="1:29" x14ac:dyDescent="0.35">
      <c r="A227" s="10" t="s">
        <v>1309</v>
      </c>
      <c r="B227" t="s">
        <v>1310</v>
      </c>
      <c r="C227" t="s">
        <v>1048</v>
      </c>
      <c r="D227" t="s">
        <v>1304</v>
      </c>
      <c r="E227" t="s">
        <v>939</v>
      </c>
      <c r="F227" t="s">
        <v>1311</v>
      </c>
      <c r="H227" t="s">
        <v>136</v>
      </c>
      <c r="I227" t="s">
        <v>1312</v>
      </c>
      <c r="J227">
        <v>2500</v>
      </c>
      <c r="K227">
        <v>1</v>
      </c>
      <c r="L227">
        <f t="shared" si="12"/>
        <v>5000</v>
      </c>
      <c r="M227" t="s">
        <v>38</v>
      </c>
      <c r="O227" t="s">
        <v>38</v>
      </c>
      <c r="P227" t="s">
        <v>39</v>
      </c>
      <c r="Q227" t="s">
        <v>1310</v>
      </c>
      <c r="R227" t="s">
        <v>1313</v>
      </c>
      <c r="S227" t="s">
        <v>1308</v>
      </c>
      <c r="T227" s="2">
        <f>'SUPUESTOS PRECIOS'!$B$9</f>
        <v>0</v>
      </c>
      <c r="U227" s="3">
        <f>'SUPUESTOS PRECIOS'!$B$5/'SUPUESTOS PRECIOS'!$B$4</f>
        <v>1000</v>
      </c>
      <c r="V227" s="3">
        <f>('SUPUESTOS PRECIOS'!$B$6-'SUPUESTOS PRECIOS'!$B$7)/'SUPUESTOS PRECIOS'!$B$4</f>
        <v>377.5</v>
      </c>
      <c r="W227" s="4">
        <f>'SUPUESTOS PRECIOS'!$B$8</f>
        <v>9.6799999999999994E-3</v>
      </c>
      <c r="X227" s="4">
        <f>'SUPUESTOS PRECIOS'!$B$2</f>
        <v>0.4</v>
      </c>
      <c r="Y227" s="3">
        <f t="shared" si="13"/>
        <v>6570</v>
      </c>
      <c r="Z227" s="3">
        <f t="shared" si="14"/>
        <v>2628.9023999999999</v>
      </c>
      <c r="AA227" s="11">
        <f t="shared" si="15"/>
        <v>0.40013735159817349</v>
      </c>
    </row>
    <row r="228" spans="1:29" x14ac:dyDescent="0.35">
      <c r="A228" s="10" t="s">
        <v>1314</v>
      </c>
      <c r="B228" t="s">
        <v>1315</v>
      </c>
      <c r="C228" t="s">
        <v>1048</v>
      </c>
      <c r="D228" t="s">
        <v>1316</v>
      </c>
      <c r="E228" t="s">
        <v>939</v>
      </c>
      <c r="F228" t="s">
        <v>1317</v>
      </c>
      <c r="H228" t="s">
        <v>136</v>
      </c>
      <c r="I228" t="s">
        <v>1318</v>
      </c>
      <c r="J228">
        <v>1250</v>
      </c>
      <c r="K228">
        <v>1</v>
      </c>
      <c r="L228">
        <f t="shared" si="12"/>
        <v>2500</v>
      </c>
      <c r="M228" t="s">
        <v>38</v>
      </c>
      <c r="O228" t="s">
        <v>38</v>
      </c>
      <c r="P228" t="s">
        <v>39</v>
      </c>
      <c r="Q228" t="s">
        <v>1315</v>
      </c>
      <c r="R228" t="s">
        <v>1319</v>
      </c>
      <c r="S228" t="s">
        <v>1320</v>
      </c>
      <c r="T228" s="2">
        <f>'SUPUESTOS PRECIOS'!$B$9</f>
        <v>0</v>
      </c>
      <c r="U228" s="3">
        <f>'SUPUESTOS PRECIOS'!$B$5/'SUPUESTOS PRECIOS'!$B$4</f>
        <v>1000</v>
      </c>
      <c r="V228" s="3">
        <f>('SUPUESTOS PRECIOS'!$B$6-'SUPUESTOS PRECIOS'!$B$7)/'SUPUESTOS PRECIOS'!$B$4</f>
        <v>377.5</v>
      </c>
      <c r="W228" s="4">
        <f>'SUPUESTOS PRECIOS'!$B$8</f>
        <v>9.6799999999999994E-3</v>
      </c>
      <c r="X228" s="4">
        <f>'SUPUESTOS PRECIOS'!$B$2</f>
        <v>0.4</v>
      </c>
      <c r="Y228" s="3">
        <f t="shared" si="13"/>
        <v>4450</v>
      </c>
      <c r="Z228" s="3">
        <f t="shared" si="14"/>
        <v>1779.424</v>
      </c>
      <c r="AA228" s="11">
        <f t="shared" si="15"/>
        <v>0.39987056179775282</v>
      </c>
    </row>
    <row r="229" spans="1:29" x14ac:dyDescent="0.35">
      <c r="A229" s="10" t="s">
        <v>1321</v>
      </c>
      <c r="B229" t="s">
        <v>1322</v>
      </c>
      <c r="C229" t="s">
        <v>1048</v>
      </c>
      <c r="D229" t="s">
        <v>1316</v>
      </c>
      <c r="E229" t="s">
        <v>939</v>
      </c>
      <c r="F229" t="s">
        <v>1323</v>
      </c>
      <c r="H229" t="s">
        <v>136</v>
      </c>
      <c r="I229" t="s">
        <v>1324</v>
      </c>
      <c r="J229">
        <v>1200</v>
      </c>
      <c r="K229">
        <v>1</v>
      </c>
      <c r="L229">
        <f t="shared" si="12"/>
        <v>2400</v>
      </c>
      <c r="M229" t="s">
        <v>38</v>
      </c>
      <c r="O229" t="s">
        <v>38</v>
      </c>
      <c r="P229" t="s">
        <v>39</v>
      </c>
      <c r="Q229" t="s">
        <v>1322</v>
      </c>
      <c r="R229" t="s">
        <v>1325</v>
      </c>
      <c r="S229" t="s">
        <v>1320</v>
      </c>
      <c r="T229" s="2">
        <f>'SUPUESTOS PRECIOS'!$B$9</f>
        <v>0</v>
      </c>
      <c r="U229" s="3">
        <f>'SUPUESTOS PRECIOS'!$B$5/'SUPUESTOS PRECIOS'!$B$4</f>
        <v>1000</v>
      </c>
      <c r="V229" s="3">
        <f>('SUPUESTOS PRECIOS'!$B$6-'SUPUESTOS PRECIOS'!$B$7)/'SUPUESTOS PRECIOS'!$B$4</f>
        <v>377.5</v>
      </c>
      <c r="W229" s="4">
        <f>'SUPUESTOS PRECIOS'!$B$8</f>
        <v>9.6799999999999994E-3</v>
      </c>
      <c r="X229" s="4">
        <f>'SUPUESTOS PRECIOS'!$B$2</f>
        <v>0.4</v>
      </c>
      <c r="Y229" s="3">
        <f t="shared" si="13"/>
        <v>4370</v>
      </c>
      <c r="Z229" s="3">
        <f t="shared" si="14"/>
        <v>1750.1984</v>
      </c>
      <c r="AA229" s="11">
        <f t="shared" si="15"/>
        <v>0.40050306636155608</v>
      </c>
    </row>
    <row r="230" spans="1:29" x14ac:dyDescent="0.35">
      <c r="A230" s="10" t="s">
        <v>1326</v>
      </c>
      <c r="B230" t="s">
        <v>1327</v>
      </c>
      <c r="C230" t="s">
        <v>1048</v>
      </c>
      <c r="D230" t="s">
        <v>1316</v>
      </c>
      <c r="E230" t="s">
        <v>939</v>
      </c>
      <c r="F230" t="s">
        <v>1328</v>
      </c>
      <c r="H230" t="s">
        <v>136</v>
      </c>
      <c r="I230" t="s">
        <v>1329</v>
      </c>
      <c r="J230">
        <v>1500</v>
      </c>
      <c r="K230">
        <v>1</v>
      </c>
      <c r="L230">
        <f t="shared" si="12"/>
        <v>3000</v>
      </c>
      <c r="M230" t="s">
        <v>38</v>
      </c>
      <c r="O230" t="s">
        <v>38</v>
      </c>
      <c r="P230" t="s">
        <v>39</v>
      </c>
      <c r="Q230" t="s">
        <v>1327</v>
      </c>
      <c r="R230" t="s">
        <v>1330</v>
      </c>
      <c r="S230" t="s">
        <v>1320</v>
      </c>
      <c r="T230" s="2">
        <f>'SUPUESTOS PRECIOS'!$B$9</f>
        <v>0</v>
      </c>
      <c r="U230" s="3">
        <f>'SUPUESTOS PRECIOS'!$B$5/'SUPUESTOS PRECIOS'!$B$4</f>
        <v>1000</v>
      </c>
      <c r="V230" s="3">
        <f>('SUPUESTOS PRECIOS'!$B$6-'SUPUESTOS PRECIOS'!$B$7)/'SUPUESTOS PRECIOS'!$B$4</f>
        <v>377.5</v>
      </c>
      <c r="W230" s="4">
        <f>'SUPUESTOS PRECIOS'!$B$8</f>
        <v>9.6799999999999994E-3</v>
      </c>
      <c r="X230" s="4">
        <f>'SUPUESTOS PRECIOS'!$B$2</f>
        <v>0.4</v>
      </c>
      <c r="Y230" s="3">
        <f t="shared" si="13"/>
        <v>4870</v>
      </c>
      <c r="Z230" s="3">
        <f t="shared" si="14"/>
        <v>1945.3584000000001</v>
      </c>
      <c r="AA230" s="11">
        <f t="shared" si="15"/>
        <v>0.39945757700205342</v>
      </c>
    </row>
    <row r="231" spans="1:29" x14ac:dyDescent="0.35">
      <c r="A231" s="10" t="s">
        <v>1331</v>
      </c>
      <c r="B231" t="s">
        <v>1332</v>
      </c>
      <c r="C231" t="s">
        <v>1048</v>
      </c>
      <c r="D231" t="s">
        <v>1333</v>
      </c>
      <c r="E231" t="s">
        <v>939</v>
      </c>
      <c r="F231" t="s">
        <v>1334</v>
      </c>
      <c r="H231" t="s">
        <v>136</v>
      </c>
      <c r="I231" t="s">
        <v>1335</v>
      </c>
      <c r="J231">
        <v>2800</v>
      </c>
      <c r="K231">
        <v>1</v>
      </c>
      <c r="L231">
        <f t="shared" si="12"/>
        <v>5600</v>
      </c>
      <c r="M231" t="s">
        <v>38</v>
      </c>
      <c r="O231" t="s">
        <v>38</v>
      </c>
      <c r="P231" t="s">
        <v>39</v>
      </c>
      <c r="Q231" t="s">
        <v>1332</v>
      </c>
      <c r="R231" t="s">
        <v>1336</v>
      </c>
      <c r="S231" t="s">
        <v>1337</v>
      </c>
      <c r="T231" s="2">
        <f>'SUPUESTOS PRECIOS'!$B$9</f>
        <v>0</v>
      </c>
      <c r="U231" s="3">
        <f>'SUPUESTOS PRECIOS'!$B$5/'SUPUESTOS PRECIOS'!$B$4</f>
        <v>1000</v>
      </c>
      <c r="V231" s="3">
        <f>('SUPUESTOS PRECIOS'!$B$6-'SUPUESTOS PRECIOS'!$B$7)/'SUPUESTOS PRECIOS'!$B$4</f>
        <v>377.5</v>
      </c>
      <c r="W231" s="4">
        <f>'SUPUESTOS PRECIOS'!$B$8</f>
        <v>9.6799999999999994E-3</v>
      </c>
      <c r="X231" s="4">
        <f>'SUPUESTOS PRECIOS'!$B$2</f>
        <v>0.4</v>
      </c>
      <c r="Y231" s="3">
        <f t="shared" si="13"/>
        <v>7080</v>
      </c>
      <c r="Z231" s="3">
        <f t="shared" si="14"/>
        <v>2833.9656</v>
      </c>
      <c r="AA231" s="11">
        <f t="shared" si="15"/>
        <v>0.40027762711864406</v>
      </c>
    </row>
    <row r="232" spans="1:29" x14ac:dyDescent="0.35">
      <c r="A232" s="10" t="s">
        <v>1338</v>
      </c>
      <c r="B232" t="s">
        <v>1339</v>
      </c>
      <c r="C232" t="s">
        <v>1048</v>
      </c>
      <c r="D232" t="s">
        <v>1333</v>
      </c>
      <c r="E232" t="s">
        <v>1340</v>
      </c>
      <c r="F232" t="s">
        <v>1341</v>
      </c>
      <c r="H232" t="s">
        <v>136</v>
      </c>
      <c r="I232" t="s">
        <v>1342</v>
      </c>
      <c r="J232">
        <v>2500</v>
      </c>
      <c r="K232">
        <v>1</v>
      </c>
      <c r="L232">
        <f t="shared" si="12"/>
        <v>5000</v>
      </c>
      <c r="M232" t="s">
        <v>38</v>
      </c>
      <c r="O232" t="s">
        <v>38</v>
      </c>
      <c r="P232" t="s">
        <v>39</v>
      </c>
      <c r="Q232" t="s">
        <v>1339</v>
      </c>
      <c r="R232" t="s">
        <v>1343</v>
      </c>
      <c r="S232" t="s">
        <v>1337</v>
      </c>
      <c r="T232" s="2">
        <f>'SUPUESTOS PRECIOS'!$B$9</f>
        <v>0</v>
      </c>
      <c r="U232" s="3">
        <f>'SUPUESTOS PRECIOS'!$B$5/'SUPUESTOS PRECIOS'!$B$4</f>
        <v>1000</v>
      </c>
      <c r="V232" s="3">
        <f>('SUPUESTOS PRECIOS'!$B$6-'SUPUESTOS PRECIOS'!$B$7)/'SUPUESTOS PRECIOS'!$B$4</f>
        <v>377.5</v>
      </c>
      <c r="W232" s="4">
        <f>'SUPUESTOS PRECIOS'!$B$8</f>
        <v>9.6799999999999994E-3</v>
      </c>
      <c r="X232" s="4">
        <f>'SUPUESTOS PRECIOS'!$B$2</f>
        <v>0.4</v>
      </c>
      <c r="Y232" s="3">
        <f t="shared" si="13"/>
        <v>6570</v>
      </c>
      <c r="Z232" s="3">
        <f t="shared" si="14"/>
        <v>2628.9023999999999</v>
      </c>
      <c r="AA232" s="11">
        <f t="shared" si="15"/>
        <v>0.40013735159817349</v>
      </c>
    </row>
    <row r="233" spans="1:29" x14ac:dyDescent="0.35">
      <c r="A233" s="10" t="s">
        <v>1344</v>
      </c>
      <c r="B233" t="s">
        <v>1345</v>
      </c>
      <c r="C233" t="s">
        <v>1048</v>
      </c>
      <c r="D233" t="s">
        <v>1346</v>
      </c>
      <c r="E233" t="s">
        <v>33</v>
      </c>
      <c r="F233" t="s">
        <v>1347</v>
      </c>
      <c r="H233" t="s">
        <v>136</v>
      </c>
      <c r="I233" t="s">
        <v>1348</v>
      </c>
      <c r="J233">
        <v>500</v>
      </c>
      <c r="K233">
        <v>1</v>
      </c>
      <c r="L233">
        <f t="shared" si="12"/>
        <v>1000</v>
      </c>
      <c r="M233" t="s">
        <v>38</v>
      </c>
      <c r="O233" t="s">
        <v>38</v>
      </c>
      <c r="P233" t="s">
        <v>39</v>
      </c>
      <c r="Q233" t="s">
        <v>1345</v>
      </c>
      <c r="R233" t="s">
        <v>1349</v>
      </c>
      <c r="S233" t="s">
        <v>1350</v>
      </c>
      <c r="T233" s="2">
        <f>'SUPUESTOS PRECIOS'!$B$9</f>
        <v>0</v>
      </c>
      <c r="U233" s="3">
        <f>'SUPUESTOS PRECIOS'!$B$5/'SUPUESTOS PRECIOS'!$B$4</f>
        <v>1000</v>
      </c>
      <c r="V233" s="3">
        <f>('SUPUESTOS PRECIOS'!$B$6-'SUPUESTOS PRECIOS'!$B$7)/'SUPUESTOS PRECIOS'!$B$4</f>
        <v>377.5</v>
      </c>
      <c r="W233" s="4">
        <f>'SUPUESTOS PRECIOS'!$B$8</f>
        <v>9.6799999999999994E-3</v>
      </c>
      <c r="X233" s="4">
        <f>'SUPUESTOS PRECIOS'!$B$2</f>
        <v>0.4</v>
      </c>
      <c r="Y233" s="3">
        <f t="shared" si="13"/>
        <v>3180</v>
      </c>
      <c r="Z233" s="3">
        <f t="shared" si="14"/>
        <v>1271.7175999999999</v>
      </c>
      <c r="AA233" s="11">
        <f t="shared" si="15"/>
        <v>0.39991119496855343</v>
      </c>
    </row>
    <row r="234" spans="1:29" x14ac:dyDescent="0.35">
      <c r="A234" s="10" t="s">
        <v>1351</v>
      </c>
      <c r="B234" t="s">
        <v>1352</v>
      </c>
      <c r="C234" t="s">
        <v>1048</v>
      </c>
      <c r="D234" t="s">
        <v>1072</v>
      </c>
      <c r="E234" t="s">
        <v>1353</v>
      </c>
      <c r="F234" t="s">
        <v>1354</v>
      </c>
      <c r="H234" t="s">
        <v>136</v>
      </c>
      <c r="I234" t="s">
        <v>1355</v>
      </c>
      <c r="J234">
        <v>5000</v>
      </c>
      <c r="K234">
        <v>0.5</v>
      </c>
      <c r="L234">
        <f t="shared" si="12"/>
        <v>7500</v>
      </c>
      <c r="M234" t="s">
        <v>38</v>
      </c>
      <c r="O234" t="s">
        <v>38</v>
      </c>
      <c r="P234" t="s">
        <v>39</v>
      </c>
      <c r="Q234" t="s">
        <v>1352</v>
      </c>
      <c r="R234" t="s">
        <v>1356</v>
      </c>
      <c r="S234" t="s">
        <v>1077</v>
      </c>
      <c r="T234" s="2">
        <f>'SUPUESTOS PRECIOS'!$B$9</f>
        <v>0</v>
      </c>
      <c r="U234" s="3">
        <f>'SUPUESTOS PRECIOS'!$B$5/'SUPUESTOS PRECIOS'!$B$4</f>
        <v>1000</v>
      </c>
      <c r="V234" s="3">
        <f>('SUPUESTOS PRECIOS'!$B$6-'SUPUESTOS PRECIOS'!$B$7)/'SUPUESTOS PRECIOS'!$B$4</f>
        <v>377.5</v>
      </c>
      <c r="W234" s="4">
        <f>'SUPUESTOS PRECIOS'!$B$8</f>
        <v>9.6799999999999994E-3</v>
      </c>
      <c r="X234" s="4">
        <f>'SUPUESTOS PRECIOS'!$B$2</f>
        <v>0.4</v>
      </c>
      <c r="Y234" s="3">
        <f t="shared" si="13"/>
        <v>10800</v>
      </c>
      <c r="Z234" s="3">
        <f t="shared" si="14"/>
        <v>4317.9560000000001</v>
      </c>
      <c r="AA234" s="11">
        <f t="shared" si="15"/>
        <v>0.39981074074074074</v>
      </c>
    </row>
    <row r="235" spans="1:29" x14ac:dyDescent="0.35">
      <c r="A235" s="10" t="s">
        <v>1357</v>
      </c>
      <c r="B235" t="s">
        <v>2202</v>
      </c>
      <c r="C235" t="s">
        <v>31</v>
      </c>
      <c r="D235" t="s">
        <v>2203</v>
      </c>
      <c r="E235" t="s">
        <v>2204</v>
      </c>
      <c r="F235" t="s">
        <v>2205</v>
      </c>
      <c r="H235" t="s">
        <v>136</v>
      </c>
      <c r="I235" t="s">
        <v>2206</v>
      </c>
      <c r="J235">
        <v>8000</v>
      </c>
      <c r="K235">
        <v>0.5</v>
      </c>
      <c r="L235">
        <f t="shared" si="12"/>
        <v>12000</v>
      </c>
      <c r="M235" t="s">
        <v>38</v>
      </c>
      <c r="O235" t="s">
        <v>38</v>
      </c>
      <c r="P235" t="s">
        <v>39</v>
      </c>
      <c r="Q235" t="s">
        <v>2202</v>
      </c>
      <c r="R235" t="s">
        <v>2207</v>
      </c>
      <c r="S235" t="s">
        <v>2207</v>
      </c>
      <c r="T235" s="2">
        <f>'SUPUESTOS PRECIOS'!$B$9</f>
        <v>0</v>
      </c>
      <c r="U235" s="3">
        <f>'SUPUESTOS PRECIOS'!$B$5/'SUPUESTOS PRECIOS'!$B$4</f>
        <v>1000</v>
      </c>
      <c r="V235" s="3">
        <f>('SUPUESTOS PRECIOS'!$B$6-'SUPUESTOS PRECIOS'!$B$7)/'SUPUESTOS PRECIOS'!$B$4</f>
        <v>377.5</v>
      </c>
      <c r="W235" s="4">
        <f>'SUPUESTOS PRECIOS'!$B$8</f>
        <v>9.6799999999999994E-3</v>
      </c>
      <c r="X235" s="4">
        <f>'SUPUESTOS PRECIOS'!$B$2</f>
        <v>0.4</v>
      </c>
      <c r="Y235" s="3">
        <f t="shared" si="13"/>
        <v>15890</v>
      </c>
      <c r="Z235" s="3">
        <f t="shared" si="14"/>
        <v>6358.6848</v>
      </c>
      <c r="AA235" s="11">
        <f t="shared" si="15"/>
        <v>0.40016896161107612</v>
      </c>
      <c r="AB235" t="s">
        <v>2211</v>
      </c>
      <c r="AC235" t="s">
        <v>836</v>
      </c>
    </row>
    <row r="236" spans="1:29" x14ac:dyDescent="0.35">
      <c r="A236" s="10" t="s">
        <v>1359</v>
      </c>
      <c r="B236" t="s">
        <v>2208</v>
      </c>
      <c r="C236" t="s">
        <v>31</v>
      </c>
      <c r="D236" t="s">
        <v>2203</v>
      </c>
      <c r="E236" t="s">
        <v>2204</v>
      </c>
      <c r="F236" t="s">
        <v>2209</v>
      </c>
      <c r="H236" t="s">
        <v>136</v>
      </c>
      <c r="I236" t="s">
        <v>2210</v>
      </c>
      <c r="J236">
        <v>2600</v>
      </c>
      <c r="K236">
        <v>0.5</v>
      </c>
      <c r="L236">
        <f t="shared" si="12"/>
        <v>3900</v>
      </c>
      <c r="M236" t="s">
        <v>38</v>
      </c>
      <c r="O236" t="s">
        <v>38</v>
      </c>
      <c r="P236" t="s">
        <v>39</v>
      </c>
      <c r="Q236" t="s">
        <v>2208</v>
      </c>
      <c r="R236" t="s">
        <v>2207</v>
      </c>
      <c r="S236" t="s">
        <v>2207</v>
      </c>
      <c r="T236" s="2">
        <f>'SUPUESTOS PRECIOS'!$B$9</f>
        <v>0</v>
      </c>
      <c r="U236" s="3">
        <f>'SUPUESTOS PRECIOS'!$B$5/'SUPUESTOS PRECIOS'!$B$4</f>
        <v>1000</v>
      </c>
      <c r="V236" s="3">
        <f>('SUPUESTOS PRECIOS'!$B$6-'SUPUESTOS PRECIOS'!$B$7)/'SUPUESTOS PRECIOS'!$B$4</f>
        <v>377.5</v>
      </c>
      <c r="W236" s="4">
        <f>'SUPUESTOS PRECIOS'!$B$8</f>
        <v>9.6799999999999994E-3</v>
      </c>
      <c r="X236" s="4">
        <f>'SUPUESTOS PRECIOS'!$B$2</f>
        <v>0.4</v>
      </c>
      <c r="Y236" s="3">
        <f t="shared" si="13"/>
        <v>6740</v>
      </c>
      <c r="Z236" s="3">
        <f t="shared" si="14"/>
        <v>2697.2568000000001</v>
      </c>
      <c r="AA236" s="11">
        <f t="shared" si="15"/>
        <v>0.40018646884273001</v>
      </c>
      <c r="AB236" t="s">
        <v>2211</v>
      </c>
      <c r="AC236" t="s">
        <v>842</v>
      </c>
    </row>
    <row r="237" spans="1:29" x14ac:dyDescent="0.35">
      <c r="A237" s="10" t="s">
        <v>1360</v>
      </c>
      <c r="F237" t="s">
        <v>1358</v>
      </c>
      <c r="K237">
        <v>1</v>
      </c>
      <c r="L237" t="str">
        <f t="shared" si="12"/>
        <v/>
      </c>
      <c r="O237" t="s">
        <v>38</v>
      </c>
      <c r="T237" s="2">
        <f>'SUPUESTOS PRECIOS'!$B$9</f>
        <v>0</v>
      </c>
      <c r="U237" s="3">
        <f>'SUPUESTOS PRECIOS'!$B$5/'SUPUESTOS PRECIOS'!$B$4</f>
        <v>1000</v>
      </c>
      <c r="V237" s="3">
        <f>('SUPUESTOS PRECIOS'!$B$6-'SUPUESTOS PRECIOS'!$B$7)/'SUPUESTOS PRECIOS'!$B$4</f>
        <v>377.5</v>
      </c>
      <c r="W237" s="4">
        <f>'SUPUESTOS PRECIOS'!$B$8</f>
        <v>9.6799999999999994E-3</v>
      </c>
      <c r="X237" s="4">
        <f>'SUPUESTOS PRECIOS'!$B$2</f>
        <v>0.4</v>
      </c>
      <c r="Y237" s="3" t="str">
        <f t="shared" si="13"/>
        <v/>
      </c>
      <c r="Z237" s="3" t="str">
        <f t="shared" si="14"/>
        <v/>
      </c>
      <c r="AA237" s="11" t="str">
        <f t="shared" si="15"/>
        <v/>
      </c>
    </row>
    <row r="238" spans="1:29" x14ac:dyDescent="0.35">
      <c r="A238" s="10" t="s">
        <v>1361</v>
      </c>
      <c r="F238" t="s">
        <v>1358</v>
      </c>
      <c r="K238">
        <v>1</v>
      </c>
      <c r="L238" t="str">
        <f t="shared" si="12"/>
        <v/>
      </c>
      <c r="O238" t="s">
        <v>38</v>
      </c>
      <c r="T238" s="2">
        <f>'SUPUESTOS PRECIOS'!$B$9</f>
        <v>0</v>
      </c>
      <c r="U238" s="3">
        <f>'SUPUESTOS PRECIOS'!$B$5/'SUPUESTOS PRECIOS'!$B$4</f>
        <v>1000</v>
      </c>
      <c r="V238" s="3">
        <f>('SUPUESTOS PRECIOS'!$B$6-'SUPUESTOS PRECIOS'!$B$7)/'SUPUESTOS PRECIOS'!$B$4</f>
        <v>377.5</v>
      </c>
      <c r="W238" s="4">
        <f>'SUPUESTOS PRECIOS'!$B$8</f>
        <v>9.6799999999999994E-3</v>
      </c>
      <c r="X238" s="4">
        <f>'SUPUESTOS PRECIOS'!$B$2</f>
        <v>0.4</v>
      </c>
      <c r="Y238" s="3" t="str">
        <f t="shared" si="13"/>
        <v/>
      </c>
      <c r="Z238" s="3" t="str">
        <f t="shared" si="14"/>
        <v/>
      </c>
      <c r="AA238" s="11" t="str">
        <f t="shared" si="15"/>
        <v/>
      </c>
    </row>
    <row r="239" spans="1:29" x14ac:dyDescent="0.35">
      <c r="A239" s="10" t="s">
        <v>1362</v>
      </c>
      <c r="F239" t="s">
        <v>1358</v>
      </c>
      <c r="K239">
        <v>1</v>
      </c>
      <c r="L239" t="str">
        <f t="shared" si="12"/>
        <v/>
      </c>
      <c r="O239" t="s">
        <v>38</v>
      </c>
      <c r="T239" s="2">
        <f>'SUPUESTOS PRECIOS'!$B$9</f>
        <v>0</v>
      </c>
      <c r="U239" s="3">
        <f>'SUPUESTOS PRECIOS'!$B$5/'SUPUESTOS PRECIOS'!$B$4</f>
        <v>1000</v>
      </c>
      <c r="V239" s="3">
        <f>('SUPUESTOS PRECIOS'!$B$6-'SUPUESTOS PRECIOS'!$B$7)/'SUPUESTOS PRECIOS'!$B$4</f>
        <v>377.5</v>
      </c>
      <c r="W239" s="4">
        <f>'SUPUESTOS PRECIOS'!$B$8</f>
        <v>9.6799999999999994E-3</v>
      </c>
      <c r="X239" s="4">
        <f>'SUPUESTOS PRECIOS'!$B$2</f>
        <v>0.4</v>
      </c>
      <c r="Y239" s="3" t="str">
        <f t="shared" si="13"/>
        <v/>
      </c>
      <c r="Z239" s="3" t="str">
        <f t="shared" si="14"/>
        <v/>
      </c>
      <c r="AA239" s="11" t="str">
        <f t="shared" si="15"/>
        <v/>
      </c>
    </row>
    <row r="240" spans="1:29" x14ac:dyDescent="0.35">
      <c r="A240" s="10" t="s">
        <v>1363</v>
      </c>
      <c r="F240" t="s">
        <v>1358</v>
      </c>
      <c r="K240">
        <v>1</v>
      </c>
      <c r="L240" t="str">
        <f t="shared" si="12"/>
        <v/>
      </c>
      <c r="O240" t="s">
        <v>38</v>
      </c>
      <c r="T240" s="2">
        <f>'SUPUESTOS PRECIOS'!$B$9</f>
        <v>0</v>
      </c>
      <c r="U240" s="3">
        <f>'SUPUESTOS PRECIOS'!$B$5/'SUPUESTOS PRECIOS'!$B$4</f>
        <v>1000</v>
      </c>
      <c r="V240" s="3">
        <f>('SUPUESTOS PRECIOS'!$B$6-'SUPUESTOS PRECIOS'!$B$7)/'SUPUESTOS PRECIOS'!$B$4</f>
        <v>377.5</v>
      </c>
      <c r="W240" s="4">
        <f>'SUPUESTOS PRECIOS'!$B$8</f>
        <v>9.6799999999999994E-3</v>
      </c>
      <c r="X240" s="4">
        <f>'SUPUESTOS PRECIOS'!$B$2</f>
        <v>0.4</v>
      </c>
      <c r="Y240" s="3" t="str">
        <f t="shared" si="13"/>
        <v/>
      </c>
      <c r="Z240" s="3" t="str">
        <f t="shared" si="14"/>
        <v/>
      </c>
      <c r="AA240" s="11" t="str">
        <f t="shared" si="15"/>
        <v/>
      </c>
    </row>
    <row r="241" spans="1:27" x14ac:dyDescent="0.35">
      <c r="A241" s="10" t="s">
        <v>1364</v>
      </c>
      <c r="F241" t="s">
        <v>1358</v>
      </c>
      <c r="K241">
        <v>1</v>
      </c>
      <c r="L241" t="str">
        <f t="shared" si="12"/>
        <v/>
      </c>
      <c r="O241" t="s">
        <v>38</v>
      </c>
      <c r="T241" s="2">
        <f>'SUPUESTOS PRECIOS'!$B$9</f>
        <v>0</v>
      </c>
      <c r="U241" s="3">
        <f>'SUPUESTOS PRECIOS'!$B$5/'SUPUESTOS PRECIOS'!$B$4</f>
        <v>1000</v>
      </c>
      <c r="V241" s="3">
        <f>('SUPUESTOS PRECIOS'!$B$6-'SUPUESTOS PRECIOS'!$B$7)/'SUPUESTOS PRECIOS'!$B$4</f>
        <v>377.5</v>
      </c>
      <c r="W241" s="4">
        <f>'SUPUESTOS PRECIOS'!$B$8</f>
        <v>9.6799999999999994E-3</v>
      </c>
      <c r="X241" s="4">
        <f>'SUPUESTOS PRECIOS'!$B$2</f>
        <v>0.4</v>
      </c>
      <c r="Y241" s="3" t="str">
        <f t="shared" si="13"/>
        <v/>
      </c>
      <c r="Z241" s="3" t="str">
        <f t="shared" si="14"/>
        <v/>
      </c>
      <c r="AA241" s="11" t="str">
        <f t="shared" si="15"/>
        <v/>
      </c>
    </row>
    <row r="242" spans="1:27" x14ac:dyDescent="0.35">
      <c r="A242" s="10" t="s">
        <v>1365</v>
      </c>
      <c r="F242" t="s">
        <v>1358</v>
      </c>
      <c r="K242">
        <v>1</v>
      </c>
      <c r="L242" t="str">
        <f t="shared" si="12"/>
        <v/>
      </c>
      <c r="O242" t="s">
        <v>38</v>
      </c>
      <c r="T242" s="2">
        <f>'SUPUESTOS PRECIOS'!$B$9</f>
        <v>0</v>
      </c>
      <c r="U242" s="3">
        <f>'SUPUESTOS PRECIOS'!$B$5/'SUPUESTOS PRECIOS'!$B$4</f>
        <v>1000</v>
      </c>
      <c r="V242" s="3">
        <f>('SUPUESTOS PRECIOS'!$B$6-'SUPUESTOS PRECIOS'!$B$7)/'SUPUESTOS PRECIOS'!$B$4</f>
        <v>377.5</v>
      </c>
      <c r="W242" s="4">
        <f>'SUPUESTOS PRECIOS'!$B$8</f>
        <v>9.6799999999999994E-3</v>
      </c>
      <c r="X242" s="4">
        <f>'SUPUESTOS PRECIOS'!$B$2</f>
        <v>0.4</v>
      </c>
      <c r="Y242" s="3" t="str">
        <f t="shared" si="13"/>
        <v/>
      </c>
      <c r="Z242" s="3" t="str">
        <f t="shared" si="14"/>
        <v/>
      </c>
      <c r="AA242" s="11" t="str">
        <f t="shared" si="15"/>
        <v/>
      </c>
    </row>
    <row r="243" spans="1:27" x14ac:dyDescent="0.35">
      <c r="A243" s="10" t="s">
        <v>1366</v>
      </c>
      <c r="F243" t="s">
        <v>1358</v>
      </c>
      <c r="K243">
        <v>1</v>
      </c>
      <c r="L243" t="str">
        <f t="shared" si="12"/>
        <v/>
      </c>
      <c r="O243" t="s">
        <v>38</v>
      </c>
      <c r="T243" s="2">
        <f>'SUPUESTOS PRECIOS'!$B$9</f>
        <v>0</v>
      </c>
      <c r="U243" s="3">
        <f>'SUPUESTOS PRECIOS'!$B$5/'SUPUESTOS PRECIOS'!$B$4</f>
        <v>1000</v>
      </c>
      <c r="V243" s="3">
        <f>('SUPUESTOS PRECIOS'!$B$6-'SUPUESTOS PRECIOS'!$B$7)/'SUPUESTOS PRECIOS'!$B$4</f>
        <v>377.5</v>
      </c>
      <c r="W243" s="4">
        <f>'SUPUESTOS PRECIOS'!$B$8</f>
        <v>9.6799999999999994E-3</v>
      </c>
      <c r="X243" s="4">
        <f>'SUPUESTOS PRECIOS'!$B$2</f>
        <v>0.4</v>
      </c>
      <c r="Y243" s="3" t="str">
        <f t="shared" si="13"/>
        <v/>
      </c>
      <c r="Z243" s="3" t="str">
        <f t="shared" si="14"/>
        <v/>
      </c>
      <c r="AA243" s="11" t="str">
        <f t="shared" si="15"/>
        <v/>
      </c>
    </row>
    <row r="244" spans="1:27" x14ac:dyDescent="0.35">
      <c r="A244" s="10" t="s">
        <v>1367</v>
      </c>
      <c r="F244" t="s">
        <v>1358</v>
      </c>
      <c r="K244">
        <v>1</v>
      </c>
      <c r="L244" t="str">
        <f t="shared" si="12"/>
        <v/>
      </c>
      <c r="O244" t="s">
        <v>38</v>
      </c>
      <c r="T244" s="2">
        <f>'SUPUESTOS PRECIOS'!$B$9</f>
        <v>0</v>
      </c>
      <c r="U244" s="3">
        <f>'SUPUESTOS PRECIOS'!$B$5/'SUPUESTOS PRECIOS'!$B$4</f>
        <v>1000</v>
      </c>
      <c r="V244" s="3">
        <f>('SUPUESTOS PRECIOS'!$B$6-'SUPUESTOS PRECIOS'!$B$7)/'SUPUESTOS PRECIOS'!$B$4</f>
        <v>377.5</v>
      </c>
      <c r="W244" s="4">
        <f>'SUPUESTOS PRECIOS'!$B$8</f>
        <v>9.6799999999999994E-3</v>
      </c>
      <c r="X244" s="4">
        <f>'SUPUESTOS PRECIOS'!$B$2</f>
        <v>0.4</v>
      </c>
      <c r="Y244" s="3" t="str">
        <f t="shared" si="13"/>
        <v/>
      </c>
      <c r="Z244" s="3" t="str">
        <f t="shared" si="14"/>
        <v/>
      </c>
      <c r="AA244" s="11" t="str">
        <f t="shared" si="15"/>
        <v/>
      </c>
    </row>
    <row r="245" spans="1:27" x14ac:dyDescent="0.35">
      <c r="A245" s="10" t="s">
        <v>1368</v>
      </c>
      <c r="F245" t="s">
        <v>1358</v>
      </c>
      <c r="K245">
        <v>1</v>
      </c>
      <c r="L245" t="str">
        <f t="shared" si="12"/>
        <v/>
      </c>
      <c r="O245" t="s">
        <v>38</v>
      </c>
      <c r="T245" s="2">
        <f>'SUPUESTOS PRECIOS'!$B$9</f>
        <v>0</v>
      </c>
      <c r="U245" s="3">
        <f>'SUPUESTOS PRECIOS'!$B$5/'SUPUESTOS PRECIOS'!$B$4</f>
        <v>1000</v>
      </c>
      <c r="V245" s="3">
        <f>('SUPUESTOS PRECIOS'!$B$6-'SUPUESTOS PRECIOS'!$B$7)/'SUPUESTOS PRECIOS'!$B$4</f>
        <v>377.5</v>
      </c>
      <c r="W245" s="4">
        <f>'SUPUESTOS PRECIOS'!$B$8</f>
        <v>9.6799999999999994E-3</v>
      </c>
      <c r="X245" s="4">
        <f>'SUPUESTOS PRECIOS'!$B$2</f>
        <v>0.4</v>
      </c>
      <c r="Y245" s="3" t="str">
        <f t="shared" si="13"/>
        <v/>
      </c>
      <c r="Z245" s="3" t="str">
        <f t="shared" si="14"/>
        <v/>
      </c>
      <c r="AA245" s="11" t="str">
        <f t="shared" si="15"/>
        <v/>
      </c>
    </row>
    <row r="246" spans="1:27" x14ac:dyDescent="0.35">
      <c r="A246" s="10" t="s">
        <v>1369</v>
      </c>
      <c r="F246" t="s">
        <v>1358</v>
      </c>
      <c r="K246">
        <v>1</v>
      </c>
      <c r="L246" t="str">
        <f t="shared" si="12"/>
        <v/>
      </c>
      <c r="O246" t="s">
        <v>38</v>
      </c>
      <c r="T246" s="2">
        <f>'SUPUESTOS PRECIOS'!$B$9</f>
        <v>0</v>
      </c>
      <c r="U246" s="3">
        <f>'SUPUESTOS PRECIOS'!$B$5/'SUPUESTOS PRECIOS'!$B$4</f>
        <v>1000</v>
      </c>
      <c r="V246" s="3">
        <f>('SUPUESTOS PRECIOS'!$B$6-'SUPUESTOS PRECIOS'!$B$7)/'SUPUESTOS PRECIOS'!$B$4</f>
        <v>377.5</v>
      </c>
      <c r="W246" s="4">
        <f>'SUPUESTOS PRECIOS'!$B$8</f>
        <v>9.6799999999999994E-3</v>
      </c>
      <c r="X246" s="4">
        <f>'SUPUESTOS PRECIOS'!$B$2</f>
        <v>0.4</v>
      </c>
      <c r="Y246" s="3" t="str">
        <f t="shared" si="13"/>
        <v/>
      </c>
      <c r="Z246" s="3" t="str">
        <f t="shared" si="14"/>
        <v/>
      </c>
      <c r="AA246" s="11" t="str">
        <f t="shared" si="15"/>
        <v/>
      </c>
    </row>
    <row r="247" spans="1:27" x14ac:dyDescent="0.35">
      <c r="A247" s="10" t="s">
        <v>1370</v>
      </c>
      <c r="F247" t="s">
        <v>1358</v>
      </c>
      <c r="K247">
        <v>1</v>
      </c>
      <c r="L247" t="str">
        <f t="shared" si="12"/>
        <v/>
      </c>
      <c r="O247" t="s">
        <v>38</v>
      </c>
      <c r="T247" s="2">
        <f>'SUPUESTOS PRECIOS'!$B$9</f>
        <v>0</v>
      </c>
      <c r="U247" s="3">
        <f>'SUPUESTOS PRECIOS'!$B$5/'SUPUESTOS PRECIOS'!$B$4</f>
        <v>1000</v>
      </c>
      <c r="V247" s="3">
        <f>('SUPUESTOS PRECIOS'!$B$6-'SUPUESTOS PRECIOS'!$B$7)/'SUPUESTOS PRECIOS'!$B$4</f>
        <v>377.5</v>
      </c>
      <c r="W247" s="4">
        <f>'SUPUESTOS PRECIOS'!$B$8</f>
        <v>9.6799999999999994E-3</v>
      </c>
      <c r="X247" s="4">
        <f>'SUPUESTOS PRECIOS'!$B$2</f>
        <v>0.4</v>
      </c>
      <c r="Y247" s="3" t="str">
        <f t="shared" si="13"/>
        <v/>
      </c>
      <c r="Z247" s="3" t="str">
        <f t="shared" si="14"/>
        <v/>
      </c>
      <c r="AA247" s="11" t="str">
        <f t="shared" si="15"/>
        <v/>
      </c>
    </row>
    <row r="248" spans="1:27" x14ac:dyDescent="0.35">
      <c r="A248" s="10" t="s">
        <v>1371</v>
      </c>
      <c r="F248" t="s">
        <v>1358</v>
      </c>
      <c r="K248">
        <v>1</v>
      </c>
      <c r="L248" t="str">
        <f t="shared" si="12"/>
        <v/>
      </c>
      <c r="O248" t="s">
        <v>38</v>
      </c>
      <c r="T248" s="2">
        <f>'SUPUESTOS PRECIOS'!$B$9</f>
        <v>0</v>
      </c>
      <c r="U248" s="3">
        <f>'SUPUESTOS PRECIOS'!$B$5/'SUPUESTOS PRECIOS'!$B$4</f>
        <v>1000</v>
      </c>
      <c r="V248" s="3">
        <f>('SUPUESTOS PRECIOS'!$B$6-'SUPUESTOS PRECIOS'!$B$7)/'SUPUESTOS PRECIOS'!$B$4</f>
        <v>377.5</v>
      </c>
      <c r="W248" s="4">
        <f>'SUPUESTOS PRECIOS'!$B$8</f>
        <v>9.6799999999999994E-3</v>
      </c>
      <c r="X248" s="4">
        <f>'SUPUESTOS PRECIOS'!$B$2</f>
        <v>0.4</v>
      </c>
      <c r="Y248" s="3" t="str">
        <f t="shared" si="13"/>
        <v/>
      </c>
      <c r="Z248" s="3" t="str">
        <f t="shared" si="14"/>
        <v/>
      </c>
      <c r="AA248" s="11" t="str">
        <f t="shared" si="15"/>
        <v/>
      </c>
    </row>
    <row r="249" spans="1:27" x14ac:dyDescent="0.35">
      <c r="A249" s="10" t="s">
        <v>1372</v>
      </c>
      <c r="F249" t="s">
        <v>1358</v>
      </c>
      <c r="K249">
        <v>1</v>
      </c>
      <c r="L249" t="str">
        <f t="shared" si="12"/>
        <v/>
      </c>
      <c r="O249" t="s">
        <v>38</v>
      </c>
      <c r="T249" s="2">
        <f>'SUPUESTOS PRECIOS'!$B$9</f>
        <v>0</v>
      </c>
      <c r="U249" s="3">
        <f>'SUPUESTOS PRECIOS'!$B$5/'SUPUESTOS PRECIOS'!$B$4</f>
        <v>1000</v>
      </c>
      <c r="V249" s="3">
        <f>('SUPUESTOS PRECIOS'!$B$6-'SUPUESTOS PRECIOS'!$B$7)/'SUPUESTOS PRECIOS'!$B$4</f>
        <v>377.5</v>
      </c>
      <c r="W249" s="4">
        <f>'SUPUESTOS PRECIOS'!$B$8</f>
        <v>9.6799999999999994E-3</v>
      </c>
      <c r="X249" s="4">
        <f>'SUPUESTOS PRECIOS'!$B$2</f>
        <v>0.4</v>
      </c>
      <c r="Y249" s="3" t="str">
        <f t="shared" si="13"/>
        <v/>
      </c>
      <c r="Z249" s="3" t="str">
        <f t="shared" si="14"/>
        <v/>
      </c>
      <c r="AA249" s="11" t="str">
        <f t="shared" si="15"/>
        <v/>
      </c>
    </row>
    <row r="250" spans="1:27" x14ac:dyDescent="0.35">
      <c r="A250" s="10" t="s">
        <v>1373</v>
      </c>
      <c r="F250" t="s">
        <v>1358</v>
      </c>
      <c r="K250">
        <v>1</v>
      </c>
      <c r="L250" t="str">
        <f t="shared" si="12"/>
        <v/>
      </c>
      <c r="O250" t="s">
        <v>38</v>
      </c>
      <c r="T250" s="2">
        <f>'SUPUESTOS PRECIOS'!$B$9</f>
        <v>0</v>
      </c>
      <c r="U250" s="3">
        <f>'SUPUESTOS PRECIOS'!$B$5/'SUPUESTOS PRECIOS'!$B$4</f>
        <v>1000</v>
      </c>
      <c r="V250" s="3">
        <f>('SUPUESTOS PRECIOS'!$B$6-'SUPUESTOS PRECIOS'!$B$7)/'SUPUESTOS PRECIOS'!$B$4</f>
        <v>377.5</v>
      </c>
      <c r="W250" s="4">
        <f>'SUPUESTOS PRECIOS'!$B$8</f>
        <v>9.6799999999999994E-3</v>
      </c>
      <c r="X250" s="4">
        <f>'SUPUESTOS PRECIOS'!$B$2</f>
        <v>0.4</v>
      </c>
      <c r="Y250" s="3" t="str">
        <f t="shared" si="13"/>
        <v/>
      </c>
      <c r="Z250" s="3" t="str">
        <f t="shared" si="14"/>
        <v/>
      </c>
      <c r="AA250" s="11" t="str">
        <f t="shared" si="15"/>
        <v/>
      </c>
    </row>
    <row r="251" spans="1:27" x14ac:dyDescent="0.35">
      <c r="A251" s="10" t="s">
        <v>1374</v>
      </c>
      <c r="F251" t="s">
        <v>1358</v>
      </c>
      <c r="K251">
        <v>1</v>
      </c>
      <c r="L251" t="str">
        <f t="shared" si="12"/>
        <v/>
      </c>
      <c r="O251" t="s">
        <v>38</v>
      </c>
      <c r="T251" s="2">
        <f>'SUPUESTOS PRECIOS'!$B$9</f>
        <v>0</v>
      </c>
      <c r="U251" s="3">
        <f>'SUPUESTOS PRECIOS'!$B$5/'SUPUESTOS PRECIOS'!$B$4</f>
        <v>1000</v>
      </c>
      <c r="V251" s="3">
        <f>('SUPUESTOS PRECIOS'!$B$6-'SUPUESTOS PRECIOS'!$B$7)/'SUPUESTOS PRECIOS'!$B$4</f>
        <v>377.5</v>
      </c>
      <c r="W251" s="4">
        <f>'SUPUESTOS PRECIOS'!$B$8</f>
        <v>9.6799999999999994E-3</v>
      </c>
      <c r="X251" s="4">
        <f>'SUPUESTOS PRECIOS'!$B$2</f>
        <v>0.4</v>
      </c>
      <c r="Y251" s="3" t="str">
        <f t="shared" si="13"/>
        <v/>
      </c>
      <c r="Z251" s="3" t="str">
        <f t="shared" si="14"/>
        <v/>
      </c>
      <c r="AA251" s="11" t="str">
        <f t="shared" si="15"/>
        <v/>
      </c>
    </row>
    <row r="252" spans="1:27" x14ac:dyDescent="0.35">
      <c r="A252" s="10" t="s">
        <v>1375</v>
      </c>
      <c r="F252" t="s">
        <v>1358</v>
      </c>
      <c r="K252">
        <v>1</v>
      </c>
      <c r="L252" t="str">
        <f t="shared" si="12"/>
        <v/>
      </c>
      <c r="O252" t="s">
        <v>38</v>
      </c>
      <c r="T252" s="2">
        <f>'SUPUESTOS PRECIOS'!$B$9</f>
        <v>0</v>
      </c>
      <c r="U252" s="3">
        <f>'SUPUESTOS PRECIOS'!$B$5/'SUPUESTOS PRECIOS'!$B$4</f>
        <v>1000</v>
      </c>
      <c r="V252" s="3">
        <f>('SUPUESTOS PRECIOS'!$B$6-'SUPUESTOS PRECIOS'!$B$7)/'SUPUESTOS PRECIOS'!$B$4</f>
        <v>377.5</v>
      </c>
      <c r="W252" s="4">
        <f>'SUPUESTOS PRECIOS'!$B$8</f>
        <v>9.6799999999999994E-3</v>
      </c>
      <c r="X252" s="4">
        <f>'SUPUESTOS PRECIOS'!$B$2</f>
        <v>0.4</v>
      </c>
      <c r="Y252" s="3" t="str">
        <f t="shared" si="13"/>
        <v/>
      </c>
      <c r="Z252" s="3" t="str">
        <f t="shared" si="14"/>
        <v/>
      </c>
      <c r="AA252" s="11" t="str">
        <f t="shared" si="15"/>
        <v/>
      </c>
    </row>
    <row r="253" spans="1:27" x14ac:dyDescent="0.35">
      <c r="A253" s="10" t="s">
        <v>1376</v>
      </c>
      <c r="F253" t="s">
        <v>1358</v>
      </c>
      <c r="K253">
        <v>1</v>
      </c>
      <c r="L253" t="str">
        <f t="shared" si="12"/>
        <v/>
      </c>
      <c r="O253" t="s">
        <v>38</v>
      </c>
      <c r="T253" s="2">
        <f>'SUPUESTOS PRECIOS'!$B$9</f>
        <v>0</v>
      </c>
      <c r="U253" s="3">
        <f>'SUPUESTOS PRECIOS'!$B$5/'SUPUESTOS PRECIOS'!$B$4</f>
        <v>1000</v>
      </c>
      <c r="V253" s="3">
        <f>('SUPUESTOS PRECIOS'!$B$6-'SUPUESTOS PRECIOS'!$B$7)/'SUPUESTOS PRECIOS'!$B$4</f>
        <v>377.5</v>
      </c>
      <c r="W253" s="4">
        <f>'SUPUESTOS PRECIOS'!$B$8</f>
        <v>9.6799999999999994E-3</v>
      </c>
      <c r="X253" s="4">
        <f>'SUPUESTOS PRECIOS'!$B$2</f>
        <v>0.4</v>
      </c>
      <c r="Y253" s="3" t="str">
        <f t="shared" si="13"/>
        <v/>
      </c>
      <c r="Z253" s="3" t="str">
        <f t="shared" si="14"/>
        <v/>
      </c>
      <c r="AA253" s="11" t="str">
        <f t="shared" si="15"/>
        <v/>
      </c>
    </row>
    <row r="254" spans="1:27" x14ac:dyDescent="0.35">
      <c r="A254" s="10" t="s">
        <v>1377</v>
      </c>
      <c r="F254" t="s">
        <v>1358</v>
      </c>
      <c r="K254">
        <v>1</v>
      </c>
      <c r="L254" t="str">
        <f t="shared" si="12"/>
        <v/>
      </c>
      <c r="O254" t="s">
        <v>38</v>
      </c>
      <c r="T254" s="2">
        <f>'SUPUESTOS PRECIOS'!$B$9</f>
        <v>0</v>
      </c>
      <c r="U254" s="3">
        <f>'SUPUESTOS PRECIOS'!$B$5/'SUPUESTOS PRECIOS'!$B$4</f>
        <v>1000</v>
      </c>
      <c r="V254" s="3">
        <f>('SUPUESTOS PRECIOS'!$B$6-'SUPUESTOS PRECIOS'!$B$7)/'SUPUESTOS PRECIOS'!$B$4</f>
        <v>377.5</v>
      </c>
      <c r="W254" s="4">
        <f>'SUPUESTOS PRECIOS'!$B$8</f>
        <v>9.6799999999999994E-3</v>
      </c>
      <c r="X254" s="4">
        <f>'SUPUESTOS PRECIOS'!$B$2</f>
        <v>0.4</v>
      </c>
      <c r="Y254" s="3" t="str">
        <f t="shared" si="13"/>
        <v/>
      </c>
      <c r="Z254" s="3" t="str">
        <f t="shared" si="14"/>
        <v/>
      </c>
      <c r="AA254" s="11" t="str">
        <f t="shared" si="15"/>
        <v/>
      </c>
    </row>
    <row r="255" spans="1:27" x14ac:dyDescent="0.35">
      <c r="A255" s="10" t="s">
        <v>1378</v>
      </c>
      <c r="F255" t="s">
        <v>1358</v>
      </c>
      <c r="K255">
        <v>1</v>
      </c>
      <c r="L255" t="str">
        <f t="shared" si="12"/>
        <v/>
      </c>
      <c r="O255" t="s">
        <v>38</v>
      </c>
      <c r="T255" s="2">
        <f>'SUPUESTOS PRECIOS'!$B$9</f>
        <v>0</v>
      </c>
      <c r="U255" s="3">
        <f>'SUPUESTOS PRECIOS'!$B$5/'SUPUESTOS PRECIOS'!$B$4</f>
        <v>1000</v>
      </c>
      <c r="V255" s="3">
        <f>('SUPUESTOS PRECIOS'!$B$6-'SUPUESTOS PRECIOS'!$B$7)/'SUPUESTOS PRECIOS'!$B$4</f>
        <v>377.5</v>
      </c>
      <c r="W255" s="4">
        <f>'SUPUESTOS PRECIOS'!$B$8</f>
        <v>9.6799999999999994E-3</v>
      </c>
      <c r="X255" s="4">
        <f>'SUPUESTOS PRECIOS'!$B$2</f>
        <v>0.4</v>
      </c>
      <c r="Y255" s="3" t="str">
        <f t="shared" si="13"/>
        <v/>
      </c>
      <c r="Z255" s="3" t="str">
        <f t="shared" si="14"/>
        <v/>
      </c>
      <c r="AA255" s="11" t="str">
        <f t="shared" si="15"/>
        <v/>
      </c>
    </row>
    <row r="256" spans="1:27" x14ac:dyDescent="0.35">
      <c r="A256" s="10" t="s">
        <v>1379</v>
      </c>
      <c r="F256" t="s">
        <v>1358</v>
      </c>
      <c r="K256">
        <v>1</v>
      </c>
      <c r="L256" t="str">
        <f t="shared" si="12"/>
        <v/>
      </c>
      <c r="O256" t="s">
        <v>38</v>
      </c>
      <c r="T256" s="2">
        <f>'SUPUESTOS PRECIOS'!$B$9</f>
        <v>0</v>
      </c>
      <c r="U256" s="3">
        <f>'SUPUESTOS PRECIOS'!$B$5/'SUPUESTOS PRECIOS'!$B$4</f>
        <v>1000</v>
      </c>
      <c r="V256" s="3">
        <f>('SUPUESTOS PRECIOS'!$B$6-'SUPUESTOS PRECIOS'!$B$7)/'SUPUESTOS PRECIOS'!$B$4</f>
        <v>377.5</v>
      </c>
      <c r="W256" s="4">
        <f>'SUPUESTOS PRECIOS'!$B$8</f>
        <v>9.6799999999999994E-3</v>
      </c>
      <c r="X256" s="4">
        <f>'SUPUESTOS PRECIOS'!$B$2</f>
        <v>0.4</v>
      </c>
      <c r="Y256" s="3" t="str">
        <f t="shared" si="13"/>
        <v/>
      </c>
      <c r="Z256" s="3" t="str">
        <f t="shared" si="14"/>
        <v/>
      </c>
      <c r="AA256" s="11" t="str">
        <f t="shared" si="15"/>
        <v/>
      </c>
    </row>
    <row r="257" spans="1:27" x14ac:dyDescent="0.35">
      <c r="A257" s="10" t="s">
        <v>1380</v>
      </c>
      <c r="F257" t="s">
        <v>1358</v>
      </c>
      <c r="K257">
        <v>1</v>
      </c>
      <c r="L257" t="str">
        <f t="shared" si="12"/>
        <v/>
      </c>
      <c r="O257" t="s">
        <v>38</v>
      </c>
      <c r="T257" s="2">
        <f>'SUPUESTOS PRECIOS'!$B$9</f>
        <v>0</v>
      </c>
      <c r="U257" s="3">
        <f>'SUPUESTOS PRECIOS'!$B$5/'SUPUESTOS PRECIOS'!$B$4</f>
        <v>1000</v>
      </c>
      <c r="V257" s="3">
        <f>('SUPUESTOS PRECIOS'!$B$6-'SUPUESTOS PRECIOS'!$B$7)/'SUPUESTOS PRECIOS'!$B$4</f>
        <v>377.5</v>
      </c>
      <c r="W257" s="4">
        <f>'SUPUESTOS PRECIOS'!$B$8</f>
        <v>9.6799999999999994E-3</v>
      </c>
      <c r="X257" s="4">
        <f>'SUPUESTOS PRECIOS'!$B$2</f>
        <v>0.4</v>
      </c>
      <c r="Y257" s="3" t="str">
        <f t="shared" si="13"/>
        <v/>
      </c>
      <c r="Z257" s="3" t="str">
        <f t="shared" si="14"/>
        <v/>
      </c>
      <c r="AA257" s="11" t="str">
        <f t="shared" si="15"/>
        <v/>
      </c>
    </row>
    <row r="258" spans="1:27" x14ac:dyDescent="0.35">
      <c r="A258" s="10" t="s">
        <v>1381</v>
      </c>
      <c r="F258" t="s">
        <v>1358</v>
      </c>
      <c r="K258">
        <v>1</v>
      </c>
      <c r="L258" t="str">
        <f t="shared" ref="L258:L321" si="16">IF(J258="","",J258*(1+K258))</f>
        <v/>
      </c>
      <c r="O258" t="s">
        <v>38</v>
      </c>
      <c r="T258" s="2">
        <f>'SUPUESTOS PRECIOS'!$B$9</f>
        <v>0</v>
      </c>
      <c r="U258" s="3">
        <f>'SUPUESTOS PRECIOS'!$B$5/'SUPUESTOS PRECIOS'!$B$4</f>
        <v>1000</v>
      </c>
      <c r="V258" s="3">
        <f>('SUPUESTOS PRECIOS'!$B$6-'SUPUESTOS PRECIOS'!$B$7)/'SUPUESTOS PRECIOS'!$B$4</f>
        <v>377.5</v>
      </c>
      <c r="W258" s="4">
        <f>'SUPUESTOS PRECIOS'!$B$8</f>
        <v>9.6799999999999994E-3</v>
      </c>
      <c r="X258" s="4">
        <f>'SUPUESTOS PRECIOS'!$B$2</f>
        <v>0.4</v>
      </c>
      <c r="Y258" s="3" t="str">
        <f t="shared" ref="Y258:Y321" si="17">IF(OR($B258="",$J258=""),"",ROUND(($J258+$T258+$U258+$V258)/(1-$W258-$X258),-1))</f>
        <v/>
      </c>
      <c r="Z258" s="3" t="str">
        <f t="shared" ref="Z258:Z321" si="18">IF($Y258="","",$Y258-$J258-$T258-$U258-$V258-($Y258*$W258))</f>
        <v/>
      </c>
      <c r="AA258" s="11" t="str">
        <f t="shared" ref="AA258:AA321" si="19">IF($Y258="","",$Z258/$Y258)</f>
        <v/>
      </c>
    </row>
    <row r="259" spans="1:27" x14ac:dyDescent="0.35">
      <c r="A259" s="10" t="s">
        <v>1382</v>
      </c>
      <c r="F259" t="s">
        <v>1358</v>
      </c>
      <c r="K259">
        <v>1</v>
      </c>
      <c r="L259" t="str">
        <f t="shared" si="16"/>
        <v/>
      </c>
      <c r="O259" t="s">
        <v>38</v>
      </c>
      <c r="T259" s="2">
        <f>'SUPUESTOS PRECIOS'!$B$9</f>
        <v>0</v>
      </c>
      <c r="U259" s="3">
        <f>'SUPUESTOS PRECIOS'!$B$5/'SUPUESTOS PRECIOS'!$B$4</f>
        <v>1000</v>
      </c>
      <c r="V259" s="3">
        <f>('SUPUESTOS PRECIOS'!$B$6-'SUPUESTOS PRECIOS'!$B$7)/'SUPUESTOS PRECIOS'!$B$4</f>
        <v>377.5</v>
      </c>
      <c r="W259" s="4">
        <f>'SUPUESTOS PRECIOS'!$B$8</f>
        <v>9.6799999999999994E-3</v>
      </c>
      <c r="X259" s="4">
        <f>'SUPUESTOS PRECIOS'!$B$2</f>
        <v>0.4</v>
      </c>
      <c r="Y259" s="3" t="str">
        <f t="shared" si="17"/>
        <v/>
      </c>
      <c r="Z259" s="3" t="str">
        <f t="shared" si="18"/>
        <v/>
      </c>
      <c r="AA259" s="11" t="str">
        <f t="shared" si="19"/>
        <v/>
      </c>
    </row>
    <row r="260" spans="1:27" x14ac:dyDescent="0.35">
      <c r="A260" s="10" t="s">
        <v>1383</v>
      </c>
      <c r="F260" t="s">
        <v>1358</v>
      </c>
      <c r="K260">
        <v>1</v>
      </c>
      <c r="L260" t="str">
        <f t="shared" si="16"/>
        <v/>
      </c>
      <c r="O260" t="s">
        <v>38</v>
      </c>
      <c r="T260" s="2">
        <f>'SUPUESTOS PRECIOS'!$B$9</f>
        <v>0</v>
      </c>
      <c r="U260" s="3">
        <f>'SUPUESTOS PRECIOS'!$B$5/'SUPUESTOS PRECIOS'!$B$4</f>
        <v>1000</v>
      </c>
      <c r="V260" s="3">
        <f>('SUPUESTOS PRECIOS'!$B$6-'SUPUESTOS PRECIOS'!$B$7)/'SUPUESTOS PRECIOS'!$B$4</f>
        <v>377.5</v>
      </c>
      <c r="W260" s="4">
        <f>'SUPUESTOS PRECIOS'!$B$8</f>
        <v>9.6799999999999994E-3</v>
      </c>
      <c r="X260" s="4">
        <f>'SUPUESTOS PRECIOS'!$B$2</f>
        <v>0.4</v>
      </c>
      <c r="Y260" s="3" t="str">
        <f t="shared" si="17"/>
        <v/>
      </c>
      <c r="Z260" s="3" t="str">
        <f t="shared" si="18"/>
        <v/>
      </c>
      <c r="AA260" s="11" t="str">
        <f t="shared" si="19"/>
        <v/>
      </c>
    </row>
    <row r="261" spans="1:27" x14ac:dyDescent="0.35">
      <c r="A261" s="10" t="s">
        <v>1384</v>
      </c>
      <c r="F261" t="s">
        <v>1358</v>
      </c>
      <c r="K261">
        <v>1</v>
      </c>
      <c r="L261" t="str">
        <f t="shared" si="16"/>
        <v/>
      </c>
      <c r="O261" t="s">
        <v>38</v>
      </c>
      <c r="T261" s="2">
        <f>'SUPUESTOS PRECIOS'!$B$9</f>
        <v>0</v>
      </c>
      <c r="U261" s="3">
        <f>'SUPUESTOS PRECIOS'!$B$5/'SUPUESTOS PRECIOS'!$B$4</f>
        <v>1000</v>
      </c>
      <c r="V261" s="3">
        <f>('SUPUESTOS PRECIOS'!$B$6-'SUPUESTOS PRECIOS'!$B$7)/'SUPUESTOS PRECIOS'!$B$4</f>
        <v>377.5</v>
      </c>
      <c r="W261" s="4">
        <f>'SUPUESTOS PRECIOS'!$B$8</f>
        <v>9.6799999999999994E-3</v>
      </c>
      <c r="X261" s="4">
        <f>'SUPUESTOS PRECIOS'!$B$2</f>
        <v>0.4</v>
      </c>
      <c r="Y261" s="3" t="str">
        <f t="shared" si="17"/>
        <v/>
      </c>
      <c r="Z261" s="3" t="str">
        <f t="shared" si="18"/>
        <v/>
      </c>
      <c r="AA261" s="11" t="str">
        <f t="shared" si="19"/>
        <v/>
      </c>
    </row>
    <row r="262" spans="1:27" x14ac:dyDescent="0.35">
      <c r="A262" s="10" t="s">
        <v>1385</v>
      </c>
      <c r="F262" t="s">
        <v>1358</v>
      </c>
      <c r="K262">
        <v>1</v>
      </c>
      <c r="L262" t="str">
        <f t="shared" si="16"/>
        <v/>
      </c>
      <c r="O262" t="s">
        <v>38</v>
      </c>
      <c r="T262" s="2">
        <f>'SUPUESTOS PRECIOS'!$B$9</f>
        <v>0</v>
      </c>
      <c r="U262" s="3">
        <f>'SUPUESTOS PRECIOS'!$B$5/'SUPUESTOS PRECIOS'!$B$4</f>
        <v>1000</v>
      </c>
      <c r="V262" s="3">
        <f>('SUPUESTOS PRECIOS'!$B$6-'SUPUESTOS PRECIOS'!$B$7)/'SUPUESTOS PRECIOS'!$B$4</f>
        <v>377.5</v>
      </c>
      <c r="W262" s="4">
        <f>'SUPUESTOS PRECIOS'!$B$8</f>
        <v>9.6799999999999994E-3</v>
      </c>
      <c r="X262" s="4">
        <f>'SUPUESTOS PRECIOS'!$B$2</f>
        <v>0.4</v>
      </c>
      <c r="Y262" s="3" t="str">
        <f t="shared" si="17"/>
        <v/>
      </c>
      <c r="Z262" s="3" t="str">
        <f t="shared" si="18"/>
        <v/>
      </c>
      <c r="AA262" s="11" t="str">
        <f t="shared" si="19"/>
        <v/>
      </c>
    </row>
    <row r="263" spans="1:27" x14ac:dyDescent="0.35">
      <c r="A263" s="10" t="s">
        <v>1386</v>
      </c>
      <c r="F263" t="s">
        <v>1358</v>
      </c>
      <c r="K263">
        <v>1</v>
      </c>
      <c r="L263" t="str">
        <f t="shared" si="16"/>
        <v/>
      </c>
      <c r="O263" t="s">
        <v>38</v>
      </c>
      <c r="T263" s="2">
        <f>'SUPUESTOS PRECIOS'!$B$9</f>
        <v>0</v>
      </c>
      <c r="U263" s="3">
        <f>'SUPUESTOS PRECIOS'!$B$5/'SUPUESTOS PRECIOS'!$B$4</f>
        <v>1000</v>
      </c>
      <c r="V263" s="3">
        <f>('SUPUESTOS PRECIOS'!$B$6-'SUPUESTOS PRECIOS'!$B$7)/'SUPUESTOS PRECIOS'!$B$4</f>
        <v>377.5</v>
      </c>
      <c r="W263" s="4">
        <f>'SUPUESTOS PRECIOS'!$B$8</f>
        <v>9.6799999999999994E-3</v>
      </c>
      <c r="X263" s="4">
        <f>'SUPUESTOS PRECIOS'!$B$2</f>
        <v>0.4</v>
      </c>
      <c r="Y263" s="3" t="str">
        <f t="shared" si="17"/>
        <v/>
      </c>
      <c r="Z263" s="3" t="str">
        <f t="shared" si="18"/>
        <v/>
      </c>
      <c r="AA263" s="11" t="str">
        <f t="shared" si="19"/>
        <v/>
      </c>
    </row>
    <row r="264" spans="1:27" x14ac:dyDescent="0.35">
      <c r="A264" s="10" t="s">
        <v>1387</v>
      </c>
      <c r="F264" t="s">
        <v>1358</v>
      </c>
      <c r="K264">
        <v>1</v>
      </c>
      <c r="L264" t="str">
        <f t="shared" si="16"/>
        <v/>
      </c>
      <c r="O264" t="s">
        <v>38</v>
      </c>
      <c r="T264" s="2">
        <f>'SUPUESTOS PRECIOS'!$B$9</f>
        <v>0</v>
      </c>
      <c r="U264" s="3">
        <f>'SUPUESTOS PRECIOS'!$B$5/'SUPUESTOS PRECIOS'!$B$4</f>
        <v>1000</v>
      </c>
      <c r="V264" s="3">
        <f>('SUPUESTOS PRECIOS'!$B$6-'SUPUESTOS PRECIOS'!$B$7)/'SUPUESTOS PRECIOS'!$B$4</f>
        <v>377.5</v>
      </c>
      <c r="W264" s="4">
        <f>'SUPUESTOS PRECIOS'!$B$8</f>
        <v>9.6799999999999994E-3</v>
      </c>
      <c r="X264" s="4">
        <f>'SUPUESTOS PRECIOS'!$B$2</f>
        <v>0.4</v>
      </c>
      <c r="Y264" s="3" t="str">
        <f t="shared" si="17"/>
        <v/>
      </c>
      <c r="Z264" s="3" t="str">
        <f t="shared" si="18"/>
        <v/>
      </c>
      <c r="AA264" s="11" t="str">
        <f t="shared" si="19"/>
        <v/>
      </c>
    </row>
    <row r="265" spans="1:27" x14ac:dyDescent="0.35">
      <c r="A265" s="10" t="s">
        <v>1388</v>
      </c>
      <c r="F265" t="s">
        <v>1358</v>
      </c>
      <c r="K265">
        <v>1</v>
      </c>
      <c r="L265" t="str">
        <f t="shared" si="16"/>
        <v/>
      </c>
      <c r="O265" t="s">
        <v>38</v>
      </c>
      <c r="T265" s="2">
        <f>'SUPUESTOS PRECIOS'!$B$9</f>
        <v>0</v>
      </c>
      <c r="U265" s="3">
        <f>'SUPUESTOS PRECIOS'!$B$5/'SUPUESTOS PRECIOS'!$B$4</f>
        <v>1000</v>
      </c>
      <c r="V265" s="3">
        <f>('SUPUESTOS PRECIOS'!$B$6-'SUPUESTOS PRECIOS'!$B$7)/'SUPUESTOS PRECIOS'!$B$4</f>
        <v>377.5</v>
      </c>
      <c r="W265" s="4">
        <f>'SUPUESTOS PRECIOS'!$B$8</f>
        <v>9.6799999999999994E-3</v>
      </c>
      <c r="X265" s="4">
        <f>'SUPUESTOS PRECIOS'!$B$2</f>
        <v>0.4</v>
      </c>
      <c r="Y265" s="3" t="str">
        <f t="shared" si="17"/>
        <v/>
      </c>
      <c r="Z265" s="3" t="str">
        <f t="shared" si="18"/>
        <v/>
      </c>
      <c r="AA265" s="11" t="str">
        <f t="shared" si="19"/>
        <v/>
      </c>
    </row>
    <row r="266" spans="1:27" x14ac:dyDescent="0.35">
      <c r="A266" s="10" t="s">
        <v>1389</v>
      </c>
      <c r="F266" t="s">
        <v>1358</v>
      </c>
      <c r="K266">
        <v>1</v>
      </c>
      <c r="L266" t="str">
        <f t="shared" si="16"/>
        <v/>
      </c>
      <c r="O266" t="s">
        <v>38</v>
      </c>
      <c r="T266" s="2">
        <f>'SUPUESTOS PRECIOS'!$B$9</f>
        <v>0</v>
      </c>
      <c r="U266" s="3">
        <f>'SUPUESTOS PRECIOS'!$B$5/'SUPUESTOS PRECIOS'!$B$4</f>
        <v>1000</v>
      </c>
      <c r="V266" s="3">
        <f>('SUPUESTOS PRECIOS'!$B$6-'SUPUESTOS PRECIOS'!$B$7)/'SUPUESTOS PRECIOS'!$B$4</f>
        <v>377.5</v>
      </c>
      <c r="W266" s="4">
        <f>'SUPUESTOS PRECIOS'!$B$8</f>
        <v>9.6799999999999994E-3</v>
      </c>
      <c r="X266" s="4">
        <f>'SUPUESTOS PRECIOS'!$B$2</f>
        <v>0.4</v>
      </c>
      <c r="Y266" s="3" t="str">
        <f t="shared" si="17"/>
        <v/>
      </c>
      <c r="Z266" s="3" t="str">
        <f t="shared" si="18"/>
        <v/>
      </c>
      <c r="AA266" s="11" t="str">
        <f t="shared" si="19"/>
        <v/>
      </c>
    </row>
    <row r="267" spans="1:27" x14ac:dyDescent="0.35">
      <c r="A267" s="10" t="s">
        <v>1390</v>
      </c>
      <c r="F267" t="s">
        <v>1358</v>
      </c>
      <c r="K267">
        <v>1</v>
      </c>
      <c r="L267" t="str">
        <f t="shared" si="16"/>
        <v/>
      </c>
      <c r="O267" t="s">
        <v>38</v>
      </c>
      <c r="T267" s="2">
        <f>'SUPUESTOS PRECIOS'!$B$9</f>
        <v>0</v>
      </c>
      <c r="U267" s="3">
        <f>'SUPUESTOS PRECIOS'!$B$5/'SUPUESTOS PRECIOS'!$B$4</f>
        <v>1000</v>
      </c>
      <c r="V267" s="3">
        <f>('SUPUESTOS PRECIOS'!$B$6-'SUPUESTOS PRECIOS'!$B$7)/'SUPUESTOS PRECIOS'!$B$4</f>
        <v>377.5</v>
      </c>
      <c r="W267" s="4">
        <f>'SUPUESTOS PRECIOS'!$B$8</f>
        <v>9.6799999999999994E-3</v>
      </c>
      <c r="X267" s="4">
        <f>'SUPUESTOS PRECIOS'!$B$2</f>
        <v>0.4</v>
      </c>
      <c r="Y267" s="3" t="str">
        <f t="shared" si="17"/>
        <v/>
      </c>
      <c r="Z267" s="3" t="str">
        <f t="shared" si="18"/>
        <v/>
      </c>
      <c r="AA267" s="11" t="str">
        <f t="shared" si="19"/>
        <v/>
      </c>
    </row>
    <row r="268" spans="1:27" x14ac:dyDescent="0.35">
      <c r="A268" s="10" t="s">
        <v>1391</v>
      </c>
      <c r="F268" t="s">
        <v>1358</v>
      </c>
      <c r="K268">
        <v>1</v>
      </c>
      <c r="L268" t="str">
        <f t="shared" si="16"/>
        <v/>
      </c>
      <c r="O268" t="s">
        <v>38</v>
      </c>
      <c r="T268" s="2">
        <f>'SUPUESTOS PRECIOS'!$B$9</f>
        <v>0</v>
      </c>
      <c r="U268" s="3">
        <f>'SUPUESTOS PRECIOS'!$B$5/'SUPUESTOS PRECIOS'!$B$4</f>
        <v>1000</v>
      </c>
      <c r="V268" s="3">
        <f>('SUPUESTOS PRECIOS'!$B$6-'SUPUESTOS PRECIOS'!$B$7)/'SUPUESTOS PRECIOS'!$B$4</f>
        <v>377.5</v>
      </c>
      <c r="W268" s="4">
        <f>'SUPUESTOS PRECIOS'!$B$8</f>
        <v>9.6799999999999994E-3</v>
      </c>
      <c r="X268" s="4">
        <f>'SUPUESTOS PRECIOS'!$B$2</f>
        <v>0.4</v>
      </c>
      <c r="Y268" s="3" t="str">
        <f t="shared" si="17"/>
        <v/>
      </c>
      <c r="Z268" s="3" t="str">
        <f t="shared" si="18"/>
        <v/>
      </c>
      <c r="AA268" s="11" t="str">
        <f t="shared" si="19"/>
        <v/>
      </c>
    </row>
    <row r="269" spans="1:27" x14ac:dyDescent="0.35">
      <c r="A269" s="10" t="s">
        <v>1392</v>
      </c>
      <c r="F269" t="s">
        <v>1358</v>
      </c>
      <c r="K269">
        <v>1</v>
      </c>
      <c r="L269" t="str">
        <f t="shared" si="16"/>
        <v/>
      </c>
      <c r="O269" t="s">
        <v>38</v>
      </c>
      <c r="T269" s="2">
        <f>'SUPUESTOS PRECIOS'!$B$9</f>
        <v>0</v>
      </c>
      <c r="U269" s="3">
        <f>'SUPUESTOS PRECIOS'!$B$5/'SUPUESTOS PRECIOS'!$B$4</f>
        <v>1000</v>
      </c>
      <c r="V269" s="3">
        <f>('SUPUESTOS PRECIOS'!$B$6-'SUPUESTOS PRECIOS'!$B$7)/'SUPUESTOS PRECIOS'!$B$4</f>
        <v>377.5</v>
      </c>
      <c r="W269" s="4">
        <f>'SUPUESTOS PRECIOS'!$B$8</f>
        <v>9.6799999999999994E-3</v>
      </c>
      <c r="X269" s="4">
        <f>'SUPUESTOS PRECIOS'!$B$2</f>
        <v>0.4</v>
      </c>
      <c r="Y269" s="3" t="str">
        <f t="shared" si="17"/>
        <v/>
      </c>
      <c r="Z269" s="3" t="str">
        <f t="shared" si="18"/>
        <v/>
      </c>
      <c r="AA269" s="11" t="str">
        <f t="shared" si="19"/>
        <v/>
      </c>
    </row>
    <row r="270" spans="1:27" x14ac:dyDescent="0.35">
      <c r="A270" s="10" t="s">
        <v>1393</v>
      </c>
      <c r="F270" t="s">
        <v>1358</v>
      </c>
      <c r="K270">
        <v>1</v>
      </c>
      <c r="L270" t="str">
        <f t="shared" si="16"/>
        <v/>
      </c>
      <c r="O270" t="s">
        <v>38</v>
      </c>
      <c r="T270" s="2">
        <f>'SUPUESTOS PRECIOS'!$B$9</f>
        <v>0</v>
      </c>
      <c r="U270" s="3">
        <f>'SUPUESTOS PRECIOS'!$B$5/'SUPUESTOS PRECIOS'!$B$4</f>
        <v>1000</v>
      </c>
      <c r="V270" s="3">
        <f>('SUPUESTOS PRECIOS'!$B$6-'SUPUESTOS PRECIOS'!$B$7)/'SUPUESTOS PRECIOS'!$B$4</f>
        <v>377.5</v>
      </c>
      <c r="W270" s="4">
        <f>'SUPUESTOS PRECIOS'!$B$8</f>
        <v>9.6799999999999994E-3</v>
      </c>
      <c r="X270" s="4">
        <f>'SUPUESTOS PRECIOS'!$B$2</f>
        <v>0.4</v>
      </c>
      <c r="Y270" s="3" t="str">
        <f t="shared" si="17"/>
        <v/>
      </c>
      <c r="Z270" s="3" t="str">
        <f t="shared" si="18"/>
        <v/>
      </c>
      <c r="AA270" s="11" t="str">
        <f t="shared" si="19"/>
        <v/>
      </c>
    </row>
    <row r="271" spans="1:27" x14ac:dyDescent="0.35">
      <c r="A271" s="10" t="s">
        <v>1394</v>
      </c>
      <c r="F271" t="s">
        <v>1358</v>
      </c>
      <c r="K271">
        <v>1</v>
      </c>
      <c r="L271" t="str">
        <f t="shared" si="16"/>
        <v/>
      </c>
      <c r="O271" t="s">
        <v>38</v>
      </c>
      <c r="T271" s="2">
        <f>'SUPUESTOS PRECIOS'!$B$9</f>
        <v>0</v>
      </c>
      <c r="U271" s="3">
        <f>'SUPUESTOS PRECIOS'!$B$5/'SUPUESTOS PRECIOS'!$B$4</f>
        <v>1000</v>
      </c>
      <c r="V271" s="3">
        <f>('SUPUESTOS PRECIOS'!$B$6-'SUPUESTOS PRECIOS'!$B$7)/'SUPUESTOS PRECIOS'!$B$4</f>
        <v>377.5</v>
      </c>
      <c r="W271" s="4">
        <f>'SUPUESTOS PRECIOS'!$B$8</f>
        <v>9.6799999999999994E-3</v>
      </c>
      <c r="X271" s="4">
        <f>'SUPUESTOS PRECIOS'!$B$2</f>
        <v>0.4</v>
      </c>
      <c r="Y271" s="3" t="str">
        <f t="shared" si="17"/>
        <v/>
      </c>
      <c r="Z271" s="3" t="str">
        <f t="shared" si="18"/>
        <v/>
      </c>
      <c r="AA271" s="11" t="str">
        <f t="shared" si="19"/>
        <v/>
      </c>
    </row>
    <row r="272" spans="1:27" x14ac:dyDescent="0.35">
      <c r="A272" s="10" t="s">
        <v>1395</v>
      </c>
      <c r="F272" t="s">
        <v>1358</v>
      </c>
      <c r="K272">
        <v>1</v>
      </c>
      <c r="L272" t="str">
        <f t="shared" si="16"/>
        <v/>
      </c>
      <c r="O272" t="s">
        <v>38</v>
      </c>
      <c r="T272" s="2">
        <f>'SUPUESTOS PRECIOS'!$B$9</f>
        <v>0</v>
      </c>
      <c r="U272" s="3">
        <f>'SUPUESTOS PRECIOS'!$B$5/'SUPUESTOS PRECIOS'!$B$4</f>
        <v>1000</v>
      </c>
      <c r="V272" s="3">
        <f>('SUPUESTOS PRECIOS'!$B$6-'SUPUESTOS PRECIOS'!$B$7)/'SUPUESTOS PRECIOS'!$B$4</f>
        <v>377.5</v>
      </c>
      <c r="W272" s="4">
        <f>'SUPUESTOS PRECIOS'!$B$8</f>
        <v>9.6799999999999994E-3</v>
      </c>
      <c r="X272" s="4">
        <f>'SUPUESTOS PRECIOS'!$B$2</f>
        <v>0.4</v>
      </c>
      <c r="Y272" s="3" t="str">
        <f t="shared" si="17"/>
        <v/>
      </c>
      <c r="Z272" s="3" t="str">
        <f t="shared" si="18"/>
        <v/>
      </c>
      <c r="AA272" s="11" t="str">
        <f t="shared" si="19"/>
        <v/>
      </c>
    </row>
    <row r="273" spans="1:27" x14ac:dyDescent="0.35">
      <c r="A273" s="10" t="s">
        <v>1396</v>
      </c>
      <c r="F273" t="s">
        <v>1358</v>
      </c>
      <c r="K273">
        <v>1</v>
      </c>
      <c r="L273" t="str">
        <f t="shared" si="16"/>
        <v/>
      </c>
      <c r="O273" t="s">
        <v>38</v>
      </c>
      <c r="T273" s="2">
        <f>'SUPUESTOS PRECIOS'!$B$9</f>
        <v>0</v>
      </c>
      <c r="U273" s="3">
        <f>'SUPUESTOS PRECIOS'!$B$5/'SUPUESTOS PRECIOS'!$B$4</f>
        <v>1000</v>
      </c>
      <c r="V273" s="3">
        <f>('SUPUESTOS PRECIOS'!$B$6-'SUPUESTOS PRECIOS'!$B$7)/'SUPUESTOS PRECIOS'!$B$4</f>
        <v>377.5</v>
      </c>
      <c r="W273" s="4">
        <f>'SUPUESTOS PRECIOS'!$B$8</f>
        <v>9.6799999999999994E-3</v>
      </c>
      <c r="X273" s="4">
        <f>'SUPUESTOS PRECIOS'!$B$2</f>
        <v>0.4</v>
      </c>
      <c r="Y273" s="3" t="str">
        <f t="shared" si="17"/>
        <v/>
      </c>
      <c r="Z273" s="3" t="str">
        <f t="shared" si="18"/>
        <v/>
      </c>
      <c r="AA273" s="11" t="str">
        <f t="shared" si="19"/>
        <v/>
      </c>
    </row>
    <row r="274" spans="1:27" x14ac:dyDescent="0.35">
      <c r="A274" s="10" t="s">
        <v>1397</v>
      </c>
      <c r="F274" t="s">
        <v>1358</v>
      </c>
      <c r="K274">
        <v>1</v>
      </c>
      <c r="L274" t="str">
        <f t="shared" si="16"/>
        <v/>
      </c>
      <c r="O274" t="s">
        <v>38</v>
      </c>
      <c r="T274" s="2">
        <f>'SUPUESTOS PRECIOS'!$B$9</f>
        <v>0</v>
      </c>
      <c r="U274" s="3">
        <f>'SUPUESTOS PRECIOS'!$B$5/'SUPUESTOS PRECIOS'!$B$4</f>
        <v>1000</v>
      </c>
      <c r="V274" s="3">
        <f>('SUPUESTOS PRECIOS'!$B$6-'SUPUESTOS PRECIOS'!$B$7)/'SUPUESTOS PRECIOS'!$B$4</f>
        <v>377.5</v>
      </c>
      <c r="W274" s="4">
        <f>'SUPUESTOS PRECIOS'!$B$8</f>
        <v>9.6799999999999994E-3</v>
      </c>
      <c r="X274" s="4">
        <f>'SUPUESTOS PRECIOS'!$B$2</f>
        <v>0.4</v>
      </c>
      <c r="Y274" s="3" t="str">
        <f t="shared" si="17"/>
        <v/>
      </c>
      <c r="Z274" s="3" t="str">
        <f t="shared" si="18"/>
        <v/>
      </c>
      <c r="AA274" s="11" t="str">
        <f t="shared" si="19"/>
        <v/>
      </c>
    </row>
    <row r="275" spans="1:27" x14ac:dyDescent="0.35">
      <c r="A275" s="10" t="s">
        <v>1398</v>
      </c>
      <c r="F275" t="s">
        <v>1358</v>
      </c>
      <c r="K275">
        <v>1</v>
      </c>
      <c r="L275" t="str">
        <f t="shared" si="16"/>
        <v/>
      </c>
      <c r="O275" t="s">
        <v>38</v>
      </c>
      <c r="T275" s="2">
        <f>'SUPUESTOS PRECIOS'!$B$9</f>
        <v>0</v>
      </c>
      <c r="U275" s="3">
        <f>'SUPUESTOS PRECIOS'!$B$5/'SUPUESTOS PRECIOS'!$B$4</f>
        <v>1000</v>
      </c>
      <c r="V275" s="3">
        <f>('SUPUESTOS PRECIOS'!$B$6-'SUPUESTOS PRECIOS'!$B$7)/'SUPUESTOS PRECIOS'!$B$4</f>
        <v>377.5</v>
      </c>
      <c r="W275" s="4">
        <f>'SUPUESTOS PRECIOS'!$B$8</f>
        <v>9.6799999999999994E-3</v>
      </c>
      <c r="X275" s="4">
        <f>'SUPUESTOS PRECIOS'!$B$2</f>
        <v>0.4</v>
      </c>
      <c r="Y275" s="3" t="str">
        <f t="shared" si="17"/>
        <v/>
      </c>
      <c r="Z275" s="3" t="str">
        <f t="shared" si="18"/>
        <v/>
      </c>
      <c r="AA275" s="11" t="str">
        <f t="shared" si="19"/>
        <v/>
      </c>
    </row>
    <row r="276" spans="1:27" x14ac:dyDescent="0.35">
      <c r="A276" s="10" t="s">
        <v>1399</v>
      </c>
      <c r="F276" t="s">
        <v>1358</v>
      </c>
      <c r="K276">
        <v>1</v>
      </c>
      <c r="L276" t="str">
        <f t="shared" si="16"/>
        <v/>
      </c>
      <c r="O276" t="s">
        <v>38</v>
      </c>
      <c r="T276" s="2">
        <f>'SUPUESTOS PRECIOS'!$B$9</f>
        <v>0</v>
      </c>
      <c r="U276" s="3">
        <f>'SUPUESTOS PRECIOS'!$B$5/'SUPUESTOS PRECIOS'!$B$4</f>
        <v>1000</v>
      </c>
      <c r="V276" s="3">
        <f>('SUPUESTOS PRECIOS'!$B$6-'SUPUESTOS PRECIOS'!$B$7)/'SUPUESTOS PRECIOS'!$B$4</f>
        <v>377.5</v>
      </c>
      <c r="W276" s="4">
        <f>'SUPUESTOS PRECIOS'!$B$8</f>
        <v>9.6799999999999994E-3</v>
      </c>
      <c r="X276" s="4">
        <f>'SUPUESTOS PRECIOS'!$B$2</f>
        <v>0.4</v>
      </c>
      <c r="Y276" s="3" t="str">
        <f t="shared" si="17"/>
        <v/>
      </c>
      <c r="Z276" s="3" t="str">
        <f t="shared" si="18"/>
        <v/>
      </c>
      <c r="AA276" s="11" t="str">
        <f t="shared" si="19"/>
        <v/>
      </c>
    </row>
    <row r="277" spans="1:27" x14ac:dyDescent="0.35">
      <c r="A277" s="10" t="s">
        <v>1400</v>
      </c>
      <c r="F277" t="s">
        <v>1358</v>
      </c>
      <c r="K277">
        <v>1</v>
      </c>
      <c r="L277" t="str">
        <f t="shared" si="16"/>
        <v/>
      </c>
      <c r="O277" t="s">
        <v>38</v>
      </c>
      <c r="T277" s="2">
        <f>'SUPUESTOS PRECIOS'!$B$9</f>
        <v>0</v>
      </c>
      <c r="U277" s="3">
        <f>'SUPUESTOS PRECIOS'!$B$5/'SUPUESTOS PRECIOS'!$B$4</f>
        <v>1000</v>
      </c>
      <c r="V277" s="3">
        <f>('SUPUESTOS PRECIOS'!$B$6-'SUPUESTOS PRECIOS'!$B$7)/'SUPUESTOS PRECIOS'!$B$4</f>
        <v>377.5</v>
      </c>
      <c r="W277" s="4">
        <f>'SUPUESTOS PRECIOS'!$B$8</f>
        <v>9.6799999999999994E-3</v>
      </c>
      <c r="X277" s="4">
        <f>'SUPUESTOS PRECIOS'!$B$2</f>
        <v>0.4</v>
      </c>
      <c r="Y277" s="3" t="str">
        <f t="shared" si="17"/>
        <v/>
      </c>
      <c r="Z277" s="3" t="str">
        <f t="shared" si="18"/>
        <v/>
      </c>
      <c r="AA277" s="11" t="str">
        <f t="shared" si="19"/>
        <v/>
      </c>
    </row>
    <row r="278" spans="1:27" x14ac:dyDescent="0.35">
      <c r="A278" s="10" t="s">
        <v>1401</v>
      </c>
      <c r="F278" t="s">
        <v>1358</v>
      </c>
      <c r="K278">
        <v>1</v>
      </c>
      <c r="L278" t="str">
        <f t="shared" si="16"/>
        <v/>
      </c>
      <c r="O278" t="s">
        <v>38</v>
      </c>
      <c r="T278" s="2">
        <f>'SUPUESTOS PRECIOS'!$B$9</f>
        <v>0</v>
      </c>
      <c r="U278" s="3">
        <f>'SUPUESTOS PRECIOS'!$B$5/'SUPUESTOS PRECIOS'!$B$4</f>
        <v>1000</v>
      </c>
      <c r="V278" s="3">
        <f>('SUPUESTOS PRECIOS'!$B$6-'SUPUESTOS PRECIOS'!$B$7)/'SUPUESTOS PRECIOS'!$B$4</f>
        <v>377.5</v>
      </c>
      <c r="W278" s="4">
        <f>'SUPUESTOS PRECIOS'!$B$8</f>
        <v>9.6799999999999994E-3</v>
      </c>
      <c r="X278" s="4">
        <f>'SUPUESTOS PRECIOS'!$B$2</f>
        <v>0.4</v>
      </c>
      <c r="Y278" s="3" t="str">
        <f t="shared" si="17"/>
        <v/>
      </c>
      <c r="Z278" s="3" t="str">
        <f t="shared" si="18"/>
        <v/>
      </c>
      <c r="AA278" s="11" t="str">
        <f t="shared" si="19"/>
        <v/>
      </c>
    </row>
    <row r="279" spans="1:27" x14ac:dyDescent="0.35">
      <c r="A279" s="10" t="s">
        <v>1402</v>
      </c>
      <c r="F279" t="s">
        <v>1358</v>
      </c>
      <c r="K279">
        <v>1</v>
      </c>
      <c r="L279" t="str">
        <f t="shared" si="16"/>
        <v/>
      </c>
      <c r="O279" t="s">
        <v>38</v>
      </c>
      <c r="T279" s="2">
        <f>'SUPUESTOS PRECIOS'!$B$9</f>
        <v>0</v>
      </c>
      <c r="U279" s="3">
        <f>'SUPUESTOS PRECIOS'!$B$5/'SUPUESTOS PRECIOS'!$B$4</f>
        <v>1000</v>
      </c>
      <c r="V279" s="3">
        <f>('SUPUESTOS PRECIOS'!$B$6-'SUPUESTOS PRECIOS'!$B$7)/'SUPUESTOS PRECIOS'!$B$4</f>
        <v>377.5</v>
      </c>
      <c r="W279" s="4">
        <f>'SUPUESTOS PRECIOS'!$B$8</f>
        <v>9.6799999999999994E-3</v>
      </c>
      <c r="X279" s="4">
        <f>'SUPUESTOS PRECIOS'!$B$2</f>
        <v>0.4</v>
      </c>
      <c r="Y279" s="3" t="str">
        <f t="shared" si="17"/>
        <v/>
      </c>
      <c r="Z279" s="3" t="str">
        <f t="shared" si="18"/>
        <v/>
      </c>
      <c r="AA279" s="11" t="str">
        <f t="shared" si="19"/>
        <v/>
      </c>
    </row>
    <row r="280" spans="1:27" x14ac:dyDescent="0.35">
      <c r="A280" s="10" t="s">
        <v>1403</v>
      </c>
      <c r="F280" t="s">
        <v>1358</v>
      </c>
      <c r="K280">
        <v>1</v>
      </c>
      <c r="L280" t="str">
        <f t="shared" si="16"/>
        <v/>
      </c>
      <c r="O280" t="s">
        <v>38</v>
      </c>
      <c r="T280" s="2">
        <f>'SUPUESTOS PRECIOS'!$B$9</f>
        <v>0</v>
      </c>
      <c r="U280" s="3">
        <f>'SUPUESTOS PRECIOS'!$B$5/'SUPUESTOS PRECIOS'!$B$4</f>
        <v>1000</v>
      </c>
      <c r="V280" s="3">
        <f>('SUPUESTOS PRECIOS'!$B$6-'SUPUESTOS PRECIOS'!$B$7)/'SUPUESTOS PRECIOS'!$B$4</f>
        <v>377.5</v>
      </c>
      <c r="W280" s="4">
        <f>'SUPUESTOS PRECIOS'!$B$8</f>
        <v>9.6799999999999994E-3</v>
      </c>
      <c r="X280" s="4">
        <f>'SUPUESTOS PRECIOS'!$B$2</f>
        <v>0.4</v>
      </c>
      <c r="Y280" s="3" t="str">
        <f t="shared" si="17"/>
        <v/>
      </c>
      <c r="Z280" s="3" t="str">
        <f t="shared" si="18"/>
        <v/>
      </c>
      <c r="AA280" s="11" t="str">
        <f t="shared" si="19"/>
        <v/>
      </c>
    </row>
    <row r="281" spans="1:27" x14ac:dyDescent="0.35">
      <c r="A281" s="10" t="s">
        <v>1404</v>
      </c>
      <c r="F281" t="s">
        <v>1358</v>
      </c>
      <c r="K281">
        <v>1</v>
      </c>
      <c r="L281" t="str">
        <f t="shared" si="16"/>
        <v/>
      </c>
      <c r="O281" t="s">
        <v>38</v>
      </c>
      <c r="T281" s="2">
        <f>'SUPUESTOS PRECIOS'!$B$9</f>
        <v>0</v>
      </c>
      <c r="U281" s="3">
        <f>'SUPUESTOS PRECIOS'!$B$5/'SUPUESTOS PRECIOS'!$B$4</f>
        <v>1000</v>
      </c>
      <c r="V281" s="3">
        <f>('SUPUESTOS PRECIOS'!$B$6-'SUPUESTOS PRECIOS'!$B$7)/'SUPUESTOS PRECIOS'!$B$4</f>
        <v>377.5</v>
      </c>
      <c r="W281" s="4">
        <f>'SUPUESTOS PRECIOS'!$B$8</f>
        <v>9.6799999999999994E-3</v>
      </c>
      <c r="X281" s="4">
        <f>'SUPUESTOS PRECIOS'!$B$2</f>
        <v>0.4</v>
      </c>
      <c r="Y281" s="3" t="str">
        <f t="shared" si="17"/>
        <v/>
      </c>
      <c r="Z281" s="3" t="str">
        <f t="shared" si="18"/>
        <v/>
      </c>
      <c r="AA281" s="11" t="str">
        <f t="shared" si="19"/>
        <v/>
      </c>
    </row>
    <row r="282" spans="1:27" x14ac:dyDescent="0.35">
      <c r="A282" s="10" t="s">
        <v>1405</v>
      </c>
      <c r="F282" t="s">
        <v>1358</v>
      </c>
      <c r="K282">
        <v>1</v>
      </c>
      <c r="L282" t="str">
        <f t="shared" si="16"/>
        <v/>
      </c>
      <c r="O282" t="s">
        <v>38</v>
      </c>
      <c r="T282" s="2">
        <f>'SUPUESTOS PRECIOS'!$B$9</f>
        <v>0</v>
      </c>
      <c r="U282" s="3">
        <f>'SUPUESTOS PRECIOS'!$B$5/'SUPUESTOS PRECIOS'!$B$4</f>
        <v>1000</v>
      </c>
      <c r="V282" s="3">
        <f>('SUPUESTOS PRECIOS'!$B$6-'SUPUESTOS PRECIOS'!$B$7)/'SUPUESTOS PRECIOS'!$B$4</f>
        <v>377.5</v>
      </c>
      <c r="W282" s="4">
        <f>'SUPUESTOS PRECIOS'!$B$8</f>
        <v>9.6799999999999994E-3</v>
      </c>
      <c r="X282" s="4">
        <f>'SUPUESTOS PRECIOS'!$B$2</f>
        <v>0.4</v>
      </c>
      <c r="Y282" s="3" t="str">
        <f t="shared" si="17"/>
        <v/>
      </c>
      <c r="Z282" s="3" t="str">
        <f t="shared" si="18"/>
        <v/>
      </c>
      <c r="AA282" s="11" t="str">
        <f t="shared" si="19"/>
        <v/>
      </c>
    </row>
    <row r="283" spans="1:27" x14ac:dyDescent="0.35">
      <c r="A283" s="10" t="s">
        <v>1406</v>
      </c>
      <c r="F283" t="s">
        <v>1358</v>
      </c>
      <c r="K283">
        <v>1</v>
      </c>
      <c r="L283" t="str">
        <f t="shared" si="16"/>
        <v/>
      </c>
      <c r="O283" t="s">
        <v>38</v>
      </c>
      <c r="T283" s="2">
        <f>'SUPUESTOS PRECIOS'!$B$9</f>
        <v>0</v>
      </c>
      <c r="U283" s="3">
        <f>'SUPUESTOS PRECIOS'!$B$5/'SUPUESTOS PRECIOS'!$B$4</f>
        <v>1000</v>
      </c>
      <c r="V283" s="3">
        <f>('SUPUESTOS PRECIOS'!$B$6-'SUPUESTOS PRECIOS'!$B$7)/'SUPUESTOS PRECIOS'!$B$4</f>
        <v>377.5</v>
      </c>
      <c r="W283" s="4">
        <f>'SUPUESTOS PRECIOS'!$B$8</f>
        <v>9.6799999999999994E-3</v>
      </c>
      <c r="X283" s="4">
        <f>'SUPUESTOS PRECIOS'!$B$2</f>
        <v>0.4</v>
      </c>
      <c r="Y283" s="3" t="str">
        <f t="shared" si="17"/>
        <v/>
      </c>
      <c r="Z283" s="3" t="str">
        <f t="shared" si="18"/>
        <v/>
      </c>
      <c r="AA283" s="11" t="str">
        <f t="shared" si="19"/>
        <v/>
      </c>
    </row>
    <row r="284" spans="1:27" x14ac:dyDescent="0.35">
      <c r="A284" s="10" t="s">
        <v>1407</v>
      </c>
      <c r="F284" t="s">
        <v>1358</v>
      </c>
      <c r="K284">
        <v>1</v>
      </c>
      <c r="L284" t="str">
        <f t="shared" si="16"/>
        <v/>
      </c>
      <c r="O284" t="s">
        <v>38</v>
      </c>
      <c r="T284" s="2">
        <f>'SUPUESTOS PRECIOS'!$B$9</f>
        <v>0</v>
      </c>
      <c r="U284" s="3">
        <f>'SUPUESTOS PRECIOS'!$B$5/'SUPUESTOS PRECIOS'!$B$4</f>
        <v>1000</v>
      </c>
      <c r="V284" s="3">
        <f>('SUPUESTOS PRECIOS'!$B$6-'SUPUESTOS PRECIOS'!$B$7)/'SUPUESTOS PRECIOS'!$B$4</f>
        <v>377.5</v>
      </c>
      <c r="W284" s="4">
        <f>'SUPUESTOS PRECIOS'!$B$8</f>
        <v>9.6799999999999994E-3</v>
      </c>
      <c r="X284" s="4">
        <f>'SUPUESTOS PRECIOS'!$B$2</f>
        <v>0.4</v>
      </c>
      <c r="Y284" s="3" t="str">
        <f t="shared" si="17"/>
        <v/>
      </c>
      <c r="Z284" s="3" t="str">
        <f t="shared" si="18"/>
        <v/>
      </c>
      <c r="AA284" s="11" t="str">
        <f t="shared" si="19"/>
        <v/>
      </c>
    </row>
    <row r="285" spans="1:27" x14ac:dyDescent="0.35">
      <c r="A285" s="10" t="s">
        <v>1408</v>
      </c>
      <c r="F285" t="s">
        <v>1358</v>
      </c>
      <c r="K285">
        <v>1</v>
      </c>
      <c r="L285" t="str">
        <f t="shared" si="16"/>
        <v/>
      </c>
      <c r="O285" t="s">
        <v>38</v>
      </c>
      <c r="T285" s="2">
        <f>'SUPUESTOS PRECIOS'!$B$9</f>
        <v>0</v>
      </c>
      <c r="U285" s="3">
        <f>'SUPUESTOS PRECIOS'!$B$5/'SUPUESTOS PRECIOS'!$B$4</f>
        <v>1000</v>
      </c>
      <c r="V285" s="3">
        <f>('SUPUESTOS PRECIOS'!$B$6-'SUPUESTOS PRECIOS'!$B$7)/'SUPUESTOS PRECIOS'!$B$4</f>
        <v>377.5</v>
      </c>
      <c r="W285" s="4">
        <f>'SUPUESTOS PRECIOS'!$B$8</f>
        <v>9.6799999999999994E-3</v>
      </c>
      <c r="X285" s="4">
        <f>'SUPUESTOS PRECIOS'!$B$2</f>
        <v>0.4</v>
      </c>
      <c r="Y285" s="3" t="str">
        <f t="shared" si="17"/>
        <v/>
      </c>
      <c r="Z285" s="3" t="str">
        <f t="shared" si="18"/>
        <v/>
      </c>
      <c r="AA285" s="11" t="str">
        <f t="shared" si="19"/>
        <v/>
      </c>
    </row>
    <row r="286" spans="1:27" x14ac:dyDescent="0.35">
      <c r="A286" s="10" t="s">
        <v>1409</v>
      </c>
      <c r="F286" t="s">
        <v>1358</v>
      </c>
      <c r="K286">
        <v>1</v>
      </c>
      <c r="L286" t="str">
        <f t="shared" si="16"/>
        <v/>
      </c>
      <c r="O286" t="s">
        <v>38</v>
      </c>
      <c r="T286" s="2">
        <f>'SUPUESTOS PRECIOS'!$B$9</f>
        <v>0</v>
      </c>
      <c r="U286" s="3">
        <f>'SUPUESTOS PRECIOS'!$B$5/'SUPUESTOS PRECIOS'!$B$4</f>
        <v>1000</v>
      </c>
      <c r="V286" s="3">
        <f>('SUPUESTOS PRECIOS'!$B$6-'SUPUESTOS PRECIOS'!$B$7)/'SUPUESTOS PRECIOS'!$B$4</f>
        <v>377.5</v>
      </c>
      <c r="W286" s="4">
        <f>'SUPUESTOS PRECIOS'!$B$8</f>
        <v>9.6799999999999994E-3</v>
      </c>
      <c r="X286" s="4">
        <f>'SUPUESTOS PRECIOS'!$B$2</f>
        <v>0.4</v>
      </c>
      <c r="Y286" s="3" t="str">
        <f t="shared" si="17"/>
        <v/>
      </c>
      <c r="Z286" s="3" t="str">
        <f t="shared" si="18"/>
        <v/>
      </c>
      <c r="AA286" s="11" t="str">
        <f t="shared" si="19"/>
        <v/>
      </c>
    </row>
    <row r="287" spans="1:27" x14ac:dyDescent="0.35">
      <c r="A287" s="10" t="s">
        <v>1410</v>
      </c>
      <c r="F287" t="s">
        <v>1358</v>
      </c>
      <c r="K287">
        <v>1</v>
      </c>
      <c r="L287" t="str">
        <f t="shared" si="16"/>
        <v/>
      </c>
      <c r="O287" t="s">
        <v>38</v>
      </c>
      <c r="T287" s="2">
        <f>'SUPUESTOS PRECIOS'!$B$9</f>
        <v>0</v>
      </c>
      <c r="U287" s="3">
        <f>'SUPUESTOS PRECIOS'!$B$5/'SUPUESTOS PRECIOS'!$B$4</f>
        <v>1000</v>
      </c>
      <c r="V287" s="3">
        <f>('SUPUESTOS PRECIOS'!$B$6-'SUPUESTOS PRECIOS'!$B$7)/'SUPUESTOS PRECIOS'!$B$4</f>
        <v>377.5</v>
      </c>
      <c r="W287" s="4">
        <f>'SUPUESTOS PRECIOS'!$B$8</f>
        <v>9.6799999999999994E-3</v>
      </c>
      <c r="X287" s="4">
        <f>'SUPUESTOS PRECIOS'!$B$2</f>
        <v>0.4</v>
      </c>
      <c r="Y287" s="3" t="str">
        <f t="shared" si="17"/>
        <v/>
      </c>
      <c r="Z287" s="3" t="str">
        <f t="shared" si="18"/>
        <v/>
      </c>
      <c r="AA287" s="11" t="str">
        <f t="shared" si="19"/>
        <v/>
      </c>
    </row>
    <row r="288" spans="1:27" x14ac:dyDescent="0.35">
      <c r="A288" s="10" t="s">
        <v>1411</v>
      </c>
      <c r="F288" t="s">
        <v>1358</v>
      </c>
      <c r="K288">
        <v>1</v>
      </c>
      <c r="L288" t="str">
        <f t="shared" si="16"/>
        <v/>
      </c>
      <c r="O288" t="s">
        <v>38</v>
      </c>
      <c r="T288" s="2">
        <f>'SUPUESTOS PRECIOS'!$B$9</f>
        <v>0</v>
      </c>
      <c r="U288" s="3">
        <f>'SUPUESTOS PRECIOS'!$B$5/'SUPUESTOS PRECIOS'!$B$4</f>
        <v>1000</v>
      </c>
      <c r="V288" s="3">
        <f>('SUPUESTOS PRECIOS'!$B$6-'SUPUESTOS PRECIOS'!$B$7)/'SUPUESTOS PRECIOS'!$B$4</f>
        <v>377.5</v>
      </c>
      <c r="W288" s="4">
        <f>'SUPUESTOS PRECIOS'!$B$8</f>
        <v>9.6799999999999994E-3</v>
      </c>
      <c r="X288" s="4">
        <f>'SUPUESTOS PRECIOS'!$B$2</f>
        <v>0.4</v>
      </c>
      <c r="Y288" s="3" t="str">
        <f t="shared" si="17"/>
        <v/>
      </c>
      <c r="Z288" s="3" t="str">
        <f t="shared" si="18"/>
        <v/>
      </c>
      <c r="AA288" s="11" t="str">
        <f t="shared" si="19"/>
        <v/>
      </c>
    </row>
    <row r="289" spans="1:27" x14ac:dyDescent="0.35">
      <c r="A289" s="10" t="s">
        <v>1412</v>
      </c>
      <c r="F289" t="s">
        <v>1358</v>
      </c>
      <c r="K289">
        <v>1</v>
      </c>
      <c r="L289" t="str">
        <f t="shared" si="16"/>
        <v/>
      </c>
      <c r="O289" t="s">
        <v>38</v>
      </c>
      <c r="T289" s="2">
        <f>'SUPUESTOS PRECIOS'!$B$9</f>
        <v>0</v>
      </c>
      <c r="U289" s="3">
        <f>'SUPUESTOS PRECIOS'!$B$5/'SUPUESTOS PRECIOS'!$B$4</f>
        <v>1000</v>
      </c>
      <c r="V289" s="3">
        <f>('SUPUESTOS PRECIOS'!$B$6-'SUPUESTOS PRECIOS'!$B$7)/'SUPUESTOS PRECIOS'!$B$4</f>
        <v>377.5</v>
      </c>
      <c r="W289" s="4">
        <f>'SUPUESTOS PRECIOS'!$B$8</f>
        <v>9.6799999999999994E-3</v>
      </c>
      <c r="X289" s="4">
        <f>'SUPUESTOS PRECIOS'!$B$2</f>
        <v>0.4</v>
      </c>
      <c r="Y289" s="3" t="str">
        <f t="shared" si="17"/>
        <v/>
      </c>
      <c r="Z289" s="3" t="str">
        <f t="shared" si="18"/>
        <v/>
      </c>
      <c r="AA289" s="11" t="str">
        <f t="shared" si="19"/>
        <v/>
      </c>
    </row>
    <row r="290" spans="1:27" x14ac:dyDescent="0.35">
      <c r="A290" s="10" t="s">
        <v>1413</v>
      </c>
      <c r="F290" t="s">
        <v>1358</v>
      </c>
      <c r="K290">
        <v>1</v>
      </c>
      <c r="L290" t="str">
        <f t="shared" si="16"/>
        <v/>
      </c>
      <c r="O290" t="s">
        <v>38</v>
      </c>
      <c r="T290" s="2">
        <f>'SUPUESTOS PRECIOS'!$B$9</f>
        <v>0</v>
      </c>
      <c r="U290" s="3">
        <f>'SUPUESTOS PRECIOS'!$B$5/'SUPUESTOS PRECIOS'!$B$4</f>
        <v>1000</v>
      </c>
      <c r="V290" s="3">
        <f>('SUPUESTOS PRECIOS'!$B$6-'SUPUESTOS PRECIOS'!$B$7)/'SUPUESTOS PRECIOS'!$B$4</f>
        <v>377.5</v>
      </c>
      <c r="W290" s="4">
        <f>'SUPUESTOS PRECIOS'!$B$8</f>
        <v>9.6799999999999994E-3</v>
      </c>
      <c r="X290" s="4">
        <f>'SUPUESTOS PRECIOS'!$B$2</f>
        <v>0.4</v>
      </c>
      <c r="Y290" s="3" t="str">
        <f t="shared" si="17"/>
        <v/>
      </c>
      <c r="Z290" s="3" t="str">
        <f t="shared" si="18"/>
        <v/>
      </c>
      <c r="AA290" s="11" t="str">
        <f t="shared" si="19"/>
        <v/>
      </c>
    </row>
    <row r="291" spans="1:27" x14ac:dyDescent="0.35">
      <c r="A291" s="10" t="s">
        <v>1414</v>
      </c>
      <c r="F291" t="s">
        <v>1358</v>
      </c>
      <c r="K291">
        <v>1</v>
      </c>
      <c r="L291" t="str">
        <f t="shared" si="16"/>
        <v/>
      </c>
      <c r="O291" t="s">
        <v>38</v>
      </c>
      <c r="T291" s="2">
        <f>'SUPUESTOS PRECIOS'!$B$9</f>
        <v>0</v>
      </c>
      <c r="U291" s="3">
        <f>'SUPUESTOS PRECIOS'!$B$5/'SUPUESTOS PRECIOS'!$B$4</f>
        <v>1000</v>
      </c>
      <c r="V291" s="3">
        <f>('SUPUESTOS PRECIOS'!$B$6-'SUPUESTOS PRECIOS'!$B$7)/'SUPUESTOS PRECIOS'!$B$4</f>
        <v>377.5</v>
      </c>
      <c r="W291" s="4">
        <f>'SUPUESTOS PRECIOS'!$B$8</f>
        <v>9.6799999999999994E-3</v>
      </c>
      <c r="X291" s="4">
        <f>'SUPUESTOS PRECIOS'!$B$2</f>
        <v>0.4</v>
      </c>
      <c r="Y291" s="3" t="str">
        <f t="shared" si="17"/>
        <v/>
      </c>
      <c r="Z291" s="3" t="str">
        <f t="shared" si="18"/>
        <v/>
      </c>
      <c r="AA291" s="11" t="str">
        <f t="shared" si="19"/>
        <v/>
      </c>
    </row>
    <row r="292" spans="1:27" x14ac:dyDescent="0.35">
      <c r="A292" s="10" t="s">
        <v>1415</v>
      </c>
      <c r="F292" t="s">
        <v>1358</v>
      </c>
      <c r="K292">
        <v>1</v>
      </c>
      <c r="L292" t="str">
        <f t="shared" si="16"/>
        <v/>
      </c>
      <c r="O292" t="s">
        <v>38</v>
      </c>
      <c r="T292" s="2">
        <f>'SUPUESTOS PRECIOS'!$B$9</f>
        <v>0</v>
      </c>
      <c r="U292" s="3">
        <f>'SUPUESTOS PRECIOS'!$B$5/'SUPUESTOS PRECIOS'!$B$4</f>
        <v>1000</v>
      </c>
      <c r="V292" s="3">
        <f>('SUPUESTOS PRECIOS'!$B$6-'SUPUESTOS PRECIOS'!$B$7)/'SUPUESTOS PRECIOS'!$B$4</f>
        <v>377.5</v>
      </c>
      <c r="W292" s="4">
        <f>'SUPUESTOS PRECIOS'!$B$8</f>
        <v>9.6799999999999994E-3</v>
      </c>
      <c r="X292" s="4">
        <f>'SUPUESTOS PRECIOS'!$B$2</f>
        <v>0.4</v>
      </c>
      <c r="Y292" s="3" t="str">
        <f t="shared" si="17"/>
        <v/>
      </c>
      <c r="Z292" s="3" t="str">
        <f t="shared" si="18"/>
        <v/>
      </c>
      <c r="AA292" s="11" t="str">
        <f t="shared" si="19"/>
        <v/>
      </c>
    </row>
    <row r="293" spans="1:27" x14ac:dyDescent="0.35">
      <c r="A293" s="10" t="s">
        <v>1416</v>
      </c>
      <c r="F293" t="s">
        <v>1358</v>
      </c>
      <c r="K293">
        <v>1</v>
      </c>
      <c r="L293" t="str">
        <f t="shared" si="16"/>
        <v/>
      </c>
      <c r="O293" t="s">
        <v>38</v>
      </c>
      <c r="T293" s="2">
        <f>'SUPUESTOS PRECIOS'!$B$9</f>
        <v>0</v>
      </c>
      <c r="U293" s="3">
        <f>'SUPUESTOS PRECIOS'!$B$5/'SUPUESTOS PRECIOS'!$B$4</f>
        <v>1000</v>
      </c>
      <c r="V293" s="3">
        <f>('SUPUESTOS PRECIOS'!$B$6-'SUPUESTOS PRECIOS'!$B$7)/'SUPUESTOS PRECIOS'!$B$4</f>
        <v>377.5</v>
      </c>
      <c r="W293" s="4">
        <f>'SUPUESTOS PRECIOS'!$B$8</f>
        <v>9.6799999999999994E-3</v>
      </c>
      <c r="X293" s="4">
        <f>'SUPUESTOS PRECIOS'!$B$2</f>
        <v>0.4</v>
      </c>
      <c r="Y293" s="3" t="str">
        <f t="shared" si="17"/>
        <v/>
      </c>
      <c r="Z293" s="3" t="str">
        <f t="shared" si="18"/>
        <v/>
      </c>
      <c r="AA293" s="11" t="str">
        <f t="shared" si="19"/>
        <v/>
      </c>
    </row>
    <row r="294" spans="1:27" x14ac:dyDescent="0.35">
      <c r="A294" s="10" t="s">
        <v>1417</v>
      </c>
      <c r="F294" t="s">
        <v>1358</v>
      </c>
      <c r="K294">
        <v>1</v>
      </c>
      <c r="L294" t="str">
        <f t="shared" si="16"/>
        <v/>
      </c>
      <c r="O294" t="s">
        <v>38</v>
      </c>
      <c r="T294" s="2">
        <f>'SUPUESTOS PRECIOS'!$B$9</f>
        <v>0</v>
      </c>
      <c r="U294" s="3">
        <f>'SUPUESTOS PRECIOS'!$B$5/'SUPUESTOS PRECIOS'!$B$4</f>
        <v>1000</v>
      </c>
      <c r="V294" s="3">
        <f>('SUPUESTOS PRECIOS'!$B$6-'SUPUESTOS PRECIOS'!$B$7)/'SUPUESTOS PRECIOS'!$B$4</f>
        <v>377.5</v>
      </c>
      <c r="W294" s="4">
        <f>'SUPUESTOS PRECIOS'!$B$8</f>
        <v>9.6799999999999994E-3</v>
      </c>
      <c r="X294" s="4">
        <f>'SUPUESTOS PRECIOS'!$B$2</f>
        <v>0.4</v>
      </c>
      <c r="Y294" s="3" t="str">
        <f t="shared" si="17"/>
        <v/>
      </c>
      <c r="Z294" s="3" t="str">
        <f t="shared" si="18"/>
        <v/>
      </c>
      <c r="AA294" s="11" t="str">
        <f t="shared" si="19"/>
        <v/>
      </c>
    </row>
    <row r="295" spans="1:27" x14ac:dyDescent="0.35">
      <c r="A295" s="10" t="s">
        <v>1418</v>
      </c>
      <c r="F295" t="s">
        <v>1358</v>
      </c>
      <c r="K295">
        <v>1</v>
      </c>
      <c r="L295" t="str">
        <f t="shared" si="16"/>
        <v/>
      </c>
      <c r="O295" t="s">
        <v>38</v>
      </c>
      <c r="T295" s="2">
        <f>'SUPUESTOS PRECIOS'!$B$9</f>
        <v>0</v>
      </c>
      <c r="U295" s="3">
        <f>'SUPUESTOS PRECIOS'!$B$5/'SUPUESTOS PRECIOS'!$B$4</f>
        <v>1000</v>
      </c>
      <c r="V295" s="3">
        <f>('SUPUESTOS PRECIOS'!$B$6-'SUPUESTOS PRECIOS'!$B$7)/'SUPUESTOS PRECIOS'!$B$4</f>
        <v>377.5</v>
      </c>
      <c r="W295" s="4">
        <f>'SUPUESTOS PRECIOS'!$B$8</f>
        <v>9.6799999999999994E-3</v>
      </c>
      <c r="X295" s="4">
        <f>'SUPUESTOS PRECIOS'!$B$2</f>
        <v>0.4</v>
      </c>
      <c r="Y295" s="3" t="str">
        <f t="shared" si="17"/>
        <v/>
      </c>
      <c r="Z295" s="3" t="str">
        <f t="shared" si="18"/>
        <v/>
      </c>
      <c r="AA295" s="11" t="str">
        <f t="shared" si="19"/>
        <v/>
      </c>
    </row>
    <row r="296" spans="1:27" x14ac:dyDescent="0.35">
      <c r="A296" s="10" t="s">
        <v>1419</v>
      </c>
      <c r="F296" t="s">
        <v>1358</v>
      </c>
      <c r="K296">
        <v>1</v>
      </c>
      <c r="L296" t="str">
        <f t="shared" si="16"/>
        <v/>
      </c>
      <c r="O296" t="s">
        <v>38</v>
      </c>
      <c r="T296" s="2">
        <f>'SUPUESTOS PRECIOS'!$B$9</f>
        <v>0</v>
      </c>
      <c r="U296" s="3">
        <f>'SUPUESTOS PRECIOS'!$B$5/'SUPUESTOS PRECIOS'!$B$4</f>
        <v>1000</v>
      </c>
      <c r="V296" s="3">
        <f>('SUPUESTOS PRECIOS'!$B$6-'SUPUESTOS PRECIOS'!$B$7)/'SUPUESTOS PRECIOS'!$B$4</f>
        <v>377.5</v>
      </c>
      <c r="W296" s="4">
        <f>'SUPUESTOS PRECIOS'!$B$8</f>
        <v>9.6799999999999994E-3</v>
      </c>
      <c r="X296" s="4">
        <f>'SUPUESTOS PRECIOS'!$B$2</f>
        <v>0.4</v>
      </c>
      <c r="Y296" s="3" t="str">
        <f t="shared" si="17"/>
        <v/>
      </c>
      <c r="Z296" s="3" t="str">
        <f t="shared" si="18"/>
        <v/>
      </c>
      <c r="AA296" s="11" t="str">
        <f t="shared" si="19"/>
        <v/>
      </c>
    </row>
    <row r="297" spans="1:27" x14ac:dyDescent="0.35">
      <c r="A297" s="10" t="s">
        <v>1420</v>
      </c>
      <c r="F297" t="s">
        <v>1358</v>
      </c>
      <c r="K297">
        <v>1</v>
      </c>
      <c r="L297" t="str">
        <f t="shared" si="16"/>
        <v/>
      </c>
      <c r="O297" t="s">
        <v>38</v>
      </c>
      <c r="T297" s="2">
        <f>'SUPUESTOS PRECIOS'!$B$9</f>
        <v>0</v>
      </c>
      <c r="U297" s="3">
        <f>'SUPUESTOS PRECIOS'!$B$5/'SUPUESTOS PRECIOS'!$B$4</f>
        <v>1000</v>
      </c>
      <c r="V297" s="3">
        <f>('SUPUESTOS PRECIOS'!$B$6-'SUPUESTOS PRECIOS'!$B$7)/'SUPUESTOS PRECIOS'!$B$4</f>
        <v>377.5</v>
      </c>
      <c r="W297" s="4">
        <f>'SUPUESTOS PRECIOS'!$B$8</f>
        <v>9.6799999999999994E-3</v>
      </c>
      <c r="X297" s="4">
        <f>'SUPUESTOS PRECIOS'!$B$2</f>
        <v>0.4</v>
      </c>
      <c r="Y297" s="3" t="str">
        <f t="shared" si="17"/>
        <v/>
      </c>
      <c r="Z297" s="3" t="str">
        <f t="shared" si="18"/>
        <v/>
      </c>
      <c r="AA297" s="11" t="str">
        <f t="shared" si="19"/>
        <v/>
      </c>
    </row>
    <row r="298" spans="1:27" x14ac:dyDescent="0.35">
      <c r="A298" s="10" t="s">
        <v>1421</v>
      </c>
      <c r="F298" t="s">
        <v>1358</v>
      </c>
      <c r="K298">
        <v>1</v>
      </c>
      <c r="L298" t="str">
        <f t="shared" si="16"/>
        <v/>
      </c>
      <c r="O298" t="s">
        <v>38</v>
      </c>
      <c r="T298" s="2">
        <f>'SUPUESTOS PRECIOS'!$B$9</f>
        <v>0</v>
      </c>
      <c r="U298" s="3">
        <f>'SUPUESTOS PRECIOS'!$B$5/'SUPUESTOS PRECIOS'!$B$4</f>
        <v>1000</v>
      </c>
      <c r="V298" s="3">
        <f>('SUPUESTOS PRECIOS'!$B$6-'SUPUESTOS PRECIOS'!$B$7)/'SUPUESTOS PRECIOS'!$B$4</f>
        <v>377.5</v>
      </c>
      <c r="W298" s="4">
        <f>'SUPUESTOS PRECIOS'!$B$8</f>
        <v>9.6799999999999994E-3</v>
      </c>
      <c r="X298" s="4">
        <f>'SUPUESTOS PRECIOS'!$B$2</f>
        <v>0.4</v>
      </c>
      <c r="Y298" s="3" t="str">
        <f t="shared" si="17"/>
        <v/>
      </c>
      <c r="Z298" s="3" t="str">
        <f t="shared" si="18"/>
        <v/>
      </c>
      <c r="AA298" s="11" t="str">
        <f t="shared" si="19"/>
        <v/>
      </c>
    </row>
    <row r="299" spans="1:27" x14ac:dyDescent="0.35">
      <c r="A299" s="10" t="s">
        <v>1422</v>
      </c>
      <c r="F299" t="s">
        <v>1358</v>
      </c>
      <c r="K299">
        <v>1</v>
      </c>
      <c r="L299" t="str">
        <f t="shared" si="16"/>
        <v/>
      </c>
      <c r="O299" t="s">
        <v>38</v>
      </c>
      <c r="T299" s="2">
        <f>'SUPUESTOS PRECIOS'!$B$9</f>
        <v>0</v>
      </c>
      <c r="U299" s="3">
        <f>'SUPUESTOS PRECIOS'!$B$5/'SUPUESTOS PRECIOS'!$B$4</f>
        <v>1000</v>
      </c>
      <c r="V299" s="3">
        <f>('SUPUESTOS PRECIOS'!$B$6-'SUPUESTOS PRECIOS'!$B$7)/'SUPUESTOS PRECIOS'!$B$4</f>
        <v>377.5</v>
      </c>
      <c r="W299" s="4">
        <f>'SUPUESTOS PRECIOS'!$B$8</f>
        <v>9.6799999999999994E-3</v>
      </c>
      <c r="X299" s="4">
        <f>'SUPUESTOS PRECIOS'!$B$2</f>
        <v>0.4</v>
      </c>
      <c r="Y299" s="3" t="str">
        <f t="shared" si="17"/>
        <v/>
      </c>
      <c r="Z299" s="3" t="str">
        <f t="shared" si="18"/>
        <v/>
      </c>
      <c r="AA299" s="11" t="str">
        <f t="shared" si="19"/>
        <v/>
      </c>
    </row>
    <row r="300" spans="1:27" x14ac:dyDescent="0.35">
      <c r="A300" s="10" t="s">
        <v>1423</v>
      </c>
      <c r="F300" t="s">
        <v>1358</v>
      </c>
      <c r="K300">
        <v>1</v>
      </c>
      <c r="L300" t="str">
        <f t="shared" si="16"/>
        <v/>
      </c>
      <c r="O300" t="s">
        <v>38</v>
      </c>
      <c r="T300" s="2">
        <f>'SUPUESTOS PRECIOS'!$B$9</f>
        <v>0</v>
      </c>
      <c r="U300" s="3">
        <f>'SUPUESTOS PRECIOS'!$B$5/'SUPUESTOS PRECIOS'!$B$4</f>
        <v>1000</v>
      </c>
      <c r="V300" s="3">
        <f>('SUPUESTOS PRECIOS'!$B$6-'SUPUESTOS PRECIOS'!$B$7)/'SUPUESTOS PRECIOS'!$B$4</f>
        <v>377.5</v>
      </c>
      <c r="W300" s="4">
        <f>'SUPUESTOS PRECIOS'!$B$8</f>
        <v>9.6799999999999994E-3</v>
      </c>
      <c r="X300" s="4">
        <f>'SUPUESTOS PRECIOS'!$B$2</f>
        <v>0.4</v>
      </c>
      <c r="Y300" s="3" t="str">
        <f t="shared" si="17"/>
        <v/>
      </c>
      <c r="Z300" s="3" t="str">
        <f t="shared" si="18"/>
        <v/>
      </c>
      <c r="AA300" s="11" t="str">
        <f t="shared" si="19"/>
        <v/>
      </c>
    </row>
    <row r="301" spans="1:27" x14ac:dyDescent="0.35">
      <c r="A301" s="10" t="s">
        <v>1424</v>
      </c>
      <c r="F301" t="s">
        <v>1358</v>
      </c>
      <c r="K301">
        <v>1</v>
      </c>
      <c r="L301" t="str">
        <f t="shared" si="16"/>
        <v/>
      </c>
      <c r="O301" t="s">
        <v>38</v>
      </c>
      <c r="T301" s="2">
        <f>'SUPUESTOS PRECIOS'!$B$9</f>
        <v>0</v>
      </c>
      <c r="U301" s="3">
        <f>'SUPUESTOS PRECIOS'!$B$5/'SUPUESTOS PRECIOS'!$B$4</f>
        <v>1000</v>
      </c>
      <c r="V301" s="3">
        <f>('SUPUESTOS PRECIOS'!$B$6-'SUPUESTOS PRECIOS'!$B$7)/'SUPUESTOS PRECIOS'!$B$4</f>
        <v>377.5</v>
      </c>
      <c r="W301" s="4">
        <f>'SUPUESTOS PRECIOS'!$B$8</f>
        <v>9.6799999999999994E-3</v>
      </c>
      <c r="X301" s="4">
        <f>'SUPUESTOS PRECIOS'!$B$2</f>
        <v>0.4</v>
      </c>
      <c r="Y301" s="3" t="str">
        <f t="shared" si="17"/>
        <v/>
      </c>
      <c r="Z301" s="3" t="str">
        <f t="shared" si="18"/>
        <v/>
      </c>
      <c r="AA301" s="11" t="str">
        <f t="shared" si="19"/>
        <v/>
      </c>
    </row>
    <row r="302" spans="1:27" x14ac:dyDescent="0.35">
      <c r="A302" s="10" t="s">
        <v>1425</v>
      </c>
      <c r="F302" t="s">
        <v>1358</v>
      </c>
      <c r="K302">
        <v>1</v>
      </c>
      <c r="L302" t="str">
        <f t="shared" si="16"/>
        <v/>
      </c>
      <c r="O302" t="s">
        <v>38</v>
      </c>
      <c r="T302" s="2">
        <f>'SUPUESTOS PRECIOS'!$B$9</f>
        <v>0</v>
      </c>
      <c r="U302" s="3">
        <f>'SUPUESTOS PRECIOS'!$B$5/'SUPUESTOS PRECIOS'!$B$4</f>
        <v>1000</v>
      </c>
      <c r="V302" s="3">
        <f>('SUPUESTOS PRECIOS'!$B$6-'SUPUESTOS PRECIOS'!$B$7)/'SUPUESTOS PRECIOS'!$B$4</f>
        <v>377.5</v>
      </c>
      <c r="W302" s="4">
        <f>'SUPUESTOS PRECIOS'!$B$8</f>
        <v>9.6799999999999994E-3</v>
      </c>
      <c r="X302" s="4">
        <f>'SUPUESTOS PRECIOS'!$B$2</f>
        <v>0.4</v>
      </c>
      <c r="Y302" s="3" t="str">
        <f t="shared" si="17"/>
        <v/>
      </c>
      <c r="Z302" s="3" t="str">
        <f t="shared" si="18"/>
        <v/>
      </c>
      <c r="AA302" s="11" t="str">
        <f t="shared" si="19"/>
        <v/>
      </c>
    </row>
    <row r="303" spans="1:27" x14ac:dyDescent="0.35">
      <c r="A303" s="10" t="s">
        <v>1426</v>
      </c>
      <c r="F303" t="s">
        <v>1358</v>
      </c>
      <c r="K303">
        <v>1</v>
      </c>
      <c r="L303" t="str">
        <f t="shared" si="16"/>
        <v/>
      </c>
      <c r="O303" t="s">
        <v>38</v>
      </c>
      <c r="T303" s="2">
        <f>'SUPUESTOS PRECIOS'!$B$9</f>
        <v>0</v>
      </c>
      <c r="U303" s="3">
        <f>'SUPUESTOS PRECIOS'!$B$5/'SUPUESTOS PRECIOS'!$B$4</f>
        <v>1000</v>
      </c>
      <c r="V303" s="3">
        <f>('SUPUESTOS PRECIOS'!$B$6-'SUPUESTOS PRECIOS'!$B$7)/'SUPUESTOS PRECIOS'!$B$4</f>
        <v>377.5</v>
      </c>
      <c r="W303" s="4">
        <f>'SUPUESTOS PRECIOS'!$B$8</f>
        <v>9.6799999999999994E-3</v>
      </c>
      <c r="X303" s="4">
        <f>'SUPUESTOS PRECIOS'!$B$2</f>
        <v>0.4</v>
      </c>
      <c r="Y303" s="3" t="str">
        <f t="shared" si="17"/>
        <v/>
      </c>
      <c r="Z303" s="3" t="str">
        <f t="shared" si="18"/>
        <v/>
      </c>
      <c r="AA303" s="11" t="str">
        <f t="shared" si="19"/>
        <v/>
      </c>
    </row>
    <row r="304" spans="1:27" x14ac:dyDescent="0.35">
      <c r="A304" s="10" t="s">
        <v>1427</v>
      </c>
      <c r="F304" t="s">
        <v>1358</v>
      </c>
      <c r="K304">
        <v>1</v>
      </c>
      <c r="L304" t="str">
        <f t="shared" si="16"/>
        <v/>
      </c>
      <c r="O304" t="s">
        <v>38</v>
      </c>
      <c r="T304" s="2">
        <f>'SUPUESTOS PRECIOS'!$B$9</f>
        <v>0</v>
      </c>
      <c r="U304" s="3">
        <f>'SUPUESTOS PRECIOS'!$B$5/'SUPUESTOS PRECIOS'!$B$4</f>
        <v>1000</v>
      </c>
      <c r="V304" s="3">
        <f>('SUPUESTOS PRECIOS'!$B$6-'SUPUESTOS PRECIOS'!$B$7)/'SUPUESTOS PRECIOS'!$B$4</f>
        <v>377.5</v>
      </c>
      <c r="W304" s="4">
        <f>'SUPUESTOS PRECIOS'!$B$8</f>
        <v>9.6799999999999994E-3</v>
      </c>
      <c r="X304" s="4">
        <f>'SUPUESTOS PRECIOS'!$B$2</f>
        <v>0.4</v>
      </c>
      <c r="Y304" s="3" t="str">
        <f t="shared" si="17"/>
        <v/>
      </c>
      <c r="Z304" s="3" t="str">
        <f t="shared" si="18"/>
        <v/>
      </c>
      <c r="AA304" s="11" t="str">
        <f t="shared" si="19"/>
        <v/>
      </c>
    </row>
    <row r="305" spans="1:27" x14ac:dyDescent="0.35">
      <c r="A305" s="10" t="s">
        <v>1428</v>
      </c>
      <c r="F305" t="s">
        <v>1358</v>
      </c>
      <c r="K305">
        <v>1</v>
      </c>
      <c r="L305" t="str">
        <f t="shared" si="16"/>
        <v/>
      </c>
      <c r="O305" t="s">
        <v>38</v>
      </c>
      <c r="T305" s="2">
        <f>'SUPUESTOS PRECIOS'!$B$9</f>
        <v>0</v>
      </c>
      <c r="U305" s="3">
        <f>'SUPUESTOS PRECIOS'!$B$5/'SUPUESTOS PRECIOS'!$B$4</f>
        <v>1000</v>
      </c>
      <c r="V305" s="3">
        <f>('SUPUESTOS PRECIOS'!$B$6-'SUPUESTOS PRECIOS'!$B$7)/'SUPUESTOS PRECIOS'!$B$4</f>
        <v>377.5</v>
      </c>
      <c r="W305" s="4">
        <f>'SUPUESTOS PRECIOS'!$B$8</f>
        <v>9.6799999999999994E-3</v>
      </c>
      <c r="X305" s="4">
        <f>'SUPUESTOS PRECIOS'!$B$2</f>
        <v>0.4</v>
      </c>
      <c r="Y305" s="3" t="str">
        <f t="shared" si="17"/>
        <v/>
      </c>
      <c r="Z305" s="3" t="str">
        <f t="shared" si="18"/>
        <v/>
      </c>
      <c r="AA305" s="11" t="str">
        <f t="shared" si="19"/>
        <v/>
      </c>
    </row>
    <row r="306" spans="1:27" x14ac:dyDescent="0.35">
      <c r="A306" s="10" t="s">
        <v>1429</v>
      </c>
      <c r="F306" t="s">
        <v>1358</v>
      </c>
      <c r="K306">
        <v>1</v>
      </c>
      <c r="L306" t="str">
        <f t="shared" si="16"/>
        <v/>
      </c>
      <c r="O306" t="s">
        <v>38</v>
      </c>
      <c r="T306" s="2">
        <f>'SUPUESTOS PRECIOS'!$B$9</f>
        <v>0</v>
      </c>
      <c r="U306" s="3">
        <f>'SUPUESTOS PRECIOS'!$B$5/'SUPUESTOS PRECIOS'!$B$4</f>
        <v>1000</v>
      </c>
      <c r="V306" s="3">
        <f>('SUPUESTOS PRECIOS'!$B$6-'SUPUESTOS PRECIOS'!$B$7)/'SUPUESTOS PRECIOS'!$B$4</f>
        <v>377.5</v>
      </c>
      <c r="W306" s="4">
        <f>'SUPUESTOS PRECIOS'!$B$8</f>
        <v>9.6799999999999994E-3</v>
      </c>
      <c r="X306" s="4">
        <f>'SUPUESTOS PRECIOS'!$B$2</f>
        <v>0.4</v>
      </c>
      <c r="Y306" s="3" t="str">
        <f t="shared" si="17"/>
        <v/>
      </c>
      <c r="Z306" s="3" t="str">
        <f t="shared" si="18"/>
        <v/>
      </c>
      <c r="AA306" s="11" t="str">
        <f t="shared" si="19"/>
        <v/>
      </c>
    </row>
    <row r="307" spans="1:27" x14ac:dyDescent="0.35">
      <c r="A307" s="10" t="s">
        <v>1430</v>
      </c>
      <c r="F307" t="s">
        <v>1358</v>
      </c>
      <c r="K307">
        <v>1</v>
      </c>
      <c r="L307" t="str">
        <f t="shared" si="16"/>
        <v/>
      </c>
      <c r="O307" t="s">
        <v>38</v>
      </c>
      <c r="T307" s="2">
        <f>'SUPUESTOS PRECIOS'!$B$9</f>
        <v>0</v>
      </c>
      <c r="U307" s="3">
        <f>'SUPUESTOS PRECIOS'!$B$5/'SUPUESTOS PRECIOS'!$B$4</f>
        <v>1000</v>
      </c>
      <c r="V307" s="3">
        <f>('SUPUESTOS PRECIOS'!$B$6-'SUPUESTOS PRECIOS'!$B$7)/'SUPUESTOS PRECIOS'!$B$4</f>
        <v>377.5</v>
      </c>
      <c r="W307" s="4">
        <f>'SUPUESTOS PRECIOS'!$B$8</f>
        <v>9.6799999999999994E-3</v>
      </c>
      <c r="X307" s="4">
        <f>'SUPUESTOS PRECIOS'!$B$2</f>
        <v>0.4</v>
      </c>
      <c r="Y307" s="3" t="str">
        <f t="shared" si="17"/>
        <v/>
      </c>
      <c r="Z307" s="3" t="str">
        <f t="shared" si="18"/>
        <v/>
      </c>
      <c r="AA307" s="11" t="str">
        <f t="shared" si="19"/>
        <v/>
      </c>
    </row>
    <row r="308" spans="1:27" x14ac:dyDescent="0.35">
      <c r="A308" s="10" t="s">
        <v>1431</v>
      </c>
      <c r="F308" t="s">
        <v>1358</v>
      </c>
      <c r="K308">
        <v>1</v>
      </c>
      <c r="L308" t="str">
        <f t="shared" si="16"/>
        <v/>
      </c>
      <c r="O308" t="s">
        <v>38</v>
      </c>
      <c r="T308" s="2">
        <f>'SUPUESTOS PRECIOS'!$B$9</f>
        <v>0</v>
      </c>
      <c r="U308" s="3">
        <f>'SUPUESTOS PRECIOS'!$B$5/'SUPUESTOS PRECIOS'!$B$4</f>
        <v>1000</v>
      </c>
      <c r="V308" s="3">
        <f>('SUPUESTOS PRECIOS'!$B$6-'SUPUESTOS PRECIOS'!$B$7)/'SUPUESTOS PRECIOS'!$B$4</f>
        <v>377.5</v>
      </c>
      <c r="W308" s="4">
        <f>'SUPUESTOS PRECIOS'!$B$8</f>
        <v>9.6799999999999994E-3</v>
      </c>
      <c r="X308" s="4">
        <f>'SUPUESTOS PRECIOS'!$B$2</f>
        <v>0.4</v>
      </c>
      <c r="Y308" s="3" t="str">
        <f t="shared" si="17"/>
        <v/>
      </c>
      <c r="Z308" s="3" t="str">
        <f t="shared" si="18"/>
        <v/>
      </c>
      <c r="AA308" s="11" t="str">
        <f t="shared" si="19"/>
        <v/>
      </c>
    </row>
    <row r="309" spans="1:27" x14ac:dyDescent="0.35">
      <c r="A309" s="10" t="s">
        <v>1432</v>
      </c>
      <c r="F309" t="s">
        <v>1358</v>
      </c>
      <c r="K309">
        <v>1</v>
      </c>
      <c r="L309" t="str">
        <f t="shared" si="16"/>
        <v/>
      </c>
      <c r="O309" t="s">
        <v>38</v>
      </c>
      <c r="T309" s="2">
        <f>'SUPUESTOS PRECIOS'!$B$9</f>
        <v>0</v>
      </c>
      <c r="U309" s="3">
        <f>'SUPUESTOS PRECIOS'!$B$5/'SUPUESTOS PRECIOS'!$B$4</f>
        <v>1000</v>
      </c>
      <c r="V309" s="3">
        <f>('SUPUESTOS PRECIOS'!$B$6-'SUPUESTOS PRECIOS'!$B$7)/'SUPUESTOS PRECIOS'!$B$4</f>
        <v>377.5</v>
      </c>
      <c r="W309" s="4">
        <f>'SUPUESTOS PRECIOS'!$B$8</f>
        <v>9.6799999999999994E-3</v>
      </c>
      <c r="X309" s="4">
        <f>'SUPUESTOS PRECIOS'!$B$2</f>
        <v>0.4</v>
      </c>
      <c r="Y309" s="3" t="str">
        <f t="shared" si="17"/>
        <v/>
      </c>
      <c r="Z309" s="3" t="str">
        <f t="shared" si="18"/>
        <v/>
      </c>
      <c r="AA309" s="11" t="str">
        <f t="shared" si="19"/>
        <v/>
      </c>
    </row>
    <row r="310" spans="1:27" x14ac:dyDescent="0.35">
      <c r="A310" s="10" t="s">
        <v>1433</v>
      </c>
      <c r="F310" t="s">
        <v>1358</v>
      </c>
      <c r="K310">
        <v>1</v>
      </c>
      <c r="L310" t="str">
        <f t="shared" si="16"/>
        <v/>
      </c>
      <c r="O310" t="s">
        <v>38</v>
      </c>
      <c r="T310" s="2">
        <f>'SUPUESTOS PRECIOS'!$B$9</f>
        <v>0</v>
      </c>
      <c r="U310" s="3">
        <f>'SUPUESTOS PRECIOS'!$B$5/'SUPUESTOS PRECIOS'!$B$4</f>
        <v>1000</v>
      </c>
      <c r="V310" s="3">
        <f>('SUPUESTOS PRECIOS'!$B$6-'SUPUESTOS PRECIOS'!$B$7)/'SUPUESTOS PRECIOS'!$B$4</f>
        <v>377.5</v>
      </c>
      <c r="W310" s="4">
        <f>'SUPUESTOS PRECIOS'!$B$8</f>
        <v>9.6799999999999994E-3</v>
      </c>
      <c r="X310" s="4">
        <f>'SUPUESTOS PRECIOS'!$B$2</f>
        <v>0.4</v>
      </c>
      <c r="Y310" s="3" t="str">
        <f t="shared" si="17"/>
        <v/>
      </c>
      <c r="Z310" s="3" t="str">
        <f t="shared" si="18"/>
        <v/>
      </c>
      <c r="AA310" s="11" t="str">
        <f t="shared" si="19"/>
        <v/>
      </c>
    </row>
    <row r="311" spans="1:27" x14ac:dyDescent="0.35">
      <c r="A311" s="10" t="s">
        <v>1434</v>
      </c>
      <c r="F311" t="s">
        <v>1358</v>
      </c>
      <c r="K311">
        <v>1</v>
      </c>
      <c r="L311" t="str">
        <f t="shared" si="16"/>
        <v/>
      </c>
      <c r="O311" t="s">
        <v>38</v>
      </c>
      <c r="T311" s="2">
        <f>'SUPUESTOS PRECIOS'!$B$9</f>
        <v>0</v>
      </c>
      <c r="U311" s="3">
        <f>'SUPUESTOS PRECIOS'!$B$5/'SUPUESTOS PRECIOS'!$B$4</f>
        <v>1000</v>
      </c>
      <c r="V311" s="3">
        <f>('SUPUESTOS PRECIOS'!$B$6-'SUPUESTOS PRECIOS'!$B$7)/'SUPUESTOS PRECIOS'!$B$4</f>
        <v>377.5</v>
      </c>
      <c r="W311" s="4">
        <f>'SUPUESTOS PRECIOS'!$B$8</f>
        <v>9.6799999999999994E-3</v>
      </c>
      <c r="X311" s="4">
        <f>'SUPUESTOS PRECIOS'!$B$2</f>
        <v>0.4</v>
      </c>
      <c r="Y311" s="3" t="str">
        <f t="shared" si="17"/>
        <v/>
      </c>
      <c r="Z311" s="3" t="str">
        <f t="shared" si="18"/>
        <v/>
      </c>
      <c r="AA311" s="11" t="str">
        <f t="shared" si="19"/>
        <v/>
      </c>
    </row>
    <row r="312" spans="1:27" x14ac:dyDescent="0.35">
      <c r="A312" s="10" t="s">
        <v>1435</v>
      </c>
      <c r="F312" t="s">
        <v>1358</v>
      </c>
      <c r="K312">
        <v>1</v>
      </c>
      <c r="L312" t="str">
        <f t="shared" si="16"/>
        <v/>
      </c>
      <c r="O312" t="s">
        <v>38</v>
      </c>
      <c r="T312" s="2">
        <f>'SUPUESTOS PRECIOS'!$B$9</f>
        <v>0</v>
      </c>
      <c r="U312" s="3">
        <f>'SUPUESTOS PRECIOS'!$B$5/'SUPUESTOS PRECIOS'!$B$4</f>
        <v>1000</v>
      </c>
      <c r="V312" s="3">
        <f>('SUPUESTOS PRECIOS'!$B$6-'SUPUESTOS PRECIOS'!$B$7)/'SUPUESTOS PRECIOS'!$B$4</f>
        <v>377.5</v>
      </c>
      <c r="W312" s="4">
        <f>'SUPUESTOS PRECIOS'!$B$8</f>
        <v>9.6799999999999994E-3</v>
      </c>
      <c r="X312" s="4">
        <f>'SUPUESTOS PRECIOS'!$B$2</f>
        <v>0.4</v>
      </c>
      <c r="Y312" s="3" t="str">
        <f t="shared" si="17"/>
        <v/>
      </c>
      <c r="Z312" s="3" t="str">
        <f t="shared" si="18"/>
        <v/>
      </c>
      <c r="AA312" s="11" t="str">
        <f t="shared" si="19"/>
        <v/>
      </c>
    </row>
    <row r="313" spans="1:27" x14ac:dyDescent="0.35">
      <c r="A313" s="10" t="s">
        <v>1436</v>
      </c>
      <c r="F313" t="s">
        <v>1358</v>
      </c>
      <c r="K313">
        <v>1</v>
      </c>
      <c r="L313" t="str">
        <f t="shared" si="16"/>
        <v/>
      </c>
      <c r="O313" t="s">
        <v>38</v>
      </c>
      <c r="T313" s="2">
        <f>'SUPUESTOS PRECIOS'!$B$9</f>
        <v>0</v>
      </c>
      <c r="U313" s="3">
        <f>'SUPUESTOS PRECIOS'!$B$5/'SUPUESTOS PRECIOS'!$B$4</f>
        <v>1000</v>
      </c>
      <c r="V313" s="3">
        <f>('SUPUESTOS PRECIOS'!$B$6-'SUPUESTOS PRECIOS'!$B$7)/'SUPUESTOS PRECIOS'!$B$4</f>
        <v>377.5</v>
      </c>
      <c r="W313" s="4">
        <f>'SUPUESTOS PRECIOS'!$B$8</f>
        <v>9.6799999999999994E-3</v>
      </c>
      <c r="X313" s="4">
        <f>'SUPUESTOS PRECIOS'!$B$2</f>
        <v>0.4</v>
      </c>
      <c r="Y313" s="3" t="str">
        <f t="shared" si="17"/>
        <v/>
      </c>
      <c r="Z313" s="3" t="str">
        <f t="shared" si="18"/>
        <v/>
      </c>
      <c r="AA313" s="11" t="str">
        <f t="shared" si="19"/>
        <v/>
      </c>
    </row>
    <row r="314" spans="1:27" x14ac:dyDescent="0.35">
      <c r="A314" s="10" t="s">
        <v>1437</v>
      </c>
      <c r="F314" t="s">
        <v>1358</v>
      </c>
      <c r="K314">
        <v>1</v>
      </c>
      <c r="L314" t="str">
        <f t="shared" si="16"/>
        <v/>
      </c>
      <c r="O314" t="s">
        <v>38</v>
      </c>
      <c r="T314" s="2">
        <f>'SUPUESTOS PRECIOS'!$B$9</f>
        <v>0</v>
      </c>
      <c r="U314" s="3">
        <f>'SUPUESTOS PRECIOS'!$B$5/'SUPUESTOS PRECIOS'!$B$4</f>
        <v>1000</v>
      </c>
      <c r="V314" s="3">
        <f>('SUPUESTOS PRECIOS'!$B$6-'SUPUESTOS PRECIOS'!$B$7)/'SUPUESTOS PRECIOS'!$B$4</f>
        <v>377.5</v>
      </c>
      <c r="W314" s="4">
        <f>'SUPUESTOS PRECIOS'!$B$8</f>
        <v>9.6799999999999994E-3</v>
      </c>
      <c r="X314" s="4">
        <f>'SUPUESTOS PRECIOS'!$B$2</f>
        <v>0.4</v>
      </c>
      <c r="Y314" s="3" t="str">
        <f t="shared" si="17"/>
        <v/>
      </c>
      <c r="Z314" s="3" t="str">
        <f t="shared" si="18"/>
        <v/>
      </c>
      <c r="AA314" s="11" t="str">
        <f t="shared" si="19"/>
        <v/>
      </c>
    </row>
    <row r="315" spans="1:27" x14ac:dyDescent="0.35">
      <c r="A315" s="10" t="s">
        <v>1438</v>
      </c>
      <c r="F315" t="s">
        <v>1358</v>
      </c>
      <c r="K315">
        <v>1</v>
      </c>
      <c r="L315" t="str">
        <f t="shared" si="16"/>
        <v/>
      </c>
      <c r="O315" t="s">
        <v>38</v>
      </c>
      <c r="T315" s="2">
        <f>'SUPUESTOS PRECIOS'!$B$9</f>
        <v>0</v>
      </c>
      <c r="U315" s="3">
        <f>'SUPUESTOS PRECIOS'!$B$5/'SUPUESTOS PRECIOS'!$B$4</f>
        <v>1000</v>
      </c>
      <c r="V315" s="3">
        <f>('SUPUESTOS PRECIOS'!$B$6-'SUPUESTOS PRECIOS'!$B$7)/'SUPUESTOS PRECIOS'!$B$4</f>
        <v>377.5</v>
      </c>
      <c r="W315" s="4">
        <f>'SUPUESTOS PRECIOS'!$B$8</f>
        <v>9.6799999999999994E-3</v>
      </c>
      <c r="X315" s="4">
        <f>'SUPUESTOS PRECIOS'!$B$2</f>
        <v>0.4</v>
      </c>
      <c r="Y315" s="3" t="str">
        <f t="shared" si="17"/>
        <v/>
      </c>
      <c r="Z315" s="3" t="str">
        <f t="shared" si="18"/>
        <v/>
      </c>
      <c r="AA315" s="11" t="str">
        <f t="shared" si="19"/>
        <v/>
      </c>
    </row>
    <row r="316" spans="1:27" x14ac:dyDescent="0.35">
      <c r="A316" s="10" t="s">
        <v>1439</v>
      </c>
      <c r="F316" t="s">
        <v>1358</v>
      </c>
      <c r="K316">
        <v>1</v>
      </c>
      <c r="L316" t="str">
        <f t="shared" si="16"/>
        <v/>
      </c>
      <c r="O316" t="s">
        <v>38</v>
      </c>
      <c r="T316" s="2">
        <f>'SUPUESTOS PRECIOS'!$B$9</f>
        <v>0</v>
      </c>
      <c r="U316" s="3">
        <f>'SUPUESTOS PRECIOS'!$B$5/'SUPUESTOS PRECIOS'!$B$4</f>
        <v>1000</v>
      </c>
      <c r="V316" s="3">
        <f>('SUPUESTOS PRECIOS'!$B$6-'SUPUESTOS PRECIOS'!$B$7)/'SUPUESTOS PRECIOS'!$B$4</f>
        <v>377.5</v>
      </c>
      <c r="W316" s="4">
        <f>'SUPUESTOS PRECIOS'!$B$8</f>
        <v>9.6799999999999994E-3</v>
      </c>
      <c r="X316" s="4">
        <f>'SUPUESTOS PRECIOS'!$B$2</f>
        <v>0.4</v>
      </c>
      <c r="Y316" s="3" t="str">
        <f t="shared" si="17"/>
        <v/>
      </c>
      <c r="Z316" s="3" t="str">
        <f t="shared" si="18"/>
        <v/>
      </c>
      <c r="AA316" s="11" t="str">
        <f t="shared" si="19"/>
        <v/>
      </c>
    </row>
    <row r="317" spans="1:27" x14ac:dyDescent="0.35">
      <c r="A317" s="10" t="s">
        <v>1440</v>
      </c>
      <c r="F317" t="s">
        <v>1358</v>
      </c>
      <c r="K317">
        <v>1</v>
      </c>
      <c r="L317" t="str">
        <f t="shared" si="16"/>
        <v/>
      </c>
      <c r="O317" t="s">
        <v>38</v>
      </c>
      <c r="T317" s="2">
        <f>'SUPUESTOS PRECIOS'!$B$9</f>
        <v>0</v>
      </c>
      <c r="U317" s="3">
        <f>'SUPUESTOS PRECIOS'!$B$5/'SUPUESTOS PRECIOS'!$B$4</f>
        <v>1000</v>
      </c>
      <c r="V317" s="3">
        <f>('SUPUESTOS PRECIOS'!$B$6-'SUPUESTOS PRECIOS'!$B$7)/'SUPUESTOS PRECIOS'!$B$4</f>
        <v>377.5</v>
      </c>
      <c r="W317" s="4">
        <f>'SUPUESTOS PRECIOS'!$B$8</f>
        <v>9.6799999999999994E-3</v>
      </c>
      <c r="X317" s="4">
        <f>'SUPUESTOS PRECIOS'!$B$2</f>
        <v>0.4</v>
      </c>
      <c r="Y317" s="3" t="str">
        <f t="shared" si="17"/>
        <v/>
      </c>
      <c r="Z317" s="3" t="str">
        <f t="shared" si="18"/>
        <v/>
      </c>
      <c r="AA317" s="11" t="str">
        <f t="shared" si="19"/>
        <v/>
      </c>
    </row>
    <row r="318" spans="1:27" x14ac:dyDescent="0.35">
      <c r="A318" s="10" t="s">
        <v>1441</v>
      </c>
      <c r="F318" t="s">
        <v>1358</v>
      </c>
      <c r="K318">
        <v>1</v>
      </c>
      <c r="L318" t="str">
        <f t="shared" si="16"/>
        <v/>
      </c>
      <c r="O318" t="s">
        <v>38</v>
      </c>
      <c r="T318" s="2">
        <f>'SUPUESTOS PRECIOS'!$B$9</f>
        <v>0</v>
      </c>
      <c r="U318" s="3">
        <f>'SUPUESTOS PRECIOS'!$B$5/'SUPUESTOS PRECIOS'!$B$4</f>
        <v>1000</v>
      </c>
      <c r="V318" s="3">
        <f>('SUPUESTOS PRECIOS'!$B$6-'SUPUESTOS PRECIOS'!$B$7)/'SUPUESTOS PRECIOS'!$B$4</f>
        <v>377.5</v>
      </c>
      <c r="W318" s="4">
        <f>'SUPUESTOS PRECIOS'!$B$8</f>
        <v>9.6799999999999994E-3</v>
      </c>
      <c r="X318" s="4">
        <f>'SUPUESTOS PRECIOS'!$B$2</f>
        <v>0.4</v>
      </c>
      <c r="Y318" s="3" t="str">
        <f t="shared" si="17"/>
        <v/>
      </c>
      <c r="Z318" s="3" t="str">
        <f t="shared" si="18"/>
        <v/>
      </c>
      <c r="AA318" s="11" t="str">
        <f t="shared" si="19"/>
        <v/>
      </c>
    </row>
    <row r="319" spans="1:27" x14ac:dyDescent="0.35">
      <c r="A319" s="10" t="s">
        <v>1442</v>
      </c>
      <c r="F319" t="s">
        <v>1358</v>
      </c>
      <c r="K319">
        <v>1</v>
      </c>
      <c r="L319" t="str">
        <f t="shared" si="16"/>
        <v/>
      </c>
      <c r="O319" t="s">
        <v>38</v>
      </c>
      <c r="T319" s="2">
        <f>'SUPUESTOS PRECIOS'!$B$9</f>
        <v>0</v>
      </c>
      <c r="U319" s="3">
        <f>'SUPUESTOS PRECIOS'!$B$5/'SUPUESTOS PRECIOS'!$B$4</f>
        <v>1000</v>
      </c>
      <c r="V319" s="3">
        <f>('SUPUESTOS PRECIOS'!$B$6-'SUPUESTOS PRECIOS'!$B$7)/'SUPUESTOS PRECIOS'!$B$4</f>
        <v>377.5</v>
      </c>
      <c r="W319" s="4">
        <f>'SUPUESTOS PRECIOS'!$B$8</f>
        <v>9.6799999999999994E-3</v>
      </c>
      <c r="X319" s="4">
        <f>'SUPUESTOS PRECIOS'!$B$2</f>
        <v>0.4</v>
      </c>
      <c r="Y319" s="3" t="str">
        <f t="shared" si="17"/>
        <v/>
      </c>
      <c r="Z319" s="3" t="str">
        <f t="shared" si="18"/>
        <v/>
      </c>
      <c r="AA319" s="11" t="str">
        <f t="shared" si="19"/>
        <v/>
      </c>
    </row>
    <row r="320" spans="1:27" x14ac:dyDescent="0.35">
      <c r="A320" s="10" t="s">
        <v>1443</v>
      </c>
      <c r="F320" t="s">
        <v>1358</v>
      </c>
      <c r="K320">
        <v>1</v>
      </c>
      <c r="L320" t="str">
        <f t="shared" si="16"/>
        <v/>
      </c>
      <c r="O320" t="s">
        <v>38</v>
      </c>
      <c r="T320" s="2">
        <f>'SUPUESTOS PRECIOS'!$B$9</f>
        <v>0</v>
      </c>
      <c r="U320" s="3">
        <f>'SUPUESTOS PRECIOS'!$B$5/'SUPUESTOS PRECIOS'!$B$4</f>
        <v>1000</v>
      </c>
      <c r="V320" s="3">
        <f>('SUPUESTOS PRECIOS'!$B$6-'SUPUESTOS PRECIOS'!$B$7)/'SUPUESTOS PRECIOS'!$B$4</f>
        <v>377.5</v>
      </c>
      <c r="W320" s="4">
        <f>'SUPUESTOS PRECIOS'!$B$8</f>
        <v>9.6799999999999994E-3</v>
      </c>
      <c r="X320" s="4">
        <f>'SUPUESTOS PRECIOS'!$B$2</f>
        <v>0.4</v>
      </c>
      <c r="Y320" s="3" t="str">
        <f t="shared" si="17"/>
        <v/>
      </c>
      <c r="Z320" s="3" t="str">
        <f t="shared" si="18"/>
        <v/>
      </c>
      <c r="AA320" s="11" t="str">
        <f t="shared" si="19"/>
        <v/>
      </c>
    </row>
    <row r="321" spans="1:27" x14ac:dyDescent="0.35">
      <c r="A321" s="10" t="s">
        <v>1444</v>
      </c>
      <c r="F321" t="s">
        <v>1358</v>
      </c>
      <c r="K321">
        <v>1</v>
      </c>
      <c r="L321" t="str">
        <f t="shared" si="16"/>
        <v/>
      </c>
      <c r="O321" t="s">
        <v>38</v>
      </c>
      <c r="T321" s="2">
        <f>'SUPUESTOS PRECIOS'!$B$9</f>
        <v>0</v>
      </c>
      <c r="U321" s="3">
        <f>'SUPUESTOS PRECIOS'!$B$5/'SUPUESTOS PRECIOS'!$B$4</f>
        <v>1000</v>
      </c>
      <c r="V321" s="3">
        <f>('SUPUESTOS PRECIOS'!$B$6-'SUPUESTOS PRECIOS'!$B$7)/'SUPUESTOS PRECIOS'!$B$4</f>
        <v>377.5</v>
      </c>
      <c r="W321" s="4">
        <f>'SUPUESTOS PRECIOS'!$B$8</f>
        <v>9.6799999999999994E-3</v>
      </c>
      <c r="X321" s="4">
        <f>'SUPUESTOS PRECIOS'!$B$2</f>
        <v>0.4</v>
      </c>
      <c r="Y321" s="3" t="str">
        <f t="shared" si="17"/>
        <v/>
      </c>
      <c r="Z321" s="3" t="str">
        <f t="shared" si="18"/>
        <v/>
      </c>
      <c r="AA321" s="11" t="str">
        <f t="shared" si="19"/>
        <v/>
      </c>
    </row>
    <row r="322" spans="1:27" x14ac:dyDescent="0.35">
      <c r="A322" s="10" t="s">
        <v>1445</v>
      </c>
      <c r="F322" t="s">
        <v>1358</v>
      </c>
      <c r="K322">
        <v>1</v>
      </c>
      <c r="L322" t="str">
        <f t="shared" ref="L322:L385" si="20">IF(J322="","",J322*(1+K322))</f>
        <v/>
      </c>
      <c r="O322" t="s">
        <v>38</v>
      </c>
      <c r="T322" s="2">
        <f>'SUPUESTOS PRECIOS'!$B$9</f>
        <v>0</v>
      </c>
      <c r="U322" s="3">
        <f>'SUPUESTOS PRECIOS'!$B$5/'SUPUESTOS PRECIOS'!$B$4</f>
        <v>1000</v>
      </c>
      <c r="V322" s="3">
        <f>('SUPUESTOS PRECIOS'!$B$6-'SUPUESTOS PRECIOS'!$B$7)/'SUPUESTOS PRECIOS'!$B$4</f>
        <v>377.5</v>
      </c>
      <c r="W322" s="4">
        <f>'SUPUESTOS PRECIOS'!$B$8</f>
        <v>9.6799999999999994E-3</v>
      </c>
      <c r="X322" s="4">
        <f>'SUPUESTOS PRECIOS'!$B$2</f>
        <v>0.4</v>
      </c>
      <c r="Y322" s="3" t="str">
        <f t="shared" ref="Y322:Y385" si="21">IF(OR($B322="",$J322=""),"",ROUND(($J322+$T322+$U322+$V322)/(1-$W322-$X322),-1))</f>
        <v/>
      </c>
      <c r="Z322" s="3" t="str">
        <f t="shared" ref="Z322:Z385" si="22">IF($Y322="","",$Y322-$J322-$T322-$U322-$V322-($Y322*$W322))</f>
        <v/>
      </c>
      <c r="AA322" s="11" t="str">
        <f t="shared" ref="AA322:AA385" si="23">IF($Y322="","",$Z322/$Y322)</f>
        <v/>
      </c>
    </row>
    <row r="323" spans="1:27" x14ac:dyDescent="0.35">
      <c r="A323" s="10" t="s">
        <v>1446</v>
      </c>
      <c r="F323" t="s">
        <v>1358</v>
      </c>
      <c r="K323">
        <v>1</v>
      </c>
      <c r="L323" t="str">
        <f t="shared" si="20"/>
        <v/>
      </c>
      <c r="O323" t="s">
        <v>38</v>
      </c>
      <c r="T323" s="2">
        <f>'SUPUESTOS PRECIOS'!$B$9</f>
        <v>0</v>
      </c>
      <c r="U323" s="3">
        <f>'SUPUESTOS PRECIOS'!$B$5/'SUPUESTOS PRECIOS'!$B$4</f>
        <v>1000</v>
      </c>
      <c r="V323" s="3">
        <f>('SUPUESTOS PRECIOS'!$B$6-'SUPUESTOS PRECIOS'!$B$7)/'SUPUESTOS PRECIOS'!$B$4</f>
        <v>377.5</v>
      </c>
      <c r="W323" s="4">
        <f>'SUPUESTOS PRECIOS'!$B$8</f>
        <v>9.6799999999999994E-3</v>
      </c>
      <c r="X323" s="4">
        <f>'SUPUESTOS PRECIOS'!$B$2</f>
        <v>0.4</v>
      </c>
      <c r="Y323" s="3" t="str">
        <f t="shared" si="21"/>
        <v/>
      </c>
      <c r="Z323" s="3" t="str">
        <f t="shared" si="22"/>
        <v/>
      </c>
      <c r="AA323" s="11" t="str">
        <f t="shared" si="23"/>
        <v/>
      </c>
    </row>
    <row r="324" spans="1:27" x14ac:dyDescent="0.35">
      <c r="A324" s="10" t="s">
        <v>1447</v>
      </c>
      <c r="F324" t="s">
        <v>1358</v>
      </c>
      <c r="K324">
        <v>1</v>
      </c>
      <c r="L324" t="str">
        <f t="shared" si="20"/>
        <v/>
      </c>
      <c r="O324" t="s">
        <v>38</v>
      </c>
      <c r="T324" s="2">
        <f>'SUPUESTOS PRECIOS'!$B$9</f>
        <v>0</v>
      </c>
      <c r="U324" s="3">
        <f>'SUPUESTOS PRECIOS'!$B$5/'SUPUESTOS PRECIOS'!$B$4</f>
        <v>1000</v>
      </c>
      <c r="V324" s="3">
        <f>('SUPUESTOS PRECIOS'!$B$6-'SUPUESTOS PRECIOS'!$B$7)/'SUPUESTOS PRECIOS'!$B$4</f>
        <v>377.5</v>
      </c>
      <c r="W324" s="4">
        <f>'SUPUESTOS PRECIOS'!$B$8</f>
        <v>9.6799999999999994E-3</v>
      </c>
      <c r="X324" s="4">
        <f>'SUPUESTOS PRECIOS'!$B$2</f>
        <v>0.4</v>
      </c>
      <c r="Y324" s="3" t="str">
        <f t="shared" si="21"/>
        <v/>
      </c>
      <c r="Z324" s="3" t="str">
        <f t="shared" si="22"/>
        <v/>
      </c>
      <c r="AA324" s="11" t="str">
        <f t="shared" si="23"/>
        <v/>
      </c>
    </row>
    <row r="325" spans="1:27" x14ac:dyDescent="0.35">
      <c r="A325" s="10" t="s">
        <v>1448</v>
      </c>
      <c r="F325" t="s">
        <v>1358</v>
      </c>
      <c r="K325">
        <v>1</v>
      </c>
      <c r="L325" t="str">
        <f t="shared" si="20"/>
        <v/>
      </c>
      <c r="O325" t="s">
        <v>38</v>
      </c>
      <c r="T325" s="2">
        <f>'SUPUESTOS PRECIOS'!$B$9</f>
        <v>0</v>
      </c>
      <c r="U325" s="3">
        <f>'SUPUESTOS PRECIOS'!$B$5/'SUPUESTOS PRECIOS'!$B$4</f>
        <v>1000</v>
      </c>
      <c r="V325" s="3">
        <f>('SUPUESTOS PRECIOS'!$B$6-'SUPUESTOS PRECIOS'!$B$7)/'SUPUESTOS PRECIOS'!$B$4</f>
        <v>377.5</v>
      </c>
      <c r="W325" s="4">
        <f>'SUPUESTOS PRECIOS'!$B$8</f>
        <v>9.6799999999999994E-3</v>
      </c>
      <c r="X325" s="4">
        <f>'SUPUESTOS PRECIOS'!$B$2</f>
        <v>0.4</v>
      </c>
      <c r="Y325" s="3" t="str">
        <f t="shared" si="21"/>
        <v/>
      </c>
      <c r="Z325" s="3" t="str">
        <f t="shared" si="22"/>
        <v/>
      </c>
      <c r="AA325" s="11" t="str">
        <f t="shared" si="23"/>
        <v/>
      </c>
    </row>
    <row r="326" spans="1:27" x14ac:dyDescent="0.35">
      <c r="A326" s="10" t="s">
        <v>1449</v>
      </c>
      <c r="F326" t="s">
        <v>1358</v>
      </c>
      <c r="K326">
        <v>1</v>
      </c>
      <c r="L326" t="str">
        <f t="shared" si="20"/>
        <v/>
      </c>
      <c r="O326" t="s">
        <v>38</v>
      </c>
      <c r="T326" s="2">
        <f>'SUPUESTOS PRECIOS'!$B$9</f>
        <v>0</v>
      </c>
      <c r="U326" s="3">
        <f>'SUPUESTOS PRECIOS'!$B$5/'SUPUESTOS PRECIOS'!$B$4</f>
        <v>1000</v>
      </c>
      <c r="V326" s="3">
        <f>('SUPUESTOS PRECIOS'!$B$6-'SUPUESTOS PRECIOS'!$B$7)/'SUPUESTOS PRECIOS'!$B$4</f>
        <v>377.5</v>
      </c>
      <c r="W326" s="4">
        <f>'SUPUESTOS PRECIOS'!$B$8</f>
        <v>9.6799999999999994E-3</v>
      </c>
      <c r="X326" s="4">
        <f>'SUPUESTOS PRECIOS'!$B$2</f>
        <v>0.4</v>
      </c>
      <c r="Y326" s="3" t="str">
        <f t="shared" si="21"/>
        <v/>
      </c>
      <c r="Z326" s="3" t="str">
        <f t="shared" si="22"/>
        <v/>
      </c>
      <c r="AA326" s="11" t="str">
        <f t="shared" si="23"/>
        <v/>
      </c>
    </row>
    <row r="327" spans="1:27" x14ac:dyDescent="0.35">
      <c r="A327" s="10" t="s">
        <v>1450</v>
      </c>
      <c r="F327" t="s">
        <v>1358</v>
      </c>
      <c r="K327">
        <v>1</v>
      </c>
      <c r="L327" t="str">
        <f t="shared" si="20"/>
        <v/>
      </c>
      <c r="O327" t="s">
        <v>38</v>
      </c>
      <c r="T327" s="2">
        <f>'SUPUESTOS PRECIOS'!$B$9</f>
        <v>0</v>
      </c>
      <c r="U327" s="3">
        <f>'SUPUESTOS PRECIOS'!$B$5/'SUPUESTOS PRECIOS'!$B$4</f>
        <v>1000</v>
      </c>
      <c r="V327" s="3">
        <f>('SUPUESTOS PRECIOS'!$B$6-'SUPUESTOS PRECIOS'!$B$7)/'SUPUESTOS PRECIOS'!$B$4</f>
        <v>377.5</v>
      </c>
      <c r="W327" s="4">
        <f>'SUPUESTOS PRECIOS'!$B$8</f>
        <v>9.6799999999999994E-3</v>
      </c>
      <c r="X327" s="4">
        <f>'SUPUESTOS PRECIOS'!$B$2</f>
        <v>0.4</v>
      </c>
      <c r="Y327" s="3" t="str">
        <f t="shared" si="21"/>
        <v/>
      </c>
      <c r="Z327" s="3" t="str">
        <f t="shared" si="22"/>
        <v/>
      </c>
      <c r="AA327" s="11" t="str">
        <f t="shared" si="23"/>
        <v/>
      </c>
    </row>
    <row r="328" spans="1:27" x14ac:dyDescent="0.35">
      <c r="A328" s="10" t="s">
        <v>1451</v>
      </c>
      <c r="F328" t="s">
        <v>1358</v>
      </c>
      <c r="K328">
        <v>1</v>
      </c>
      <c r="L328" t="str">
        <f t="shared" si="20"/>
        <v/>
      </c>
      <c r="O328" t="s">
        <v>38</v>
      </c>
      <c r="T328" s="2">
        <f>'SUPUESTOS PRECIOS'!$B$9</f>
        <v>0</v>
      </c>
      <c r="U328" s="3">
        <f>'SUPUESTOS PRECIOS'!$B$5/'SUPUESTOS PRECIOS'!$B$4</f>
        <v>1000</v>
      </c>
      <c r="V328" s="3">
        <f>('SUPUESTOS PRECIOS'!$B$6-'SUPUESTOS PRECIOS'!$B$7)/'SUPUESTOS PRECIOS'!$B$4</f>
        <v>377.5</v>
      </c>
      <c r="W328" s="4">
        <f>'SUPUESTOS PRECIOS'!$B$8</f>
        <v>9.6799999999999994E-3</v>
      </c>
      <c r="X328" s="4">
        <f>'SUPUESTOS PRECIOS'!$B$2</f>
        <v>0.4</v>
      </c>
      <c r="Y328" s="3" t="str">
        <f t="shared" si="21"/>
        <v/>
      </c>
      <c r="Z328" s="3" t="str">
        <f t="shared" si="22"/>
        <v/>
      </c>
      <c r="AA328" s="11" t="str">
        <f t="shared" si="23"/>
        <v/>
      </c>
    </row>
    <row r="329" spans="1:27" x14ac:dyDescent="0.35">
      <c r="A329" s="10" t="s">
        <v>1452</v>
      </c>
      <c r="F329" t="s">
        <v>1358</v>
      </c>
      <c r="K329">
        <v>1</v>
      </c>
      <c r="L329" t="str">
        <f t="shared" si="20"/>
        <v/>
      </c>
      <c r="O329" t="s">
        <v>38</v>
      </c>
      <c r="T329" s="2">
        <f>'SUPUESTOS PRECIOS'!$B$9</f>
        <v>0</v>
      </c>
      <c r="U329" s="3">
        <f>'SUPUESTOS PRECIOS'!$B$5/'SUPUESTOS PRECIOS'!$B$4</f>
        <v>1000</v>
      </c>
      <c r="V329" s="3">
        <f>('SUPUESTOS PRECIOS'!$B$6-'SUPUESTOS PRECIOS'!$B$7)/'SUPUESTOS PRECIOS'!$B$4</f>
        <v>377.5</v>
      </c>
      <c r="W329" s="4">
        <f>'SUPUESTOS PRECIOS'!$B$8</f>
        <v>9.6799999999999994E-3</v>
      </c>
      <c r="X329" s="4">
        <f>'SUPUESTOS PRECIOS'!$B$2</f>
        <v>0.4</v>
      </c>
      <c r="Y329" s="3" t="str">
        <f t="shared" si="21"/>
        <v/>
      </c>
      <c r="Z329" s="3" t="str">
        <f t="shared" si="22"/>
        <v/>
      </c>
      <c r="AA329" s="11" t="str">
        <f t="shared" si="23"/>
        <v/>
      </c>
    </row>
    <row r="330" spans="1:27" x14ac:dyDescent="0.35">
      <c r="A330" s="10" t="s">
        <v>1453</v>
      </c>
      <c r="F330" t="s">
        <v>1358</v>
      </c>
      <c r="K330">
        <v>1</v>
      </c>
      <c r="L330" t="str">
        <f t="shared" si="20"/>
        <v/>
      </c>
      <c r="O330" t="s">
        <v>38</v>
      </c>
      <c r="T330" s="2">
        <f>'SUPUESTOS PRECIOS'!$B$9</f>
        <v>0</v>
      </c>
      <c r="U330" s="3">
        <f>'SUPUESTOS PRECIOS'!$B$5/'SUPUESTOS PRECIOS'!$B$4</f>
        <v>1000</v>
      </c>
      <c r="V330" s="3">
        <f>('SUPUESTOS PRECIOS'!$B$6-'SUPUESTOS PRECIOS'!$B$7)/'SUPUESTOS PRECIOS'!$B$4</f>
        <v>377.5</v>
      </c>
      <c r="W330" s="4">
        <f>'SUPUESTOS PRECIOS'!$B$8</f>
        <v>9.6799999999999994E-3</v>
      </c>
      <c r="X330" s="4">
        <f>'SUPUESTOS PRECIOS'!$B$2</f>
        <v>0.4</v>
      </c>
      <c r="Y330" s="3" t="str">
        <f t="shared" si="21"/>
        <v/>
      </c>
      <c r="Z330" s="3" t="str">
        <f t="shared" si="22"/>
        <v/>
      </c>
      <c r="AA330" s="11" t="str">
        <f t="shared" si="23"/>
        <v/>
      </c>
    </row>
    <row r="331" spans="1:27" x14ac:dyDescent="0.35">
      <c r="A331" s="10" t="s">
        <v>1454</v>
      </c>
      <c r="F331" t="s">
        <v>1358</v>
      </c>
      <c r="K331">
        <v>1</v>
      </c>
      <c r="L331" t="str">
        <f t="shared" si="20"/>
        <v/>
      </c>
      <c r="O331" t="s">
        <v>38</v>
      </c>
      <c r="T331" s="2">
        <f>'SUPUESTOS PRECIOS'!$B$9</f>
        <v>0</v>
      </c>
      <c r="U331" s="3">
        <f>'SUPUESTOS PRECIOS'!$B$5/'SUPUESTOS PRECIOS'!$B$4</f>
        <v>1000</v>
      </c>
      <c r="V331" s="3">
        <f>('SUPUESTOS PRECIOS'!$B$6-'SUPUESTOS PRECIOS'!$B$7)/'SUPUESTOS PRECIOS'!$B$4</f>
        <v>377.5</v>
      </c>
      <c r="W331" s="4">
        <f>'SUPUESTOS PRECIOS'!$B$8</f>
        <v>9.6799999999999994E-3</v>
      </c>
      <c r="X331" s="4">
        <f>'SUPUESTOS PRECIOS'!$B$2</f>
        <v>0.4</v>
      </c>
      <c r="Y331" s="3" t="str">
        <f t="shared" si="21"/>
        <v/>
      </c>
      <c r="Z331" s="3" t="str">
        <f t="shared" si="22"/>
        <v/>
      </c>
      <c r="AA331" s="11" t="str">
        <f t="shared" si="23"/>
        <v/>
      </c>
    </row>
    <row r="332" spans="1:27" x14ac:dyDescent="0.35">
      <c r="A332" s="10" t="s">
        <v>1455</v>
      </c>
      <c r="F332" t="s">
        <v>1358</v>
      </c>
      <c r="K332">
        <v>1</v>
      </c>
      <c r="L332" t="str">
        <f t="shared" si="20"/>
        <v/>
      </c>
      <c r="O332" t="s">
        <v>38</v>
      </c>
      <c r="T332" s="2">
        <f>'SUPUESTOS PRECIOS'!$B$9</f>
        <v>0</v>
      </c>
      <c r="U332" s="3">
        <f>'SUPUESTOS PRECIOS'!$B$5/'SUPUESTOS PRECIOS'!$B$4</f>
        <v>1000</v>
      </c>
      <c r="V332" s="3">
        <f>('SUPUESTOS PRECIOS'!$B$6-'SUPUESTOS PRECIOS'!$B$7)/'SUPUESTOS PRECIOS'!$B$4</f>
        <v>377.5</v>
      </c>
      <c r="W332" s="4">
        <f>'SUPUESTOS PRECIOS'!$B$8</f>
        <v>9.6799999999999994E-3</v>
      </c>
      <c r="X332" s="4">
        <f>'SUPUESTOS PRECIOS'!$B$2</f>
        <v>0.4</v>
      </c>
      <c r="Y332" s="3" t="str">
        <f t="shared" si="21"/>
        <v/>
      </c>
      <c r="Z332" s="3" t="str">
        <f t="shared" si="22"/>
        <v/>
      </c>
      <c r="AA332" s="11" t="str">
        <f t="shared" si="23"/>
        <v/>
      </c>
    </row>
    <row r="333" spans="1:27" x14ac:dyDescent="0.35">
      <c r="A333" s="10" t="s">
        <v>1456</v>
      </c>
      <c r="F333" t="s">
        <v>1358</v>
      </c>
      <c r="K333">
        <v>1</v>
      </c>
      <c r="L333" t="str">
        <f t="shared" si="20"/>
        <v/>
      </c>
      <c r="O333" t="s">
        <v>38</v>
      </c>
      <c r="T333" s="2">
        <f>'SUPUESTOS PRECIOS'!$B$9</f>
        <v>0</v>
      </c>
      <c r="U333" s="3">
        <f>'SUPUESTOS PRECIOS'!$B$5/'SUPUESTOS PRECIOS'!$B$4</f>
        <v>1000</v>
      </c>
      <c r="V333" s="3">
        <f>('SUPUESTOS PRECIOS'!$B$6-'SUPUESTOS PRECIOS'!$B$7)/'SUPUESTOS PRECIOS'!$B$4</f>
        <v>377.5</v>
      </c>
      <c r="W333" s="4">
        <f>'SUPUESTOS PRECIOS'!$B$8</f>
        <v>9.6799999999999994E-3</v>
      </c>
      <c r="X333" s="4">
        <f>'SUPUESTOS PRECIOS'!$B$2</f>
        <v>0.4</v>
      </c>
      <c r="Y333" s="3" t="str">
        <f t="shared" si="21"/>
        <v/>
      </c>
      <c r="Z333" s="3" t="str">
        <f t="shared" si="22"/>
        <v/>
      </c>
      <c r="AA333" s="11" t="str">
        <f t="shared" si="23"/>
        <v/>
      </c>
    </row>
    <row r="334" spans="1:27" x14ac:dyDescent="0.35">
      <c r="A334" s="10" t="s">
        <v>1457</v>
      </c>
      <c r="F334" t="s">
        <v>1358</v>
      </c>
      <c r="K334">
        <v>1</v>
      </c>
      <c r="L334" t="str">
        <f t="shared" si="20"/>
        <v/>
      </c>
      <c r="O334" t="s">
        <v>38</v>
      </c>
      <c r="T334" s="2">
        <f>'SUPUESTOS PRECIOS'!$B$9</f>
        <v>0</v>
      </c>
      <c r="U334" s="3">
        <f>'SUPUESTOS PRECIOS'!$B$5/'SUPUESTOS PRECIOS'!$B$4</f>
        <v>1000</v>
      </c>
      <c r="V334" s="3">
        <f>('SUPUESTOS PRECIOS'!$B$6-'SUPUESTOS PRECIOS'!$B$7)/'SUPUESTOS PRECIOS'!$B$4</f>
        <v>377.5</v>
      </c>
      <c r="W334" s="4">
        <f>'SUPUESTOS PRECIOS'!$B$8</f>
        <v>9.6799999999999994E-3</v>
      </c>
      <c r="X334" s="4">
        <f>'SUPUESTOS PRECIOS'!$B$2</f>
        <v>0.4</v>
      </c>
      <c r="Y334" s="3" t="str">
        <f t="shared" si="21"/>
        <v/>
      </c>
      <c r="Z334" s="3" t="str">
        <f t="shared" si="22"/>
        <v/>
      </c>
      <c r="AA334" s="11" t="str">
        <f t="shared" si="23"/>
        <v/>
      </c>
    </row>
    <row r="335" spans="1:27" x14ac:dyDescent="0.35">
      <c r="A335" s="10" t="s">
        <v>1458</v>
      </c>
      <c r="F335" t="s">
        <v>1358</v>
      </c>
      <c r="K335">
        <v>1</v>
      </c>
      <c r="L335" t="str">
        <f t="shared" si="20"/>
        <v/>
      </c>
      <c r="O335" t="s">
        <v>38</v>
      </c>
      <c r="T335" s="2">
        <f>'SUPUESTOS PRECIOS'!$B$9</f>
        <v>0</v>
      </c>
      <c r="U335" s="3">
        <f>'SUPUESTOS PRECIOS'!$B$5/'SUPUESTOS PRECIOS'!$B$4</f>
        <v>1000</v>
      </c>
      <c r="V335" s="3">
        <f>('SUPUESTOS PRECIOS'!$B$6-'SUPUESTOS PRECIOS'!$B$7)/'SUPUESTOS PRECIOS'!$B$4</f>
        <v>377.5</v>
      </c>
      <c r="W335" s="4">
        <f>'SUPUESTOS PRECIOS'!$B$8</f>
        <v>9.6799999999999994E-3</v>
      </c>
      <c r="X335" s="4">
        <f>'SUPUESTOS PRECIOS'!$B$2</f>
        <v>0.4</v>
      </c>
      <c r="Y335" s="3" t="str">
        <f t="shared" si="21"/>
        <v/>
      </c>
      <c r="Z335" s="3" t="str">
        <f t="shared" si="22"/>
        <v/>
      </c>
      <c r="AA335" s="11" t="str">
        <f t="shared" si="23"/>
        <v/>
      </c>
    </row>
    <row r="336" spans="1:27" x14ac:dyDescent="0.35">
      <c r="A336" s="10" t="s">
        <v>1459</v>
      </c>
      <c r="F336" t="s">
        <v>1358</v>
      </c>
      <c r="K336">
        <v>1</v>
      </c>
      <c r="L336" t="str">
        <f t="shared" si="20"/>
        <v/>
      </c>
      <c r="O336" t="s">
        <v>38</v>
      </c>
      <c r="T336" s="2">
        <f>'SUPUESTOS PRECIOS'!$B$9</f>
        <v>0</v>
      </c>
      <c r="U336" s="3">
        <f>'SUPUESTOS PRECIOS'!$B$5/'SUPUESTOS PRECIOS'!$B$4</f>
        <v>1000</v>
      </c>
      <c r="V336" s="3">
        <f>('SUPUESTOS PRECIOS'!$B$6-'SUPUESTOS PRECIOS'!$B$7)/'SUPUESTOS PRECIOS'!$B$4</f>
        <v>377.5</v>
      </c>
      <c r="W336" s="4">
        <f>'SUPUESTOS PRECIOS'!$B$8</f>
        <v>9.6799999999999994E-3</v>
      </c>
      <c r="X336" s="4">
        <f>'SUPUESTOS PRECIOS'!$B$2</f>
        <v>0.4</v>
      </c>
      <c r="Y336" s="3" t="str">
        <f t="shared" si="21"/>
        <v/>
      </c>
      <c r="Z336" s="3" t="str">
        <f t="shared" si="22"/>
        <v/>
      </c>
      <c r="AA336" s="11" t="str">
        <f t="shared" si="23"/>
        <v/>
      </c>
    </row>
    <row r="337" spans="1:27" x14ac:dyDescent="0.35">
      <c r="A337" s="10" t="s">
        <v>1460</v>
      </c>
      <c r="F337" t="s">
        <v>1358</v>
      </c>
      <c r="K337">
        <v>1</v>
      </c>
      <c r="L337" t="str">
        <f t="shared" si="20"/>
        <v/>
      </c>
      <c r="O337" t="s">
        <v>38</v>
      </c>
      <c r="T337" s="2">
        <f>'SUPUESTOS PRECIOS'!$B$9</f>
        <v>0</v>
      </c>
      <c r="U337" s="3">
        <f>'SUPUESTOS PRECIOS'!$B$5/'SUPUESTOS PRECIOS'!$B$4</f>
        <v>1000</v>
      </c>
      <c r="V337" s="3">
        <f>('SUPUESTOS PRECIOS'!$B$6-'SUPUESTOS PRECIOS'!$B$7)/'SUPUESTOS PRECIOS'!$B$4</f>
        <v>377.5</v>
      </c>
      <c r="W337" s="4">
        <f>'SUPUESTOS PRECIOS'!$B$8</f>
        <v>9.6799999999999994E-3</v>
      </c>
      <c r="X337" s="4">
        <f>'SUPUESTOS PRECIOS'!$B$2</f>
        <v>0.4</v>
      </c>
      <c r="Y337" s="3" t="str">
        <f t="shared" si="21"/>
        <v/>
      </c>
      <c r="Z337" s="3" t="str">
        <f t="shared" si="22"/>
        <v/>
      </c>
      <c r="AA337" s="11" t="str">
        <f t="shared" si="23"/>
        <v/>
      </c>
    </row>
    <row r="338" spans="1:27" x14ac:dyDescent="0.35">
      <c r="A338" s="10" t="s">
        <v>1461</v>
      </c>
      <c r="F338" t="s">
        <v>1358</v>
      </c>
      <c r="K338">
        <v>1</v>
      </c>
      <c r="L338" t="str">
        <f t="shared" si="20"/>
        <v/>
      </c>
      <c r="O338" t="s">
        <v>38</v>
      </c>
      <c r="T338" s="2">
        <f>'SUPUESTOS PRECIOS'!$B$9</f>
        <v>0</v>
      </c>
      <c r="U338" s="3">
        <f>'SUPUESTOS PRECIOS'!$B$5/'SUPUESTOS PRECIOS'!$B$4</f>
        <v>1000</v>
      </c>
      <c r="V338" s="3">
        <f>('SUPUESTOS PRECIOS'!$B$6-'SUPUESTOS PRECIOS'!$B$7)/'SUPUESTOS PRECIOS'!$B$4</f>
        <v>377.5</v>
      </c>
      <c r="W338" s="4">
        <f>'SUPUESTOS PRECIOS'!$B$8</f>
        <v>9.6799999999999994E-3</v>
      </c>
      <c r="X338" s="4">
        <f>'SUPUESTOS PRECIOS'!$B$2</f>
        <v>0.4</v>
      </c>
      <c r="Y338" s="3" t="str">
        <f t="shared" si="21"/>
        <v/>
      </c>
      <c r="Z338" s="3" t="str">
        <f t="shared" si="22"/>
        <v/>
      </c>
      <c r="AA338" s="11" t="str">
        <f t="shared" si="23"/>
        <v/>
      </c>
    </row>
    <row r="339" spans="1:27" x14ac:dyDescent="0.35">
      <c r="A339" s="10" t="s">
        <v>1462</v>
      </c>
      <c r="F339" t="s">
        <v>1358</v>
      </c>
      <c r="K339">
        <v>1</v>
      </c>
      <c r="L339" t="str">
        <f t="shared" si="20"/>
        <v/>
      </c>
      <c r="O339" t="s">
        <v>38</v>
      </c>
      <c r="T339" s="2">
        <f>'SUPUESTOS PRECIOS'!$B$9</f>
        <v>0</v>
      </c>
      <c r="U339" s="3">
        <f>'SUPUESTOS PRECIOS'!$B$5/'SUPUESTOS PRECIOS'!$B$4</f>
        <v>1000</v>
      </c>
      <c r="V339" s="3">
        <f>('SUPUESTOS PRECIOS'!$B$6-'SUPUESTOS PRECIOS'!$B$7)/'SUPUESTOS PRECIOS'!$B$4</f>
        <v>377.5</v>
      </c>
      <c r="W339" s="4">
        <f>'SUPUESTOS PRECIOS'!$B$8</f>
        <v>9.6799999999999994E-3</v>
      </c>
      <c r="X339" s="4">
        <f>'SUPUESTOS PRECIOS'!$B$2</f>
        <v>0.4</v>
      </c>
      <c r="Y339" s="3" t="str">
        <f t="shared" si="21"/>
        <v/>
      </c>
      <c r="Z339" s="3" t="str">
        <f t="shared" si="22"/>
        <v/>
      </c>
      <c r="AA339" s="11" t="str">
        <f t="shared" si="23"/>
        <v/>
      </c>
    </row>
    <row r="340" spans="1:27" x14ac:dyDescent="0.35">
      <c r="A340" s="10" t="s">
        <v>1463</v>
      </c>
      <c r="F340" t="s">
        <v>1358</v>
      </c>
      <c r="K340">
        <v>1</v>
      </c>
      <c r="L340" t="str">
        <f t="shared" si="20"/>
        <v/>
      </c>
      <c r="O340" t="s">
        <v>38</v>
      </c>
      <c r="T340" s="2">
        <f>'SUPUESTOS PRECIOS'!$B$9</f>
        <v>0</v>
      </c>
      <c r="U340" s="3">
        <f>'SUPUESTOS PRECIOS'!$B$5/'SUPUESTOS PRECIOS'!$B$4</f>
        <v>1000</v>
      </c>
      <c r="V340" s="3">
        <f>('SUPUESTOS PRECIOS'!$B$6-'SUPUESTOS PRECIOS'!$B$7)/'SUPUESTOS PRECIOS'!$B$4</f>
        <v>377.5</v>
      </c>
      <c r="W340" s="4">
        <f>'SUPUESTOS PRECIOS'!$B$8</f>
        <v>9.6799999999999994E-3</v>
      </c>
      <c r="X340" s="4">
        <f>'SUPUESTOS PRECIOS'!$B$2</f>
        <v>0.4</v>
      </c>
      <c r="Y340" s="3" t="str">
        <f t="shared" si="21"/>
        <v/>
      </c>
      <c r="Z340" s="3" t="str">
        <f t="shared" si="22"/>
        <v/>
      </c>
      <c r="AA340" s="11" t="str">
        <f t="shared" si="23"/>
        <v/>
      </c>
    </row>
    <row r="341" spans="1:27" x14ac:dyDescent="0.35">
      <c r="A341" s="10" t="s">
        <v>1464</v>
      </c>
      <c r="F341" t="s">
        <v>1358</v>
      </c>
      <c r="K341">
        <v>1</v>
      </c>
      <c r="L341" t="str">
        <f t="shared" si="20"/>
        <v/>
      </c>
      <c r="O341" t="s">
        <v>38</v>
      </c>
      <c r="T341" s="2">
        <f>'SUPUESTOS PRECIOS'!$B$9</f>
        <v>0</v>
      </c>
      <c r="U341" s="3">
        <f>'SUPUESTOS PRECIOS'!$B$5/'SUPUESTOS PRECIOS'!$B$4</f>
        <v>1000</v>
      </c>
      <c r="V341" s="3">
        <f>('SUPUESTOS PRECIOS'!$B$6-'SUPUESTOS PRECIOS'!$B$7)/'SUPUESTOS PRECIOS'!$B$4</f>
        <v>377.5</v>
      </c>
      <c r="W341" s="4">
        <f>'SUPUESTOS PRECIOS'!$B$8</f>
        <v>9.6799999999999994E-3</v>
      </c>
      <c r="X341" s="4">
        <f>'SUPUESTOS PRECIOS'!$B$2</f>
        <v>0.4</v>
      </c>
      <c r="Y341" s="3" t="str">
        <f t="shared" si="21"/>
        <v/>
      </c>
      <c r="Z341" s="3" t="str">
        <f t="shared" si="22"/>
        <v/>
      </c>
      <c r="AA341" s="11" t="str">
        <f t="shared" si="23"/>
        <v/>
      </c>
    </row>
    <row r="342" spans="1:27" x14ac:dyDescent="0.35">
      <c r="A342" s="10" t="s">
        <v>1465</v>
      </c>
      <c r="F342" t="s">
        <v>1358</v>
      </c>
      <c r="K342">
        <v>1</v>
      </c>
      <c r="L342" t="str">
        <f t="shared" si="20"/>
        <v/>
      </c>
      <c r="O342" t="s">
        <v>38</v>
      </c>
      <c r="T342" s="2">
        <f>'SUPUESTOS PRECIOS'!$B$9</f>
        <v>0</v>
      </c>
      <c r="U342" s="3">
        <f>'SUPUESTOS PRECIOS'!$B$5/'SUPUESTOS PRECIOS'!$B$4</f>
        <v>1000</v>
      </c>
      <c r="V342" s="3">
        <f>('SUPUESTOS PRECIOS'!$B$6-'SUPUESTOS PRECIOS'!$B$7)/'SUPUESTOS PRECIOS'!$B$4</f>
        <v>377.5</v>
      </c>
      <c r="W342" s="4">
        <f>'SUPUESTOS PRECIOS'!$B$8</f>
        <v>9.6799999999999994E-3</v>
      </c>
      <c r="X342" s="4">
        <f>'SUPUESTOS PRECIOS'!$B$2</f>
        <v>0.4</v>
      </c>
      <c r="Y342" s="3" t="str">
        <f t="shared" si="21"/>
        <v/>
      </c>
      <c r="Z342" s="3" t="str">
        <f t="shared" si="22"/>
        <v/>
      </c>
      <c r="AA342" s="11" t="str">
        <f t="shared" si="23"/>
        <v/>
      </c>
    </row>
    <row r="343" spans="1:27" x14ac:dyDescent="0.35">
      <c r="A343" s="10" t="s">
        <v>1466</v>
      </c>
      <c r="F343" t="s">
        <v>1358</v>
      </c>
      <c r="K343">
        <v>1</v>
      </c>
      <c r="L343" t="str">
        <f t="shared" si="20"/>
        <v/>
      </c>
      <c r="O343" t="s">
        <v>38</v>
      </c>
      <c r="T343" s="2">
        <f>'SUPUESTOS PRECIOS'!$B$9</f>
        <v>0</v>
      </c>
      <c r="U343" s="3">
        <f>'SUPUESTOS PRECIOS'!$B$5/'SUPUESTOS PRECIOS'!$B$4</f>
        <v>1000</v>
      </c>
      <c r="V343" s="3">
        <f>('SUPUESTOS PRECIOS'!$B$6-'SUPUESTOS PRECIOS'!$B$7)/'SUPUESTOS PRECIOS'!$B$4</f>
        <v>377.5</v>
      </c>
      <c r="W343" s="4">
        <f>'SUPUESTOS PRECIOS'!$B$8</f>
        <v>9.6799999999999994E-3</v>
      </c>
      <c r="X343" s="4">
        <f>'SUPUESTOS PRECIOS'!$B$2</f>
        <v>0.4</v>
      </c>
      <c r="Y343" s="3" t="str">
        <f t="shared" si="21"/>
        <v/>
      </c>
      <c r="Z343" s="3" t="str">
        <f t="shared" si="22"/>
        <v/>
      </c>
      <c r="AA343" s="11" t="str">
        <f t="shared" si="23"/>
        <v/>
      </c>
    </row>
    <row r="344" spans="1:27" x14ac:dyDescent="0.35">
      <c r="A344" s="10" t="s">
        <v>1467</v>
      </c>
      <c r="F344" t="s">
        <v>1358</v>
      </c>
      <c r="K344">
        <v>1</v>
      </c>
      <c r="L344" t="str">
        <f t="shared" si="20"/>
        <v/>
      </c>
      <c r="O344" t="s">
        <v>38</v>
      </c>
      <c r="T344" s="2">
        <f>'SUPUESTOS PRECIOS'!$B$9</f>
        <v>0</v>
      </c>
      <c r="U344" s="3">
        <f>'SUPUESTOS PRECIOS'!$B$5/'SUPUESTOS PRECIOS'!$B$4</f>
        <v>1000</v>
      </c>
      <c r="V344" s="3">
        <f>('SUPUESTOS PRECIOS'!$B$6-'SUPUESTOS PRECIOS'!$B$7)/'SUPUESTOS PRECIOS'!$B$4</f>
        <v>377.5</v>
      </c>
      <c r="W344" s="4">
        <f>'SUPUESTOS PRECIOS'!$B$8</f>
        <v>9.6799999999999994E-3</v>
      </c>
      <c r="X344" s="4">
        <f>'SUPUESTOS PRECIOS'!$B$2</f>
        <v>0.4</v>
      </c>
      <c r="Y344" s="3" t="str">
        <f t="shared" si="21"/>
        <v/>
      </c>
      <c r="Z344" s="3" t="str">
        <f t="shared" si="22"/>
        <v/>
      </c>
      <c r="AA344" s="11" t="str">
        <f t="shared" si="23"/>
        <v/>
      </c>
    </row>
    <row r="345" spans="1:27" x14ac:dyDescent="0.35">
      <c r="A345" s="10" t="s">
        <v>1468</v>
      </c>
      <c r="F345" t="s">
        <v>1358</v>
      </c>
      <c r="K345">
        <v>1</v>
      </c>
      <c r="L345" t="str">
        <f t="shared" si="20"/>
        <v/>
      </c>
      <c r="O345" t="s">
        <v>38</v>
      </c>
      <c r="T345" s="2">
        <f>'SUPUESTOS PRECIOS'!$B$9</f>
        <v>0</v>
      </c>
      <c r="U345" s="3">
        <f>'SUPUESTOS PRECIOS'!$B$5/'SUPUESTOS PRECIOS'!$B$4</f>
        <v>1000</v>
      </c>
      <c r="V345" s="3">
        <f>('SUPUESTOS PRECIOS'!$B$6-'SUPUESTOS PRECIOS'!$B$7)/'SUPUESTOS PRECIOS'!$B$4</f>
        <v>377.5</v>
      </c>
      <c r="W345" s="4">
        <f>'SUPUESTOS PRECIOS'!$B$8</f>
        <v>9.6799999999999994E-3</v>
      </c>
      <c r="X345" s="4">
        <f>'SUPUESTOS PRECIOS'!$B$2</f>
        <v>0.4</v>
      </c>
      <c r="Y345" s="3" t="str">
        <f t="shared" si="21"/>
        <v/>
      </c>
      <c r="Z345" s="3" t="str">
        <f t="shared" si="22"/>
        <v/>
      </c>
      <c r="AA345" s="11" t="str">
        <f t="shared" si="23"/>
        <v/>
      </c>
    </row>
    <row r="346" spans="1:27" x14ac:dyDescent="0.35">
      <c r="A346" s="10" t="s">
        <v>1469</v>
      </c>
      <c r="F346" t="s">
        <v>1358</v>
      </c>
      <c r="K346">
        <v>1</v>
      </c>
      <c r="L346" t="str">
        <f t="shared" si="20"/>
        <v/>
      </c>
      <c r="O346" t="s">
        <v>38</v>
      </c>
      <c r="T346" s="2">
        <f>'SUPUESTOS PRECIOS'!$B$9</f>
        <v>0</v>
      </c>
      <c r="U346" s="3">
        <f>'SUPUESTOS PRECIOS'!$B$5/'SUPUESTOS PRECIOS'!$B$4</f>
        <v>1000</v>
      </c>
      <c r="V346" s="3">
        <f>('SUPUESTOS PRECIOS'!$B$6-'SUPUESTOS PRECIOS'!$B$7)/'SUPUESTOS PRECIOS'!$B$4</f>
        <v>377.5</v>
      </c>
      <c r="W346" s="4">
        <f>'SUPUESTOS PRECIOS'!$B$8</f>
        <v>9.6799999999999994E-3</v>
      </c>
      <c r="X346" s="4">
        <f>'SUPUESTOS PRECIOS'!$B$2</f>
        <v>0.4</v>
      </c>
      <c r="Y346" s="3" t="str">
        <f t="shared" si="21"/>
        <v/>
      </c>
      <c r="Z346" s="3" t="str">
        <f t="shared" si="22"/>
        <v/>
      </c>
      <c r="AA346" s="11" t="str">
        <f t="shared" si="23"/>
        <v/>
      </c>
    </row>
    <row r="347" spans="1:27" x14ac:dyDescent="0.35">
      <c r="A347" s="10" t="s">
        <v>1470</v>
      </c>
      <c r="F347" t="s">
        <v>1358</v>
      </c>
      <c r="K347">
        <v>1</v>
      </c>
      <c r="L347" t="str">
        <f t="shared" si="20"/>
        <v/>
      </c>
      <c r="O347" t="s">
        <v>38</v>
      </c>
      <c r="T347" s="2">
        <f>'SUPUESTOS PRECIOS'!$B$9</f>
        <v>0</v>
      </c>
      <c r="U347" s="3">
        <f>'SUPUESTOS PRECIOS'!$B$5/'SUPUESTOS PRECIOS'!$B$4</f>
        <v>1000</v>
      </c>
      <c r="V347" s="3">
        <f>('SUPUESTOS PRECIOS'!$B$6-'SUPUESTOS PRECIOS'!$B$7)/'SUPUESTOS PRECIOS'!$B$4</f>
        <v>377.5</v>
      </c>
      <c r="W347" s="4">
        <f>'SUPUESTOS PRECIOS'!$B$8</f>
        <v>9.6799999999999994E-3</v>
      </c>
      <c r="X347" s="4">
        <f>'SUPUESTOS PRECIOS'!$B$2</f>
        <v>0.4</v>
      </c>
      <c r="Y347" s="3" t="str">
        <f t="shared" si="21"/>
        <v/>
      </c>
      <c r="Z347" s="3" t="str">
        <f t="shared" si="22"/>
        <v/>
      </c>
      <c r="AA347" s="11" t="str">
        <f t="shared" si="23"/>
        <v/>
      </c>
    </row>
    <row r="348" spans="1:27" x14ac:dyDescent="0.35">
      <c r="A348" s="10" t="s">
        <v>1471</v>
      </c>
      <c r="F348" t="s">
        <v>1358</v>
      </c>
      <c r="K348">
        <v>1</v>
      </c>
      <c r="L348" t="str">
        <f t="shared" si="20"/>
        <v/>
      </c>
      <c r="O348" t="s">
        <v>38</v>
      </c>
      <c r="T348" s="2">
        <f>'SUPUESTOS PRECIOS'!$B$9</f>
        <v>0</v>
      </c>
      <c r="U348" s="3">
        <f>'SUPUESTOS PRECIOS'!$B$5/'SUPUESTOS PRECIOS'!$B$4</f>
        <v>1000</v>
      </c>
      <c r="V348" s="3">
        <f>('SUPUESTOS PRECIOS'!$B$6-'SUPUESTOS PRECIOS'!$B$7)/'SUPUESTOS PRECIOS'!$B$4</f>
        <v>377.5</v>
      </c>
      <c r="W348" s="4">
        <f>'SUPUESTOS PRECIOS'!$B$8</f>
        <v>9.6799999999999994E-3</v>
      </c>
      <c r="X348" s="4">
        <f>'SUPUESTOS PRECIOS'!$B$2</f>
        <v>0.4</v>
      </c>
      <c r="Y348" s="3" t="str">
        <f t="shared" si="21"/>
        <v/>
      </c>
      <c r="Z348" s="3" t="str">
        <f t="shared" si="22"/>
        <v/>
      </c>
      <c r="AA348" s="11" t="str">
        <f t="shared" si="23"/>
        <v/>
      </c>
    </row>
    <row r="349" spans="1:27" x14ac:dyDescent="0.35">
      <c r="A349" s="10" t="s">
        <v>1472</v>
      </c>
      <c r="F349" t="s">
        <v>1358</v>
      </c>
      <c r="K349">
        <v>1</v>
      </c>
      <c r="L349" t="str">
        <f t="shared" si="20"/>
        <v/>
      </c>
      <c r="O349" t="s">
        <v>38</v>
      </c>
      <c r="T349" s="2">
        <f>'SUPUESTOS PRECIOS'!$B$9</f>
        <v>0</v>
      </c>
      <c r="U349" s="3">
        <f>'SUPUESTOS PRECIOS'!$B$5/'SUPUESTOS PRECIOS'!$B$4</f>
        <v>1000</v>
      </c>
      <c r="V349" s="3">
        <f>('SUPUESTOS PRECIOS'!$B$6-'SUPUESTOS PRECIOS'!$B$7)/'SUPUESTOS PRECIOS'!$B$4</f>
        <v>377.5</v>
      </c>
      <c r="W349" s="4">
        <f>'SUPUESTOS PRECIOS'!$B$8</f>
        <v>9.6799999999999994E-3</v>
      </c>
      <c r="X349" s="4">
        <f>'SUPUESTOS PRECIOS'!$B$2</f>
        <v>0.4</v>
      </c>
      <c r="Y349" s="3" t="str">
        <f t="shared" si="21"/>
        <v/>
      </c>
      <c r="Z349" s="3" t="str">
        <f t="shared" si="22"/>
        <v/>
      </c>
      <c r="AA349" s="11" t="str">
        <f t="shared" si="23"/>
        <v/>
      </c>
    </row>
    <row r="350" spans="1:27" x14ac:dyDescent="0.35">
      <c r="A350" s="10" t="s">
        <v>1473</v>
      </c>
      <c r="F350" t="s">
        <v>1358</v>
      </c>
      <c r="K350">
        <v>1</v>
      </c>
      <c r="L350" t="str">
        <f t="shared" si="20"/>
        <v/>
      </c>
      <c r="O350" t="s">
        <v>38</v>
      </c>
      <c r="T350" s="2">
        <f>'SUPUESTOS PRECIOS'!$B$9</f>
        <v>0</v>
      </c>
      <c r="U350" s="3">
        <f>'SUPUESTOS PRECIOS'!$B$5/'SUPUESTOS PRECIOS'!$B$4</f>
        <v>1000</v>
      </c>
      <c r="V350" s="3">
        <f>('SUPUESTOS PRECIOS'!$B$6-'SUPUESTOS PRECIOS'!$B$7)/'SUPUESTOS PRECIOS'!$B$4</f>
        <v>377.5</v>
      </c>
      <c r="W350" s="4">
        <f>'SUPUESTOS PRECIOS'!$B$8</f>
        <v>9.6799999999999994E-3</v>
      </c>
      <c r="X350" s="4">
        <f>'SUPUESTOS PRECIOS'!$B$2</f>
        <v>0.4</v>
      </c>
      <c r="Y350" s="3" t="str">
        <f t="shared" si="21"/>
        <v/>
      </c>
      <c r="Z350" s="3" t="str">
        <f t="shared" si="22"/>
        <v/>
      </c>
      <c r="AA350" s="11" t="str">
        <f t="shared" si="23"/>
        <v/>
      </c>
    </row>
    <row r="351" spans="1:27" x14ac:dyDescent="0.35">
      <c r="A351" s="10" t="s">
        <v>1474</v>
      </c>
      <c r="F351" t="s">
        <v>1358</v>
      </c>
      <c r="K351">
        <v>1</v>
      </c>
      <c r="L351" t="str">
        <f t="shared" si="20"/>
        <v/>
      </c>
      <c r="O351" t="s">
        <v>38</v>
      </c>
      <c r="T351" s="2">
        <f>'SUPUESTOS PRECIOS'!$B$9</f>
        <v>0</v>
      </c>
      <c r="U351" s="3">
        <f>'SUPUESTOS PRECIOS'!$B$5/'SUPUESTOS PRECIOS'!$B$4</f>
        <v>1000</v>
      </c>
      <c r="V351" s="3">
        <f>('SUPUESTOS PRECIOS'!$B$6-'SUPUESTOS PRECIOS'!$B$7)/'SUPUESTOS PRECIOS'!$B$4</f>
        <v>377.5</v>
      </c>
      <c r="W351" s="4">
        <f>'SUPUESTOS PRECIOS'!$B$8</f>
        <v>9.6799999999999994E-3</v>
      </c>
      <c r="X351" s="4">
        <f>'SUPUESTOS PRECIOS'!$B$2</f>
        <v>0.4</v>
      </c>
      <c r="Y351" s="3" t="str">
        <f t="shared" si="21"/>
        <v/>
      </c>
      <c r="Z351" s="3" t="str">
        <f t="shared" si="22"/>
        <v/>
      </c>
      <c r="AA351" s="11" t="str">
        <f t="shared" si="23"/>
        <v/>
      </c>
    </row>
    <row r="352" spans="1:27" x14ac:dyDescent="0.35">
      <c r="A352" s="10" t="s">
        <v>1475</v>
      </c>
      <c r="F352" t="s">
        <v>1358</v>
      </c>
      <c r="K352">
        <v>1</v>
      </c>
      <c r="L352" t="str">
        <f t="shared" si="20"/>
        <v/>
      </c>
      <c r="O352" t="s">
        <v>38</v>
      </c>
      <c r="T352" s="2">
        <f>'SUPUESTOS PRECIOS'!$B$9</f>
        <v>0</v>
      </c>
      <c r="U352" s="3">
        <f>'SUPUESTOS PRECIOS'!$B$5/'SUPUESTOS PRECIOS'!$B$4</f>
        <v>1000</v>
      </c>
      <c r="V352" s="3">
        <f>('SUPUESTOS PRECIOS'!$B$6-'SUPUESTOS PRECIOS'!$B$7)/'SUPUESTOS PRECIOS'!$B$4</f>
        <v>377.5</v>
      </c>
      <c r="W352" s="4">
        <f>'SUPUESTOS PRECIOS'!$B$8</f>
        <v>9.6799999999999994E-3</v>
      </c>
      <c r="X352" s="4">
        <f>'SUPUESTOS PRECIOS'!$B$2</f>
        <v>0.4</v>
      </c>
      <c r="Y352" s="3" t="str">
        <f t="shared" si="21"/>
        <v/>
      </c>
      <c r="Z352" s="3" t="str">
        <f t="shared" si="22"/>
        <v/>
      </c>
      <c r="AA352" s="11" t="str">
        <f t="shared" si="23"/>
        <v/>
      </c>
    </row>
    <row r="353" spans="1:27" x14ac:dyDescent="0.35">
      <c r="A353" s="10" t="s">
        <v>1476</v>
      </c>
      <c r="F353" t="s">
        <v>1358</v>
      </c>
      <c r="K353">
        <v>1</v>
      </c>
      <c r="L353" t="str">
        <f t="shared" si="20"/>
        <v/>
      </c>
      <c r="O353" t="s">
        <v>38</v>
      </c>
      <c r="T353" s="2">
        <f>'SUPUESTOS PRECIOS'!$B$9</f>
        <v>0</v>
      </c>
      <c r="U353" s="3">
        <f>'SUPUESTOS PRECIOS'!$B$5/'SUPUESTOS PRECIOS'!$B$4</f>
        <v>1000</v>
      </c>
      <c r="V353" s="3">
        <f>('SUPUESTOS PRECIOS'!$B$6-'SUPUESTOS PRECIOS'!$B$7)/'SUPUESTOS PRECIOS'!$B$4</f>
        <v>377.5</v>
      </c>
      <c r="W353" s="4">
        <f>'SUPUESTOS PRECIOS'!$B$8</f>
        <v>9.6799999999999994E-3</v>
      </c>
      <c r="X353" s="4">
        <f>'SUPUESTOS PRECIOS'!$B$2</f>
        <v>0.4</v>
      </c>
      <c r="Y353" s="3" t="str">
        <f t="shared" si="21"/>
        <v/>
      </c>
      <c r="Z353" s="3" t="str">
        <f t="shared" si="22"/>
        <v/>
      </c>
      <c r="AA353" s="11" t="str">
        <f t="shared" si="23"/>
        <v/>
      </c>
    </row>
    <row r="354" spans="1:27" x14ac:dyDescent="0.35">
      <c r="A354" s="10" t="s">
        <v>1477</v>
      </c>
      <c r="F354" t="s">
        <v>1358</v>
      </c>
      <c r="K354">
        <v>1</v>
      </c>
      <c r="L354" t="str">
        <f t="shared" si="20"/>
        <v/>
      </c>
      <c r="O354" t="s">
        <v>38</v>
      </c>
      <c r="T354" s="2">
        <f>'SUPUESTOS PRECIOS'!$B$9</f>
        <v>0</v>
      </c>
      <c r="U354" s="3">
        <f>'SUPUESTOS PRECIOS'!$B$5/'SUPUESTOS PRECIOS'!$B$4</f>
        <v>1000</v>
      </c>
      <c r="V354" s="3">
        <f>('SUPUESTOS PRECIOS'!$B$6-'SUPUESTOS PRECIOS'!$B$7)/'SUPUESTOS PRECIOS'!$B$4</f>
        <v>377.5</v>
      </c>
      <c r="W354" s="4">
        <f>'SUPUESTOS PRECIOS'!$B$8</f>
        <v>9.6799999999999994E-3</v>
      </c>
      <c r="X354" s="4">
        <f>'SUPUESTOS PRECIOS'!$B$2</f>
        <v>0.4</v>
      </c>
      <c r="Y354" s="3" t="str">
        <f t="shared" si="21"/>
        <v/>
      </c>
      <c r="Z354" s="3" t="str">
        <f t="shared" si="22"/>
        <v/>
      </c>
      <c r="AA354" s="11" t="str">
        <f t="shared" si="23"/>
        <v/>
      </c>
    </row>
    <row r="355" spans="1:27" x14ac:dyDescent="0.35">
      <c r="A355" s="10" t="s">
        <v>1478</v>
      </c>
      <c r="F355" t="s">
        <v>1358</v>
      </c>
      <c r="K355">
        <v>1</v>
      </c>
      <c r="L355" t="str">
        <f t="shared" si="20"/>
        <v/>
      </c>
      <c r="O355" t="s">
        <v>38</v>
      </c>
      <c r="T355" s="2">
        <f>'SUPUESTOS PRECIOS'!$B$9</f>
        <v>0</v>
      </c>
      <c r="U355" s="3">
        <f>'SUPUESTOS PRECIOS'!$B$5/'SUPUESTOS PRECIOS'!$B$4</f>
        <v>1000</v>
      </c>
      <c r="V355" s="3">
        <f>('SUPUESTOS PRECIOS'!$B$6-'SUPUESTOS PRECIOS'!$B$7)/'SUPUESTOS PRECIOS'!$B$4</f>
        <v>377.5</v>
      </c>
      <c r="W355" s="4">
        <f>'SUPUESTOS PRECIOS'!$B$8</f>
        <v>9.6799999999999994E-3</v>
      </c>
      <c r="X355" s="4">
        <f>'SUPUESTOS PRECIOS'!$B$2</f>
        <v>0.4</v>
      </c>
      <c r="Y355" s="3" t="str">
        <f t="shared" si="21"/>
        <v/>
      </c>
      <c r="Z355" s="3" t="str">
        <f t="shared" si="22"/>
        <v/>
      </c>
      <c r="AA355" s="11" t="str">
        <f t="shared" si="23"/>
        <v/>
      </c>
    </row>
    <row r="356" spans="1:27" x14ac:dyDescent="0.35">
      <c r="A356" s="10" t="s">
        <v>1479</v>
      </c>
      <c r="F356" t="s">
        <v>1358</v>
      </c>
      <c r="K356">
        <v>1</v>
      </c>
      <c r="L356" t="str">
        <f t="shared" si="20"/>
        <v/>
      </c>
      <c r="O356" t="s">
        <v>38</v>
      </c>
      <c r="T356" s="2">
        <f>'SUPUESTOS PRECIOS'!$B$9</f>
        <v>0</v>
      </c>
      <c r="U356" s="3">
        <f>'SUPUESTOS PRECIOS'!$B$5/'SUPUESTOS PRECIOS'!$B$4</f>
        <v>1000</v>
      </c>
      <c r="V356" s="3">
        <f>('SUPUESTOS PRECIOS'!$B$6-'SUPUESTOS PRECIOS'!$B$7)/'SUPUESTOS PRECIOS'!$B$4</f>
        <v>377.5</v>
      </c>
      <c r="W356" s="4">
        <f>'SUPUESTOS PRECIOS'!$B$8</f>
        <v>9.6799999999999994E-3</v>
      </c>
      <c r="X356" s="4">
        <f>'SUPUESTOS PRECIOS'!$B$2</f>
        <v>0.4</v>
      </c>
      <c r="Y356" s="3" t="str">
        <f t="shared" si="21"/>
        <v/>
      </c>
      <c r="Z356" s="3" t="str">
        <f t="shared" si="22"/>
        <v/>
      </c>
      <c r="AA356" s="11" t="str">
        <f t="shared" si="23"/>
        <v/>
      </c>
    </row>
    <row r="357" spans="1:27" x14ac:dyDescent="0.35">
      <c r="A357" s="10" t="s">
        <v>1480</v>
      </c>
      <c r="F357" t="s">
        <v>1358</v>
      </c>
      <c r="K357">
        <v>1</v>
      </c>
      <c r="L357" t="str">
        <f t="shared" si="20"/>
        <v/>
      </c>
      <c r="O357" t="s">
        <v>38</v>
      </c>
      <c r="T357" s="2">
        <f>'SUPUESTOS PRECIOS'!$B$9</f>
        <v>0</v>
      </c>
      <c r="U357" s="3">
        <f>'SUPUESTOS PRECIOS'!$B$5/'SUPUESTOS PRECIOS'!$B$4</f>
        <v>1000</v>
      </c>
      <c r="V357" s="3">
        <f>('SUPUESTOS PRECIOS'!$B$6-'SUPUESTOS PRECIOS'!$B$7)/'SUPUESTOS PRECIOS'!$B$4</f>
        <v>377.5</v>
      </c>
      <c r="W357" s="4">
        <f>'SUPUESTOS PRECIOS'!$B$8</f>
        <v>9.6799999999999994E-3</v>
      </c>
      <c r="X357" s="4">
        <f>'SUPUESTOS PRECIOS'!$B$2</f>
        <v>0.4</v>
      </c>
      <c r="Y357" s="3" t="str">
        <f t="shared" si="21"/>
        <v/>
      </c>
      <c r="Z357" s="3" t="str">
        <f t="shared" si="22"/>
        <v/>
      </c>
      <c r="AA357" s="11" t="str">
        <f t="shared" si="23"/>
        <v/>
      </c>
    </row>
    <row r="358" spans="1:27" x14ac:dyDescent="0.35">
      <c r="A358" s="10" t="s">
        <v>1481</v>
      </c>
      <c r="F358" t="s">
        <v>1358</v>
      </c>
      <c r="K358">
        <v>1</v>
      </c>
      <c r="L358" t="str">
        <f t="shared" si="20"/>
        <v/>
      </c>
      <c r="O358" t="s">
        <v>38</v>
      </c>
      <c r="T358" s="2">
        <f>'SUPUESTOS PRECIOS'!$B$9</f>
        <v>0</v>
      </c>
      <c r="U358" s="3">
        <f>'SUPUESTOS PRECIOS'!$B$5/'SUPUESTOS PRECIOS'!$B$4</f>
        <v>1000</v>
      </c>
      <c r="V358" s="3">
        <f>('SUPUESTOS PRECIOS'!$B$6-'SUPUESTOS PRECIOS'!$B$7)/'SUPUESTOS PRECIOS'!$B$4</f>
        <v>377.5</v>
      </c>
      <c r="W358" s="4">
        <f>'SUPUESTOS PRECIOS'!$B$8</f>
        <v>9.6799999999999994E-3</v>
      </c>
      <c r="X358" s="4">
        <f>'SUPUESTOS PRECIOS'!$B$2</f>
        <v>0.4</v>
      </c>
      <c r="Y358" s="3" t="str">
        <f t="shared" si="21"/>
        <v/>
      </c>
      <c r="Z358" s="3" t="str">
        <f t="shared" si="22"/>
        <v/>
      </c>
      <c r="AA358" s="11" t="str">
        <f t="shared" si="23"/>
        <v/>
      </c>
    </row>
    <row r="359" spans="1:27" x14ac:dyDescent="0.35">
      <c r="A359" s="10" t="s">
        <v>1482</v>
      </c>
      <c r="F359" t="s">
        <v>1358</v>
      </c>
      <c r="K359">
        <v>1</v>
      </c>
      <c r="L359" t="str">
        <f t="shared" si="20"/>
        <v/>
      </c>
      <c r="O359" t="s">
        <v>38</v>
      </c>
      <c r="T359" s="2">
        <f>'SUPUESTOS PRECIOS'!$B$9</f>
        <v>0</v>
      </c>
      <c r="U359" s="3">
        <f>'SUPUESTOS PRECIOS'!$B$5/'SUPUESTOS PRECIOS'!$B$4</f>
        <v>1000</v>
      </c>
      <c r="V359" s="3">
        <f>('SUPUESTOS PRECIOS'!$B$6-'SUPUESTOS PRECIOS'!$B$7)/'SUPUESTOS PRECIOS'!$B$4</f>
        <v>377.5</v>
      </c>
      <c r="W359" s="4">
        <f>'SUPUESTOS PRECIOS'!$B$8</f>
        <v>9.6799999999999994E-3</v>
      </c>
      <c r="X359" s="4">
        <f>'SUPUESTOS PRECIOS'!$B$2</f>
        <v>0.4</v>
      </c>
      <c r="Y359" s="3" t="str">
        <f t="shared" si="21"/>
        <v/>
      </c>
      <c r="Z359" s="3" t="str">
        <f t="shared" si="22"/>
        <v/>
      </c>
      <c r="AA359" s="11" t="str">
        <f t="shared" si="23"/>
        <v/>
      </c>
    </row>
    <row r="360" spans="1:27" x14ac:dyDescent="0.35">
      <c r="A360" s="10" t="s">
        <v>1483</v>
      </c>
      <c r="F360" t="s">
        <v>1358</v>
      </c>
      <c r="K360">
        <v>1</v>
      </c>
      <c r="L360" t="str">
        <f t="shared" si="20"/>
        <v/>
      </c>
      <c r="O360" t="s">
        <v>38</v>
      </c>
      <c r="T360" s="2">
        <f>'SUPUESTOS PRECIOS'!$B$9</f>
        <v>0</v>
      </c>
      <c r="U360" s="3">
        <f>'SUPUESTOS PRECIOS'!$B$5/'SUPUESTOS PRECIOS'!$B$4</f>
        <v>1000</v>
      </c>
      <c r="V360" s="3">
        <f>('SUPUESTOS PRECIOS'!$B$6-'SUPUESTOS PRECIOS'!$B$7)/'SUPUESTOS PRECIOS'!$B$4</f>
        <v>377.5</v>
      </c>
      <c r="W360" s="4">
        <f>'SUPUESTOS PRECIOS'!$B$8</f>
        <v>9.6799999999999994E-3</v>
      </c>
      <c r="X360" s="4">
        <f>'SUPUESTOS PRECIOS'!$B$2</f>
        <v>0.4</v>
      </c>
      <c r="Y360" s="3" t="str">
        <f t="shared" si="21"/>
        <v/>
      </c>
      <c r="Z360" s="3" t="str">
        <f t="shared" si="22"/>
        <v/>
      </c>
      <c r="AA360" s="11" t="str">
        <f t="shared" si="23"/>
        <v/>
      </c>
    </row>
    <row r="361" spans="1:27" x14ac:dyDescent="0.35">
      <c r="A361" s="10" t="s">
        <v>1484</v>
      </c>
      <c r="F361" t="s">
        <v>1358</v>
      </c>
      <c r="K361">
        <v>1</v>
      </c>
      <c r="L361" t="str">
        <f t="shared" si="20"/>
        <v/>
      </c>
      <c r="O361" t="s">
        <v>38</v>
      </c>
      <c r="T361" s="2">
        <f>'SUPUESTOS PRECIOS'!$B$9</f>
        <v>0</v>
      </c>
      <c r="U361" s="3">
        <f>'SUPUESTOS PRECIOS'!$B$5/'SUPUESTOS PRECIOS'!$B$4</f>
        <v>1000</v>
      </c>
      <c r="V361" s="3">
        <f>('SUPUESTOS PRECIOS'!$B$6-'SUPUESTOS PRECIOS'!$B$7)/'SUPUESTOS PRECIOS'!$B$4</f>
        <v>377.5</v>
      </c>
      <c r="W361" s="4">
        <f>'SUPUESTOS PRECIOS'!$B$8</f>
        <v>9.6799999999999994E-3</v>
      </c>
      <c r="X361" s="4">
        <f>'SUPUESTOS PRECIOS'!$B$2</f>
        <v>0.4</v>
      </c>
      <c r="Y361" s="3" t="str">
        <f t="shared" si="21"/>
        <v/>
      </c>
      <c r="Z361" s="3" t="str">
        <f t="shared" si="22"/>
        <v/>
      </c>
      <c r="AA361" s="11" t="str">
        <f t="shared" si="23"/>
        <v/>
      </c>
    </row>
    <row r="362" spans="1:27" x14ac:dyDescent="0.35">
      <c r="A362" s="10" t="s">
        <v>1485</v>
      </c>
      <c r="F362" t="s">
        <v>1358</v>
      </c>
      <c r="K362">
        <v>1</v>
      </c>
      <c r="L362" t="str">
        <f t="shared" si="20"/>
        <v/>
      </c>
      <c r="O362" t="s">
        <v>38</v>
      </c>
      <c r="T362" s="2">
        <f>'SUPUESTOS PRECIOS'!$B$9</f>
        <v>0</v>
      </c>
      <c r="U362" s="3">
        <f>'SUPUESTOS PRECIOS'!$B$5/'SUPUESTOS PRECIOS'!$B$4</f>
        <v>1000</v>
      </c>
      <c r="V362" s="3">
        <f>('SUPUESTOS PRECIOS'!$B$6-'SUPUESTOS PRECIOS'!$B$7)/'SUPUESTOS PRECIOS'!$B$4</f>
        <v>377.5</v>
      </c>
      <c r="W362" s="4">
        <f>'SUPUESTOS PRECIOS'!$B$8</f>
        <v>9.6799999999999994E-3</v>
      </c>
      <c r="X362" s="4">
        <f>'SUPUESTOS PRECIOS'!$B$2</f>
        <v>0.4</v>
      </c>
      <c r="Y362" s="3" t="str">
        <f t="shared" si="21"/>
        <v/>
      </c>
      <c r="Z362" s="3" t="str">
        <f t="shared" si="22"/>
        <v/>
      </c>
      <c r="AA362" s="11" t="str">
        <f t="shared" si="23"/>
        <v/>
      </c>
    </row>
    <row r="363" spans="1:27" x14ac:dyDescent="0.35">
      <c r="A363" s="10" t="s">
        <v>1486</v>
      </c>
      <c r="F363" t="s">
        <v>1358</v>
      </c>
      <c r="K363">
        <v>1</v>
      </c>
      <c r="L363" t="str">
        <f t="shared" si="20"/>
        <v/>
      </c>
      <c r="O363" t="s">
        <v>38</v>
      </c>
      <c r="T363" s="2">
        <f>'SUPUESTOS PRECIOS'!$B$9</f>
        <v>0</v>
      </c>
      <c r="U363" s="3">
        <f>'SUPUESTOS PRECIOS'!$B$5/'SUPUESTOS PRECIOS'!$B$4</f>
        <v>1000</v>
      </c>
      <c r="V363" s="3">
        <f>('SUPUESTOS PRECIOS'!$B$6-'SUPUESTOS PRECIOS'!$B$7)/'SUPUESTOS PRECIOS'!$B$4</f>
        <v>377.5</v>
      </c>
      <c r="W363" s="4">
        <f>'SUPUESTOS PRECIOS'!$B$8</f>
        <v>9.6799999999999994E-3</v>
      </c>
      <c r="X363" s="4">
        <f>'SUPUESTOS PRECIOS'!$B$2</f>
        <v>0.4</v>
      </c>
      <c r="Y363" s="3" t="str">
        <f t="shared" si="21"/>
        <v/>
      </c>
      <c r="Z363" s="3" t="str">
        <f t="shared" si="22"/>
        <v/>
      </c>
      <c r="AA363" s="11" t="str">
        <f t="shared" si="23"/>
        <v/>
      </c>
    </row>
    <row r="364" spans="1:27" x14ac:dyDescent="0.35">
      <c r="A364" s="10" t="s">
        <v>1487</v>
      </c>
      <c r="F364" t="s">
        <v>1358</v>
      </c>
      <c r="K364">
        <v>1</v>
      </c>
      <c r="L364" t="str">
        <f t="shared" si="20"/>
        <v/>
      </c>
      <c r="O364" t="s">
        <v>38</v>
      </c>
      <c r="T364" s="2">
        <f>'SUPUESTOS PRECIOS'!$B$9</f>
        <v>0</v>
      </c>
      <c r="U364" s="3">
        <f>'SUPUESTOS PRECIOS'!$B$5/'SUPUESTOS PRECIOS'!$B$4</f>
        <v>1000</v>
      </c>
      <c r="V364" s="3">
        <f>('SUPUESTOS PRECIOS'!$B$6-'SUPUESTOS PRECIOS'!$B$7)/'SUPUESTOS PRECIOS'!$B$4</f>
        <v>377.5</v>
      </c>
      <c r="W364" s="4">
        <f>'SUPUESTOS PRECIOS'!$B$8</f>
        <v>9.6799999999999994E-3</v>
      </c>
      <c r="X364" s="4">
        <f>'SUPUESTOS PRECIOS'!$B$2</f>
        <v>0.4</v>
      </c>
      <c r="Y364" s="3" t="str">
        <f t="shared" si="21"/>
        <v/>
      </c>
      <c r="Z364" s="3" t="str">
        <f t="shared" si="22"/>
        <v/>
      </c>
      <c r="AA364" s="11" t="str">
        <f t="shared" si="23"/>
        <v/>
      </c>
    </row>
    <row r="365" spans="1:27" x14ac:dyDescent="0.35">
      <c r="A365" s="10" t="s">
        <v>1488</v>
      </c>
      <c r="F365" t="s">
        <v>1358</v>
      </c>
      <c r="K365">
        <v>1</v>
      </c>
      <c r="L365" t="str">
        <f t="shared" si="20"/>
        <v/>
      </c>
      <c r="O365" t="s">
        <v>38</v>
      </c>
      <c r="T365" s="2">
        <f>'SUPUESTOS PRECIOS'!$B$9</f>
        <v>0</v>
      </c>
      <c r="U365" s="3">
        <f>'SUPUESTOS PRECIOS'!$B$5/'SUPUESTOS PRECIOS'!$B$4</f>
        <v>1000</v>
      </c>
      <c r="V365" s="3">
        <f>('SUPUESTOS PRECIOS'!$B$6-'SUPUESTOS PRECIOS'!$B$7)/'SUPUESTOS PRECIOS'!$B$4</f>
        <v>377.5</v>
      </c>
      <c r="W365" s="4">
        <f>'SUPUESTOS PRECIOS'!$B$8</f>
        <v>9.6799999999999994E-3</v>
      </c>
      <c r="X365" s="4">
        <f>'SUPUESTOS PRECIOS'!$B$2</f>
        <v>0.4</v>
      </c>
      <c r="Y365" s="3" t="str">
        <f t="shared" si="21"/>
        <v/>
      </c>
      <c r="Z365" s="3" t="str">
        <f t="shared" si="22"/>
        <v/>
      </c>
      <c r="AA365" s="11" t="str">
        <f t="shared" si="23"/>
        <v/>
      </c>
    </row>
    <row r="366" spans="1:27" x14ac:dyDescent="0.35">
      <c r="A366" s="10" t="s">
        <v>1489</v>
      </c>
      <c r="F366" t="s">
        <v>1358</v>
      </c>
      <c r="K366">
        <v>1</v>
      </c>
      <c r="L366" t="str">
        <f t="shared" si="20"/>
        <v/>
      </c>
      <c r="O366" t="s">
        <v>38</v>
      </c>
      <c r="T366" s="2">
        <f>'SUPUESTOS PRECIOS'!$B$9</f>
        <v>0</v>
      </c>
      <c r="U366" s="3">
        <f>'SUPUESTOS PRECIOS'!$B$5/'SUPUESTOS PRECIOS'!$B$4</f>
        <v>1000</v>
      </c>
      <c r="V366" s="3">
        <f>('SUPUESTOS PRECIOS'!$B$6-'SUPUESTOS PRECIOS'!$B$7)/'SUPUESTOS PRECIOS'!$B$4</f>
        <v>377.5</v>
      </c>
      <c r="W366" s="4">
        <f>'SUPUESTOS PRECIOS'!$B$8</f>
        <v>9.6799999999999994E-3</v>
      </c>
      <c r="X366" s="4">
        <f>'SUPUESTOS PRECIOS'!$B$2</f>
        <v>0.4</v>
      </c>
      <c r="Y366" s="3" t="str">
        <f t="shared" si="21"/>
        <v/>
      </c>
      <c r="Z366" s="3" t="str">
        <f t="shared" si="22"/>
        <v/>
      </c>
      <c r="AA366" s="11" t="str">
        <f t="shared" si="23"/>
        <v/>
      </c>
    </row>
    <row r="367" spans="1:27" x14ac:dyDescent="0.35">
      <c r="A367" s="10" t="s">
        <v>1490</v>
      </c>
      <c r="F367" t="s">
        <v>1358</v>
      </c>
      <c r="K367">
        <v>1</v>
      </c>
      <c r="L367" t="str">
        <f t="shared" si="20"/>
        <v/>
      </c>
      <c r="O367" t="s">
        <v>38</v>
      </c>
      <c r="T367" s="2">
        <f>'SUPUESTOS PRECIOS'!$B$9</f>
        <v>0</v>
      </c>
      <c r="U367" s="3">
        <f>'SUPUESTOS PRECIOS'!$B$5/'SUPUESTOS PRECIOS'!$B$4</f>
        <v>1000</v>
      </c>
      <c r="V367" s="3">
        <f>('SUPUESTOS PRECIOS'!$B$6-'SUPUESTOS PRECIOS'!$B$7)/'SUPUESTOS PRECIOS'!$B$4</f>
        <v>377.5</v>
      </c>
      <c r="W367" s="4">
        <f>'SUPUESTOS PRECIOS'!$B$8</f>
        <v>9.6799999999999994E-3</v>
      </c>
      <c r="X367" s="4">
        <f>'SUPUESTOS PRECIOS'!$B$2</f>
        <v>0.4</v>
      </c>
      <c r="Y367" s="3" t="str">
        <f t="shared" si="21"/>
        <v/>
      </c>
      <c r="Z367" s="3" t="str">
        <f t="shared" si="22"/>
        <v/>
      </c>
      <c r="AA367" s="11" t="str">
        <f t="shared" si="23"/>
        <v/>
      </c>
    </row>
    <row r="368" spans="1:27" x14ac:dyDescent="0.35">
      <c r="A368" s="10" t="s">
        <v>1491</v>
      </c>
      <c r="F368" t="s">
        <v>1358</v>
      </c>
      <c r="K368">
        <v>1</v>
      </c>
      <c r="L368" t="str">
        <f t="shared" si="20"/>
        <v/>
      </c>
      <c r="O368" t="s">
        <v>38</v>
      </c>
      <c r="T368" s="2">
        <f>'SUPUESTOS PRECIOS'!$B$9</f>
        <v>0</v>
      </c>
      <c r="U368" s="3">
        <f>'SUPUESTOS PRECIOS'!$B$5/'SUPUESTOS PRECIOS'!$B$4</f>
        <v>1000</v>
      </c>
      <c r="V368" s="3">
        <f>('SUPUESTOS PRECIOS'!$B$6-'SUPUESTOS PRECIOS'!$B$7)/'SUPUESTOS PRECIOS'!$B$4</f>
        <v>377.5</v>
      </c>
      <c r="W368" s="4">
        <f>'SUPUESTOS PRECIOS'!$B$8</f>
        <v>9.6799999999999994E-3</v>
      </c>
      <c r="X368" s="4">
        <f>'SUPUESTOS PRECIOS'!$B$2</f>
        <v>0.4</v>
      </c>
      <c r="Y368" s="3" t="str">
        <f t="shared" si="21"/>
        <v/>
      </c>
      <c r="Z368" s="3" t="str">
        <f t="shared" si="22"/>
        <v/>
      </c>
      <c r="AA368" s="11" t="str">
        <f t="shared" si="23"/>
        <v/>
      </c>
    </row>
    <row r="369" spans="1:27" x14ac:dyDescent="0.35">
      <c r="A369" s="10" t="s">
        <v>1492</v>
      </c>
      <c r="F369" t="s">
        <v>1358</v>
      </c>
      <c r="K369">
        <v>1</v>
      </c>
      <c r="L369" t="str">
        <f t="shared" si="20"/>
        <v/>
      </c>
      <c r="O369" t="s">
        <v>38</v>
      </c>
      <c r="T369" s="2">
        <f>'SUPUESTOS PRECIOS'!$B$9</f>
        <v>0</v>
      </c>
      <c r="U369" s="3">
        <f>'SUPUESTOS PRECIOS'!$B$5/'SUPUESTOS PRECIOS'!$B$4</f>
        <v>1000</v>
      </c>
      <c r="V369" s="3">
        <f>('SUPUESTOS PRECIOS'!$B$6-'SUPUESTOS PRECIOS'!$B$7)/'SUPUESTOS PRECIOS'!$B$4</f>
        <v>377.5</v>
      </c>
      <c r="W369" s="4">
        <f>'SUPUESTOS PRECIOS'!$B$8</f>
        <v>9.6799999999999994E-3</v>
      </c>
      <c r="X369" s="4">
        <f>'SUPUESTOS PRECIOS'!$B$2</f>
        <v>0.4</v>
      </c>
      <c r="Y369" s="3" t="str">
        <f t="shared" si="21"/>
        <v/>
      </c>
      <c r="Z369" s="3" t="str">
        <f t="shared" si="22"/>
        <v/>
      </c>
      <c r="AA369" s="11" t="str">
        <f t="shared" si="23"/>
        <v/>
      </c>
    </row>
    <row r="370" spans="1:27" x14ac:dyDescent="0.35">
      <c r="A370" s="10" t="s">
        <v>1493</v>
      </c>
      <c r="F370" t="s">
        <v>1358</v>
      </c>
      <c r="K370">
        <v>1</v>
      </c>
      <c r="L370" t="str">
        <f t="shared" si="20"/>
        <v/>
      </c>
      <c r="O370" t="s">
        <v>38</v>
      </c>
      <c r="T370" s="2">
        <f>'SUPUESTOS PRECIOS'!$B$9</f>
        <v>0</v>
      </c>
      <c r="U370" s="3">
        <f>'SUPUESTOS PRECIOS'!$B$5/'SUPUESTOS PRECIOS'!$B$4</f>
        <v>1000</v>
      </c>
      <c r="V370" s="3">
        <f>('SUPUESTOS PRECIOS'!$B$6-'SUPUESTOS PRECIOS'!$B$7)/'SUPUESTOS PRECIOS'!$B$4</f>
        <v>377.5</v>
      </c>
      <c r="W370" s="4">
        <f>'SUPUESTOS PRECIOS'!$B$8</f>
        <v>9.6799999999999994E-3</v>
      </c>
      <c r="X370" s="4">
        <f>'SUPUESTOS PRECIOS'!$B$2</f>
        <v>0.4</v>
      </c>
      <c r="Y370" s="3" t="str">
        <f t="shared" si="21"/>
        <v/>
      </c>
      <c r="Z370" s="3" t="str">
        <f t="shared" si="22"/>
        <v/>
      </c>
      <c r="AA370" s="11" t="str">
        <f t="shared" si="23"/>
        <v/>
      </c>
    </row>
    <row r="371" spans="1:27" x14ac:dyDescent="0.35">
      <c r="A371" s="10" t="s">
        <v>1494</v>
      </c>
      <c r="F371" t="s">
        <v>1358</v>
      </c>
      <c r="K371">
        <v>1</v>
      </c>
      <c r="L371" t="str">
        <f t="shared" si="20"/>
        <v/>
      </c>
      <c r="O371" t="s">
        <v>38</v>
      </c>
      <c r="T371" s="2">
        <f>'SUPUESTOS PRECIOS'!$B$9</f>
        <v>0</v>
      </c>
      <c r="U371" s="3">
        <f>'SUPUESTOS PRECIOS'!$B$5/'SUPUESTOS PRECIOS'!$B$4</f>
        <v>1000</v>
      </c>
      <c r="V371" s="3">
        <f>('SUPUESTOS PRECIOS'!$B$6-'SUPUESTOS PRECIOS'!$B$7)/'SUPUESTOS PRECIOS'!$B$4</f>
        <v>377.5</v>
      </c>
      <c r="W371" s="4">
        <f>'SUPUESTOS PRECIOS'!$B$8</f>
        <v>9.6799999999999994E-3</v>
      </c>
      <c r="X371" s="4">
        <f>'SUPUESTOS PRECIOS'!$B$2</f>
        <v>0.4</v>
      </c>
      <c r="Y371" s="3" t="str">
        <f t="shared" si="21"/>
        <v/>
      </c>
      <c r="Z371" s="3" t="str">
        <f t="shared" si="22"/>
        <v/>
      </c>
      <c r="AA371" s="11" t="str">
        <f t="shared" si="23"/>
        <v/>
      </c>
    </row>
    <row r="372" spans="1:27" x14ac:dyDescent="0.35">
      <c r="A372" s="10" t="s">
        <v>1495</v>
      </c>
      <c r="F372" t="s">
        <v>1358</v>
      </c>
      <c r="K372">
        <v>1</v>
      </c>
      <c r="L372" t="str">
        <f t="shared" si="20"/>
        <v/>
      </c>
      <c r="O372" t="s">
        <v>38</v>
      </c>
      <c r="T372" s="2">
        <f>'SUPUESTOS PRECIOS'!$B$9</f>
        <v>0</v>
      </c>
      <c r="U372" s="3">
        <f>'SUPUESTOS PRECIOS'!$B$5/'SUPUESTOS PRECIOS'!$B$4</f>
        <v>1000</v>
      </c>
      <c r="V372" s="3">
        <f>('SUPUESTOS PRECIOS'!$B$6-'SUPUESTOS PRECIOS'!$B$7)/'SUPUESTOS PRECIOS'!$B$4</f>
        <v>377.5</v>
      </c>
      <c r="W372" s="4">
        <f>'SUPUESTOS PRECIOS'!$B$8</f>
        <v>9.6799999999999994E-3</v>
      </c>
      <c r="X372" s="4">
        <f>'SUPUESTOS PRECIOS'!$B$2</f>
        <v>0.4</v>
      </c>
      <c r="Y372" s="3" t="str">
        <f t="shared" si="21"/>
        <v/>
      </c>
      <c r="Z372" s="3" t="str">
        <f t="shared" si="22"/>
        <v/>
      </c>
      <c r="AA372" s="11" t="str">
        <f t="shared" si="23"/>
        <v/>
      </c>
    </row>
    <row r="373" spans="1:27" x14ac:dyDescent="0.35">
      <c r="A373" s="10" t="s">
        <v>1496</v>
      </c>
      <c r="F373" t="s">
        <v>1358</v>
      </c>
      <c r="K373">
        <v>1</v>
      </c>
      <c r="L373" t="str">
        <f t="shared" si="20"/>
        <v/>
      </c>
      <c r="O373" t="s">
        <v>38</v>
      </c>
      <c r="T373" s="2">
        <f>'SUPUESTOS PRECIOS'!$B$9</f>
        <v>0</v>
      </c>
      <c r="U373" s="3">
        <f>'SUPUESTOS PRECIOS'!$B$5/'SUPUESTOS PRECIOS'!$B$4</f>
        <v>1000</v>
      </c>
      <c r="V373" s="3">
        <f>('SUPUESTOS PRECIOS'!$B$6-'SUPUESTOS PRECIOS'!$B$7)/'SUPUESTOS PRECIOS'!$B$4</f>
        <v>377.5</v>
      </c>
      <c r="W373" s="4">
        <f>'SUPUESTOS PRECIOS'!$B$8</f>
        <v>9.6799999999999994E-3</v>
      </c>
      <c r="X373" s="4">
        <f>'SUPUESTOS PRECIOS'!$B$2</f>
        <v>0.4</v>
      </c>
      <c r="Y373" s="3" t="str">
        <f t="shared" si="21"/>
        <v/>
      </c>
      <c r="Z373" s="3" t="str">
        <f t="shared" si="22"/>
        <v/>
      </c>
      <c r="AA373" s="11" t="str">
        <f t="shared" si="23"/>
        <v/>
      </c>
    </row>
    <row r="374" spans="1:27" x14ac:dyDescent="0.35">
      <c r="A374" s="10" t="s">
        <v>1497</v>
      </c>
      <c r="F374" t="s">
        <v>1358</v>
      </c>
      <c r="K374">
        <v>1</v>
      </c>
      <c r="L374" t="str">
        <f t="shared" si="20"/>
        <v/>
      </c>
      <c r="O374" t="s">
        <v>38</v>
      </c>
      <c r="T374" s="2">
        <f>'SUPUESTOS PRECIOS'!$B$9</f>
        <v>0</v>
      </c>
      <c r="U374" s="3">
        <f>'SUPUESTOS PRECIOS'!$B$5/'SUPUESTOS PRECIOS'!$B$4</f>
        <v>1000</v>
      </c>
      <c r="V374" s="3">
        <f>('SUPUESTOS PRECIOS'!$B$6-'SUPUESTOS PRECIOS'!$B$7)/'SUPUESTOS PRECIOS'!$B$4</f>
        <v>377.5</v>
      </c>
      <c r="W374" s="4">
        <f>'SUPUESTOS PRECIOS'!$B$8</f>
        <v>9.6799999999999994E-3</v>
      </c>
      <c r="X374" s="4">
        <f>'SUPUESTOS PRECIOS'!$B$2</f>
        <v>0.4</v>
      </c>
      <c r="Y374" s="3" t="str">
        <f t="shared" si="21"/>
        <v/>
      </c>
      <c r="Z374" s="3" t="str">
        <f t="shared" si="22"/>
        <v/>
      </c>
      <c r="AA374" s="11" t="str">
        <f t="shared" si="23"/>
        <v/>
      </c>
    </row>
    <row r="375" spans="1:27" x14ac:dyDescent="0.35">
      <c r="A375" s="10" t="s">
        <v>1498</v>
      </c>
      <c r="F375" t="s">
        <v>1358</v>
      </c>
      <c r="K375">
        <v>1</v>
      </c>
      <c r="L375" t="str">
        <f t="shared" si="20"/>
        <v/>
      </c>
      <c r="O375" t="s">
        <v>38</v>
      </c>
      <c r="T375" s="2">
        <f>'SUPUESTOS PRECIOS'!$B$9</f>
        <v>0</v>
      </c>
      <c r="U375" s="3">
        <f>'SUPUESTOS PRECIOS'!$B$5/'SUPUESTOS PRECIOS'!$B$4</f>
        <v>1000</v>
      </c>
      <c r="V375" s="3">
        <f>('SUPUESTOS PRECIOS'!$B$6-'SUPUESTOS PRECIOS'!$B$7)/'SUPUESTOS PRECIOS'!$B$4</f>
        <v>377.5</v>
      </c>
      <c r="W375" s="4">
        <f>'SUPUESTOS PRECIOS'!$B$8</f>
        <v>9.6799999999999994E-3</v>
      </c>
      <c r="X375" s="4">
        <f>'SUPUESTOS PRECIOS'!$B$2</f>
        <v>0.4</v>
      </c>
      <c r="Y375" s="3" t="str">
        <f t="shared" si="21"/>
        <v/>
      </c>
      <c r="Z375" s="3" t="str">
        <f t="shared" si="22"/>
        <v/>
      </c>
      <c r="AA375" s="11" t="str">
        <f t="shared" si="23"/>
        <v/>
      </c>
    </row>
    <row r="376" spans="1:27" x14ac:dyDescent="0.35">
      <c r="A376" s="10" t="s">
        <v>1499</v>
      </c>
      <c r="F376" t="s">
        <v>1358</v>
      </c>
      <c r="K376">
        <v>1</v>
      </c>
      <c r="L376" t="str">
        <f t="shared" si="20"/>
        <v/>
      </c>
      <c r="O376" t="s">
        <v>38</v>
      </c>
      <c r="T376" s="2">
        <f>'SUPUESTOS PRECIOS'!$B$9</f>
        <v>0</v>
      </c>
      <c r="U376" s="3">
        <f>'SUPUESTOS PRECIOS'!$B$5/'SUPUESTOS PRECIOS'!$B$4</f>
        <v>1000</v>
      </c>
      <c r="V376" s="3">
        <f>('SUPUESTOS PRECIOS'!$B$6-'SUPUESTOS PRECIOS'!$B$7)/'SUPUESTOS PRECIOS'!$B$4</f>
        <v>377.5</v>
      </c>
      <c r="W376" s="4">
        <f>'SUPUESTOS PRECIOS'!$B$8</f>
        <v>9.6799999999999994E-3</v>
      </c>
      <c r="X376" s="4">
        <f>'SUPUESTOS PRECIOS'!$B$2</f>
        <v>0.4</v>
      </c>
      <c r="Y376" s="3" t="str">
        <f t="shared" si="21"/>
        <v/>
      </c>
      <c r="Z376" s="3" t="str">
        <f t="shared" si="22"/>
        <v/>
      </c>
      <c r="AA376" s="11" t="str">
        <f t="shared" si="23"/>
        <v/>
      </c>
    </row>
    <row r="377" spans="1:27" x14ac:dyDescent="0.35">
      <c r="A377" s="10" t="s">
        <v>1500</v>
      </c>
      <c r="F377" t="s">
        <v>1358</v>
      </c>
      <c r="K377">
        <v>1</v>
      </c>
      <c r="L377" t="str">
        <f t="shared" si="20"/>
        <v/>
      </c>
      <c r="O377" t="s">
        <v>38</v>
      </c>
      <c r="T377" s="2">
        <f>'SUPUESTOS PRECIOS'!$B$9</f>
        <v>0</v>
      </c>
      <c r="U377" s="3">
        <f>'SUPUESTOS PRECIOS'!$B$5/'SUPUESTOS PRECIOS'!$B$4</f>
        <v>1000</v>
      </c>
      <c r="V377" s="3">
        <f>('SUPUESTOS PRECIOS'!$B$6-'SUPUESTOS PRECIOS'!$B$7)/'SUPUESTOS PRECIOS'!$B$4</f>
        <v>377.5</v>
      </c>
      <c r="W377" s="4">
        <f>'SUPUESTOS PRECIOS'!$B$8</f>
        <v>9.6799999999999994E-3</v>
      </c>
      <c r="X377" s="4">
        <f>'SUPUESTOS PRECIOS'!$B$2</f>
        <v>0.4</v>
      </c>
      <c r="Y377" s="3" t="str">
        <f t="shared" si="21"/>
        <v/>
      </c>
      <c r="Z377" s="3" t="str">
        <f t="shared" si="22"/>
        <v/>
      </c>
      <c r="AA377" s="11" t="str">
        <f t="shared" si="23"/>
        <v/>
      </c>
    </row>
    <row r="378" spans="1:27" x14ac:dyDescent="0.35">
      <c r="A378" s="10" t="s">
        <v>1501</v>
      </c>
      <c r="F378" t="s">
        <v>1358</v>
      </c>
      <c r="K378">
        <v>1</v>
      </c>
      <c r="L378" t="str">
        <f t="shared" si="20"/>
        <v/>
      </c>
      <c r="O378" t="s">
        <v>38</v>
      </c>
      <c r="T378" s="2">
        <f>'SUPUESTOS PRECIOS'!$B$9</f>
        <v>0</v>
      </c>
      <c r="U378" s="3">
        <f>'SUPUESTOS PRECIOS'!$B$5/'SUPUESTOS PRECIOS'!$B$4</f>
        <v>1000</v>
      </c>
      <c r="V378" s="3">
        <f>('SUPUESTOS PRECIOS'!$B$6-'SUPUESTOS PRECIOS'!$B$7)/'SUPUESTOS PRECIOS'!$B$4</f>
        <v>377.5</v>
      </c>
      <c r="W378" s="4">
        <f>'SUPUESTOS PRECIOS'!$B$8</f>
        <v>9.6799999999999994E-3</v>
      </c>
      <c r="X378" s="4">
        <f>'SUPUESTOS PRECIOS'!$B$2</f>
        <v>0.4</v>
      </c>
      <c r="Y378" s="3" t="str">
        <f t="shared" si="21"/>
        <v/>
      </c>
      <c r="Z378" s="3" t="str">
        <f t="shared" si="22"/>
        <v/>
      </c>
      <c r="AA378" s="11" t="str">
        <f t="shared" si="23"/>
        <v/>
      </c>
    </row>
    <row r="379" spans="1:27" x14ac:dyDescent="0.35">
      <c r="A379" s="10" t="s">
        <v>1502</v>
      </c>
      <c r="F379" t="s">
        <v>1358</v>
      </c>
      <c r="K379">
        <v>1</v>
      </c>
      <c r="L379" t="str">
        <f t="shared" si="20"/>
        <v/>
      </c>
      <c r="O379" t="s">
        <v>38</v>
      </c>
      <c r="T379" s="2">
        <f>'SUPUESTOS PRECIOS'!$B$9</f>
        <v>0</v>
      </c>
      <c r="U379" s="3">
        <f>'SUPUESTOS PRECIOS'!$B$5/'SUPUESTOS PRECIOS'!$B$4</f>
        <v>1000</v>
      </c>
      <c r="V379" s="3">
        <f>('SUPUESTOS PRECIOS'!$B$6-'SUPUESTOS PRECIOS'!$B$7)/'SUPUESTOS PRECIOS'!$B$4</f>
        <v>377.5</v>
      </c>
      <c r="W379" s="4">
        <f>'SUPUESTOS PRECIOS'!$B$8</f>
        <v>9.6799999999999994E-3</v>
      </c>
      <c r="X379" s="4">
        <f>'SUPUESTOS PRECIOS'!$B$2</f>
        <v>0.4</v>
      </c>
      <c r="Y379" s="3" t="str">
        <f t="shared" si="21"/>
        <v/>
      </c>
      <c r="Z379" s="3" t="str">
        <f t="shared" si="22"/>
        <v/>
      </c>
      <c r="AA379" s="11" t="str">
        <f t="shared" si="23"/>
        <v/>
      </c>
    </row>
    <row r="380" spans="1:27" x14ac:dyDescent="0.35">
      <c r="A380" s="10" t="s">
        <v>1503</v>
      </c>
      <c r="F380" t="s">
        <v>1358</v>
      </c>
      <c r="K380">
        <v>1</v>
      </c>
      <c r="L380" t="str">
        <f t="shared" si="20"/>
        <v/>
      </c>
      <c r="O380" t="s">
        <v>38</v>
      </c>
      <c r="T380" s="2">
        <f>'SUPUESTOS PRECIOS'!$B$9</f>
        <v>0</v>
      </c>
      <c r="U380" s="3">
        <f>'SUPUESTOS PRECIOS'!$B$5/'SUPUESTOS PRECIOS'!$B$4</f>
        <v>1000</v>
      </c>
      <c r="V380" s="3">
        <f>('SUPUESTOS PRECIOS'!$B$6-'SUPUESTOS PRECIOS'!$B$7)/'SUPUESTOS PRECIOS'!$B$4</f>
        <v>377.5</v>
      </c>
      <c r="W380" s="4">
        <f>'SUPUESTOS PRECIOS'!$B$8</f>
        <v>9.6799999999999994E-3</v>
      </c>
      <c r="X380" s="4">
        <f>'SUPUESTOS PRECIOS'!$B$2</f>
        <v>0.4</v>
      </c>
      <c r="Y380" s="3" t="str">
        <f t="shared" si="21"/>
        <v/>
      </c>
      <c r="Z380" s="3" t="str">
        <f t="shared" si="22"/>
        <v/>
      </c>
      <c r="AA380" s="11" t="str">
        <f t="shared" si="23"/>
        <v/>
      </c>
    </row>
    <row r="381" spans="1:27" x14ac:dyDescent="0.35">
      <c r="A381" s="10" t="s">
        <v>1504</v>
      </c>
      <c r="F381" t="s">
        <v>1358</v>
      </c>
      <c r="K381">
        <v>1</v>
      </c>
      <c r="L381" t="str">
        <f t="shared" si="20"/>
        <v/>
      </c>
      <c r="O381" t="s">
        <v>38</v>
      </c>
      <c r="T381" s="2">
        <f>'SUPUESTOS PRECIOS'!$B$9</f>
        <v>0</v>
      </c>
      <c r="U381" s="3">
        <f>'SUPUESTOS PRECIOS'!$B$5/'SUPUESTOS PRECIOS'!$B$4</f>
        <v>1000</v>
      </c>
      <c r="V381" s="3">
        <f>('SUPUESTOS PRECIOS'!$B$6-'SUPUESTOS PRECIOS'!$B$7)/'SUPUESTOS PRECIOS'!$B$4</f>
        <v>377.5</v>
      </c>
      <c r="W381" s="4">
        <f>'SUPUESTOS PRECIOS'!$B$8</f>
        <v>9.6799999999999994E-3</v>
      </c>
      <c r="X381" s="4">
        <f>'SUPUESTOS PRECIOS'!$B$2</f>
        <v>0.4</v>
      </c>
      <c r="Y381" s="3" t="str">
        <f t="shared" si="21"/>
        <v/>
      </c>
      <c r="Z381" s="3" t="str">
        <f t="shared" si="22"/>
        <v/>
      </c>
      <c r="AA381" s="11" t="str">
        <f t="shared" si="23"/>
        <v/>
      </c>
    </row>
    <row r="382" spans="1:27" x14ac:dyDescent="0.35">
      <c r="A382" s="10" t="s">
        <v>1505</v>
      </c>
      <c r="F382" t="s">
        <v>1358</v>
      </c>
      <c r="K382">
        <v>1</v>
      </c>
      <c r="L382" t="str">
        <f t="shared" si="20"/>
        <v/>
      </c>
      <c r="O382" t="s">
        <v>38</v>
      </c>
      <c r="T382" s="2">
        <f>'SUPUESTOS PRECIOS'!$B$9</f>
        <v>0</v>
      </c>
      <c r="U382" s="3">
        <f>'SUPUESTOS PRECIOS'!$B$5/'SUPUESTOS PRECIOS'!$B$4</f>
        <v>1000</v>
      </c>
      <c r="V382" s="3">
        <f>('SUPUESTOS PRECIOS'!$B$6-'SUPUESTOS PRECIOS'!$B$7)/'SUPUESTOS PRECIOS'!$B$4</f>
        <v>377.5</v>
      </c>
      <c r="W382" s="4">
        <f>'SUPUESTOS PRECIOS'!$B$8</f>
        <v>9.6799999999999994E-3</v>
      </c>
      <c r="X382" s="4">
        <f>'SUPUESTOS PRECIOS'!$B$2</f>
        <v>0.4</v>
      </c>
      <c r="Y382" s="3" t="str">
        <f t="shared" si="21"/>
        <v/>
      </c>
      <c r="Z382" s="3" t="str">
        <f t="shared" si="22"/>
        <v/>
      </c>
      <c r="AA382" s="11" t="str">
        <f t="shared" si="23"/>
        <v/>
      </c>
    </row>
    <row r="383" spans="1:27" x14ac:dyDescent="0.35">
      <c r="A383" s="10" t="s">
        <v>1506</v>
      </c>
      <c r="F383" t="s">
        <v>1358</v>
      </c>
      <c r="K383">
        <v>1</v>
      </c>
      <c r="L383" t="str">
        <f t="shared" si="20"/>
        <v/>
      </c>
      <c r="O383" t="s">
        <v>38</v>
      </c>
      <c r="T383" s="2">
        <f>'SUPUESTOS PRECIOS'!$B$9</f>
        <v>0</v>
      </c>
      <c r="U383" s="3">
        <f>'SUPUESTOS PRECIOS'!$B$5/'SUPUESTOS PRECIOS'!$B$4</f>
        <v>1000</v>
      </c>
      <c r="V383" s="3">
        <f>('SUPUESTOS PRECIOS'!$B$6-'SUPUESTOS PRECIOS'!$B$7)/'SUPUESTOS PRECIOS'!$B$4</f>
        <v>377.5</v>
      </c>
      <c r="W383" s="4">
        <f>'SUPUESTOS PRECIOS'!$B$8</f>
        <v>9.6799999999999994E-3</v>
      </c>
      <c r="X383" s="4">
        <f>'SUPUESTOS PRECIOS'!$B$2</f>
        <v>0.4</v>
      </c>
      <c r="Y383" s="3" t="str">
        <f t="shared" si="21"/>
        <v/>
      </c>
      <c r="Z383" s="3" t="str">
        <f t="shared" si="22"/>
        <v/>
      </c>
      <c r="AA383" s="11" t="str">
        <f t="shared" si="23"/>
        <v/>
      </c>
    </row>
    <row r="384" spans="1:27" x14ac:dyDescent="0.35">
      <c r="A384" s="10" t="s">
        <v>1507</v>
      </c>
      <c r="F384" t="s">
        <v>1358</v>
      </c>
      <c r="K384">
        <v>1</v>
      </c>
      <c r="L384" t="str">
        <f t="shared" si="20"/>
        <v/>
      </c>
      <c r="O384" t="s">
        <v>38</v>
      </c>
      <c r="T384" s="2">
        <f>'SUPUESTOS PRECIOS'!$B$9</f>
        <v>0</v>
      </c>
      <c r="U384" s="3">
        <f>'SUPUESTOS PRECIOS'!$B$5/'SUPUESTOS PRECIOS'!$B$4</f>
        <v>1000</v>
      </c>
      <c r="V384" s="3">
        <f>('SUPUESTOS PRECIOS'!$B$6-'SUPUESTOS PRECIOS'!$B$7)/'SUPUESTOS PRECIOS'!$B$4</f>
        <v>377.5</v>
      </c>
      <c r="W384" s="4">
        <f>'SUPUESTOS PRECIOS'!$B$8</f>
        <v>9.6799999999999994E-3</v>
      </c>
      <c r="X384" s="4">
        <f>'SUPUESTOS PRECIOS'!$B$2</f>
        <v>0.4</v>
      </c>
      <c r="Y384" s="3" t="str">
        <f t="shared" si="21"/>
        <v/>
      </c>
      <c r="Z384" s="3" t="str">
        <f t="shared" si="22"/>
        <v/>
      </c>
      <c r="AA384" s="11" t="str">
        <f t="shared" si="23"/>
        <v/>
      </c>
    </row>
    <row r="385" spans="1:27" x14ac:dyDescent="0.35">
      <c r="A385" s="10" t="s">
        <v>1508</v>
      </c>
      <c r="F385" t="s">
        <v>1358</v>
      </c>
      <c r="K385">
        <v>1</v>
      </c>
      <c r="L385" t="str">
        <f t="shared" si="20"/>
        <v/>
      </c>
      <c r="O385" t="s">
        <v>38</v>
      </c>
      <c r="T385" s="2">
        <f>'SUPUESTOS PRECIOS'!$B$9</f>
        <v>0</v>
      </c>
      <c r="U385" s="3">
        <f>'SUPUESTOS PRECIOS'!$B$5/'SUPUESTOS PRECIOS'!$B$4</f>
        <v>1000</v>
      </c>
      <c r="V385" s="3">
        <f>('SUPUESTOS PRECIOS'!$B$6-'SUPUESTOS PRECIOS'!$B$7)/'SUPUESTOS PRECIOS'!$B$4</f>
        <v>377.5</v>
      </c>
      <c r="W385" s="4">
        <f>'SUPUESTOS PRECIOS'!$B$8</f>
        <v>9.6799999999999994E-3</v>
      </c>
      <c r="X385" s="4">
        <f>'SUPUESTOS PRECIOS'!$B$2</f>
        <v>0.4</v>
      </c>
      <c r="Y385" s="3" t="str">
        <f t="shared" si="21"/>
        <v/>
      </c>
      <c r="Z385" s="3" t="str">
        <f t="shared" si="22"/>
        <v/>
      </c>
      <c r="AA385" s="11" t="str">
        <f t="shared" si="23"/>
        <v/>
      </c>
    </row>
    <row r="386" spans="1:27" x14ac:dyDescent="0.35">
      <c r="A386" s="10" t="s">
        <v>1509</v>
      </c>
      <c r="F386" t="s">
        <v>1358</v>
      </c>
      <c r="K386">
        <v>1</v>
      </c>
      <c r="L386" t="str">
        <f t="shared" ref="L386:L449" si="24">IF(J386="","",J386*(1+K386))</f>
        <v/>
      </c>
      <c r="O386" t="s">
        <v>38</v>
      </c>
      <c r="T386" s="2">
        <f>'SUPUESTOS PRECIOS'!$B$9</f>
        <v>0</v>
      </c>
      <c r="U386" s="3">
        <f>'SUPUESTOS PRECIOS'!$B$5/'SUPUESTOS PRECIOS'!$B$4</f>
        <v>1000</v>
      </c>
      <c r="V386" s="3">
        <f>('SUPUESTOS PRECIOS'!$B$6-'SUPUESTOS PRECIOS'!$B$7)/'SUPUESTOS PRECIOS'!$B$4</f>
        <v>377.5</v>
      </c>
      <c r="W386" s="4">
        <f>'SUPUESTOS PRECIOS'!$B$8</f>
        <v>9.6799999999999994E-3</v>
      </c>
      <c r="X386" s="4">
        <f>'SUPUESTOS PRECIOS'!$B$2</f>
        <v>0.4</v>
      </c>
      <c r="Y386" s="3" t="str">
        <f t="shared" ref="Y386:Y449" si="25">IF(OR($B386="",$J386=""),"",ROUND(($J386+$T386+$U386+$V386)/(1-$W386-$X386),-1))</f>
        <v/>
      </c>
      <c r="Z386" s="3" t="str">
        <f t="shared" ref="Z386:Z449" si="26">IF($Y386="","",$Y386-$J386-$T386-$U386-$V386-($Y386*$W386))</f>
        <v/>
      </c>
      <c r="AA386" s="11" t="str">
        <f t="shared" ref="AA386:AA449" si="27">IF($Y386="","",$Z386/$Y386)</f>
        <v/>
      </c>
    </row>
    <row r="387" spans="1:27" x14ac:dyDescent="0.35">
      <c r="A387" s="10" t="s">
        <v>1510</v>
      </c>
      <c r="F387" t="s">
        <v>1358</v>
      </c>
      <c r="K387">
        <v>1</v>
      </c>
      <c r="L387" t="str">
        <f t="shared" si="24"/>
        <v/>
      </c>
      <c r="O387" t="s">
        <v>38</v>
      </c>
      <c r="T387" s="2">
        <f>'SUPUESTOS PRECIOS'!$B$9</f>
        <v>0</v>
      </c>
      <c r="U387" s="3">
        <f>'SUPUESTOS PRECIOS'!$B$5/'SUPUESTOS PRECIOS'!$B$4</f>
        <v>1000</v>
      </c>
      <c r="V387" s="3">
        <f>('SUPUESTOS PRECIOS'!$B$6-'SUPUESTOS PRECIOS'!$B$7)/'SUPUESTOS PRECIOS'!$B$4</f>
        <v>377.5</v>
      </c>
      <c r="W387" s="4">
        <f>'SUPUESTOS PRECIOS'!$B$8</f>
        <v>9.6799999999999994E-3</v>
      </c>
      <c r="X387" s="4">
        <f>'SUPUESTOS PRECIOS'!$B$2</f>
        <v>0.4</v>
      </c>
      <c r="Y387" s="3" t="str">
        <f t="shared" si="25"/>
        <v/>
      </c>
      <c r="Z387" s="3" t="str">
        <f t="shared" si="26"/>
        <v/>
      </c>
      <c r="AA387" s="11" t="str">
        <f t="shared" si="27"/>
        <v/>
      </c>
    </row>
    <row r="388" spans="1:27" x14ac:dyDescent="0.35">
      <c r="A388" s="10" t="s">
        <v>1511</v>
      </c>
      <c r="F388" t="s">
        <v>1358</v>
      </c>
      <c r="K388">
        <v>1</v>
      </c>
      <c r="L388" t="str">
        <f t="shared" si="24"/>
        <v/>
      </c>
      <c r="O388" t="s">
        <v>38</v>
      </c>
      <c r="T388" s="2">
        <f>'SUPUESTOS PRECIOS'!$B$9</f>
        <v>0</v>
      </c>
      <c r="U388" s="3">
        <f>'SUPUESTOS PRECIOS'!$B$5/'SUPUESTOS PRECIOS'!$B$4</f>
        <v>1000</v>
      </c>
      <c r="V388" s="3">
        <f>('SUPUESTOS PRECIOS'!$B$6-'SUPUESTOS PRECIOS'!$B$7)/'SUPUESTOS PRECIOS'!$B$4</f>
        <v>377.5</v>
      </c>
      <c r="W388" s="4">
        <f>'SUPUESTOS PRECIOS'!$B$8</f>
        <v>9.6799999999999994E-3</v>
      </c>
      <c r="X388" s="4">
        <f>'SUPUESTOS PRECIOS'!$B$2</f>
        <v>0.4</v>
      </c>
      <c r="Y388" s="3" t="str">
        <f t="shared" si="25"/>
        <v/>
      </c>
      <c r="Z388" s="3" t="str">
        <f t="shared" si="26"/>
        <v/>
      </c>
      <c r="AA388" s="11" t="str">
        <f t="shared" si="27"/>
        <v/>
      </c>
    </row>
    <row r="389" spans="1:27" x14ac:dyDescent="0.35">
      <c r="A389" s="10" t="s">
        <v>1512</v>
      </c>
      <c r="F389" t="s">
        <v>1358</v>
      </c>
      <c r="K389">
        <v>1</v>
      </c>
      <c r="L389" t="str">
        <f t="shared" si="24"/>
        <v/>
      </c>
      <c r="O389" t="s">
        <v>38</v>
      </c>
      <c r="T389" s="2">
        <f>'SUPUESTOS PRECIOS'!$B$9</f>
        <v>0</v>
      </c>
      <c r="U389" s="3">
        <f>'SUPUESTOS PRECIOS'!$B$5/'SUPUESTOS PRECIOS'!$B$4</f>
        <v>1000</v>
      </c>
      <c r="V389" s="3">
        <f>('SUPUESTOS PRECIOS'!$B$6-'SUPUESTOS PRECIOS'!$B$7)/'SUPUESTOS PRECIOS'!$B$4</f>
        <v>377.5</v>
      </c>
      <c r="W389" s="4">
        <f>'SUPUESTOS PRECIOS'!$B$8</f>
        <v>9.6799999999999994E-3</v>
      </c>
      <c r="X389" s="4">
        <f>'SUPUESTOS PRECIOS'!$B$2</f>
        <v>0.4</v>
      </c>
      <c r="Y389" s="3" t="str">
        <f t="shared" si="25"/>
        <v/>
      </c>
      <c r="Z389" s="3" t="str">
        <f t="shared" si="26"/>
        <v/>
      </c>
      <c r="AA389" s="11" t="str">
        <f t="shared" si="27"/>
        <v/>
      </c>
    </row>
    <row r="390" spans="1:27" x14ac:dyDescent="0.35">
      <c r="A390" s="10" t="s">
        <v>1513</v>
      </c>
      <c r="F390" t="s">
        <v>1358</v>
      </c>
      <c r="K390">
        <v>1</v>
      </c>
      <c r="L390" t="str">
        <f t="shared" si="24"/>
        <v/>
      </c>
      <c r="O390" t="s">
        <v>38</v>
      </c>
      <c r="T390" s="2">
        <f>'SUPUESTOS PRECIOS'!$B$9</f>
        <v>0</v>
      </c>
      <c r="U390" s="3">
        <f>'SUPUESTOS PRECIOS'!$B$5/'SUPUESTOS PRECIOS'!$B$4</f>
        <v>1000</v>
      </c>
      <c r="V390" s="3">
        <f>('SUPUESTOS PRECIOS'!$B$6-'SUPUESTOS PRECIOS'!$B$7)/'SUPUESTOS PRECIOS'!$B$4</f>
        <v>377.5</v>
      </c>
      <c r="W390" s="4">
        <f>'SUPUESTOS PRECIOS'!$B$8</f>
        <v>9.6799999999999994E-3</v>
      </c>
      <c r="X390" s="4">
        <f>'SUPUESTOS PRECIOS'!$B$2</f>
        <v>0.4</v>
      </c>
      <c r="Y390" s="3" t="str">
        <f t="shared" si="25"/>
        <v/>
      </c>
      <c r="Z390" s="3" t="str">
        <f t="shared" si="26"/>
        <v/>
      </c>
      <c r="AA390" s="11" t="str">
        <f t="shared" si="27"/>
        <v/>
      </c>
    </row>
    <row r="391" spans="1:27" x14ac:dyDescent="0.35">
      <c r="A391" s="10" t="s">
        <v>1514</v>
      </c>
      <c r="F391" t="s">
        <v>1358</v>
      </c>
      <c r="K391">
        <v>1</v>
      </c>
      <c r="L391" t="str">
        <f t="shared" si="24"/>
        <v/>
      </c>
      <c r="O391" t="s">
        <v>38</v>
      </c>
      <c r="T391" s="2">
        <f>'SUPUESTOS PRECIOS'!$B$9</f>
        <v>0</v>
      </c>
      <c r="U391" s="3">
        <f>'SUPUESTOS PRECIOS'!$B$5/'SUPUESTOS PRECIOS'!$B$4</f>
        <v>1000</v>
      </c>
      <c r="V391" s="3">
        <f>('SUPUESTOS PRECIOS'!$B$6-'SUPUESTOS PRECIOS'!$B$7)/'SUPUESTOS PRECIOS'!$B$4</f>
        <v>377.5</v>
      </c>
      <c r="W391" s="4">
        <f>'SUPUESTOS PRECIOS'!$B$8</f>
        <v>9.6799999999999994E-3</v>
      </c>
      <c r="X391" s="4">
        <f>'SUPUESTOS PRECIOS'!$B$2</f>
        <v>0.4</v>
      </c>
      <c r="Y391" s="3" t="str">
        <f t="shared" si="25"/>
        <v/>
      </c>
      <c r="Z391" s="3" t="str">
        <f t="shared" si="26"/>
        <v/>
      </c>
      <c r="AA391" s="11" t="str">
        <f t="shared" si="27"/>
        <v/>
      </c>
    </row>
    <row r="392" spans="1:27" x14ac:dyDescent="0.35">
      <c r="A392" s="10" t="s">
        <v>1515</v>
      </c>
      <c r="F392" t="s">
        <v>1358</v>
      </c>
      <c r="K392">
        <v>1</v>
      </c>
      <c r="L392" t="str">
        <f t="shared" si="24"/>
        <v/>
      </c>
      <c r="O392" t="s">
        <v>38</v>
      </c>
      <c r="T392" s="2">
        <f>'SUPUESTOS PRECIOS'!$B$9</f>
        <v>0</v>
      </c>
      <c r="U392" s="3">
        <f>'SUPUESTOS PRECIOS'!$B$5/'SUPUESTOS PRECIOS'!$B$4</f>
        <v>1000</v>
      </c>
      <c r="V392" s="3">
        <f>('SUPUESTOS PRECIOS'!$B$6-'SUPUESTOS PRECIOS'!$B$7)/'SUPUESTOS PRECIOS'!$B$4</f>
        <v>377.5</v>
      </c>
      <c r="W392" s="4">
        <f>'SUPUESTOS PRECIOS'!$B$8</f>
        <v>9.6799999999999994E-3</v>
      </c>
      <c r="X392" s="4">
        <f>'SUPUESTOS PRECIOS'!$B$2</f>
        <v>0.4</v>
      </c>
      <c r="Y392" s="3" t="str">
        <f t="shared" si="25"/>
        <v/>
      </c>
      <c r="Z392" s="3" t="str">
        <f t="shared" si="26"/>
        <v/>
      </c>
      <c r="AA392" s="11" t="str">
        <f t="shared" si="27"/>
        <v/>
      </c>
    </row>
    <row r="393" spans="1:27" x14ac:dyDescent="0.35">
      <c r="A393" s="10" t="s">
        <v>1516</v>
      </c>
      <c r="F393" t="s">
        <v>1358</v>
      </c>
      <c r="K393">
        <v>1</v>
      </c>
      <c r="L393" t="str">
        <f t="shared" si="24"/>
        <v/>
      </c>
      <c r="O393" t="s">
        <v>38</v>
      </c>
      <c r="T393" s="2">
        <f>'SUPUESTOS PRECIOS'!$B$9</f>
        <v>0</v>
      </c>
      <c r="U393" s="3">
        <f>'SUPUESTOS PRECIOS'!$B$5/'SUPUESTOS PRECIOS'!$B$4</f>
        <v>1000</v>
      </c>
      <c r="V393" s="3">
        <f>('SUPUESTOS PRECIOS'!$B$6-'SUPUESTOS PRECIOS'!$B$7)/'SUPUESTOS PRECIOS'!$B$4</f>
        <v>377.5</v>
      </c>
      <c r="W393" s="4">
        <f>'SUPUESTOS PRECIOS'!$B$8</f>
        <v>9.6799999999999994E-3</v>
      </c>
      <c r="X393" s="4">
        <f>'SUPUESTOS PRECIOS'!$B$2</f>
        <v>0.4</v>
      </c>
      <c r="Y393" s="3" t="str">
        <f t="shared" si="25"/>
        <v/>
      </c>
      <c r="Z393" s="3" t="str">
        <f t="shared" si="26"/>
        <v/>
      </c>
      <c r="AA393" s="11" t="str">
        <f t="shared" si="27"/>
        <v/>
      </c>
    </row>
    <row r="394" spans="1:27" x14ac:dyDescent="0.35">
      <c r="A394" s="10" t="s">
        <v>1517</v>
      </c>
      <c r="F394" t="s">
        <v>1358</v>
      </c>
      <c r="K394">
        <v>1</v>
      </c>
      <c r="L394" t="str">
        <f t="shared" si="24"/>
        <v/>
      </c>
      <c r="O394" t="s">
        <v>38</v>
      </c>
      <c r="T394" s="2">
        <f>'SUPUESTOS PRECIOS'!$B$9</f>
        <v>0</v>
      </c>
      <c r="U394" s="3">
        <f>'SUPUESTOS PRECIOS'!$B$5/'SUPUESTOS PRECIOS'!$B$4</f>
        <v>1000</v>
      </c>
      <c r="V394" s="3">
        <f>('SUPUESTOS PRECIOS'!$B$6-'SUPUESTOS PRECIOS'!$B$7)/'SUPUESTOS PRECIOS'!$B$4</f>
        <v>377.5</v>
      </c>
      <c r="W394" s="4">
        <f>'SUPUESTOS PRECIOS'!$B$8</f>
        <v>9.6799999999999994E-3</v>
      </c>
      <c r="X394" s="4">
        <f>'SUPUESTOS PRECIOS'!$B$2</f>
        <v>0.4</v>
      </c>
      <c r="Y394" s="3" t="str">
        <f t="shared" si="25"/>
        <v/>
      </c>
      <c r="Z394" s="3" t="str">
        <f t="shared" si="26"/>
        <v/>
      </c>
      <c r="AA394" s="11" t="str">
        <f t="shared" si="27"/>
        <v/>
      </c>
    </row>
    <row r="395" spans="1:27" x14ac:dyDescent="0.35">
      <c r="A395" s="10" t="s">
        <v>1518</v>
      </c>
      <c r="F395" t="s">
        <v>1358</v>
      </c>
      <c r="K395">
        <v>1</v>
      </c>
      <c r="L395" t="str">
        <f t="shared" si="24"/>
        <v/>
      </c>
      <c r="O395" t="s">
        <v>38</v>
      </c>
      <c r="T395" s="2">
        <f>'SUPUESTOS PRECIOS'!$B$9</f>
        <v>0</v>
      </c>
      <c r="U395" s="3">
        <f>'SUPUESTOS PRECIOS'!$B$5/'SUPUESTOS PRECIOS'!$B$4</f>
        <v>1000</v>
      </c>
      <c r="V395" s="3">
        <f>('SUPUESTOS PRECIOS'!$B$6-'SUPUESTOS PRECIOS'!$B$7)/'SUPUESTOS PRECIOS'!$B$4</f>
        <v>377.5</v>
      </c>
      <c r="W395" s="4">
        <f>'SUPUESTOS PRECIOS'!$B$8</f>
        <v>9.6799999999999994E-3</v>
      </c>
      <c r="X395" s="4">
        <f>'SUPUESTOS PRECIOS'!$B$2</f>
        <v>0.4</v>
      </c>
      <c r="Y395" s="3" t="str">
        <f t="shared" si="25"/>
        <v/>
      </c>
      <c r="Z395" s="3" t="str">
        <f t="shared" si="26"/>
        <v/>
      </c>
      <c r="AA395" s="11" t="str">
        <f t="shared" si="27"/>
        <v/>
      </c>
    </row>
    <row r="396" spans="1:27" x14ac:dyDescent="0.35">
      <c r="A396" s="10" t="s">
        <v>1519</v>
      </c>
      <c r="F396" t="s">
        <v>1358</v>
      </c>
      <c r="K396">
        <v>1</v>
      </c>
      <c r="L396" t="str">
        <f t="shared" si="24"/>
        <v/>
      </c>
      <c r="O396" t="s">
        <v>38</v>
      </c>
      <c r="T396" s="2">
        <f>'SUPUESTOS PRECIOS'!$B$9</f>
        <v>0</v>
      </c>
      <c r="U396" s="3">
        <f>'SUPUESTOS PRECIOS'!$B$5/'SUPUESTOS PRECIOS'!$B$4</f>
        <v>1000</v>
      </c>
      <c r="V396" s="3">
        <f>('SUPUESTOS PRECIOS'!$B$6-'SUPUESTOS PRECIOS'!$B$7)/'SUPUESTOS PRECIOS'!$B$4</f>
        <v>377.5</v>
      </c>
      <c r="W396" s="4">
        <f>'SUPUESTOS PRECIOS'!$B$8</f>
        <v>9.6799999999999994E-3</v>
      </c>
      <c r="X396" s="4">
        <f>'SUPUESTOS PRECIOS'!$B$2</f>
        <v>0.4</v>
      </c>
      <c r="Y396" s="3" t="str">
        <f t="shared" si="25"/>
        <v/>
      </c>
      <c r="Z396" s="3" t="str">
        <f t="shared" si="26"/>
        <v/>
      </c>
      <c r="AA396" s="11" t="str">
        <f t="shared" si="27"/>
        <v/>
      </c>
    </row>
    <row r="397" spans="1:27" x14ac:dyDescent="0.35">
      <c r="A397" s="10" t="s">
        <v>1520</v>
      </c>
      <c r="F397" t="s">
        <v>1358</v>
      </c>
      <c r="K397">
        <v>1</v>
      </c>
      <c r="L397" t="str">
        <f t="shared" si="24"/>
        <v/>
      </c>
      <c r="O397" t="s">
        <v>38</v>
      </c>
      <c r="T397" s="2">
        <f>'SUPUESTOS PRECIOS'!$B$9</f>
        <v>0</v>
      </c>
      <c r="U397" s="3">
        <f>'SUPUESTOS PRECIOS'!$B$5/'SUPUESTOS PRECIOS'!$B$4</f>
        <v>1000</v>
      </c>
      <c r="V397" s="3">
        <f>('SUPUESTOS PRECIOS'!$B$6-'SUPUESTOS PRECIOS'!$B$7)/'SUPUESTOS PRECIOS'!$B$4</f>
        <v>377.5</v>
      </c>
      <c r="W397" s="4">
        <f>'SUPUESTOS PRECIOS'!$B$8</f>
        <v>9.6799999999999994E-3</v>
      </c>
      <c r="X397" s="4">
        <f>'SUPUESTOS PRECIOS'!$B$2</f>
        <v>0.4</v>
      </c>
      <c r="Y397" s="3" t="str">
        <f t="shared" si="25"/>
        <v/>
      </c>
      <c r="Z397" s="3" t="str">
        <f t="shared" si="26"/>
        <v/>
      </c>
      <c r="AA397" s="11" t="str">
        <f t="shared" si="27"/>
        <v/>
      </c>
    </row>
    <row r="398" spans="1:27" x14ac:dyDescent="0.35">
      <c r="A398" s="10" t="s">
        <v>1521</v>
      </c>
      <c r="F398" t="s">
        <v>1358</v>
      </c>
      <c r="K398">
        <v>1</v>
      </c>
      <c r="L398" t="str">
        <f t="shared" si="24"/>
        <v/>
      </c>
      <c r="O398" t="s">
        <v>38</v>
      </c>
      <c r="T398" s="2">
        <f>'SUPUESTOS PRECIOS'!$B$9</f>
        <v>0</v>
      </c>
      <c r="U398" s="3">
        <f>'SUPUESTOS PRECIOS'!$B$5/'SUPUESTOS PRECIOS'!$B$4</f>
        <v>1000</v>
      </c>
      <c r="V398" s="3">
        <f>('SUPUESTOS PRECIOS'!$B$6-'SUPUESTOS PRECIOS'!$B$7)/'SUPUESTOS PRECIOS'!$B$4</f>
        <v>377.5</v>
      </c>
      <c r="W398" s="4">
        <f>'SUPUESTOS PRECIOS'!$B$8</f>
        <v>9.6799999999999994E-3</v>
      </c>
      <c r="X398" s="4">
        <f>'SUPUESTOS PRECIOS'!$B$2</f>
        <v>0.4</v>
      </c>
      <c r="Y398" s="3" t="str">
        <f t="shared" si="25"/>
        <v/>
      </c>
      <c r="Z398" s="3" t="str">
        <f t="shared" si="26"/>
        <v/>
      </c>
      <c r="AA398" s="11" t="str">
        <f t="shared" si="27"/>
        <v/>
      </c>
    </row>
    <row r="399" spans="1:27" x14ac:dyDescent="0.35">
      <c r="A399" s="10" t="s">
        <v>1522</v>
      </c>
      <c r="F399" t="s">
        <v>1358</v>
      </c>
      <c r="K399">
        <v>1</v>
      </c>
      <c r="L399" t="str">
        <f t="shared" si="24"/>
        <v/>
      </c>
      <c r="O399" t="s">
        <v>38</v>
      </c>
      <c r="T399" s="2">
        <f>'SUPUESTOS PRECIOS'!$B$9</f>
        <v>0</v>
      </c>
      <c r="U399" s="3">
        <f>'SUPUESTOS PRECIOS'!$B$5/'SUPUESTOS PRECIOS'!$B$4</f>
        <v>1000</v>
      </c>
      <c r="V399" s="3">
        <f>('SUPUESTOS PRECIOS'!$B$6-'SUPUESTOS PRECIOS'!$B$7)/'SUPUESTOS PRECIOS'!$B$4</f>
        <v>377.5</v>
      </c>
      <c r="W399" s="4">
        <f>'SUPUESTOS PRECIOS'!$B$8</f>
        <v>9.6799999999999994E-3</v>
      </c>
      <c r="X399" s="4">
        <f>'SUPUESTOS PRECIOS'!$B$2</f>
        <v>0.4</v>
      </c>
      <c r="Y399" s="3" t="str">
        <f t="shared" si="25"/>
        <v/>
      </c>
      <c r="Z399" s="3" t="str">
        <f t="shared" si="26"/>
        <v/>
      </c>
      <c r="AA399" s="11" t="str">
        <f t="shared" si="27"/>
        <v/>
      </c>
    </row>
    <row r="400" spans="1:27" x14ac:dyDescent="0.35">
      <c r="A400" s="10" t="s">
        <v>1523</v>
      </c>
      <c r="F400" t="s">
        <v>1358</v>
      </c>
      <c r="K400">
        <v>1</v>
      </c>
      <c r="L400" t="str">
        <f t="shared" si="24"/>
        <v/>
      </c>
      <c r="O400" t="s">
        <v>38</v>
      </c>
      <c r="T400" s="2">
        <f>'SUPUESTOS PRECIOS'!$B$9</f>
        <v>0</v>
      </c>
      <c r="U400" s="3">
        <f>'SUPUESTOS PRECIOS'!$B$5/'SUPUESTOS PRECIOS'!$B$4</f>
        <v>1000</v>
      </c>
      <c r="V400" s="3">
        <f>('SUPUESTOS PRECIOS'!$B$6-'SUPUESTOS PRECIOS'!$B$7)/'SUPUESTOS PRECIOS'!$B$4</f>
        <v>377.5</v>
      </c>
      <c r="W400" s="4">
        <f>'SUPUESTOS PRECIOS'!$B$8</f>
        <v>9.6799999999999994E-3</v>
      </c>
      <c r="X400" s="4">
        <f>'SUPUESTOS PRECIOS'!$B$2</f>
        <v>0.4</v>
      </c>
      <c r="Y400" s="3" t="str">
        <f t="shared" si="25"/>
        <v/>
      </c>
      <c r="Z400" s="3" t="str">
        <f t="shared" si="26"/>
        <v/>
      </c>
      <c r="AA400" s="11" t="str">
        <f t="shared" si="27"/>
        <v/>
      </c>
    </row>
    <row r="401" spans="1:27" x14ac:dyDescent="0.35">
      <c r="A401" s="10" t="s">
        <v>1524</v>
      </c>
      <c r="F401" t="s">
        <v>1358</v>
      </c>
      <c r="K401">
        <v>1</v>
      </c>
      <c r="L401" t="str">
        <f t="shared" si="24"/>
        <v/>
      </c>
      <c r="O401" t="s">
        <v>38</v>
      </c>
      <c r="T401" s="2">
        <f>'SUPUESTOS PRECIOS'!$B$9</f>
        <v>0</v>
      </c>
      <c r="U401" s="3">
        <f>'SUPUESTOS PRECIOS'!$B$5/'SUPUESTOS PRECIOS'!$B$4</f>
        <v>1000</v>
      </c>
      <c r="V401" s="3">
        <f>('SUPUESTOS PRECIOS'!$B$6-'SUPUESTOS PRECIOS'!$B$7)/'SUPUESTOS PRECIOS'!$B$4</f>
        <v>377.5</v>
      </c>
      <c r="W401" s="4">
        <f>'SUPUESTOS PRECIOS'!$B$8</f>
        <v>9.6799999999999994E-3</v>
      </c>
      <c r="X401" s="4">
        <f>'SUPUESTOS PRECIOS'!$B$2</f>
        <v>0.4</v>
      </c>
      <c r="Y401" s="3" t="str">
        <f t="shared" si="25"/>
        <v/>
      </c>
      <c r="Z401" s="3" t="str">
        <f t="shared" si="26"/>
        <v/>
      </c>
      <c r="AA401" s="11" t="str">
        <f t="shared" si="27"/>
        <v/>
      </c>
    </row>
    <row r="402" spans="1:27" x14ac:dyDescent="0.35">
      <c r="A402" s="10" t="s">
        <v>1525</v>
      </c>
      <c r="F402" t="s">
        <v>1358</v>
      </c>
      <c r="K402">
        <v>1</v>
      </c>
      <c r="L402" t="str">
        <f t="shared" si="24"/>
        <v/>
      </c>
      <c r="O402" t="s">
        <v>38</v>
      </c>
      <c r="T402" s="2">
        <f>'SUPUESTOS PRECIOS'!$B$9</f>
        <v>0</v>
      </c>
      <c r="U402" s="3">
        <f>'SUPUESTOS PRECIOS'!$B$5/'SUPUESTOS PRECIOS'!$B$4</f>
        <v>1000</v>
      </c>
      <c r="V402" s="3">
        <f>('SUPUESTOS PRECIOS'!$B$6-'SUPUESTOS PRECIOS'!$B$7)/'SUPUESTOS PRECIOS'!$B$4</f>
        <v>377.5</v>
      </c>
      <c r="W402" s="4">
        <f>'SUPUESTOS PRECIOS'!$B$8</f>
        <v>9.6799999999999994E-3</v>
      </c>
      <c r="X402" s="4">
        <f>'SUPUESTOS PRECIOS'!$B$2</f>
        <v>0.4</v>
      </c>
      <c r="Y402" s="3" t="str">
        <f t="shared" si="25"/>
        <v/>
      </c>
      <c r="Z402" s="3" t="str">
        <f t="shared" si="26"/>
        <v/>
      </c>
      <c r="AA402" s="11" t="str">
        <f t="shared" si="27"/>
        <v/>
      </c>
    </row>
    <row r="403" spans="1:27" x14ac:dyDescent="0.35">
      <c r="A403" s="10" t="s">
        <v>1526</v>
      </c>
      <c r="F403" t="s">
        <v>1358</v>
      </c>
      <c r="K403">
        <v>1</v>
      </c>
      <c r="L403" t="str">
        <f t="shared" si="24"/>
        <v/>
      </c>
      <c r="O403" t="s">
        <v>38</v>
      </c>
      <c r="T403" s="2">
        <f>'SUPUESTOS PRECIOS'!$B$9</f>
        <v>0</v>
      </c>
      <c r="U403" s="3">
        <f>'SUPUESTOS PRECIOS'!$B$5/'SUPUESTOS PRECIOS'!$B$4</f>
        <v>1000</v>
      </c>
      <c r="V403" s="3">
        <f>('SUPUESTOS PRECIOS'!$B$6-'SUPUESTOS PRECIOS'!$B$7)/'SUPUESTOS PRECIOS'!$B$4</f>
        <v>377.5</v>
      </c>
      <c r="W403" s="4">
        <f>'SUPUESTOS PRECIOS'!$B$8</f>
        <v>9.6799999999999994E-3</v>
      </c>
      <c r="X403" s="4">
        <f>'SUPUESTOS PRECIOS'!$B$2</f>
        <v>0.4</v>
      </c>
      <c r="Y403" s="3" t="str">
        <f t="shared" si="25"/>
        <v/>
      </c>
      <c r="Z403" s="3" t="str">
        <f t="shared" si="26"/>
        <v/>
      </c>
      <c r="AA403" s="11" t="str">
        <f t="shared" si="27"/>
        <v/>
      </c>
    </row>
    <row r="404" spans="1:27" x14ac:dyDescent="0.35">
      <c r="A404" s="10" t="s">
        <v>1527</v>
      </c>
      <c r="F404" t="s">
        <v>1358</v>
      </c>
      <c r="K404">
        <v>1</v>
      </c>
      <c r="L404" t="str">
        <f t="shared" si="24"/>
        <v/>
      </c>
      <c r="O404" t="s">
        <v>38</v>
      </c>
      <c r="T404" s="2">
        <f>'SUPUESTOS PRECIOS'!$B$9</f>
        <v>0</v>
      </c>
      <c r="U404" s="3">
        <f>'SUPUESTOS PRECIOS'!$B$5/'SUPUESTOS PRECIOS'!$B$4</f>
        <v>1000</v>
      </c>
      <c r="V404" s="3">
        <f>('SUPUESTOS PRECIOS'!$B$6-'SUPUESTOS PRECIOS'!$B$7)/'SUPUESTOS PRECIOS'!$B$4</f>
        <v>377.5</v>
      </c>
      <c r="W404" s="4">
        <f>'SUPUESTOS PRECIOS'!$B$8</f>
        <v>9.6799999999999994E-3</v>
      </c>
      <c r="X404" s="4">
        <f>'SUPUESTOS PRECIOS'!$B$2</f>
        <v>0.4</v>
      </c>
      <c r="Y404" s="3" t="str">
        <f t="shared" si="25"/>
        <v/>
      </c>
      <c r="Z404" s="3" t="str">
        <f t="shared" si="26"/>
        <v/>
      </c>
      <c r="AA404" s="11" t="str">
        <f t="shared" si="27"/>
        <v/>
      </c>
    </row>
    <row r="405" spans="1:27" x14ac:dyDescent="0.35">
      <c r="A405" s="10" t="s">
        <v>1528</v>
      </c>
      <c r="F405" t="s">
        <v>1358</v>
      </c>
      <c r="K405">
        <v>1</v>
      </c>
      <c r="L405" t="str">
        <f t="shared" si="24"/>
        <v/>
      </c>
      <c r="O405" t="s">
        <v>38</v>
      </c>
      <c r="T405" s="2">
        <f>'SUPUESTOS PRECIOS'!$B$9</f>
        <v>0</v>
      </c>
      <c r="U405" s="3">
        <f>'SUPUESTOS PRECIOS'!$B$5/'SUPUESTOS PRECIOS'!$B$4</f>
        <v>1000</v>
      </c>
      <c r="V405" s="3">
        <f>('SUPUESTOS PRECIOS'!$B$6-'SUPUESTOS PRECIOS'!$B$7)/'SUPUESTOS PRECIOS'!$B$4</f>
        <v>377.5</v>
      </c>
      <c r="W405" s="4">
        <f>'SUPUESTOS PRECIOS'!$B$8</f>
        <v>9.6799999999999994E-3</v>
      </c>
      <c r="X405" s="4">
        <f>'SUPUESTOS PRECIOS'!$B$2</f>
        <v>0.4</v>
      </c>
      <c r="Y405" s="3" t="str">
        <f t="shared" si="25"/>
        <v/>
      </c>
      <c r="Z405" s="3" t="str">
        <f t="shared" si="26"/>
        <v/>
      </c>
      <c r="AA405" s="11" t="str">
        <f t="shared" si="27"/>
        <v/>
      </c>
    </row>
    <row r="406" spans="1:27" x14ac:dyDescent="0.35">
      <c r="A406" s="10" t="s">
        <v>1529</v>
      </c>
      <c r="F406" t="s">
        <v>1358</v>
      </c>
      <c r="K406">
        <v>1</v>
      </c>
      <c r="L406" t="str">
        <f t="shared" si="24"/>
        <v/>
      </c>
      <c r="O406" t="s">
        <v>38</v>
      </c>
      <c r="T406" s="2">
        <f>'SUPUESTOS PRECIOS'!$B$9</f>
        <v>0</v>
      </c>
      <c r="U406" s="3">
        <f>'SUPUESTOS PRECIOS'!$B$5/'SUPUESTOS PRECIOS'!$B$4</f>
        <v>1000</v>
      </c>
      <c r="V406" s="3">
        <f>('SUPUESTOS PRECIOS'!$B$6-'SUPUESTOS PRECIOS'!$B$7)/'SUPUESTOS PRECIOS'!$B$4</f>
        <v>377.5</v>
      </c>
      <c r="W406" s="4">
        <f>'SUPUESTOS PRECIOS'!$B$8</f>
        <v>9.6799999999999994E-3</v>
      </c>
      <c r="X406" s="4">
        <f>'SUPUESTOS PRECIOS'!$B$2</f>
        <v>0.4</v>
      </c>
      <c r="Y406" s="3" t="str">
        <f t="shared" si="25"/>
        <v/>
      </c>
      <c r="Z406" s="3" t="str">
        <f t="shared" si="26"/>
        <v/>
      </c>
      <c r="AA406" s="11" t="str">
        <f t="shared" si="27"/>
        <v/>
      </c>
    </row>
    <row r="407" spans="1:27" x14ac:dyDescent="0.35">
      <c r="A407" s="10" t="s">
        <v>1530</v>
      </c>
      <c r="F407" t="s">
        <v>1358</v>
      </c>
      <c r="K407">
        <v>1</v>
      </c>
      <c r="L407" t="str">
        <f t="shared" si="24"/>
        <v/>
      </c>
      <c r="O407" t="s">
        <v>38</v>
      </c>
      <c r="T407" s="2">
        <f>'SUPUESTOS PRECIOS'!$B$9</f>
        <v>0</v>
      </c>
      <c r="U407" s="3">
        <f>'SUPUESTOS PRECIOS'!$B$5/'SUPUESTOS PRECIOS'!$B$4</f>
        <v>1000</v>
      </c>
      <c r="V407" s="3">
        <f>('SUPUESTOS PRECIOS'!$B$6-'SUPUESTOS PRECIOS'!$B$7)/'SUPUESTOS PRECIOS'!$B$4</f>
        <v>377.5</v>
      </c>
      <c r="W407" s="4">
        <f>'SUPUESTOS PRECIOS'!$B$8</f>
        <v>9.6799999999999994E-3</v>
      </c>
      <c r="X407" s="4">
        <f>'SUPUESTOS PRECIOS'!$B$2</f>
        <v>0.4</v>
      </c>
      <c r="Y407" s="3" t="str">
        <f t="shared" si="25"/>
        <v/>
      </c>
      <c r="Z407" s="3" t="str">
        <f t="shared" si="26"/>
        <v/>
      </c>
      <c r="AA407" s="11" t="str">
        <f t="shared" si="27"/>
        <v/>
      </c>
    </row>
    <row r="408" spans="1:27" x14ac:dyDescent="0.35">
      <c r="A408" s="10" t="s">
        <v>1531</v>
      </c>
      <c r="F408" t="s">
        <v>1358</v>
      </c>
      <c r="K408">
        <v>1</v>
      </c>
      <c r="L408" t="str">
        <f t="shared" si="24"/>
        <v/>
      </c>
      <c r="O408" t="s">
        <v>38</v>
      </c>
      <c r="T408" s="2">
        <f>'SUPUESTOS PRECIOS'!$B$9</f>
        <v>0</v>
      </c>
      <c r="U408" s="3">
        <f>'SUPUESTOS PRECIOS'!$B$5/'SUPUESTOS PRECIOS'!$B$4</f>
        <v>1000</v>
      </c>
      <c r="V408" s="3">
        <f>('SUPUESTOS PRECIOS'!$B$6-'SUPUESTOS PRECIOS'!$B$7)/'SUPUESTOS PRECIOS'!$B$4</f>
        <v>377.5</v>
      </c>
      <c r="W408" s="4">
        <f>'SUPUESTOS PRECIOS'!$B$8</f>
        <v>9.6799999999999994E-3</v>
      </c>
      <c r="X408" s="4">
        <f>'SUPUESTOS PRECIOS'!$B$2</f>
        <v>0.4</v>
      </c>
      <c r="Y408" s="3" t="str">
        <f t="shared" si="25"/>
        <v/>
      </c>
      <c r="Z408" s="3" t="str">
        <f t="shared" si="26"/>
        <v/>
      </c>
      <c r="AA408" s="11" t="str">
        <f t="shared" si="27"/>
        <v/>
      </c>
    </row>
    <row r="409" spans="1:27" x14ac:dyDescent="0.35">
      <c r="A409" s="10" t="s">
        <v>1532</v>
      </c>
      <c r="F409" t="s">
        <v>1358</v>
      </c>
      <c r="K409">
        <v>1</v>
      </c>
      <c r="L409" t="str">
        <f t="shared" si="24"/>
        <v/>
      </c>
      <c r="O409" t="s">
        <v>38</v>
      </c>
      <c r="T409" s="2">
        <f>'SUPUESTOS PRECIOS'!$B$9</f>
        <v>0</v>
      </c>
      <c r="U409" s="3">
        <f>'SUPUESTOS PRECIOS'!$B$5/'SUPUESTOS PRECIOS'!$B$4</f>
        <v>1000</v>
      </c>
      <c r="V409" s="3">
        <f>('SUPUESTOS PRECIOS'!$B$6-'SUPUESTOS PRECIOS'!$B$7)/'SUPUESTOS PRECIOS'!$B$4</f>
        <v>377.5</v>
      </c>
      <c r="W409" s="4">
        <f>'SUPUESTOS PRECIOS'!$B$8</f>
        <v>9.6799999999999994E-3</v>
      </c>
      <c r="X409" s="4">
        <f>'SUPUESTOS PRECIOS'!$B$2</f>
        <v>0.4</v>
      </c>
      <c r="Y409" s="3" t="str">
        <f t="shared" si="25"/>
        <v/>
      </c>
      <c r="Z409" s="3" t="str">
        <f t="shared" si="26"/>
        <v/>
      </c>
      <c r="AA409" s="11" t="str">
        <f t="shared" si="27"/>
        <v/>
      </c>
    </row>
    <row r="410" spans="1:27" x14ac:dyDescent="0.35">
      <c r="A410" s="10" t="s">
        <v>1533</v>
      </c>
      <c r="F410" t="s">
        <v>1358</v>
      </c>
      <c r="K410">
        <v>1</v>
      </c>
      <c r="L410" t="str">
        <f t="shared" si="24"/>
        <v/>
      </c>
      <c r="O410" t="s">
        <v>38</v>
      </c>
      <c r="T410" s="2">
        <f>'SUPUESTOS PRECIOS'!$B$9</f>
        <v>0</v>
      </c>
      <c r="U410" s="3">
        <f>'SUPUESTOS PRECIOS'!$B$5/'SUPUESTOS PRECIOS'!$B$4</f>
        <v>1000</v>
      </c>
      <c r="V410" s="3">
        <f>('SUPUESTOS PRECIOS'!$B$6-'SUPUESTOS PRECIOS'!$B$7)/'SUPUESTOS PRECIOS'!$B$4</f>
        <v>377.5</v>
      </c>
      <c r="W410" s="4">
        <f>'SUPUESTOS PRECIOS'!$B$8</f>
        <v>9.6799999999999994E-3</v>
      </c>
      <c r="X410" s="4">
        <f>'SUPUESTOS PRECIOS'!$B$2</f>
        <v>0.4</v>
      </c>
      <c r="Y410" s="3" t="str">
        <f t="shared" si="25"/>
        <v/>
      </c>
      <c r="Z410" s="3" t="str">
        <f t="shared" si="26"/>
        <v/>
      </c>
      <c r="AA410" s="11" t="str">
        <f t="shared" si="27"/>
        <v/>
      </c>
    </row>
    <row r="411" spans="1:27" x14ac:dyDescent="0.35">
      <c r="A411" s="10" t="s">
        <v>1534</v>
      </c>
      <c r="F411" t="s">
        <v>1358</v>
      </c>
      <c r="K411">
        <v>1</v>
      </c>
      <c r="L411" t="str">
        <f t="shared" si="24"/>
        <v/>
      </c>
      <c r="O411" t="s">
        <v>38</v>
      </c>
      <c r="T411" s="2">
        <f>'SUPUESTOS PRECIOS'!$B$9</f>
        <v>0</v>
      </c>
      <c r="U411" s="3">
        <f>'SUPUESTOS PRECIOS'!$B$5/'SUPUESTOS PRECIOS'!$B$4</f>
        <v>1000</v>
      </c>
      <c r="V411" s="3">
        <f>('SUPUESTOS PRECIOS'!$B$6-'SUPUESTOS PRECIOS'!$B$7)/'SUPUESTOS PRECIOS'!$B$4</f>
        <v>377.5</v>
      </c>
      <c r="W411" s="4">
        <f>'SUPUESTOS PRECIOS'!$B$8</f>
        <v>9.6799999999999994E-3</v>
      </c>
      <c r="X411" s="4">
        <f>'SUPUESTOS PRECIOS'!$B$2</f>
        <v>0.4</v>
      </c>
      <c r="Y411" s="3" t="str">
        <f t="shared" si="25"/>
        <v/>
      </c>
      <c r="Z411" s="3" t="str">
        <f t="shared" si="26"/>
        <v/>
      </c>
      <c r="AA411" s="11" t="str">
        <f t="shared" si="27"/>
        <v/>
      </c>
    </row>
    <row r="412" spans="1:27" x14ac:dyDescent="0.35">
      <c r="A412" s="10" t="s">
        <v>1535</v>
      </c>
      <c r="F412" t="s">
        <v>1358</v>
      </c>
      <c r="K412">
        <v>1</v>
      </c>
      <c r="L412" t="str">
        <f t="shared" si="24"/>
        <v/>
      </c>
      <c r="O412" t="s">
        <v>38</v>
      </c>
      <c r="T412" s="2">
        <f>'SUPUESTOS PRECIOS'!$B$9</f>
        <v>0</v>
      </c>
      <c r="U412" s="3">
        <f>'SUPUESTOS PRECIOS'!$B$5/'SUPUESTOS PRECIOS'!$B$4</f>
        <v>1000</v>
      </c>
      <c r="V412" s="3">
        <f>('SUPUESTOS PRECIOS'!$B$6-'SUPUESTOS PRECIOS'!$B$7)/'SUPUESTOS PRECIOS'!$B$4</f>
        <v>377.5</v>
      </c>
      <c r="W412" s="4">
        <f>'SUPUESTOS PRECIOS'!$B$8</f>
        <v>9.6799999999999994E-3</v>
      </c>
      <c r="X412" s="4">
        <f>'SUPUESTOS PRECIOS'!$B$2</f>
        <v>0.4</v>
      </c>
      <c r="Y412" s="3" t="str">
        <f t="shared" si="25"/>
        <v/>
      </c>
      <c r="Z412" s="3" t="str">
        <f t="shared" si="26"/>
        <v/>
      </c>
      <c r="AA412" s="11" t="str">
        <f t="shared" si="27"/>
        <v/>
      </c>
    </row>
    <row r="413" spans="1:27" x14ac:dyDescent="0.35">
      <c r="A413" s="10" t="s">
        <v>1536</v>
      </c>
      <c r="F413" t="s">
        <v>1358</v>
      </c>
      <c r="K413">
        <v>1</v>
      </c>
      <c r="L413" t="str">
        <f t="shared" si="24"/>
        <v/>
      </c>
      <c r="O413" t="s">
        <v>38</v>
      </c>
      <c r="T413" s="2">
        <f>'SUPUESTOS PRECIOS'!$B$9</f>
        <v>0</v>
      </c>
      <c r="U413" s="3">
        <f>'SUPUESTOS PRECIOS'!$B$5/'SUPUESTOS PRECIOS'!$B$4</f>
        <v>1000</v>
      </c>
      <c r="V413" s="3">
        <f>('SUPUESTOS PRECIOS'!$B$6-'SUPUESTOS PRECIOS'!$B$7)/'SUPUESTOS PRECIOS'!$B$4</f>
        <v>377.5</v>
      </c>
      <c r="W413" s="4">
        <f>'SUPUESTOS PRECIOS'!$B$8</f>
        <v>9.6799999999999994E-3</v>
      </c>
      <c r="X413" s="4">
        <f>'SUPUESTOS PRECIOS'!$B$2</f>
        <v>0.4</v>
      </c>
      <c r="Y413" s="3" t="str">
        <f t="shared" si="25"/>
        <v/>
      </c>
      <c r="Z413" s="3" t="str">
        <f t="shared" si="26"/>
        <v/>
      </c>
      <c r="AA413" s="11" t="str">
        <f t="shared" si="27"/>
        <v/>
      </c>
    </row>
    <row r="414" spans="1:27" x14ac:dyDescent="0.35">
      <c r="A414" s="10" t="s">
        <v>1537</v>
      </c>
      <c r="F414" t="s">
        <v>1358</v>
      </c>
      <c r="K414">
        <v>1</v>
      </c>
      <c r="L414" t="str">
        <f t="shared" si="24"/>
        <v/>
      </c>
      <c r="O414" t="s">
        <v>38</v>
      </c>
      <c r="T414" s="2">
        <f>'SUPUESTOS PRECIOS'!$B$9</f>
        <v>0</v>
      </c>
      <c r="U414" s="3">
        <f>'SUPUESTOS PRECIOS'!$B$5/'SUPUESTOS PRECIOS'!$B$4</f>
        <v>1000</v>
      </c>
      <c r="V414" s="3">
        <f>('SUPUESTOS PRECIOS'!$B$6-'SUPUESTOS PRECIOS'!$B$7)/'SUPUESTOS PRECIOS'!$B$4</f>
        <v>377.5</v>
      </c>
      <c r="W414" s="4">
        <f>'SUPUESTOS PRECIOS'!$B$8</f>
        <v>9.6799999999999994E-3</v>
      </c>
      <c r="X414" s="4">
        <f>'SUPUESTOS PRECIOS'!$B$2</f>
        <v>0.4</v>
      </c>
      <c r="Y414" s="3" t="str">
        <f t="shared" si="25"/>
        <v/>
      </c>
      <c r="Z414" s="3" t="str">
        <f t="shared" si="26"/>
        <v/>
      </c>
      <c r="AA414" s="11" t="str">
        <f t="shared" si="27"/>
        <v/>
      </c>
    </row>
    <row r="415" spans="1:27" x14ac:dyDescent="0.35">
      <c r="A415" s="10" t="s">
        <v>1538</v>
      </c>
      <c r="F415" t="s">
        <v>1358</v>
      </c>
      <c r="K415">
        <v>1</v>
      </c>
      <c r="L415" t="str">
        <f t="shared" si="24"/>
        <v/>
      </c>
      <c r="O415" t="s">
        <v>38</v>
      </c>
      <c r="T415" s="2">
        <f>'SUPUESTOS PRECIOS'!$B$9</f>
        <v>0</v>
      </c>
      <c r="U415" s="3">
        <f>'SUPUESTOS PRECIOS'!$B$5/'SUPUESTOS PRECIOS'!$B$4</f>
        <v>1000</v>
      </c>
      <c r="V415" s="3">
        <f>('SUPUESTOS PRECIOS'!$B$6-'SUPUESTOS PRECIOS'!$B$7)/'SUPUESTOS PRECIOS'!$B$4</f>
        <v>377.5</v>
      </c>
      <c r="W415" s="4">
        <f>'SUPUESTOS PRECIOS'!$B$8</f>
        <v>9.6799999999999994E-3</v>
      </c>
      <c r="X415" s="4">
        <f>'SUPUESTOS PRECIOS'!$B$2</f>
        <v>0.4</v>
      </c>
      <c r="Y415" s="3" t="str">
        <f t="shared" si="25"/>
        <v/>
      </c>
      <c r="Z415" s="3" t="str">
        <f t="shared" si="26"/>
        <v/>
      </c>
      <c r="AA415" s="11" t="str">
        <f t="shared" si="27"/>
        <v/>
      </c>
    </row>
    <row r="416" spans="1:27" x14ac:dyDescent="0.35">
      <c r="A416" s="10" t="s">
        <v>1539</v>
      </c>
      <c r="F416" t="s">
        <v>1358</v>
      </c>
      <c r="K416">
        <v>1</v>
      </c>
      <c r="L416" t="str">
        <f t="shared" si="24"/>
        <v/>
      </c>
      <c r="O416" t="s">
        <v>38</v>
      </c>
      <c r="T416" s="2">
        <f>'SUPUESTOS PRECIOS'!$B$9</f>
        <v>0</v>
      </c>
      <c r="U416" s="3">
        <f>'SUPUESTOS PRECIOS'!$B$5/'SUPUESTOS PRECIOS'!$B$4</f>
        <v>1000</v>
      </c>
      <c r="V416" s="3">
        <f>('SUPUESTOS PRECIOS'!$B$6-'SUPUESTOS PRECIOS'!$B$7)/'SUPUESTOS PRECIOS'!$B$4</f>
        <v>377.5</v>
      </c>
      <c r="W416" s="4">
        <f>'SUPUESTOS PRECIOS'!$B$8</f>
        <v>9.6799999999999994E-3</v>
      </c>
      <c r="X416" s="4">
        <f>'SUPUESTOS PRECIOS'!$B$2</f>
        <v>0.4</v>
      </c>
      <c r="Y416" s="3" t="str">
        <f t="shared" si="25"/>
        <v/>
      </c>
      <c r="Z416" s="3" t="str">
        <f t="shared" si="26"/>
        <v/>
      </c>
      <c r="AA416" s="11" t="str">
        <f t="shared" si="27"/>
        <v/>
      </c>
    </row>
    <row r="417" spans="1:27" x14ac:dyDescent="0.35">
      <c r="A417" s="10" t="s">
        <v>1540</v>
      </c>
      <c r="F417" t="s">
        <v>1358</v>
      </c>
      <c r="K417">
        <v>1</v>
      </c>
      <c r="L417" t="str">
        <f t="shared" si="24"/>
        <v/>
      </c>
      <c r="O417" t="s">
        <v>38</v>
      </c>
      <c r="T417" s="2">
        <f>'SUPUESTOS PRECIOS'!$B$9</f>
        <v>0</v>
      </c>
      <c r="U417" s="3">
        <f>'SUPUESTOS PRECIOS'!$B$5/'SUPUESTOS PRECIOS'!$B$4</f>
        <v>1000</v>
      </c>
      <c r="V417" s="3">
        <f>('SUPUESTOS PRECIOS'!$B$6-'SUPUESTOS PRECIOS'!$B$7)/'SUPUESTOS PRECIOS'!$B$4</f>
        <v>377.5</v>
      </c>
      <c r="W417" s="4">
        <f>'SUPUESTOS PRECIOS'!$B$8</f>
        <v>9.6799999999999994E-3</v>
      </c>
      <c r="X417" s="4">
        <f>'SUPUESTOS PRECIOS'!$B$2</f>
        <v>0.4</v>
      </c>
      <c r="Y417" s="3" t="str">
        <f t="shared" si="25"/>
        <v/>
      </c>
      <c r="Z417" s="3" t="str">
        <f t="shared" si="26"/>
        <v/>
      </c>
      <c r="AA417" s="11" t="str">
        <f t="shared" si="27"/>
        <v/>
      </c>
    </row>
    <row r="418" spans="1:27" x14ac:dyDescent="0.35">
      <c r="A418" s="10" t="s">
        <v>1541</v>
      </c>
      <c r="F418" t="s">
        <v>1358</v>
      </c>
      <c r="K418">
        <v>1</v>
      </c>
      <c r="L418" t="str">
        <f t="shared" si="24"/>
        <v/>
      </c>
      <c r="O418" t="s">
        <v>38</v>
      </c>
      <c r="T418" s="2">
        <f>'SUPUESTOS PRECIOS'!$B$9</f>
        <v>0</v>
      </c>
      <c r="U418" s="3">
        <f>'SUPUESTOS PRECIOS'!$B$5/'SUPUESTOS PRECIOS'!$B$4</f>
        <v>1000</v>
      </c>
      <c r="V418" s="3">
        <f>('SUPUESTOS PRECIOS'!$B$6-'SUPUESTOS PRECIOS'!$B$7)/'SUPUESTOS PRECIOS'!$B$4</f>
        <v>377.5</v>
      </c>
      <c r="W418" s="4">
        <f>'SUPUESTOS PRECIOS'!$B$8</f>
        <v>9.6799999999999994E-3</v>
      </c>
      <c r="X418" s="4">
        <f>'SUPUESTOS PRECIOS'!$B$2</f>
        <v>0.4</v>
      </c>
      <c r="Y418" s="3" t="str">
        <f t="shared" si="25"/>
        <v/>
      </c>
      <c r="Z418" s="3" t="str">
        <f t="shared" si="26"/>
        <v/>
      </c>
      <c r="AA418" s="11" t="str">
        <f t="shared" si="27"/>
        <v/>
      </c>
    </row>
    <row r="419" spans="1:27" x14ac:dyDescent="0.35">
      <c r="A419" s="10" t="s">
        <v>1542</v>
      </c>
      <c r="F419" t="s">
        <v>1358</v>
      </c>
      <c r="K419">
        <v>1</v>
      </c>
      <c r="L419" t="str">
        <f t="shared" si="24"/>
        <v/>
      </c>
      <c r="O419" t="s">
        <v>38</v>
      </c>
      <c r="T419" s="2">
        <f>'SUPUESTOS PRECIOS'!$B$9</f>
        <v>0</v>
      </c>
      <c r="U419" s="3">
        <f>'SUPUESTOS PRECIOS'!$B$5/'SUPUESTOS PRECIOS'!$B$4</f>
        <v>1000</v>
      </c>
      <c r="V419" s="3">
        <f>('SUPUESTOS PRECIOS'!$B$6-'SUPUESTOS PRECIOS'!$B$7)/'SUPUESTOS PRECIOS'!$B$4</f>
        <v>377.5</v>
      </c>
      <c r="W419" s="4">
        <f>'SUPUESTOS PRECIOS'!$B$8</f>
        <v>9.6799999999999994E-3</v>
      </c>
      <c r="X419" s="4">
        <f>'SUPUESTOS PRECIOS'!$B$2</f>
        <v>0.4</v>
      </c>
      <c r="Y419" s="3" t="str">
        <f t="shared" si="25"/>
        <v/>
      </c>
      <c r="Z419" s="3" t="str">
        <f t="shared" si="26"/>
        <v/>
      </c>
      <c r="AA419" s="11" t="str">
        <f t="shared" si="27"/>
        <v/>
      </c>
    </row>
    <row r="420" spans="1:27" x14ac:dyDescent="0.35">
      <c r="A420" s="10" t="s">
        <v>1543</v>
      </c>
      <c r="F420" t="s">
        <v>1358</v>
      </c>
      <c r="K420">
        <v>1</v>
      </c>
      <c r="L420" t="str">
        <f t="shared" si="24"/>
        <v/>
      </c>
      <c r="O420" t="s">
        <v>38</v>
      </c>
      <c r="T420" s="2">
        <f>'SUPUESTOS PRECIOS'!$B$9</f>
        <v>0</v>
      </c>
      <c r="U420" s="3">
        <f>'SUPUESTOS PRECIOS'!$B$5/'SUPUESTOS PRECIOS'!$B$4</f>
        <v>1000</v>
      </c>
      <c r="V420" s="3">
        <f>('SUPUESTOS PRECIOS'!$B$6-'SUPUESTOS PRECIOS'!$B$7)/'SUPUESTOS PRECIOS'!$B$4</f>
        <v>377.5</v>
      </c>
      <c r="W420" s="4">
        <f>'SUPUESTOS PRECIOS'!$B$8</f>
        <v>9.6799999999999994E-3</v>
      </c>
      <c r="X420" s="4">
        <f>'SUPUESTOS PRECIOS'!$B$2</f>
        <v>0.4</v>
      </c>
      <c r="Y420" s="3" t="str">
        <f t="shared" si="25"/>
        <v/>
      </c>
      <c r="Z420" s="3" t="str">
        <f t="shared" si="26"/>
        <v/>
      </c>
      <c r="AA420" s="11" t="str">
        <f t="shared" si="27"/>
        <v/>
      </c>
    </row>
    <row r="421" spans="1:27" x14ac:dyDescent="0.35">
      <c r="A421" s="10" t="s">
        <v>1544</v>
      </c>
      <c r="F421" t="s">
        <v>1358</v>
      </c>
      <c r="K421">
        <v>1</v>
      </c>
      <c r="L421" t="str">
        <f t="shared" si="24"/>
        <v/>
      </c>
      <c r="O421" t="s">
        <v>38</v>
      </c>
      <c r="T421" s="2">
        <f>'SUPUESTOS PRECIOS'!$B$9</f>
        <v>0</v>
      </c>
      <c r="U421" s="3">
        <f>'SUPUESTOS PRECIOS'!$B$5/'SUPUESTOS PRECIOS'!$B$4</f>
        <v>1000</v>
      </c>
      <c r="V421" s="3">
        <f>('SUPUESTOS PRECIOS'!$B$6-'SUPUESTOS PRECIOS'!$B$7)/'SUPUESTOS PRECIOS'!$B$4</f>
        <v>377.5</v>
      </c>
      <c r="W421" s="4">
        <f>'SUPUESTOS PRECIOS'!$B$8</f>
        <v>9.6799999999999994E-3</v>
      </c>
      <c r="X421" s="4">
        <f>'SUPUESTOS PRECIOS'!$B$2</f>
        <v>0.4</v>
      </c>
      <c r="Y421" s="3" t="str">
        <f t="shared" si="25"/>
        <v/>
      </c>
      <c r="Z421" s="3" t="str">
        <f t="shared" si="26"/>
        <v/>
      </c>
      <c r="AA421" s="11" t="str">
        <f t="shared" si="27"/>
        <v/>
      </c>
    </row>
    <row r="422" spans="1:27" x14ac:dyDescent="0.35">
      <c r="A422" s="10" t="s">
        <v>1545</v>
      </c>
      <c r="F422" t="s">
        <v>1358</v>
      </c>
      <c r="K422">
        <v>1</v>
      </c>
      <c r="L422" t="str">
        <f t="shared" si="24"/>
        <v/>
      </c>
      <c r="O422" t="s">
        <v>38</v>
      </c>
      <c r="T422" s="2">
        <f>'SUPUESTOS PRECIOS'!$B$9</f>
        <v>0</v>
      </c>
      <c r="U422" s="3">
        <f>'SUPUESTOS PRECIOS'!$B$5/'SUPUESTOS PRECIOS'!$B$4</f>
        <v>1000</v>
      </c>
      <c r="V422" s="3">
        <f>('SUPUESTOS PRECIOS'!$B$6-'SUPUESTOS PRECIOS'!$B$7)/'SUPUESTOS PRECIOS'!$B$4</f>
        <v>377.5</v>
      </c>
      <c r="W422" s="4">
        <f>'SUPUESTOS PRECIOS'!$B$8</f>
        <v>9.6799999999999994E-3</v>
      </c>
      <c r="X422" s="4">
        <f>'SUPUESTOS PRECIOS'!$B$2</f>
        <v>0.4</v>
      </c>
      <c r="Y422" s="3" t="str">
        <f t="shared" si="25"/>
        <v/>
      </c>
      <c r="Z422" s="3" t="str">
        <f t="shared" si="26"/>
        <v/>
      </c>
      <c r="AA422" s="11" t="str">
        <f t="shared" si="27"/>
        <v/>
      </c>
    </row>
    <row r="423" spans="1:27" x14ac:dyDescent="0.35">
      <c r="A423" s="10" t="s">
        <v>1546</v>
      </c>
      <c r="F423" t="s">
        <v>1358</v>
      </c>
      <c r="K423">
        <v>1</v>
      </c>
      <c r="L423" t="str">
        <f t="shared" si="24"/>
        <v/>
      </c>
      <c r="O423" t="s">
        <v>38</v>
      </c>
      <c r="T423" s="2">
        <f>'SUPUESTOS PRECIOS'!$B$9</f>
        <v>0</v>
      </c>
      <c r="U423" s="3">
        <f>'SUPUESTOS PRECIOS'!$B$5/'SUPUESTOS PRECIOS'!$B$4</f>
        <v>1000</v>
      </c>
      <c r="V423" s="3">
        <f>('SUPUESTOS PRECIOS'!$B$6-'SUPUESTOS PRECIOS'!$B$7)/'SUPUESTOS PRECIOS'!$B$4</f>
        <v>377.5</v>
      </c>
      <c r="W423" s="4">
        <f>'SUPUESTOS PRECIOS'!$B$8</f>
        <v>9.6799999999999994E-3</v>
      </c>
      <c r="X423" s="4">
        <f>'SUPUESTOS PRECIOS'!$B$2</f>
        <v>0.4</v>
      </c>
      <c r="Y423" s="3" t="str">
        <f t="shared" si="25"/>
        <v/>
      </c>
      <c r="Z423" s="3" t="str">
        <f t="shared" si="26"/>
        <v/>
      </c>
      <c r="AA423" s="11" t="str">
        <f t="shared" si="27"/>
        <v/>
      </c>
    </row>
    <row r="424" spans="1:27" x14ac:dyDescent="0.35">
      <c r="A424" s="10" t="s">
        <v>1547</v>
      </c>
      <c r="F424" t="s">
        <v>1358</v>
      </c>
      <c r="K424">
        <v>1</v>
      </c>
      <c r="L424" t="str">
        <f t="shared" si="24"/>
        <v/>
      </c>
      <c r="O424" t="s">
        <v>38</v>
      </c>
      <c r="T424" s="2">
        <f>'SUPUESTOS PRECIOS'!$B$9</f>
        <v>0</v>
      </c>
      <c r="U424" s="3">
        <f>'SUPUESTOS PRECIOS'!$B$5/'SUPUESTOS PRECIOS'!$B$4</f>
        <v>1000</v>
      </c>
      <c r="V424" s="3">
        <f>('SUPUESTOS PRECIOS'!$B$6-'SUPUESTOS PRECIOS'!$B$7)/'SUPUESTOS PRECIOS'!$B$4</f>
        <v>377.5</v>
      </c>
      <c r="W424" s="4">
        <f>'SUPUESTOS PRECIOS'!$B$8</f>
        <v>9.6799999999999994E-3</v>
      </c>
      <c r="X424" s="4">
        <f>'SUPUESTOS PRECIOS'!$B$2</f>
        <v>0.4</v>
      </c>
      <c r="Y424" s="3" t="str">
        <f t="shared" si="25"/>
        <v/>
      </c>
      <c r="Z424" s="3" t="str">
        <f t="shared" si="26"/>
        <v/>
      </c>
      <c r="AA424" s="11" t="str">
        <f t="shared" si="27"/>
        <v/>
      </c>
    </row>
    <row r="425" spans="1:27" x14ac:dyDescent="0.35">
      <c r="A425" s="10" t="s">
        <v>1548</v>
      </c>
      <c r="F425" t="s">
        <v>1358</v>
      </c>
      <c r="K425">
        <v>1</v>
      </c>
      <c r="L425" t="str">
        <f t="shared" si="24"/>
        <v/>
      </c>
      <c r="O425" t="s">
        <v>38</v>
      </c>
      <c r="T425" s="2">
        <f>'SUPUESTOS PRECIOS'!$B$9</f>
        <v>0</v>
      </c>
      <c r="U425" s="3">
        <f>'SUPUESTOS PRECIOS'!$B$5/'SUPUESTOS PRECIOS'!$B$4</f>
        <v>1000</v>
      </c>
      <c r="V425" s="3">
        <f>('SUPUESTOS PRECIOS'!$B$6-'SUPUESTOS PRECIOS'!$B$7)/'SUPUESTOS PRECIOS'!$B$4</f>
        <v>377.5</v>
      </c>
      <c r="W425" s="4">
        <f>'SUPUESTOS PRECIOS'!$B$8</f>
        <v>9.6799999999999994E-3</v>
      </c>
      <c r="X425" s="4">
        <f>'SUPUESTOS PRECIOS'!$B$2</f>
        <v>0.4</v>
      </c>
      <c r="Y425" s="3" t="str">
        <f t="shared" si="25"/>
        <v/>
      </c>
      <c r="Z425" s="3" t="str">
        <f t="shared" si="26"/>
        <v/>
      </c>
      <c r="AA425" s="11" t="str">
        <f t="shared" si="27"/>
        <v/>
      </c>
    </row>
    <row r="426" spans="1:27" x14ac:dyDescent="0.35">
      <c r="A426" s="10" t="s">
        <v>1549</v>
      </c>
      <c r="F426" t="s">
        <v>1358</v>
      </c>
      <c r="K426">
        <v>1</v>
      </c>
      <c r="L426" t="str">
        <f t="shared" si="24"/>
        <v/>
      </c>
      <c r="O426" t="s">
        <v>38</v>
      </c>
      <c r="T426" s="2">
        <f>'SUPUESTOS PRECIOS'!$B$9</f>
        <v>0</v>
      </c>
      <c r="U426" s="3">
        <f>'SUPUESTOS PRECIOS'!$B$5/'SUPUESTOS PRECIOS'!$B$4</f>
        <v>1000</v>
      </c>
      <c r="V426" s="3">
        <f>('SUPUESTOS PRECIOS'!$B$6-'SUPUESTOS PRECIOS'!$B$7)/'SUPUESTOS PRECIOS'!$B$4</f>
        <v>377.5</v>
      </c>
      <c r="W426" s="4">
        <f>'SUPUESTOS PRECIOS'!$B$8</f>
        <v>9.6799999999999994E-3</v>
      </c>
      <c r="X426" s="4">
        <f>'SUPUESTOS PRECIOS'!$B$2</f>
        <v>0.4</v>
      </c>
      <c r="Y426" s="3" t="str">
        <f t="shared" si="25"/>
        <v/>
      </c>
      <c r="Z426" s="3" t="str">
        <f t="shared" si="26"/>
        <v/>
      </c>
      <c r="AA426" s="11" t="str">
        <f t="shared" si="27"/>
        <v/>
      </c>
    </row>
    <row r="427" spans="1:27" x14ac:dyDescent="0.35">
      <c r="A427" s="10" t="s">
        <v>1550</v>
      </c>
      <c r="F427" t="s">
        <v>1358</v>
      </c>
      <c r="K427">
        <v>1</v>
      </c>
      <c r="L427" t="str">
        <f t="shared" si="24"/>
        <v/>
      </c>
      <c r="O427" t="s">
        <v>38</v>
      </c>
      <c r="T427" s="2">
        <f>'SUPUESTOS PRECIOS'!$B$9</f>
        <v>0</v>
      </c>
      <c r="U427" s="3">
        <f>'SUPUESTOS PRECIOS'!$B$5/'SUPUESTOS PRECIOS'!$B$4</f>
        <v>1000</v>
      </c>
      <c r="V427" s="3">
        <f>('SUPUESTOS PRECIOS'!$B$6-'SUPUESTOS PRECIOS'!$B$7)/'SUPUESTOS PRECIOS'!$B$4</f>
        <v>377.5</v>
      </c>
      <c r="W427" s="4">
        <f>'SUPUESTOS PRECIOS'!$B$8</f>
        <v>9.6799999999999994E-3</v>
      </c>
      <c r="X427" s="4">
        <f>'SUPUESTOS PRECIOS'!$B$2</f>
        <v>0.4</v>
      </c>
      <c r="Y427" s="3" t="str">
        <f t="shared" si="25"/>
        <v/>
      </c>
      <c r="Z427" s="3" t="str">
        <f t="shared" si="26"/>
        <v/>
      </c>
      <c r="AA427" s="11" t="str">
        <f t="shared" si="27"/>
        <v/>
      </c>
    </row>
    <row r="428" spans="1:27" x14ac:dyDescent="0.35">
      <c r="A428" s="10" t="s">
        <v>1551</v>
      </c>
      <c r="F428" t="s">
        <v>1358</v>
      </c>
      <c r="K428">
        <v>1</v>
      </c>
      <c r="L428" t="str">
        <f t="shared" si="24"/>
        <v/>
      </c>
      <c r="O428" t="s">
        <v>38</v>
      </c>
      <c r="T428" s="2">
        <f>'SUPUESTOS PRECIOS'!$B$9</f>
        <v>0</v>
      </c>
      <c r="U428" s="3">
        <f>'SUPUESTOS PRECIOS'!$B$5/'SUPUESTOS PRECIOS'!$B$4</f>
        <v>1000</v>
      </c>
      <c r="V428" s="3">
        <f>('SUPUESTOS PRECIOS'!$B$6-'SUPUESTOS PRECIOS'!$B$7)/'SUPUESTOS PRECIOS'!$B$4</f>
        <v>377.5</v>
      </c>
      <c r="W428" s="4">
        <f>'SUPUESTOS PRECIOS'!$B$8</f>
        <v>9.6799999999999994E-3</v>
      </c>
      <c r="X428" s="4">
        <f>'SUPUESTOS PRECIOS'!$B$2</f>
        <v>0.4</v>
      </c>
      <c r="Y428" s="3" t="str">
        <f t="shared" si="25"/>
        <v/>
      </c>
      <c r="Z428" s="3" t="str">
        <f t="shared" si="26"/>
        <v/>
      </c>
      <c r="AA428" s="11" t="str">
        <f t="shared" si="27"/>
        <v/>
      </c>
    </row>
    <row r="429" spans="1:27" x14ac:dyDescent="0.35">
      <c r="A429" s="10" t="s">
        <v>1552</v>
      </c>
      <c r="F429" t="s">
        <v>1358</v>
      </c>
      <c r="K429">
        <v>1</v>
      </c>
      <c r="L429" t="str">
        <f t="shared" si="24"/>
        <v/>
      </c>
      <c r="O429" t="s">
        <v>38</v>
      </c>
      <c r="T429" s="2">
        <f>'SUPUESTOS PRECIOS'!$B$9</f>
        <v>0</v>
      </c>
      <c r="U429" s="3">
        <f>'SUPUESTOS PRECIOS'!$B$5/'SUPUESTOS PRECIOS'!$B$4</f>
        <v>1000</v>
      </c>
      <c r="V429" s="3">
        <f>('SUPUESTOS PRECIOS'!$B$6-'SUPUESTOS PRECIOS'!$B$7)/'SUPUESTOS PRECIOS'!$B$4</f>
        <v>377.5</v>
      </c>
      <c r="W429" s="4">
        <f>'SUPUESTOS PRECIOS'!$B$8</f>
        <v>9.6799999999999994E-3</v>
      </c>
      <c r="X429" s="4">
        <f>'SUPUESTOS PRECIOS'!$B$2</f>
        <v>0.4</v>
      </c>
      <c r="Y429" s="3" t="str">
        <f t="shared" si="25"/>
        <v/>
      </c>
      <c r="Z429" s="3" t="str">
        <f t="shared" si="26"/>
        <v/>
      </c>
      <c r="AA429" s="11" t="str">
        <f t="shared" si="27"/>
        <v/>
      </c>
    </row>
    <row r="430" spans="1:27" x14ac:dyDescent="0.35">
      <c r="A430" s="10" t="s">
        <v>1553</v>
      </c>
      <c r="F430" t="s">
        <v>1358</v>
      </c>
      <c r="K430">
        <v>1</v>
      </c>
      <c r="L430" t="str">
        <f t="shared" si="24"/>
        <v/>
      </c>
      <c r="O430" t="s">
        <v>38</v>
      </c>
      <c r="T430" s="2">
        <f>'SUPUESTOS PRECIOS'!$B$9</f>
        <v>0</v>
      </c>
      <c r="U430" s="3">
        <f>'SUPUESTOS PRECIOS'!$B$5/'SUPUESTOS PRECIOS'!$B$4</f>
        <v>1000</v>
      </c>
      <c r="V430" s="3">
        <f>('SUPUESTOS PRECIOS'!$B$6-'SUPUESTOS PRECIOS'!$B$7)/'SUPUESTOS PRECIOS'!$B$4</f>
        <v>377.5</v>
      </c>
      <c r="W430" s="4">
        <f>'SUPUESTOS PRECIOS'!$B$8</f>
        <v>9.6799999999999994E-3</v>
      </c>
      <c r="X430" s="4">
        <f>'SUPUESTOS PRECIOS'!$B$2</f>
        <v>0.4</v>
      </c>
      <c r="Y430" s="3" t="str">
        <f t="shared" si="25"/>
        <v/>
      </c>
      <c r="Z430" s="3" t="str">
        <f t="shared" si="26"/>
        <v/>
      </c>
      <c r="AA430" s="11" t="str">
        <f t="shared" si="27"/>
        <v/>
      </c>
    </row>
    <row r="431" spans="1:27" x14ac:dyDescent="0.35">
      <c r="A431" s="10" t="s">
        <v>1554</v>
      </c>
      <c r="F431" t="s">
        <v>1358</v>
      </c>
      <c r="K431">
        <v>1</v>
      </c>
      <c r="L431" t="str">
        <f t="shared" si="24"/>
        <v/>
      </c>
      <c r="O431" t="s">
        <v>38</v>
      </c>
      <c r="T431" s="2">
        <f>'SUPUESTOS PRECIOS'!$B$9</f>
        <v>0</v>
      </c>
      <c r="U431" s="3">
        <f>'SUPUESTOS PRECIOS'!$B$5/'SUPUESTOS PRECIOS'!$B$4</f>
        <v>1000</v>
      </c>
      <c r="V431" s="3">
        <f>('SUPUESTOS PRECIOS'!$B$6-'SUPUESTOS PRECIOS'!$B$7)/'SUPUESTOS PRECIOS'!$B$4</f>
        <v>377.5</v>
      </c>
      <c r="W431" s="4">
        <f>'SUPUESTOS PRECIOS'!$B$8</f>
        <v>9.6799999999999994E-3</v>
      </c>
      <c r="X431" s="4">
        <f>'SUPUESTOS PRECIOS'!$B$2</f>
        <v>0.4</v>
      </c>
      <c r="Y431" s="3" t="str">
        <f t="shared" si="25"/>
        <v/>
      </c>
      <c r="Z431" s="3" t="str">
        <f t="shared" si="26"/>
        <v/>
      </c>
      <c r="AA431" s="11" t="str">
        <f t="shared" si="27"/>
        <v/>
      </c>
    </row>
    <row r="432" spans="1:27" x14ac:dyDescent="0.35">
      <c r="A432" s="10" t="s">
        <v>1555</v>
      </c>
      <c r="F432" t="s">
        <v>1358</v>
      </c>
      <c r="K432">
        <v>1</v>
      </c>
      <c r="L432" t="str">
        <f t="shared" si="24"/>
        <v/>
      </c>
      <c r="O432" t="s">
        <v>38</v>
      </c>
      <c r="T432" s="2">
        <f>'SUPUESTOS PRECIOS'!$B$9</f>
        <v>0</v>
      </c>
      <c r="U432" s="3">
        <f>'SUPUESTOS PRECIOS'!$B$5/'SUPUESTOS PRECIOS'!$B$4</f>
        <v>1000</v>
      </c>
      <c r="V432" s="3">
        <f>('SUPUESTOS PRECIOS'!$B$6-'SUPUESTOS PRECIOS'!$B$7)/'SUPUESTOS PRECIOS'!$B$4</f>
        <v>377.5</v>
      </c>
      <c r="W432" s="4">
        <f>'SUPUESTOS PRECIOS'!$B$8</f>
        <v>9.6799999999999994E-3</v>
      </c>
      <c r="X432" s="4">
        <f>'SUPUESTOS PRECIOS'!$B$2</f>
        <v>0.4</v>
      </c>
      <c r="Y432" s="3" t="str">
        <f t="shared" si="25"/>
        <v/>
      </c>
      <c r="Z432" s="3" t="str">
        <f t="shared" si="26"/>
        <v/>
      </c>
      <c r="AA432" s="11" t="str">
        <f t="shared" si="27"/>
        <v/>
      </c>
    </row>
    <row r="433" spans="1:27" x14ac:dyDescent="0.35">
      <c r="A433" s="10" t="s">
        <v>1556</v>
      </c>
      <c r="F433" t="s">
        <v>1358</v>
      </c>
      <c r="K433">
        <v>1</v>
      </c>
      <c r="L433" t="str">
        <f t="shared" si="24"/>
        <v/>
      </c>
      <c r="O433" t="s">
        <v>38</v>
      </c>
      <c r="T433" s="2">
        <f>'SUPUESTOS PRECIOS'!$B$9</f>
        <v>0</v>
      </c>
      <c r="U433" s="3">
        <f>'SUPUESTOS PRECIOS'!$B$5/'SUPUESTOS PRECIOS'!$B$4</f>
        <v>1000</v>
      </c>
      <c r="V433" s="3">
        <f>('SUPUESTOS PRECIOS'!$B$6-'SUPUESTOS PRECIOS'!$B$7)/'SUPUESTOS PRECIOS'!$B$4</f>
        <v>377.5</v>
      </c>
      <c r="W433" s="4">
        <f>'SUPUESTOS PRECIOS'!$B$8</f>
        <v>9.6799999999999994E-3</v>
      </c>
      <c r="X433" s="4">
        <f>'SUPUESTOS PRECIOS'!$B$2</f>
        <v>0.4</v>
      </c>
      <c r="Y433" s="3" t="str">
        <f t="shared" si="25"/>
        <v/>
      </c>
      <c r="Z433" s="3" t="str">
        <f t="shared" si="26"/>
        <v/>
      </c>
      <c r="AA433" s="11" t="str">
        <f t="shared" si="27"/>
        <v/>
      </c>
    </row>
    <row r="434" spans="1:27" x14ac:dyDescent="0.35">
      <c r="A434" s="10" t="s">
        <v>1557</v>
      </c>
      <c r="F434" t="s">
        <v>1358</v>
      </c>
      <c r="K434">
        <v>1</v>
      </c>
      <c r="L434" t="str">
        <f t="shared" si="24"/>
        <v/>
      </c>
      <c r="O434" t="s">
        <v>38</v>
      </c>
      <c r="T434" s="2">
        <f>'SUPUESTOS PRECIOS'!$B$9</f>
        <v>0</v>
      </c>
      <c r="U434" s="3">
        <f>'SUPUESTOS PRECIOS'!$B$5/'SUPUESTOS PRECIOS'!$B$4</f>
        <v>1000</v>
      </c>
      <c r="V434" s="3">
        <f>('SUPUESTOS PRECIOS'!$B$6-'SUPUESTOS PRECIOS'!$B$7)/'SUPUESTOS PRECIOS'!$B$4</f>
        <v>377.5</v>
      </c>
      <c r="W434" s="4">
        <f>'SUPUESTOS PRECIOS'!$B$8</f>
        <v>9.6799999999999994E-3</v>
      </c>
      <c r="X434" s="4">
        <f>'SUPUESTOS PRECIOS'!$B$2</f>
        <v>0.4</v>
      </c>
      <c r="Y434" s="3" t="str">
        <f t="shared" si="25"/>
        <v/>
      </c>
      <c r="Z434" s="3" t="str">
        <f t="shared" si="26"/>
        <v/>
      </c>
      <c r="AA434" s="11" t="str">
        <f t="shared" si="27"/>
        <v/>
      </c>
    </row>
    <row r="435" spans="1:27" x14ac:dyDescent="0.35">
      <c r="A435" s="10" t="s">
        <v>1558</v>
      </c>
      <c r="F435" t="s">
        <v>1358</v>
      </c>
      <c r="K435">
        <v>1</v>
      </c>
      <c r="L435" t="str">
        <f t="shared" si="24"/>
        <v/>
      </c>
      <c r="O435" t="s">
        <v>38</v>
      </c>
      <c r="T435" s="2">
        <f>'SUPUESTOS PRECIOS'!$B$9</f>
        <v>0</v>
      </c>
      <c r="U435" s="3">
        <f>'SUPUESTOS PRECIOS'!$B$5/'SUPUESTOS PRECIOS'!$B$4</f>
        <v>1000</v>
      </c>
      <c r="V435" s="3">
        <f>('SUPUESTOS PRECIOS'!$B$6-'SUPUESTOS PRECIOS'!$B$7)/'SUPUESTOS PRECIOS'!$B$4</f>
        <v>377.5</v>
      </c>
      <c r="W435" s="4">
        <f>'SUPUESTOS PRECIOS'!$B$8</f>
        <v>9.6799999999999994E-3</v>
      </c>
      <c r="X435" s="4">
        <f>'SUPUESTOS PRECIOS'!$B$2</f>
        <v>0.4</v>
      </c>
      <c r="Y435" s="3" t="str">
        <f t="shared" si="25"/>
        <v/>
      </c>
      <c r="Z435" s="3" t="str">
        <f t="shared" si="26"/>
        <v/>
      </c>
      <c r="AA435" s="11" t="str">
        <f t="shared" si="27"/>
        <v/>
      </c>
    </row>
    <row r="436" spans="1:27" x14ac:dyDescent="0.35">
      <c r="A436" s="10" t="s">
        <v>1559</v>
      </c>
      <c r="F436" t="s">
        <v>1358</v>
      </c>
      <c r="K436">
        <v>1</v>
      </c>
      <c r="L436" t="str">
        <f t="shared" si="24"/>
        <v/>
      </c>
      <c r="O436" t="s">
        <v>38</v>
      </c>
      <c r="T436" s="2">
        <f>'SUPUESTOS PRECIOS'!$B$9</f>
        <v>0</v>
      </c>
      <c r="U436" s="3">
        <f>'SUPUESTOS PRECIOS'!$B$5/'SUPUESTOS PRECIOS'!$B$4</f>
        <v>1000</v>
      </c>
      <c r="V436" s="3">
        <f>('SUPUESTOS PRECIOS'!$B$6-'SUPUESTOS PRECIOS'!$B$7)/'SUPUESTOS PRECIOS'!$B$4</f>
        <v>377.5</v>
      </c>
      <c r="W436" s="4">
        <f>'SUPUESTOS PRECIOS'!$B$8</f>
        <v>9.6799999999999994E-3</v>
      </c>
      <c r="X436" s="4">
        <f>'SUPUESTOS PRECIOS'!$B$2</f>
        <v>0.4</v>
      </c>
      <c r="Y436" s="3" t="str">
        <f t="shared" si="25"/>
        <v/>
      </c>
      <c r="Z436" s="3" t="str">
        <f t="shared" si="26"/>
        <v/>
      </c>
      <c r="AA436" s="11" t="str">
        <f t="shared" si="27"/>
        <v/>
      </c>
    </row>
    <row r="437" spans="1:27" x14ac:dyDescent="0.35">
      <c r="A437" s="10" t="s">
        <v>1560</v>
      </c>
      <c r="F437" t="s">
        <v>1358</v>
      </c>
      <c r="K437">
        <v>1</v>
      </c>
      <c r="L437" t="str">
        <f t="shared" si="24"/>
        <v/>
      </c>
      <c r="O437" t="s">
        <v>38</v>
      </c>
      <c r="T437" s="2">
        <f>'SUPUESTOS PRECIOS'!$B$9</f>
        <v>0</v>
      </c>
      <c r="U437" s="3">
        <f>'SUPUESTOS PRECIOS'!$B$5/'SUPUESTOS PRECIOS'!$B$4</f>
        <v>1000</v>
      </c>
      <c r="V437" s="3">
        <f>('SUPUESTOS PRECIOS'!$B$6-'SUPUESTOS PRECIOS'!$B$7)/'SUPUESTOS PRECIOS'!$B$4</f>
        <v>377.5</v>
      </c>
      <c r="W437" s="4">
        <f>'SUPUESTOS PRECIOS'!$B$8</f>
        <v>9.6799999999999994E-3</v>
      </c>
      <c r="X437" s="4">
        <f>'SUPUESTOS PRECIOS'!$B$2</f>
        <v>0.4</v>
      </c>
      <c r="Y437" s="3" t="str">
        <f t="shared" si="25"/>
        <v/>
      </c>
      <c r="Z437" s="3" t="str">
        <f t="shared" si="26"/>
        <v/>
      </c>
      <c r="AA437" s="11" t="str">
        <f t="shared" si="27"/>
        <v/>
      </c>
    </row>
    <row r="438" spans="1:27" x14ac:dyDescent="0.35">
      <c r="A438" s="10" t="s">
        <v>1561</v>
      </c>
      <c r="F438" t="s">
        <v>1358</v>
      </c>
      <c r="K438">
        <v>1</v>
      </c>
      <c r="L438" t="str">
        <f t="shared" si="24"/>
        <v/>
      </c>
      <c r="O438" t="s">
        <v>38</v>
      </c>
      <c r="T438" s="2">
        <f>'SUPUESTOS PRECIOS'!$B$9</f>
        <v>0</v>
      </c>
      <c r="U438" s="3">
        <f>'SUPUESTOS PRECIOS'!$B$5/'SUPUESTOS PRECIOS'!$B$4</f>
        <v>1000</v>
      </c>
      <c r="V438" s="3">
        <f>('SUPUESTOS PRECIOS'!$B$6-'SUPUESTOS PRECIOS'!$B$7)/'SUPUESTOS PRECIOS'!$B$4</f>
        <v>377.5</v>
      </c>
      <c r="W438" s="4">
        <f>'SUPUESTOS PRECIOS'!$B$8</f>
        <v>9.6799999999999994E-3</v>
      </c>
      <c r="X438" s="4">
        <f>'SUPUESTOS PRECIOS'!$B$2</f>
        <v>0.4</v>
      </c>
      <c r="Y438" s="3" t="str">
        <f t="shared" si="25"/>
        <v/>
      </c>
      <c r="Z438" s="3" t="str">
        <f t="shared" si="26"/>
        <v/>
      </c>
      <c r="AA438" s="11" t="str">
        <f t="shared" si="27"/>
        <v/>
      </c>
    </row>
    <row r="439" spans="1:27" x14ac:dyDescent="0.35">
      <c r="A439" s="10" t="s">
        <v>1562</v>
      </c>
      <c r="F439" t="s">
        <v>1358</v>
      </c>
      <c r="K439">
        <v>1</v>
      </c>
      <c r="L439" t="str">
        <f t="shared" si="24"/>
        <v/>
      </c>
      <c r="O439" t="s">
        <v>38</v>
      </c>
      <c r="T439" s="2">
        <f>'SUPUESTOS PRECIOS'!$B$9</f>
        <v>0</v>
      </c>
      <c r="U439" s="3">
        <f>'SUPUESTOS PRECIOS'!$B$5/'SUPUESTOS PRECIOS'!$B$4</f>
        <v>1000</v>
      </c>
      <c r="V439" s="3">
        <f>('SUPUESTOS PRECIOS'!$B$6-'SUPUESTOS PRECIOS'!$B$7)/'SUPUESTOS PRECIOS'!$B$4</f>
        <v>377.5</v>
      </c>
      <c r="W439" s="4">
        <f>'SUPUESTOS PRECIOS'!$B$8</f>
        <v>9.6799999999999994E-3</v>
      </c>
      <c r="X439" s="4">
        <f>'SUPUESTOS PRECIOS'!$B$2</f>
        <v>0.4</v>
      </c>
      <c r="Y439" s="3" t="str">
        <f t="shared" si="25"/>
        <v/>
      </c>
      <c r="Z439" s="3" t="str">
        <f t="shared" si="26"/>
        <v/>
      </c>
      <c r="AA439" s="11" t="str">
        <f t="shared" si="27"/>
        <v/>
      </c>
    </row>
    <row r="440" spans="1:27" x14ac:dyDescent="0.35">
      <c r="A440" s="10" t="s">
        <v>1563</v>
      </c>
      <c r="F440" t="s">
        <v>1358</v>
      </c>
      <c r="K440">
        <v>1</v>
      </c>
      <c r="L440" t="str">
        <f t="shared" si="24"/>
        <v/>
      </c>
      <c r="O440" t="s">
        <v>38</v>
      </c>
      <c r="T440" s="2">
        <f>'SUPUESTOS PRECIOS'!$B$9</f>
        <v>0</v>
      </c>
      <c r="U440" s="3">
        <f>'SUPUESTOS PRECIOS'!$B$5/'SUPUESTOS PRECIOS'!$B$4</f>
        <v>1000</v>
      </c>
      <c r="V440" s="3">
        <f>('SUPUESTOS PRECIOS'!$B$6-'SUPUESTOS PRECIOS'!$B$7)/'SUPUESTOS PRECIOS'!$B$4</f>
        <v>377.5</v>
      </c>
      <c r="W440" s="4">
        <f>'SUPUESTOS PRECIOS'!$B$8</f>
        <v>9.6799999999999994E-3</v>
      </c>
      <c r="X440" s="4">
        <f>'SUPUESTOS PRECIOS'!$B$2</f>
        <v>0.4</v>
      </c>
      <c r="Y440" s="3" t="str">
        <f t="shared" si="25"/>
        <v/>
      </c>
      <c r="Z440" s="3" t="str">
        <f t="shared" si="26"/>
        <v/>
      </c>
      <c r="AA440" s="11" t="str">
        <f t="shared" si="27"/>
        <v/>
      </c>
    </row>
    <row r="441" spans="1:27" x14ac:dyDescent="0.35">
      <c r="A441" s="10" t="s">
        <v>1564</v>
      </c>
      <c r="F441" t="s">
        <v>1358</v>
      </c>
      <c r="K441">
        <v>1</v>
      </c>
      <c r="L441" t="str">
        <f t="shared" si="24"/>
        <v/>
      </c>
      <c r="O441" t="s">
        <v>38</v>
      </c>
      <c r="T441" s="2">
        <f>'SUPUESTOS PRECIOS'!$B$9</f>
        <v>0</v>
      </c>
      <c r="U441" s="3">
        <f>'SUPUESTOS PRECIOS'!$B$5/'SUPUESTOS PRECIOS'!$B$4</f>
        <v>1000</v>
      </c>
      <c r="V441" s="3">
        <f>('SUPUESTOS PRECIOS'!$B$6-'SUPUESTOS PRECIOS'!$B$7)/'SUPUESTOS PRECIOS'!$B$4</f>
        <v>377.5</v>
      </c>
      <c r="W441" s="4">
        <f>'SUPUESTOS PRECIOS'!$B$8</f>
        <v>9.6799999999999994E-3</v>
      </c>
      <c r="X441" s="4">
        <f>'SUPUESTOS PRECIOS'!$B$2</f>
        <v>0.4</v>
      </c>
      <c r="Y441" s="3" t="str">
        <f t="shared" si="25"/>
        <v/>
      </c>
      <c r="Z441" s="3" t="str">
        <f t="shared" si="26"/>
        <v/>
      </c>
      <c r="AA441" s="11" t="str">
        <f t="shared" si="27"/>
        <v/>
      </c>
    </row>
    <row r="442" spans="1:27" x14ac:dyDescent="0.35">
      <c r="A442" s="10" t="s">
        <v>1565</v>
      </c>
      <c r="F442" t="s">
        <v>1358</v>
      </c>
      <c r="K442">
        <v>1</v>
      </c>
      <c r="L442" t="str">
        <f t="shared" si="24"/>
        <v/>
      </c>
      <c r="O442" t="s">
        <v>38</v>
      </c>
      <c r="T442" s="2">
        <f>'SUPUESTOS PRECIOS'!$B$9</f>
        <v>0</v>
      </c>
      <c r="U442" s="3">
        <f>'SUPUESTOS PRECIOS'!$B$5/'SUPUESTOS PRECIOS'!$B$4</f>
        <v>1000</v>
      </c>
      <c r="V442" s="3">
        <f>('SUPUESTOS PRECIOS'!$B$6-'SUPUESTOS PRECIOS'!$B$7)/'SUPUESTOS PRECIOS'!$B$4</f>
        <v>377.5</v>
      </c>
      <c r="W442" s="4">
        <f>'SUPUESTOS PRECIOS'!$B$8</f>
        <v>9.6799999999999994E-3</v>
      </c>
      <c r="X442" s="4">
        <f>'SUPUESTOS PRECIOS'!$B$2</f>
        <v>0.4</v>
      </c>
      <c r="Y442" s="3" t="str">
        <f t="shared" si="25"/>
        <v/>
      </c>
      <c r="Z442" s="3" t="str">
        <f t="shared" si="26"/>
        <v/>
      </c>
      <c r="AA442" s="11" t="str">
        <f t="shared" si="27"/>
        <v/>
      </c>
    </row>
    <row r="443" spans="1:27" x14ac:dyDescent="0.35">
      <c r="A443" s="10" t="s">
        <v>1566</v>
      </c>
      <c r="F443" t="s">
        <v>1358</v>
      </c>
      <c r="K443">
        <v>1</v>
      </c>
      <c r="L443" t="str">
        <f t="shared" si="24"/>
        <v/>
      </c>
      <c r="O443" t="s">
        <v>38</v>
      </c>
      <c r="T443" s="2">
        <f>'SUPUESTOS PRECIOS'!$B$9</f>
        <v>0</v>
      </c>
      <c r="U443" s="3">
        <f>'SUPUESTOS PRECIOS'!$B$5/'SUPUESTOS PRECIOS'!$B$4</f>
        <v>1000</v>
      </c>
      <c r="V443" s="3">
        <f>('SUPUESTOS PRECIOS'!$B$6-'SUPUESTOS PRECIOS'!$B$7)/'SUPUESTOS PRECIOS'!$B$4</f>
        <v>377.5</v>
      </c>
      <c r="W443" s="4">
        <f>'SUPUESTOS PRECIOS'!$B$8</f>
        <v>9.6799999999999994E-3</v>
      </c>
      <c r="X443" s="4">
        <f>'SUPUESTOS PRECIOS'!$B$2</f>
        <v>0.4</v>
      </c>
      <c r="Y443" s="3" t="str">
        <f t="shared" si="25"/>
        <v/>
      </c>
      <c r="Z443" s="3" t="str">
        <f t="shared" si="26"/>
        <v/>
      </c>
      <c r="AA443" s="11" t="str">
        <f t="shared" si="27"/>
        <v/>
      </c>
    </row>
    <row r="444" spans="1:27" x14ac:dyDescent="0.35">
      <c r="A444" s="10" t="s">
        <v>1567</v>
      </c>
      <c r="F444" t="s">
        <v>1358</v>
      </c>
      <c r="K444">
        <v>1</v>
      </c>
      <c r="L444" t="str">
        <f t="shared" si="24"/>
        <v/>
      </c>
      <c r="O444" t="s">
        <v>38</v>
      </c>
      <c r="T444" s="2">
        <f>'SUPUESTOS PRECIOS'!$B$9</f>
        <v>0</v>
      </c>
      <c r="U444" s="3">
        <f>'SUPUESTOS PRECIOS'!$B$5/'SUPUESTOS PRECIOS'!$B$4</f>
        <v>1000</v>
      </c>
      <c r="V444" s="3">
        <f>('SUPUESTOS PRECIOS'!$B$6-'SUPUESTOS PRECIOS'!$B$7)/'SUPUESTOS PRECIOS'!$B$4</f>
        <v>377.5</v>
      </c>
      <c r="W444" s="4">
        <f>'SUPUESTOS PRECIOS'!$B$8</f>
        <v>9.6799999999999994E-3</v>
      </c>
      <c r="X444" s="4">
        <f>'SUPUESTOS PRECIOS'!$B$2</f>
        <v>0.4</v>
      </c>
      <c r="Y444" s="3" t="str">
        <f t="shared" si="25"/>
        <v/>
      </c>
      <c r="Z444" s="3" t="str">
        <f t="shared" si="26"/>
        <v/>
      </c>
      <c r="AA444" s="11" t="str">
        <f t="shared" si="27"/>
        <v/>
      </c>
    </row>
    <row r="445" spans="1:27" x14ac:dyDescent="0.35">
      <c r="A445" s="10" t="s">
        <v>1568</v>
      </c>
      <c r="F445" t="s">
        <v>1358</v>
      </c>
      <c r="K445">
        <v>1</v>
      </c>
      <c r="L445" t="str">
        <f t="shared" si="24"/>
        <v/>
      </c>
      <c r="O445" t="s">
        <v>38</v>
      </c>
      <c r="T445" s="2">
        <f>'SUPUESTOS PRECIOS'!$B$9</f>
        <v>0</v>
      </c>
      <c r="U445" s="3">
        <f>'SUPUESTOS PRECIOS'!$B$5/'SUPUESTOS PRECIOS'!$B$4</f>
        <v>1000</v>
      </c>
      <c r="V445" s="3">
        <f>('SUPUESTOS PRECIOS'!$B$6-'SUPUESTOS PRECIOS'!$B$7)/'SUPUESTOS PRECIOS'!$B$4</f>
        <v>377.5</v>
      </c>
      <c r="W445" s="4">
        <f>'SUPUESTOS PRECIOS'!$B$8</f>
        <v>9.6799999999999994E-3</v>
      </c>
      <c r="X445" s="4">
        <f>'SUPUESTOS PRECIOS'!$B$2</f>
        <v>0.4</v>
      </c>
      <c r="Y445" s="3" t="str">
        <f t="shared" si="25"/>
        <v/>
      </c>
      <c r="Z445" s="3" t="str">
        <f t="shared" si="26"/>
        <v/>
      </c>
      <c r="AA445" s="11" t="str">
        <f t="shared" si="27"/>
        <v/>
      </c>
    </row>
    <row r="446" spans="1:27" x14ac:dyDescent="0.35">
      <c r="A446" s="10" t="s">
        <v>1569</v>
      </c>
      <c r="F446" t="s">
        <v>1358</v>
      </c>
      <c r="K446">
        <v>1</v>
      </c>
      <c r="L446" t="str">
        <f t="shared" si="24"/>
        <v/>
      </c>
      <c r="O446" t="s">
        <v>38</v>
      </c>
      <c r="T446" s="2">
        <f>'SUPUESTOS PRECIOS'!$B$9</f>
        <v>0</v>
      </c>
      <c r="U446" s="3">
        <f>'SUPUESTOS PRECIOS'!$B$5/'SUPUESTOS PRECIOS'!$B$4</f>
        <v>1000</v>
      </c>
      <c r="V446" s="3">
        <f>('SUPUESTOS PRECIOS'!$B$6-'SUPUESTOS PRECIOS'!$B$7)/'SUPUESTOS PRECIOS'!$B$4</f>
        <v>377.5</v>
      </c>
      <c r="W446" s="4">
        <f>'SUPUESTOS PRECIOS'!$B$8</f>
        <v>9.6799999999999994E-3</v>
      </c>
      <c r="X446" s="4">
        <f>'SUPUESTOS PRECIOS'!$B$2</f>
        <v>0.4</v>
      </c>
      <c r="Y446" s="3" t="str">
        <f t="shared" si="25"/>
        <v/>
      </c>
      <c r="Z446" s="3" t="str">
        <f t="shared" si="26"/>
        <v/>
      </c>
      <c r="AA446" s="11" t="str">
        <f t="shared" si="27"/>
        <v/>
      </c>
    </row>
    <row r="447" spans="1:27" x14ac:dyDescent="0.35">
      <c r="A447" s="10" t="s">
        <v>1570</v>
      </c>
      <c r="F447" t="s">
        <v>1358</v>
      </c>
      <c r="K447">
        <v>1</v>
      </c>
      <c r="L447" t="str">
        <f t="shared" si="24"/>
        <v/>
      </c>
      <c r="O447" t="s">
        <v>38</v>
      </c>
      <c r="T447" s="2">
        <f>'SUPUESTOS PRECIOS'!$B$9</f>
        <v>0</v>
      </c>
      <c r="U447" s="3">
        <f>'SUPUESTOS PRECIOS'!$B$5/'SUPUESTOS PRECIOS'!$B$4</f>
        <v>1000</v>
      </c>
      <c r="V447" s="3">
        <f>('SUPUESTOS PRECIOS'!$B$6-'SUPUESTOS PRECIOS'!$B$7)/'SUPUESTOS PRECIOS'!$B$4</f>
        <v>377.5</v>
      </c>
      <c r="W447" s="4">
        <f>'SUPUESTOS PRECIOS'!$B$8</f>
        <v>9.6799999999999994E-3</v>
      </c>
      <c r="X447" s="4">
        <f>'SUPUESTOS PRECIOS'!$B$2</f>
        <v>0.4</v>
      </c>
      <c r="Y447" s="3" t="str">
        <f t="shared" si="25"/>
        <v/>
      </c>
      <c r="Z447" s="3" t="str">
        <f t="shared" si="26"/>
        <v/>
      </c>
      <c r="AA447" s="11" t="str">
        <f t="shared" si="27"/>
        <v/>
      </c>
    </row>
    <row r="448" spans="1:27" x14ac:dyDescent="0.35">
      <c r="A448" s="10" t="s">
        <v>1571</v>
      </c>
      <c r="F448" t="s">
        <v>1358</v>
      </c>
      <c r="K448">
        <v>1</v>
      </c>
      <c r="L448" t="str">
        <f t="shared" si="24"/>
        <v/>
      </c>
      <c r="O448" t="s">
        <v>38</v>
      </c>
      <c r="T448" s="2">
        <f>'SUPUESTOS PRECIOS'!$B$9</f>
        <v>0</v>
      </c>
      <c r="U448" s="3">
        <f>'SUPUESTOS PRECIOS'!$B$5/'SUPUESTOS PRECIOS'!$B$4</f>
        <v>1000</v>
      </c>
      <c r="V448" s="3">
        <f>('SUPUESTOS PRECIOS'!$B$6-'SUPUESTOS PRECIOS'!$B$7)/'SUPUESTOS PRECIOS'!$B$4</f>
        <v>377.5</v>
      </c>
      <c r="W448" s="4">
        <f>'SUPUESTOS PRECIOS'!$B$8</f>
        <v>9.6799999999999994E-3</v>
      </c>
      <c r="X448" s="4">
        <f>'SUPUESTOS PRECIOS'!$B$2</f>
        <v>0.4</v>
      </c>
      <c r="Y448" s="3" t="str">
        <f t="shared" si="25"/>
        <v/>
      </c>
      <c r="Z448" s="3" t="str">
        <f t="shared" si="26"/>
        <v/>
      </c>
      <c r="AA448" s="11" t="str">
        <f t="shared" si="27"/>
        <v/>
      </c>
    </row>
    <row r="449" spans="1:27" x14ac:dyDescent="0.35">
      <c r="A449" s="10" t="s">
        <v>1572</v>
      </c>
      <c r="F449" t="s">
        <v>1358</v>
      </c>
      <c r="K449">
        <v>1</v>
      </c>
      <c r="L449" t="str">
        <f t="shared" si="24"/>
        <v/>
      </c>
      <c r="O449" t="s">
        <v>38</v>
      </c>
      <c r="T449" s="2">
        <f>'SUPUESTOS PRECIOS'!$B$9</f>
        <v>0</v>
      </c>
      <c r="U449" s="3">
        <f>'SUPUESTOS PRECIOS'!$B$5/'SUPUESTOS PRECIOS'!$B$4</f>
        <v>1000</v>
      </c>
      <c r="V449" s="3">
        <f>('SUPUESTOS PRECIOS'!$B$6-'SUPUESTOS PRECIOS'!$B$7)/'SUPUESTOS PRECIOS'!$B$4</f>
        <v>377.5</v>
      </c>
      <c r="W449" s="4">
        <f>'SUPUESTOS PRECIOS'!$B$8</f>
        <v>9.6799999999999994E-3</v>
      </c>
      <c r="X449" s="4">
        <f>'SUPUESTOS PRECIOS'!$B$2</f>
        <v>0.4</v>
      </c>
      <c r="Y449" s="3" t="str">
        <f t="shared" si="25"/>
        <v/>
      </c>
      <c r="Z449" s="3" t="str">
        <f t="shared" si="26"/>
        <v/>
      </c>
      <c r="AA449" s="11" t="str">
        <f t="shared" si="27"/>
        <v/>
      </c>
    </row>
    <row r="450" spans="1:27" x14ac:dyDescent="0.35">
      <c r="A450" s="10" t="s">
        <v>1573</v>
      </c>
      <c r="F450" t="s">
        <v>1358</v>
      </c>
      <c r="K450">
        <v>1</v>
      </c>
      <c r="L450" t="str">
        <f t="shared" ref="L450:L513" si="28">IF(J450="","",J450*(1+K450))</f>
        <v/>
      </c>
      <c r="O450" t="s">
        <v>38</v>
      </c>
      <c r="T450" s="2">
        <f>'SUPUESTOS PRECIOS'!$B$9</f>
        <v>0</v>
      </c>
      <c r="U450" s="3">
        <f>'SUPUESTOS PRECIOS'!$B$5/'SUPUESTOS PRECIOS'!$B$4</f>
        <v>1000</v>
      </c>
      <c r="V450" s="3">
        <f>('SUPUESTOS PRECIOS'!$B$6-'SUPUESTOS PRECIOS'!$B$7)/'SUPUESTOS PRECIOS'!$B$4</f>
        <v>377.5</v>
      </c>
      <c r="W450" s="4">
        <f>'SUPUESTOS PRECIOS'!$B$8</f>
        <v>9.6799999999999994E-3</v>
      </c>
      <c r="X450" s="4">
        <f>'SUPUESTOS PRECIOS'!$B$2</f>
        <v>0.4</v>
      </c>
      <c r="Y450" s="3" t="str">
        <f t="shared" ref="Y450:Y513" si="29">IF(OR($B450="",$J450=""),"",ROUND(($J450+$T450+$U450+$V450)/(1-$W450-$X450),-1))</f>
        <v/>
      </c>
      <c r="Z450" s="3" t="str">
        <f t="shared" ref="Z450:Z513" si="30">IF($Y450="","",$Y450-$J450-$T450-$U450-$V450-($Y450*$W450))</f>
        <v/>
      </c>
      <c r="AA450" s="11" t="str">
        <f t="shared" ref="AA450:AA513" si="31">IF($Y450="","",$Z450/$Y450)</f>
        <v/>
      </c>
    </row>
    <row r="451" spans="1:27" x14ac:dyDescent="0.35">
      <c r="A451" s="10" t="s">
        <v>1574</v>
      </c>
      <c r="F451" t="s">
        <v>1358</v>
      </c>
      <c r="K451">
        <v>1</v>
      </c>
      <c r="L451" t="str">
        <f t="shared" si="28"/>
        <v/>
      </c>
      <c r="O451" t="s">
        <v>38</v>
      </c>
      <c r="T451" s="2">
        <f>'SUPUESTOS PRECIOS'!$B$9</f>
        <v>0</v>
      </c>
      <c r="U451" s="3">
        <f>'SUPUESTOS PRECIOS'!$B$5/'SUPUESTOS PRECIOS'!$B$4</f>
        <v>1000</v>
      </c>
      <c r="V451" s="3">
        <f>('SUPUESTOS PRECIOS'!$B$6-'SUPUESTOS PRECIOS'!$B$7)/'SUPUESTOS PRECIOS'!$B$4</f>
        <v>377.5</v>
      </c>
      <c r="W451" s="4">
        <f>'SUPUESTOS PRECIOS'!$B$8</f>
        <v>9.6799999999999994E-3</v>
      </c>
      <c r="X451" s="4">
        <f>'SUPUESTOS PRECIOS'!$B$2</f>
        <v>0.4</v>
      </c>
      <c r="Y451" s="3" t="str">
        <f t="shared" si="29"/>
        <v/>
      </c>
      <c r="Z451" s="3" t="str">
        <f t="shared" si="30"/>
        <v/>
      </c>
      <c r="AA451" s="11" t="str">
        <f t="shared" si="31"/>
        <v/>
      </c>
    </row>
    <row r="452" spans="1:27" x14ac:dyDescent="0.35">
      <c r="A452" s="10" t="s">
        <v>1575</v>
      </c>
      <c r="F452" t="s">
        <v>1358</v>
      </c>
      <c r="K452">
        <v>1</v>
      </c>
      <c r="L452" t="str">
        <f t="shared" si="28"/>
        <v/>
      </c>
      <c r="O452" t="s">
        <v>38</v>
      </c>
      <c r="T452" s="2">
        <f>'SUPUESTOS PRECIOS'!$B$9</f>
        <v>0</v>
      </c>
      <c r="U452" s="3">
        <f>'SUPUESTOS PRECIOS'!$B$5/'SUPUESTOS PRECIOS'!$B$4</f>
        <v>1000</v>
      </c>
      <c r="V452" s="3">
        <f>('SUPUESTOS PRECIOS'!$B$6-'SUPUESTOS PRECIOS'!$B$7)/'SUPUESTOS PRECIOS'!$B$4</f>
        <v>377.5</v>
      </c>
      <c r="W452" s="4">
        <f>'SUPUESTOS PRECIOS'!$B$8</f>
        <v>9.6799999999999994E-3</v>
      </c>
      <c r="X452" s="4">
        <f>'SUPUESTOS PRECIOS'!$B$2</f>
        <v>0.4</v>
      </c>
      <c r="Y452" s="3" t="str">
        <f t="shared" si="29"/>
        <v/>
      </c>
      <c r="Z452" s="3" t="str">
        <f t="shared" si="30"/>
        <v/>
      </c>
      <c r="AA452" s="11" t="str">
        <f t="shared" si="31"/>
        <v/>
      </c>
    </row>
    <row r="453" spans="1:27" x14ac:dyDescent="0.35">
      <c r="A453" s="10" t="s">
        <v>1576</v>
      </c>
      <c r="F453" t="s">
        <v>1358</v>
      </c>
      <c r="K453">
        <v>1</v>
      </c>
      <c r="L453" t="str">
        <f t="shared" si="28"/>
        <v/>
      </c>
      <c r="O453" t="s">
        <v>38</v>
      </c>
      <c r="T453" s="2">
        <f>'SUPUESTOS PRECIOS'!$B$9</f>
        <v>0</v>
      </c>
      <c r="U453" s="3">
        <f>'SUPUESTOS PRECIOS'!$B$5/'SUPUESTOS PRECIOS'!$B$4</f>
        <v>1000</v>
      </c>
      <c r="V453" s="3">
        <f>('SUPUESTOS PRECIOS'!$B$6-'SUPUESTOS PRECIOS'!$B$7)/'SUPUESTOS PRECIOS'!$B$4</f>
        <v>377.5</v>
      </c>
      <c r="W453" s="4">
        <f>'SUPUESTOS PRECIOS'!$B$8</f>
        <v>9.6799999999999994E-3</v>
      </c>
      <c r="X453" s="4">
        <f>'SUPUESTOS PRECIOS'!$B$2</f>
        <v>0.4</v>
      </c>
      <c r="Y453" s="3" t="str">
        <f t="shared" si="29"/>
        <v/>
      </c>
      <c r="Z453" s="3" t="str">
        <f t="shared" si="30"/>
        <v/>
      </c>
      <c r="AA453" s="11" t="str">
        <f t="shared" si="31"/>
        <v/>
      </c>
    </row>
    <row r="454" spans="1:27" x14ac:dyDescent="0.35">
      <c r="A454" s="10" t="s">
        <v>1577</v>
      </c>
      <c r="F454" t="s">
        <v>1358</v>
      </c>
      <c r="K454">
        <v>1</v>
      </c>
      <c r="L454" t="str">
        <f t="shared" si="28"/>
        <v/>
      </c>
      <c r="O454" t="s">
        <v>38</v>
      </c>
      <c r="T454" s="2">
        <f>'SUPUESTOS PRECIOS'!$B$9</f>
        <v>0</v>
      </c>
      <c r="U454" s="3">
        <f>'SUPUESTOS PRECIOS'!$B$5/'SUPUESTOS PRECIOS'!$B$4</f>
        <v>1000</v>
      </c>
      <c r="V454" s="3">
        <f>('SUPUESTOS PRECIOS'!$B$6-'SUPUESTOS PRECIOS'!$B$7)/'SUPUESTOS PRECIOS'!$B$4</f>
        <v>377.5</v>
      </c>
      <c r="W454" s="4">
        <f>'SUPUESTOS PRECIOS'!$B$8</f>
        <v>9.6799999999999994E-3</v>
      </c>
      <c r="X454" s="4">
        <f>'SUPUESTOS PRECIOS'!$B$2</f>
        <v>0.4</v>
      </c>
      <c r="Y454" s="3" t="str">
        <f t="shared" si="29"/>
        <v/>
      </c>
      <c r="Z454" s="3" t="str">
        <f t="shared" si="30"/>
        <v/>
      </c>
      <c r="AA454" s="11" t="str">
        <f t="shared" si="31"/>
        <v/>
      </c>
    </row>
    <row r="455" spans="1:27" x14ac:dyDescent="0.35">
      <c r="A455" s="10" t="s">
        <v>1578</v>
      </c>
      <c r="F455" t="s">
        <v>1358</v>
      </c>
      <c r="K455">
        <v>1</v>
      </c>
      <c r="L455" t="str">
        <f t="shared" si="28"/>
        <v/>
      </c>
      <c r="O455" t="s">
        <v>38</v>
      </c>
      <c r="T455" s="2">
        <f>'SUPUESTOS PRECIOS'!$B$9</f>
        <v>0</v>
      </c>
      <c r="U455" s="3">
        <f>'SUPUESTOS PRECIOS'!$B$5/'SUPUESTOS PRECIOS'!$B$4</f>
        <v>1000</v>
      </c>
      <c r="V455" s="3">
        <f>('SUPUESTOS PRECIOS'!$B$6-'SUPUESTOS PRECIOS'!$B$7)/'SUPUESTOS PRECIOS'!$B$4</f>
        <v>377.5</v>
      </c>
      <c r="W455" s="4">
        <f>'SUPUESTOS PRECIOS'!$B$8</f>
        <v>9.6799999999999994E-3</v>
      </c>
      <c r="X455" s="4">
        <f>'SUPUESTOS PRECIOS'!$B$2</f>
        <v>0.4</v>
      </c>
      <c r="Y455" s="3" t="str">
        <f t="shared" si="29"/>
        <v/>
      </c>
      <c r="Z455" s="3" t="str">
        <f t="shared" si="30"/>
        <v/>
      </c>
      <c r="AA455" s="11" t="str">
        <f t="shared" si="31"/>
        <v/>
      </c>
    </row>
    <row r="456" spans="1:27" x14ac:dyDescent="0.35">
      <c r="A456" s="10" t="s">
        <v>1579</v>
      </c>
      <c r="F456" t="s">
        <v>1358</v>
      </c>
      <c r="K456">
        <v>1</v>
      </c>
      <c r="L456" t="str">
        <f t="shared" si="28"/>
        <v/>
      </c>
      <c r="O456" t="s">
        <v>38</v>
      </c>
      <c r="T456" s="2">
        <f>'SUPUESTOS PRECIOS'!$B$9</f>
        <v>0</v>
      </c>
      <c r="U456" s="3">
        <f>'SUPUESTOS PRECIOS'!$B$5/'SUPUESTOS PRECIOS'!$B$4</f>
        <v>1000</v>
      </c>
      <c r="V456" s="3">
        <f>('SUPUESTOS PRECIOS'!$B$6-'SUPUESTOS PRECIOS'!$B$7)/'SUPUESTOS PRECIOS'!$B$4</f>
        <v>377.5</v>
      </c>
      <c r="W456" s="4">
        <f>'SUPUESTOS PRECIOS'!$B$8</f>
        <v>9.6799999999999994E-3</v>
      </c>
      <c r="X456" s="4">
        <f>'SUPUESTOS PRECIOS'!$B$2</f>
        <v>0.4</v>
      </c>
      <c r="Y456" s="3" t="str">
        <f t="shared" si="29"/>
        <v/>
      </c>
      <c r="Z456" s="3" t="str">
        <f t="shared" si="30"/>
        <v/>
      </c>
      <c r="AA456" s="11" t="str">
        <f t="shared" si="31"/>
        <v/>
      </c>
    </row>
    <row r="457" spans="1:27" x14ac:dyDescent="0.35">
      <c r="A457" s="10" t="s">
        <v>1580</v>
      </c>
      <c r="F457" t="s">
        <v>1358</v>
      </c>
      <c r="K457">
        <v>1</v>
      </c>
      <c r="L457" t="str">
        <f t="shared" si="28"/>
        <v/>
      </c>
      <c r="O457" t="s">
        <v>38</v>
      </c>
      <c r="T457" s="2">
        <f>'SUPUESTOS PRECIOS'!$B$9</f>
        <v>0</v>
      </c>
      <c r="U457" s="3">
        <f>'SUPUESTOS PRECIOS'!$B$5/'SUPUESTOS PRECIOS'!$B$4</f>
        <v>1000</v>
      </c>
      <c r="V457" s="3">
        <f>('SUPUESTOS PRECIOS'!$B$6-'SUPUESTOS PRECIOS'!$B$7)/'SUPUESTOS PRECIOS'!$B$4</f>
        <v>377.5</v>
      </c>
      <c r="W457" s="4">
        <f>'SUPUESTOS PRECIOS'!$B$8</f>
        <v>9.6799999999999994E-3</v>
      </c>
      <c r="X457" s="4">
        <f>'SUPUESTOS PRECIOS'!$B$2</f>
        <v>0.4</v>
      </c>
      <c r="Y457" s="3" t="str">
        <f t="shared" si="29"/>
        <v/>
      </c>
      <c r="Z457" s="3" t="str">
        <f t="shared" si="30"/>
        <v/>
      </c>
      <c r="AA457" s="11" t="str">
        <f t="shared" si="31"/>
        <v/>
      </c>
    </row>
    <row r="458" spans="1:27" x14ac:dyDescent="0.35">
      <c r="A458" s="10" t="s">
        <v>1581</v>
      </c>
      <c r="F458" t="s">
        <v>1358</v>
      </c>
      <c r="K458">
        <v>1</v>
      </c>
      <c r="L458" t="str">
        <f t="shared" si="28"/>
        <v/>
      </c>
      <c r="O458" t="s">
        <v>38</v>
      </c>
      <c r="T458" s="2">
        <f>'SUPUESTOS PRECIOS'!$B$9</f>
        <v>0</v>
      </c>
      <c r="U458" s="3">
        <f>'SUPUESTOS PRECIOS'!$B$5/'SUPUESTOS PRECIOS'!$B$4</f>
        <v>1000</v>
      </c>
      <c r="V458" s="3">
        <f>('SUPUESTOS PRECIOS'!$B$6-'SUPUESTOS PRECIOS'!$B$7)/'SUPUESTOS PRECIOS'!$B$4</f>
        <v>377.5</v>
      </c>
      <c r="W458" s="4">
        <f>'SUPUESTOS PRECIOS'!$B$8</f>
        <v>9.6799999999999994E-3</v>
      </c>
      <c r="X458" s="4">
        <f>'SUPUESTOS PRECIOS'!$B$2</f>
        <v>0.4</v>
      </c>
      <c r="Y458" s="3" t="str">
        <f t="shared" si="29"/>
        <v/>
      </c>
      <c r="Z458" s="3" t="str">
        <f t="shared" si="30"/>
        <v/>
      </c>
      <c r="AA458" s="11" t="str">
        <f t="shared" si="31"/>
        <v/>
      </c>
    </row>
    <row r="459" spans="1:27" x14ac:dyDescent="0.35">
      <c r="A459" s="10" t="s">
        <v>1582</v>
      </c>
      <c r="F459" t="s">
        <v>1358</v>
      </c>
      <c r="K459">
        <v>1</v>
      </c>
      <c r="L459" t="str">
        <f t="shared" si="28"/>
        <v/>
      </c>
      <c r="O459" t="s">
        <v>38</v>
      </c>
      <c r="T459" s="2">
        <f>'SUPUESTOS PRECIOS'!$B$9</f>
        <v>0</v>
      </c>
      <c r="U459" s="3">
        <f>'SUPUESTOS PRECIOS'!$B$5/'SUPUESTOS PRECIOS'!$B$4</f>
        <v>1000</v>
      </c>
      <c r="V459" s="3">
        <f>('SUPUESTOS PRECIOS'!$B$6-'SUPUESTOS PRECIOS'!$B$7)/'SUPUESTOS PRECIOS'!$B$4</f>
        <v>377.5</v>
      </c>
      <c r="W459" s="4">
        <f>'SUPUESTOS PRECIOS'!$B$8</f>
        <v>9.6799999999999994E-3</v>
      </c>
      <c r="X459" s="4">
        <f>'SUPUESTOS PRECIOS'!$B$2</f>
        <v>0.4</v>
      </c>
      <c r="Y459" s="3" t="str">
        <f t="shared" si="29"/>
        <v/>
      </c>
      <c r="Z459" s="3" t="str">
        <f t="shared" si="30"/>
        <v/>
      </c>
      <c r="AA459" s="11" t="str">
        <f t="shared" si="31"/>
        <v/>
      </c>
    </row>
    <row r="460" spans="1:27" x14ac:dyDescent="0.35">
      <c r="A460" s="10" t="s">
        <v>1583</v>
      </c>
      <c r="F460" t="s">
        <v>1358</v>
      </c>
      <c r="K460">
        <v>1</v>
      </c>
      <c r="L460" t="str">
        <f t="shared" si="28"/>
        <v/>
      </c>
      <c r="O460" t="s">
        <v>38</v>
      </c>
      <c r="T460" s="2">
        <f>'SUPUESTOS PRECIOS'!$B$9</f>
        <v>0</v>
      </c>
      <c r="U460" s="3">
        <f>'SUPUESTOS PRECIOS'!$B$5/'SUPUESTOS PRECIOS'!$B$4</f>
        <v>1000</v>
      </c>
      <c r="V460" s="3">
        <f>('SUPUESTOS PRECIOS'!$B$6-'SUPUESTOS PRECIOS'!$B$7)/'SUPUESTOS PRECIOS'!$B$4</f>
        <v>377.5</v>
      </c>
      <c r="W460" s="4">
        <f>'SUPUESTOS PRECIOS'!$B$8</f>
        <v>9.6799999999999994E-3</v>
      </c>
      <c r="X460" s="4">
        <f>'SUPUESTOS PRECIOS'!$B$2</f>
        <v>0.4</v>
      </c>
      <c r="Y460" s="3" t="str">
        <f t="shared" si="29"/>
        <v/>
      </c>
      <c r="Z460" s="3" t="str">
        <f t="shared" si="30"/>
        <v/>
      </c>
      <c r="AA460" s="11" t="str">
        <f t="shared" si="31"/>
        <v/>
      </c>
    </row>
    <row r="461" spans="1:27" x14ac:dyDescent="0.35">
      <c r="A461" s="10" t="s">
        <v>1584</v>
      </c>
      <c r="F461" t="s">
        <v>1358</v>
      </c>
      <c r="K461">
        <v>1</v>
      </c>
      <c r="L461" t="str">
        <f t="shared" si="28"/>
        <v/>
      </c>
      <c r="O461" t="s">
        <v>38</v>
      </c>
      <c r="T461" s="2">
        <f>'SUPUESTOS PRECIOS'!$B$9</f>
        <v>0</v>
      </c>
      <c r="U461" s="3">
        <f>'SUPUESTOS PRECIOS'!$B$5/'SUPUESTOS PRECIOS'!$B$4</f>
        <v>1000</v>
      </c>
      <c r="V461" s="3">
        <f>('SUPUESTOS PRECIOS'!$B$6-'SUPUESTOS PRECIOS'!$B$7)/'SUPUESTOS PRECIOS'!$B$4</f>
        <v>377.5</v>
      </c>
      <c r="W461" s="4">
        <f>'SUPUESTOS PRECIOS'!$B$8</f>
        <v>9.6799999999999994E-3</v>
      </c>
      <c r="X461" s="4">
        <f>'SUPUESTOS PRECIOS'!$B$2</f>
        <v>0.4</v>
      </c>
      <c r="Y461" s="3" t="str">
        <f t="shared" si="29"/>
        <v/>
      </c>
      <c r="Z461" s="3" t="str">
        <f t="shared" si="30"/>
        <v/>
      </c>
      <c r="AA461" s="11" t="str">
        <f t="shared" si="31"/>
        <v/>
      </c>
    </row>
    <row r="462" spans="1:27" x14ac:dyDescent="0.35">
      <c r="A462" s="10" t="s">
        <v>1585</v>
      </c>
      <c r="F462" t="s">
        <v>1358</v>
      </c>
      <c r="K462">
        <v>1</v>
      </c>
      <c r="L462" t="str">
        <f t="shared" si="28"/>
        <v/>
      </c>
      <c r="O462" t="s">
        <v>38</v>
      </c>
      <c r="T462" s="2">
        <f>'SUPUESTOS PRECIOS'!$B$9</f>
        <v>0</v>
      </c>
      <c r="U462" s="3">
        <f>'SUPUESTOS PRECIOS'!$B$5/'SUPUESTOS PRECIOS'!$B$4</f>
        <v>1000</v>
      </c>
      <c r="V462" s="3">
        <f>('SUPUESTOS PRECIOS'!$B$6-'SUPUESTOS PRECIOS'!$B$7)/'SUPUESTOS PRECIOS'!$B$4</f>
        <v>377.5</v>
      </c>
      <c r="W462" s="4">
        <f>'SUPUESTOS PRECIOS'!$B$8</f>
        <v>9.6799999999999994E-3</v>
      </c>
      <c r="X462" s="4">
        <f>'SUPUESTOS PRECIOS'!$B$2</f>
        <v>0.4</v>
      </c>
      <c r="Y462" s="3" t="str">
        <f t="shared" si="29"/>
        <v/>
      </c>
      <c r="Z462" s="3" t="str">
        <f t="shared" si="30"/>
        <v/>
      </c>
      <c r="AA462" s="11" t="str">
        <f t="shared" si="31"/>
        <v/>
      </c>
    </row>
    <row r="463" spans="1:27" x14ac:dyDescent="0.35">
      <c r="A463" s="10" t="s">
        <v>1586</v>
      </c>
      <c r="F463" t="s">
        <v>1358</v>
      </c>
      <c r="K463">
        <v>1</v>
      </c>
      <c r="L463" t="str">
        <f t="shared" si="28"/>
        <v/>
      </c>
      <c r="O463" t="s">
        <v>38</v>
      </c>
      <c r="T463" s="2">
        <f>'SUPUESTOS PRECIOS'!$B$9</f>
        <v>0</v>
      </c>
      <c r="U463" s="3">
        <f>'SUPUESTOS PRECIOS'!$B$5/'SUPUESTOS PRECIOS'!$B$4</f>
        <v>1000</v>
      </c>
      <c r="V463" s="3">
        <f>('SUPUESTOS PRECIOS'!$B$6-'SUPUESTOS PRECIOS'!$B$7)/'SUPUESTOS PRECIOS'!$B$4</f>
        <v>377.5</v>
      </c>
      <c r="W463" s="4">
        <f>'SUPUESTOS PRECIOS'!$B$8</f>
        <v>9.6799999999999994E-3</v>
      </c>
      <c r="X463" s="4">
        <f>'SUPUESTOS PRECIOS'!$B$2</f>
        <v>0.4</v>
      </c>
      <c r="Y463" s="3" t="str">
        <f t="shared" si="29"/>
        <v/>
      </c>
      <c r="Z463" s="3" t="str">
        <f t="shared" si="30"/>
        <v/>
      </c>
      <c r="AA463" s="11" t="str">
        <f t="shared" si="31"/>
        <v/>
      </c>
    </row>
    <row r="464" spans="1:27" x14ac:dyDescent="0.35">
      <c r="A464" s="10" t="s">
        <v>1587</v>
      </c>
      <c r="F464" t="s">
        <v>1358</v>
      </c>
      <c r="K464">
        <v>1</v>
      </c>
      <c r="L464" t="str">
        <f t="shared" si="28"/>
        <v/>
      </c>
      <c r="O464" t="s">
        <v>38</v>
      </c>
      <c r="T464" s="2">
        <f>'SUPUESTOS PRECIOS'!$B$9</f>
        <v>0</v>
      </c>
      <c r="U464" s="3">
        <f>'SUPUESTOS PRECIOS'!$B$5/'SUPUESTOS PRECIOS'!$B$4</f>
        <v>1000</v>
      </c>
      <c r="V464" s="3">
        <f>('SUPUESTOS PRECIOS'!$B$6-'SUPUESTOS PRECIOS'!$B$7)/'SUPUESTOS PRECIOS'!$B$4</f>
        <v>377.5</v>
      </c>
      <c r="W464" s="4">
        <f>'SUPUESTOS PRECIOS'!$B$8</f>
        <v>9.6799999999999994E-3</v>
      </c>
      <c r="X464" s="4">
        <f>'SUPUESTOS PRECIOS'!$B$2</f>
        <v>0.4</v>
      </c>
      <c r="Y464" s="3" t="str">
        <f t="shared" si="29"/>
        <v/>
      </c>
      <c r="Z464" s="3" t="str">
        <f t="shared" si="30"/>
        <v/>
      </c>
      <c r="AA464" s="11" t="str">
        <f t="shared" si="31"/>
        <v/>
      </c>
    </row>
    <row r="465" spans="1:27" x14ac:dyDescent="0.35">
      <c r="A465" s="10" t="s">
        <v>1588</v>
      </c>
      <c r="F465" t="s">
        <v>1358</v>
      </c>
      <c r="K465">
        <v>1</v>
      </c>
      <c r="L465" t="str">
        <f t="shared" si="28"/>
        <v/>
      </c>
      <c r="O465" t="s">
        <v>38</v>
      </c>
      <c r="T465" s="2">
        <f>'SUPUESTOS PRECIOS'!$B$9</f>
        <v>0</v>
      </c>
      <c r="U465" s="3">
        <f>'SUPUESTOS PRECIOS'!$B$5/'SUPUESTOS PRECIOS'!$B$4</f>
        <v>1000</v>
      </c>
      <c r="V465" s="3">
        <f>('SUPUESTOS PRECIOS'!$B$6-'SUPUESTOS PRECIOS'!$B$7)/'SUPUESTOS PRECIOS'!$B$4</f>
        <v>377.5</v>
      </c>
      <c r="W465" s="4">
        <f>'SUPUESTOS PRECIOS'!$B$8</f>
        <v>9.6799999999999994E-3</v>
      </c>
      <c r="X465" s="4">
        <f>'SUPUESTOS PRECIOS'!$B$2</f>
        <v>0.4</v>
      </c>
      <c r="Y465" s="3" t="str">
        <f t="shared" si="29"/>
        <v/>
      </c>
      <c r="Z465" s="3" t="str">
        <f t="shared" si="30"/>
        <v/>
      </c>
      <c r="AA465" s="11" t="str">
        <f t="shared" si="31"/>
        <v/>
      </c>
    </row>
    <row r="466" spans="1:27" x14ac:dyDescent="0.35">
      <c r="A466" s="10" t="s">
        <v>1589</v>
      </c>
      <c r="F466" t="s">
        <v>1358</v>
      </c>
      <c r="K466">
        <v>1</v>
      </c>
      <c r="L466" t="str">
        <f t="shared" si="28"/>
        <v/>
      </c>
      <c r="O466" t="s">
        <v>38</v>
      </c>
      <c r="T466" s="2">
        <f>'SUPUESTOS PRECIOS'!$B$9</f>
        <v>0</v>
      </c>
      <c r="U466" s="3">
        <f>'SUPUESTOS PRECIOS'!$B$5/'SUPUESTOS PRECIOS'!$B$4</f>
        <v>1000</v>
      </c>
      <c r="V466" s="3">
        <f>('SUPUESTOS PRECIOS'!$B$6-'SUPUESTOS PRECIOS'!$B$7)/'SUPUESTOS PRECIOS'!$B$4</f>
        <v>377.5</v>
      </c>
      <c r="W466" s="4">
        <f>'SUPUESTOS PRECIOS'!$B$8</f>
        <v>9.6799999999999994E-3</v>
      </c>
      <c r="X466" s="4">
        <f>'SUPUESTOS PRECIOS'!$B$2</f>
        <v>0.4</v>
      </c>
      <c r="Y466" s="3" t="str">
        <f t="shared" si="29"/>
        <v/>
      </c>
      <c r="Z466" s="3" t="str">
        <f t="shared" si="30"/>
        <v/>
      </c>
      <c r="AA466" s="11" t="str">
        <f t="shared" si="31"/>
        <v/>
      </c>
    </row>
    <row r="467" spans="1:27" x14ac:dyDescent="0.35">
      <c r="A467" s="10" t="s">
        <v>1590</v>
      </c>
      <c r="F467" t="s">
        <v>1358</v>
      </c>
      <c r="K467">
        <v>1</v>
      </c>
      <c r="L467" t="str">
        <f t="shared" si="28"/>
        <v/>
      </c>
      <c r="O467" t="s">
        <v>38</v>
      </c>
      <c r="T467" s="2">
        <f>'SUPUESTOS PRECIOS'!$B$9</f>
        <v>0</v>
      </c>
      <c r="U467" s="3">
        <f>'SUPUESTOS PRECIOS'!$B$5/'SUPUESTOS PRECIOS'!$B$4</f>
        <v>1000</v>
      </c>
      <c r="V467" s="3">
        <f>('SUPUESTOS PRECIOS'!$B$6-'SUPUESTOS PRECIOS'!$B$7)/'SUPUESTOS PRECIOS'!$B$4</f>
        <v>377.5</v>
      </c>
      <c r="W467" s="4">
        <f>'SUPUESTOS PRECIOS'!$B$8</f>
        <v>9.6799999999999994E-3</v>
      </c>
      <c r="X467" s="4">
        <f>'SUPUESTOS PRECIOS'!$B$2</f>
        <v>0.4</v>
      </c>
      <c r="Y467" s="3" t="str">
        <f t="shared" si="29"/>
        <v/>
      </c>
      <c r="Z467" s="3" t="str">
        <f t="shared" si="30"/>
        <v/>
      </c>
      <c r="AA467" s="11" t="str">
        <f t="shared" si="31"/>
        <v/>
      </c>
    </row>
    <row r="468" spans="1:27" x14ac:dyDescent="0.35">
      <c r="A468" s="10" t="s">
        <v>1591</v>
      </c>
      <c r="F468" t="s">
        <v>1358</v>
      </c>
      <c r="K468">
        <v>1</v>
      </c>
      <c r="L468" t="str">
        <f t="shared" si="28"/>
        <v/>
      </c>
      <c r="O468" t="s">
        <v>38</v>
      </c>
      <c r="T468" s="2">
        <f>'SUPUESTOS PRECIOS'!$B$9</f>
        <v>0</v>
      </c>
      <c r="U468" s="3">
        <f>'SUPUESTOS PRECIOS'!$B$5/'SUPUESTOS PRECIOS'!$B$4</f>
        <v>1000</v>
      </c>
      <c r="V468" s="3">
        <f>('SUPUESTOS PRECIOS'!$B$6-'SUPUESTOS PRECIOS'!$B$7)/'SUPUESTOS PRECIOS'!$B$4</f>
        <v>377.5</v>
      </c>
      <c r="W468" s="4">
        <f>'SUPUESTOS PRECIOS'!$B$8</f>
        <v>9.6799999999999994E-3</v>
      </c>
      <c r="X468" s="4">
        <f>'SUPUESTOS PRECIOS'!$B$2</f>
        <v>0.4</v>
      </c>
      <c r="Y468" s="3" t="str">
        <f t="shared" si="29"/>
        <v/>
      </c>
      <c r="Z468" s="3" t="str">
        <f t="shared" si="30"/>
        <v/>
      </c>
      <c r="AA468" s="11" t="str">
        <f t="shared" si="31"/>
        <v/>
      </c>
    </row>
    <row r="469" spans="1:27" x14ac:dyDescent="0.35">
      <c r="A469" s="10" t="s">
        <v>1592</v>
      </c>
      <c r="F469" t="s">
        <v>1358</v>
      </c>
      <c r="K469">
        <v>1</v>
      </c>
      <c r="L469" t="str">
        <f t="shared" si="28"/>
        <v/>
      </c>
      <c r="O469" t="s">
        <v>38</v>
      </c>
      <c r="T469" s="2">
        <f>'SUPUESTOS PRECIOS'!$B$9</f>
        <v>0</v>
      </c>
      <c r="U469" s="3">
        <f>'SUPUESTOS PRECIOS'!$B$5/'SUPUESTOS PRECIOS'!$B$4</f>
        <v>1000</v>
      </c>
      <c r="V469" s="3">
        <f>('SUPUESTOS PRECIOS'!$B$6-'SUPUESTOS PRECIOS'!$B$7)/'SUPUESTOS PRECIOS'!$B$4</f>
        <v>377.5</v>
      </c>
      <c r="W469" s="4">
        <f>'SUPUESTOS PRECIOS'!$B$8</f>
        <v>9.6799999999999994E-3</v>
      </c>
      <c r="X469" s="4">
        <f>'SUPUESTOS PRECIOS'!$B$2</f>
        <v>0.4</v>
      </c>
      <c r="Y469" s="3" t="str">
        <f t="shared" si="29"/>
        <v/>
      </c>
      <c r="Z469" s="3" t="str">
        <f t="shared" si="30"/>
        <v/>
      </c>
      <c r="AA469" s="11" t="str">
        <f t="shared" si="31"/>
        <v/>
      </c>
    </row>
    <row r="470" spans="1:27" x14ac:dyDescent="0.35">
      <c r="A470" s="10" t="s">
        <v>1593</v>
      </c>
      <c r="F470" t="s">
        <v>1358</v>
      </c>
      <c r="K470">
        <v>1</v>
      </c>
      <c r="L470" t="str">
        <f t="shared" si="28"/>
        <v/>
      </c>
      <c r="O470" t="s">
        <v>38</v>
      </c>
      <c r="T470" s="2">
        <f>'SUPUESTOS PRECIOS'!$B$9</f>
        <v>0</v>
      </c>
      <c r="U470" s="3">
        <f>'SUPUESTOS PRECIOS'!$B$5/'SUPUESTOS PRECIOS'!$B$4</f>
        <v>1000</v>
      </c>
      <c r="V470" s="3">
        <f>('SUPUESTOS PRECIOS'!$B$6-'SUPUESTOS PRECIOS'!$B$7)/'SUPUESTOS PRECIOS'!$B$4</f>
        <v>377.5</v>
      </c>
      <c r="W470" s="4">
        <f>'SUPUESTOS PRECIOS'!$B$8</f>
        <v>9.6799999999999994E-3</v>
      </c>
      <c r="X470" s="4">
        <f>'SUPUESTOS PRECIOS'!$B$2</f>
        <v>0.4</v>
      </c>
      <c r="Y470" s="3" t="str">
        <f t="shared" si="29"/>
        <v/>
      </c>
      <c r="Z470" s="3" t="str">
        <f t="shared" si="30"/>
        <v/>
      </c>
      <c r="AA470" s="11" t="str">
        <f t="shared" si="31"/>
        <v/>
      </c>
    </row>
    <row r="471" spans="1:27" x14ac:dyDescent="0.35">
      <c r="A471" s="10" t="s">
        <v>1594</v>
      </c>
      <c r="F471" t="s">
        <v>1358</v>
      </c>
      <c r="K471">
        <v>1</v>
      </c>
      <c r="L471" t="str">
        <f t="shared" si="28"/>
        <v/>
      </c>
      <c r="O471" t="s">
        <v>38</v>
      </c>
      <c r="T471" s="2">
        <f>'SUPUESTOS PRECIOS'!$B$9</f>
        <v>0</v>
      </c>
      <c r="U471" s="3">
        <f>'SUPUESTOS PRECIOS'!$B$5/'SUPUESTOS PRECIOS'!$B$4</f>
        <v>1000</v>
      </c>
      <c r="V471" s="3">
        <f>('SUPUESTOS PRECIOS'!$B$6-'SUPUESTOS PRECIOS'!$B$7)/'SUPUESTOS PRECIOS'!$B$4</f>
        <v>377.5</v>
      </c>
      <c r="W471" s="4">
        <f>'SUPUESTOS PRECIOS'!$B$8</f>
        <v>9.6799999999999994E-3</v>
      </c>
      <c r="X471" s="4">
        <f>'SUPUESTOS PRECIOS'!$B$2</f>
        <v>0.4</v>
      </c>
      <c r="Y471" s="3" t="str">
        <f t="shared" si="29"/>
        <v/>
      </c>
      <c r="Z471" s="3" t="str">
        <f t="shared" si="30"/>
        <v/>
      </c>
      <c r="AA471" s="11" t="str">
        <f t="shared" si="31"/>
        <v/>
      </c>
    </row>
    <row r="472" spans="1:27" x14ac:dyDescent="0.35">
      <c r="A472" s="10" t="s">
        <v>1595</v>
      </c>
      <c r="F472" t="s">
        <v>1358</v>
      </c>
      <c r="K472">
        <v>1</v>
      </c>
      <c r="L472" t="str">
        <f t="shared" si="28"/>
        <v/>
      </c>
      <c r="O472" t="s">
        <v>38</v>
      </c>
      <c r="T472" s="2">
        <f>'SUPUESTOS PRECIOS'!$B$9</f>
        <v>0</v>
      </c>
      <c r="U472" s="3">
        <f>'SUPUESTOS PRECIOS'!$B$5/'SUPUESTOS PRECIOS'!$B$4</f>
        <v>1000</v>
      </c>
      <c r="V472" s="3">
        <f>('SUPUESTOS PRECIOS'!$B$6-'SUPUESTOS PRECIOS'!$B$7)/'SUPUESTOS PRECIOS'!$B$4</f>
        <v>377.5</v>
      </c>
      <c r="W472" s="4">
        <f>'SUPUESTOS PRECIOS'!$B$8</f>
        <v>9.6799999999999994E-3</v>
      </c>
      <c r="X472" s="4">
        <f>'SUPUESTOS PRECIOS'!$B$2</f>
        <v>0.4</v>
      </c>
      <c r="Y472" s="3" t="str">
        <f t="shared" si="29"/>
        <v/>
      </c>
      <c r="Z472" s="3" t="str">
        <f t="shared" si="30"/>
        <v/>
      </c>
      <c r="AA472" s="11" t="str">
        <f t="shared" si="31"/>
        <v/>
      </c>
    </row>
    <row r="473" spans="1:27" x14ac:dyDescent="0.35">
      <c r="A473" s="10" t="s">
        <v>1596</v>
      </c>
      <c r="F473" t="s">
        <v>1358</v>
      </c>
      <c r="K473">
        <v>1</v>
      </c>
      <c r="L473" t="str">
        <f t="shared" si="28"/>
        <v/>
      </c>
      <c r="O473" t="s">
        <v>38</v>
      </c>
      <c r="T473" s="2">
        <f>'SUPUESTOS PRECIOS'!$B$9</f>
        <v>0</v>
      </c>
      <c r="U473" s="3">
        <f>'SUPUESTOS PRECIOS'!$B$5/'SUPUESTOS PRECIOS'!$B$4</f>
        <v>1000</v>
      </c>
      <c r="V473" s="3">
        <f>('SUPUESTOS PRECIOS'!$B$6-'SUPUESTOS PRECIOS'!$B$7)/'SUPUESTOS PRECIOS'!$B$4</f>
        <v>377.5</v>
      </c>
      <c r="W473" s="4">
        <f>'SUPUESTOS PRECIOS'!$B$8</f>
        <v>9.6799999999999994E-3</v>
      </c>
      <c r="X473" s="4">
        <f>'SUPUESTOS PRECIOS'!$B$2</f>
        <v>0.4</v>
      </c>
      <c r="Y473" s="3" t="str">
        <f t="shared" si="29"/>
        <v/>
      </c>
      <c r="Z473" s="3" t="str">
        <f t="shared" si="30"/>
        <v/>
      </c>
      <c r="AA473" s="11" t="str">
        <f t="shared" si="31"/>
        <v/>
      </c>
    </row>
    <row r="474" spans="1:27" x14ac:dyDescent="0.35">
      <c r="A474" s="10" t="s">
        <v>1597</v>
      </c>
      <c r="F474" t="s">
        <v>1358</v>
      </c>
      <c r="K474">
        <v>1</v>
      </c>
      <c r="L474" t="str">
        <f t="shared" si="28"/>
        <v/>
      </c>
      <c r="O474" t="s">
        <v>38</v>
      </c>
      <c r="T474" s="2">
        <f>'SUPUESTOS PRECIOS'!$B$9</f>
        <v>0</v>
      </c>
      <c r="U474" s="3">
        <f>'SUPUESTOS PRECIOS'!$B$5/'SUPUESTOS PRECIOS'!$B$4</f>
        <v>1000</v>
      </c>
      <c r="V474" s="3">
        <f>('SUPUESTOS PRECIOS'!$B$6-'SUPUESTOS PRECIOS'!$B$7)/'SUPUESTOS PRECIOS'!$B$4</f>
        <v>377.5</v>
      </c>
      <c r="W474" s="4">
        <f>'SUPUESTOS PRECIOS'!$B$8</f>
        <v>9.6799999999999994E-3</v>
      </c>
      <c r="X474" s="4">
        <f>'SUPUESTOS PRECIOS'!$B$2</f>
        <v>0.4</v>
      </c>
      <c r="Y474" s="3" t="str">
        <f t="shared" si="29"/>
        <v/>
      </c>
      <c r="Z474" s="3" t="str">
        <f t="shared" si="30"/>
        <v/>
      </c>
      <c r="AA474" s="11" t="str">
        <f t="shared" si="31"/>
        <v/>
      </c>
    </row>
    <row r="475" spans="1:27" x14ac:dyDescent="0.35">
      <c r="A475" s="10" t="s">
        <v>1598</v>
      </c>
      <c r="F475" t="s">
        <v>1358</v>
      </c>
      <c r="K475">
        <v>1</v>
      </c>
      <c r="L475" t="str">
        <f t="shared" si="28"/>
        <v/>
      </c>
      <c r="O475" t="s">
        <v>38</v>
      </c>
      <c r="T475" s="2">
        <f>'SUPUESTOS PRECIOS'!$B$9</f>
        <v>0</v>
      </c>
      <c r="U475" s="3">
        <f>'SUPUESTOS PRECIOS'!$B$5/'SUPUESTOS PRECIOS'!$B$4</f>
        <v>1000</v>
      </c>
      <c r="V475" s="3">
        <f>('SUPUESTOS PRECIOS'!$B$6-'SUPUESTOS PRECIOS'!$B$7)/'SUPUESTOS PRECIOS'!$B$4</f>
        <v>377.5</v>
      </c>
      <c r="W475" s="4">
        <f>'SUPUESTOS PRECIOS'!$B$8</f>
        <v>9.6799999999999994E-3</v>
      </c>
      <c r="X475" s="4">
        <f>'SUPUESTOS PRECIOS'!$B$2</f>
        <v>0.4</v>
      </c>
      <c r="Y475" s="3" t="str">
        <f t="shared" si="29"/>
        <v/>
      </c>
      <c r="Z475" s="3" t="str">
        <f t="shared" si="30"/>
        <v/>
      </c>
      <c r="AA475" s="11" t="str">
        <f t="shared" si="31"/>
        <v/>
      </c>
    </row>
    <row r="476" spans="1:27" x14ac:dyDescent="0.35">
      <c r="A476" s="10" t="s">
        <v>1599</v>
      </c>
      <c r="F476" t="s">
        <v>1358</v>
      </c>
      <c r="K476">
        <v>1</v>
      </c>
      <c r="L476" t="str">
        <f t="shared" si="28"/>
        <v/>
      </c>
      <c r="O476" t="s">
        <v>38</v>
      </c>
      <c r="T476" s="2">
        <f>'SUPUESTOS PRECIOS'!$B$9</f>
        <v>0</v>
      </c>
      <c r="U476" s="3">
        <f>'SUPUESTOS PRECIOS'!$B$5/'SUPUESTOS PRECIOS'!$B$4</f>
        <v>1000</v>
      </c>
      <c r="V476" s="3">
        <f>('SUPUESTOS PRECIOS'!$B$6-'SUPUESTOS PRECIOS'!$B$7)/'SUPUESTOS PRECIOS'!$B$4</f>
        <v>377.5</v>
      </c>
      <c r="W476" s="4">
        <f>'SUPUESTOS PRECIOS'!$B$8</f>
        <v>9.6799999999999994E-3</v>
      </c>
      <c r="X476" s="4">
        <f>'SUPUESTOS PRECIOS'!$B$2</f>
        <v>0.4</v>
      </c>
      <c r="Y476" s="3" t="str">
        <f t="shared" si="29"/>
        <v/>
      </c>
      <c r="Z476" s="3" t="str">
        <f t="shared" si="30"/>
        <v/>
      </c>
      <c r="AA476" s="11" t="str">
        <f t="shared" si="31"/>
        <v/>
      </c>
    </row>
    <row r="477" spans="1:27" x14ac:dyDescent="0.35">
      <c r="A477" s="10" t="s">
        <v>1600</v>
      </c>
      <c r="F477" t="s">
        <v>1358</v>
      </c>
      <c r="K477">
        <v>1</v>
      </c>
      <c r="L477" t="str">
        <f t="shared" si="28"/>
        <v/>
      </c>
      <c r="O477" t="s">
        <v>38</v>
      </c>
      <c r="T477" s="2">
        <f>'SUPUESTOS PRECIOS'!$B$9</f>
        <v>0</v>
      </c>
      <c r="U477" s="3">
        <f>'SUPUESTOS PRECIOS'!$B$5/'SUPUESTOS PRECIOS'!$B$4</f>
        <v>1000</v>
      </c>
      <c r="V477" s="3">
        <f>('SUPUESTOS PRECIOS'!$B$6-'SUPUESTOS PRECIOS'!$B$7)/'SUPUESTOS PRECIOS'!$B$4</f>
        <v>377.5</v>
      </c>
      <c r="W477" s="4">
        <f>'SUPUESTOS PRECIOS'!$B$8</f>
        <v>9.6799999999999994E-3</v>
      </c>
      <c r="X477" s="4">
        <f>'SUPUESTOS PRECIOS'!$B$2</f>
        <v>0.4</v>
      </c>
      <c r="Y477" s="3" t="str">
        <f t="shared" si="29"/>
        <v/>
      </c>
      <c r="Z477" s="3" t="str">
        <f t="shared" si="30"/>
        <v/>
      </c>
      <c r="AA477" s="11" t="str">
        <f t="shared" si="31"/>
        <v/>
      </c>
    </row>
    <row r="478" spans="1:27" x14ac:dyDescent="0.35">
      <c r="A478" s="10" t="s">
        <v>1601</v>
      </c>
      <c r="F478" t="s">
        <v>1358</v>
      </c>
      <c r="K478">
        <v>1</v>
      </c>
      <c r="L478" t="str">
        <f t="shared" si="28"/>
        <v/>
      </c>
      <c r="O478" t="s">
        <v>38</v>
      </c>
      <c r="T478" s="2">
        <f>'SUPUESTOS PRECIOS'!$B$9</f>
        <v>0</v>
      </c>
      <c r="U478" s="3">
        <f>'SUPUESTOS PRECIOS'!$B$5/'SUPUESTOS PRECIOS'!$B$4</f>
        <v>1000</v>
      </c>
      <c r="V478" s="3">
        <f>('SUPUESTOS PRECIOS'!$B$6-'SUPUESTOS PRECIOS'!$B$7)/'SUPUESTOS PRECIOS'!$B$4</f>
        <v>377.5</v>
      </c>
      <c r="W478" s="4">
        <f>'SUPUESTOS PRECIOS'!$B$8</f>
        <v>9.6799999999999994E-3</v>
      </c>
      <c r="X478" s="4">
        <f>'SUPUESTOS PRECIOS'!$B$2</f>
        <v>0.4</v>
      </c>
      <c r="Y478" s="3" t="str">
        <f t="shared" si="29"/>
        <v/>
      </c>
      <c r="Z478" s="3" t="str">
        <f t="shared" si="30"/>
        <v/>
      </c>
      <c r="AA478" s="11" t="str">
        <f t="shared" si="31"/>
        <v/>
      </c>
    </row>
    <row r="479" spans="1:27" x14ac:dyDescent="0.35">
      <c r="A479" s="10" t="s">
        <v>1602</v>
      </c>
      <c r="F479" t="s">
        <v>1358</v>
      </c>
      <c r="K479">
        <v>1</v>
      </c>
      <c r="L479" t="str">
        <f t="shared" si="28"/>
        <v/>
      </c>
      <c r="O479" t="s">
        <v>38</v>
      </c>
      <c r="T479" s="2">
        <f>'SUPUESTOS PRECIOS'!$B$9</f>
        <v>0</v>
      </c>
      <c r="U479" s="3">
        <f>'SUPUESTOS PRECIOS'!$B$5/'SUPUESTOS PRECIOS'!$B$4</f>
        <v>1000</v>
      </c>
      <c r="V479" s="3">
        <f>('SUPUESTOS PRECIOS'!$B$6-'SUPUESTOS PRECIOS'!$B$7)/'SUPUESTOS PRECIOS'!$B$4</f>
        <v>377.5</v>
      </c>
      <c r="W479" s="4">
        <f>'SUPUESTOS PRECIOS'!$B$8</f>
        <v>9.6799999999999994E-3</v>
      </c>
      <c r="X479" s="4">
        <f>'SUPUESTOS PRECIOS'!$B$2</f>
        <v>0.4</v>
      </c>
      <c r="Y479" s="3" t="str">
        <f t="shared" si="29"/>
        <v/>
      </c>
      <c r="Z479" s="3" t="str">
        <f t="shared" si="30"/>
        <v/>
      </c>
      <c r="AA479" s="11" t="str">
        <f t="shared" si="31"/>
        <v/>
      </c>
    </row>
    <row r="480" spans="1:27" x14ac:dyDescent="0.35">
      <c r="A480" s="10" t="s">
        <v>1603</v>
      </c>
      <c r="F480" t="s">
        <v>1358</v>
      </c>
      <c r="K480">
        <v>1</v>
      </c>
      <c r="L480" t="str">
        <f t="shared" si="28"/>
        <v/>
      </c>
      <c r="O480" t="s">
        <v>38</v>
      </c>
      <c r="T480" s="2">
        <f>'SUPUESTOS PRECIOS'!$B$9</f>
        <v>0</v>
      </c>
      <c r="U480" s="3">
        <f>'SUPUESTOS PRECIOS'!$B$5/'SUPUESTOS PRECIOS'!$B$4</f>
        <v>1000</v>
      </c>
      <c r="V480" s="3">
        <f>('SUPUESTOS PRECIOS'!$B$6-'SUPUESTOS PRECIOS'!$B$7)/'SUPUESTOS PRECIOS'!$B$4</f>
        <v>377.5</v>
      </c>
      <c r="W480" s="4">
        <f>'SUPUESTOS PRECIOS'!$B$8</f>
        <v>9.6799999999999994E-3</v>
      </c>
      <c r="X480" s="4">
        <f>'SUPUESTOS PRECIOS'!$B$2</f>
        <v>0.4</v>
      </c>
      <c r="Y480" s="3" t="str">
        <f t="shared" si="29"/>
        <v/>
      </c>
      <c r="Z480" s="3" t="str">
        <f t="shared" si="30"/>
        <v/>
      </c>
      <c r="AA480" s="11" t="str">
        <f t="shared" si="31"/>
        <v/>
      </c>
    </row>
    <row r="481" spans="1:27" x14ac:dyDescent="0.35">
      <c r="A481" s="10" t="s">
        <v>1604</v>
      </c>
      <c r="F481" t="s">
        <v>1358</v>
      </c>
      <c r="K481">
        <v>1</v>
      </c>
      <c r="L481" t="str">
        <f t="shared" si="28"/>
        <v/>
      </c>
      <c r="O481" t="s">
        <v>38</v>
      </c>
      <c r="T481" s="2">
        <f>'SUPUESTOS PRECIOS'!$B$9</f>
        <v>0</v>
      </c>
      <c r="U481" s="3">
        <f>'SUPUESTOS PRECIOS'!$B$5/'SUPUESTOS PRECIOS'!$B$4</f>
        <v>1000</v>
      </c>
      <c r="V481" s="3">
        <f>('SUPUESTOS PRECIOS'!$B$6-'SUPUESTOS PRECIOS'!$B$7)/'SUPUESTOS PRECIOS'!$B$4</f>
        <v>377.5</v>
      </c>
      <c r="W481" s="4">
        <f>'SUPUESTOS PRECIOS'!$B$8</f>
        <v>9.6799999999999994E-3</v>
      </c>
      <c r="X481" s="4">
        <f>'SUPUESTOS PRECIOS'!$B$2</f>
        <v>0.4</v>
      </c>
      <c r="Y481" s="3" t="str">
        <f t="shared" si="29"/>
        <v/>
      </c>
      <c r="Z481" s="3" t="str">
        <f t="shared" si="30"/>
        <v/>
      </c>
      <c r="AA481" s="11" t="str">
        <f t="shared" si="31"/>
        <v/>
      </c>
    </row>
    <row r="482" spans="1:27" x14ac:dyDescent="0.35">
      <c r="A482" s="10" t="s">
        <v>1605</v>
      </c>
      <c r="F482" t="s">
        <v>1358</v>
      </c>
      <c r="K482">
        <v>1</v>
      </c>
      <c r="L482" t="str">
        <f t="shared" si="28"/>
        <v/>
      </c>
      <c r="O482" t="s">
        <v>38</v>
      </c>
      <c r="T482" s="2">
        <f>'SUPUESTOS PRECIOS'!$B$9</f>
        <v>0</v>
      </c>
      <c r="U482" s="3">
        <f>'SUPUESTOS PRECIOS'!$B$5/'SUPUESTOS PRECIOS'!$B$4</f>
        <v>1000</v>
      </c>
      <c r="V482" s="3">
        <f>('SUPUESTOS PRECIOS'!$B$6-'SUPUESTOS PRECIOS'!$B$7)/'SUPUESTOS PRECIOS'!$B$4</f>
        <v>377.5</v>
      </c>
      <c r="W482" s="4">
        <f>'SUPUESTOS PRECIOS'!$B$8</f>
        <v>9.6799999999999994E-3</v>
      </c>
      <c r="X482" s="4">
        <f>'SUPUESTOS PRECIOS'!$B$2</f>
        <v>0.4</v>
      </c>
      <c r="Y482" s="3" t="str">
        <f t="shared" si="29"/>
        <v/>
      </c>
      <c r="Z482" s="3" t="str">
        <f t="shared" si="30"/>
        <v/>
      </c>
      <c r="AA482" s="11" t="str">
        <f t="shared" si="31"/>
        <v/>
      </c>
    </row>
    <row r="483" spans="1:27" x14ac:dyDescent="0.35">
      <c r="A483" s="10" t="s">
        <v>1606</v>
      </c>
      <c r="F483" t="s">
        <v>1358</v>
      </c>
      <c r="K483">
        <v>1</v>
      </c>
      <c r="L483" t="str">
        <f t="shared" si="28"/>
        <v/>
      </c>
      <c r="O483" t="s">
        <v>38</v>
      </c>
      <c r="T483" s="2">
        <f>'SUPUESTOS PRECIOS'!$B$9</f>
        <v>0</v>
      </c>
      <c r="U483" s="3">
        <f>'SUPUESTOS PRECIOS'!$B$5/'SUPUESTOS PRECIOS'!$B$4</f>
        <v>1000</v>
      </c>
      <c r="V483" s="3">
        <f>('SUPUESTOS PRECIOS'!$B$6-'SUPUESTOS PRECIOS'!$B$7)/'SUPUESTOS PRECIOS'!$B$4</f>
        <v>377.5</v>
      </c>
      <c r="W483" s="4">
        <f>'SUPUESTOS PRECIOS'!$B$8</f>
        <v>9.6799999999999994E-3</v>
      </c>
      <c r="X483" s="4">
        <f>'SUPUESTOS PRECIOS'!$B$2</f>
        <v>0.4</v>
      </c>
      <c r="Y483" s="3" t="str">
        <f t="shared" si="29"/>
        <v/>
      </c>
      <c r="Z483" s="3" t="str">
        <f t="shared" si="30"/>
        <v/>
      </c>
      <c r="AA483" s="11" t="str">
        <f t="shared" si="31"/>
        <v/>
      </c>
    </row>
    <row r="484" spans="1:27" x14ac:dyDescent="0.35">
      <c r="A484" s="10" t="s">
        <v>1607</v>
      </c>
      <c r="F484" t="s">
        <v>1358</v>
      </c>
      <c r="K484">
        <v>1</v>
      </c>
      <c r="L484" t="str">
        <f t="shared" si="28"/>
        <v/>
      </c>
      <c r="O484" t="s">
        <v>38</v>
      </c>
      <c r="T484" s="2">
        <f>'SUPUESTOS PRECIOS'!$B$9</f>
        <v>0</v>
      </c>
      <c r="U484" s="3">
        <f>'SUPUESTOS PRECIOS'!$B$5/'SUPUESTOS PRECIOS'!$B$4</f>
        <v>1000</v>
      </c>
      <c r="V484" s="3">
        <f>('SUPUESTOS PRECIOS'!$B$6-'SUPUESTOS PRECIOS'!$B$7)/'SUPUESTOS PRECIOS'!$B$4</f>
        <v>377.5</v>
      </c>
      <c r="W484" s="4">
        <f>'SUPUESTOS PRECIOS'!$B$8</f>
        <v>9.6799999999999994E-3</v>
      </c>
      <c r="X484" s="4">
        <f>'SUPUESTOS PRECIOS'!$B$2</f>
        <v>0.4</v>
      </c>
      <c r="Y484" s="3" t="str">
        <f t="shared" si="29"/>
        <v/>
      </c>
      <c r="Z484" s="3" t="str">
        <f t="shared" si="30"/>
        <v/>
      </c>
      <c r="AA484" s="11" t="str">
        <f t="shared" si="31"/>
        <v/>
      </c>
    </row>
    <row r="485" spans="1:27" x14ac:dyDescent="0.35">
      <c r="A485" s="10" t="s">
        <v>1608</v>
      </c>
      <c r="F485" t="s">
        <v>1358</v>
      </c>
      <c r="K485">
        <v>1</v>
      </c>
      <c r="L485" t="str">
        <f t="shared" si="28"/>
        <v/>
      </c>
      <c r="O485" t="s">
        <v>38</v>
      </c>
      <c r="T485" s="2">
        <f>'SUPUESTOS PRECIOS'!$B$9</f>
        <v>0</v>
      </c>
      <c r="U485" s="3">
        <f>'SUPUESTOS PRECIOS'!$B$5/'SUPUESTOS PRECIOS'!$B$4</f>
        <v>1000</v>
      </c>
      <c r="V485" s="3">
        <f>('SUPUESTOS PRECIOS'!$B$6-'SUPUESTOS PRECIOS'!$B$7)/'SUPUESTOS PRECIOS'!$B$4</f>
        <v>377.5</v>
      </c>
      <c r="W485" s="4">
        <f>'SUPUESTOS PRECIOS'!$B$8</f>
        <v>9.6799999999999994E-3</v>
      </c>
      <c r="X485" s="4">
        <f>'SUPUESTOS PRECIOS'!$B$2</f>
        <v>0.4</v>
      </c>
      <c r="Y485" s="3" t="str">
        <f t="shared" si="29"/>
        <v/>
      </c>
      <c r="Z485" s="3" t="str">
        <f t="shared" si="30"/>
        <v/>
      </c>
      <c r="AA485" s="11" t="str">
        <f t="shared" si="31"/>
        <v/>
      </c>
    </row>
    <row r="486" spans="1:27" x14ac:dyDescent="0.35">
      <c r="A486" s="10" t="s">
        <v>1609</v>
      </c>
      <c r="F486" t="s">
        <v>1358</v>
      </c>
      <c r="K486">
        <v>1</v>
      </c>
      <c r="L486" t="str">
        <f t="shared" si="28"/>
        <v/>
      </c>
      <c r="O486" t="s">
        <v>38</v>
      </c>
      <c r="T486" s="2">
        <f>'SUPUESTOS PRECIOS'!$B$9</f>
        <v>0</v>
      </c>
      <c r="U486" s="3">
        <f>'SUPUESTOS PRECIOS'!$B$5/'SUPUESTOS PRECIOS'!$B$4</f>
        <v>1000</v>
      </c>
      <c r="V486" s="3">
        <f>('SUPUESTOS PRECIOS'!$B$6-'SUPUESTOS PRECIOS'!$B$7)/'SUPUESTOS PRECIOS'!$B$4</f>
        <v>377.5</v>
      </c>
      <c r="W486" s="4">
        <f>'SUPUESTOS PRECIOS'!$B$8</f>
        <v>9.6799999999999994E-3</v>
      </c>
      <c r="X486" s="4">
        <f>'SUPUESTOS PRECIOS'!$B$2</f>
        <v>0.4</v>
      </c>
      <c r="Y486" s="3" t="str">
        <f t="shared" si="29"/>
        <v/>
      </c>
      <c r="Z486" s="3" t="str">
        <f t="shared" si="30"/>
        <v/>
      </c>
      <c r="AA486" s="11" t="str">
        <f t="shared" si="31"/>
        <v/>
      </c>
    </row>
    <row r="487" spans="1:27" x14ac:dyDescent="0.35">
      <c r="A487" s="10" t="s">
        <v>1610</v>
      </c>
      <c r="F487" t="s">
        <v>1358</v>
      </c>
      <c r="K487">
        <v>1</v>
      </c>
      <c r="L487" t="str">
        <f t="shared" si="28"/>
        <v/>
      </c>
      <c r="O487" t="s">
        <v>38</v>
      </c>
      <c r="T487" s="2">
        <f>'SUPUESTOS PRECIOS'!$B$9</f>
        <v>0</v>
      </c>
      <c r="U487" s="3">
        <f>'SUPUESTOS PRECIOS'!$B$5/'SUPUESTOS PRECIOS'!$B$4</f>
        <v>1000</v>
      </c>
      <c r="V487" s="3">
        <f>('SUPUESTOS PRECIOS'!$B$6-'SUPUESTOS PRECIOS'!$B$7)/'SUPUESTOS PRECIOS'!$B$4</f>
        <v>377.5</v>
      </c>
      <c r="W487" s="4">
        <f>'SUPUESTOS PRECIOS'!$B$8</f>
        <v>9.6799999999999994E-3</v>
      </c>
      <c r="X487" s="4">
        <f>'SUPUESTOS PRECIOS'!$B$2</f>
        <v>0.4</v>
      </c>
      <c r="Y487" s="3" t="str">
        <f t="shared" si="29"/>
        <v/>
      </c>
      <c r="Z487" s="3" t="str">
        <f t="shared" si="30"/>
        <v/>
      </c>
      <c r="AA487" s="11" t="str">
        <f t="shared" si="31"/>
        <v/>
      </c>
    </row>
    <row r="488" spans="1:27" x14ac:dyDescent="0.35">
      <c r="A488" s="10" t="s">
        <v>1611</v>
      </c>
      <c r="F488" t="s">
        <v>1358</v>
      </c>
      <c r="K488">
        <v>1</v>
      </c>
      <c r="L488" t="str">
        <f t="shared" si="28"/>
        <v/>
      </c>
      <c r="O488" t="s">
        <v>38</v>
      </c>
      <c r="T488" s="2">
        <f>'SUPUESTOS PRECIOS'!$B$9</f>
        <v>0</v>
      </c>
      <c r="U488" s="3">
        <f>'SUPUESTOS PRECIOS'!$B$5/'SUPUESTOS PRECIOS'!$B$4</f>
        <v>1000</v>
      </c>
      <c r="V488" s="3">
        <f>('SUPUESTOS PRECIOS'!$B$6-'SUPUESTOS PRECIOS'!$B$7)/'SUPUESTOS PRECIOS'!$B$4</f>
        <v>377.5</v>
      </c>
      <c r="W488" s="4">
        <f>'SUPUESTOS PRECIOS'!$B$8</f>
        <v>9.6799999999999994E-3</v>
      </c>
      <c r="X488" s="4">
        <f>'SUPUESTOS PRECIOS'!$B$2</f>
        <v>0.4</v>
      </c>
      <c r="Y488" s="3" t="str">
        <f t="shared" si="29"/>
        <v/>
      </c>
      <c r="Z488" s="3" t="str">
        <f t="shared" si="30"/>
        <v/>
      </c>
      <c r="AA488" s="11" t="str">
        <f t="shared" si="31"/>
        <v/>
      </c>
    </row>
    <row r="489" spans="1:27" x14ac:dyDescent="0.35">
      <c r="A489" s="10" t="s">
        <v>1612</v>
      </c>
      <c r="F489" t="s">
        <v>1358</v>
      </c>
      <c r="K489">
        <v>1</v>
      </c>
      <c r="L489" t="str">
        <f t="shared" si="28"/>
        <v/>
      </c>
      <c r="O489" t="s">
        <v>38</v>
      </c>
      <c r="T489" s="2">
        <f>'SUPUESTOS PRECIOS'!$B$9</f>
        <v>0</v>
      </c>
      <c r="U489" s="3">
        <f>'SUPUESTOS PRECIOS'!$B$5/'SUPUESTOS PRECIOS'!$B$4</f>
        <v>1000</v>
      </c>
      <c r="V489" s="3">
        <f>('SUPUESTOS PRECIOS'!$B$6-'SUPUESTOS PRECIOS'!$B$7)/'SUPUESTOS PRECIOS'!$B$4</f>
        <v>377.5</v>
      </c>
      <c r="W489" s="4">
        <f>'SUPUESTOS PRECIOS'!$B$8</f>
        <v>9.6799999999999994E-3</v>
      </c>
      <c r="X489" s="4">
        <f>'SUPUESTOS PRECIOS'!$B$2</f>
        <v>0.4</v>
      </c>
      <c r="Y489" s="3" t="str">
        <f t="shared" si="29"/>
        <v/>
      </c>
      <c r="Z489" s="3" t="str">
        <f t="shared" si="30"/>
        <v/>
      </c>
      <c r="AA489" s="11" t="str">
        <f t="shared" si="31"/>
        <v/>
      </c>
    </row>
    <row r="490" spans="1:27" x14ac:dyDescent="0.35">
      <c r="A490" s="10" t="s">
        <v>1613</v>
      </c>
      <c r="F490" t="s">
        <v>1358</v>
      </c>
      <c r="K490">
        <v>1</v>
      </c>
      <c r="L490" t="str">
        <f t="shared" si="28"/>
        <v/>
      </c>
      <c r="O490" t="s">
        <v>38</v>
      </c>
      <c r="T490" s="2">
        <f>'SUPUESTOS PRECIOS'!$B$9</f>
        <v>0</v>
      </c>
      <c r="U490" s="3">
        <f>'SUPUESTOS PRECIOS'!$B$5/'SUPUESTOS PRECIOS'!$B$4</f>
        <v>1000</v>
      </c>
      <c r="V490" s="3">
        <f>('SUPUESTOS PRECIOS'!$B$6-'SUPUESTOS PRECIOS'!$B$7)/'SUPUESTOS PRECIOS'!$B$4</f>
        <v>377.5</v>
      </c>
      <c r="W490" s="4">
        <f>'SUPUESTOS PRECIOS'!$B$8</f>
        <v>9.6799999999999994E-3</v>
      </c>
      <c r="X490" s="4">
        <f>'SUPUESTOS PRECIOS'!$B$2</f>
        <v>0.4</v>
      </c>
      <c r="Y490" s="3" t="str">
        <f t="shared" si="29"/>
        <v/>
      </c>
      <c r="Z490" s="3" t="str">
        <f t="shared" si="30"/>
        <v/>
      </c>
      <c r="AA490" s="11" t="str">
        <f t="shared" si="31"/>
        <v/>
      </c>
    </row>
    <row r="491" spans="1:27" x14ac:dyDescent="0.35">
      <c r="A491" s="10" t="s">
        <v>1614</v>
      </c>
      <c r="F491" t="s">
        <v>1358</v>
      </c>
      <c r="K491">
        <v>1</v>
      </c>
      <c r="L491" t="str">
        <f t="shared" si="28"/>
        <v/>
      </c>
      <c r="O491" t="s">
        <v>38</v>
      </c>
      <c r="T491" s="2">
        <f>'SUPUESTOS PRECIOS'!$B$9</f>
        <v>0</v>
      </c>
      <c r="U491" s="3">
        <f>'SUPUESTOS PRECIOS'!$B$5/'SUPUESTOS PRECIOS'!$B$4</f>
        <v>1000</v>
      </c>
      <c r="V491" s="3">
        <f>('SUPUESTOS PRECIOS'!$B$6-'SUPUESTOS PRECIOS'!$B$7)/'SUPUESTOS PRECIOS'!$B$4</f>
        <v>377.5</v>
      </c>
      <c r="W491" s="4">
        <f>'SUPUESTOS PRECIOS'!$B$8</f>
        <v>9.6799999999999994E-3</v>
      </c>
      <c r="X491" s="4">
        <f>'SUPUESTOS PRECIOS'!$B$2</f>
        <v>0.4</v>
      </c>
      <c r="Y491" s="3" t="str">
        <f t="shared" si="29"/>
        <v/>
      </c>
      <c r="Z491" s="3" t="str">
        <f t="shared" si="30"/>
        <v/>
      </c>
      <c r="AA491" s="11" t="str">
        <f t="shared" si="31"/>
        <v/>
      </c>
    </row>
    <row r="492" spans="1:27" x14ac:dyDescent="0.35">
      <c r="A492" s="10" t="s">
        <v>1615</v>
      </c>
      <c r="F492" t="s">
        <v>1358</v>
      </c>
      <c r="K492">
        <v>1</v>
      </c>
      <c r="L492" t="str">
        <f t="shared" si="28"/>
        <v/>
      </c>
      <c r="O492" t="s">
        <v>38</v>
      </c>
      <c r="T492" s="2">
        <f>'SUPUESTOS PRECIOS'!$B$9</f>
        <v>0</v>
      </c>
      <c r="U492" s="3">
        <f>'SUPUESTOS PRECIOS'!$B$5/'SUPUESTOS PRECIOS'!$B$4</f>
        <v>1000</v>
      </c>
      <c r="V492" s="3">
        <f>('SUPUESTOS PRECIOS'!$B$6-'SUPUESTOS PRECIOS'!$B$7)/'SUPUESTOS PRECIOS'!$B$4</f>
        <v>377.5</v>
      </c>
      <c r="W492" s="4">
        <f>'SUPUESTOS PRECIOS'!$B$8</f>
        <v>9.6799999999999994E-3</v>
      </c>
      <c r="X492" s="4">
        <f>'SUPUESTOS PRECIOS'!$B$2</f>
        <v>0.4</v>
      </c>
      <c r="Y492" s="3" t="str">
        <f t="shared" si="29"/>
        <v/>
      </c>
      <c r="Z492" s="3" t="str">
        <f t="shared" si="30"/>
        <v/>
      </c>
      <c r="AA492" s="11" t="str">
        <f t="shared" si="31"/>
        <v/>
      </c>
    </row>
    <row r="493" spans="1:27" x14ac:dyDescent="0.35">
      <c r="A493" s="10" t="s">
        <v>1616</v>
      </c>
      <c r="F493" t="s">
        <v>1358</v>
      </c>
      <c r="K493">
        <v>1</v>
      </c>
      <c r="L493" t="str">
        <f t="shared" si="28"/>
        <v/>
      </c>
      <c r="O493" t="s">
        <v>38</v>
      </c>
      <c r="T493" s="2">
        <f>'SUPUESTOS PRECIOS'!$B$9</f>
        <v>0</v>
      </c>
      <c r="U493" s="3">
        <f>'SUPUESTOS PRECIOS'!$B$5/'SUPUESTOS PRECIOS'!$B$4</f>
        <v>1000</v>
      </c>
      <c r="V493" s="3">
        <f>('SUPUESTOS PRECIOS'!$B$6-'SUPUESTOS PRECIOS'!$B$7)/'SUPUESTOS PRECIOS'!$B$4</f>
        <v>377.5</v>
      </c>
      <c r="W493" s="4">
        <f>'SUPUESTOS PRECIOS'!$B$8</f>
        <v>9.6799999999999994E-3</v>
      </c>
      <c r="X493" s="4">
        <f>'SUPUESTOS PRECIOS'!$B$2</f>
        <v>0.4</v>
      </c>
      <c r="Y493" s="3" t="str">
        <f t="shared" si="29"/>
        <v/>
      </c>
      <c r="Z493" s="3" t="str">
        <f t="shared" si="30"/>
        <v/>
      </c>
      <c r="AA493" s="11" t="str">
        <f t="shared" si="31"/>
        <v/>
      </c>
    </row>
    <row r="494" spans="1:27" x14ac:dyDescent="0.35">
      <c r="A494" s="10" t="s">
        <v>1617</v>
      </c>
      <c r="F494" t="s">
        <v>1358</v>
      </c>
      <c r="K494">
        <v>1</v>
      </c>
      <c r="L494" t="str">
        <f t="shared" si="28"/>
        <v/>
      </c>
      <c r="O494" t="s">
        <v>38</v>
      </c>
      <c r="T494" s="2">
        <f>'SUPUESTOS PRECIOS'!$B$9</f>
        <v>0</v>
      </c>
      <c r="U494" s="3">
        <f>'SUPUESTOS PRECIOS'!$B$5/'SUPUESTOS PRECIOS'!$B$4</f>
        <v>1000</v>
      </c>
      <c r="V494" s="3">
        <f>('SUPUESTOS PRECIOS'!$B$6-'SUPUESTOS PRECIOS'!$B$7)/'SUPUESTOS PRECIOS'!$B$4</f>
        <v>377.5</v>
      </c>
      <c r="W494" s="4">
        <f>'SUPUESTOS PRECIOS'!$B$8</f>
        <v>9.6799999999999994E-3</v>
      </c>
      <c r="X494" s="4">
        <f>'SUPUESTOS PRECIOS'!$B$2</f>
        <v>0.4</v>
      </c>
      <c r="Y494" s="3" t="str">
        <f t="shared" si="29"/>
        <v/>
      </c>
      <c r="Z494" s="3" t="str">
        <f t="shared" si="30"/>
        <v/>
      </c>
      <c r="AA494" s="11" t="str">
        <f t="shared" si="31"/>
        <v/>
      </c>
    </row>
    <row r="495" spans="1:27" x14ac:dyDescent="0.35">
      <c r="A495" s="10" t="s">
        <v>1618</v>
      </c>
      <c r="F495" t="s">
        <v>1358</v>
      </c>
      <c r="K495">
        <v>1</v>
      </c>
      <c r="L495" t="str">
        <f t="shared" si="28"/>
        <v/>
      </c>
      <c r="O495" t="s">
        <v>38</v>
      </c>
      <c r="T495" s="2">
        <f>'SUPUESTOS PRECIOS'!$B$9</f>
        <v>0</v>
      </c>
      <c r="U495" s="3">
        <f>'SUPUESTOS PRECIOS'!$B$5/'SUPUESTOS PRECIOS'!$B$4</f>
        <v>1000</v>
      </c>
      <c r="V495" s="3">
        <f>('SUPUESTOS PRECIOS'!$B$6-'SUPUESTOS PRECIOS'!$B$7)/'SUPUESTOS PRECIOS'!$B$4</f>
        <v>377.5</v>
      </c>
      <c r="W495" s="4">
        <f>'SUPUESTOS PRECIOS'!$B$8</f>
        <v>9.6799999999999994E-3</v>
      </c>
      <c r="X495" s="4">
        <f>'SUPUESTOS PRECIOS'!$B$2</f>
        <v>0.4</v>
      </c>
      <c r="Y495" s="3" t="str">
        <f t="shared" si="29"/>
        <v/>
      </c>
      <c r="Z495" s="3" t="str">
        <f t="shared" si="30"/>
        <v/>
      </c>
      <c r="AA495" s="11" t="str">
        <f t="shared" si="31"/>
        <v/>
      </c>
    </row>
    <row r="496" spans="1:27" x14ac:dyDescent="0.35">
      <c r="A496" s="10" t="s">
        <v>1619</v>
      </c>
      <c r="F496" t="s">
        <v>1358</v>
      </c>
      <c r="K496">
        <v>1</v>
      </c>
      <c r="L496" t="str">
        <f t="shared" si="28"/>
        <v/>
      </c>
      <c r="O496" t="s">
        <v>38</v>
      </c>
      <c r="T496" s="2">
        <f>'SUPUESTOS PRECIOS'!$B$9</f>
        <v>0</v>
      </c>
      <c r="U496" s="3">
        <f>'SUPUESTOS PRECIOS'!$B$5/'SUPUESTOS PRECIOS'!$B$4</f>
        <v>1000</v>
      </c>
      <c r="V496" s="3">
        <f>('SUPUESTOS PRECIOS'!$B$6-'SUPUESTOS PRECIOS'!$B$7)/'SUPUESTOS PRECIOS'!$B$4</f>
        <v>377.5</v>
      </c>
      <c r="W496" s="4">
        <f>'SUPUESTOS PRECIOS'!$B$8</f>
        <v>9.6799999999999994E-3</v>
      </c>
      <c r="X496" s="4">
        <f>'SUPUESTOS PRECIOS'!$B$2</f>
        <v>0.4</v>
      </c>
      <c r="Y496" s="3" t="str">
        <f t="shared" si="29"/>
        <v/>
      </c>
      <c r="Z496" s="3" t="str">
        <f t="shared" si="30"/>
        <v/>
      </c>
      <c r="AA496" s="11" t="str">
        <f t="shared" si="31"/>
        <v/>
      </c>
    </row>
    <row r="497" spans="1:27" x14ac:dyDescent="0.35">
      <c r="A497" s="10" t="s">
        <v>1620</v>
      </c>
      <c r="F497" t="s">
        <v>1358</v>
      </c>
      <c r="K497">
        <v>1</v>
      </c>
      <c r="L497" t="str">
        <f t="shared" si="28"/>
        <v/>
      </c>
      <c r="O497" t="s">
        <v>38</v>
      </c>
      <c r="T497" s="2">
        <f>'SUPUESTOS PRECIOS'!$B$9</f>
        <v>0</v>
      </c>
      <c r="U497" s="3">
        <f>'SUPUESTOS PRECIOS'!$B$5/'SUPUESTOS PRECIOS'!$B$4</f>
        <v>1000</v>
      </c>
      <c r="V497" s="3">
        <f>('SUPUESTOS PRECIOS'!$B$6-'SUPUESTOS PRECIOS'!$B$7)/'SUPUESTOS PRECIOS'!$B$4</f>
        <v>377.5</v>
      </c>
      <c r="W497" s="4">
        <f>'SUPUESTOS PRECIOS'!$B$8</f>
        <v>9.6799999999999994E-3</v>
      </c>
      <c r="X497" s="4">
        <f>'SUPUESTOS PRECIOS'!$B$2</f>
        <v>0.4</v>
      </c>
      <c r="Y497" s="3" t="str">
        <f t="shared" si="29"/>
        <v/>
      </c>
      <c r="Z497" s="3" t="str">
        <f t="shared" si="30"/>
        <v/>
      </c>
      <c r="AA497" s="11" t="str">
        <f t="shared" si="31"/>
        <v/>
      </c>
    </row>
    <row r="498" spans="1:27" x14ac:dyDescent="0.35">
      <c r="A498" s="10" t="s">
        <v>1621</v>
      </c>
      <c r="F498" t="s">
        <v>1358</v>
      </c>
      <c r="K498">
        <v>1</v>
      </c>
      <c r="L498" t="str">
        <f t="shared" si="28"/>
        <v/>
      </c>
      <c r="O498" t="s">
        <v>38</v>
      </c>
      <c r="T498" s="2">
        <f>'SUPUESTOS PRECIOS'!$B$9</f>
        <v>0</v>
      </c>
      <c r="U498" s="3">
        <f>'SUPUESTOS PRECIOS'!$B$5/'SUPUESTOS PRECIOS'!$B$4</f>
        <v>1000</v>
      </c>
      <c r="V498" s="3">
        <f>('SUPUESTOS PRECIOS'!$B$6-'SUPUESTOS PRECIOS'!$B$7)/'SUPUESTOS PRECIOS'!$B$4</f>
        <v>377.5</v>
      </c>
      <c r="W498" s="4">
        <f>'SUPUESTOS PRECIOS'!$B$8</f>
        <v>9.6799999999999994E-3</v>
      </c>
      <c r="X498" s="4">
        <f>'SUPUESTOS PRECIOS'!$B$2</f>
        <v>0.4</v>
      </c>
      <c r="Y498" s="3" t="str">
        <f t="shared" si="29"/>
        <v/>
      </c>
      <c r="Z498" s="3" t="str">
        <f t="shared" si="30"/>
        <v/>
      </c>
      <c r="AA498" s="11" t="str">
        <f t="shared" si="31"/>
        <v/>
      </c>
    </row>
    <row r="499" spans="1:27" x14ac:dyDescent="0.35">
      <c r="A499" s="10" t="s">
        <v>1622</v>
      </c>
      <c r="F499" t="s">
        <v>1358</v>
      </c>
      <c r="K499">
        <v>1</v>
      </c>
      <c r="L499" t="str">
        <f t="shared" si="28"/>
        <v/>
      </c>
      <c r="O499" t="s">
        <v>38</v>
      </c>
      <c r="T499" s="2">
        <f>'SUPUESTOS PRECIOS'!$B$9</f>
        <v>0</v>
      </c>
      <c r="U499" s="3">
        <f>'SUPUESTOS PRECIOS'!$B$5/'SUPUESTOS PRECIOS'!$B$4</f>
        <v>1000</v>
      </c>
      <c r="V499" s="3">
        <f>('SUPUESTOS PRECIOS'!$B$6-'SUPUESTOS PRECIOS'!$B$7)/'SUPUESTOS PRECIOS'!$B$4</f>
        <v>377.5</v>
      </c>
      <c r="W499" s="4">
        <f>'SUPUESTOS PRECIOS'!$B$8</f>
        <v>9.6799999999999994E-3</v>
      </c>
      <c r="X499" s="4">
        <f>'SUPUESTOS PRECIOS'!$B$2</f>
        <v>0.4</v>
      </c>
      <c r="Y499" s="3" t="str">
        <f t="shared" si="29"/>
        <v/>
      </c>
      <c r="Z499" s="3" t="str">
        <f t="shared" si="30"/>
        <v/>
      </c>
      <c r="AA499" s="11" t="str">
        <f t="shared" si="31"/>
        <v/>
      </c>
    </row>
    <row r="500" spans="1:27" x14ac:dyDescent="0.35">
      <c r="A500" s="10" t="s">
        <v>1623</v>
      </c>
      <c r="F500" t="s">
        <v>1358</v>
      </c>
      <c r="K500">
        <v>1</v>
      </c>
      <c r="L500" t="str">
        <f t="shared" si="28"/>
        <v/>
      </c>
      <c r="O500" t="s">
        <v>38</v>
      </c>
      <c r="T500" s="2">
        <f>'SUPUESTOS PRECIOS'!$B$9</f>
        <v>0</v>
      </c>
      <c r="U500" s="3">
        <f>'SUPUESTOS PRECIOS'!$B$5/'SUPUESTOS PRECIOS'!$B$4</f>
        <v>1000</v>
      </c>
      <c r="V500" s="3">
        <f>('SUPUESTOS PRECIOS'!$B$6-'SUPUESTOS PRECIOS'!$B$7)/'SUPUESTOS PRECIOS'!$B$4</f>
        <v>377.5</v>
      </c>
      <c r="W500" s="4">
        <f>'SUPUESTOS PRECIOS'!$B$8</f>
        <v>9.6799999999999994E-3</v>
      </c>
      <c r="X500" s="4">
        <f>'SUPUESTOS PRECIOS'!$B$2</f>
        <v>0.4</v>
      </c>
      <c r="Y500" s="3" t="str">
        <f t="shared" si="29"/>
        <v/>
      </c>
      <c r="Z500" s="3" t="str">
        <f t="shared" si="30"/>
        <v/>
      </c>
      <c r="AA500" s="11" t="str">
        <f t="shared" si="31"/>
        <v/>
      </c>
    </row>
    <row r="501" spans="1:27" x14ac:dyDescent="0.35">
      <c r="A501" s="10" t="s">
        <v>1624</v>
      </c>
      <c r="F501" t="s">
        <v>1358</v>
      </c>
      <c r="K501">
        <v>1</v>
      </c>
      <c r="L501" t="str">
        <f t="shared" si="28"/>
        <v/>
      </c>
      <c r="O501" t="s">
        <v>38</v>
      </c>
      <c r="T501" s="2">
        <f>'SUPUESTOS PRECIOS'!$B$9</f>
        <v>0</v>
      </c>
      <c r="U501" s="3">
        <f>'SUPUESTOS PRECIOS'!$B$5/'SUPUESTOS PRECIOS'!$B$4</f>
        <v>1000</v>
      </c>
      <c r="V501" s="3">
        <f>('SUPUESTOS PRECIOS'!$B$6-'SUPUESTOS PRECIOS'!$B$7)/'SUPUESTOS PRECIOS'!$B$4</f>
        <v>377.5</v>
      </c>
      <c r="W501" s="4">
        <f>'SUPUESTOS PRECIOS'!$B$8</f>
        <v>9.6799999999999994E-3</v>
      </c>
      <c r="X501" s="4">
        <f>'SUPUESTOS PRECIOS'!$B$2</f>
        <v>0.4</v>
      </c>
      <c r="Y501" s="3" t="str">
        <f t="shared" si="29"/>
        <v/>
      </c>
      <c r="Z501" s="3" t="str">
        <f t="shared" si="30"/>
        <v/>
      </c>
      <c r="AA501" s="11" t="str">
        <f t="shared" si="31"/>
        <v/>
      </c>
    </row>
    <row r="502" spans="1:27" x14ac:dyDescent="0.35">
      <c r="A502" s="10" t="s">
        <v>1625</v>
      </c>
      <c r="F502" t="s">
        <v>1358</v>
      </c>
      <c r="K502">
        <v>1</v>
      </c>
      <c r="L502" t="str">
        <f t="shared" si="28"/>
        <v/>
      </c>
      <c r="O502" t="s">
        <v>38</v>
      </c>
      <c r="T502" s="2">
        <f>'SUPUESTOS PRECIOS'!$B$9</f>
        <v>0</v>
      </c>
      <c r="U502" s="3">
        <f>'SUPUESTOS PRECIOS'!$B$5/'SUPUESTOS PRECIOS'!$B$4</f>
        <v>1000</v>
      </c>
      <c r="V502" s="3">
        <f>('SUPUESTOS PRECIOS'!$B$6-'SUPUESTOS PRECIOS'!$B$7)/'SUPUESTOS PRECIOS'!$B$4</f>
        <v>377.5</v>
      </c>
      <c r="W502" s="4">
        <f>'SUPUESTOS PRECIOS'!$B$8</f>
        <v>9.6799999999999994E-3</v>
      </c>
      <c r="X502" s="4">
        <f>'SUPUESTOS PRECIOS'!$B$2</f>
        <v>0.4</v>
      </c>
      <c r="Y502" s="3" t="str">
        <f t="shared" si="29"/>
        <v/>
      </c>
      <c r="Z502" s="3" t="str">
        <f t="shared" si="30"/>
        <v/>
      </c>
      <c r="AA502" s="11" t="str">
        <f t="shared" si="31"/>
        <v/>
      </c>
    </row>
    <row r="503" spans="1:27" x14ac:dyDescent="0.35">
      <c r="A503" s="10" t="s">
        <v>1626</v>
      </c>
      <c r="F503" t="s">
        <v>1358</v>
      </c>
      <c r="K503">
        <v>1</v>
      </c>
      <c r="L503" t="str">
        <f t="shared" si="28"/>
        <v/>
      </c>
      <c r="O503" t="s">
        <v>38</v>
      </c>
      <c r="T503" s="2">
        <f>'SUPUESTOS PRECIOS'!$B$9</f>
        <v>0</v>
      </c>
      <c r="U503" s="3">
        <f>'SUPUESTOS PRECIOS'!$B$5/'SUPUESTOS PRECIOS'!$B$4</f>
        <v>1000</v>
      </c>
      <c r="V503" s="3">
        <f>('SUPUESTOS PRECIOS'!$B$6-'SUPUESTOS PRECIOS'!$B$7)/'SUPUESTOS PRECIOS'!$B$4</f>
        <v>377.5</v>
      </c>
      <c r="W503" s="4">
        <f>'SUPUESTOS PRECIOS'!$B$8</f>
        <v>9.6799999999999994E-3</v>
      </c>
      <c r="X503" s="4">
        <f>'SUPUESTOS PRECIOS'!$B$2</f>
        <v>0.4</v>
      </c>
      <c r="Y503" s="3" t="str">
        <f t="shared" si="29"/>
        <v/>
      </c>
      <c r="Z503" s="3" t="str">
        <f t="shared" si="30"/>
        <v/>
      </c>
      <c r="AA503" s="11" t="str">
        <f t="shared" si="31"/>
        <v/>
      </c>
    </row>
    <row r="504" spans="1:27" x14ac:dyDescent="0.35">
      <c r="A504" s="10" t="s">
        <v>1627</v>
      </c>
      <c r="F504" t="s">
        <v>1358</v>
      </c>
      <c r="K504">
        <v>1</v>
      </c>
      <c r="L504" t="str">
        <f t="shared" si="28"/>
        <v/>
      </c>
      <c r="O504" t="s">
        <v>38</v>
      </c>
      <c r="T504" s="2">
        <f>'SUPUESTOS PRECIOS'!$B$9</f>
        <v>0</v>
      </c>
      <c r="U504" s="3">
        <f>'SUPUESTOS PRECIOS'!$B$5/'SUPUESTOS PRECIOS'!$B$4</f>
        <v>1000</v>
      </c>
      <c r="V504" s="3">
        <f>('SUPUESTOS PRECIOS'!$B$6-'SUPUESTOS PRECIOS'!$B$7)/'SUPUESTOS PRECIOS'!$B$4</f>
        <v>377.5</v>
      </c>
      <c r="W504" s="4">
        <f>'SUPUESTOS PRECIOS'!$B$8</f>
        <v>9.6799999999999994E-3</v>
      </c>
      <c r="X504" s="4">
        <f>'SUPUESTOS PRECIOS'!$B$2</f>
        <v>0.4</v>
      </c>
      <c r="Y504" s="3" t="str">
        <f t="shared" si="29"/>
        <v/>
      </c>
      <c r="Z504" s="3" t="str">
        <f t="shared" si="30"/>
        <v/>
      </c>
      <c r="AA504" s="11" t="str">
        <f t="shared" si="31"/>
        <v/>
      </c>
    </row>
    <row r="505" spans="1:27" x14ac:dyDescent="0.35">
      <c r="A505" s="10" t="s">
        <v>1628</v>
      </c>
      <c r="F505" t="s">
        <v>1358</v>
      </c>
      <c r="K505">
        <v>1</v>
      </c>
      <c r="L505" t="str">
        <f t="shared" si="28"/>
        <v/>
      </c>
      <c r="O505" t="s">
        <v>38</v>
      </c>
      <c r="T505" s="2">
        <f>'SUPUESTOS PRECIOS'!$B$9</f>
        <v>0</v>
      </c>
      <c r="U505" s="3">
        <f>'SUPUESTOS PRECIOS'!$B$5/'SUPUESTOS PRECIOS'!$B$4</f>
        <v>1000</v>
      </c>
      <c r="V505" s="3">
        <f>('SUPUESTOS PRECIOS'!$B$6-'SUPUESTOS PRECIOS'!$B$7)/'SUPUESTOS PRECIOS'!$B$4</f>
        <v>377.5</v>
      </c>
      <c r="W505" s="4">
        <f>'SUPUESTOS PRECIOS'!$B$8</f>
        <v>9.6799999999999994E-3</v>
      </c>
      <c r="X505" s="4">
        <f>'SUPUESTOS PRECIOS'!$B$2</f>
        <v>0.4</v>
      </c>
      <c r="Y505" s="3" t="str">
        <f t="shared" si="29"/>
        <v/>
      </c>
      <c r="Z505" s="3" t="str">
        <f t="shared" si="30"/>
        <v/>
      </c>
      <c r="AA505" s="11" t="str">
        <f t="shared" si="31"/>
        <v/>
      </c>
    </row>
    <row r="506" spans="1:27" x14ac:dyDescent="0.35">
      <c r="A506" s="10" t="s">
        <v>1629</v>
      </c>
      <c r="F506" t="s">
        <v>1358</v>
      </c>
      <c r="K506">
        <v>1</v>
      </c>
      <c r="L506" t="str">
        <f t="shared" si="28"/>
        <v/>
      </c>
      <c r="O506" t="s">
        <v>38</v>
      </c>
      <c r="T506" s="2">
        <f>'SUPUESTOS PRECIOS'!$B$9</f>
        <v>0</v>
      </c>
      <c r="U506" s="3">
        <f>'SUPUESTOS PRECIOS'!$B$5/'SUPUESTOS PRECIOS'!$B$4</f>
        <v>1000</v>
      </c>
      <c r="V506" s="3">
        <f>('SUPUESTOS PRECIOS'!$B$6-'SUPUESTOS PRECIOS'!$B$7)/'SUPUESTOS PRECIOS'!$B$4</f>
        <v>377.5</v>
      </c>
      <c r="W506" s="4">
        <f>'SUPUESTOS PRECIOS'!$B$8</f>
        <v>9.6799999999999994E-3</v>
      </c>
      <c r="X506" s="4">
        <f>'SUPUESTOS PRECIOS'!$B$2</f>
        <v>0.4</v>
      </c>
      <c r="Y506" s="3" t="str">
        <f t="shared" si="29"/>
        <v/>
      </c>
      <c r="Z506" s="3" t="str">
        <f t="shared" si="30"/>
        <v/>
      </c>
      <c r="AA506" s="11" t="str">
        <f t="shared" si="31"/>
        <v/>
      </c>
    </row>
    <row r="507" spans="1:27" x14ac:dyDescent="0.35">
      <c r="A507" s="10" t="s">
        <v>1630</v>
      </c>
      <c r="F507" t="s">
        <v>1358</v>
      </c>
      <c r="K507">
        <v>1</v>
      </c>
      <c r="L507" t="str">
        <f t="shared" si="28"/>
        <v/>
      </c>
      <c r="O507" t="s">
        <v>38</v>
      </c>
      <c r="T507" s="2">
        <f>'SUPUESTOS PRECIOS'!$B$9</f>
        <v>0</v>
      </c>
      <c r="U507" s="3">
        <f>'SUPUESTOS PRECIOS'!$B$5/'SUPUESTOS PRECIOS'!$B$4</f>
        <v>1000</v>
      </c>
      <c r="V507" s="3">
        <f>('SUPUESTOS PRECIOS'!$B$6-'SUPUESTOS PRECIOS'!$B$7)/'SUPUESTOS PRECIOS'!$B$4</f>
        <v>377.5</v>
      </c>
      <c r="W507" s="4">
        <f>'SUPUESTOS PRECIOS'!$B$8</f>
        <v>9.6799999999999994E-3</v>
      </c>
      <c r="X507" s="4">
        <f>'SUPUESTOS PRECIOS'!$B$2</f>
        <v>0.4</v>
      </c>
      <c r="Y507" s="3" t="str">
        <f t="shared" si="29"/>
        <v/>
      </c>
      <c r="Z507" s="3" t="str">
        <f t="shared" si="30"/>
        <v/>
      </c>
      <c r="AA507" s="11" t="str">
        <f t="shared" si="31"/>
        <v/>
      </c>
    </row>
    <row r="508" spans="1:27" x14ac:dyDescent="0.35">
      <c r="A508" s="10" t="s">
        <v>1631</v>
      </c>
      <c r="F508" t="s">
        <v>1358</v>
      </c>
      <c r="K508">
        <v>1</v>
      </c>
      <c r="L508" t="str">
        <f t="shared" si="28"/>
        <v/>
      </c>
      <c r="O508" t="s">
        <v>38</v>
      </c>
      <c r="T508" s="2">
        <f>'SUPUESTOS PRECIOS'!$B$9</f>
        <v>0</v>
      </c>
      <c r="U508" s="3">
        <f>'SUPUESTOS PRECIOS'!$B$5/'SUPUESTOS PRECIOS'!$B$4</f>
        <v>1000</v>
      </c>
      <c r="V508" s="3">
        <f>('SUPUESTOS PRECIOS'!$B$6-'SUPUESTOS PRECIOS'!$B$7)/'SUPUESTOS PRECIOS'!$B$4</f>
        <v>377.5</v>
      </c>
      <c r="W508" s="4">
        <f>'SUPUESTOS PRECIOS'!$B$8</f>
        <v>9.6799999999999994E-3</v>
      </c>
      <c r="X508" s="4">
        <f>'SUPUESTOS PRECIOS'!$B$2</f>
        <v>0.4</v>
      </c>
      <c r="Y508" s="3" t="str">
        <f t="shared" si="29"/>
        <v/>
      </c>
      <c r="Z508" s="3" t="str">
        <f t="shared" si="30"/>
        <v/>
      </c>
      <c r="AA508" s="11" t="str">
        <f t="shared" si="31"/>
        <v/>
      </c>
    </row>
    <row r="509" spans="1:27" x14ac:dyDescent="0.35">
      <c r="A509" s="10" t="s">
        <v>1632</v>
      </c>
      <c r="F509" t="s">
        <v>1358</v>
      </c>
      <c r="K509">
        <v>1</v>
      </c>
      <c r="L509" t="str">
        <f t="shared" si="28"/>
        <v/>
      </c>
      <c r="O509" t="s">
        <v>38</v>
      </c>
      <c r="T509" s="2">
        <f>'SUPUESTOS PRECIOS'!$B$9</f>
        <v>0</v>
      </c>
      <c r="U509" s="3">
        <f>'SUPUESTOS PRECIOS'!$B$5/'SUPUESTOS PRECIOS'!$B$4</f>
        <v>1000</v>
      </c>
      <c r="V509" s="3">
        <f>('SUPUESTOS PRECIOS'!$B$6-'SUPUESTOS PRECIOS'!$B$7)/'SUPUESTOS PRECIOS'!$B$4</f>
        <v>377.5</v>
      </c>
      <c r="W509" s="4">
        <f>'SUPUESTOS PRECIOS'!$B$8</f>
        <v>9.6799999999999994E-3</v>
      </c>
      <c r="X509" s="4">
        <f>'SUPUESTOS PRECIOS'!$B$2</f>
        <v>0.4</v>
      </c>
      <c r="Y509" s="3" t="str">
        <f t="shared" si="29"/>
        <v/>
      </c>
      <c r="Z509" s="3" t="str">
        <f t="shared" si="30"/>
        <v/>
      </c>
      <c r="AA509" s="11" t="str">
        <f t="shared" si="31"/>
        <v/>
      </c>
    </row>
    <row r="510" spans="1:27" x14ac:dyDescent="0.35">
      <c r="A510" s="10" t="s">
        <v>1633</v>
      </c>
      <c r="F510" t="s">
        <v>1358</v>
      </c>
      <c r="K510">
        <v>1</v>
      </c>
      <c r="L510" t="str">
        <f t="shared" si="28"/>
        <v/>
      </c>
      <c r="O510" t="s">
        <v>38</v>
      </c>
      <c r="T510" s="2">
        <f>'SUPUESTOS PRECIOS'!$B$9</f>
        <v>0</v>
      </c>
      <c r="U510" s="3">
        <f>'SUPUESTOS PRECIOS'!$B$5/'SUPUESTOS PRECIOS'!$B$4</f>
        <v>1000</v>
      </c>
      <c r="V510" s="3">
        <f>('SUPUESTOS PRECIOS'!$B$6-'SUPUESTOS PRECIOS'!$B$7)/'SUPUESTOS PRECIOS'!$B$4</f>
        <v>377.5</v>
      </c>
      <c r="W510" s="4">
        <f>'SUPUESTOS PRECIOS'!$B$8</f>
        <v>9.6799999999999994E-3</v>
      </c>
      <c r="X510" s="4">
        <f>'SUPUESTOS PRECIOS'!$B$2</f>
        <v>0.4</v>
      </c>
      <c r="Y510" s="3" t="str">
        <f t="shared" si="29"/>
        <v/>
      </c>
      <c r="Z510" s="3" t="str">
        <f t="shared" si="30"/>
        <v/>
      </c>
      <c r="AA510" s="11" t="str">
        <f t="shared" si="31"/>
        <v/>
      </c>
    </row>
    <row r="511" spans="1:27" x14ac:dyDescent="0.35">
      <c r="A511" s="10" t="s">
        <v>1634</v>
      </c>
      <c r="F511" t="s">
        <v>1358</v>
      </c>
      <c r="K511">
        <v>1</v>
      </c>
      <c r="L511" t="str">
        <f t="shared" si="28"/>
        <v/>
      </c>
      <c r="O511" t="s">
        <v>38</v>
      </c>
      <c r="T511" s="2">
        <f>'SUPUESTOS PRECIOS'!$B$9</f>
        <v>0</v>
      </c>
      <c r="U511" s="3">
        <f>'SUPUESTOS PRECIOS'!$B$5/'SUPUESTOS PRECIOS'!$B$4</f>
        <v>1000</v>
      </c>
      <c r="V511" s="3">
        <f>('SUPUESTOS PRECIOS'!$B$6-'SUPUESTOS PRECIOS'!$B$7)/'SUPUESTOS PRECIOS'!$B$4</f>
        <v>377.5</v>
      </c>
      <c r="W511" s="4">
        <f>'SUPUESTOS PRECIOS'!$B$8</f>
        <v>9.6799999999999994E-3</v>
      </c>
      <c r="X511" s="4">
        <f>'SUPUESTOS PRECIOS'!$B$2</f>
        <v>0.4</v>
      </c>
      <c r="Y511" s="3" t="str">
        <f t="shared" si="29"/>
        <v/>
      </c>
      <c r="Z511" s="3" t="str">
        <f t="shared" si="30"/>
        <v/>
      </c>
      <c r="AA511" s="11" t="str">
        <f t="shared" si="31"/>
        <v/>
      </c>
    </row>
    <row r="512" spans="1:27" x14ac:dyDescent="0.35">
      <c r="A512" s="10" t="s">
        <v>1635</v>
      </c>
      <c r="F512" t="s">
        <v>1358</v>
      </c>
      <c r="K512">
        <v>1</v>
      </c>
      <c r="L512" t="str">
        <f t="shared" si="28"/>
        <v/>
      </c>
      <c r="O512" t="s">
        <v>38</v>
      </c>
      <c r="T512" s="2">
        <f>'SUPUESTOS PRECIOS'!$B$9</f>
        <v>0</v>
      </c>
      <c r="U512" s="3">
        <f>'SUPUESTOS PRECIOS'!$B$5/'SUPUESTOS PRECIOS'!$B$4</f>
        <v>1000</v>
      </c>
      <c r="V512" s="3">
        <f>('SUPUESTOS PRECIOS'!$B$6-'SUPUESTOS PRECIOS'!$B$7)/'SUPUESTOS PRECIOS'!$B$4</f>
        <v>377.5</v>
      </c>
      <c r="W512" s="4">
        <f>'SUPUESTOS PRECIOS'!$B$8</f>
        <v>9.6799999999999994E-3</v>
      </c>
      <c r="X512" s="4">
        <f>'SUPUESTOS PRECIOS'!$B$2</f>
        <v>0.4</v>
      </c>
      <c r="Y512" s="3" t="str">
        <f t="shared" si="29"/>
        <v/>
      </c>
      <c r="Z512" s="3" t="str">
        <f t="shared" si="30"/>
        <v/>
      </c>
      <c r="AA512" s="11" t="str">
        <f t="shared" si="31"/>
        <v/>
      </c>
    </row>
    <row r="513" spans="1:27" x14ac:dyDescent="0.35">
      <c r="A513" s="10" t="s">
        <v>1636</v>
      </c>
      <c r="F513" t="s">
        <v>1358</v>
      </c>
      <c r="K513">
        <v>1</v>
      </c>
      <c r="L513" t="str">
        <f t="shared" si="28"/>
        <v/>
      </c>
      <c r="O513" t="s">
        <v>38</v>
      </c>
      <c r="T513" s="2">
        <f>'SUPUESTOS PRECIOS'!$B$9</f>
        <v>0</v>
      </c>
      <c r="U513" s="3">
        <f>'SUPUESTOS PRECIOS'!$B$5/'SUPUESTOS PRECIOS'!$B$4</f>
        <v>1000</v>
      </c>
      <c r="V513" s="3">
        <f>('SUPUESTOS PRECIOS'!$B$6-'SUPUESTOS PRECIOS'!$B$7)/'SUPUESTOS PRECIOS'!$B$4</f>
        <v>377.5</v>
      </c>
      <c r="W513" s="4">
        <f>'SUPUESTOS PRECIOS'!$B$8</f>
        <v>9.6799999999999994E-3</v>
      </c>
      <c r="X513" s="4">
        <f>'SUPUESTOS PRECIOS'!$B$2</f>
        <v>0.4</v>
      </c>
      <c r="Y513" s="3" t="str">
        <f t="shared" si="29"/>
        <v/>
      </c>
      <c r="Z513" s="3" t="str">
        <f t="shared" si="30"/>
        <v/>
      </c>
      <c r="AA513" s="11" t="str">
        <f t="shared" si="31"/>
        <v/>
      </c>
    </row>
    <row r="514" spans="1:27" x14ac:dyDescent="0.35">
      <c r="A514" s="10" t="s">
        <v>1637</v>
      </c>
      <c r="F514" t="s">
        <v>1358</v>
      </c>
      <c r="K514">
        <v>1</v>
      </c>
      <c r="L514" t="str">
        <f t="shared" ref="L514:L577" si="32">IF(J514="","",J514*(1+K514))</f>
        <v/>
      </c>
      <c r="O514" t="s">
        <v>38</v>
      </c>
      <c r="T514" s="2">
        <f>'SUPUESTOS PRECIOS'!$B$9</f>
        <v>0</v>
      </c>
      <c r="U514" s="3">
        <f>'SUPUESTOS PRECIOS'!$B$5/'SUPUESTOS PRECIOS'!$B$4</f>
        <v>1000</v>
      </c>
      <c r="V514" s="3">
        <f>('SUPUESTOS PRECIOS'!$B$6-'SUPUESTOS PRECIOS'!$B$7)/'SUPUESTOS PRECIOS'!$B$4</f>
        <v>377.5</v>
      </c>
      <c r="W514" s="4">
        <f>'SUPUESTOS PRECIOS'!$B$8</f>
        <v>9.6799999999999994E-3</v>
      </c>
      <c r="X514" s="4">
        <f>'SUPUESTOS PRECIOS'!$B$2</f>
        <v>0.4</v>
      </c>
      <c r="Y514" s="3" t="str">
        <f t="shared" ref="Y514:Y577" si="33">IF(OR($B514="",$J514=""),"",ROUND(($J514+$T514+$U514+$V514)/(1-$W514-$X514),-1))</f>
        <v/>
      </c>
      <c r="Z514" s="3" t="str">
        <f t="shared" ref="Z514:Z577" si="34">IF($Y514="","",$Y514-$J514-$T514-$U514-$V514-($Y514*$W514))</f>
        <v/>
      </c>
      <c r="AA514" s="11" t="str">
        <f t="shared" ref="AA514:AA577" si="35">IF($Y514="","",$Z514/$Y514)</f>
        <v/>
      </c>
    </row>
    <row r="515" spans="1:27" x14ac:dyDescent="0.35">
      <c r="A515" s="10" t="s">
        <v>1638</v>
      </c>
      <c r="F515" t="s">
        <v>1358</v>
      </c>
      <c r="K515">
        <v>1</v>
      </c>
      <c r="L515" t="str">
        <f t="shared" si="32"/>
        <v/>
      </c>
      <c r="O515" t="s">
        <v>38</v>
      </c>
      <c r="T515" s="2">
        <f>'SUPUESTOS PRECIOS'!$B$9</f>
        <v>0</v>
      </c>
      <c r="U515" s="3">
        <f>'SUPUESTOS PRECIOS'!$B$5/'SUPUESTOS PRECIOS'!$B$4</f>
        <v>1000</v>
      </c>
      <c r="V515" s="3">
        <f>('SUPUESTOS PRECIOS'!$B$6-'SUPUESTOS PRECIOS'!$B$7)/'SUPUESTOS PRECIOS'!$B$4</f>
        <v>377.5</v>
      </c>
      <c r="W515" s="4">
        <f>'SUPUESTOS PRECIOS'!$B$8</f>
        <v>9.6799999999999994E-3</v>
      </c>
      <c r="X515" s="4">
        <f>'SUPUESTOS PRECIOS'!$B$2</f>
        <v>0.4</v>
      </c>
      <c r="Y515" s="3" t="str">
        <f t="shared" si="33"/>
        <v/>
      </c>
      <c r="Z515" s="3" t="str">
        <f t="shared" si="34"/>
        <v/>
      </c>
      <c r="AA515" s="11" t="str">
        <f t="shared" si="35"/>
        <v/>
      </c>
    </row>
    <row r="516" spans="1:27" x14ac:dyDescent="0.35">
      <c r="A516" s="10" t="s">
        <v>1639</v>
      </c>
      <c r="F516" t="s">
        <v>1358</v>
      </c>
      <c r="K516">
        <v>1</v>
      </c>
      <c r="L516" t="str">
        <f t="shared" si="32"/>
        <v/>
      </c>
      <c r="O516" t="s">
        <v>38</v>
      </c>
      <c r="T516" s="2">
        <f>'SUPUESTOS PRECIOS'!$B$9</f>
        <v>0</v>
      </c>
      <c r="U516" s="3">
        <f>'SUPUESTOS PRECIOS'!$B$5/'SUPUESTOS PRECIOS'!$B$4</f>
        <v>1000</v>
      </c>
      <c r="V516" s="3">
        <f>('SUPUESTOS PRECIOS'!$B$6-'SUPUESTOS PRECIOS'!$B$7)/'SUPUESTOS PRECIOS'!$B$4</f>
        <v>377.5</v>
      </c>
      <c r="W516" s="4">
        <f>'SUPUESTOS PRECIOS'!$B$8</f>
        <v>9.6799999999999994E-3</v>
      </c>
      <c r="X516" s="4">
        <f>'SUPUESTOS PRECIOS'!$B$2</f>
        <v>0.4</v>
      </c>
      <c r="Y516" s="3" t="str">
        <f t="shared" si="33"/>
        <v/>
      </c>
      <c r="Z516" s="3" t="str">
        <f t="shared" si="34"/>
        <v/>
      </c>
      <c r="AA516" s="11" t="str">
        <f t="shared" si="35"/>
        <v/>
      </c>
    </row>
    <row r="517" spans="1:27" x14ac:dyDescent="0.35">
      <c r="A517" s="10" t="s">
        <v>1640</v>
      </c>
      <c r="F517" t="s">
        <v>1358</v>
      </c>
      <c r="K517">
        <v>1</v>
      </c>
      <c r="L517" t="str">
        <f t="shared" si="32"/>
        <v/>
      </c>
      <c r="O517" t="s">
        <v>38</v>
      </c>
      <c r="T517" s="2">
        <f>'SUPUESTOS PRECIOS'!$B$9</f>
        <v>0</v>
      </c>
      <c r="U517" s="3">
        <f>'SUPUESTOS PRECIOS'!$B$5/'SUPUESTOS PRECIOS'!$B$4</f>
        <v>1000</v>
      </c>
      <c r="V517" s="3">
        <f>('SUPUESTOS PRECIOS'!$B$6-'SUPUESTOS PRECIOS'!$B$7)/'SUPUESTOS PRECIOS'!$B$4</f>
        <v>377.5</v>
      </c>
      <c r="W517" s="4">
        <f>'SUPUESTOS PRECIOS'!$B$8</f>
        <v>9.6799999999999994E-3</v>
      </c>
      <c r="X517" s="4">
        <f>'SUPUESTOS PRECIOS'!$B$2</f>
        <v>0.4</v>
      </c>
      <c r="Y517" s="3" t="str">
        <f t="shared" si="33"/>
        <v/>
      </c>
      <c r="Z517" s="3" t="str">
        <f t="shared" si="34"/>
        <v/>
      </c>
      <c r="AA517" s="11" t="str">
        <f t="shared" si="35"/>
        <v/>
      </c>
    </row>
    <row r="518" spans="1:27" x14ac:dyDescent="0.35">
      <c r="A518" s="10" t="s">
        <v>1641</v>
      </c>
      <c r="F518" t="s">
        <v>1358</v>
      </c>
      <c r="K518">
        <v>1</v>
      </c>
      <c r="L518" t="str">
        <f t="shared" si="32"/>
        <v/>
      </c>
      <c r="O518" t="s">
        <v>38</v>
      </c>
      <c r="T518" s="2">
        <f>'SUPUESTOS PRECIOS'!$B$9</f>
        <v>0</v>
      </c>
      <c r="U518" s="3">
        <f>'SUPUESTOS PRECIOS'!$B$5/'SUPUESTOS PRECIOS'!$B$4</f>
        <v>1000</v>
      </c>
      <c r="V518" s="3">
        <f>('SUPUESTOS PRECIOS'!$B$6-'SUPUESTOS PRECIOS'!$B$7)/'SUPUESTOS PRECIOS'!$B$4</f>
        <v>377.5</v>
      </c>
      <c r="W518" s="4">
        <f>'SUPUESTOS PRECIOS'!$B$8</f>
        <v>9.6799999999999994E-3</v>
      </c>
      <c r="X518" s="4">
        <f>'SUPUESTOS PRECIOS'!$B$2</f>
        <v>0.4</v>
      </c>
      <c r="Y518" s="3" t="str">
        <f t="shared" si="33"/>
        <v/>
      </c>
      <c r="Z518" s="3" t="str">
        <f t="shared" si="34"/>
        <v/>
      </c>
      <c r="AA518" s="11" t="str">
        <f t="shared" si="35"/>
        <v/>
      </c>
    </row>
    <row r="519" spans="1:27" x14ac:dyDescent="0.35">
      <c r="A519" s="10" t="s">
        <v>1642</v>
      </c>
      <c r="F519" t="s">
        <v>1358</v>
      </c>
      <c r="K519">
        <v>1</v>
      </c>
      <c r="L519" t="str">
        <f t="shared" si="32"/>
        <v/>
      </c>
      <c r="O519" t="s">
        <v>38</v>
      </c>
      <c r="T519" s="2">
        <f>'SUPUESTOS PRECIOS'!$B$9</f>
        <v>0</v>
      </c>
      <c r="U519" s="3">
        <f>'SUPUESTOS PRECIOS'!$B$5/'SUPUESTOS PRECIOS'!$B$4</f>
        <v>1000</v>
      </c>
      <c r="V519" s="3">
        <f>('SUPUESTOS PRECIOS'!$B$6-'SUPUESTOS PRECIOS'!$B$7)/'SUPUESTOS PRECIOS'!$B$4</f>
        <v>377.5</v>
      </c>
      <c r="W519" s="4">
        <f>'SUPUESTOS PRECIOS'!$B$8</f>
        <v>9.6799999999999994E-3</v>
      </c>
      <c r="X519" s="4">
        <f>'SUPUESTOS PRECIOS'!$B$2</f>
        <v>0.4</v>
      </c>
      <c r="Y519" s="3" t="str">
        <f t="shared" si="33"/>
        <v/>
      </c>
      <c r="Z519" s="3" t="str">
        <f t="shared" si="34"/>
        <v/>
      </c>
      <c r="AA519" s="11" t="str">
        <f t="shared" si="35"/>
        <v/>
      </c>
    </row>
    <row r="520" spans="1:27" x14ac:dyDescent="0.35">
      <c r="A520" s="10" t="s">
        <v>1643</v>
      </c>
      <c r="F520" t="s">
        <v>1358</v>
      </c>
      <c r="K520">
        <v>1</v>
      </c>
      <c r="L520" t="str">
        <f t="shared" si="32"/>
        <v/>
      </c>
      <c r="O520" t="s">
        <v>38</v>
      </c>
      <c r="T520" s="2">
        <f>'SUPUESTOS PRECIOS'!$B$9</f>
        <v>0</v>
      </c>
      <c r="U520" s="3">
        <f>'SUPUESTOS PRECIOS'!$B$5/'SUPUESTOS PRECIOS'!$B$4</f>
        <v>1000</v>
      </c>
      <c r="V520" s="3">
        <f>('SUPUESTOS PRECIOS'!$B$6-'SUPUESTOS PRECIOS'!$B$7)/'SUPUESTOS PRECIOS'!$B$4</f>
        <v>377.5</v>
      </c>
      <c r="W520" s="4">
        <f>'SUPUESTOS PRECIOS'!$B$8</f>
        <v>9.6799999999999994E-3</v>
      </c>
      <c r="X520" s="4">
        <f>'SUPUESTOS PRECIOS'!$B$2</f>
        <v>0.4</v>
      </c>
      <c r="Y520" s="3" t="str">
        <f t="shared" si="33"/>
        <v/>
      </c>
      <c r="Z520" s="3" t="str">
        <f t="shared" si="34"/>
        <v/>
      </c>
      <c r="AA520" s="11" t="str">
        <f t="shared" si="35"/>
        <v/>
      </c>
    </row>
    <row r="521" spans="1:27" x14ac:dyDescent="0.35">
      <c r="A521" s="10" t="s">
        <v>1644</v>
      </c>
      <c r="F521" t="s">
        <v>1358</v>
      </c>
      <c r="K521">
        <v>1</v>
      </c>
      <c r="L521" t="str">
        <f t="shared" si="32"/>
        <v/>
      </c>
      <c r="O521" t="s">
        <v>38</v>
      </c>
      <c r="T521" s="2">
        <f>'SUPUESTOS PRECIOS'!$B$9</f>
        <v>0</v>
      </c>
      <c r="U521" s="3">
        <f>'SUPUESTOS PRECIOS'!$B$5/'SUPUESTOS PRECIOS'!$B$4</f>
        <v>1000</v>
      </c>
      <c r="V521" s="3">
        <f>('SUPUESTOS PRECIOS'!$B$6-'SUPUESTOS PRECIOS'!$B$7)/'SUPUESTOS PRECIOS'!$B$4</f>
        <v>377.5</v>
      </c>
      <c r="W521" s="4">
        <f>'SUPUESTOS PRECIOS'!$B$8</f>
        <v>9.6799999999999994E-3</v>
      </c>
      <c r="X521" s="4">
        <f>'SUPUESTOS PRECIOS'!$B$2</f>
        <v>0.4</v>
      </c>
      <c r="Y521" s="3" t="str">
        <f t="shared" si="33"/>
        <v/>
      </c>
      <c r="Z521" s="3" t="str">
        <f t="shared" si="34"/>
        <v/>
      </c>
      <c r="AA521" s="11" t="str">
        <f t="shared" si="35"/>
        <v/>
      </c>
    </row>
    <row r="522" spans="1:27" x14ac:dyDescent="0.35">
      <c r="A522" s="10" t="s">
        <v>1645</v>
      </c>
      <c r="F522" t="s">
        <v>1358</v>
      </c>
      <c r="K522">
        <v>1</v>
      </c>
      <c r="L522" t="str">
        <f t="shared" si="32"/>
        <v/>
      </c>
      <c r="O522" t="s">
        <v>38</v>
      </c>
      <c r="T522" s="2">
        <f>'SUPUESTOS PRECIOS'!$B$9</f>
        <v>0</v>
      </c>
      <c r="U522" s="3">
        <f>'SUPUESTOS PRECIOS'!$B$5/'SUPUESTOS PRECIOS'!$B$4</f>
        <v>1000</v>
      </c>
      <c r="V522" s="3">
        <f>('SUPUESTOS PRECIOS'!$B$6-'SUPUESTOS PRECIOS'!$B$7)/'SUPUESTOS PRECIOS'!$B$4</f>
        <v>377.5</v>
      </c>
      <c r="W522" s="4">
        <f>'SUPUESTOS PRECIOS'!$B$8</f>
        <v>9.6799999999999994E-3</v>
      </c>
      <c r="X522" s="4">
        <f>'SUPUESTOS PRECIOS'!$B$2</f>
        <v>0.4</v>
      </c>
      <c r="Y522" s="3" t="str">
        <f t="shared" si="33"/>
        <v/>
      </c>
      <c r="Z522" s="3" t="str">
        <f t="shared" si="34"/>
        <v/>
      </c>
      <c r="AA522" s="11" t="str">
        <f t="shared" si="35"/>
        <v/>
      </c>
    </row>
    <row r="523" spans="1:27" x14ac:dyDescent="0.35">
      <c r="A523" s="10" t="s">
        <v>1646</v>
      </c>
      <c r="F523" t="s">
        <v>1358</v>
      </c>
      <c r="K523">
        <v>1</v>
      </c>
      <c r="L523" t="str">
        <f t="shared" si="32"/>
        <v/>
      </c>
      <c r="O523" t="s">
        <v>38</v>
      </c>
      <c r="T523" s="2">
        <f>'SUPUESTOS PRECIOS'!$B$9</f>
        <v>0</v>
      </c>
      <c r="U523" s="3">
        <f>'SUPUESTOS PRECIOS'!$B$5/'SUPUESTOS PRECIOS'!$B$4</f>
        <v>1000</v>
      </c>
      <c r="V523" s="3">
        <f>('SUPUESTOS PRECIOS'!$B$6-'SUPUESTOS PRECIOS'!$B$7)/'SUPUESTOS PRECIOS'!$B$4</f>
        <v>377.5</v>
      </c>
      <c r="W523" s="4">
        <f>'SUPUESTOS PRECIOS'!$B$8</f>
        <v>9.6799999999999994E-3</v>
      </c>
      <c r="X523" s="4">
        <f>'SUPUESTOS PRECIOS'!$B$2</f>
        <v>0.4</v>
      </c>
      <c r="Y523" s="3" t="str">
        <f t="shared" si="33"/>
        <v/>
      </c>
      <c r="Z523" s="3" t="str">
        <f t="shared" si="34"/>
        <v/>
      </c>
      <c r="AA523" s="11" t="str">
        <f t="shared" si="35"/>
        <v/>
      </c>
    </row>
    <row r="524" spans="1:27" x14ac:dyDescent="0.35">
      <c r="A524" s="10" t="s">
        <v>1647</v>
      </c>
      <c r="F524" t="s">
        <v>1358</v>
      </c>
      <c r="K524">
        <v>1</v>
      </c>
      <c r="L524" t="str">
        <f t="shared" si="32"/>
        <v/>
      </c>
      <c r="O524" t="s">
        <v>38</v>
      </c>
      <c r="T524" s="2">
        <f>'SUPUESTOS PRECIOS'!$B$9</f>
        <v>0</v>
      </c>
      <c r="U524" s="3">
        <f>'SUPUESTOS PRECIOS'!$B$5/'SUPUESTOS PRECIOS'!$B$4</f>
        <v>1000</v>
      </c>
      <c r="V524" s="3">
        <f>('SUPUESTOS PRECIOS'!$B$6-'SUPUESTOS PRECIOS'!$B$7)/'SUPUESTOS PRECIOS'!$B$4</f>
        <v>377.5</v>
      </c>
      <c r="W524" s="4">
        <f>'SUPUESTOS PRECIOS'!$B$8</f>
        <v>9.6799999999999994E-3</v>
      </c>
      <c r="X524" s="4">
        <f>'SUPUESTOS PRECIOS'!$B$2</f>
        <v>0.4</v>
      </c>
      <c r="Y524" s="3" t="str">
        <f t="shared" si="33"/>
        <v/>
      </c>
      <c r="Z524" s="3" t="str">
        <f t="shared" si="34"/>
        <v/>
      </c>
      <c r="AA524" s="11" t="str">
        <f t="shared" si="35"/>
        <v/>
      </c>
    </row>
    <row r="525" spans="1:27" x14ac:dyDescent="0.35">
      <c r="A525" s="10" t="s">
        <v>1648</v>
      </c>
      <c r="F525" t="s">
        <v>1358</v>
      </c>
      <c r="K525">
        <v>1</v>
      </c>
      <c r="L525" t="str">
        <f t="shared" si="32"/>
        <v/>
      </c>
      <c r="O525" t="s">
        <v>38</v>
      </c>
      <c r="T525" s="2">
        <f>'SUPUESTOS PRECIOS'!$B$9</f>
        <v>0</v>
      </c>
      <c r="U525" s="3">
        <f>'SUPUESTOS PRECIOS'!$B$5/'SUPUESTOS PRECIOS'!$B$4</f>
        <v>1000</v>
      </c>
      <c r="V525" s="3">
        <f>('SUPUESTOS PRECIOS'!$B$6-'SUPUESTOS PRECIOS'!$B$7)/'SUPUESTOS PRECIOS'!$B$4</f>
        <v>377.5</v>
      </c>
      <c r="W525" s="4">
        <f>'SUPUESTOS PRECIOS'!$B$8</f>
        <v>9.6799999999999994E-3</v>
      </c>
      <c r="X525" s="4">
        <f>'SUPUESTOS PRECIOS'!$B$2</f>
        <v>0.4</v>
      </c>
      <c r="Y525" s="3" t="str">
        <f t="shared" si="33"/>
        <v/>
      </c>
      <c r="Z525" s="3" t="str">
        <f t="shared" si="34"/>
        <v/>
      </c>
      <c r="AA525" s="11" t="str">
        <f t="shared" si="35"/>
        <v/>
      </c>
    </row>
    <row r="526" spans="1:27" x14ac:dyDescent="0.35">
      <c r="A526" s="10" t="s">
        <v>1649</v>
      </c>
      <c r="F526" t="s">
        <v>1358</v>
      </c>
      <c r="K526">
        <v>1</v>
      </c>
      <c r="L526" t="str">
        <f t="shared" si="32"/>
        <v/>
      </c>
      <c r="O526" t="s">
        <v>38</v>
      </c>
      <c r="T526" s="2">
        <f>'SUPUESTOS PRECIOS'!$B$9</f>
        <v>0</v>
      </c>
      <c r="U526" s="3">
        <f>'SUPUESTOS PRECIOS'!$B$5/'SUPUESTOS PRECIOS'!$B$4</f>
        <v>1000</v>
      </c>
      <c r="V526" s="3">
        <f>('SUPUESTOS PRECIOS'!$B$6-'SUPUESTOS PRECIOS'!$B$7)/'SUPUESTOS PRECIOS'!$B$4</f>
        <v>377.5</v>
      </c>
      <c r="W526" s="4">
        <f>'SUPUESTOS PRECIOS'!$B$8</f>
        <v>9.6799999999999994E-3</v>
      </c>
      <c r="X526" s="4">
        <f>'SUPUESTOS PRECIOS'!$B$2</f>
        <v>0.4</v>
      </c>
      <c r="Y526" s="3" t="str">
        <f t="shared" si="33"/>
        <v/>
      </c>
      <c r="Z526" s="3" t="str">
        <f t="shared" si="34"/>
        <v/>
      </c>
      <c r="AA526" s="11" t="str">
        <f t="shared" si="35"/>
        <v/>
      </c>
    </row>
    <row r="527" spans="1:27" x14ac:dyDescent="0.35">
      <c r="A527" s="10" t="s">
        <v>1650</v>
      </c>
      <c r="F527" t="s">
        <v>1358</v>
      </c>
      <c r="K527">
        <v>1</v>
      </c>
      <c r="L527" t="str">
        <f t="shared" si="32"/>
        <v/>
      </c>
      <c r="O527" t="s">
        <v>38</v>
      </c>
      <c r="T527" s="2">
        <f>'SUPUESTOS PRECIOS'!$B$9</f>
        <v>0</v>
      </c>
      <c r="U527" s="3">
        <f>'SUPUESTOS PRECIOS'!$B$5/'SUPUESTOS PRECIOS'!$B$4</f>
        <v>1000</v>
      </c>
      <c r="V527" s="3">
        <f>('SUPUESTOS PRECIOS'!$B$6-'SUPUESTOS PRECIOS'!$B$7)/'SUPUESTOS PRECIOS'!$B$4</f>
        <v>377.5</v>
      </c>
      <c r="W527" s="4">
        <f>'SUPUESTOS PRECIOS'!$B$8</f>
        <v>9.6799999999999994E-3</v>
      </c>
      <c r="X527" s="4">
        <f>'SUPUESTOS PRECIOS'!$B$2</f>
        <v>0.4</v>
      </c>
      <c r="Y527" s="3" t="str">
        <f t="shared" si="33"/>
        <v/>
      </c>
      <c r="Z527" s="3" t="str">
        <f t="shared" si="34"/>
        <v/>
      </c>
      <c r="AA527" s="11" t="str">
        <f t="shared" si="35"/>
        <v/>
      </c>
    </row>
    <row r="528" spans="1:27" x14ac:dyDescent="0.35">
      <c r="A528" s="10" t="s">
        <v>1651</v>
      </c>
      <c r="F528" t="s">
        <v>1358</v>
      </c>
      <c r="K528">
        <v>1</v>
      </c>
      <c r="L528" t="str">
        <f t="shared" si="32"/>
        <v/>
      </c>
      <c r="O528" t="s">
        <v>38</v>
      </c>
      <c r="T528" s="2">
        <f>'SUPUESTOS PRECIOS'!$B$9</f>
        <v>0</v>
      </c>
      <c r="U528" s="3">
        <f>'SUPUESTOS PRECIOS'!$B$5/'SUPUESTOS PRECIOS'!$B$4</f>
        <v>1000</v>
      </c>
      <c r="V528" s="3">
        <f>('SUPUESTOS PRECIOS'!$B$6-'SUPUESTOS PRECIOS'!$B$7)/'SUPUESTOS PRECIOS'!$B$4</f>
        <v>377.5</v>
      </c>
      <c r="W528" s="4">
        <f>'SUPUESTOS PRECIOS'!$B$8</f>
        <v>9.6799999999999994E-3</v>
      </c>
      <c r="X528" s="4">
        <f>'SUPUESTOS PRECIOS'!$B$2</f>
        <v>0.4</v>
      </c>
      <c r="Y528" s="3" t="str">
        <f t="shared" si="33"/>
        <v/>
      </c>
      <c r="Z528" s="3" t="str">
        <f t="shared" si="34"/>
        <v/>
      </c>
      <c r="AA528" s="11" t="str">
        <f t="shared" si="35"/>
        <v/>
      </c>
    </row>
    <row r="529" spans="1:27" x14ac:dyDescent="0.35">
      <c r="A529" s="10" t="s">
        <v>1652</v>
      </c>
      <c r="F529" t="s">
        <v>1358</v>
      </c>
      <c r="K529">
        <v>1</v>
      </c>
      <c r="L529" t="str">
        <f t="shared" si="32"/>
        <v/>
      </c>
      <c r="O529" t="s">
        <v>38</v>
      </c>
      <c r="T529" s="2">
        <f>'SUPUESTOS PRECIOS'!$B$9</f>
        <v>0</v>
      </c>
      <c r="U529" s="3">
        <f>'SUPUESTOS PRECIOS'!$B$5/'SUPUESTOS PRECIOS'!$B$4</f>
        <v>1000</v>
      </c>
      <c r="V529" s="3">
        <f>('SUPUESTOS PRECIOS'!$B$6-'SUPUESTOS PRECIOS'!$B$7)/'SUPUESTOS PRECIOS'!$B$4</f>
        <v>377.5</v>
      </c>
      <c r="W529" s="4">
        <f>'SUPUESTOS PRECIOS'!$B$8</f>
        <v>9.6799999999999994E-3</v>
      </c>
      <c r="X529" s="4">
        <f>'SUPUESTOS PRECIOS'!$B$2</f>
        <v>0.4</v>
      </c>
      <c r="Y529" s="3" t="str">
        <f t="shared" si="33"/>
        <v/>
      </c>
      <c r="Z529" s="3" t="str">
        <f t="shared" si="34"/>
        <v/>
      </c>
      <c r="AA529" s="11" t="str">
        <f t="shared" si="35"/>
        <v/>
      </c>
    </row>
    <row r="530" spans="1:27" x14ac:dyDescent="0.35">
      <c r="A530" s="10" t="s">
        <v>1653</v>
      </c>
      <c r="F530" t="s">
        <v>1358</v>
      </c>
      <c r="K530">
        <v>1</v>
      </c>
      <c r="L530" t="str">
        <f t="shared" si="32"/>
        <v/>
      </c>
      <c r="O530" t="s">
        <v>38</v>
      </c>
      <c r="T530" s="2">
        <f>'SUPUESTOS PRECIOS'!$B$9</f>
        <v>0</v>
      </c>
      <c r="U530" s="3">
        <f>'SUPUESTOS PRECIOS'!$B$5/'SUPUESTOS PRECIOS'!$B$4</f>
        <v>1000</v>
      </c>
      <c r="V530" s="3">
        <f>('SUPUESTOS PRECIOS'!$B$6-'SUPUESTOS PRECIOS'!$B$7)/'SUPUESTOS PRECIOS'!$B$4</f>
        <v>377.5</v>
      </c>
      <c r="W530" s="4">
        <f>'SUPUESTOS PRECIOS'!$B$8</f>
        <v>9.6799999999999994E-3</v>
      </c>
      <c r="X530" s="4">
        <f>'SUPUESTOS PRECIOS'!$B$2</f>
        <v>0.4</v>
      </c>
      <c r="Y530" s="3" t="str">
        <f t="shared" si="33"/>
        <v/>
      </c>
      <c r="Z530" s="3" t="str">
        <f t="shared" si="34"/>
        <v/>
      </c>
      <c r="AA530" s="11" t="str">
        <f t="shared" si="35"/>
        <v/>
      </c>
    </row>
    <row r="531" spans="1:27" x14ac:dyDescent="0.35">
      <c r="A531" s="10" t="s">
        <v>1654</v>
      </c>
      <c r="F531" t="s">
        <v>1358</v>
      </c>
      <c r="K531">
        <v>1</v>
      </c>
      <c r="L531" t="str">
        <f t="shared" si="32"/>
        <v/>
      </c>
      <c r="O531" t="s">
        <v>38</v>
      </c>
      <c r="T531" s="2">
        <f>'SUPUESTOS PRECIOS'!$B$9</f>
        <v>0</v>
      </c>
      <c r="U531" s="3">
        <f>'SUPUESTOS PRECIOS'!$B$5/'SUPUESTOS PRECIOS'!$B$4</f>
        <v>1000</v>
      </c>
      <c r="V531" s="3">
        <f>('SUPUESTOS PRECIOS'!$B$6-'SUPUESTOS PRECIOS'!$B$7)/'SUPUESTOS PRECIOS'!$B$4</f>
        <v>377.5</v>
      </c>
      <c r="W531" s="4">
        <f>'SUPUESTOS PRECIOS'!$B$8</f>
        <v>9.6799999999999994E-3</v>
      </c>
      <c r="X531" s="4">
        <f>'SUPUESTOS PRECIOS'!$B$2</f>
        <v>0.4</v>
      </c>
      <c r="Y531" s="3" t="str">
        <f t="shared" si="33"/>
        <v/>
      </c>
      <c r="Z531" s="3" t="str">
        <f t="shared" si="34"/>
        <v/>
      </c>
      <c r="AA531" s="11" t="str">
        <f t="shared" si="35"/>
        <v/>
      </c>
    </row>
    <row r="532" spans="1:27" x14ac:dyDescent="0.35">
      <c r="A532" s="10" t="s">
        <v>1655</v>
      </c>
      <c r="F532" t="s">
        <v>1358</v>
      </c>
      <c r="K532">
        <v>1</v>
      </c>
      <c r="L532" t="str">
        <f t="shared" si="32"/>
        <v/>
      </c>
      <c r="O532" t="s">
        <v>38</v>
      </c>
      <c r="T532" s="2">
        <f>'SUPUESTOS PRECIOS'!$B$9</f>
        <v>0</v>
      </c>
      <c r="U532" s="3">
        <f>'SUPUESTOS PRECIOS'!$B$5/'SUPUESTOS PRECIOS'!$B$4</f>
        <v>1000</v>
      </c>
      <c r="V532" s="3">
        <f>('SUPUESTOS PRECIOS'!$B$6-'SUPUESTOS PRECIOS'!$B$7)/'SUPUESTOS PRECIOS'!$B$4</f>
        <v>377.5</v>
      </c>
      <c r="W532" s="4">
        <f>'SUPUESTOS PRECIOS'!$B$8</f>
        <v>9.6799999999999994E-3</v>
      </c>
      <c r="X532" s="4">
        <f>'SUPUESTOS PRECIOS'!$B$2</f>
        <v>0.4</v>
      </c>
      <c r="Y532" s="3" t="str">
        <f t="shared" si="33"/>
        <v/>
      </c>
      <c r="Z532" s="3" t="str">
        <f t="shared" si="34"/>
        <v/>
      </c>
      <c r="AA532" s="11" t="str">
        <f t="shared" si="35"/>
        <v/>
      </c>
    </row>
    <row r="533" spans="1:27" x14ac:dyDescent="0.35">
      <c r="A533" s="10" t="s">
        <v>1656</v>
      </c>
      <c r="F533" t="s">
        <v>1358</v>
      </c>
      <c r="K533">
        <v>1</v>
      </c>
      <c r="L533" t="str">
        <f t="shared" si="32"/>
        <v/>
      </c>
      <c r="O533" t="s">
        <v>38</v>
      </c>
      <c r="T533" s="2">
        <f>'SUPUESTOS PRECIOS'!$B$9</f>
        <v>0</v>
      </c>
      <c r="U533" s="3">
        <f>'SUPUESTOS PRECIOS'!$B$5/'SUPUESTOS PRECIOS'!$B$4</f>
        <v>1000</v>
      </c>
      <c r="V533" s="3">
        <f>('SUPUESTOS PRECIOS'!$B$6-'SUPUESTOS PRECIOS'!$B$7)/'SUPUESTOS PRECIOS'!$B$4</f>
        <v>377.5</v>
      </c>
      <c r="W533" s="4">
        <f>'SUPUESTOS PRECIOS'!$B$8</f>
        <v>9.6799999999999994E-3</v>
      </c>
      <c r="X533" s="4">
        <f>'SUPUESTOS PRECIOS'!$B$2</f>
        <v>0.4</v>
      </c>
      <c r="Y533" s="3" t="str">
        <f t="shared" si="33"/>
        <v/>
      </c>
      <c r="Z533" s="3" t="str">
        <f t="shared" si="34"/>
        <v/>
      </c>
      <c r="AA533" s="11" t="str">
        <f t="shared" si="35"/>
        <v/>
      </c>
    </row>
    <row r="534" spans="1:27" x14ac:dyDescent="0.35">
      <c r="A534" s="10" t="s">
        <v>1657</v>
      </c>
      <c r="F534" t="s">
        <v>1358</v>
      </c>
      <c r="K534">
        <v>1</v>
      </c>
      <c r="L534" t="str">
        <f t="shared" si="32"/>
        <v/>
      </c>
      <c r="O534" t="s">
        <v>38</v>
      </c>
      <c r="T534" s="2">
        <f>'SUPUESTOS PRECIOS'!$B$9</f>
        <v>0</v>
      </c>
      <c r="U534" s="3">
        <f>'SUPUESTOS PRECIOS'!$B$5/'SUPUESTOS PRECIOS'!$B$4</f>
        <v>1000</v>
      </c>
      <c r="V534" s="3">
        <f>('SUPUESTOS PRECIOS'!$B$6-'SUPUESTOS PRECIOS'!$B$7)/'SUPUESTOS PRECIOS'!$B$4</f>
        <v>377.5</v>
      </c>
      <c r="W534" s="4">
        <f>'SUPUESTOS PRECIOS'!$B$8</f>
        <v>9.6799999999999994E-3</v>
      </c>
      <c r="X534" s="4">
        <f>'SUPUESTOS PRECIOS'!$B$2</f>
        <v>0.4</v>
      </c>
      <c r="Y534" s="3" t="str">
        <f t="shared" si="33"/>
        <v/>
      </c>
      <c r="Z534" s="3" t="str">
        <f t="shared" si="34"/>
        <v/>
      </c>
      <c r="AA534" s="11" t="str">
        <f t="shared" si="35"/>
        <v/>
      </c>
    </row>
    <row r="535" spans="1:27" x14ac:dyDescent="0.35">
      <c r="A535" s="10" t="s">
        <v>1658</v>
      </c>
      <c r="F535" t="s">
        <v>1358</v>
      </c>
      <c r="K535">
        <v>1</v>
      </c>
      <c r="L535" t="str">
        <f t="shared" si="32"/>
        <v/>
      </c>
      <c r="O535" t="s">
        <v>38</v>
      </c>
      <c r="T535" s="2">
        <f>'SUPUESTOS PRECIOS'!$B$9</f>
        <v>0</v>
      </c>
      <c r="U535" s="3">
        <f>'SUPUESTOS PRECIOS'!$B$5/'SUPUESTOS PRECIOS'!$B$4</f>
        <v>1000</v>
      </c>
      <c r="V535" s="3">
        <f>('SUPUESTOS PRECIOS'!$B$6-'SUPUESTOS PRECIOS'!$B$7)/'SUPUESTOS PRECIOS'!$B$4</f>
        <v>377.5</v>
      </c>
      <c r="W535" s="4">
        <f>'SUPUESTOS PRECIOS'!$B$8</f>
        <v>9.6799999999999994E-3</v>
      </c>
      <c r="X535" s="4">
        <f>'SUPUESTOS PRECIOS'!$B$2</f>
        <v>0.4</v>
      </c>
      <c r="Y535" s="3" t="str">
        <f t="shared" si="33"/>
        <v/>
      </c>
      <c r="Z535" s="3" t="str">
        <f t="shared" si="34"/>
        <v/>
      </c>
      <c r="AA535" s="11" t="str">
        <f t="shared" si="35"/>
        <v/>
      </c>
    </row>
    <row r="536" spans="1:27" x14ac:dyDescent="0.35">
      <c r="A536" s="10" t="s">
        <v>1659</v>
      </c>
      <c r="F536" t="s">
        <v>1358</v>
      </c>
      <c r="K536">
        <v>1</v>
      </c>
      <c r="L536" t="str">
        <f t="shared" si="32"/>
        <v/>
      </c>
      <c r="O536" t="s">
        <v>38</v>
      </c>
      <c r="T536" s="2">
        <f>'SUPUESTOS PRECIOS'!$B$9</f>
        <v>0</v>
      </c>
      <c r="U536" s="3">
        <f>'SUPUESTOS PRECIOS'!$B$5/'SUPUESTOS PRECIOS'!$B$4</f>
        <v>1000</v>
      </c>
      <c r="V536" s="3">
        <f>('SUPUESTOS PRECIOS'!$B$6-'SUPUESTOS PRECIOS'!$B$7)/'SUPUESTOS PRECIOS'!$B$4</f>
        <v>377.5</v>
      </c>
      <c r="W536" s="4">
        <f>'SUPUESTOS PRECIOS'!$B$8</f>
        <v>9.6799999999999994E-3</v>
      </c>
      <c r="X536" s="4">
        <f>'SUPUESTOS PRECIOS'!$B$2</f>
        <v>0.4</v>
      </c>
      <c r="Y536" s="3" t="str">
        <f t="shared" si="33"/>
        <v/>
      </c>
      <c r="Z536" s="3" t="str">
        <f t="shared" si="34"/>
        <v/>
      </c>
      <c r="AA536" s="11" t="str">
        <f t="shared" si="35"/>
        <v/>
      </c>
    </row>
    <row r="537" spans="1:27" x14ac:dyDescent="0.35">
      <c r="A537" s="10" t="s">
        <v>1660</v>
      </c>
      <c r="F537" t="s">
        <v>1358</v>
      </c>
      <c r="K537">
        <v>1</v>
      </c>
      <c r="L537" t="str">
        <f t="shared" si="32"/>
        <v/>
      </c>
      <c r="O537" t="s">
        <v>38</v>
      </c>
      <c r="T537" s="2">
        <f>'SUPUESTOS PRECIOS'!$B$9</f>
        <v>0</v>
      </c>
      <c r="U537" s="3">
        <f>'SUPUESTOS PRECIOS'!$B$5/'SUPUESTOS PRECIOS'!$B$4</f>
        <v>1000</v>
      </c>
      <c r="V537" s="3">
        <f>('SUPUESTOS PRECIOS'!$B$6-'SUPUESTOS PRECIOS'!$B$7)/'SUPUESTOS PRECIOS'!$B$4</f>
        <v>377.5</v>
      </c>
      <c r="W537" s="4">
        <f>'SUPUESTOS PRECIOS'!$B$8</f>
        <v>9.6799999999999994E-3</v>
      </c>
      <c r="X537" s="4">
        <f>'SUPUESTOS PRECIOS'!$B$2</f>
        <v>0.4</v>
      </c>
      <c r="Y537" s="3" t="str">
        <f t="shared" si="33"/>
        <v/>
      </c>
      <c r="Z537" s="3" t="str">
        <f t="shared" si="34"/>
        <v/>
      </c>
      <c r="AA537" s="11" t="str">
        <f t="shared" si="35"/>
        <v/>
      </c>
    </row>
    <row r="538" spans="1:27" x14ac:dyDescent="0.35">
      <c r="A538" s="10" t="s">
        <v>1661</v>
      </c>
      <c r="F538" t="s">
        <v>1358</v>
      </c>
      <c r="K538">
        <v>1</v>
      </c>
      <c r="L538" t="str">
        <f t="shared" si="32"/>
        <v/>
      </c>
      <c r="O538" t="s">
        <v>38</v>
      </c>
      <c r="T538" s="2">
        <f>'SUPUESTOS PRECIOS'!$B$9</f>
        <v>0</v>
      </c>
      <c r="U538" s="3">
        <f>'SUPUESTOS PRECIOS'!$B$5/'SUPUESTOS PRECIOS'!$B$4</f>
        <v>1000</v>
      </c>
      <c r="V538" s="3">
        <f>('SUPUESTOS PRECIOS'!$B$6-'SUPUESTOS PRECIOS'!$B$7)/'SUPUESTOS PRECIOS'!$B$4</f>
        <v>377.5</v>
      </c>
      <c r="W538" s="4">
        <f>'SUPUESTOS PRECIOS'!$B$8</f>
        <v>9.6799999999999994E-3</v>
      </c>
      <c r="X538" s="4">
        <f>'SUPUESTOS PRECIOS'!$B$2</f>
        <v>0.4</v>
      </c>
      <c r="Y538" s="3" t="str">
        <f t="shared" si="33"/>
        <v/>
      </c>
      <c r="Z538" s="3" t="str">
        <f t="shared" si="34"/>
        <v/>
      </c>
      <c r="AA538" s="11" t="str">
        <f t="shared" si="35"/>
        <v/>
      </c>
    </row>
    <row r="539" spans="1:27" x14ac:dyDescent="0.35">
      <c r="A539" s="10" t="s">
        <v>1662</v>
      </c>
      <c r="F539" t="s">
        <v>1358</v>
      </c>
      <c r="K539">
        <v>1</v>
      </c>
      <c r="L539" t="str">
        <f t="shared" si="32"/>
        <v/>
      </c>
      <c r="O539" t="s">
        <v>38</v>
      </c>
      <c r="T539" s="2">
        <f>'SUPUESTOS PRECIOS'!$B$9</f>
        <v>0</v>
      </c>
      <c r="U539" s="3">
        <f>'SUPUESTOS PRECIOS'!$B$5/'SUPUESTOS PRECIOS'!$B$4</f>
        <v>1000</v>
      </c>
      <c r="V539" s="3">
        <f>('SUPUESTOS PRECIOS'!$B$6-'SUPUESTOS PRECIOS'!$B$7)/'SUPUESTOS PRECIOS'!$B$4</f>
        <v>377.5</v>
      </c>
      <c r="W539" s="4">
        <f>'SUPUESTOS PRECIOS'!$B$8</f>
        <v>9.6799999999999994E-3</v>
      </c>
      <c r="X539" s="4">
        <f>'SUPUESTOS PRECIOS'!$B$2</f>
        <v>0.4</v>
      </c>
      <c r="Y539" s="3" t="str">
        <f t="shared" si="33"/>
        <v/>
      </c>
      <c r="Z539" s="3" t="str">
        <f t="shared" si="34"/>
        <v/>
      </c>
      <c r="AA539" s="11" t="str">
        <f t="shared" si="35"/>
        <v/>
      </c>
    </row>
    <row r="540" spans="1:27" x14ac:dyDescent="0.35">
      <c r="A540" s="10" t="s">
        <v>1663</v>
      </c>
      <c r="F540" t="s">
        <v>1358</v>
      </c>
      <c r="K540">
        <v>1</v>
      </c>
      <c r="L540" t="str">
        <f t="shared" si="32"/>
        <v/>
      </c>
      <c r="O540" t="s">
        <v>38</v>
      </c>
      <c r="T540" s="2">
        <f>'SUPUESTOS PRECIOS'!$B$9</f>
        <v>0</v>
      </c>
      <c r="U540" s="3">
        <f>'SUPUESTOS PRECIOS'!$B$5/'SUPUESTOS PRECIOS'!$B$4</f>
        <v>1000</v>
      </c>
      <c r="V540" s="3">
        <f>('SUPUESTOS PRECIOS'!$B$6-'SUPUESTOS PRECIOS'!$B$7)/'SUPUESTOS PRECIOS'!$B$4</f>
        <v>377.5</v>
      </c>
      <c r="W540" s="4">
        <f>'SUPUESTOS PRECIOS'!$B$8</f>
        <v>9.6799999999999994E-3</v>
      </c>
      <c r="X540" s="4">
        <f>'SUPUESTOS PRECIOS'!$B$2</f>
        <v>0.4</v>
      </c>
      <c r="Y540" s="3" t="str">
        <f t="shared" si="33"/>
        <v/>
      </c>
      <c r="Z540" s="3" t="str">
        <f t="shared" si="34"/>
        <v/>
      </c>
      <c r="AA540" s="11" t="str">
        <f t="shared" si="35"/>
        <v/>
      </c>
    </row>
    <row r="541" spans="1:27" x14ac:dyDescent="0.35">
      <c r="A541" s="10" t="s">
        <v>1664</v>
      </c>
      <c r="F541" t="s">
        <v>1358</v>
      </c>
      <c r="K541">
        <v>1</v>
      </c>
      <c r="L541" t="str">
        <f t="shared" si="32"/>
        <v/>
      </c>
      <c r="O541" t="s">
        <v>38</v>
      </c>
      <c r="T541" s="2">
        <f>'SUPUESTOS PRECIOS'!$B$9</f>
        <v>0</v>
      </c>
      <c r="U541" s="3">
        <f>'SUPUESTOS PRECIOS'!$B$5/'SUPUESTOS PRECIOS'!$B$4</f>
        <v>1000</v>
      </c>
      <c r="V541" s="3">
        <f>('SUPUESTOS PRECIOS'!$B$6-'SUPUESTOS PRECIOS'!$B$7)/'SUPUESTOS PRECIOS'!$B$4</f>
        <v>377.5</v>
      </c>
      <c r="W541" s="4">
        <f>'SUPUESTOS PRECIOS'!$B$8</f>
        <v>9.6799999999999994E-3</v>
      </c>
      <c r="X541" s="4">
        <f>'SUPUESTOS PRECIOS'!$B$2</f>
        <v>0.4</v>
      </c>
      <c r="Y541" s="3" t="str">
        <f t="shared" si="33"/>
        <v/>
      </c>
      <c r="Z541" s="3" t="str">
        <f t="shared" si="34"/>
        <v/>
      </c>
      <c r="AA541" s="11" t="str">
        <f t="shared" si="35"/>
        <v/>
      </c>
    </row>
    <row r="542" spans="1:27" x14ac:dyDescent="0.35">
      <c r="A542" s="10" t="s">
        <v>1665</v>
      </c>
      <c r="F542" t="s">
        <v>1358</v>
      </c>
      <c r="K542">
        <v>1</v>
      </c>
      <c r="L542" t="str">
        <f t="shared" si="32"/>
        <v/>
      </c>
      <c r="O542" t="s">
        <v>38</v>
      </c>
      <c r="T542" s="2">
        <f>'SUPUESTOS PRECIOS'!$B$9</f>
        <v>0</v>
      </c>
      <c r="U542" s="3">
        <f>'SUPUESTOS PRECIOS'!$B$5/'SUPUESTOS PRECIOS'!$B$4</f>
        <v>1000</v>
      </c>
      <c r="V542" s="3">
        <f>('SUPUESTOS PRECIOS'!$B$6-'SUPUESTOS PRECIOS'!$B$7)/'SUPUESTOS PRECIOS'!$B$4</f>
        <v>377.5</v>
      </c>
      <c r="W542" s="4">
        <f>'SUPUESTOS PRECIOS'!$B$8</f>
        <v>9.6799999999999994E-3</v>
      </c>
      <c r="X542" s="4">
        <f>'SUPUESTOS PRECIOS'!$B$2</f>
        <v>0.4</v>
      </c>
      <c r="Y542" s="3" t="str">
        <f t="shared" si="33"/>
        <v/>
      </c>
      <c r="Z542" s="3" t="str">
        <f t="shared" si="34"/>
        <v/>
      </c>
      <c r="AA542" s="11" t="str">
        <f t="shared" si="35"/>
        <v/>
      </c>
    </row>
    <row r="543" spans="1:27" x14ac:dyDescent="0.35">
      <c r="A543" s="10" t="s">
        <v>1666</v>
      </c>
      <c r="F543" t="s">
        <v>1358</v>
      </c>
      <c r="K543">
        <v>1</v>
      </c>
      <c r="L543" t="str">
        <f t="shared" si="32"/>
        <v/>
      </c>
      <c r="O543" t="s">
        <v>38</v>
      </c>
      <c r="T543" s="2">
        <f>'SUPUESTOS PRECIOS'!$B$9</f>
        <v>0</v>
      </c>
      <c r="U543" s="3">
        <f>'SUPUESTOS PRECIOS'!$B$5/'SUPUESTOS PRECIOS'!$B$4</f>
        <v>1000</v>
      </c>
      <c r="V543" s="3">
        <f>('SUPUESTOS PRECIOS'!$B$6-'SUPUESTOS PRECIOS'!$B$7)/'SUPUESTOS PRECIOS'!$B$4</f>
        <v>377.5</v>
      </c>
      <c r="W543" s="4">
        <f>'SUPUESTOS PRECIOS'!$B$8</f>
        <v>9.6799999999999994E-3</v>
      </c>
      <c r="X543" s="4">
        <f>'SUPUESTOS PRECIOS'!$B$2</f>
        <v>0.4</v>
      </c>
      <c r="Y543" s="3" t="str">
        <f t="shared" si="33"/>
        <v/>
      </c>
      <c r="Z543" s="3" t="str">
        <f t="shared" si="34"/>
        <v/>
      </c>
      <c r="AA543" s="11" t="str">
        <f t="shared" si="35"/>
        <v/>
      </c>
    </row>
    <row r="544" spans="1:27" x14ac:dyDescent="0.35">
      <c r="A544" s="10" t="s">
        <v>1667</v>
      </c>
      <c r="F544" t="s">
        <v>1358</v>
      </c>
      <c r="K544">
        <v>1</v>
      </c>
      <c r="L544" t="str">
        <f t="shared" si="32"/>
        <v/>
      </c>
      <c r="O544" t="s">
        <v>38</v>
      </c>
      <c r="T544" s="2">
        <f>'SUPUESTOS PRECIOS'!$B$9</f>
        <v>0</v>
      </c>
      <c r="U544" s="3">
        <f>'SUPUESTOS PRECIOS'!$B$5/'SUPUESTOS PRECIOS'!$B$4</f>
        <v>1000</v>
      </c>
      <c r="V544" s="3">
        <f>('SUPUESTOS PRECIOS'!$B$6-'SUPUESTOS PRECIOS'!$B$7)/'SUPUESTOS PRECIOS'!$B$4</f>
        <v>377.5</v>
      </c>
      <c r="W544" s="4">
        <f>'SUPUESTOS PRECIOS'!$B$8</f>
        <v>9.6799999999999994E-3</v>
      </c>
      <c r="X544" s="4">
        <f>'SUPUESTOS PRECIOS'!$B$2</f>
        <v>0.4</v>
      </c>
      <c r="Y544" s="3" t="str">
        <f t="shared" si="33"/>
        <v/>
      </c>
      <c r="Z544" s="3" t="str">
        <f t="shared" si="34"/>
        <v/>
      </c>
      <c r="AA544" s="11" t="str">
        <f t="shared" si="35"/>
        <v/>
      </c>
    </row>
    <row r="545" spans="1:27" x14ac:dyDescent="0.35">
      <c r="A545" s="10" t="s">
        <v>1668</v>
      </c>
      <c r="F545" t="s">
        <v>1358</v>
      </c>
      <c r="K545">
        <v>1</v>
      </c>
      <c r="L545" t="str">
        <f t="shared" si="32"/>
        <v/>
      </c>
      <c r="O545" t="s">
        <v>38</v>
      </c>
      <c r="T545" s="2">
        <f>'SUPUESTOS PRECIOS'!$B$9</f>
        <v>0</v>
      </c>
      <c r="U545" s="3">
        <f>'SUPUESTOS PRECIOS'!$B$5/'SUPUESTOS PRECIOS'!$B$4</f>
        <v>1000</v>
      </c>
      <c r="V545" s="3">
        <f>('SUPUESTOS PRECIOS'!$B$6-'SUPUESTOS PRECIOS'!$B$7)/'SUPUESTOS PRECIOS'!$B$4</f>
        <v>377.5</v>
      </c>
      <c r="W545" s="4">
        <f>'SUPUESTOS PRECIOS'!$B$8</f>
        <v>9.6799999999999994E-3</v>
      </c>
      <c r="X545" s="4">
        <f>'SUPUESTOS PRECIOS'!$B$2</f>
        <v>0.4</v>
      </c>
      <c r="Y545" s="3" t="str">
        <f t="shared" si="33"/>
        <v/>
      </c>
      <c r="Z545" s="3" t="str">
        <f t="shared" si="34"/>
        <v/>
      </c>
      <c r="AA545" s="11" t="str">
        <f t="shared" si="35"/>
        <v/>
      </c>
    </row>
    <row r="546" spans="1:27" x14ac:dyDescent="0.35">
      <c r="A546" s="10" t="s">
        <v>1669</v>
      </c>
      <c r="F546" t="s">
        <v>1358</v>
      </c>
      <c r="K546">
        <v>1</v>
      </c>
      <c r="L546" t="str">
        <f t="shared" si="32"/>
        <v/>
      </c>
      <c r="O546" t="s">
        <v>38</v>
      </c>
      <c r="T546" s="2">
        <f>'SUPUESTOS PRECIOS'!$B$9</f>
        <v>0</v>
      </c>
      <c r="U546" s="3">
        <f>'SUPUESTOS PRECIOS'!$B$5/'SUPUESTOS PRECIOS'!$B$4</f>
        <v>1000</v>
      </c>
      <c r="V546" s="3">
        <f>('SUPUESTOS PRECIOS'!$B$6-'SUPUESTOS PRECIOS'!$B$7)/'SUPUESTOS PRECIOS'!$B$4</f>
        <v>377.5</v>
      </c>
      <c r="W546" s="4">
        <f>'SUPUESTOS PRECIOS'!$B$8</f>
        <v>9.6799999999999994E-3</v>
      </c>
      <c r="X546" s="4">
        <f>'SUPUESTOS PRECIOS'!$B$2</f>
        <v>0.4</v>
      </c>
      <c r="Y546" s="3" t="str">
        <f t="shared" si="33"/>
        <v/>
      </c>
      <c r="Z546" s="3" t="str">
        <f t="shared" si="34"/>
        <v/>
      </c>
      <c r="AA546" s="11" t="str">
        <f t="shared" si="35"/>
        <v/>
      </c>
    </row>
    <row r="547" spans="1:27" x14ac:dyDescent="0.35">
      <c r="A547" s="10" t="s">
        <v>1670</v>
      </c>
      <c r="F547" t="s">
        <v>1358</v>
      </c>
      <c r="K547">
        <v>1</v>
      </c>
      <c r="L547" t="str">
        <f t="shared" si="32"/>
        <v/>
      </c>
      <c r="O547" t="s">
        <v>38</v>
      </c>
      <c r="T547" s="2">
        <f>'SUPUESTOS PRECIOS'!$B$9</f>
        <v>0</v>
      </c>
      <c r="U547" s="3">
        <f>'SUPUESTOS PRECIOS'!$B$5/'SUPUESTOS PRECIOS'!$B$4</f>
        <v>1000</v>
      </c>
      <c r="V547" s="3">
        <f>('SUPUESTOS PRECIOS'!$B$6-'SUPUESTOS PRECIOS'!$B$7)/'SUPUESTOS PRECIOS'!$B$4</f>
        <v>377.5</v>
      </c>
      <c r="W547" s="4">
        <f>'SUPUESTOS PRECIOS'!$B$8</f>
        <v>9.6799999999999994E-3</v>
      </c>
      <c r="X547" s="4">
        <f>'SUPUESTOS PRECIOS'!$B$2</f>
        <v>0.4</v>
      </c>
      <c r="Y547" s="3" t="str">
        <f t="shared" si="33"/>
        <v/>
      </c>
      <c r="Z547" s="3" t="str">
        <f t="shared" si="34"/>
        <v/>
      </c>
      <c r="AA547" s="11" t="str">
        <f t="shared" si="35"/>
        <v/>
      </c>
    </row>
    <row r="548" spans="1:27" x14ac:dyDescent="0.35">
      <c r="A548" s="10" t="s">
        <v>1671</v>
      </c>
      <c r="F548" t="s">
        <v>1358</v>
      </c>
      <c r="K548">
        <v>1</v>
      </c>
      <c r="L548" t="str">
        <f t="shared" si="32"/>
        <v/>
      </c>
      <c r="O548" t="s">
        <v>38</v>
      </c>
      <c r="T548" s="2">
        <f>'SUPUESTOS PRECIOS'!$B$9</f>
        <v>0</v>
      </c>
      <c r="U548" s="3">
        <f>'SUPUESTOS PRECIOS'!$B$5/'SUPUESTOS PRECIOS'!$B$4</f>
        <v>1000</v>
      </c>
      <c r="V548" s="3">
        <f>('SUPUESTOS PRECIOS'!$B$6-'SUPUESTOS PRECIOS'!$B$7)/'SUPUESTOS PRECIOS'!$B$4</f>
        <v>377.5</v>
      </c>
      <c r="W548" s="4">
        <f>'SUPUESTOS PRECIOS'!$B$8</f>
        <v>9.6799999999999994E-3</v>
      </c>
      <c r="X548" s="4">
        <f>'SUPUESTOS PRECIOS'!$B$2</f>
        <v>0.4</v>
      </c>
      <c r="Y548" s="3" t="str">
        <f t="shared" si="33"/>
        <v/>
      </c>
      <c r="Z548" s="3" t="str">
        <f t="shared" si="34"/>
        <v/>
      </c>
      <c r="AA548" s="11" t="str">
        <f t="shared" si="35"/>
        <v/>
      </c>
    </row>
    <row r="549" spans="1:27" x14ac:dyDescent="0.35">
      <c r="A549" s="10" t="s">
        <v>1672</v>
      </c>
      <c r="F549" t="s">
        <v>1358</v>
      </c>
      <c r="K549">
        <v>1</v>
      </c>
      <c r="L549" t="str">
        <f t="shared" si="32"/>
        <v/>
      </c>
      <c r="O549" t="s">
        <v>38</v>
      </c>
      <c r="T549" s="2">
        <f>'SUPUESTOS PRECIOS'!$B$9</f>
        <v>0</v>
      </c>
      <c r="U549" s="3">
        <f>'SUPUESTOS PRECIOS'!$B$5/'SUPUESTOS PRECIOS'!$B$4</f>
        <v>1000</v>
      </c>
      <c r="V549" s="3">
        <f>('SUPUESTOS PRECIOS'!$B$6-'SUPUESTOS PRECIOS'!$B$7)/'SUPUESTOS PRECIOS'!$B$4</f>
        <v>377.5</v>
      </c>
      <c r="W549" s="4">
        <f>'SUPUESTOS PRECIOS'!$B$8</f>
        <v>9.6799999999999994E-3</v>
      </c>
      <c r="X549" s="4">
        <f>'SUPUESTOS PRECIOS'!$B$2</f>
        <v>0.4</v>
      </c>
      <c r="Y549" s="3" t="str">
        <f t="shared" si="33"/>
        <v/>
      </c>
      <c r="Z549" s="3" t="str">
        <f t="shared" si="34"/>
        <v/>
      </c>
      <c r="AA549" s="11" t="str">
        <f t="shared" si="35"/>
        <v/>
      </c>
    </row>
    <row r="550" spans="1:27" x14ac:dyDescent="0.35">
      <c r="A550" s="10" t="s">
        <v>1673</v>
      </c>
      <c r="F550" t="s">
        <v>1358</v>
      </c>
      <c r="K550">
        <v>1</v>
      </c>
      <c r="L550" t="str">
        <f t="shared" si="32"/>
        <v/>
      </c>
      <c r="O550" t="s">
        <v>38</v>
      </c>
      <c r="T550" s="2">
        <f>'SUPUESTOS PRECIOS'!$B$9</f>
        <v>0</v>
      </c>
      <c r="U550" s="3">
        <f>'SUPUESTOS PRECIOS'!$B$5/'SUPUESTOS PRECIOS'!$B$4</f>
        <v>1000</v>
      </c>
      <c r="V550" s="3">
        <f>('SUPUESTOS PRECIOS'!$B$6-'SUPUESTOS PRECIOS'!$B$7)/'SUPUESTOS PRECIOS'!$B$4</f>
        <v>377.5</v>
      </c>
      <c r="W550" s="4">
        <f>'SUPUESTOS PRECIOS'!$B$8</f>
        <v>9.6799999999999994E-3</v>
      </c>
      <c r="X550" s="4">
        <f>'SUPUESTOS PRECIOS'!$B$2</f>
        <v>0.4</v>
      </c>
      <c r="Y550" s="3" t="str">
        <f t="shared" si="33"/>
        <v/>
      </c>
      <c r="Z550" s="3" t="str">
        <f t="shared" si="34"/>
        <v/>
      </c>
      <c r="AA550" s="11" t="str">
        <f t="shared" si="35"/>
        <v/>
      </c>
    </row>
    <row r="551" spans="1:27" x14ac:dyDescent="0.35">
      <c r="A551" s="10" t="s">
        <v>1674</v>
      </c>
      <c r="F551" t="s">
        <v>1358</v>
      </c>
      <c r="K551">
        <v>1</v>
      </c>
      <c r="L551" t="str">
        <f t="shared" si="32"/>
        <v/>
      </c>
      <c r="O551" t="s">
        <v>38</v>
      </c>
      <c r="T551" s="2">
        <f>'SUPUESTOS PRECIOS'!$B$9</f>
        <v>0</v>
      </c>
      <c r="U551" s="3">
        <f>'SUPUESTOS PRECIOS'!$B$5/'SUPUESTOS PRECIOS'!$B$4</f>
        <v>1000</v>
      </c>
      <c r="V551" s="3">
        <f>('SUPUESTOS PRECIOS'!$B$6-'SUPUESTOS PRECIOS'!$B$7)/'SUPUESTOS PRECIOS'!$B$4</f>
        <v>377.5</v>
      </c>
      <c r="W551" s="4">
        <f>'SUPUESTOS PRECIOS'!$B$8</f>
        <v>9.6799999999999994E-3</v>
      </c>
      <c r="X551" s="4">
        <f>'SUPUESTOS PRECIOS'!$B$2</f>
        <v>0.4</v>
      </c>
      <c r="Y551" s="3" t="str">
        <f t="shared" si="33"/>
        <v/>
      </c>
      <c r="Z551" s="3" t="str">
        <f t="shared" si="34"/>
        <v/>
      </c>
      <c r="AA551" s="11" t="str">
        <f t="shared" si="35"/>
        <v/>
      </c>
    </row>
    <row r="552" spans="1:27" x14ac:dyDescent="0.35">
      <c r="A552" s="10" t="s">
        <v>1675</v>
      </c>
      <c r="F552" t="s">
        <v>1358</v>
      </c>
      <c r="K552">
        <v>1</v>
      </c>
      <c r="L552" t="str">
        <f t="shared" si="32"/>
        <v/>
      </c>
      <c r="O552" t="s">
        <v>38</v>
      </c>
      <c r="T552" s="2">
        <f>'SUPUESTOS PRECIOS'!$B$9</f>
        <v>0</v>
      </c>
      <c r="U552" s="3">
        <f>'SUPUESTOS PRECIOS'!$B$5/'SUPUESTOS PRECIOS'!$B$4</f>
        <v>1000</v>
      </c>
      <c r="V552" s="3">
        <f>('SUPUESTOS PRECIOS'!$B$6-'SUPUESTOS PRECIOS'!$B$7)/'SUPUESTOS PRECIOS'!$B$4</f>
        <v>377.5</v>
      </c>
      <c r="W552" s="4">
        <f>'SUPUESTOS PRECIOS'!$B$8</f>
        <v>9.6799999999999994E-3</v>
      </c>
      <c r="X552" s="4">
        <f>'SUPUESTOS PRECIOS'!$B$2</f>
        <v>0.4</v>
      </c>
      <c r="Y552" s="3" t="str">
        <f t="shared" si="33"/>
        <v/>
      </c>
      <c r="Z552" s="3" t="str">
        <f t="shared" si="34"/>
        <v/>
      </c>
      <c r="AA552" s="11" t="str">
        <f t="shared" si="35"/>
        <v/>
      </c>
    </row>
    <row r="553" spans="1:27" x14ac:dyDescent="0.35">
      <c r="A553" s="10" t="s">
        <v>1676</v>
      </c>
      <c r="F553" t="s">
        <v>1358</v>
      </c>
      <c r="K553">
        <v>1</v>
      </c>
      <c r="L553" t="str">
        <f t="shared" si="32"/>
        <v/>
      </c>
      <c r="O553" t="s">
        <v>38</v>
      </c>
      <c r="T553" s="2">
        <f>'SUPUESTOS PRECIOS'!$B$9</f>
        <v>0</v>
      </c>
      <c r="U553" s="3">
        <f>'SUPUESTOS PRECIOS'!$B$5/'SUPUESTOS PRECIOS'!$B$4</f>
        <v>1000</v>
      </c>
      <c r="V553" s="3">
        <f>('SUPUESTOS PRECIOS'!$B$6-'SUPUESTOS PRECIOS'!$B$7)/'SUPUESTOS PRECIOS'!$B$4</f>
        <v>377.5</v>
      </c>
      <c r="W553" s="4">
        <f>'SUPUESTOS PRECIOS'!$B$8</f>
        <v>9.6799999999999994E-3</v>
      </c>
      <c r="X553" s="4">
        <f>'SUPUESTOS PRECIOS'!$B$2</f>
        <v>0.4</v>
      </c>
      <c r="Y553" s="3" t="str">
        <f t="shared" si="33"/>
        <v/>
      </c>
      <c r="Z553" s="3" t="str">
        <f t="shared" si="34"/>
        <v/>
      </c>
      <c r="AA553" s="11" t="str">
        <f t="shared" si="35"/>
        <v/>
      </c>
    </row>
    <row r="554" spans="1:27" x14ac:dyDescent="0.35">
      <c r="A554" s="10" t="s">
        <v>1677</v>
      </c>
      <c r="F554" t="s">
        <v>1358</v>
      </c>
      <c r="K554">
        <v>1</v>
      </c>
      <c r="L554" t="str">
        <f t="shared" si="32"/>
        <v/>
      </c>
      <c r="O554" t="s">
        <v>38</v>
      </c>
      <c r="T554" s="2">
        <f>'SUPUESTOS PRECIOS'!$B$9</f>
        <v>0</v>
      </c>
      <c r="U554" s="3">
        <f>'SUPUESTOS PRECIOS'!$B$5/'SUPUESTOS PRECIOS'!$B$4</f>
        <v>1000</v>
      </c>
      <c r="V554" s="3">
        <f>('SUPUESTOS PRECIOS'!$B$6-'SUPUESTOS PRECIOS'!$B$7)/'SUPUESTOS PRECIOS'!$B$4</f>
        <v>377.5</v>
      </c>
      <c r="W554" s="4">
        <f>'SUPUESTOS PRECIOS'!$B$8</f>
        <v>9.6799999999999994E-3</v>
      </c>
      <c r="X554" s="4">
        <f>'SUPUESTOS PRECIOS'!$B$2</f>
        <v>0.4</v>
      </c>
      <c r="Y554" s="3" t="str">
        <f t="shared" si="33"/>
        <v/>
      </c>
      <c r="Z554" s="3" t="str">
        <f t="shared" si="34"/>
        <v/>
      </c>
      <c r="AA554" s="11" t="str">
        <f t="shared" si="35"/>
        <v/>
      </c>
    </row>
    <row r="555" spans="1:27" x14ac:dyDescent="0.35">
      <c r="A555" s="10" t="s">
        <v>1678</v>
      </c>
      <c r="F555" t="s">
        <v>1358</v>
      </c>
      <c r="K555">
        <v>1</v>
      </c>
      <c r="L555" t="str">
        <f t="shared" si="32"/>
        <v/>
      </c>
      <c r="O555" t="s">
        <v>38</v>
      </c>
      <c r="T555" s="2">
        <f>'SUPUESTOS PRECIOS'!$B$9</f>
        <v>0</v>
      </c>
      <c r="U555" s="3">
        <f>'SUPUESTOS PRECIOS'!$B$5/'SUPUESTOS PRECIOS'!$B$4</f>
        <v>1000</v>
      </c>
      <c r="V555" s="3">
        <f>('SUPUESTOS PRECIOS'!$B$6-'SUPUESTOS PRECIOS'!$B$7)/'SUPUESTOS PRECIOS'!$B$4</f>
        <v>377.5</v>
      </c>
      <c r="W555" s="4">
        <f>'SUPUESTOS PRECIOS'!$B$8</f>
        <v>9.6799999999999994E-3</v>
      </c>
      <c r="X555" s="4">
        <f>'SUPUESTOS PRECIOS'!$B$2</f>
        <v>0.4</v>
      </c>
      <c r="Y555" s="3" t="str">
        <f t="shared" si="33"/>
        <v/>
      </c>
      <c r="Z555" s="3" t="str">
        <f t="shared" si="34"/>
        <v/>
      </c>
      <c r="AA555" s="11" t="str">
        <f t="shared" si="35"/>
        <v/>
      </c>
    </row>
    <row r="556" spans="1:27" x14ac:dyDescent="0.35">
      <c r="A556" s="10" t="s">
        <v>1679</v>
      </c>
      <c r="F556" t="s">
        <v>1358</v>
      </c>
      <c r="K556">
        <v>1</v>
      </c>
      <c r="L556" t="str">
        <f t="shared" si="32"/>
        <v/>
      </c>
      <c r="O556" t="s">
        <v>38</v>
      </c>
      <c r="T556" s="2">
        <f>'SUPUESTOS PRECIOS'!$B$9</f>
        <v>0</v>
      </c>
      <c r="U556" s="3">
        <f>'SUPUESTOS PRECIOS'!$B$5/'SUPUESTOS PRECIOS'!$B$4</f>
        <v>1000</v>
      </c>
      <c r="V556" s="3">
        <f>('SUPUESTOS PRECIOS'!$B$6-'SUPUESTOS PRECIOS'!$B$7)/'SUPUESTOS PRECIOS'!$B$4</f>
        <v>377.5</v>
      </c>
      <c r="W556" s="4">
        <f>'SUPUESTOS PRECIOS'!$B$8</f>
        <v>9.6799999999999994E-3</v>
      </c>
      <c r="X556" s="4">
        <f>'SUPUESTOS PRECIOS'!$B$2</f>
        <v>0.4</v>
      </c>
      <c r="Y556" s="3" t="str">
        <f t="shared" si="33"/>
        <v/>
      </c>
      <c r="Z556" s="3" t="str">
        <f t="shared" si="34"/>
        <v/>
      </c>
      <c r="AA556" s="11" t="str">
        <f t="shared" si="35"/>
        <v/>
      </c>
    </row>
    <row r="557" spans="1:27" x14ac:dyDescent="0.35">
      <c r="A557" s="10" t="s">
        <v>1680</v>
      </c>
      <c r="F557" t="s">
        <v>1358</v>
      </c>
      <c r="K557">
        <v>1</v>
      </c>
      <c r="L557" t="str">
        <f t="shared" si="32"/>
        <v/>
      </c>
      <c r="O557" t="s">
        <v>38</v>
      </c>
      <c r="T557" s="2">
        <f>'SUPUESTOS PRECIOS'!$B$9</f>
        <v>0</v>
      </c>
      <c r="U557" s="3">
        <f>'SUPUESTOS PRECIOS'!$B$5/'SUPUESTOS PRECIOS'!$B$4</f>
        <v>1000</v>
      </c>
      <c r="V557" s="3">
        <f>('SUPUESTOS PRECIOS'!$B$6-'SUPUESTOS PRECIOS'!$B$7)/'SUPUESTOS PRECIOS'!$B$4</f>
        <v>377.5</v>
      </c>
      <c r="W557" s="4">
        <f>'SUPUESTOS PRECIOS'!$B$8</f>
        <v>9.6799999999999994E-3</v>
      </c>
      <c r="X557" s="4">
        <f>'SUPUESTOS PRECIOS'!$B$2</f>
        <v>0.4</v>
      </c>
      <c r="Y557" s="3" t="str">
        <f t="shared" si="33"/>
        <v/>
      </c>
      <c r="Z557" s="3" t="str">
        <f t="shared" si="34"/>
        <v/>
      </c>
      <c r="AA557" s="11" t="str">
        <f t="shared" si="35"/>
        <v/>
      </c>
    </row>
    <row r="558" spans="1:27" x14ac:dyDescent="0.35">
      <c r="A558" s="10" t="s">
        <v>1681</v>
      </c>
      <c r="F558" t="s">
        <v>1358</v>
      </c>
      <c r="K558">
        <v>1</v>
      </c>
      <c r="L558" t="str">
        <f t="shared" si="32"/>
        <v/>
      </c>
      <c r="O558" t="s">
        <v>38</v>
      </c>
      <c r="T558" s="2">
        <f>'SUPUESTOS PRECIOS'!$B$9</f>
        <v>0</v>
      </c>
      <c r="U558" s="3">
        <f>'SUPUESTOS PRECIOS'!$B$5/'SUPUESTOS PRECIOS'!$B$4</f>
        <v>1000</v>
      </c>
      <c r="V558" s="3">
        <f>('SUPUESTOS PRECIOS'!$B$6-'SUPUESTOS PRECIOS'!$B$7)/'SUPUESTOS PRECIOS'!$B$4</f>
        <v>377.5</v>
      </c>
      <c r="W558" s="4">
        <f>'SUPUESTOS PRECIOS'!$B$8</f>
        <v>9.6799999999999994E-3</v>
      </c>
      <c r="X558" s="4">
        <f>'SUPUESTOS PRECIOS'!$B$2</f>
        <v>0.4</v>
      </c>
      <c r="Y558" s="3" t="str">
        <f t="shared" si="33"/>
        <v/>
      </c>
      <c r="Z558" s="3" t="str">
        <f t="shared" si="34"/>
        <v/>
      </c>
      <c r="AA558" s="11" t="str">
        <f t="shared" si="35"/>
        <v/>
      </c>
    </row>
    <row r="559" spans="1:27" x14ac:dyDescent="0.35">
      <c r="A559" s="10" t="s">
        <v>1682</v>
      </c>
      <c r="F559" t="s">
        <v>1358</v>
      </c>
      <c r="K559">
        <v>1</v>
      </c>
      <c r="L559" t="str">
        <f t="shared" si="32"/>
        <v/>
      </c>
      <c r="O559" t="s">
        <v>38</v>
      </c>
      <c r="T559" s="2">
        <f>'SUPUESTOS PRECIOS'!$B$9</f>
        <v>0</v>
      </c>
      <c r="U559" s="3">
        <f>'SUPUESTOS PRECIOS'!$B$5/'SUPUESTOS PRECIOS'!$B$4</f>
        <v>1000</v>
      </c>
      <c r="V559" s="3">
        <f>('SUPUESTOS PRECIOS'!$B$6-'SUPUESTOS PRECIOS'!$B$7)/'SUPUESTOS PRECIOS'!$B$4</f>
        <v>377.5</v>
      </c>
      <c r="W559" s="4">
        <f>'SUPUESTOS PRECIOS'!$B$8</f>
        <v>9.6799999999999994E-3</v>
      </c>
      <c r="X559" s="4">
        <f>'SUPUESTOS PRECIOS'!$B$2</f>
        <v>0.4</v>
      </c>
      <c r="Y559" s="3" t="str">
        <f t="shared" si="33"/>
        <v/>
      </c>
      <c r="Z559" s="3" t="str">
        <f t="shared" si="34"/>
        <v/>
      </c>
      <c r="AA559" s="11" t="str">
        <f t="shared" si="35"/>
        <v/>
      </c>
    </row>
    <row r="560" spans="1:27" x14ac:dyDescent="0.35">
      <c r="A560" s="10" t="s">
        <v>1683</v>
      </c>
      <c r="F560" t="s">
        <v>1358</v>
      </c>
      <c r="K560">
        <v>1</v>
      </c>
      <c r="L560" t="str">
        <f t="shared" si="32"/>
        <v/>
      </c>
      <c r="O560" t="s">
        <v>38</v>
      </c>
      <c r="T560" s="2">
        <f>'SUPUESTOS PRECIOS'!$B$9</f>
        <v>0</v>
      </c>
      <c r="U560" s="3">
        <f>'SUPUESTOS PRECIOS'!$B$5/'SUPUESTOS PRECIOS'!$B$4</f>
        <v>1000</v>
      </c>
      <c r="V560" s="3">
        <f>('SUPUESTOS PRECIOS'!$B$6-'SUPUESTOS PRECIOS'!$B$7)/'SUPUESTOS PRECIOS'!$B$4</f>
        <v>377.5</v>
      </c>
      <c r="W560" s="4">
        <f>'SUPUESTOS PRECIOS'!$B$8</f>
        <v>9.6799999999999994E-3</v>
      </c>
      <c r="X560" s="4">
        <f>'SUPUESTOS PRECIOS'!$B$2</f>
        <v>0.4</v>
      </c>
      <c r="Y560" s="3" t="str">
        <f t="shared" si="33"/>
        <v/>
      </c>
      <c r="Z560" s="3" t="str">
        <f t="shared" si="34"/>
        <v/>
      </c>
      <c r="AA560" s="11" t="str">
        <f t="shared" si="35"/>
        <v/>
      </c>
    </row>
    <row r="561" spans="1:27" x14ac:dyDescent="0.35">
      <c r="A561" s="10" t="s">
        <v>1684</v>
      </c>
      <c r="F561" t="s">
        <v>1358</v>
      </c>
      <c r="K561">
        <v>1</v>
      </c>
      <c r="L561" t="str">
        <f t="shared" si="32"/>
        <v/>
      </c>
      <c r="O561" t="s">
        <v>38</v>
      </c>
      <c r="T561" s="2">
        <f>'SUPUESTOS PRECIOS'!$B$9</f>
        <v>0</v>
      </c>
      <c r="U561" s="3">
        <f>'SUPUESTOS PRECIOS'!$B$5/'SUPUESTOS PRECIOS'!$B$4</f>
        <v>1000</v>
      </c>
      <c r="V561" s="3">
        <f>('SUPUESTOS PRECIOS'!$B$6-'SUPUESTOS PRECIOS'!$B$7)/'SUPUESTOS PRECIOS'!$B$4</f>
        <v>377.5</v>
      </c>
      <c r="W561" s="4">
        <f>'SUPUESTOS PRECIOS'!$B$8</f>
        <v>9.6799999999999994E-3</v>
      </c>
      <c r="X561" s="4">
        <f>'SUPUESTOS PRECIOS'!$B$2</f>
        <v>0.4</v>
      </c>
      <c r="Y561" s="3" t="str">
        <f t="shared" si="33"/>
        <v/>
      </c>
      <c r="Z561" s="3" t="str">
        <f t="shared" si="34"/>
        <v/>
      </c>
      <c r="AA561" s="11" t="str">
        <f t="shared" si="35"/>
        <v/>
      </c>
    </row>
    <row r="562" spans="1:27" x14ac:dyDescent="0.35">
      <c r="A562" s="10" t="s">
        <v>1685</v>
      </c>
      <c r="F562" t="s">
        <v>1358</v>
      </c>
      <c r="K562">
        <v>1</v>
      </c>
      <c r="L562" t="str">
        <f t="shared" si="32"/>
        <v/>
      </c>
      <c r="O562" t="s">
        <v>38</v>
      </c>
      <c r="T562" s="2">
        <f>'SUPUESTOS PRECIOS'!$B$9</f>
        <v>0</v>
      </c>
      <c r="U562" s="3">
        <f>'SUPUESTOS PRECIOS'!$B$5/'SUPUESTOS PRECIOS'!$B$4</f>
        <v>1000</v>
      </c>
      <c r="V562" s="3">
        <f>('SUPUESTOS PRECIOS'!$B$6-'SUPUESTOS PRECIOS'!$B$7)/'SUPUESTOS PRECIOS'!$B$4</f>
        <v>377.5</v>
      </c>
      <c r="W562" s="4">
        <f>'SUPUESTOS PRECIOS'!$B$8</f>
        <v>9.6799999999999994E-3</v>
      </c>
      <c r="X562" s="4">
        <f>'SUPUESTOS PRECIOS'!$B$2</f>
        <v>0.4</v>
      </c>
      <c r="Y562" s="3" t="str">
        <f t="shared" si="33"/>
        <v/>
      </c>
      <c r="Z562" s="3" t="str">
        <f t="shared" si="34"/>
        <v/>
      </c>
      <c r="AA562" s="11" t="str">
        <f t="shared" si="35"/>
        <v/>
      </c>
    </row>
    <row r="563" spans="1:27" x14ac:dyDescent="0.35">
      <c r="A563" s="10" t="s">
        <v>1686</v>
      </c>
      <c r="F563" t="s">
        <v>1358</v>
      </c>
      <c r="K563">
        <v>1</v>
      </c>
      <c r="L563" t="str">
        <f t="shared" si="32"/>
        <v/>
      </c>
      <c r="O563" t="s">
        <v>38</v>
      </c>
      <c r="T563" s="2">
        <f>'SUPUESTOS PRECIOS'!$B$9</f>
        <v>0</v>
      </c>
      <c r="U563" s="3">
        <f>'SUPUESTOS PRECIOS'!$B$5/'SUPUESTOS PRECIOS'!$B$4</f>
        <v>1000</v>
      </c>
      <c r="V563" s="3">
        <f>('SUPUESTOS PRECIOS'!$B$6-'SUPUESTOS PRECIOS'!$B$7)/'SUPUESTOS PRECIOS'!$B$4</f>
        <v>377.5</v>
      </c>
      <c r="W563" s="4">
        <f>'SUPUESTOS PRECIOS'!$B$8</f>
        <v>9.6799999999999994E-3</v>
      </c>
      <c r="X563" s="4">
        <f>'SUPUESTOS PRECIOS'!$B$2</f>
        <v>0.4</v>
      </c>
      <c r="Y563" s="3" t="str">
        <f t="shared" si="33"/>
        <v/>
      </c>
      <c r="Z563" s="3" t="str">
        <f t="shared" si="34"/>
        <v/>
      </c>
      <c r="AA563" s="11" t="str">
        <f t="shared" si="35"/>
        <v/>
      </c>
    </row>
    <row r="564" spans="1:27" x14ac:dyDescent="0.35">
      <c r="A564" s="10" t="s">
        <v>1687</v>
      </c>
      <c r="F564" t="s">
        <v>1358</v>
      </c>
      <c r="K564">
        <v>1</v>
      </c>
      <c r="L564" t="str">
        <f t="shared" si="32"/>
        <v/>
      </c>
      <c r="O564" t="s">
        <v>38</v>
      </c>
      <c r="T564" s="2">
        <f>'SUPUESTOS PRECIOS'!$B$9</f>
        <v>0</v>
      </c>
      <c r="U564" s="3">
        <f>'SUPUESTOS PRECIOS'!$B$5/'SUPUESTOS PRECIOS'!$B$4</f>
        <v>1000</v>
      </c>
      <c r="V564" s="3">
        <f>('SUPUESTOS PRECIOS'!$B$6-'SUPUESTOS PRECIOS'!$B$7)/'SUPUESTOS PRECIOS'!$B$4</f>
        <v>377.5</v>
      </c>
      <c r="W564" s="4">
        <f>'SUPUESTOS PRECIOS'!$B$8</f>
        <v>9.6799999999999994E-3</v>
      </c>
      <c r="X564" s="4">
        <f>'SUPUESTOS PRECIOS'!$B$2</f>
        <v>0.4</v>
      </c>
      <c r="Y564" s="3" t="str">
        <f t="shared" si="33"/>
        <v/>
      </c>
      <c r="Z564" s="3" t="str">
        <f t="shared" si="34"/>
        <v/>
      </c>
      <c r="AA564" s="11" t="str">
        <f t="shared" si="35"/>
        <v/>
      </c>
    </row>
    <row r="565" spans="1:27" x14ac:dyDescent="0.35">
      <c r="A565" s="10" t="s">
        <v>1688</v>
      </c>
      <c r="F565" t="s">
        <v>1358</v>
      </c>
      <c r="K565">
        <v>1</v>
      </c>
      <c r="L565" t="str">
        <f t="shared" si="32"/>
        <v/>
      </c>
      <c r="O565" t="s">
        <v>38</v>
      </c>
      <c r="T565" s="2">
        <f>'SUPUESTOS PRECIOS'!$B$9</f>
        <v>0</v>
      </c>
      <c r="U565" s="3">
        <f>'SUPUESTOS PRECIOS'!$B$5/'SUPUESTOS PRECIOS'!$B$4</f>
        <v>1000</v>
      </c>
      <c r="V565" s="3">
        <f>('SUPUESTOS PRECIOS'!$B$6-'SUPUESTOS PRECIOS'!$B$7)/'SUPUESTOS PRECIOS'!$B$4</f>
        <v>377.5</v>
      </c>
      <c r="W565" s="4">
        <f>'SUPUESTOS PRECIOS'!$B$8</f>
        <v>9.6799999999999994E-3</v>
      </c>
      <c r="X565" s="4">
        <f>'SUPUESTOS PRECIOS'!$B$2</f>
        <v>0.4</v>
      </c>
      <c r="Y565" s="3" t="str">
        <f t="shared" si="33"/>
        <v/>
      </c>
      <c r="Z565" s="3" t="str">
        <f t="shared" si="34"/>
        <v/>
      </c>
      <c r="AA565" s="11" t="str">
        <f t="shared" si="35"/>
        <v/>
      </c>
    </row>
    <row r="566" spans="1:27" x14ac:dyDescent="0.35">
      <c r="A566" s="10" t="s">
        <v>1689</v>
      </c>
      <c r="F566" t="s">
        <v>1358</v>
      </c>
      <c r="K566">
        <v>1</v>
      </c>
      <c r="L566" t="str">
        <f t="shared" si="32"/>
        <v/>
      </c>
      <c r="O566" t="s">
        <v>38</v>
      </c>
      <c r="T566" s="2">
        <f>'SUPUESTOS PRECIOS'!$B$9</f>
        <v>0</v>
      </c>
      <c r="U566" s="3">
        <f>'SUPUESTOS PRECIOS'!$B$5/'SUPUESTOS PRECIOS'!$B$4</f>
        <v>1000</v>
      </c>
      <c r="V566" s="3">
        <f>('SUPUESTOS PRECIOS'!$B$6-'SUPUESTOS PRECIOS'!$B$7)/'SUPUESTOS PRECIOS'!$B$4</f>
        <v>377.5</v>
      </c>
      <c r="W566" s="4">
        <f>'SUPUESTOS PRECIOS'!$B$8</f>
        <v>9.6799999999999994E-3</v>
      </c>
      <c r="X566" s="4">
        <f>'SUPUESTOS PRECIOS'!$B$2</f>
        <v>0.4</v>
      </c>
      <c r="Y566" s="3" t="str">
        <f t="shared" si="33"/>
        <v/>
      </c>
      <c r="Z566" s="3" t="str">
        <f t="shared" si="34"/>
        <v/>
      </c>
      <c r="AA566" s="11" t="str">
        <f t="shared" si="35"/>
        <v/>
      </c>
    </row>
    <row r="567" spans="1:27" x14ac:dyDescent="0.35">
      <c r="A567" s="10" t="s">
        <v>1690</v>
      </c>
      <c r="F567" t="s">
        <v>1358</v>
      </c>
      <c r="K567">
        <v>1</v>
      </c>
      <c r="L567" t="str">
        <f t="shared" si="32"/>
        <v/>
      </c>
      <c r="O567" t="s">
        <v>38</v>
      </c>
      <c r="T567" s="2">
        <f>'SUPUESTOS PRECIOS'!$B$9</f>
        <v>0</v>
      </c>
      <c r="U567" s="3">
        <f>'SUPUESTOS PRECIOS'!$B$5/'SUPUESTOS PRECIOS'!$B$4</f>
        <v>1000</v>
      </c>
      <c r="V567" s="3">
        <f>('SUPUESTOS PRECIOS'!$B$6-'SUPUESTOS PRECIOS'!$B$7)/'SUPUESTOS PRECIOS'!$B$4</f>
        <v>377.5</v>
      </c>
      <c r="W567" s="4">
        <f>'SUPUESTOS PRECIOS'!$B$8</f>
        <v>9.6799999999999994E-3</v>
      </c>
      <c r="X567" s="4">
        <f>'SUPUESTOS PRECIOS'!$B$2</f>
        <v>0.4</v>
      </c>
      <c r="Y567" s="3" t="str">
        <f t="shared" si="33"/>
        <v/>
      </c>
      <c r="Z567" s="3" t="str">
        <f t="shared" si="34"/>
        <v/>
      </c>
      <c r="AA567" s="11" t="str">
        <f t="shared" si="35"/>
        <v/>
      </c>
    </row>
    <row r="568" spans="1:27" x14ac:dyDescent="0.35">
      <c r="A568" s="10" t="s">
        <v>1691</v>
      </c>
      <c r="F568" t="s">
        <v>1358</v>
      </c>
      <c r="K568">
        <v>1</v>
      </c>
      <c r="L568" t="str">
        <f t="shared" si="32"/>
        <v/>
      </c>
      <c r="O568" t="s">
        <v>38</v>
      </c>
      <c r="T568" s="2">
        <f>'SUPUESTOS PRECIOS'!$B$9</f>
        <v>0</v>
      </c>
      <c r="U568" s="3">
        <f>'SUPUESTOS PRECIOS'!$B$5/'SUPUESTOS PRECIOS'!$B$4</f>
        <v>1000</v>
      </c>
      <c r="V568" s="3">
        <f>('SUPUESTOS PRECIOS'!$B$6-'SUPUESTOS PRECIOS'!$B$7)/'SUPUESTOS PRECIOS'!$B$4</f>
        <v>377.5</v>
      </c>
      <c r="W568" s="4">
        <f>'SUPUESTOS PRECIOS'!$B$8</f>
        <v>9.6799999999999994E-3</v>
      </c>
      <c r="X568" s="4">
        <f>'SUPUESTOS PRECIOS'!$B$2</f>
        <v>0.4</v>
      </c>
      <c r="Y568" s="3" t="str">
        <f t="shared" si="33"/>
        <v/>
      </c>
      <c r="Z568" s="3" t="str">
        <f t="shared" si="34"/>
        <v/>
      </c>
      <c r="AA568" s="11" t="str">
        <f t="shared" si="35"/>
        <v/>
      </c>
    </row>
    <row r="569" spans="1:27" x14ac:dyDescent="0.35">
      <c r="A569" s="10" t="s">
        <v>1692</v>
      </c>
      <c r="F569" t="s">
        <v>1358</v>
      </c>
      <c r="K569">
        <v>1</v>
      </c>
      <c r="L569" t="str">
        <f t="shared" si="32"/>
        <v/>
      </c>
      <c r="O569" t="s">
        <v>38</v>
      </c>
      <c r="T569" s="2">
        <f>'SUPUESTOS PRECIOS'!$B$9</f>
        <v>0</v>
      </c>
      <c r="U569" s="3">
        <f>'SUPUESTOS PRECIOS'!$B$5/'SUPUESTOS PRECIOS'!$B$4</f>
        <v>1000</v>
      </c>
      <c r="V569" s="3">
        <f>('SUPUESTOS PRECIOS'!$B$6-'SUPUESTOS PRECIOS'!$B$7)/'SUPUESTOS PRECIOS'!$B$4</f>
        <v>377.5</v>
      </c>
      <c r="W569" s="4">
        <f>'SUPUESTOS PRECIOS'!$B$8</f>
        <v>9.6799999999999994E-3</v>
      </c>
      <c r="X569" s="4">
        <f>'SUPUESTOS PRECIOS'!$B$2</f>
        <v>0.4</v>
      </c>
      <c r="Y569" s="3" t="str">
        <f t="shared" si="33"/>
        <v/>
      </c>
      <c r="Z569" s="3" t="str">
        <f t="shared" si="34"/>
        <v/>
      </c>
      <c r="AA569" s="11" t="str">
        <f t="shared" si="35"/>
        <v/>
      </c>
    </row>
    <row r="570" spans="1:27" x14ac:dyDescent="0.35">
      <c r="A570" s="10" t="s">
        <v>1693</v>
      </c>
      <c r="F570" t="s">
        <v>1358</v>
      </c>
      <c r="K570">
        <v>1</v>
      </c>
      <c r="L570" t="str">
        <f t="shared" si="32"/>
        <v/>
      </c>
      <c r="O570" t="s">
        <v>38</v>
      </c>
      <c r="T570" s="2">
        <f>'SUPUESTOS PRECIOS'!$B$9</f>
        <v>0</v>
      </c>
      <c r="U570" s="3">
        <f>'SUPUESTOS PRECIOS'!$B$5/'SUPUESTOS PRECIOS'!$B$4</f>
        <v>1000</v>
      </c>
      <c r="V570" s="3">
        <f>('SUPUESTOS PRECIOS'!$B$6-'SUPUESTOS PRECIOS'!$B$7)/'SUPUESTOS PRECIOS'!$B$4</f>
        <v>377.5</v>
      </c>
      <c r="W570" s="4">
        <f>'SUPUESTOS PRECIOS'!$B$8</f>
        <v>9.6799999999999994E-3</v>
      </c>
      <c r="X570" s="4">
        <f>'SUPUESTOS PRECIOS'!$B$2</f>
        <v>0.4</v>
      </c>
      <c r="Y570" s="3" t="str">
        <f t="shared" si="33"/>
        <v/>
      </c>
      <c r="Z570" s="3" t="str">
        <f t="shared" si="34"/>
        <v/>
      </c>
      <c r="AA570" s="11" t="str">
        <f t="shared" si="35"/>
        <v/>
      </c>
    </row>
    <row r="571" spans="1:27" x14ac:dyDescent="0.35">
      <c r="A571" s="10" t="s">
        <v>1694</v>
      </c>
      <c r="F571" t="s">
        <v>1358</v>
      </c>
      <c r="K571">
        <v>1</v>
      </c>
      <c r="L571" t="str">
        <f t="shared" si="32"/>
        <v/>
      </c>
      <c r="O571" t="s">
        <v>38</v>
      </c>
      <c r="T571" s="2">
        <f>'SUPUESTOS PRECIOS'!$B$9</f>
        <v>0</v>
      </c>
      <c r="U571" s="3">
        <f>'SUPUESTOS PRECIOS'!$B$5/'SUPUESTOS PRECIOS'!$B$4</f>
        <v>1000</v>
      </c>
      <c r="V571" s="3">
        <f>('SUPUESTOS PRECIOS'!$B$6-'SUPUESTOS PRECIOS'!$B$7)/'SUPUESTOS PRECIOS'!$B$4</f>
        <v>377.5</v>
      </c>
      <c r="W571" s="4">
        <f>'SUPUESTOS PRECIOS'!$B$8</f>
        <v>9.6799999999999994E-3</v>
      </c>
      <c r="X571" s="4">
        <f>'SUPUESTOS PRECIOS'!$B$2</f>
        <v>0.4</v>
      </c>
      <c r="Y571" s="3" t="str">
        <f t="shared" si="33"/>
        <v/>
      </c>
      <c r="Z571" s="3" t="str">
        <f t="shared" si="34"/>
        <v/>
      </c>
      <c r="AA571" s="11" t="str">
        <f t="shared" si="35"/>
        <v/>
      </c>
    </row>
    <row r="572" spans="1:27" x14ac:dyDescent="0.35">
      <c r="A572" s="10" t="s">
        <v>1695</v>
      </c>
      <c r="F572" t="s">
        <v>1358</v>
      </c>
      <c r="K572">
        <v>1</v>
      </c>
      <c r="L572" t="str">
        <f t="shared" si="32"/>
        <v/>
      </c>
      <c r="O572" t="s">
        <v>38</v>
      </c>
      <c r="T572" s="2">
        <f>'SUPUESTOS PRECIOS'!$B$9</f>
        <v>0</v>
      </c>
      <c r="U572" s="3">
        <f>'SUPUESTOS PRECIOS'!$B$5/'SUPUESTOS PRECIOS'!$B$4</f>
        <v>1000</v>
      </c>
      <c r="V572" s="3">
        <f>('SUPUESTOS PRECIOS'!$B$6-'SUPUESTOS PRECIOS'!$B$7)/'SUPUESTOS PRECIOS'!$B$4</f>
        <v>377.5</v>
      </c>
      <c r="W572" s="4">
        <f>'SUPUESTOS PRECIOS'!$B$8</f>
        <v>9.6799999999999994E-3</v>
      </c>
      <c r="X572" s="4">
        <f>'SUPUESTOS PRECIOS'!$B$2</f>
        <v>0.4</v>
      </c>
      <c r="Y572" s="3" t="str">
        <f t="shared" si="33"/>
        <v/>
      </c>
      <c r="Z572" s="3" t="str">
        <f t="shared" si="34"/>
        <v/>
      </c>
      <c r="AA572" s="11" t="str">
        <f t="shared" si="35"/>
        <v/>
      </c>
    </row>
    <row r="573" spans="1:27" x14ac:dyDescent="0.35">
      <c r="A573" s="10" t="s">
        <v>1696</v>
      </c>
      <c r="F573" t="s">
        <v>1358</v>
      </c>
      <c r="K573">
        <v>1</v>
      </c>
      <c r="L573" t="str">
        <f t="shared" si="32"/>
        <v/>
      </c>
      <c r="O573" t="s">
        <v>38</v>
      </c>
      <c r="T573" s="2">
        <f>'SUPUESTOS PRECIOS'!$B$9</f>
        <v>0</v>
      </c>
      <c r="U573" s="3">
        <f>'SUPUESTOS PRECIOS'!$B$5/'SUPUESTOS PRECIOS'!$B$4</f>
        <v>1000</v>
      </c>
      <c r="V573" s="3">
        <f>('SUPUESTOS PRECIOS'!$B$6-'SUPUESTOS PRECIOS'!$B$7)/'SUPUESTOS PRECIOS'!$B$4</f>
        <v>377.5</v>
      </c>
      <c r="W573" s="4">
        <f>'SUPUESTOS PRECIOS'!$B$8</f>
        <v>9.6799999999999994E-3</v>
      </c>
      <c r="X573" s="4">
        <f>'SUPUESTOS PRECIOS'!$B$2</f>
        <v>0.4</v>
      </c>
      <c r="Y573" s="3" t="str">
        <f t="shared" si="33"/>
        <v/>
      </c>
      <c r="Z573" s="3" t="str">
        <f t="shared" si="34"/>
        <v/>
      </c>
      <c r="AA573" s="11" t="str">
        <f t="shared" si="35"/>
        <v/>
      </c>
    </row>
    <row r="574" spans="1:27" x14ac:dyDescent="0.35">
      <c r="A574" s="10" t="s">
        <v>1697</v>
      </c>
      <c r="F574" t="s">
        <v>1358</v>
      </c>
      <c r="K574">
        <v>1</v>
      </c>
      <c r="L574" t="str">
        <f t="shared" si="32"/>
        <v/>
      </c>
      <c r="O574" t="s">
        <v>38</v>
      </c>
      <c r="T574" s="2">
        <f>'SUPUESTOS PRECIOS'!$B$9</f>
        <v>0</v>
      </c>
      <c r="U574" s="3">
        <f>'SUPUESTOS PRECIOS'!$B$5/'SUPUESTOS PRECIOS'!$B$4</f>
        <v>1000</v>
      </c>
      <c r="V574" s="3">
        <f>('SUPUESTOS PRECIOS'!$B$6-'SUPUESTOS PRECIOS'!$B$7)/'SUPUESTOS PRECIOS'!$B$4</f>
        <v>377.5</v>
      </c>
      <c r="W574" s="4">
        <f>'SUPUESTOS PRECIOS'!$B$8</f>
        <v>9.6799999999999994E-3</v>
      </c>
      <c r="X574" s="4">
        <f>'SUPUESTOS PRECIOS'!$B$2</f>
        <v>0.4</v>
      </c>
      <c r="Y574" s="3" t="str">
        <f t="shared" si="33"/>
        <v/>
      </c>
      <c r="Z574" s="3" t="str">
        <f t="shared" si="34"/>
        <v/>
      </c>
      <c r="AA574" s="11" t="str">
        <f t="shared" si="35"/>
        <v/>
      </c>
    </row>
    <row r="575" spans="1:27" x14ac:dyDescent="0.35">
      <c r="A575" s="10" t="s">
        <v>1698</v>
      </c>
      <c r="F575" t="s">
        <v>1358</v>
      </c>
      <c r="K575">
        <v>1</v>
      </c>
      <c r="L575" t="str">
        <f t="shared" si="32"/>
        <v/>
      </c>
      <c r="O575" t="s">
        <v>38</v>
      </c>
      <c r="T575" s="2">
        <f>'SUPUESTOS PRECIOS'!$B$9</f>
        <v>0</v>
      </c>
      <c r="U575" s="3">
        <f>'SUPUESTOS PRECIOS'!$B$5/'SUPUESTOS PRECIOS'!$B$4</f>
        <v>1000</v>
      </c>
      <c r="V575" s="3">
        <f>('SUPUESTOS PRECIOS'!$B$6-'SUPUESTOS PRECIOS'!$B$7)/'SUPUESTOS PRECIOS'!$B$4</f>
        <v>377.5</v>
      </c>
      <c r="W575" s="4">
        <f>'SUPUESTOS PRECIOS'!$B$8</f>
        <v>9.6799999999999994E-3</v>
      </c>
      <c r="X575" s="4">
        <f>'SUPUESTOS PRECIOS'!$B$2</f>
        <v>0.4</v>
      </c>
      <c r="Y575" s="3" t="str">
        <f t="shared" si="33"/>
        <v/>
      </c>
      <c r="Z575" s="3" t="str">
        <f t="shared" si="34"/>
        <v/>
      </c>
      <c r="AA575" s="11" t="str">
        <f t="shared" si="35"/>
        <v/>
      </c>
    </row>
    <row r="576" spans="1:27" x14ac:dyDescent="0.35">
      <c r="A576" s="10" t="s">
        <v>1699</v>
      </c>
      <c r="F576" t="s">
        <v>1358</v>
      </c>
      <c r="K576">
        <v>1</v>
      </c>
      <c r="L576" t="str">
        <f t="shared" si="32"/>
        <v/>
      </c>
      <c r="O576" t="s">
        <v>38</v>
      </c>
      <c r="T576" s="2">
        <f>'SUPUESTOS PRECIOS'!$B$9</f>
        <v>0</v>
      </c>
      <c r="U576" s="3">
        <f>'SUPUESTOS PRECIOS'!$B$5/'SUPUESTOS PRECIOS'!$B$4</f>
        <v>1000</v>
      </c>
      <c r="V576" s="3">
        <f>('SUPUESTOS PRECIOS'!$B$6-'SUPUESTOS PRECIOS'!$B$7)/'SUPUESTOS PRECIOS'!$B$4</f>
        <v>377.5</v>
      </c>
      <c r="W576" s="4">
        <f>'SUPUESTOS PRECIOS'!$B$8</f>
        <v>9.6799999999999994E-3</v>
      </c>
      <c r="X576" s="4">
        <f>'SUPUESTOS PRECIOS'!$B$2</f>
        <v>0.4</v>
      </c>
      <c r="Y576" s="3" t="str">
        <f t="shared" si="33"/>
        <v/>
      </c>
      <c r="Z576" s="3" t="str">
        <f t="shared" si="34"/>
        <v/>
      </c>
      <c r="AA576" s="11" t="str">
        <f t="shared" si="35"/>
        <v/>
      </c>
    </row>
    <row r="577" spans="1:27" x14ac:dyDescent="0.35">
      <c r="A577" s="10" t="s">
        <v>1700</v>
      </c>
      <c r="F577" t="s">
        <v>1358</v>
      </c>
      <c r="K577">
        <v>1</v>
      </c>
      <c r="L577" t="str">
        <f t="shared" si="32"/>
        <v/>
      </c>
      <c r="O577" t="s">
        <v>38</v>
      </c>
      <c r="T577" s="2">
        <f>'SUPUESTOS PRECIOS'!$B$9</f>
        <v>0</v>
      </c>
      <c r="U577" s="3">
        <f>'SUPUESTOS PRECIOS'!$B$5/'SUPUESTOS PRECIOS'!$B$4</f>
        <v>1000</v>
      </c>
      <c r="V577" s="3">
        <f>('SUPUESTOS PRECIOS'!$B$6-'SUPUESTOS PRECIOS'!$B$7)/'SUPUESTOS PRECIOS'!$B$4</f>
        <v>377.5</v>
      </c>
      <c r="W577" s="4">
        <f>'SUPUESTOS PRECIOS'!$B$8</f>
        <v>9.6799999999999994E-3</v>
      </c>
      <c r="X577" s="4">
        <f>'SUPUESTOS PRECIOS'!$B$2</f>
        <v>0.4</v>
      </c>
      <c r="Y577" s="3" t="str">
        <f t="shared" si="33"/>
        <v/>
      </c>
      <c r="Z577" s="3" t="str">
        <f t="shared" si="34"/>
        <v/>
      </c>
      <c r="AA577" s="11" t="str">
        <f t="shared" si="35"/>
        <v/>
      </c>
    </row>
    <row r="578" spans="1:27" x14ac:dyDescent="0.35">
      <c r="A578" s="10" t="s">
        <v>1701</v>
      </c>
      <c r="F578" t="s">
        <v>1358</v>
      </c>
      <c r="K578">
        <v>1</v>
      </c>
      <c r="L578" t="str">
        <f t="shared" ref="L578:L641" si="36">IF(J578="","",J578*(1+K578))</f>
        <v/>
      </c>
      <c r="O578" t="s">
        <v>38</v>
      </c>
      <c r="T578" s="2">
        <f>'SUPUESTOS PRECIOS'!$B$9</f>
        <v>0</v>
      </c>
      <c r="U578" s="3">
        <f>'SUPUESTOS PRECIOS'!$B$5/'SUPUESTOS PRECIOS'!$B$4</f>
        <v>1000</v>
      </c>
      <c r="V578" s="3">
        <f>('SUPUESTOS PRECIOS'!$B$6-'SUPUESTOS PRECIOS'!$B$7)/'SUPUESTOS PRECIOS'!$B$4</f>
        <v>377.5</v>
      </c>
      <c r="W578" s="4">
        <f>'SUPUESTOS PRECIOS'!$B$8</f>
        <v>9.6799999999999994E-3</v>
      </c>
      <c r="X578" s="4">
        <f>'SUPUESTOS PRECIOS'!$B$2</f>
        <v>0.4</v>
      </c>
      <c r="Y578" s="3" t="str">
        <f t="shared" ref="Y578:Y641" si="37">IF(OR($B578="",$J578=""),"",ROUND(($J578+$T578+$U578+$V578)/(1-$W578-$X578),-1))</f>
        <v/>
      </c>
      <c r="Z578" s="3" t="str">
        <f t="shared" ref="Z578:Z641" si="38">IF($Y578="","",$Y578-$J578-$T578-$U578-$V578-($Y578*$W578))</f>
        <v/>
      </c>
      <c r="AA578" s="11" t="str">
        <f t="shared" ref="AA578:AA641" si="39">IF($Y578="","",$Z578/$Y578)</f>
        <v/>
      </c>
    </row>
    <row r="579" spans="1:27" x14ac:dyDescent="0.35">
      <c r="A579" s="10" t="s">
        <v>1702</v>
      </c>
      <c r="F579" t="s">
        <v>1358</v>
      </c>
      <c r="K579">
        <v>1</v>
      </c>
      <c r="L579" t="str">
        <f t="shared" si="36"/>
        <v/>
      </c>
      <c r="O579" t="s">
        <v>38</v>
      </c>
      <c r="T579" s="2">
        <f>'SUPUESTOS PRECIOS'!$B$9</f>
        <v>0</v>
      </c>
      <c r="U579" s="3">
        <f>'SUPUESTOS PRECIOS'!$B$5/'SUPUESTOS PRECIOS'!$B$4</f>
        <v>1000</v>
      </c>
      <c r="V579" s="3">
        <f>('SUPUESTOS PRECIOS'!$B$6-'SUPUESTOS PRECIOS'!$B$7)/'SUPUESTOS PRECIOS'!$B$4</f>
        <v>377.5</v>
      </c>
      <c r="W579" s="4">
        <f>'SUPUESTOS PRECIOS'!$B$8</f>
        <v>9.6799999999999994E-3</v>
      </c>
      <c r="X579" s="4">
        <f>'SUPUESTOS PRECIOS'!$B$2</f>
        <v>0.4</v>
      </c>
      <c r="Y579" s="3" t="str">
        <f t="shared" si="37"/>
        <v/>
      </c>
      <c r="Z579" s="3" t="str">
        <f t="shared" si="38"/>
        <v/>
      </c>
      <c r="AA579" s="11" t="str">
        <f t="shared" si="39"/>
        <v/>
      </c>
    </row>
    <row r="580" spans="1:27" x14ac:dyDescent="0.35">
      <c r="A580" s="10" t="s">
        <v>1703</v>
      </c>
      <c r="F580" t="s">
        <v>1358</v>
      </c>
      <c r="K580">
        <v>1</v>
      </c>
      <c r="L580" t="str">
        <f t="shared" si="36"/>
        <v/>
      </c>
      <c r="O580" t="s">
        <v>38</v>
      </c>
      <c r="T580" s="2">
        <f>'SUPUESTOS PRECIOS'!$B$9</f>
        <v>0</v>
      </c>
      <c r="U580" s="3">
        <f>'SUPUESTOS PRECIOS'!$B$5/'SUPUESTOS PRECIOS'!$B$4</f>
        <v>1000</v>
      </c>
      <c r="V580" s="3">
        <f>('SUPUESTOS PRECIOS'!$B$6-'SUPUESTOS PRECIOS'!$B$7)/'SUPUESTOS PRECIOS'!$B$4</f>
        <v>377.5</v>
      </c>
      <c r="W580" s="4">
        <f>'SUPUESTOS PRECIOS'!$B$8</f>
        <v>9.6799999999999994E-3</v>
      </c>
      <c r="X580" s="4">
        <f>'SUPUESTOS PRECIOS'!$B$2</f>
        <v>0.4</v>
      </c>
      <c r="Y580" s="3" t="str">
        <f t="shared" si="37"/>
        <v/>
      </c>
      <c r="Z580" s="3" t="str">
        <f t="shared" si="38"/>
        <v/>
      </c>
      <c r="AA580" s="11" t="str">
        <f t="shared" si="39"/>
        <v/>
      </c>
    </row>
    <row r="581" spans="1:27" x14ac:dyDescent="0.35">
      <c r="A581" s="10" t="s">
        <v>1704</v>
      </c>
      <c r="F581" t="s">
        <v>1358</v>
      </c>
      <c r="K581">
        <v>1</v>
      </c>
      <c r="L581" t="str">
        <f t="shared" si="36"/>
        <v/>
      </c>
      <c r="O581" t="s">
        <v>38</v>
      </c>
      <c r="T581" s="2">
        <f>'SUPUESTOS PRECIOS'!$B$9</f>
        <v>0</v>
      </c>
      <c r="U581" s="3">
        <f>'SUPUESTOS PRECIOS'!$B$5/'SUPUESTOS PRECIOS'!$B$4</f>
        <v>1000</v>
      </c>
      <c r="V581" s="3">
        <f>('SUPUESTOS PRECIOS'!$B$6-'SUPUESTOS PRECIOS'!$B$7)/'SUPUESTOS PRECIOS'!$B$4</f>
        <v>377.5</v>
      </c>
      <c r="W581" s="4">
        <f>'SUPUESTOS PRECIOS'!$B$8</f>
        <v>9.6799999999999994E-3</v>
      </c>
      <c r="X581" s="4">
        <f>'SUPUESTOS PRECIOS'!$B$2</f>
        <v>0.4</v>
      </c>
      <c r="Y581" s="3" t="str">
        <f t="shared" si="37"/>
        <v/>
      </c>
      <c r="Z581" s="3" t="str">
        <f t="shared" si="38"/>
        <v/>
      </c>
      <c r="AA581" s="11" t="str">
        <f t="shared" si="39"/>
        <v/>
      </c>
    </row>
    <row r="582" spans="1:27" x14ac:dyDescent="0.35">
      <c r="A582" s="10" t="s">
        <v>1705</v>
      </c>
      <c r="F582" t="s">
        <v>1358</v>
      </c>
      <c r="K582">
        <v>1</v>
      </c>
      <c r="L582" t="str">
        <f t="shared" si="36"/>
        <v/>
      </c>
      <c r="O582" t="s">
        <v>38</v>
      </c>
      <c r="T582" s="2">
        <f>'SUPUESTOS PRECIOS'!$B$9</f>
        <v>0</v>
      </c>
      <c r="U582" s="3">
        <f>'SUPUESTOS PRECIOS'!$B$5/'SUPUESTOS PRECIOS'!$B$4</f>
        <v>1000</v>
      </c>
      <c r="V582" s="3">
        <f>('SUPUESTOS PRECIOS'!$B$6-'SUPUESTOS PRECIOS'!$B$7)/'SUPUESTOS PRECIOS'!$B$4</f>
        <v>377.5</v>
      </c>
      <c r="W582" s="4">
        <f>'SUPUESTOS PRECIOS'!$B$8</f>
        <v>9.6799999999999994E-3</v>
      </c>
      <c r="X582" s="4">
        <f>'SUPUESTOS PRECIOS'!$B$2</f>
        <v>0.4</v>
      </c>
      <c r="Y582" s="3" t="str">
        <f t="shared" si="37"/>
        <v/>
      </c>
      <c r="Z582" s="3" t="str">
        <f t="shared" si="38"/>
        <v/>
      </c>
      <c r="AA582" s="11" t="str">
        <f t="shared" si="39"/>
        <v/>
      </c>
    </row>
    <row r="583" spans="1:27" x14ac:dyDescent="0.35">
      <c r="A583" s="10" t="s">
        <v>1706</v>
      </c>
      <c r="F583" t="s">
        <v>1358</v>
      </c>
      <c r="K583">
        <v>1</v>
      </c>
      <c r="L583" t="str">
        <f t="shared" si="36"/>
        <v/>
      </c>
      <c r="O583" t="s">
        <v>38</v>
      </c>
      <c r="T583" s="2">
        <f>'SUPUESTOS PRECIOS'!$B$9</f>
        <v>0</v>
      </c>
      <c r="U583" s="3">
        <f>'SUPUESTOS PRECIOS'!$B$5/'SUPUESTOS PRECIOS'!$B$4</f>
        <v>1000</v>
      </c>
      <c r="V583" s="3">
        <f>('SUPUESTOS PRECIOS'!$B$6-'SUPUESTOS PRECIOS'!$B$7)/'SUPUESTOS PRECIOS'!$B$4</f>
        <v>377.5</v>
      </c>
      <c r="W583" s="4">
        <f>'SUPUESTOS PRECIOS'!$B$8</f>
        <v>9.6799999999999994E-3</v>
      </c>
      <c r="X583" s="4">
        <f>'SUPUESTOS PRECIOS'!$B$2</f>
        <v>0.4</v>
      </c>
      <c r="Y583" s="3" t="str">
        <f t="shared" si="37"/>
        <v/>
      </c>
      <c r="Z583" s="3" t="str">
        <f t="shared" si="38"/>
        <v/>
      </c>
      <c r="AA583" s="11" t="str">
        <f t="shared" si="39"/>
        <v/>
      </c>
    </row>
    <row r="584" spans="1:27" x14ac:dyDescent="0.35">
      <c r="A584" s="10" t="s">
        <v>1707</v>
      </c>
      <c r="F584" t="s">
        <v>1358</v>
      </c>
      <c r="K584">
        <v>1</v>
      </c>
      <c r="L584" t="str">
        <f t="shared" si="36"/>
        <v/>
      </c>
      <c r="O584" t="s">
        <v>38</v>
      </c>
      <c r="T584" s="2">
        <f>'SUPUESTOS PRECIOS'!$B$9</f>
        <v>0</v>
      </c>
      <c r="U584" s="3">
        <f>'SUPUESTOS PRECIOS'!$B$5/'SUPUESTOS PRECIOS'!$B$4</f>
        <v>1000</v>
      </c>
      <c r="V584" s="3">
        <f>('SUPUESTOS PRECIOS'!$B$6-'SUPUESTOS PRECIOS'!$B$7)/'SUPUESTOS PRECIOS'!$B$4</f>
        <v>377.5</v>
      </c>
      <c r="W584" s="4">
        <f>'SUPUESTOS PRECIOS'!$B$8</f>
        <v>9.6799999999999994E-3</v>
      </c>
      <c r="X584" s="4">
        <f>'SUPUESTOS PRECIOS'!$B$2</f>
        <v>0.4</v>
      </c>
      <c r="Y584" s="3" t="str">
        <f t="shared" si="37"/>
        <v/>
      </c>
      <c r="Z584" s="3" t="str">
        <f t="shared" si="38"/>
        <v/>
      </c>
      <c r="AA584" s="11" t="str">
        <f t="shared" si="39"/>
        <v/>
      </c>
    </row>
    <row r="585" spans="1:27" x14ac:dyDescent="0.35">
      <c r="A585" s="10" t="s">
        <v>1708</v>
      </c>
      <c r="F585" t="s">
        <v>1358</v>
      </c>
      <c r="K585">
        <v>1</v>
      </c>
      <c r="L585" t="str">
        <f t="shared" si="36"/>
        <v/>
      </c>
      <c r="O585" t="s">
        <v>38</v>
      </c>
      <c r="T585" s="2">
        <f>'SUPUESTOS PRECIOS'!$B$9</f>
        <v>0</v>
      </c>
      <c r="U585" s="3">
        <f>'SUPUESTOS PRECIOS'!$B$5/'SUPUESTOS PRECIOS'!$B$4</f>
        <v>1000</v>
      </c>
      <c r="V585" s="3">
        <f>('SUPUESTOS PRECIOS'!$B$6-'SUPUESTOS PRECIOS'!$B$7)/'SUPUESTOS PRECIOS'!$B$4</f>
        <v>377.5</v>
      </c>
      <c r="W585" s="4">
        <f>'SUPUESTOS PRECIOS'!$B$8</f>
        <v>9.6799999999999994E-3</v>
      </c>
      <c r="X585" s="4">
        <f>'SUPUESTOS PRECIOS'!$B$2</f>
        <v>0.4</v>
      </c>
      <c r="Y585" s="3" t="str">
        <f t="shared" si="37"/>
        <v/>
      </c>
      <c r="Z585" s="3" t="str">
        <f t="shared" si="38"/>
        <v/>
      </c>
      <c r="AA585" s="11" t="str">
        <f t="shared" si="39"/>
        <v/>
      </c>
    </row>
    <row r="586" spans="1:27" x14ac:dyDescent="0.35">
      <c r="A586" s="10" t="s">
        <v>1709</v>
      </c>
      <c r="F586" t="s">
        <v>1358</v>
      </c>
      <c r="K586">
        <v>1</v>
      </c>
      <c r="L586" t="str">
        <f t="shared" si="36"/>
        <v/>
      </c>
      <c r="O586" t="s">
        <v>38</v>
      </c>
      <c r="T586" s="2">
        <f>'SUPUESTOS PRECIOS'!$B$9</f>
        <v>0</v>
      </c>
      <c r="U586" s="3">
        <f>'SUPUESTOS PRECIOS'!$B$5/'SUPUESTOS PRECIOS'!$B$4</f>
        <v>1000</v>
      </c>
      <c r="V586" s="3">
        <f>('SUPUESTOS PRECIOS'!$B$6-'SUPUESTOS PRECIOS'!$B$7)/'SUPUESTOS PRECIOS'!$B$4</f>
        <v>377.5</v>
      </c>
      <c r="W586" s="4">
        <f>'SUPUESTOS PRECIOS'!$B$8</f>
        <v>9.6799999999999994E-3</v>
      </c>
      <c r="X586" s="4">
        <f>'SUPUESTOS PRECIOS'!$B$2</f>
        <v>0.4</v>
      </c>
      <c r="Y586" s="3" t="str">
        <f t="shared" si="37"/>
        <v/>
      </c>
      <c r="Z586" s="3" t="str">
        <f t="shared" si="38"/>
        <v/>
      </c>
      <c r="AA586" s="11" t="str">
        <f t="shared" si="39"/>
        <v/>
      </c>
    </row>
    <row r="587" spans="1:27" x14ac:dyDescent="0.35">
      <c r="A587" s="10" t="s">
        <v>1710</v>
      </c>
      <c r="F587" t="s">
        <v>1358</v>
      </c>
      <c r="K587">
        <v>1</v>
      </c>
      <c r="L587" t="str">
        <f t="shared" si="36"/>
        <v/>
      </c>
      <c r="O587" t="s">
        <v>38</v>
      </c>
      <c r="T587" s="2">
        <f>'SUPUESTOS PRECIOS'!$B$9</f>
        <v>0</v>
      </c>
      <c r="U587" s="3">
        <f>'SUPUESTOS PRECIOS'!$B$5/'SUPUESTOS PRECIOS'!$B$4</f>
        <v>1000</v>
      </c>
      <c r="V587" s="3">
        <f>('SUPUESTOS PRECIOS'!$B$6-'SUPUESTOS PRECIOS'!$B$7)/'SUPUESTOS PRECIOS'!$B$4</f>
        <v>377.5</v>
      </c>
      <c r="W587" s="4">
        <f>'SUPUESTOS PRECIOS'!$B$8</f>
        <v>9.6799999999999994E-3</v>
      </c>
      <c r="X587" s="4">
        <f>'SUPUESTOS PRECIOS'!$B$2</f>
        <v>0.4</v>
      </c>
      <c r="Y587" s="3" t="str">
        <f t="shared" si="37"/>
        <v/>
      </c>
      <c r="Z587" s="3" t="str">
        <f t="shared" si="38"/>
        <v/>
      </c>
      <c r="AA587" s="11" t="str">
        <f t="shared" si="39"/>
        <v/>
      </c>
    </row>
    <row r="588" spans="1:27" x14ac:dyDescent="0.35">
      <c r="A588" s="10" t="s">
        <v>1711</v>
      </c>
      <c r="F588" t="s">
        <v>1358</v>
      </c>
      <c r="K588">
        <v>1</v>
      </c>
      <c r="L588" t="str">
        <f t="shared" si="36"/>
        <v/>
      </c>
      <c r="O588" t="s">
        <v>38</v>
      </c>
      <c r="T588" s="2">
        <f>'SUPUESTOS PRECIOS'!$B$9</f>
        <v>0</v>
      </c>
      <c r="U588" s="3">
        <f>'SUPUESTOS PRECIOS'!$B$5/'SUPUESTOS PRECIOS'!$B$4</f>
        <v>1000</v>
      </c>
      <c r="V588" s="3">
        <f>('SUPUESTOS PRECIOS'!$B$6-'SUPUESTOS PRECIOS'!$B$7)/'SUPUESTOS PRECIOS'!$B$4</f>
        <v>377.5</v>
      </c>
      <c r="W588" s="4">
        <f>'SUPUESTOS PRECIOS'!$B$8</f>
        <v>9.6799999999999994E-3</v>
      </c>
      <c r="X588" s="4">
        <f>'SUPUESTOS PRECIOS'!$B$2</f>
        <v>0.4</v>
      </c>
      <c r="Y588" s="3" t="str">
        <f t="shared" si="37"/>
        <v/>
      </c>
      <c r="Z588" s="3" t="str">
        <f t="shared" si="38"/>
        <v/>
      </c>
      <c r="AA588" s="11" t="str">
        <f t="shared" si="39"/>
        <v/>
      </c>
    </row>
    <row r="589" spans="1:27" x14ac:dyDescent="0.35">
      <c r="A589" s="10" t="s">
        <v>1712</v>
      </c>
      <c r="F589" t="s">
        <v>1358</v>
      </c>
      <c r="K589">
        <v>1</v>
      </c>
      <c r="L589" t="str">
        <f t="shared" si="36"/>
        <v/>
      </c>
      <c r="O589" t="s">
        <v>38</v>
      </c>
      <c r="T589" s="2">
        <f>'SUPUESTOS PRECIOS'!$B$9</f>
        <v>0</v>
      </c>
      <c r="U589" s="3">
        <f>'SUPUESTOS PRECIOS'!$B$5/'SUPUESTOS PRECIOS'!$B$4</f>
        <v>1000</v>
      </c>
      <c r="V589" s="3">
        <f>('SUPUESTOS PRECIOS'!$B$6-'SUPUESTOS PRECIOS'!$B$7)/'SUPUESTOS PRECIOS'!$B$4</f>
        <v>377.5</v>
      </c>
      <c r="W589" s="4">
        <f>'SUPUESTOS PRECIOS'!$B$8</f>
        <v>9.6799999999999994E-3</v>
      </c>
      <c r="X589" s="4">
        <f>'SUPUESTOS PRECIOS'!$B$2</f>
        <v>0.4</v>
      </c>
      <c r="Y589" s="3" t="str">
        <f t="shared" si="37"/>
        <v/>
      </c>
      <c r="Z589" s="3" t="str">
        <f t="shared" si="38"/>
        <v/>
      </c>
      <c r="AA589" s="11" t="str">
        <f t="shared" si="39"/>
        <v/>
      </c>
    </row>
    <row r="590" spans="1:27" x14ac:dyDescent="0.35">
      <c r="A590" s="10" t="s">
        <v>1713</v>
      </c>
      <c r="F590" t="s">
        <v>1358</v>
      </c>
      <c r="K590">
        <v>1</v>
      </c>
      <c r="L590" t="str">
        <f t="shared" si="36"/>
        <v/>
      </c>
      <c r="O590" t="s">
        <v>38</v>
      </c>
      <c r="T590" s="2">
        <f>'SUPUESTOS PRECIOS'!$B$9</f>
        <v>0</v>
      </c>
      <c r="U590" s="3">
        <f>'SUPUESTOS PRECIOS'!$B$5/'SUPUESTOS PRECIOS'!$B$4</f>
        <v>1000</v>
      </c>
      <c r="V590" s="3">
        <f>('SUPUESTOS PRECIOS'!$B$6-'SUPUESTOS PRECIOS'!$B$7)/'SUPUESTOS PRECIOS'!$B$4</f>
        <v>377.5</v>
      </c>
      <c r="W590" s="4">
        <f>'SUPUESTOS PRECIOS'!$B$8</f>
        <v>9.6799999999999994E-3</v>
      </c>
      <c r="X590" s="4">
        <f>'SUPUESTOS PRECIOS'!$B$2</f>
        <v>0.4</v>
      </c>
      <c r="Y590" s="3" t="str">
        <f t="shared" si="37"/>
        <v/>
      </c>
      <c r="Z590" s="3" t="str">
        <f t="shared" si="38"/>
        <v/>
      </c>
      <c r="AA590" s="11" t="str">
        <f t="shared" si="39"/>
        <v/>
      </c>
    </row>
    <row r="591" spans="1:27" x14ac:dyDescent="0.35">
      <c r="A591" s="10" t="s">
        <v>1714</v>
      </c>
      <c r="F591" t="s">
        <v>1358</v>
      </c>
      <c r="K591">
        <v>1</v>
      </c>
      <c r="L591" t="str">
        <f t="shared" si="36"/>
        <v/>
      </c>
      <c r="O591" t="s">
        <v>38</v>
      </c>
      <c r="T591" s="2">
        <f>'SUPUESTOS PRECIOS'!$B$9</f>
        <v>0</v>
      </c>
      <c r="U591" s="3">
        <f>'SUPUESTOS PRECIOS'!$B$5/'SUPUESTOS PRECIOS'!$B$4</f>
        <v>1000</v>
      </c>
      <c r="V591" s="3">
        <f>('SUPUESTOS PRECIOS'!$B$6-'SUPUESTOS PRECIOS'!$B$7)/'SUPUESTOS PRECIOS'!$B$4</f>
        <v>377.5</v>
      </c>
      <c r="W591" s="4">
        <f>'SUPUESTOS PRECIOS'!$B$8</f>
        <v>9.6799999999999994E-3</v>
      </c>
      <c r="X591" s="4">
        <f>'SUPUESTOS PRECIOS'!$B$2</f>
        <v>0.4</v>
      </c>
      <c r="Y591" s="3" t="str">
        <f t="shared" si="37"/>
        <v/>
      </c>
      <c r="Z591" s="3" t="str">
        <f t="shared" si="38"/>
        <v/>
      </c>
      <c r="AA591" s="11" t="str">
        <f t="shared" si="39"/>
        <v/>
      </c>
    </row>
    <row r="592" spans="1:27" x14ac:dyDescent="0.35">
      <c r="A592" s="10" t="s">
        <v>1715</v>
      </c>
      <c r="F592" t="s">
        <v>1358</v>
      </c>
      <c r="K592">
        <v>1</v>
      </c>
      <c r="L592" t="str">
        <f t="shared" si="36"/>
        <v/>
      </c>
      <c r="O592" t="s">
        <v>38</v>
      </c>
      <c r="T592" s="2">
        <f>'SUPUESTOS PRECIOS'!$B$9</f>
        <v>0</v>
      </c>
      <c r="U592" s="3">
        <f>'SUPUESTOS PRECIOS'!$B$5/'SUPUESTOS PRECIOS'!$B$4</f>
        <v>1000</v>
      </c>
      <c r="V592" s="3">
        <f>('SUPUESTOS PRECIOS'!$B$6-'SUPUESTOS PRECIOS'!$B$7)/'SUPUESTOS PRECIOS'!$B$4</f>
        <v>377.5</v>
      </c>
      <c r="W592" s="4">
        <f>'SUPUESTOS PRECIOS'!$B$8</f>
        <v>9.6799999999999994E-3</v>
      </c>
      <c r="X592" s="4">
        <f>'SUPUESTOS PRECIOS'!$B$2</f>
        <v>0.4</v>
      </c>
      <c r="Y592" s="3" t="str">
        <f t="shared" si="37"/>
        <v/>
      </c>
      <c r="Z592" s="3" t="str">
        <f t="shared" si="38"/>
        <v/>
      </c>
      <c r="AA592" s="11" t="str">
        <f t="shared" si="39"/>
        <v/>
      </c>
    </row>
    <row r="593" spans="1:27" x14ac:dyDescent="0.35">
      <c r="A593" s="10" t="s">
        <v>1716</v>
      </c>
      <c r="F593" t="s">
        <v>1358</v>
      </c>
      <c r="K593">
        <v>1</v>
      </c>
      <c r="L593" t="str">
        <f t="shared" si="36"/>
        <v/>
      </c>
      <c r="O593" t="s">
        <v>38</v>
      </c>
      <c r="T593" s="2">
        <f>'SUPUESTOS PRECIOS'!$B$9</f>
        <v>0</v>
      </c>
      <c r="U593" s="3">
        <f>'SUPUESTOS PRECIOS'!$B$5/'SUPUESTOS PRECIOS'!$B$4</f>
        <v>1000</v>
      </c>
      <c r="V593" s="3">
        <f>('SUPUESTOS PRECIOS'!$B$6-'SUPUESTOS PRECIOS'!$B$7)/'SUPUESTOS PRECIOS'!$B$4</f>
        <v>377.5</v>
      </c>
      <c r="W593" s="4">
        <f>'SUPUESTOS PRECIOS'!$B$8</f>
        <v>9.6799999999999994E-3</v>
      </c>
      <c r="X593" s="4">
        <f>'SUPUESTOS PRECIOS'!$B$2</f>
        <v>0.4</v>
      </c>
      <c r="Y593" s="3" t="str">
        <f t="shared" si="37"/>
        <v/>
      </c>
      <c r="Z593" s="3" t="str">
        <f t="shared" si="38"/>
        <v/>
      </c>
      <c r="AA593" s="11" t="str">
        <f t="shared" si="39"/>
        <v/>
      </c>
    </row>
    <row r="594" spans="1:27" x14ac:dyDescent="0.35">
      <c r="A594" s="10" t="s">
        <v>1717</v>
      </c>
      <c r="F594" t="s">
        <v>1358</v>
      </c>
      <c r="K594">
        <v>1</v>
      </c>
      <c r="L594" t="str">
        <f t="shared" si="36"/>
        <v/>
      </c>
      <c r="O594" t="s">
        <v>38</v>
      </c>
      <c r="T594" s="2">
        <f>'SUPUESTOS PRECIOS'!$B$9</f>
        <v>0</v>
      </c>
      <c r="U594" s="3">
        <f>'SUPUESTOS PRECIOS'!$B$5/'SUPUESTOS PRECIOS'!$B$4</f>
        <v>1000</v>
      </c>
      <c r="V594" s="3">
        <f>('SUPUESTOS PRECIOS'!$B$6-'SUPUESTOS PRECIOS'!$B$7)/'SUPUESTOS PRECIOS'!$B$4</f>
        <v>377.5</v>
      </c>
      <c r="W594" s="4">
        <f>'SUPUESTOS PRECIOS'!$B$8</f>
        <v>9.6799999999999994E-3</v>
      </c>
      <c r="X594" s="4">
        <f>'SUPUESTOS PRECIOS'!$B$2</f>
        <v>0.4</v>
      </c>
      <c r="Y594" s="3" t="str">
        <f t="shared" si="37"/>
        <v/>
      </c>
      <c r="Z594" s="3" t="str">
        <f t="shared" si="38"/>
        <v/>
      </c>
      <c r="AA594" s="11" t="str">
        <f t="shared" si="39"/>
        <v/>
      </c>
    </row>
    <row r="595" spans="1:27" x14ac:dyDescent="0.35">
      <c r="A595" s="10" t="s">
        <v>1718</v>
      </c>
      <c r="F595" t="s">
        <v>1358</v>
      </c>
      <c r="K595">
        <v>1</v>
      </c>
      <c r="L595" t="str">
        <f t="shared" si="36"/>
        <v/>
      </c>
      <c r="O595" t="s">
        <v>38</v>
      </c>
      <c r="T595" s="2">
        <f>'SUPUESTOS PRECIOS'!$B$9</f>
        <v>0</v>
      </c>
      <c r="U595" s="3">
        <f>'SUPUESTOS PRECIOS'!$B$5/'SUPUESTOS PRECIOS'!$B$4</f>
        <v>1000</v>
      </c>
      <c r="V595" s="3">
        <f>('SUPUESTOS PRECIOS'!$B$6-'SUPUESTOS PRECIOS'!$B$7)/'SUPUESTOS PRECIOS'!$B$4</f>
        <v>377.5</v>
      </c>
      <c r="W595" s="4">
        <f>'SUPUESTOS PRECIOS'!$B$8</f>
        <v>9.6799999999999994E-3</v>
      </c>
      <c r="X595" s="4">
        <f>'SUPUESTOS PRECIOS'!$B$2</f>
        <v>0.4</v>
      </c>
      <c r="Y595" s="3" t="str">
        <f t="shared" si="37"/>
        <v/>
      </c>
      <c r="Z595" s="3" t="str">
        <f t="shared" si="38"/>
        <v/>
      </c>
      <c r="AA595" s="11" t="str">
        <f t="shared" si="39"/>
        <v/>
      </c>
    </row>
    <row r="596" spans="1:27" x14ac:dyDescent="0.35">
      <c r="A596" s="10" t="s">
        <v>1719</v>
      </c>
      <c r="F596" t="s">
        <v>1358</v>
      </c>
      <c r="K596">
        <v>1</v>
      </c>
      <c r="L596" t="str">
        <f t="shared" si="36"/>
        <v/>
      </c>
      <c r="O596" t="s">
        <v>38</v>
      </c>
      <c r="T596" s="2">
        <f>'SUPUESTOS PRECIOS'!$B$9</f>
        <v>0</v>
      </c>
      <c r="U596" s="3">
        <f>'SUPUESTOS PRECIOS'!$B$5/'SUPUESTOS PRECIOS'!$B$4</f>
        <v>1000</v>
      </c>
      <c r="V596" s="3">
        <f>('SUPUESTOS PRECIOS'!$B$6-'SUPUESTOS PRECIOS'!$B$7)/'SUPUESTOS PRECIOS'!$B$4</f>
        <v>377.5</v>
      </c>
      <c r="W596" s="4">
        <f>'SUPUESTOS PRECIOS'!$B$8</f>
        <v>9.6799999999999994E-3</v>
      </c>
      <c r="X596" s="4">
        <f>'SUPUESTOS PRECIOS'!$B$2</f>
        <v>0.4</v>
      </c>
      <c r="Y596" s="3" t="str">
        <f t="shared" si="37"/>
        <v/>
      </c>
      <c r="Z596" s="3" t="str">
        <f t="shared" si="38"/>
        <v/>
      </c>
      <c r="AA596" s="11" t="str">
        <f t="shared" si="39"/>
        <v/>
      </c>
    </row>
    <row r="597" spans="1:27" x14ac:dyDescent="0.35">
      <c r="A597" s="10" t="s">
        <v>1720</v>
      </c>
      <c r="F597" t="s">
        <v>1358</v>
      </c>
      <c r="K597">
        <v>1</v>
      </c>
      <c r="L597" t="str">
        <f t="shared" si="36"/>
        <v/>
      </c>
      <c r="O597" t="s">
        <v>38</v>
      </c>
      <c r="T597" s="2">
        <f>'SUPUESTOS PRECIOS'!$B$9</f>
        <v>0</v>
      </c>
      <c r="U597" s="3">
        <f>'SUPUESTOS PRECIOS'!$B$5/'SUPUESTOS PRECIOS'!$B$4</f>
        <v>1000</v>
      </c>
      <c r="V597" s="3">
        <f>('SUPUESTOS PRECIOS'!$B$6-'SUPUESTOS PRECIOS'!$B$7)/'SUPUESTOS PRECIOS'!$B$4</f>
        <v>377.5</v>
      </c>
      <c r="W597" s="4">
        <f>'SUPUESTOS PRECIOS'!$B$8</f>
        <v>9.6799999999999994E-3</v>
      </c>
      <c r="X597" s="4">
        <f>'SUPUESTOS PRECIOS'!$B$2</f>
        <v>0.4</v>
      </c>
      <c r="Y597" s="3" t="str">
        <f t="shared" si="37"/>
        <v/>
      </c>
      <c r="Z597" s="3" t="str">
        <f t="shared" si="38"/>
        <v/>
      </c>
      <c r="AA597" s="11" t="str">
        <f t="shared" si="39"/>
        <v/>
      </c>
    </row>
    <row r="598" spans="1:27" x14ac:dyDescent="0.35">
      <c r="A598" s="10" t="s">
        <v>1721</v>
      </c>
      <c r="F598" t="s">
        <v>1358</v>
      </c>
      <c r="K598">
        <v>1</v>
      </c>
      <c r="L598" t="str">
        <f t="shared" si="36"/>
        <v/>
      </c>
      <c r="O598" t="s">
        <v>38</v>
      </c>
      <c r="T598" s="2">
        <f>'SUPUESTOS PRECIOS'!$B$9</f>
        <v>0</v>
      </c>
      <c r="U598" s="3">
        <f>'SUPUESTOS PRECIOS'!$B$5/'SUPUESTOS PRECIOS'!$B$4</f>
        <v>1000</v>
      </c>
      <c r="V598" s="3">
        <f>('SUPUESTOS PRECIOS'!$B$6-'SUPUESTOS PRECIOS'!$B$7)/'SUPUESTOS PRECIOS'!$B$4</f>
        <v>377.5</v>
      </c>
      <c r="W598" s="4">
        <f>'SUPUESTOS PRECIOS'!$B$8</f>
        <v>9.6799999999999994E-3</v>
      </c>
      <c r="X598" s="4">
        <f>'SUPUESTOS PRECIOS'!$B$2</f>
        <v>0.4</v>
      </c>
      <c r="Y598" s="3" t="str">
        <f t="shared" si="37"/>
        <v/>
      </c>
      <c r="Z598" s="3" t="str">
        <f t="shared" si="38"/>
        <v/>
      </c>
      <c r="AA598" s="11" t="str">
        <f t="shared" si="39"/>
        <v/>
      </c>
    </row>
    <row r="599" spans="1:27" x14ac:dyDescent="0.35">
      <c r="A599" s="10" t="s">
        <v>1722</v>
      </c>
      <c r="F599" t="s">
        <v>1358</v>
      </c>
      <c r="K599">
        <v>1</v>
      </c>
      <c r="L599" t="str">
        <f t="shared" si="36"/>
        <v/>
      </c>
      <c r="O599" t="s">
        <v>38</v>
      </c>
      <c r="T599" s="2">
        <f>'SUPUESTOS PRECIOS'!$B$9</f>
        <v>0</v>
      </c>
      <c r="U599" s="3">
        <f>'SUPUESTOS PRECIOS'!$B$5/'SUPUESTOS PRECIOS'!$B$4</f>
        <v>1000</v>
      </c>
      <c r="V599" s="3">
        <f>('SUPUESTOS PRECIOS'!$B$6-'SUPUESTOS PRECIOS'!$B$7)/'SUPUESTOS PRECIOS'!$B$4</f>
        <v>377.5</v>
      </c>
      <c r="W599" s="4">
        <f>'SUPUESTOS PRECIOS'!$B$8</f>
        <v>9.6799999999999994E-3</v>
      </c>
      <c r="X599" s="4">
        <f>'SUPUESTOS PRECIOS'!$B$2</f>
        <v>0.4</v>
      </c>
      <c r="Y599" s="3" t="str">
        <f t="shared" si="37"/>
        <v/>
      </c>
      <c r="Z599" s="3" t="str">
        <f t="shared" si="38"/>
        <v/>
      </c>
      <c r="AA599" s="11" t="str">
        <f t="shared" si="39"/>
        <v/>
      </c>
    </row>
    <row r="600" spans="1:27" x14ac:dyDescent="0.35">
      <c r="A600" s="10" t="s">
        <v>1723</v>
      </c>
      <c r="F600" t="s">
        <v>1358</v>
      </c>
      <c r="K600">
        <v>1</v>
      </c>
      <c r="L600" t="str">
        <f t="shared" si="36"/>
        <v/>
      </c>
      <c r="O600" t="s">
        <v>38</v>
      </c>
      <c r="T600" s="2">
        <f>'SUPUESTOS PRECIOS'!$B$9</f>
        <v>0</v>
      </c>
      <c r="U600" s="3">
        <f>'SUPUESTOS PRECIOS'!$B$5/'SUPUESTOS PRECIOS'!$B$4</f>
        <v>1000</v>
      </c>
      <c r="V600" s="3">
        <f>('SUPUESTOS PRECIOS'!$B$6-'SUPUESTOS PRECIOS'!$B$7)/'SUPUESTOS PRECIOS'!$B$4</f>
        <v>377.5</v>
      </c>
      <c r="W600" s="4">
        <f>'SUPUESTOS PRECIOS'!$B$8</f>
        <v>9.6799999999999994E-3</v>
      </c>
      <c r="X600" s="4">
        <f>'SUPUESTOS PRECIOS'!$B$2</f>
        <v>0.4</v>
      </c>
      <c r="Y600" s="3" t="str">
        <f t="shared" si="37"/>
        <v/>
      </c>
      <c r="Z600" s="3" t="str">
        <f t="shared" si="38"/>
        <v/>
      </c>
      <c r="AA600" s="11" t="str">
        <f t="shared" si="39"/>
        <v/>
      </c>
    </row>
    <row r="601" spans="1:27" x14ac:dyDescent="0.35">
      <c r="A601" s="10" t="s">
        <v>1724</v>
      </c>
      <c r="F601" t="s">
        <v>1358</v>
      </c>
      <c r="K601">
        <v>1</v>
      </c>
      <c r="L601" t="str">
        <f t="shared" si="36"/>
        <v/>
      </c>
      <c r="O601" t="s">
        <v>38</v>
      </c>
      <c r="T601" s="2">
        <f>'SUPUESTOS PRECIOS'!$B$9</f>
        <v>0</v>
      </c>
      <c r="U601" s="3">
        <f>'SUPUESTOS PRECIOS'!$B$5/'SUPUESTOS PRECIOS'!$B$4</f>
        <v>1000</v>
      </c>
      <c r="V601" s="3">
        <f>('SUPUESTOS PRECIOS'!$B$6-'SUPUESTOS PRECIOS'!$B$7)/'SUPUESTOS PRECIOS'!$B$4</f>
        <v>377.5</v>
      </c>
      <c r="W601" s="4">
        <f>'SUPUESTOS PRECIOS'!$B$8</f>
        <v>9.6799999999999994E-3</v>
      </c>
      <c r="X601" s="4">
        <f>'SUPUESTOS PRECIOS'!$B$2</f>
        <v>0.4</v>
      </c>
      <c r="Y601" s="3" t="str">
        <f t="shared" si="37"/>
        <v/>
      </c>
      <c r="Z601" s="3" t="str">
        <f t="shared" si="38"/>
        <v/>
      </c>
      <c r="AA601" s="11" t="str">
        <f t="shared" si="39"/>
        <v/>
      </c>
    </row>
    <row r="602" spans="1:27" x14ac:dyDescent="0.35">
      <c r="A602" s="10" t="s">
        <v>1725</v>
      </c>
      <c r="F602" t="s">
        <v>1358</v>
      </c>
      <c r="K602">
        <v>1</v>
      </c>
      <c r="L602" t="str">
        <f t="shared" si="36"/>
        <v/>
      </c>
      <c r="O602" t="s">
        <v>38</v>
      </c>
      <c r="T602" s="2">
        <f>'SUPUESTOS PRECIOS'!$B$9</f>
        <v>0</v>
      </c>
      <c r="U602" s="3">
        <f>'SUPUESTOS PRECIOS'!$B$5/'SUPUESTOS PRECIOS'!$B$4</f>
        <v>1000</v>
      </c>
      <c r="V602" s="3">
        <f>('SUPUESTOS PRECIOS'!$B$6-'SUPUESTOS PRECIOS'!$B$7)/'SUPUESTOS PRECIOS'!$B$4</f>
        <v>377.5</v>
      </c>
      <c r="W602" s="4">
        <f>'SUPUESTOS PRECIOS'!$B$8</f>
        <v>9.6799999999999994E-3</v>
      </c>
      <c r="X602" s="4">
        <f>'SUPUESTOS PRECIOS'!$B$2</f>
        <v>0.4</v>
      </c>
      <c r="Y602" s="3" t="str">
        <f t="shared" si="37"/>
        <v/>
      </c>
      <c r="Z602" s="3" t="str">
        <f t="shared" si="38"/>
        <v/>
      </c>
      <c r="AA602" s="11" t="str">
        <f t="shared" si="39"/>
        <v/>
      </c>
    </row>
    <row r="603" spans="1:27" x14ac:dyDescent="0.35">
      <c r="A603" s="10" t="s">
        <v>1726</v>
      </c>
      <c r="F603" t="s">
        <v>1358</v>
      </c>
      <c r="K603">
        <v>1</v>
      </c>
      <c r="L603" t="str">
        <f t="shared" si="36"/>
        <v/>
      </c>
      <c r="O603" t="s">
        <v>38</v>
      </c>
      <c r="T603" s="2">
        <f>'SUPUESTOS PRECIOS'!$B$9</f>
        <v>0</v>
      </c>
      <c r="U603" s="3">
        <f>'SUPUESTOS PRECIOS'!$B$5/'SUPUESTOS PRECIOS'!$B$4</f>
        <v>1000</v>
      </c>
      <c r="V603" s="3">
        <f>('SUPUESTOS PRECIOS'!$B$6-'SUPUESTOS PRECIOS'!$B$7)/'SUPUESTOS PRECIOS'!$B$4</f>
        <v>377.5</v>
      </c>
      <c r="W603" s="4">
        <f>'SUPUESTOS PRECIOS'!$B$8</f>
        <v>9.6799999999999994E-3</v>
      </c>
      <c r="X603" s="4">
        <f>'SUPUESTOS PRECIOS'!$B$2</f>
        <v>0.4</v>
      </c>
      <c r="Y603" s="3" t="str">
        <f t="shared" si="37"/>
        <v/>
      </c>
      <c r="Z603" s="3" t="str">
        <f t="shared" si="38"/>
        <v/>
      </c>
      <c r="AA603" s="11" t="str">
        <f t="shared" si="39"/>
        <v/>
      </c>
    </row>
    <row r="604" spans="1:27" x14ac:dyDescent="0.35">
      <c r="A604" s="10" t="s">
        <v>1727</v>
      </c>
      <c r="F604" t="s">
        <v>1358</v>
      </c>
      <c r="K604">
        <v>1</v>
      </c>
      <c r="L604" t="str">
        <f t="shared" si="36"/>
        <v/>
      </c>
      <c r="O604" t="s">
        <v>38</v>
      </c>
      <c r="T604" s="2">
        <f>'SUPUESTOS PRECIOS'!$B$9</f>
        <v>0</v>
      </c>
      <c r="U604" s="3">
        <f>'SUPUESTOS PRECIOS'!$B$5/'SUPUESTOS PRECIOS'!$B$4</f>
        <v>1000</v>
      </c>
      <c r="V604" s="3">
        <f>('SUPUESTOS PRECIOS'!$B$6-'SUPUESTOS PRECIOS'!$B$7)/'SUPUESTOS PRECIOS'!$B$4</f>
        <v>377.5</v>
      </c>
      <c r="W604" s="4">
        <f>'SUPUESTOS PRECIOS'!$B$8</f>
        <v>9.6799999999999994E-3</v>
      </c>
      <c r="X604" s="4">
        <f>'SUPUESTOS PRECIOS'!$B$2</f>
        <v>0.4</v>
      </c>
      <c r="Y604" s="3" t="str">
        <f t="shared" si="37"/>
        <v/>
      </c>
      <c r="Z604" s="3" t="str">
        <f t="shared" si="38"/>
        <v/>
      </c>
      <c r="AA604" s="11" t="str">
        <f t="shared" si="39"/>
        <v/>
      </c>
    </row>
    <row r="605" spans="1:27" x14ac:dyDescent="0.35">
      <c r="A605" s="10" t="s">
        <v>1728</v>
      </c>
      <c r="F605" t="s">
        <v>1358</v>
      </c>
      <c r="K605">
        <v>1</v>
      </c>
      <c r="L605" t="str">
        <f t="shared" si="36"/>
        <v/>
      </c>
      <c r="O605" t="s">
        <v>38</v>
      </c>
      <c r="T605" s="2">
        <f>'SUPUESTOS PRECIOS'!$B$9</f>
        <v>0</v>
      </c>
      <c r="U605" s="3">
        <f>'SUPUESTOS PRECIOS'!$B$5/'SUPUESTOS PRECIOS'!$B$4</f>
        <v>1000</v>
      </c>
      <c r="V605" s="3">
        <f>('SUPUESTOS PRECIOS'!$B$6-'SUPUESTOS PRECIOS'!$B$7)/'SUPUESTOS PRECIOS'!$B$4</f>
        <v>377.5</v>
      </c>
      <c r="W605" s="4">
        <f>'SUPUESTOS PRECIOS'!$B$8</f>
        <v>9.6799999999999994E-3</v>
      </c>
      <c r="X605" s="4">
        <f>'SUPUESTOS PRECIOS'!$B$2</f>
        <v>0.4</v>
      </c>
      <c r="Y605" s="3" t="str">
        <f t="shared" si="37"/>
        <v/>
      </c>
      <c r="Z605" s="3" t="str">
        <f t="shared" si="38"/>
        <v/>
      </c>
      <c r="AA605" s="11" t="str">
        <f t="shared" si="39"/>
        <v/>
      </c>
    </row>
    <row r="606" spans="1:27" x14ac:dyDescent="0.35">
      <c r="A606" s="10" t="s">
        <v>1729</v>
      </c>
      <c r="F606" t="s">
        <v>1358</v>
      </c>
      <c r="K606">
        <v>1</v>
      </c>
      <c r="L606" t="str">
        <f t="shared" si="36"/>
        <v/>
      </c>
      <c r="O606" t="s">
        <v>38</v>
      </c>
      <c r="T606" s="2">
        <f>'SUPUESTOS PRECIOS'!$B$9</f>
        <v>0</v>
      </c>
      <c r="U606" s="3">
        <f>'SUPUESTOS PRECIOS'!$B$5/'SUPUESTOS PRECIOS'!$B$4</f>
        <v>1000</v>
      </c>
      <c r="V606" s="3">
        <f>('SUPUESTOS PRECIOS'!$B$6-'SUPUESTOS PRECIOS'!$B$7)/'SUPUESTOS PRECIOS'!$B$4</f>
        <v>377.5</v>
      </c>
      <c r="W606" s="4">
        <f>'SUPUESTOS PRECIOS'!$B$8</f>
        <v>9.6799999999999994E-3</v>
      </c>
      <c r="X606" s="4">
        <f>'SUPUESTOS PRECIOS'!$B$2</f>
        <v>0.4</v>
      </c>
      <c r="Y606" s="3" t="str">
        <f t="shared" si="37"/>
        <v/>
      </c>
      <c r="Z606" s="3" t="str">
        <f t="shared" si="38"/>
        <v/>
      </c>
      <c r="AA606" s="11" t="str">
        <f t="shared" si="39"/>
        <v/>
      </c>
    </row>
    <row r="607" spans="1:27" x14ac:dyDescent="0.35">
      <c r="A607" s="10" t="s">
        <v>1730</v>
      </c>
      <c r="F607" t="s">
        <v>1358</v>
      </c>
      <c r="K607">
        <v>1</v>
      </c>
      <c r="L607" t="str">
        <f t="shared" si="36"/>
        <v/>
      </c>
      <c r="O607" t="s">
        <v>38</v>
      </c>
      <c r="T607" s="2">
        <f>'SUPUESTOS PRECIOS'!$B$9</f>
        <v>0</v>
      </c>
      <c r="U607" s="3">
        <f>'SUPUESTOS PRECIOS'!$B$5/'SUPUESTOS PRECIOS'!$B$4</f>
        <v>1000</v>
      </c>
      <c r="V607" s="3">
        <f>('SUPUESTOS PRECIOS'!$B$6-'SUPUESTOS PRECIOS'!$B$7)/'SUPUESTOS PRECIOS'!$B$4</f>
        <v>377.5</v>
      </c>
      <c r="W607" s="4">
        <f>'SUPUESTOS PRECIOS'!$B$8</f>
        <v>9.6799999999999994E-3</v>
      </c>
      <c r="X607" s="4">
        <f>'SUPUESTOS PRECIOS'!$B$2</f>
        <v>0.4</v>
      </c>
      <c r="Y607" s="3" t="str">
        <f t="shared" si="37"/>
        <v/>
      </c>
      <c r="Z607" s="3" t="str">
        <f t="shared" si="38"/>
        <v/>
      </c>
      <c r="AA607" s="11" t="str">
        <f t="shared" si="39"/>
        <v/>
      </c>
    </row>
    <row r="608" spans="1:27" x14ac:dyDescent="0.35">
      <c r="A608" s="10" t="s">
        <v>1731</v>
      </c>
      <c r="F608" t="s">
        <v>1358</v>
      </c>
      <c r="K608">
        <v>1</v>
      </c>
      <c r="L608" t="str">
        <f t="shared" si="36"/>
        <v/>
      </c>
      <c r="O608" t="s">
        <v>38</v>
      </c>
      <c r="T608" s="2">
        <f>'SUPUESTOS PRECIOS'!$B$9</f>
        <v>0</v>
      </c>
      <c r="U608" s="3">
        <f>'SUPUESTOS PRECIOS'!$B$5/'SUPUESTOS PRECIOS'!$B$4</f>
        <v>1000</v>
      </c>
      <c r="V608" s="3">
        <f>('SUPUESTOS PRECIOS'!$B$6-'SUPUESTOS PRECIOS'!$B$7)/'SUPUESTOS PRECIOS'!$B$4</f>
        <v>377.5</v>
      </c>
      <c r="W608" s="4">
        <f>'SUPUESTOS PRECIOS'!$B$8</f>
        <v>9.6799999999999994E-3</v>
      </c>
      <c r="X608" s="4">
        <f>'SUPUESTOS PRECIOS'!$B$2</f>
        <v>0.4</v>
      </c>
      <c r="Y608" s="3" t="str">
        <f t="shared" si="37"/>
        <v/>
      </c>
      <c r="Z608" s="3" t="str">
        <f t="shared" si="38"/>
        <v/>
      </c>
      <c r="AA608" s="11" t="str">
        <f t="shared" si="39"/>
        <v/>
      </c>
    </row>
    <row r="609" spans="1:27" x14ac:dyDescent="0.35">
      <c r="A609" s="10" t="s">
        <v>1732</v>
      </c>
      <c r="F609" t="s">
        <v>1358</v>
      </c>
      <c r="K609">
        <v>1</v>
      </c>
      <c r="L609" t="str">
        <f t="shared" si="36"/>
        <v/>
      </c>
      <c r="O609" t="s">
        <v>38</v>
      </c>
      <c r="T609" s="2">
        <f>'SUPUESTOS PRECIOS'!$B$9</f>
        <v>0</v>
      </c>
      <c r="U609" s="3">
        <f>'SUPUESTOS PRECIOS'!$B$5/'SUPUESTOS PRECIOS'!$B$4</f>
        <v>1000</v>
      </c>
      <c r="V609" s="3">
        <f>('SUPUESTOS PRECIOS'!$B$6-'SUPUESTOS PRECIOS'!$B$7)/'SUPUESTOS PRECIOS'!$B$4</f>
        <v>377.5</v>
      </c>
      <c r="W609" s="4">
        <f>'SUPUESTOS PRECIOS'!$B$8</f>
        <v>9.6799999999999994E-3</v>
      </c>
      <c r="X609" s="4">
        <f>'SUPUESTOS PRECIOS'!$B$2</f>
        <v>0.4</v>
      </c>
      <c r="Y609" s="3" t="str">
        <f t="shared" si="37"/>
        <v/>
      </c>
      <c r="Z609" s="3" t="str">
        <f t="shared" si="38"/>
        <v/>
      </c>
      <c r="AA609" s="11" t="str">
        <f t="shared" si="39"/>
        <v/>
      </c>
    </row>
    <row r="610" spans="1:27" x14ac:dyDescent="0.35">
      <c r="A610" s="10" t="s">
        <v>1733</v>
      </c>
      <c r="F610" t="s">
        <v>1358</v>
      </c>
      <c r="K610">
        <v>1</v>
      </c>
      <c r="L610" t="str">
        <f t="shared" si="36"/>
        <v/>
      </c>
      <c r="O610" t="s">
        <v>38</v>
      </c>
      <c r="T610" s="2">
        <f>'SUPUESTOS PRECIOS'!$B$9</f>
        <v>0</v>
      </c>
      <c r="U610" s="3">
        <f>'SUPUESTOS PRECIOS'!$B$5/'SUPUESTOS PRECIOS'!$B$4</f>
        <v>1000</v>
      </c>
      <c r="V610" s="3">
        <f>('SUPUESTOS PRECIOS'!$B$6-'SUPUESTOS PRECIOS'!$B$7)/'SUPUESTOS PRECIOS'!$B$4</f>
        <v>377.5</v>
      </c>
      <c r="W610" s="4">
        <f>'SUPUESTOS PRECIOS'!$B$8</f>
        <v>9.6799999999999994E-3</v>
      </c>
      <c r="X610" s="4">
        <f>'SUPUESTOS PRECIOS'!$B$2</f>
        <v>0.4</v>
      </c>
      <c r="Y610" s="3" t="str">
        <f t="shared" si="37"/>
        <v/>
      </c>
      <c r="Z610" s="3" t="str">
        <f t="shared" si="38"/>
        <v/>
      </c>
      <c r="AA610" s="11" t="str">
        <f t="shared" si="39"/>
        <v/>
      </c>
    </row>
    <row r="611" spans="1:27" x14ac:dyDescent="0.35">
      <c r="A611" s="10" t="s">
        <v>1734</v>
      </c>
      <c r="F611" t="s">
        <v>1358</v>
      </c>
      <c r="K611">
        <v>1</v>
      </c>
      <c r="L611" t="str">
        <f t="shared" si="36"/>
        <v/>
      </c>
      <c r="O611" t="s">
        <v>38</v>
      </c>
      <c r="T611" s="2">
        <f>'SUPUESTOS PRECIOS'!$B$9</f>
        <v>0</v>
      </c>
      <c r="U611" s="3">
        <f>'SUPUESTOS PRECIOS'!$B$5/'SUPUESTOS PRECIOS'!$B$4</f>
        <v>1000</v>
      </c>
      <c r="V611" s="3">
        <f>('SUPUESTOS PRECIOS'!$B$6-'SUPUESTOS PRECIOS'!$B$7)/'SUPUESTOS PRECIOS'!$B$4</f>
        <v>377.5</v>
      </c>
      <c r="W611" s="4">
        <f>'SUPUESTOS PRECIOS'!$B$8</f>
        <v>9.6799999999999994E-3</v>
      </c>
      <c r="X611" s="4">
        <f>'SUPUESTOS PRECIOS'!$B$2</f>
        <v>0.4</v>
      </c>
      <c r="Y611" s="3" t="str">
        <f t="shared" si="37"/>
        <v/>
      </c>
      <c r="Z611" s="3" t="str">
        <f t="shared" si="38"/>
        <v/>
      </c>
      <c r="AA611" s="11" t="str">
        <f t="shared" si="39"/>
        <v/>
      </c>
    </row>
    <row r="612" spans="1:27" x14ac:dyDescent="0.35">
      <c r="A612" s="10" t="s">
        <v>1735</v>
      </c>
      <c r="F612" t="s">
        <v>1358</v>
      </c>
      <c r="K612">
        <v>1</v>
      </c>
      <c r="L612" t="str">
        <f t="shared" si="36"/>
        <v/>
      </c>
      <c r="O612" t="s">
        <v>38</v>
      </c>
      <c r="T612" s="2">
        <f>'SUPUESTOS PRECIOS'!$B$9</f>
        <v>0</v>
      </c>
      <c r="U612" s="3">
        <f>'SUPUESTOS PRECIOS'!$B$5/'SUPUESTOS PRECIOS'!$B$4</f>
        <v>1000</v>
      </c>
      <c r="V612" s="3">
        <f>('SUPUESTOS PRECIOS'!$B$6-'SUPUESTOS PRECIOS'!$B$7)/'SUPUESTOS PRECIOS'!$B$4</f>
        <v>377.5</v>
      </c>
      <c r="W612" s="4">
        <f>'SUPUESTOS PRECIOS'!$B$8</f>
        <v>9.6799999999999994E-3</v>
      </c>
      <c r="X612" s="4">
        <f>'SUPUESTOS PRECIOS'!$B$2</f>
        <v>0.4</v>
      </c>
      <c r="Y612" s="3" t="str">
        <f t="shared" si="37"/>
        <v/>
      </c>
      <c r="Z612" s="3" t="str">
        <f t="shared" si="38"/>
        <v/>
      </c>
      <c r="AA612" s="11" t="str">
        <f t="shared" si="39"/>
        <v/>
      </c>
    </row>
    <row r="613" spans="1:27" x14ac:dyDescent="0.35">
      <c r="A613" s="10" t="s">
        <v>1736</v>
      </c>
      <c r="F613" t="s">
        <v>1358</v>
      </c>
      <c r="K613">
        <v>1</v>
      </c>
      <c r="L613" t="str">
        <f t="shared" si="36"/>
        <v/>
      </c>
      <c r="O613" t="s">
        <v>38</v>
      </c>
      <c r="T613" s="2">
        <f>'SUPUESTOS PRECIOS'!$B$9</f>
        <v>0</v>
      </c>
      <c r="U613" s="3">
        <f>'SUPUESTOS PRECIOS'!$B$5/'SUPUESTOS PRECIOS'!$B$4</f>
        <v>1000</v>
      </c>
      <c r="V613" s="3">
        <f>('SUPUESTOS PRECIOS'!$B$6-'SUPUESTOS PRECIOS'!$B$7)/'SUPUESTOS PRECIOS'!$B$4</f>
        <v>377.5</v>
      </c>
      <c r="W613" s="4">
        <f>'SUPUESTOS PRECIOS'!$B$8</f>
        <v>9.6799999999999994E-3</v>
      </c>
      <c r="X613" s="4">
        <f>'SUPUESTOS PRECIOS'!$B$2</f>
        <v>0.4</v>
      </c>
      <c r="Y613" s="3" t="str">
        <f t="shared" si="37"/>
        <v/>
      </c>
      <c r="Z613" s="3" t="str">
        <f t="shared" si="38"/>
        <v/>
      </c>
      <c r="AA613" s="11" t="str">
        <f t="shared" si="39"/>
        <v/>
      </c>
    </row>
    <row r="614" spans="1:27" x14ac:dyDescent="0.35">
      <c r="A614" s="10" t="s">
        <v>1737</v>
      </c>
      <c r="F614" t="s">
        <v>1358</v>
      </c>
      <c r="K614">
        <v>1</v>
      </c>
      <c r="L614" t="str">
        <f t="shared" si="36"/>
        <v/>
      </c>
      <c r="O614" t="s">
        <v>38</v>
      </c>
      <c r="T614" s="2">
        <f>'SUPUESTOS PRECIOS'!$B$9</f>
        <v>0</v>
      </c>
      <c r="U614" s="3">
        <f>'SUPUESTOS PRECIOS'!$B$5/'SUPUESTOS PRECIOS'!$B$4</f>
        <v>1000</v>
      </c>
      <c r="V614" s="3">
        <f>('SUPUESTOS PRECIOS'!$B$6-'SUPUESTOS PRECIOS'!$B$7)/'SUPUESTOS PRECIOS'!$B$4</f>
        <v>377.5</v>
      </c>
      <c r="W614" s="4">
        <f>'SUPUESTOS PRECIOS'!$B$8</f>
        <v>9.6799999999999994E-3</v>
      </c>
      <c r="X614" s="4">
        <f>'SUPUESTOS PRECIOS'!$B$2</f>
        <v>0.4</v>
      </c>
      <c r="Y614" s="3" t="str">
        <f t="shared" si="37"/>
        <v/>
      </c>
      <c r="Z614" s="3" t="str">
        <f t="shared" si="38"/>
        <v/>
      </c>
      <c r="AA614" s="11" t="str">
        <f t="shared" si="39"/>
        <v/>
      </c>
    </row>
    <row r="615" spans="1:27" x14ac:dyDescent="0.35">
      <c r="A615" s="10" t="s">
        <v>1738</v>
      </c>
      <c r="F615" t="s">
        <v>1358</v>
      </c>
      <c r="K615">
        <v>1</v>
      </c>
      <c r="L615" t="str">
        <f t="shared" si="36"/>
        <v/>
      </c>
      <c r="O615" t="s">
        <v>38</v>
      </c>
      <c r="T615" s="2">
        <f>'SUPUESTOS PRECIOS'!$B$9</f>
        <v>0</v>
      </c>
      <c r="U615" s="3">
        <f>'SUPUESTOS PRECIOS'!$B$5/'SUPUESTOS PRECIOS'!$B$4</f>
        <v>1000</v>
      </c>
      <c r="V615" s="3">
        <f>('SUPUESTOS PRECIOS'!$B$6-'SUPUESTOS PRECIOS'!$B$7)/'SUPUESTOS PRECIOS'!$B$4</f>
        <v>377.5</v>
      </c>
      <c r="W615" s="4">
        <f>'SUPUESTOS PRECIOS'!$B$8</f>
        <v>9.6799999999999994E-3</v>
      </c>
      <c r="X615" s="4">
        <f>'SUPUESTOS PRECIOS'!$B$2</f>
        <v>0.4</v>
      </c>
      <c r="Y615" s="3" t="str">
        <f t="shared" si="37"/>
        <v/>
      </c>
      <c r="Z615" s="3" t="str">
        <f t="shared" si="38"/>
        <v/>
      </c>
      <c r="AA615" s="11" t="str">
        <f t="shared" si="39"/>
        <v/>
      </c>
    </row>
    <row r="616" spans="1:27" x14ac:dyDescent="0.35">
      <c r="A616" s="10" t="s">
        <v>1739</v>
      </c>
      <c r="F616" t="s">
        <v>1358</v>
      </c>
      <c r="K616">
        <v>1</v>
      </c>
      <c r="L616" t="str">
        <f t="shared" si="36"/>
        <v/>
      </c>
      <c r="O616" t="s">
        <v>38</v>
      </c>
      <c r="T616" s="2">
        <f>'SUPUESTOS PRECIOS'!$B$9</f>
        <v>0</v>
      </c>
      <c r="U616" s="3">
        <f>'SUPUESTOS PRECIOS'!$B$5/'SUPUESTOS PRECIOS'!$B$4</f>
        <v>1000</v>
      </c>
      <c r="V616" s="3">
        <f>('SUPUESTOS PRECIOS'!$B$6-'SUPUESTOS PRECIOS'!$B$7)/'SUPUESTOS PRECIOS'!$B$4</f>
        <v>377.5</v>
      </c>
      <c r="W616" s="4">
        <f>'SUPUESTOS PRECIOS'!$B$8</f>
        <v>9.6799999999999994E-3</v>
      </c>
      <c r="X616" s="4">
        <f>'SUPUESTOS PRECIOS'!$B$2</f>
        <v>0.4</v>
      </c>
      <c r="Y616" s="3" t="str">
        <f t="shared" si="37"/>
        <v/>
      </c>
      <c r="Z616" s="3" t="str">
        <f t="shared" si="38"/>
        <v/>
      </c>
      <c r="AA616" s="11" t="str">
        <f t="shared" si="39"/>
        <v/>
      </c>
    </row>
    <row r="617" spans="1:27" x14ac:dyDescent="0.35">
      <c r="A617" s="10" t="s">
        <v>1740</v>
      </c>
      <c r="F617" t="s">
        <v>1358</v>
      </c>
      <c r="K617">
        <v>1</v>
      </c>
      <c r="L617" t="str">
        <f t="shared" si="36"/>
        <v/>
      </c>
      <c r="O617" t="s">
        <v>38</v>
      </c>
      <c r="T617" s="2">
        <f>'SUPUESTOS PRECIOS'!$B$9</f>
        <v>0</v>
      </c>
      <c r="U617" s="3">
        <f>'SUPUESTOS PRECIOS'!$B$5/'SUPUESTOS PRECIOS'!$B$4</f>
        <v>1000</v>
      </c>
      <c r="V617" s="3">
        <f>('SUPUESTOS PRECIOS'!$B$6-'SUPUESTOS PRECIOS'!$B$7)/'SUPUESTOS PRECIOS'!$B$4</f>
        <v>377.5</v>
      </c>
      <c r="W617" s="4">
        <f>'SUPUESTOS PRECIOS'!$B$8</f>
        <v>9.6799999999999994E-3</v>
      </c>
      <c r="X617" s="4">
        <f>'SUPUESTOS PRECIOS'!$B$2</f>
        <v>0.4</v>
      </c>
      <c r="Y617" s="3" t="str">
        <f t="shared" si="37"/>
        <v/>
      </c>
      <c r="Z617" s="3" t="str">
        <f t="shared" si="38"/>
        <v/>
      </c>
      <c r="AA617" s="11" t="str">
        <f t="shared" si="39"/>
        <v/>
      </c>
    </row>
    <row r="618" spans="1:27" x14ac:dyDescent="0.35">
      <c r="A618" s="10" t="s">
        <v>1741</v>
      </c>
      <c r="F618" t="s">
        <v>1358</v>
      </c>
      <c r="K618">
        <v>1</v>
      </c>
      <c r="L618" t="str">
        <f t="shared" si="36"/>
        <v/>
      </c>
      <c r="O618" t="s">
        <v>38</v>
      </c>
      <c r="T618" s="2">
        <f>'SUPUESTOS PRECIOS'!$B$9</f>
        <v>0</v>
      </c>
      <c r="U618" s="3">
        <f>'SUPUESTOS PRECIOS'!$B$5/'SUPUESTOS PRECIOS'!$B$4</f>
        <v>1000</v>
      </c>
      <c r="V618" s="3">
        <f>('SUPUESTOS PRECIOS'!$B$6-'SUPUESTOS PRECIOS'!$B$7)/'SUPUESTOS PRECIOS'!$B$4</f>
        <v>377.5</v>
      </c>
      <c r="W618" s="4">
        <f>'SUPUESTOS PRECIOS'!$B$8</f>
        <v>9.6799999999999994E-3</v>
      </c>
      <c r="X618" s="4">
        <f>'SUPUESTOS PRECIOS'!$B$2</f>
        <v>0.4</v>
      </c>
      <c r="Y618" s="3" t="str">
        <f t="shared" si="37"/>
        <v/>
      </c>
      <c r="Z618" s="3" t="str">
        <f t="shared" si="38"/>
        <v/>
      </c>
      <c r="AA618" s="11" t="str">
        <f t="shared" si="39"/>
        <v/>
      </c>
    </row>
    <row r="619" spans="1:27" x14ac:dyDescent="0.35">
      <c r="A619" s="10" t="s">
        <v>1742</v>
      </c>
      <c r="F619" t="s">
        <v>1358</v>
      </c>
      <c r="K619">
        <v>1</v>
      </c>
      <c r="L619" t="str">
        <f t="shared" si="36"/>
        <v/>
      </c>
      <c r="O619" t="s">
        <v>38</v>
      </c>
      <c r="T619" s="2">
        <f>'SUPUESTOS PRECIOS'!$B$9</f>
        <v>0</v>
      </c>
      <c r="U619" s="3">
        <f>'SUPUESTOS PRECIOS'!$B$5/'SUPUESTOS PRECIOS'!$B$4</f>
        <v>1000</v>
      </c>
      <c r="V619" s="3">
        <f>('SUPUESTOS PRECIOS'!$B$6-'SUPUESTOS PRECIOS'!$B$7)/'SUPUESTOS PRECIOS'!$B$4</f>
        <v>377.5</v>
      </c>
      <c r="W619" s="4">
        <f>'SUPUESTOS PRECIOS'!$B$8</f>
        <v>9.6799999999999994E-3</v>
      </c>
      <c r="X619" s="4">
        <f>'SUPUESTOS PRECIOS'!$B$2</f>
        <v>0.4</v>
      </c>
      <c r="Y619" s="3" t="str">
        <f t="shared" si="37"/>
        <v/>
      </c>
      <c r="Z619" s="3" t="str">
        <f t="shared" si="38"/>
        <v/>
      </c>
      <c r="AA619" s="11" t="str">
        <f t="shared" si="39"/>
        <v/>
      </c>
    </row>
    <row r="620" spans="1:27" x14ac:dyDescent="0.35">
      <c r="A620" s="10" t="s">
        <v>1743</v>
      </c>
      <c r="F620" t="s">
        <v>1358</v>
      </c>
      <c r="K620">
        <v>1</v>
      </c>
      <c r="L620" t="str">
        <f t="shared" si="36"/>
        <v/>
      </c>
      <c r="O620" t="s">
        <v>38</v>
      </c>
      <c r="T620" s="2">
        <f>'SUPUESTOS PRECIOS'!$B$9</f>
        <v>0</v>
      </c>
      <c r="U620" s="3">
        <f>'SUPUESTOS PRECIOS'!$B$5/'SUPUESTOS PRECIOS'!$B$4</f>
        <v>1000</v>
      </c>
      <c r="V620" s="3">
        <f>('SUPUESTOS PRECIOS'!$B$6-'SUPUESTOS PRECIOS'!$B$7)/'SUPUESTOS PRECIOS'!$B$4</f>
        <v>377.5</v>
      </c>
      <c r="W620" s="4">
        <f>'SUPUESTOS PRECIOS'!$B$8</f>
        <v>9.6799999999999994E-3</v>
      </c>
      <c r="X620" s="4">
        <f>'SUPUESTOS PRECIOS'!$B$2</f>
        <v>0.4</v>
      </c>
      <c r="Y620" s="3" t="str">
        <f t="shared" si="37"/>
        <v/>
      </c>
      <c r="Z620" s="3" t="str">
        <f t="shared" si="38"/>
        <v/>
      </c>
      <c r="AA620" s="11" t="str">
        <f t="shared" si="39"/>
        <v/>
      </c>
    </row>
    <row r="621" spans="1:27" x14ac:dyDescent="0.35">
      <c r="A621" s="10" t="s">
        <v>1744</v>
      </c>
      <c r="F621" t="s">
        <v>1358</v>
      </c>
      <c r="K621">
        <v>1</v>
      </c>
      <c r="L621" t="str">
        <f t="shared" si="36"/>
        <v/>
      </c>
      <c r="O621" t="s">
        <v>38</v>
      </c>
      <c r="T621" s="2">
        <f>'SUPUESTOS PRECIOS'!$B$9</f>
        <v>0</v>
      </c>
      <c r="U621" s="3">
        <f>'SUPUESTOS PRECIOS'!$B$5/'SUPUESTOS PRECIOS'!$B$4</f>
        <v>1000</v>
      </c>
      <c r="V621" s="3">
        <f>('SUPUESTOS PRECIOS'!$B$6-'SUPUESTOS PRECIOS'!$B$7)/'SUPUESTOS PRECIOS'!$B$4</f>
        <v>377.5</v>
      </c>
      <c r="W621" s="4">
        <f>'SUPUESTOS PRECIOS'!$B$8</f>
        <v>9.6799999999999994E-3</v>
      </c>
      <c r="X621" s="4">
        <f>'SUPUESTOS PRECIOS'!$B$2</f>
        <v>0.4</v>
      </c>
      <c r="Y621" s="3" t="str">
        <f t="shared" si="37"/>
        <v/>
      </c>
      <c r="Z621" s="3" t="str">
        <f t="shared" si="38"/>
        <v/>
      </c>
      <c r="AA621" s="11" t="str">
        <f t="shared" si="39"/>
        <v/>
      </c>
    </row>
    <row r="622" spans="1:27" x14ac:dyDescent="0.35">
      <c r="A622" s="10" t="s">
        <v>1745</v>
      </c>
      <c r="F622" t="s">
        <v>1358</v>
      </c>
      <c r="K622">
        <v>1</v>
      </c>
      <c r="L622" t="str">
        <f t="shared" si="36"/>
        <v/>
      </c>
      <c r="O622" t="s">
        <v>38</v>
      </c>
      <c r="T622" s="2">
        <f>'SUPUESTOS PRECIOS'!$B$9</f>
        <v>0</v>
      </c>
      <c r="U622" s="3">
        <f>'SUPUESTOS PRECIOS'!$B$5/'SUPUESTOS PRECIOS'!$B$4</f>
        <v>1000</v>
      </c>
      <c r="V622" s="3">
        <f>('SUPUESTOS PRECIOS'!$B$6-'SUPUESTOS PRECIOS'!$B$7)/'SUPUESTOS PRECIOS'!$B$4</f>
        <v>377.5</v>
      </c>
      <c r="W622" s="4">
        <f>'SUPUESTOS PRECIOS'!$B$8</f>
        <v>9.6799999999999994E-3</v>
      </c>
      <c r="X622" s="4">
        <f>'SUPUESTOS PRECIOS'!$B$2</f>
        <v>0.4</v>
      </c>
      <c r="Y622" s="3" t="str">
        <f t="shared" si="37"/>
        <v/>
      </c>
      <c r="Z622" s="3" t="str">
        <f t="shared" si="38"/>
        <v/>
      </c>
      <c r="AA622" s="11" t="str">
        <f t="shared" si="39"/>
        <v/>
      </c>
    </row>
    <row r="623" spans="1:27" x14ac:dyDescent="0.35">
      <c r="A623" s="10" t="s">
        <v>1746</v>
      </c>
      <c r="F623" t="s">
        <v>1358</v>
      </c>
      <c r="K623">
        <v>1</v>
      </c>
      <c r="L623" t="str">
        <f t="shared" si="36"/>
        <v/>
      </c>
      <c r="O623" t="s">
        <v>38</v>
      </c>
      <c r="T623" s="2">
        <f>'SUPUESTOS PRECIOS'!$B$9</f>
        <v>0</v>
      </c>
      <c r="U623" s="3">
        <f>'SUPUESTOS PRECIOS'!$B$5/'SUPUESTOS PRECIOS'!$B$4</f>
        <v>1000</v>
      </c>
      <c r="V623" s="3">
        <f>('SUPUESTOS PRECIOS'!$B$6-'SUPUESTOS PRECIOS'!$B$7)/'SUPUESTOS PRECIOS'!$B$4</f>
        <v>377.5</v>
      </c>
      <c r="W623" s="4">
        <f>'SUPUESTOS PRECIOS'!$B$8</f>
        <v>9.6799999999999994E-3</v>
      </c>
      <c r="X623" s="4">
        <f>'SUPUESTOS PRECIOS'!$B$2</f>
        <v>0.4</v>
      </c>
      <c r="Y623" s="3" t="str">
        <f t="shared" si="37"/>
        <v/>
      </c>
      <c r="Z623" s="3" t="str">
        <f t="shared" si="38"/>
        <v/>
      </c>
      <c r="AA623" s="11" t="str">
        <f t="shared" si="39"/>
        <v/>
      </c>
    </row>
    <row r="624" spans="1:27" x14ac:dyDescent="0.35">
      <c r="A624" s="10" t="s">
        <v>1747</v>
      </c>
      <c r="F624" t="s">
        <v>1358</v>
      </c>
      <c r="K624">
        <v>1</v>
      </c>
      <c r="L624" t="str">
        <f t="shared" si="36"/>
        <v/>
      </c>
      <c r="O624" t="s">
        <v>38</v>
      </c>
      <c r="T624" s="2">
        <f>'SUPUESTOS PRECIOS'!$B$9</f>
        <v>0</v>
      </c>
      <c r="U624" s="3">
        <f>'SUPUESTOS PRECIOS'!$B$5/'SUPUESTOS PRECIOS'!$B$4</f>
        <v>1000</v>
      </c>
      <c r="V624" s="3">
        <f>('SUPUESTOS PRECIOS'!$B$6-'SUPUESTOS PRECIOS'!$B$7)/'SUPUESTOS PRECIOS'!$B$4</f>
        <v>377.5</v>
      </c>
      <c r="W624" s="4">
        <f>'SUPUESTOS PRECIOS'!$B$8</f>
        <v>9.6799999999999994E-3</v>
      </c>
      <c r="X624" s="4">
        <f>'SUPUESTOS PRECIOS'!$B$2</f>
        <v>0.4</v>
      </c>
      <c r="Y624" s="3" t="str">
        <f t="shared" si="37"/>
        <v/>
      </c>
      <c r="Z624" s="3" t="str">
        <f t="shared" si="38"/>
        <v/>
      </c>
      <c r="AA624" s="11" t="str">
        <f t="shared" si="39"/>
        <v/>
      </c>
    </row>
    <row r="625" spans="1:27" x14ac:dyDescent="0.35">
      <c r="A625" s="10" t="s">
        <v>1748</v>
      </c>
      <c r="F625" t="s">
        <v>1358</v>
      </c>
      <c r="K625">
        <v>1</v>
      </c>
      <c r="L625" t="str">
        <f t="shared" si="36"/>
        <v/>
      </c>
      <c r="O625" t="s">
        <v>38</v>
      </c>
      <c r="T625" s="2">
        <f>'SUPUESTOS PRECIOS'!$B$9</f>
        <v>0</v>
      </c>
      <c r="U625" s="3">
        <f>'SUPUESTOS PRECIOS'!$B$5/'SUPUESTOS PRECIOS'!$B$4</f>
        <v>1000</v>
      </c>
      <c r="V625" s="3">
        <f>('SUPUESTOS PRECIOS'!$B$6-'SUPUESTOS PRECIOS'!$B$7)/'SUPUESTOS PRECIOS'!$B$4</f>
        <v>377.5</v>
      </c>
      <c r="W625" s="4">
        <f>'SUPUESTOS PRECIOS'!$B$8</f>
        <v>9.6799999999999994E-3</v>
      </c>
      <c r="X625" s="4">
        <f>'SUPUESTOS PRECIOS'!$B$2</f>
        <v>0.4</v>
      </c>
      <c r="Y625" s="3" t="str">
        <f t="shared" si="37"/>
        <v/>
      </c>
      <c r="Z625" s="3" t="str">
        <f t="shared" si="38"/>
        <v/>
      </c>
      <c r="AA625" s="11" t="str">
        <f t="shared" si="39"/>
        <v/>
      </c>
    </row>
    <row r="626" spans="1:27" x14ac:dyDescent="0.35">
      <c r="A626" s="10" t="s">
        <v>1749</v>
      </c>
      <c r="F626" t="s">
        <v>1358</v>
      </c>
      <c r="K626">
        <v>1</v>
      </c>
      <c r="L626" t="str">
        <f t="shared" si="36"/>
        <v/>
      </c>
      <c r="O626" t="s">
        <v>38</v>
      </c>
      <c r="T626" s="2">
        <f>'SUPUESTOS PRECIOS'!$B$9</f>
        <v>0</v>
      </c>
      <c r="U626" s="3">
        <f>'SUPUESTOS PRECIOS'!$B$5/'SUPUESTOS PRECIOS'!$B$4</f>
        <v>1000</v>
      </c>
      <c r="V626" s="3">
        <f>('SUPUESTOS PRECIOS'!$B$6-'SUPUESTOS PRECIOS'!$B$7)/'SUPUESTOS PRECIOS'!$B$4</f>
        <v>377.5</v>
      </c>
      <c r="W626" s="4">
        <f>'SUPUESTOS PRECIOS'!$B$8</f>
        <v>9.6799999999999994E-3</v>
      </c>
      <c r="X626" s="4">
        <f>'SUPUESTOS PRECIOS'!$B$2</f>
        <v>0.4</v>
      </c>
      <c r="Y626" s="3" t="str">
        <f t="shared" si="37"/>
        <v/>
      </c>
      <c r="Z626" s="3" t="str">
        <f t="shared" si="38"/>
        <v/>
      </c>
      <c r="AA626" s="11" t="str">
        <f t="shared" si="39"/>
        <v/>
      </c>
    </row>
    <row r="627" spans="1:27" x14ac:dyDescent="0.35">
      <c r="A627" s="10" t="s">
        <v>1750</v>
      </c>
      <c r="F627" t="s">
        <v>1358</v>
      </c>
      <c r="K627">
        <v>1</v>
      </c>
      <c r="L627" t="str">
        <f t="shared" si="36"/>
        <v/>
      </c>
      <c r="O627" t="s">
        <v>38</v>
      </c>
      <c r="T627" s="2">
        <f>'SUPUESTOS PRECIOS'!$B$9</f>
        <v>0</v>
      </c>
      <c r="U627" s="3">
        <f>'SUPUESTOS PRECIOS'!$B$5/'SUPUESTOS PRECIOS'!$B$4</f>
        <v>1000</v>
      </c>
      <c r="V627" s="3">
        <f>('SUPUESTOS PRECIOS'!$B$6-'SUPUESTOS PRECIOS'!$B$7)/'SUPUESTOS PRECIOS'!$B$4</f>
        <v>377.5</v>
      </c>
      <c r="W627" s="4">
        <f>'SUPUESTOS PRECIOS'!$B$8</f>
        <v>9.6799999999999994E-3</v>
      </c>
      <c r="X627" s="4">
        <f>'SUPUESTOS PRECIOS'!$B$2</f>
        <v>0.4</v>
      </c>
      <c r="Y627" s="3" t="str">
        <f t="shared" si="37"/>
        <v/>
      </c>
      <c r="Z627" s="3" t="str">
        <f t="shared" si="38"/>
        <v/>
      </c>
      <c r="AA627" s="11" t="str">
        <f t="shared" si="39"/>
        <v/>
      </c>
    </row>
    <row r="628" spans="1:27" x14ac:dyDescent="0.35">
      <c r="A628" s="10" t="s">
        <v>1751</v>
      </c>
      <c r="F628" t="s">
        <v>1358</v>
      </c>
      <c r="K628">
        <v>1</v>
      </c>
      <c r="L628" t="str">
        <f t="shared" si="36"/>
        <v/>
      </c>
      <c r="O628" t="s">
        <v>38</v>
      </c>
      <c r="T628" s="2">
        <f>'SUPUESTOS PRECIOS'!$B$9</f>
        <v>0</v>
      </c>
      <c r="U628" s="3">
        <f>'SUPUESTOS PRECIOS'!$B$5/'SUPUESTOS PRECIOS'!$B$4</f>
        <v>1000</v>
      </c>
      <c r="V628" s="3">
        <f>('SUPUESTOS PRECIOS'!$B$6-'SUPUESTOS PRECIOS'!$B$7)/'SUPUESTOS PRECIOS'!$B$4</f>
        <v>377.5</v>
      </c>
      <c r="W628" s="4">
        <f>'SUPUESTOS PRECIOS'!$B$8</f>
        <v>9.6799999999999994E-3</v>
      </c>
      <c r="X628" s="4">
        <f>'SUPUESTOS PRECIOS'!$B$2</f>
        <v>0.4</v>
      </c>
      <c r="Y628" s="3" t="str">
        <f t="shared" si="37"/>
        <v/>
      </c>
      <c r="Z628" s="3" t="str">
        <f t="shared" si="38"/>
        <v/>
      </c>
      <c r="AA628" s="11" t="str">
        <f t="shared" si="39"/>
        <v/>
      </c>
    </row>
    <row r="629" spans="1:27" x14ac:dyDescent="0.35">
      <c r="A629" s="10" t="s">
        <v>1752</v>
      </c>
      <c r="F629" t="s">
        <v>1358</v>
      </c>
      <c r="K629">
        <v>1</v>
      </c>
      <c r="L629" t="str">
        <f t="shared" si="36"/>
        <v/>
      </c>
      <c r="O629" t="s">
        <v>38</v>
      </c>
      <c r="T629" s="2">
        <f>'SUPUESTOS PRECIOS'!$B$9</f>
        <v>0</v>
      </c>
      <c r="U629" s="3">
        <f>'SUPUESTOS PRECIOS'!$B$5/'SUPUESTOS PRECIOS'!$B$4</f>
        <v>1000</v>
      </c>
      <c r="V629" s="3">
        <f>('SUPUESTOS PRECIOS'!$B$6-'SUPUESTOS PRECIOS'!$B$7)/'SUPUESTOS PRECIOS'!$B$4</f>
        <v>377.5</v>
      </c>
      <c r="W629" s="4">
        <f>'SUPUESTOS PRECIOS'!$B$8</f>
        <v>9.6799999999999994E-3</v>
      </c>
      <c r="X629" s="4">
        <f>'SUPUESTOS PRECIOS'!$B$2</f>
        <v>0.4</v>
      </c>
      <c r="Y629" s="3" t="str">
        <f t="shared" si="37"/>
        <v/>
      </c>
      <c r="Z629" s="3" t="str">
        <f t="shared" si="38"/>
        <v/>
      </c>
      <c r="AA629" s="11" t="str">
        <f t="shared" si="39"/>
        <v/>
      </c>
    </row>
    <row r="630" spans="1:27" x14ac:dyDescent="0.35">
      <c r="A630" s="10" t="s">
        <v>1753</v>
      </c>
      <c r="F630" t="s">
        <v>1358</v>
      </c>
      <c r="K630">
        <v>1</v>
      </c>
      <c r="L630" t="str">
        <f t="shared" si="36"/>
        <v/>
      </c>
      <c r="O630" t="s">
        <v>38</v>
      </c>
      <c r="T630" s="2">
        <f>'SUPUESTOS PRECIOS'!$B$9</f>
        <v>0</v>
      </c>
      <c r="U630" s="3">
        <f>'SUPUESTOS PRECIOS'!$B$5/'SUPUESTOS PRECIOS'!$B$4</f>
        <v>1000</v>
      </c>
      <c r="V630" s="3">
        <f>('SUPUESTOS PRECIOS'!$B$6-'SUPUESTOS PRECIOS'!$B$7)/'SUPUESTOS PRECIOS'!$B$4</f>
        <v>377.5</v>
      </c>
      <c r="W630" s="4">
        <f>'SUPUESTOS PRECIOS'!$B$8</f>
        <v>9.6799999999999994E-3</v>
      </c>
      <c r="X630" s="4">
        <f>'SUPUESTOS PRECIOS'!$B$2</f>
        <v>0.4</v>
      </c>
      <c r="Y630" s="3" t="str">
        <f t="shared" si="37"/>
        <v/>
      </c>
      <c r="Z630" s="3" t="str">
        <f t="shared" si="38"/>
        <v/>
      </c>
      <c r="AA630" s="11" t="str">
        <f t="shared" si="39"/>
        <v/>
      </c>
    </row>
    <row r="631" spans="1:27" x14ac:dyDescent="0.35">
      <c r="A631" s="10" t="s">
        <v>1754</v>
      </c>
      <c r="F631" t="s">
        <v>1358</v>
      </c>
      <c r="K631">
        <v>1</v>
      </c>
      <c r="L631" t="str">
        <f t="shared" si="36"/>
        <v/>
      </c>
      <c r="O631" t="s">
        <v>38</v>
      </c>
      <c r="T631" s="2">
        <f>'SUPUESTOS PRECIOS'!$B$9</f>
        <v>0</v>
      </c>
      <c r="U631" s="3">
        <f>'SUPUESTOS PRECIOS'!$B$5/'SUPUESTOS PRECIOS'!$B$4</f>
        <v>1000</v>
      </c>
      <c r="V631" s="3">
        <f>('SUPUESTOS PRECIOS'!$B$6-'SUPUESTOS PRECIOS'!$B$7)/'SUPUESTOS PRECIOS'!$B$4</f>
        <v>377.5</v>
      </c>
      <c r="W631" s="4">
        <f>'SUPUESTOS PRECIOS'!$B$8</f>
        <v>9.6799999999999994E-3</v>
      </c>
      <c r="X631" s="4">
        <f>'SUPUESTOS PRECIOS'!$B$2</f>
        <v>0.4</v>
      </c>
      <c r="Y631" s="3" t="str">
        <f t="shared" si="37"/>
        <v/>
      </c>
      <c r="Z631" s="3" t="str">
        <f t="shared" si="38"/>
        <v/>
      </c>
      <c r="AA631" s="11" t="str">
        <f t="shared" si="39"/>
        <v/>
      </c>
    </row>
    <row r="632" spans="1:27" x14ac:dyDescent="0.35">
      <c r="A632" s="10" t="s">
        <v>1755</v>
      </c>
      <c r="F632" t="s">
        <v>1358</v>
      </c>
      <c r="K632">
        <v>1</v>
      </c>
      <c r="L632" t="str">
        <f t="shared" si="36"/>
        <v/>
      </c>
      <c r="O632" t="s">
        <v>38</v>
      </c>
      <c r="T632" s="2">
        <f>'SUPUESTOS PRECIOS'!$B$9</f>
        <v>0</v>
      </c>
      <c r="U632" s="3">
        <f>'SUPUESTOS PRECIOS'!$B$5/'SUPUESTOS PRECIOS'!$B$4</f>
        <v>1000</v>
      </c>
      <c r="V632" s="3">
        <f>('SUPUESTOS PRECIOS'!$B$6-'SUPUESTOS PRECIOS'!$B$7)/'SUPUESTOS PRECIOS'!$B$4</f>
        <v>377.5</v>
      </c>
      <c r="W632" s="4">
        <f>'SUPUESTOS PRECIOS'!$B$8</f>
        <v>9.6799999999999994E-3</v>
      </c>
      <c r="X632" s="4">
        <f>'SUPUESTOS PRECIOS'!$B$2</f>
        <v>0.4</v>
      </c>
      <c r="Y632" s="3" t="str">
        <f t="shared" si="37"/>
        <v/>
      </c>
      <c r="Z632" s="3" t="str">
        <f t="shared" si="38"/>
        <v/>
      </c>
      <c r="AA632" s="11" t="str">
        <f t="shared" si="39"/>
        <v/>
      </c>
    </row>
    <row r="633" spans="1:27" x14ac:dyDescent="0.35">
      <c r="A633" s="10" t="s">
        <v>1756</v>
      </c>
      <c r="F633" t="s">
        <v>1358</v>
      </c>
      <c r="K633">
        <v>1</v>
      </c>
      <c r="L633" t="str">
        <f t="shared" si="36"/>
        <v/>
      </c>
      <c r="O633" t="s">
        <v>38</v>
      </c>
      <c r="T633" s="2">
        <f>'SUPUESTOS PRECIOS'!$B$9</f>
        <v>0</v>
      </c>
      <c r="U633" s="3">
        <f>'SUPUESTOS PRECIOS'!$B$5/'SUPUESTOS PRECIOS'!$B$4</f>
        <v>1000</v>
      </c>
      <c r="V633" s="3">
        <f>('SUPUESTOS PRECIOS'!$B$6-'SUPUESTOS PRECIOS'!$B$7)/'SUPUESTOS PRECIOS'!$B$4</f>
        <v>377.5</v>
      </c>
      <c r="W633" s="4">
        <f>'SUPUESTOS PRECIOS'!$B$8</f>
        <v>9.6799999999999994E-3</v>
      </c>
      <c r="X633" s="4">
        <f>'SUPUESTOS PRECIOS'!$B$2</f>
        <v>0.4</v>
      </c>
      <c r="Y633" s="3" t="str">
        <f t="shared" si="37"/>
        <v/>
      </c>
      <c r="Z633" s="3" t="str">
        <f t="shared" si="38"/>
        <v/>
      </c>
      <c r="AA633" s="11" t="str">
        <f t="shared" si="39"/>
        <v/>
      </c>
    </row>
    <row r="634" spans="1:27" x14ac:dyDescent="0.35">
      <c r="A634" s="10" t="s">
        <v>1757</v>
      </c>
      <c r="F634" t="s">
        <v>1358</v>
      </c>
      <c r="K634">
        <v>1</v>
      </c>
      <c r="L634" t="str">
        <f t="shared" si="36"/>
        <v/>
      </c>
      <c r="O634" t="s">
        <v>38</v>
      </c>
      <c r="T634" s="2">
        <f>'SUPUESTOS PRECIOS'!$B$9</f>
        <v>0</v>
      </c>
      <c r="U634" s="3">
        <f>'SUPUESTOS PRECIOS'!$B$5/'SUPUESTOS PRECIOS'!$B$4</f>
        <v>1000</v>
      </c>
      <c r="V634" s="3">
        <f>('SUPUESTOS PRECIOS'!$B$6-'SUPUESTOS PRECIOS'!$B$7)/'SUPUESTOS PRECIOS'!$B$4</f>
        <v>377.5</v>
      </c>
      <c r="W634" s="4">
        <f>'SUPUESTOS PRECIOS'!$B$8</f>
        <v>9.6799999999999994E-3</v>
      </c>
      <c r="X634" s="4">
        <f>'SUPUESTOS PRECIOS'!$B$2</f>
        <v>0.4</v>
      </c>
      <c r="Y634" s="3" t="str">
        <f t="shared" si="37"/>
        <v/>
      </c>
      <c r="Z634" s="3" t="str">
        <f t="shared" si="38"/>
        <v/>
      </c>
      <c r="AA634" s="11" t="str">
        <f t="shared" si="39"/>
        <v/>
      </c>
    </row>
    <row r="635" spans="1:27" x14ac:dyDescent="0.35">
      <c r="A635" s="10" t="s">
        <v>1758</v>
      </c>
      <c r="F635" t="s">
        <v>1358</v>
      </c>
      <c r="K635">
        <v>1</v>
      </c>
      <c r="L635" t="str">
        <f t="shared" si="36"/>
        <v/>
      </c>
      <c r="O635" t="s">
        <v>38</v>
      </c>
      <c r="T635" s="2">
        <f>'SUPUESTOS PRECIOS'!$B$9</f>
        <v>0</v>
      </c>
      <c r="U635" s="3">
        <f>'SUPUESTOS PRECIOS'!$B$5/'SUPUESTOS PRECIOS'!$B$4</f>
        <v>1000</v>
      </c>
      <c r="V635" s="3">
        <f>('SUPUESTOS PRECIOS'!$B$6-'SUPUESTOS PRECIOS'!$B$7)/'SUPUESTOS PRECIOS'!$B$4</f>
        <v>377.5</v>
      </c>
      <c r="W635" s="4">
        <f>'SUPUESTOS PRECIOS'!$B$8</f>
        <v>9.6799999999999994E-3</v>
      </c>
      <c r="X635" s="4">
        <f>'SUPUESTOS PRECIOS'!$B$2</f>
        <v>0.4</v>
      </c>
      <c r="Y635" s="3" t="str">
        <f t="shared" si="37"/>
        <v/>
      </c>
      <c r="Z635" s="3" t="str">
        <f t="shared" si="38"/>
        <v/>
      </c>
      <c r="AA635" s="11" t="str">
        <f t="shared" si="39"/>
        <v/>
      </c>
    </row>
    <row r="636" spans="1:27" x14ac:dyDescent="0.35">
      <c r="A636" s="10" t="s">
        <v>1759</v>
      </c>
      <c r="F636" t="s">
        <v>1358</v>
      </c>
      <c r="K636">
        <v>1</v>
      </c>
      <c r="L636" t="str">
        <f t="shared" si="36"/>
        <v/>
      </c>
      <c r="O636" t="s">
        <v>38</v>
      </c>
      <c r="T636" s="2">
        <f>'SUPUESTOS PRECIOS'!$B$9</f>
        <v>0</v>
      </c>
      <c r="U636" s="3">
        <f>'SUPUESTOS PRECIOS'!$B$5/'SUPUESTOS PRECIOS'!$B$4</f>
        <v>1000</v>
      </c>
      <c r="V636" s="3">
        <f>('SUPUESTOS PRECIOS'!$B$6-'SUPUESTOS PRECIOS'!$B$7)/'SUPUESTOS PRECIOS'!$B$4</f>
        <v>377.5</v>
      </c>
      <c r="W636" s="4">
        <f>'SUPUESTOS PRECIOS'!$B$8</f>
        <v>9.6799999999999994E-3</v>
      </c>
      <c r="X636" s="4">
        <f>'SUPUESTOS PRECIOS'!$B$2</f>
        <v>0.4</v>
      </c>
      <c r="Y636" s="3" t="str">
        <f t="shared" si="37"/>
        <v/>
      </c>
      <c r="Z636" s="3" t="str">
        <f t="shared" si="38"/>
        <v/>
      </c>
      <c r="AA636" s="11" t="str">
        <f t="shared" si="39"/>
        <v/>
      </c>
    </row>
    <row r="637" spans="1:27" x14ac:dyDescent="0.35">
      <c r="A637" s="10" t="s">
        <v>1760</v>
      </c>
      <c r="F637" t="s">
        <v>1358</v>
      </c>
      <c r="K637">
        <v>1</v>
      </c>
      <c r="L637" t="str">
        <f t="shared" si="36"/>
        <v/>
      </c>
      <c r="O637" t="s">
        <v>38</v>
      </c>
      <c r="T637" s="2">
        <f>'SUPUESTOS PRECIOS'!$B$9</f>
        <v>0</v>
      </c>
      <c r="U637" s="3">
        <f>'SUPUESTOS PRECIOS'!$B$5/'SUPUESTOS PRECIOS'!$B$4</f>
        <v>1000</v>
      </c>
      <c r="V637" s="3">
        <f>('SUPUESTOS PRECIOS'!$B$6-'SUPUESTOS PRECIOS'!$B$7)/'SUPUESTOS PRECIOS'!$B$4</f>
        <v>377.5</v>
      </c>
      <c r="W637" s="4">
        <f>'SUPUESTOS PRECIOS'!$B$8</f>
        <v>9.6799999999999994E-3</v>
      </c>
      <c r="X637" s="4">
        <f>'SUPUESTOS PRECIOS'!$B$2</f>
        <v>0.4</v>
      </c>
      <c r="Y637" s="3" t="str">
        <f t="shared" si="37"/>
        <v/>
      </c>
      <c r="Z637" s="3" t="str">
        <f t="shared" si="38"/>
        <v/>
      </c>
      <c r="AA637" s="11" t="str">
        <f t="shared" si="39"/>
        <v/>
      </c>
    </row>
    <row r="638" spans="1:27" x14ac:dyDescent="0.35">
      <c r="A638" s="10" t="s">
        <v>1761</v>
      </c>
      <c r="F638" t="s">
        <v>1358</v>
      </c>
      <c r="K638">
        <v>1</v>
      </c>
      <c r="L638" t="str">
        <f t="shared" si="36"/>
        <v/>
      </c>
      <c r="O638" t="s">
        <v>38</v>
      </c>
      <c r="T638" s="2">
        <f>'SUPUESTOS PRECIOS'!$B$9</f>
        <v>0</v>
      </c>
      <c r="U638" s="3">
        <f>'SUPUESTOS PRECIOS'!$B$5/'SUPUESTOS PRECIOS'!$B$4</f>
        <v>1000</v>
      </c>
      <c r="V638" s="3">
        <f>('SUPUESTOS PRECIOS'!$B$6-'SUPUESTOS PRECIOS'!$B$7)/'SUPUESTOS PRECIOS'!$B$4</f>
        <v>377.5</v>
      </c>
      <c r="W638" s="4">
        <f>'SUPUESTOS PRECIOS'!$B$8</f>
        <v>9.6799999999999994E-3</v>
      </c>
      <c r="X638" s="4">
        <f>'SUPUESTOS PRECIOS'!$B$2</f>
        <v>0.4</v>
      </c>
      <c r="Y638" s="3" t="str">
        <f t="shared" si="37"/>
        <v/>
      </c>
      <c r="Z638" s="3" t="str">
        <f t="shared" si="38"/>
        <v/>
      </c>
      <c r="AA638" s="11" t="str">
        <f t="shared" si="39"/>
        <v/>
      </c>
    </row>
    <row r="639" spans="1:27" x14ac:dyDescent="0.35">
      <c r="A639" s="10" t="s">
        <v>1762</v>
      </c>
      <c r="F639" t="s">
        <v>1358</v>
      </c>
      <c r="K639">
        <v>1</v>
      </c>
      <c r="L639" t="str">
        <f t="shared" si="36"/>
        <v/>
      </c>
      <c r="O639" t="s">
        <v>38</v>
      </c>
      <c r="T639" s="2">
        <f>'SUPUESTOS PRECIOS'!$B$9</f>
        <v>0</v>
      </c>
      <c r="U639" s="3">
        <f>'SUPUESTOS PRECIOS'!$B$5/'SUPUESTOS PRECIOS'!$B$4</f>
        <v>1000</v>
      </c>
      <c r="V639" s="3">
        <f>('SUPUESTOS PRECIOS'!$B$6-'SUPUESTOS PRECIOS'!$B$7)/'SUPUESTOS PRECIOS'!$B$4</f>
        <v>377.5</v>
      </c>
      <c r="W639" s="4">
        <f>'SUPUESTOS PRECIOS'!$B$8</f>
        <v>9.6799999999999994E-3</v>
      </c>
      <c r="X639" s="4">
        <f>'SUPUESTOS PRECIOS'!$B$2</f>
        <v>0.4</v>
      </c>
      <c r="Y639" s="3" t="str">
        <f t="shared" si="37"/>
        <v/>
      </c>
      <c r="Z639" s="3" t="str">
        <f t="shared" si="38"/>
        <v/>
      </c>
      <c r="AA639" s="11" t="str">
        <f t="shared" si="39"/>
        <v/>
      </c>
    </row>
    <row r="640" spans="1:27" x14ac:dyDescent="0.35">
      <c r="A640" s="10" t="s">
        <v>1763</v>
      </c>
      <c r="F640" t="s">
        <v>1358</v>
      </c>
      <c r="K640">
        <v>1</v>
      </c>
      <c r="L640" t="str">
        <f t="shared" si="36"/>
        <v/>
      </c>
      <c r="O640" t="s">
        <v>38</v>
      </c>
      <c r="T640" s="2">
        <f>'SUPUESTOS PRECIOS'!$B$9</f>
        <v>0</v>
      </c>
      <c r="U640" s="3">
        <f>'SUPUESTOS PRECIOS'!$B$5/'SUPUESTOS PRECIOS'!$B$4</f>
        <v>1000</v>
      </c>
      <c r="V640" s="3">
        <f>('SUPUESTOS PRECIOS'!$B$6-'SUPUESTOS PRECIOS'!$B$7)/'SUPUESTOS PRECIOS'!$B$4</f>
        <v>377.5</v>
      </c>
      <c r="W640" s="4">
        <f>'SUPUESTOS PRECIOS'!$B$8</f>
        <v>9.6799999999999994E-3</v>
      </c>
      <c r="X640" s="4">
        <f>'SUPUESTOS PRECIOS'!$B$2</f>
        <v>0.4</v>
      </c>
      <c r="Y640" s="3" t="str">
        <f t="shared" si="37"/>
        <v/>
      </c>
      <c r="Z640" s="3" t="str">
        <f t="shared" si="38"/>
        <v/>
      </c>
      <c r="AA640" s="11" t="str">
        <f t="shared" si="39"/>
        <v/>
      </c>
    </row>
    <row r="641" spans="1:27" x14ac:dyDescent="0.35">
      <c r="A641" s="10" t="s">
        <v>1764</v>
      </c>
      <c r="F641" t="s">
        <v>1358</v>
      </c>
      <c r="K641">
        <v>1</v>
      </c>
      <c r="L641" t="str">
        <f t="shared" si="36"/>
        <v/>
      </c>
      <c r="O641" t="s">
        <v>38</v>
      </c>
      <c r="T641" s="2">
        <f>'SUPUESTOS PRECIOS'!$B$9</f>
        <v>0</v>
      </c>
      <c r="U641" s="3">
        <f>'SUPUESTOS PRECIOS'!$B$5/'SUPUESTOS PRECIOS'!$B$4</f>
        <v>1000</v>
      </c>
      <c r="V641" s="3">
        <f>('SUPUESTOS PRECIOS'!$B$6-'SUPUESTOS PRECIOS'!$B$7)/'SUPUESTOS PRECIOS'!$B$4</f>
        <v>377.5</v>
      </c>
      <c r="W641" s="4">
        <f>'SUPUESTOS PRECIOS'!$B$8</f>
        <v>9.6799999999999994E-3</v>
      </c>
      <c r="X641" s="4">
        <f>'SUPUESTOS PRECIOS'!$B$2</f>
        <v>0.4</v>
      </c>
      <c r="Y641" s="3" t="str">
        <f t="shared" si="37"/>
        <v/>
      </c>
      <c r="Z641" s="3" t="str">
        <f t="shared" si="38"/>
        <v/>
      </c>
      <c r="AA641" s="11" t="str">
        <f t="shared" si="39"/>
        <v/>
      </c>
    </row>
    <row r="642" spans="1:27" x14ac:dyDescent="0.35">
      <c r="A642" s="10" t="s">
        <v>1765</v>
      </c>
      <c r="F642" t="s">
        <v>1358</v>
      </c>
      <c r="K642">
        <v>1</v>
      </c>
      <c r="L642" t="str">
        <f t="shared" ref="L642:L705" si="40">IF(J642="","",J642*(1+K642))</f>
        <v/>
      </c>
      <c r="O642" t="s">
        <v>38</v>
      </c>
      <c r="T642" s="2">
        <f>'SUPUESTOS PRECIOS'!$B$9</f>
        <v>0</v>
      </c>
      <c r="U642" s="3">
        <f>'SUPUESTOS PRECIOS'!$B$5/'SUPUESTOS PRECIOS'!$B$4</f>
        <v>1000</v>
      </c>
      <c r="V642" s="3">
        <f>('SUPUESTOS PRECIOS'!$B$6-'SUPUESTOS PRECIOS'!$B$7)/'SUPUESTOS PRECIOS'!$B$4</f>
        <v>377.5</v>
      </c>
      <c r="W642" s="4">
        <f>'SUPUESTOS PRECIOS'!$B$8</f>
        <v>9.6799999999999994E-3</v>
      </c>
      <c r="X642" s="4">
        <f>'SUPUESTOS PRECIOS'!$B$2</f>
        <v>0.4</v>
      </c>
      <c r="Y642" s="3" t="str">
        <f t="shared" ref="Y642:Y705" si="41">IF(OR($B642="",$J642=""),"",ROUND(($J642+$T642+$U642+$V642)/(1-$W642-$X642),-1))</f>
        <v/>
      </c>
      <c r="Z642" s="3" t="str">
        <f t="shared" ref="Z642:Z705" si="42">IF($Y642="","",$Y642-$J642-$T642-$U642-$V642-($Y642*$W642))</f>
        <v/>
      </c>
      <c r="AA642" s="11" t="str">
        <f t="shared" ref="AA642:AA705" si="43">IF($Y642="","",$Z642/$Y642)</f>
        <v/>
      </c>
    </row>
    <row r="643" spans="1:27" x14ac:dyDescent="0.35">
      <c r="A643" s="10" t="s">
        <v>1766</v>
      </c>
      <c r="F643" t="s">
        <v>1358</v>
      </c>
      <c r="K643">
        <v>1</v>
      </c>
      <c r="L643" t="str">
        <f t="shared" si="40"/>
        <v/>
      </c>
      <c r="O643" t="s">
        <v>38</v>
      </c>
      <c r="T643" s="2">
        <f>'SUPUESTOS PRECIOS'!$B$9</f>
        <v>0</v>
      </c>
      <c r="U643" s="3">
        <f>'SUPUESTOS PRECIOS'!$B$5/'SUPUESTOS PRECIOS'!$B$4</f>
        <v>1000</v>
      </c>
      <c r="V643" s="3">
        <f>('SUPUESTOS PRECIOS'!$B$6-'SUPUESTOS PRECIOS'!$B$7)/'SUPUESTOS PRECIOS'!$B$4</f>
        <v>377.5</v>
      </c>
      <c r="W643" s="4">
        <f>'SUPUESTOS PRECIOS'!$B$8</f>
        <v>9.6799999999999994E-3</v>
      </c>
      <c r="X643" s="4">
        <f>'SUPUESTOS PRECIOS'!$B$2</f>
        <v>0.4</v>
      </c>
      <c r="Y643" s="3" t="str">
        <f t="shared" si="41"/>
        <v/>
      </c>
      <c r="Z643" s="3" t="str">
        <f t="shared" si="42"/>
        <v/>
      </c>
      <c r="AA643" s="11" t="str">
        <f t="shared" si="43"/>
        <v/>
      </c>
    </row>
    <row r="644" spans="1:27" x14ac:dyDescent="0.35">
      <c r="A644" s="10" t="s">
        <v>1767</v>
      </c>
      <c r="F644" t="s">
        <v>1358</v>
      </c>
      <c r="K644">
        <v>1</v>
      </c>
      <c r="L644" t="str">
        <f t="shared" si="40"/>
        <v/>
      </c>
      <c r="O644" t="s">
        <v>38</v>
      </c>
      <c r="T644" s="2">
        <f>'SUPUESTOS PRECIOS'!$B$9</f>
        <v>0</v>
      </c>
      <c r="U644" s="3">
        <f>'SUPUESTOS PRECIOS'!$B$5/'SUPUESTOS PRECIOS'!$B$4</f>
        <v>1000</v>
      </c>
      <c r="V644" s="3">
        <f>('SUPUESTOS PRECIOS'!$B$6-'SUPUESTOS PRECIOS'!$B$7)/'SUPUESTOS PRECIOS'!$B$4</f>
        <v>377.5</v>
      </c>
      <c r="W644" s="4">
        <f>'SUPUESTOS PRECIOS'!$B$8</f>
        <v>9.6799999999999994E-3</v>
      </c>
      <c r="X644" s="4">
        <f>'SUPUESTOS PRECIOS'!$B$2</f>
        <v>0.4</v>
      </c>
      <c r="Y644" s="3" t="str">
        <f t="shared" si="41"/>
        <v/>
      </c>
      <c r="Z644" s="3" t="str">
        <f t="shared" si="42"/>
        <v/>
      </c>
      <c r="AA644" s="11" t="str">
        <f t="shared" si="43"/>
        <v/>
      </c>
    </row>
    <row r="645" spans="1:27" x14ac:dyDescent="0.35">
      <c r="A645" s="10" t="s">
        <v>1768</v>
      </c>
      <c r="F645" t="s">
        <v>1358</v>
      </c>
      <c r="K645">
        <v>1</v>
      </c>
      <c r="L645" t="str">
        <f t="shared" si="40"/>
        <v/>
      </c>
      <c r="O645" t="s">
        <v>38</v>
      </c>
      <c r="T645" s="2">
        <f>'SUPUESTOS PRECIOS'!$B$9</f>
        <v>0</v>
      </c>
      <c r="U645" s="3">
        <f>'SUPUESTOS PRECIOS'!$B$5/'SUPUESTOS PRECIOS'!$B$4</f>
        <v>1000</v>
      </c>
      <c r="V645" s="3">
        <f>('SUPUESTOS PRECIOS'!$B$6-'SUPUESTOS PRECIOS'!$B$7)/'SUPUESTOS PRECIOS'!$B$4</f>
        <v>377.5</v>
      </c>
      <c r="W645" s="4">
        <f>'SUPUESTOS PRECIOS'!$B$8</f>
        <v>9.6799999999999994E-3</v>
      </c>
      <c r="X645" s="4">
        <f>'SUPUESTOS PRECIOS'!$B$2</f>
        <v>0.4</v>
      </c>
      <c r="Y645" s="3" t="str">
        <f t="shared" si="41"/>
        <v/>
      </c>
      <c r="Z645" s="3" t="str">
        <f t="shared" si="42"/>
        <v/>
      </c>
      <c r="AA645" s="11" t="str">
        <f t="shared" si="43"/>
        <v/>
      </c>
    </row>
    <row r="646" spans="1:27" x14ac:dyDescent="0.35">
      <c r="A646" s="10" t="s">
        <v>1769</v>
      </c>
      <c r="F646" t="s">
        <v>1358</v>
      </c>
      <c r="K646">
        <v>1</v>
      </c>
      <c r="L646" t="str">
        <f t="shared" si="40"/>
        <v/>
      </c>
      <c r="O646" t="s">
        <v>38</v>
      </c>
      <c r="T646" s="2">
        <f>'SUPUESTOS PRECIOS'!$B$9</f>
        <v>0</v>
      </c>
      <c r="U646" s="3">
        <f>'SUPUESTOS PRECIOS'!$B$5/'SUPUESTOS PRECIOS'!$B$4</f>
        <v>1000</v>
      </c>
      <c r="V646" s="3">
        <f>('SUPUESTOS PRECIOS'!$B$6-'SUPUESTOS PRECIOS'!$B$7)/'SUPUESTOS PRECIOS'!$B$4</f>
        <v>377.5</v>
      </c>
      <c r="W646" s="4">
        <f>'SUPUESTOS PRECIOS'!$B$8</f>
        <v>9.6799999999999994E-3</v>
      </c>
      <c r="X646" s="4">
        <f>'SUPUESTOS PRECIOS'!$B$2</f>
        <v>0.4</v>
      </c>
      <c r="Y646" s="3" t="str">
        <f t="shared" si="41"/>
        <v/>
      </c>
      <c r="Z646" s="3" t="str">
        <f t="shared" si="42"/>
        <v/>
      </c>
      <c r="AA646" s="11" t="str">
        <f t="shared" si="43"/>
        <v/>
      </c>
    </row>
    <row r="647" spans="1:27" x14ac:dyDescent="0.35">
      <c r="A647" s="10" t="s">
        <v>1770</v>
      </c>
      <c r="F647" t="s">
        <v>1358</v>
      </c>
      <c r="K647">
        <v>1</v>
      </c>
      <c r="L647" t="str">
        <f t="shared" si="40"/>
        <v/>
      </c>
      <c r="O647" t="s">
        <v>38</v>
      </c>
      <c r="T647" s="2">
        <f>'SUPUESTOS PRECIOS'!$B$9</f>
        <v>0</v>
      </c>
      <c r="U647" s="3">
        <f>'SUPUESTOS PRECIOS'!$B$5/'SUPUESTOS PRECIOS'!$B$4</f>
        <v>1000</v>
      </c>
      <c r="V647" s="3">
        <f>('SUPUESTOS PRECIOS'!$B$6-'SUPUESTOS PRECIOS'!$B$7)/'SUPUESTOS PRECIOS'!$B$4</f>
        <v>377.5</v>
      </c>
      <c r="W647" s="4">
        <f>'SUPUESTOS PRECIOS'!$B$8</f>
        <v>9.6799999999999994E-3</v>
      </c>
      <c r="X647" s="4">
        <f>'SUPUESTOS PRECIOS'!$B$2</f>
        <v>0.4</v>
      </c>
      <c r="Y647" s="3" t="str">
        <f t="shared" si="41"/>
        <v/>
      </c>
      <c r="Z647" s="3" t="str">
        <f t="shared" si="42"/>
        <v/>
      </c>
      <c r="AA647" s="11" t="str">
        <f t="shared" si="43"/>
        <v/>
      </c>
    </row>
    <row r="648" spans="1:27" x14ac:dyDescent="0.35">
      <c r="A648" s="10" t="s">
        <v>1771</v>
      </c>
      <c r="F648" t="s">
        <v>1358</v>
      </c>
      <c r="K648">
        <v>1</v>
      </c>
      <c r="L648" t="str">
        <f t="shared" si="40"/>
        <v/>
      </c>
      <c r="O648" t="s">
        <v>38</v>
      </c>
      <c r="T648" s="2">
        <f>'SUPUESTOS PRECIOS'!$B$9</f>
        <v>0</v>
      </c>
      <c r="U648" s="3">
        <f>'SUPUESTOS PRECIOS'!$B$5/'SUPUESTOS PRECIOS'!$B$4</f>
        <v>1000</v>
      </c>
      <c r="V648" s="3">
        <f>('SUPUESTOS PRECIOS'!$B$6-'SUPUESTOS PRECIOS'!$B$7)/'SUPUESTOS PRECIOS'!$B$4</f>
        <v>377.5</v>
      </c>
      <c r="W648" s="4">
        <f>'SUPUESTOS PRECIOS'!$B$8</f>
        <v>9.6799999999999994E-3</v>
      </c>
      <c r="X648" s="4">
        <f>'SUPUESTOS PRECIOS'!$B$2</f>
        <v>0.4</v>
      </c>
      <c r="Y648" s="3" t="str">
        <f t="shared" si="41"/>
        <v/>
      </c>
      <c r="Z648" s="3" t="str">
        <f t="shared" si="42"/>
        <v/>
      </c>
      <c r="AA648" s="11" t="str">
        <f t="shared" si="43"/>
        <v/>
      </c>
    </row>
    <row r="649" spans="1:27" x14ac:dyDescent="0.35">
      <c r="A649" s="10" t="s">
        <v>1772</v>
      </c>
      <c r="F649" t="s">
        <v>1358</v>
      </c>
      <c r="K649">
        <v>1</v>
      </c>
      <c r="L649" t="str">
        <f t="shared" si="40"/>
        <v/>
      </c>
      <c r="O649" t="s">
        <v>38</v>
      </c>
      <c r="T649" s="2">
        <f>'SUPUESTOS PRECIOS'!$B$9</f>
        <v>0</v>
      </c>
      <c r="U649" s="3">
        <f>'SUPUESTOS PRECIOS'!$B$5/'SUPUESTOS PRECIOS'!$B$4</f>
        <v>1000</v>
      </c>
      <c r="V649" s="3">
        <f>('SUPUESTOS PRECIOS'!$B$6-'SUPUESTOS PRECIOS'!$B$7)/'SUPUESTOS PRECIOS'!$B$4</f>
        <v>377.5</v>
      </c>
      <c r="W649" s="4">
        <f>'SUPUESTOS PRECIOS'!$B$8</f>
        <v>9.6799999999999994E-3</v>
      </c>
      <c r="X649" s="4">
        <f>'SUPUESTOS PRECIOS'!$B$2</f>
        <v>0.4</v>
      </c>
      <c r="Y649" s="3" t="str">
        <f t="shared" si="41"/>
        <v/>
      </c>
      <c r="Z649" s="3" t="str">
        <f t="shared" si="42"/>
        <v/>
      </c>
      <c r="AA649" s="11" t="str">
        <f t="shared" si="43"/>
        <v/>
      </c>
    </row>
    <row r="650" spans="1:27" x14ac:dyDescent="0.35">
      <c r="A650" s="10" t="s">
        <v>1773</v>
      </c>
      <c r="F650" t="s">
        <v>1358</v>
      </c>
      <c r="K650">
        <v>1</v>
      </c>
      <c r="L650" t="str">
        <f t="shared" si="40"/>
        <v/>
      </c>
      <c r="O650" t="s">
        <v>38</v>
      </c>
      <c r="T650" s="2">
        <f>'SUPUESTOS PRECIOS'!$B$9</f>
        <v>0</v>
      </c>
      <c r="U650" s="3">
        <f>'SUPUESTOS PRECIOS'!$B$5/'SUPUESTOS PRECIOS'!$B$4</f>
        <v>1000</v>
      </c>
      <c r="V650" s="3">
        <f>('SUPUESTOS PRECIOS'!$B$6-'SUPUESTOS PRECIOS'!$B$7)/'SUPUESTOS PRECIOS'!$B$4</f>
        <v>377.5</v>
      </c>
      <c r="W650" s="4">
        <f>'SUPUESTOS PRECIOS'!$B$8</f>
        <v>9.6799999999999994E-3</v>
      </c>
      <c r="X650" s="4">
        <f>'SUPUESTOS PRECIOS'!$B$2</f>
        <v>0.4</v>
      </c>
      <c r="Y650" s="3" t="str">
        <f t="shared" si="41"/>
        <v/>
      </c>
      <c r="Z650" s="3" t="str">
        <f t="shared" si="42"/>
        <v/>
      </c>
      <c r="AA650" s="11" t="str">
        <f t="shared" si="43"/>
        <v/>
      </c>
    </row>
    <row r="651" spans="1:27" x14ac:dyDescent="0.35">
      <c r="A651" s="10" t="s">
        <v>1774</v>
      </c>
      <c r="F651" t="s">
        <v>1358</v>
      </c>
      <c r="K651">
        <v>1</v>
      </c>
      <c r="L651" t="str">
        <f t="shared" si="40"/>
        <v/>
      </c>
      <c r="O651" t="s">
        <v>38</v>
      </c>
      <c r="T651" s="2">
        <f>'SUPUESTOS PRECIOS'!$B$9</f>
        <v>0</v>
      </c>
      <c r="U651" s="3">
        <f>'SUPUESTOS PRECIOS'!$B$5/'SUPUESTOS PRECIOS'!$B$4</f>
        <v>1000</v>
      </c>
      <c r="V651" s="3">
        <f>('SUPUESTOS PRECIOS'!$B$6-'SUPUESTOS PRECIOS'!$B$7)/'SUPUESTOS PRECIOS'!$B$4</f>
        <v>377.5</v>
      </c>
      <c r="W651" s="4">
        <f>'SUPUESTOS PRECIOS'!$B$8</f>
        <v>9.6799999999999994E-3</v>
      </c>
      <c r="X651" s="4">
        <f>'SUPUESTOS PRECIOS'!$B$2</f>
        <v>0.4</v>
      </c>
      <c r="Y651" s="3" t="str">
        <f t="shared" si="41"/>
        <v/>
      </c>
      <c r="Z651" s="3" t="str">
        <f t="shared" si="42"/>
        <v/>
      </c>
      <c r="AA651" s="11" t="str">
        <f t="shared" si="43"/>
        <v/>
      </c>
    </row>
    <row r="652" spans="1:27" x14ac:dyDescent="0.35">
      <c r="A652" s="10" t="s">
        <v>1775</v>
      </c>
      <c r="F652" t="s">
        <v>1358</v>
      </c>
      <c r="K652">
        <v>1</v>
      </c>
      <c r="L652" t="str">
        <f t="shared" si="40"/>
        <v/>
      </c>
      <c r="O652" t="s">
        <v>38</v>
      </c>
      <c r="T652" s="2">
        <f>'SUPUESTOS PRECIOS'!$B$9</f>
        <v>0</v>
      </c>
      <c r="U652" s="3">
        <f>'SUPUESTOS PRECIOS'!$B$5/'SUPUESTOS PRECIOS'!$B$4</f>
        <v>1000</v>
      </c>
      <c r="V652" s="3">
        <f>('SUPUESTOS PRECIOS'!$B$6-'SUPUESTOS PRECIOS'!$B$7)/'SUPUESTOS PRECIOS'!$B$4</f>
        <v>377.5</v>
      </c>
      <c r="W652" s="4">
        <f>'SUPUESTOS PRECIOS'!$B$8</f>
        <v>9.6799999999999994E-3</v>
      </c>
      <c r="X652" s="4">
        <f>'SUPUESTOS PRECIOS'!$B$2</f>
        <v>0.4</v>
      </c>
      <c r="Y652" s="3" t="str">
        <f t="shared" si="41"/>
        <v/>
      </c>
      <c r="Z652" s="3" t="str">
        <f t="shared" si="42"/>
        <v/>
      </c>
      <c r="AA652" s="11" t="str">
        <f t="shared" si="43"/>
        <v/>
      </c>
    </row>
    <row r="653" spans="1:27" x14ac:dyDescent="0.35">
      <c r="A653" s="10" t="s">
        <v>1776</v>
      </c>
      <c r="F653" t="s">
        <v>1358</v>
      </c>
      <c r="K653">
        <v>1</v>
      </c>
      <c r="L653" t="str">
        <f t="shared" si="40"/>
        <v/>
      </c>
      <c r="O653" t="s">
        <v>38</v>
      </c>
      <c r="T653" s="2">
        <f>'SUPUESTOS PRECIOS'!$B$9</f>
        <v>0</v>
      </c>
      <c r="U653" s="3">
        <f>'SUPUESTOS PRECIOS'!$B$5/'SUPUESTOS PRECIOS'!$B$4</f>
        <v>1000</v>
      </c>
      <c r="V653" s="3">
        <f>('SUPUESTOS PRECIOS'!$B$6-'SUPUESTOS PRECIOS'!$B$7)/'SUPUESTOS PRECIOS'!$B$4</f>
        <v>377.5</v>
      </c>
      <c r="W653" s="4">
        <f>'SUPUESTOS PRECIOS'!$B$8</f>
        <v>9.6799999999999994E-3</v>
      </c>
      <c r="X653" s="4">
        <f>'SUPUESTOS PRECIOS'!$B$2</f>
        <v>0.4</v>
      </c>
      <c r="Y653" s="3" t="str">
        <f t="shared" si="41"/>
        <v/>
      </c>
      <c r="Z653" s="3" t="str">
        <f t="shared" si="42"/>
        <v/>
      </c>
      <c r="AA653" s="11" t="str">
        <f t="shared" si="43"/>
        <v/>
      </c>
    </row>
    <row r="654" spans="1:27" x14ac:dyDescent="0.35">
      <c r="A654" s="10" t="s">
        <v>1777</v>
      </c>
      <c r="F654" t="s">
        <v>1358</v>
      </c>
      <c r="K654">
        <v>1</v>
      </c>
      <c r="L654" t="str">
        <f t="shared" si="40"/>
        <v/>
      </c>
      <c r="O654" t="s">
        <v>38</v>
      </c>
      <c r="T654" s="2">
        <f>'SUPUESTOS PRECIOS'!$B$9</f>
        <v>0</v>
      </c>
      <c r="U654" s="3">
        <f>'SUPUESTOS PRECIOS'!$B$5/'SUPUESTOS PRECIOS'!$B$4</f>
        <v>1000</v>
      </c>
      <c r="V654" s="3">
        <f>('SUPUESTOS PRECIOS'!$B$6-'SUPUESTOS PRECIOS'!$B$7)/'SUPUESTOS PRECIOS'!$B$4</f>
        <v>377.5</v>
      </c>
      <c r="W654" s="4">
        <f>'SUPUESTOS PRECIOS'!$B$8</f>
        <v>9.6799999999999994E-3</v>
      </c>
      <c r="X654" s="4">
        <f>'SUPUESTOS PRECIOS'!$B$2</f>
        <v>0.4</v>
      </c>
      <c r="Y654" s="3" t="str">
        <f t="shared" si="41"/>
        <v/>
      </c>
      <c r="Z654" s="3" t="str">
        <f t="shared" si="42"/>
        <v/>
      </c>
      <c r="AA654" s="11" t="str">
        <f t="shared" si="43"/>
        <v/>
      </c>
    </row>
    <row r="655" spans="1:27" x14ac:dyDescent="0.35">
      <c r="A655" s="10" t="s">
        <v>1778</v>
      </c>
      <c r="F655" t="s">
        <v>1358</v>
      </c>
      <c r="K655">
        <v>1</v>
      </c>
      <c r="L655" t="str">
        <f t="shared" si="40"/>
        <v/>
      </c>
      <c r="O655" t="s">
        <v>38</v>
      </c>
      <c r="T655" s="2">
        <f>'SUPUESTOS PRECIOS'!$B$9</f>
        <v>0</v>
      </c>
      <c r="U655" s="3">
        <f>'SUPUESTOS PRECIOS'!$B$5/'SUPUESTOS PRECIOS'!$B$4</f>
        <v>1000</v>
      </c>
      <c r="V655" s="3">
        <f>('SUPUESTOS PRECIOS'!$B$6-'SUPUESTOS PRECIOS'!$B$7)/'SUPUESTOS PRECIOS'!$B$4</f>
        <v>377.5</v>
      </c>
      <c r="W655" s="4">
        <f>'SUPUESTOS PRECIOS'!$B$8</f>
        <v>9.6799999999999994E-3</v>
      </c>
      <c r="X655" s="4">
        <f>'SUPUESTOS PRECIOS'!$B$2</f>
        <v>0.4</v>
      </c>
      <c r="Y655" s="3" t="str">
        <f t="shared" si="41"/>
        <v/>
      </c>
      <c r="Z655" s="3" t="str">
        <f t="shared" si="42"/>
        <v/>
      </c>
      <c r="AA655" s="11" t="str">
        <f t="shared" si="43"/>
        <v/>
      </c>
    </row>
    <row r="656" spans="1:27" x14ac:dyDescent="0.35">
      <c r="A656" s="10" t="s">
        <v>1779</v>
      </c>
      <c r="F656" t="s">
        <v>1358</v>
      </c>
      <c r="K656">
        <v>1</v>
      </c>
      <c r="L656" t="str">
        <f t="shared" si="40"/>
        <v/>
      </c>
      <c r="O656" t="s">
        <v>38</v>
      </c>
      <c r="T656" s="2">
        <f>'SUPUESTOS PRECIOS'!$B$9</f>
        <v>0</v>
      </c>
      <c r="U656" s="3">
        <f>'SUPUESTOS PRECIOS'!$B$5/'SUPUESTOS PRECIOS'!$B$4</f>
        <v>1000</v>
      </c>
      <c r="V656" s="3">
        <f>('SUPUESTOS PRECIOS'!$B$6-'SUPUESTOS PRECIOS'!$B$7)/'SUPUESTOS PRECIOS'!$B$4</f>
        <v>377.5</v>
      </c>
      <c r="W656" s="4">
        <f>'SUPUESTOS PRECIOS'!$B$8</f>
        <v>9.6799999999999994E-3</v>
      </c>
      <c r="X656" s="4">
        <f>'SUPUESTOS PRECIOS'!$B$2</f>
        <v>0.4</v>
      </c>
      <c r="Y656" s="3" t="str">
        <f t="shared" si="41"/>
        <v/>
      </c>
      <c r="Z656" s="3" t="str">
        <f t="shared" si="42"/>
        <v/>
      </c>
      <c r="AA656" s="11" t="str">
        <f t="shared" si="43"/>
        <v/>
      </c>
    </row>
    <row r="657" spans="1:27" x14ac:dyDescent="0.35">
      <c r="A657" s="10" t="s">
        <v>1780</v>
      </c>
      <c r="F657" t="s">
        <v>1358</v>
      </c>
      <c r="K657">
        <v>1</v>
      </c>
      <c r="L657" t="str">
        <f t="shared" si="40"/>
        <v/>
      </c>
      <c r="O657" t="s">
        <v>38</v>
      </c>
      <c r="T657" s="2">
        <f>'SUPUESTOS PRECIOS'!$B$9</f>
        <v>0</v>
      </c>
      <c r="U657" s="3">
        <f>'SUPUESTOS PRECIOS'!$B$5/'SUPUESTOS PRECIOS'!$B$4</f>
        <v>1000</v>
      </c>
      <c r="V657" s="3">
        <f>('SUPUESTOS PRECIOS'!$B$6-'SUPUESTOS PRECIOS'!$B$7)/'SUPUESTOS PRECIOS'!$B$4</f>
        <v>377.5</v>
      </c>
      <c r="W657" s="4">
        <f>'SUPUESTOS PRECIOS'!$B$8</f>
        <v>9.6799999999999994E-3</v>
      </c>
      <c r="X657" s="4">
        <f>'SUPUESTOS PRECIOS'!$B$2</f>
        <v>0.4</v>
      </c>
      <c r="Y657" s="3" t="str">
        <f t="shared" si="41"/>
        <v/>
      </c>
      <c r="Z657" s="3" t="str">
        <f t="shared" si="42"/>
        <v/>
      </c>
      <c r="AA657" s="11" t="str">
        <f t="shared" si="43"/>
        <v/>
      </c>
    </row>
    <row r="658" spans="1:27" x14ac:dyDescent="0.35">
      <c r="A658" s="10" t="s">
        <v>1781</v>
      </c>
      <c r="F658" t="s">
        <v>1358</v>
      </c>
      <c r="K658">
        <v>1</v>
      </c>
      <c r="L658" t="str">
        <f t="shared" si="40"/>
        <v/>
      </c>
      <c r="O658" t="s">
        <v>38</v>
      </c>
      <c r="T658" s="2">
        <f>'SUPUESTOS PRECIOS'!$B$9</f>
        <v>0</v>
      </c>
      <c r="U658" s="3">
        <f>'SUPUESTOS PRECIOS'!$B$5/'SUPUESTOS PRECIOS'!$B$4</f>
        <v>1000</v>
      </c>
      <c r="V658" s="3">
        <f>('SUPUESTOS PRECIOS'!$B$6-'SUPUESTOS PRECIOS'!$B$7)/'SUPUESTOS PRECIOS'!$B$4</f>
        <v>377.5</v>
      </c>
      <c r="W658" s="4">
        <f>'SUPUESTOS PRECIOS'!$B$8</f>
        <v>9.6799999999999994E-3</v>
      </c>
      <c r="X658" s="4">
        <f>'SUPUESTOS PRECIOS'!$B$2</f>
        <v>0.4</v>
      </c>
      <c r="Y658" s="3" t="str">
        <f t="shared" si="41"/>
        <v/>
      </c>
      <c r="Z658" s="3" t="str">
        <f t="shared" si="42"/>
        <v/>
      </c>
      <c r="AA658" s="11" t="str">
        <f t="shared" si="43"/>
        <v/>
      </c>
    </row>
    <row r="659" spans="1:27" x14ac:dyDescent="0.35">
      <c r="A659" s="10" t="s">
        <v>1782</v>
      </c>
      <c r="F659" t="s">
        <v>1358</v>
      </c>
      <c r="K659">
        <v>1</v>
      </c>
      <c r="L659" t="str">
        <f t="shared" si="40"/>
        <v/>
      </c>
      <c r="O659" t="s">
        <v>38</v>
      </c>
      <c r="T659" s="2">
        <f>'SUPUESTOS PRECIOS'!$B$9</f>
        <v>0</v>
      </c>
      <c r="U659" s="3">
        <f>'SUPUESTOS PRECIOS'!$B$5/'SUPUESTOS PRECIOS'!$B$4</f>
        <v>1000</v>
      </c>
      <c r="V659" s="3">
        <f>('SUPUESTOS PRECIOS'!$B$6-'SUPUESTOS PRECIOS'!$B$7)/'SUPUESTOS PRECIOS'!$B$4</f>
        <v>377.5</v>
      </c>
      <c r="W659" s="4">
        <f>'SUPUESTOS PRECIOS'!$B$8</f>
        <v>9.6799999999999994E-3</v>
      </c>
      <c r="X659" s="4">
        <f>'SUPUESTOS PRECIOS'!$B$2</f>
        <v>0.4</v>
      </c>
      <c r="Y659" s="3" t="str">
        <f t="shared" si="41"/>
        <v/>
      </c>
      <c r="Z659" s="3" t="str">
        <f t="shared" si="42"/>
        <v/>
      </c>
      <c r="AA659" s="11" t="str">
        <f t="shared" si="43"/>
        <v/>
      </c>
    </row>
    <row r="660" spans="1:27" x14ac:dyDescent="0.35">
      <c r="A660" s="10" t="s">
        <v>1783</v>
      </c>
      <c r="F660" t="s">
        <v>1358</v>
      </c>
      <c r="K660">
        <v>1</v>
      </c>
      <c r="L660" t="str">
        <f t="shared" si="40"/>
        <v/>
      </c>
      <c r="O660" t="s">
        <v>38</v>
      </c>
      <c r="T660" s="2">
        <f>'SUPUESTOS PRECIOS'!$B$9</f>
        <v>0</v>
      </c>
      <c r="U660" s="3">
        <f>'SUPUESTOS PRECIOS'!$B$5/'SUPUESTOS PRECIOS'!$B$4</f>
        <v>1000</v>
      </c>
      <c r="V660" s="3">
        <f>('SUPUESTOS PRECIOS'!$B$6-'SUPUESTOS PRECIOS'!$B$7)/'SUPUESTOS PRECIOS'!$B$4</f>
        <v>377.5</v>
      </c>
      <c r="W660" s="4">
        <f>'SUPUESTOS PRECIOS'!$B$8</f>
        <v>9.6799999999999994E-3</v>
      </c>
      <c r="X660" s="4">
        <f>'SUPUESTOS PRECIOS'!$B$2</f>
        <v>0.4</v>
      </c>
      <c r="Y660" s="3" t="str">
        <f t="shared" si="41"/>
        <v/>
      </c>
      <c r="Z660" s="3" t="str">
        <f t="shared" si="42"/>
        <v/>
      </c>
      <c r="AA660" s="11" t="str">
        <f t="shared" si="43"/>
        <v/>
      </c>
    </row>
    <row r="661" spans="1:27" x14ac:dyDescent="0.35">
      <c r="A661" s="10" t="s">
        <v>1784</v>
      </c>
      <c r="F661" t="s">
        <v>1358</v>
      </c>
      <c r="K661">
        <v>1</v>
      </c>
      <c r="L661" t="str">
        <f t="shared" si="40"/>
        <v/>
      </c>
      <c r="O661" t="s">
        <v>38</v>
      </c>
      <c r="T661" s="2">
        <f>'SUPUESTOS PRECIOS'!$B$9</f>
        <v>0</v>
      </c>
      <c r="U661" s="3">
        <f>'SUPUESTOS PRECIOS'!$B$5/'SUPUESTOS PRECIOS'!$B$4</f>
        <v>1000</v>
      </c>
      <c r="V661" s="3">
        <f>('SUPUESTOS PRECIOS'!$B$6-'SUPUESTOS PRECIOS'!$B$7)/'SUPUESTOS PRECIOS'!$B$4</f>
        <v>377.5</v>
      </c>
      <c r="W661" s="4">
        <f>'SUPUESTOS PRECIOS'!$B$8</f>
        <v>9.6799999999999994E-3</v>
      </c>
      <c r="X661" s="4">
        <f>'SUPUESTOS PRECIOS'!$B$2</f>
        <v>0.4</v>
      </c>
      <c r="Y661" s="3" t="str">
        <f t="shared" si="41"/>
        <v/>
      </c>
      <c r="Z661" s="3" t="str">
        <f t="shared" si="42"/>
        <v/>
      </c>
      <c r="AA661" s="11" t="str">
        <f t="shared" si="43"/>
        <v/>
      </c>
    </row>
    <row r="662" spans="1:27" x14ac:dyDescent="0.35">
      <c r="A662" s="10" t="s">
        <v>1785</v>
      </c>
      <c r="F662" t="s">
        <v>1358</v>
      </c>
      <c r="K662">
        <v>1</v>
      </c>
      <c r="L662" t="str">
        <f t="shared" si="40"/>
        <v/>
      </c>
      <c r="O662" t="s">
        <v>38</v>
      </c>
      <c r="T662" s="2">
        <f>'SUPUESTOS PRECIOS'!$B$9</f>
        <v>0</v>
      </c>
      <c r="U662" s="3">
        <f>'SUPUESTOS PRECIOS'!$B$5/'SUPUESTOS PRECIOS'!$B$4</f>
        <v>1000</v>
      </c>
      <c r="V662" s="3">
        <f>('SUPUESTOS PRECIOS'!$B$6-'SUPUESTOS PRECIOS'!$B$7)/'SUPUESTOS PRECIOS'!$B$4</f>
        <v>377.5</v>
      </c>
      <c r="W662" s="4">
        <f>'SUPUESTOS PRECIOS'!$B$8</f>
        <v>9.6799999999999994E-3</v>
      </c>
      <c r="X662" s="4">
        <f>'SUPUESTOS PRECIOS'!$B$2</f>
        <v>0.4</v>
      </c>
      <c r="Y662" s="3" t="str">
        <f t="shared" si="41"/>
        <v/>
      </c>
      <c r="Z662" s="3" t="str">
        <f t="shared" si="42"/>
        <v/>
      </c>
      <c r="AA662" s="11" t="str">
        <f t="shared" si="43"/>
        <v/>
      </c>
    </row>
    <row r="663" spans="1:27" x14ac:dyDescent="0.35">
      <c r="A663" s="10" t="s">
        <v>1786</v>
      </c>
      <c r="F663" t="s">
        <v>1358</v>
      </c>
      <c r="K663">
        <v>1</v>
      </c>
      <c r="L663" t="str">
        <f t="shared" si="40"/>
        <v/>
      </c>
      <c r="O663" t="s">
        <v>38</v>
      </c>
      <c r="T663" s="2">
        <f>'SUPUESTOS PRECIOS'!$B$9</f>
        <v>0</v>
      </c>
      <c r="U663" s="3">
        <f>'SUPUESTOS PRECIOS'!$B$5/'SUPUESTOS PRECIOS'!$B$4</f>
        <v>1000</v>
      </c>
      <c r="V663" s="3">
        <f>('SUPUESTOS PRECIOS'!$B$6-'SUPUESTOS PRECIOS'!$B$7)/'SUPUESTOS PRECIOS'!$B$4</f>
        <v>377.5</v>
      </c>
      <c r="W663" s="4">
        <f>'SUPUESTOS PRECIOS'!$B$8</f>
        <v>9.6799999999999994E-3</v>
      </c>
      <c r="X663" s="4">
        <f>'SUPUESTOS PRECIOS'!$B$2</f>
        <v>0.4</v>
      </c>
      <c r="Y663" s="3" t="str">
        <f t="shared" si="41"/>
        <v/>
      </c>
      <c r="Z663" s="3" t="str">
        <f t="shared" si="42"/>
        <v/>
      </c>
      <c r="AA663" s="11" t="str">
        <f t="shared" si="43"/>
        <v/>
      </c>
    </row>
    <row r="664" spans="1:27" x14ac:dyDescent="0.35">
      <c r="A664" s="10" t="s">
        <v>1787</v>
      </c>
      <c r="F664" t="s">
        <v>1358</v>
      </c>
      <c r="K664">
        <v>1</v>
      </c>
      <c r="L664" t="str">
        <f t="shared" si="40"/>
        <v/>
      </c>
      <c r="O664" t="s">
        <v>38</v>
      </c>
      <c r="T664" s="2">
        <f>'SUPUESTOS PRECIOS'!$B$9</f>
        <v>0</v>
      </c>
      <c r="U664" s="3">
        <f>'SUPUESTOS PRECIOS'!$B$5/'SUPUESTOS PRECIOS'!$B$4</f>
        <v>1000</v>
      </c>
      <c r="V664" s="3">
        <f>('SUPUESTOS PRECIOS'!$B$6-'SUPUESTOS PRECIOS'!$B$7)/'SUPUESTOS PRECIOS'!$B$4</f>
        <v>377.5</v>
      </c>
      <c r="W664" s="4">
        <f>'SUPUESTOS PRECIOS'!$B$8</f>
        <v>9.6799999999999994E-3</v>
      </c>
      <c r="X664" s="4">
        <f>'SUPUESTOS PRECIOS'!$B$2</f>
        <v>0.4</v>
      </c>
      <c r="Y664" s="3" t="str">
        <f t="shared" si="41"/>
        <v/>
      </c>
      <c r="Z664" s="3" t="str">
        <f t="shared" si="42"/>
        <v/>
      </c>
      <c r="AA664" s="11" t="str">
        <f t="shared" si="43"/>
        <v/>
      </c>
    </row>
    <row r="665" spans="1:27" x14ac:dyDescent="0.35">
      <c r="A665" s="10" t="s">
        <v>1788</v>
      </c>
      <c r="F665" t="s">
        <v>1358</v>
      </c>
      <c r="K665">
        <v>1</v>
      </c>
      <c r="L665" t="str">
        <f t="shared" si="40"/>
        <v/>
      </c>
      <c r="O665" t="s">
        <v>38</v>
      </c>
      <c r="T665" s="2">
        <f>'SUPUESTOS PRECIOS'!$B$9</f>
        <v>0</v>
      </c>
      <c r="U665" s="3">
        <f>'SUPUESTOS PRECIOS'!$B$5/'SUPUESTOS PRECIOS'!$B$4</f>
        <v>1000</v>
      </c>
      <c r="V665" s="3">
        <f>('SUPUESTOS PRECIOS'!$B$6-'SUPUESTOS PRECIOS'!$B$7)/'SUPUESTOS PRECIOS'!$B$4</f>
        <v>377.5</v>
      </c>
      <c r="W665" s="4">
        <f>'SUPUESTOS PRECIOS'!$B$8</f>
        <v>9.6799999999999994E-3</v>
      </c>
      <c r="X665" s="4">
        <f>'SUPUESTOS PRECIOS'!$B$2</f>
        <v>0.4</v>
      </c>
      <c r="Y665" s="3" t="str">
        <f t="shared" si="41"/>
        <v/>
      </c>
      <c r="Z665" s="3" t="str">
        <f t="shared" si="42"/>
        <v/>
      </c>
      <c r="AA665" s="11" t="str">
        <f t="shared" si="43"/>
        <v/>
      </c>
    </row>
    <row r="666" spans="1:27" x14ac:dyDescent="0.35">
      <c r="A666" s="10" t="s">
        <v>1789</v>
      </c>
      <c r="F666" t="s">
        <v>1358</v>
      </c>
      <c r="K666">
        <v>1</v>
      </c>
      <c r="L666" t="str">
        <f t="shared" si="40"/>
        <v/>
      </c>
      <c r="O666" t="s">
        <v>38</v>
      </c>
      <c r="T666" s="2">
        <f>'SUPUESTOS PRECIOS'!$B$9</f>
        <v>0</v>
      </c>
      <c r="U666" s="3">
        <f>'SUPUESTOS PRECIOS'!$B$5/'SUPUESTOS PRECIOS'!$B$4</f>
        <v>1000</v>
      </c>
      <c r="V666" s="3">
        <f>('SUPUESTOS PRECIOS'!$B$6-'SUPUESTOS PRECIOS'!$B$7)/'SUPUESTOS PRECIOS'!$B$4</f>
        <v>377.5</v>
      </c>
      <c r="W666" s="4">
        <f>'SUPUESTOS PRECIOS'!$B$8</f>
        <v>9.6799999999999994E-3</v>
      </c>
      <c r="X666" s="4">
        <f>'SUPUESTOS PRECIOS'!$B$2</f>
        <v>0.4</v>
      </c>
      <c r="Y666" s="3" t="str">
        <f t="shared" si="41"/>
        <v/>
      </c>
      <c r="Z666" s="3" t="str">
        <f t="shared" si="42"/>
        <v/>
      </c>
      <c r="AA666" s="11" t="str">
        <f t="shared" si="43"/>
        <v/>
      </c>
    </row>
    <row r="667" spans="1:27" x14ac:dyDescent="0.35">
      <c r="A667" s="10" t="s">
        <v>1790</v>
      </c>
      <c r="F667" t="s">
        <v>1358</v>
      </c>
      <c r="K667">
        <v>1</v>
      </c>
      <c r="L667" t="str">
        <f t="shared" si="40"/>
        <v/>
      </c>
      <c r="O667" t="s">
        <v>38</v>
      </c>
      <c r="T667" s="2">
        <f>'SUPUESTOS PRECIOS'!$B$9</f>
        <v>0</v>
      </c>
      <c r="U667" s="3">
        <f>'SUPUESTOS PRECIOS'!$B$5/'SUPUESTOS PRECIOS'!$B$4</f>
        <v>1000</v>
      </c>
      <c r="V667" s="3">
        <f>('SUPUESTOS PRECIOS'!$B$6-'SUPUESTOS PRECIOS'!$B$7)/'SUPUESTOS PRECIOS'!$B$4</f>
        <v>377.5</v>
      </c>
      <c r="W667" s="4">
        <f>'SUPUESTOS PRECIOS'!$B$8</f>
        <v>9.6799999999999994E-3</v>
      </c>
      <c r="X667" s="4">
        <f>'SUPUESTOS PRECIOS'!$B$2</f>
        <v>0.4</v>
      </c>
      <c r="Y667" s="3" t="str">
        <f t="shared" si="41"/>
        <v/>
      </c>
      <c r="Z667" s="3" t="str">
        <f t="shared" si="42"/>
        <v/>
      </c>
      <c r="AA667" s="11" t="str">
        <f t="shared" si="43"/>
        <v/>
      </c>
    </row>
    <row r="668" spans="1:27" x14ac:dyDescent="0.35">
      <c r="A668" s="10" t="s">
        <v>1791</v>
      </c>
      <c r="F668" t="s">
        <v>1358</v>
      </c>
      <c r="K668">
        <v>1</v>
      </c>
      <c r="L668" t="str">
        <f t="shared" si="40"/>
        <v/>
      </c>
      <c r="O668" t="s">
        <v>38</v>
      </c>
      <c r="T668" s="2">
        <f>'SUPUESTOS PRECIOS'!$B$9</f>
        <v>0</v>
      </c>
      <c r="U668" s="3">
        <f>'SUPUESTOS PRECIOS'!$B$5/'SUPUESTOS PRECIOS'!$B$4</f>
        <v>1000</v>
      </c>
      <c r="V668" s="3">
        <f>('SUPUESTOS PRECIOS'!$B$6-'SUPUESTOS PRECIOS'!$B$7)/'SUPUESTOS PRECIOS'!$B$4</f>
        <v>377.5</v>
      </c>
      <c r="W668" s="4">
        <f>'SUPUESTOS PRECIOS'!$B$8</f>
        <v>9.6799999999999994E-3</v>
      </c>
      <c r="X668" s="4">
        <f>'SUPUESTOS PRECIOS'!$B$2</f>
        <v>0.4</v>
      </c>
      <c r="Y668" s="3" t="str">
        <f t="shared" si="41"/>
        <v/>
      </c>
      <c r="Z668" s="3" t="str">
        <f t="shared" si="42"/>
        <v/>
      </c>
      <c r="AA668" s="11" t="str">
        <f t="shared" si="43"/>
        <v/>
      </c>
    </row>
    <row r="669" spans="1:27" x14ac:dyDescent="0.35">
      <c r="A669" s="10" t="s">
        <v>1792</v>
      </c>
      <c r="F669" t="s">
        <v>1358</v>
      </c>
      <c r="K669">
        <v>1</v>
      </c>
      <c r="L669" t="str">
        <f t="shared" si="40"/>
        <v/>
      </c>
      <c r="O669" t="s">
        <v>38</v>
      </c>
      <c r="T669" s="2">
        <f>'SUPUESTOS PRECIOS'!$B$9</f>
        <v>0</v>
      </c>
      <c r="U669" s="3">
        <f>'SUPUESTOS PRECIOS'!$B$5/'SUPUESTOS PRECIOS'!$B$4</f>
        <v>1000</v>
      </c>
      <c r="V669" s="3">
        <f>('SUPUESTOS PRECIOS'!$B$6-'SUPUESTOS PRECIOS'!$B$7)/'SUPUESTOS PRECIOS'!$B$4</f>
        <v>377.5</v>
      </c>
      <c r="W669" s="4">
        <f>'SUPUESTOS PRECIOS'!$B$8</f>
        <v>9.6799999999999994E-3</v>
      </c>
      <c r="X669" s="4">
        <f>'SUPUESTOS PRECIOS'!$B$2</f>
        <v>0.4</v>
      </c>
      <c r="Y669" s="3" t="str">
        <f t="shared" si="41"/>
        <v/>
      </c>
      <c r="Z669" s="3" t="str">
        <f t="shared" si="42"/>
        <v/>
      </c>
      <c r="AA669" s="11" t="str">
        <f t="shared" si="43"/>
        <v/>
      </c>
    </row>
    <row r="670" spans="1:27" x14ac:dyDescent="0.35">
      <c r="A670" s="10" t="s">
        <v>1793</v>
      </c>
      <c r="F670" t="s">
        <v>1358</v>
      </c>
      <c r="K670">
        <v>1</v>
      </c>
      <c r="L670" t="str">
        <f t="shared" si="40"/>
        <v/>
      </c>
      <c r="O670" t="s">
        <v>38</v>
      </c>
      <c r="T670" s="2">
        <f>'SUPUESTOS PRECIOS'!$B$9</f>
        <v>0</v>
      </c>
      <c r="U670" s="3">
        <f>'SUPUESTOS PRECIOS'!$B$5/'SUPUESTOS PRECIOS'!$B$4</f>
        <v>1000</v>
      </c>
      <c r="V670" s="3">
        <f>('SUPUESTOS PRECIOS'!$B$6-'SUPUESTOS PRECIOS'!$B$7)/'SUPUESTOS PRECIOS'!$B$4</f>
        <v>377.5</v>
      </c>
      <c r="W670" s="4">
        <f>'SUPUESTOS PRECIOS'!$B$8</f>
        <v>9.6799999999999994E-3</v>
      </c>
      <c r="X670" s="4">
        <f>'SUPUESTOS PRECIOS'!$B$2</f>
        <v>0.4</v>
      </c>
      <c r="Y670" s="3" t="str">
        <f t="shared" si="41"/>
        <v/>
      </c>
      <c r="Z670" s="3" t="str">
        <f t="shared" si="42"/>
        <v/>
      </c>
      <c r="AA670" s="11" t="str">
        <f t="shared" si="43"/>
        <v/>
      </c>
    </row>
    <row r="671" spans="1:27" x14ac:dyDescent="0.35">
      <c r="A671" s="10" t="s">
        <v>1794</v>
      </c>
      <c r="F671" t="s">
        <v>1358</v>
      </c>
      <c r="K671">
        <v>1</v>
      </c>
      <c r="L671" t="str">
        <f t="shared" si="40"/>
        <v/>
      </c>
      <c r="O671" t="s">
        <v>38</v>
      </c>
      <c r="T671" s="2">
        <f>'SUPUESTOS PRECIOS'!$B$9</f>
        <v>0</v>
      </c>
      <c r="U671" s="3">
        <f>'SUPUESTOS PRECIOS'!$B$5/'SUPUESTOS PRECIOS'!$B$4</f>
        <v>1000</v>
      </c>
      <c r="V671" s="3">
        <f>('SUPUESTOS PRECIOS'!$B$6-'SUPUESTOS PRECIOS'!$B$7)/'SUPUESTOS PRECIOS'!$B$4</f>
        <v>377.5</v>
      </c>
      <c r="W671" s="4">
        <f>'SUPUESTOS PRECIOS'!$B$8</f>
        <v>9.6799999999999994E-3</v>
      </c>
      <c r="X671" s="4">
        <f>'SUPUESTOS PRECIOS'!$B$2</f>
        <v>0.4</v>
      </c>
      <c r="Y671" s="3" t="str">
        <f t="shared" si="41"/>
        <v/>
      </c>
      <c r="Z671" s="3" t="str">
        <f t="shared" si="42"/>
        <v/>
      </c>
      <c r="AA671" s="11" t="str">
        <f t="shared" si="43"/>
        <v/>
      </c>
    </row>
    <row r="672" spans="1:27" x14ac:dyDescent="0.35">
      <c r="A672" s="10" t="s">
        <v>1795</v>
      </c>
      <c r="F672" t="s">
        <v>1358</v>
      </c>
      <c r="K672">
        <v>1</v>
      </c>
      <c r="L672" t="str">
        <f t="shared" si="40"/>
        <v/>
      </c>
      <c r="O672" t="s">
        <v>38</v>
      </c>
      <c r="T672" s="2">
        <f>'SUPUESTOS PRECIOS'!$B$9</f>
        <v>0</v>
      </c>
      <c r="U672" s="3">
        <f>'SUPUESTOS PRECIOS'!$B$5/'SUPUESTOS PRECIOS'!$B$4</f>
        <v>1000</v>
      </c>
      <c r="V672" s="3">
        <f>('SUPUESTOS PRECIOS'!$B$6-'SUPUESTOS PRECIOS'!$B$7)/'SUPUESTOS PRECIOS'!$B$4</f>
        <v>377.5</v>
      </c>
      <c r="W672" s="4">
        <f>'SUPUESTOS PRECIOS'!$B$8</f>
        <v>9.6799999999999994E-3</v>
      </c>
      <c r="X672" s="4">
        <f>'SUPUESTOS PRECIOS'!$B$2</f>
        <v>0.4</v>
      </c>
      <c r="Y672" s="3" t="str">
        <f t="shared" si="41"/>
        <v/>
      </c>
      <c r="Z672" s="3" t="str">
        <f t="shared" si="42"/>
        <v/>
      </c>
      <c r="AA672" s="11" t="str">
        <f t="shared" si="43"/>
        <v/>
      </c>
    </row>
    <row r="673" spans="1:27" x14ac:dyDescent="0.35">
      <c r="A673" s="10" t="s">
        <v>1796</v>
      </c>
      <c r="F673" t="s">
        <v>1358</v>
      </c>
      <c r="K673">
        <v>1</v>
      </c>
      <c r="L673" t="str">
        <f t="shared" si="40"/>
        <v/>
      </c>
      <c r="O673" t="s">
        <v>38</v>
      </c>
      <c r="T673" s="2">
        <f>'SUPUESTOS PRECIOS'!$B$9</f>
        <v>0</v>
      </c>
      <c r="U673" s="3">
        <f>'SUPUESTOS PRECIOS'!$B$5/'SUPUESTOS PRECIOS'!$B$4</f>
        <v>1000</v>
      </c>
      <c r="V673" s="3">
        <f>('SUPUESTOS PRECIOS'!$B$6-'SUPUESTOS PRECIOS'!$B$7)/'SUPUESTOS PRECIOS'!$B$4</f>
        <v>377.5</v>
      </c>
      <c r="W673" s="4">
        <f>'SUPUESTOS PRECIOS'!$B$8</f>
        <v>9.6799999999999994E-3</v>
      </c>
      <c r="X673" s="4">
        <f>'SUPUESTOS PRECIOS'!$B$2</f>
        <v>0.4</v>
      </c>
      <c r="Y673" s="3" t="str">
        <f t="shared" si="41"/>
        <v/>
      </c>
      <c r="Z673" s="3" t="str">
        <f t="shared" si="42"/>
        <v/>
      </c>
      <c r="AA673" s="11" t="str">
        <f t="shared" si="43"/>
        <v/>
      </c>
    </row>
    <row r="674" spans="1:27" x14ac:dyDescent="0.35">
      <c r="A674" s="10" t="s">
        <v>1797</v>
      </c>
      <c r="F674" t="s">
        <v>1358</v>
      </c>
      <c r="K674">
        <v>1</v>
      </c>
      <c r="L674" t="str">
        <f t="shared" si="40"/>
        <v/>
      </c>
      <c r="O674" t="s">
        <v>38</v>
      </c>
      <c r="T674" s="2">
        <f>'SUPUESTOS PRECIOS'!$B$9</f>
        <v>0</v>
      </c>
      <c r="U674" s="3">
        <f>'SUPUESTOS PRECIOS'!$B$5/'SUPUESTOS PRECIOS'!$B$4</f>
        <v>1000</v>
      </c>
      <c r="V674" s="3">
        <f>('SUPUESTOS PRECIOS'!$B$6-'SUPUESTOS PRECIOS'!$B$7)/'SUPUESTOS PRECIOS'!$B$4</f>
        <v>377.5</v>
      </c>
      <c r="W674" s="4">
        <f>'SUPUESTOS PRECIOS'!$B$8</f>
        <v>9.6799999999999994E-3</v>
      </c>
      <c r="X674" s="4">
        <f>'SUPUESTOS PRECIOS'!$B$2</f>
        <v>0.4</v>
      </c>
      <c r="Y674" s="3" t="str">
        <f t="shared" si="41"/>
        <v/>
      </c>
      <c r="Z674" s="3" t="str">
        <f t="shared" si="42"/>
        <v/>
      </c>
      <c r="AA674" s="11" t="str">
        <f t="shared" si="43"/>
        <v/>
      </c>
    </row>
    <row r="675" spans="1:27" x14ac:dyDescent="0.35">
      <c r="A675" s="10" t="s">
        <v>1798</v>
      </c>
      <c r="F675" t="s">
        <v>1358</v>
      </c>
      <c r="K675">
        <v>1</v>
      </c>
      <c r="L675" t="str">
        <f t="shared" si="40"/>
        <v/>
      </c>
      <c r="O675" t="s">
        <v>38</v>
      </c>
      <c r="T675" s="2">
        <f>'SUPUESTOS PRECIOS'!$B$9</f>
        <v>0</v>
      </c>
      <c r="U675" s="3">
        <f>'SUPUESTOS PRECIOS'!$B$5/'SUPUESTOS PRECIOS'!$B$4</f>
        <v>1000</v>
      </c>
      <c r="V675" s="3">
        <f>('SUPUESTOS PRECIOS'!$B$6-'SUPUESTOS PRECIOS'!$B$7)/'SUPUESTOS PRECIOS'!$B$4</f>
        <v>377.5</v>
      </c>
      <c r="W675" s="4">
        <f>'SUPUESTOS PRECIOS'!$B$8</f>
        <v>9.6799999999999994E-3</v>
      </c>
      <c r="X675" s="4">
        <f>'SUPUESTOS PRECIOS'!$B$2</f>
        <v>0.4</v>
      </c>
      <c r="Y675" s="3" t="str">
        <f t="shared" si="41"/>
        <v/>
      </c>
      <c r="Z675" s="3" t="str">
        <f t="shared" si="42"/>
        <v/>
      </c>
      <c r="AA675" s="11" t="str">
        <f t="shared" si="43"/>
        <v/>
      </c>
    </row>
    <row r="676" spans="1:27" x14ac:dyDescent="0.35">
      <c r="A676" s="10" t="s">
        <v>1799</v>
      </c>
      <c r="F676" t="s">
        <v>1358</v>
      </c>
      <c r="K676">
        <v>1</v>
      </c>
      <c r="L676" t="str">
        <f t="shared" si="40"/>
        <v/>
      </c>
      <c r="O676" t="s">
        <v>38</v>
      </c>
      <c r="T676" s="2">
        <f>'SUPUESTOS PRECIOS'!$B$9</f>
        <v>0</v>
      </c>
      <c r="U676" s="3">
        <f>'SUPUESTOS PRECIOS'!$B$5/'SUPUESTOS PRECIOS'!$B$4</f>
        <v>1000</v>
      </c>
      <c r="V676" s="3">
        <f>('SUPUESTOS PRECIOS'!$B$6-'SUPUESTOS PRECIOS'!$B$7)/'SUPUESTOS PRECIOS'!$B$4</f>
        <v>377.5</v>
      </c>
      <c r="W676" s="4">
        <f>'SUPUESTOS PRECIOS'!$B$8</f>
        <v>9.6799999999999994E-3</v>
      </c>
      <c r="X676" s="4">
        <f>'SUPUESTOS PRECIOS'!$B$2</f>
        <v>0.4</v>
      </c>
      <c r="Y676" s="3" t="str">
        <f t="shared" si="41"/>
        <v/>
      </c>
      <c r="Z676" s="3" t="str">
        <f t="shared" si="42"/>
        <v/>
      </c>
      <c r="AA676" s="11" t="str">
        <f t="shared" si="43"/>
        <v/>
      </c>
    </row>
    <row r="677" spans="1:27" x14ac:dyDescent="0.35">
      <c r="A677" s="10" t="s">
        <v>1800</v>
      </c>
      <c r="F677" t="s">
        <v>1358</v>
      </c>
      <c r="K677">
        <v>1</v>
      </c>
      <c r="L677" t="str">
        <f t="shared" si="40"/>
        <v/>
      </c>
      <c r="O677" t="s">
        <v>38</v>
      </c>
      <c r="T677" s="2">
        <f>'SUPUESTOS PRECIOS'!$B$9</f>
        <v>0</v>
      </c>
      <c r="U677" s="3">
        <f>'SUPUESTOS PRECIOS'!$B$5/'SUPUESTOS PRECIOS'!$B$4</f>
        <v>1000</v>
      </c>
      <c r="V677" s="3">
        <f>('SUPUESTOS PRECIOS'!$B$6-'SUPUESTOS PRECIOS'!$B$7)/'SUPUESTOS PRECIOS'!$B$4</f>
        <v>377.5</v>
      </c>
      <c r="W677" s="4">
        <f>'SUPUESTOS PRECIOS'!$B$8</f>
        <v>9.6799999999999994E-3</v>
      </c>
      <c r="X677" s="4">
        <f>'SUPUESTOS PRECIOS'!$B$2</f>
        <v>0.4</v>
      </c>
      <c r="Y677" s="3" t="str">
        <f t="shared" si="41"/>
        <v/>
      </c>
      <c r="Z677" s="3" t="str">
        <f t="shared" si="42"/>
        <v/>
      </c>
      <c r="AA677" s="11" t="str">
        <f t="shared" si="43"/>
        <v/>
      </c>
    </row>
    <row r="678" spans="1:27" x14ac:dyDescent="0.35">
      <c r="A678" s="10" t="s">
        <v>1801</v>
      </c>
      <c r="F678" t="s">
        <v>1358</v>
      </c>
      <c r="K678">
        <v>1</v>
      </c>
      <c r="L678" t="str">
        <f t="shared" si="40"/>
        <v/>
      </c>
      <c r="O678" t="s">
        <v>38</v>
      </c>
      <c r="T678" s="2">
        <f>'SUPUESTOS PRECIOS'!$B$9</f>
        <v>0</v>
      </c>
      <c r="U678" s="3">
        <f>'SUPUESTOS PRECIOS'!$B$5/'SUPUESTOS PRECIOS'!$B$4</f>
        <v>1000</v>
      </c>
      <c r="V678" s="3">
        <f>('SUPUESTOS PRECIOS'!$B$6-'SUPUESTOS PRECIOS'!$B$7)/'SUPUESTOS PRECIOS'!$B$4</f>
        <v>377.5</v>
      </c>
      <c r="W678" s="4">
        <f>'SUPUESTOS PRECIOS'!$B$8</f>
        <v>9.6799999999999994E-3</v>
      </c>
      <c r="X678" s="4">
        <f>'SUPUESTOS PRECIOS'!$B$2</f>
        <v>0.4</v>
      </c>
      <c r="Y678" s="3" t="str">
        <f t="shared" si="41"/>
        <v/>
      </c>
      <c r="Z678" s="3" t="str">
        <f t="shared" si="42"/>
        <v/>
      </c>
      <c r="AA678" s="11" t="str">
        <f t="shared" si="43"/>
        <v/>
      </c>
    </row>
    <row r="679" spans="1:27" x14ac:dyDescent="0.35">
      <c r="A679" s="10" t="s">
        <v>1802</v>
      </c>
      <c r="F679" t="s">
        <v>1358</v>
      </c>
      <c r="K679">
        <v>1</v>
      </c>
      <c r="L679" t="str">
        <f t="shared" si="40"/>
        <v/>
      </c>
      <c r="O679" t="s">
        <v>38</v>
      </c>
      <c r="T679" s="2">
        <f>'SUPUESTOS PRECIOS'!$B$9</f>
        <v>0</v>
      </c>
      <c r="U679" s="3">
        <f>'SUPUESTOS PRECIOS'!$B$5/'SUPUESTOS PRECIOS'!$B$4</f>
        <v>1000</v>
      </c>
      <c r="V679" s="3">
        <f>('SUPUESTOS PRECIOS'!$B$6-'SUPUESTOS PRECIOS'!$B$7)/'SUPUESTOS PRECIOS'!$B$4</f>
        <v>377.5</v>
      </c>
      <c r="W679" s="4">
        <f>'SUPUESTOS PRECIOS'!$B$8</f>
        <v>9.6799999999999994E-3</v>
      </c>
      <c r="X679" s="4">
        <f>'SUPUESTOS PRECIOS'!$B$2</f>
        <v>0.4</v>
      </c>
      <c r="Y679" s="3" t="str">
        <f t="shared" si="41"/>
        <v/>
      </c>
      <c r="Z679" s="3" t="str">
        <f t="shared" si="42"/>
        <v/>
      </c>
      <c r="AA679" s="11" t="str">
        <f t="shared" si="43"/>
        <v/>
      </c>
    </row>
    <row r="680" spans="1:27" x14ac:dyDescent="0.35">
      <c r="A680" s="10" t="s">
        <v>1803</v>
      </c>
      <c r="F680" t="s">
        <v>1358</v>
      </c>
      <c r="K680">
        <v>1</v>
      </c>
      <c r="L680" t="str">
        <f t="shared" si="40"/>
        <v/>
      </c>
      <c r="O680" t="s">
        <v>38</v>
      </c>
      <c r="T680" s="2">
        <f>'SUPUESTOS PRECIOS'!$B$9</f>
        <v>0</v>
      </c>
      <c r="U680" s="3">
        <f>'SUPUESTOS PRECIOS'!$B$5/'SUPUESTOS PRECIOS'!$B$4</f>
        <v>1000</v>
      </c>
      <c r="V680" s="3">
        <f>('SUPUESTOS PRECIOS'!$B$6-'SUPUESTOS PRECIOS'!$B$7)/'SUPUESTOS PRECIOS'!$B$4</f>
        <v>377.5</v>
      </c>
      <c r="W680" s="4">
        <f>'SUPUESTOS PRECIOS'!$B$8</f>
        <v>9.6799999999999994E-3</v>
      </c>
      <c r="X680" s="4">
        <f>'SUPUESTOS PRECIOS'!$B$2</f>
        <v>0.4</v>
      </c>
      <c r="Y680" s="3" t="str">
        <f t="shared" si="41"/>
        <v/>
      </c>
      <c r="Z680" s="3" t="str">
        <f t="shared" si="42"/>
        <v/>
      </c>
      <c r="AA680" s="11" t="str">
        <f t="shared" si="43"/>
        <v/>
      </c>
    </row>
    <row r="681" spans="1:27" x14ac:dyDescent="0.35">
      <c r="A681" s="10" t="s">
        <v>1804</v>
      </c>
      <c r="F681" t="s">
        <v>1358</v>
      </c>
      <c r="K681">
        <v>1</v>
      </c>
      <c r="L681" t="str">
        <f t="shared" si="40"/>
        <v/>
      </c>
      <c r="O681" t="s">
        <v>38</v>
      </c>
      <c r="T681" s="2">
        <f>'SUPUESTOS PRECIOS'!$B$9</f>
        <v>0</v>
      </c>
      <c r="U681" s="3">
        <f>'SUPUESTOS PRECIOS'!$B$5/'SUPUESTOS PRECIOS'!$B$4</f>
        <v>1000</v>
      </c>
      <c r="V681" s="3">
        <f>('SUPUESTOS PRECIOS'!$B$6-'SUPUESTOS PRECIOS'!$B$7)/'SUPUESTOS PRECIOS'!$B$4</f>
        <v>377.5</v>
      </c>
      <c r="W681" s="4">
        <f>'SUPUESTOS PRECIOS'!$B$8</f>
        <v>9.6799999999999994E-3</v>
      </c>
      <c r="X681" s="4">
        <f>'SUPUESTOS PRECIOS'!$B$2</f>
        <v>0.4</v>
      </c>
      <c r="Y681" s="3" t="str">
        <f t="shared" si="41"/>
        <v/>
      </c>
      <c r="Z681" s="3" t="str">
        <f t="shared" si="42"/>
        <v/>
      </c>
      <c r="AA681" s="11" t="str">
        <f t="shared" si="43"/>
        <v/>
      </c>
    </row>
    <row r="682" spans="1:27" x14ac:dyDescent="0.35">
      <c r="A682" s="10" t="s">
        <v>1805</v>
      </c>
      <c r="F682" t="s">
        <v>1358</v>
      </c>
      <c r="K682">
        <v>1</v>
      </c>
      <c r="L682" t="str">
        <f t="shared" si="40"/>
        <v/>
      </c>
      <c r="O682" t="s">
        <v>38</v>
      </c>
      <c r="T682" s="2">
        <f>'SUPUESTOS PRECIOS'!$B$9</f>
        <v>0</v>
      </c>
      <c r="U682" s="3">
        <f>'SUPUESTOS PRECIOS'!$B$5/'SUPUESTOS PRECIOS'!$B$4</f>
        <v>1000</v>
      </c>
      <c r="V682" s="3">
        <f>('SUPUESTOS PRECIOS'!$B$6-'SUPUESTOS PRECIOS'!$B$7)/'SUPUESTOS PRECIOS'!$B$4</f>
        <v>377.5</v>
      </c>
      <c r="W682" s="4">
        <f>'SUPUESTOS PRECIOS'!$B$8</f>
        <v>9.6799999999999994E-3</v>
      </c>
      <c r="X682" s="4">
        <f>'SUPUESTOS PRECIOS'!$B$2</f>
        <v>0.4</v>
      </c>
      <c r="Y682" s="3" t="str">
        <f t="shared" si="41"/>
        <v/>
      </c>
      <c r="Z682" s="3" t="str">
        <f t="shared" si="42"/>
        <v/>
      </c>
      <c r="AA682" s="11" t="str">
        <f t="shared" si="43"/>
        <v/>
      </c>
    </row>
    <row r="683" spans="1:27" x14ac:dyDescent="0.35">
      <c r="A683" s="10" t="s">
        <v>1806</v>
      </c>
      <c r="F683" t="s">
        <v>1358</v>
      </c>
      <c r="K683">
        <v>1</v>
      </c>
      <c r="L683" t="str">
        <f t="shared" si="40"/>
        <v/>
      </c>
      <c r="O683" t="s">
        <v>38</v>
      </c>
      <c r="T683" s="2">
        <f>'SUPUESTOS PRECIOS'!$B$9</f>
        <v>0</v>
      </c>
      <c r="U683" s="3">
        <f>'SUPUESTOS PRECIOS'!$B$5/'SUPUESTOS PRECIOS'!$B$4</f>
        <v>1000</v>
      </c>
      <c r="V683" s="3">
        <f>('SUPUESTOS PRECIOS'!$B$6-'SUPUESTOS PRECIOS'!$B$7)/'SUPUESTOS PRECIOS'!$B$4</f>
        <v>377.5</v>
      </c>
      <c r="W683" s="4">
        <f>'SUPUESTOS PRECIOS'!$B$8</f>
        <v>9.6799999999999994E-3</v>
      </c>
      <c r="X683" s="4">
        <f>'SUPUESTOS PRECIOS'!$B$2</f>
        <v>0.4</v>
      </c>
      <c r="Y683" s="3" t="str">
        <f t="shared" si="41"/>
        <v/>
      </c>
      <c r="Z683" s="3" t="str">
        <f t="shared" si="42"/>
        <v/>
      </c>
      <c r="AA683" s="11" t="str">
        <f t="shared" si="43"/>
        <v/>
      </c>
    </row>
    <row r="684" spans="1:27" x14ac:dyDescent="0.35">
      <c r="A684" s="10" t="s">
        <v>1807</v>
      </c>
      <c r="F684" t="s">
        <v>1358</v>
      </c>
      <c r="K684">
        <v>1</v>
      </c>
      <c r="L684" t="str">
        <f t="shared" si="40"/>
        <v/>
      </c>
      <c r="O684" t="s">
        <v>38</v>
      </c>
      <c r="T684" s="2">
        <f>'SUPUESTOS PRECIOS'!$B$9</f>
        <v>0</v>
      </c>
      <c r="U684" s="3">
        <f>'SUPUESTOS PRECIOS'!$B$5/'SUPUESTOS PRECIOS'!$B$4</f>
        <v>1000</v>
      </c>
      <c r="V684" s="3">
        <f>('SUPUESTOS PRECIOS'!$B$6-'SUPUESTOS PRECIOS'!$B$7)/'SUPUESTOS PRECIOS'!$B$4</f>
        <v>377.5</v>
      </c>
      <c r="W684" s="4">
        <f>'SUPUESTOS PRECIOS'!$B$8</f>
        <v>9.6799999999999994E-3</v>
      </c>
      <c r="X684" s="4">
        <f>'SUPUESTOS PRECIOS'!$B$2</f>
        <v>0.4</v>
      </c>
      <c r="Y684" s="3" t="str">
        <f t="shared" si="41"/>
        <v/>
      </c>
      <c r="Z684" s="3" t="str">
        <f t="shared" si="42"/>
        <v/>
      </c>
      <c r="AA684" s="11" t="str">
        <f t="shared" si="43"/>
        <v/>
      </c>
    </row>
    <row r="685" spans="1:27" x14ac:dyDescent="0.35">
      <c r="A685" s="10" t="s">
        <v>1808</v>
      </c>
      <c r="F685" t="s">
        <v>1358</v>
      </c>
      <c r="K685">
        <v>1</v>
      </c>
      <c r="L685" t="str">
        <f t="shared" si="40"/>
        <v/>
      </c>
      <c r="O685" t="s">
        <v>38</v>
      </c>
      <c r="T685" s="2">
        <f>'SUPUESTOS PRECIOS'!$B$9</f>
        <v>0</v>
      </c>
      <c r="U685" s="3">
        <f>'SUPUESTOS PRECIOS'!$B$5/'SUPUESTOS PRECIOS'!$B$4</f>
        <v>1000</v>
      </c>
      <c r="V685" s="3">
        <f>('SUPUESTOS PRECIOS'!$B$6-'SUPUESTOS PRECIOS'!$B$7)/'SUPUESTOS PRECIOS'!$B$4</f>
        <v>377.5</v>
      </c>
      <c r="W685" s="4">
        <f>'SUPUESTOS PRECIOS'!$B$8</f>
        <v>9.6799999999999994E-3</v>
      </c>
      <c r="X685" s="4">
        <f>'SUPUESTOS PRECIOS'!$B$2</f>
        <v>0.4</v>
      </c>
      <c r="Y685" s="3" t="str">
        <f t="shared" si="41"/>
        <v/>
      </c>
      <c r="Z685" s="3" t="str">
        <f t="shared" si="42"/>
        <v/>
      </c>
      <c r="AA685" s="11" t="str">
        <f t="shared" si="43"/>
        <v/>
      </c>
    </row>
    <row r="686" spans="1:27" x14ac:dyDescent="0.35">
      <c r="A686" s="10" t="s">
        <v>1809</v>
      </c>
      <c r="F686" t="s">
        <v>1358</v>
      </c>
      <c r="K686">
        <v>1</v>
      </c>
      <c r="L686" t="str">
        <f t="shared" si="40"/>
        <v/>
      </c>
      <c r="O686" t="s">
        <v>38</v>
      </c>
      <c r="T686" s="2">
        <f>'SUPUESTOS PRECIOS'!$B$9</f>
        <v>0</v>
      </c>
      <c r="U686" s="3">
        <f>'SUPUESTOS PRECIOS'!$B$5/'SUPUESTOS PRECIOS'!$B$4</f>
        <v>1000</v>
      </c>
      <c r="V686" s="3">
        <f>('SUPUESTOS PRECIOS'!$B$6-'SUPUESTOS PRECIOS'!$B$7)/'SUPUESTOS PRECIOS'!$B$4</f>
        <v>377.5</v>
      </c>
      <c r="W686" s="4">
        <f>'SUPUESTOS PRECIOS'!$B$8</f>
        <v>9.6799999999999994E-3</v>
      </c>
      <c r="X686" s="4">
        <f>'SUPUESTOS PRECIOS'!$B$2</f>
        <v>0.4</v>
      </c>
      <c r="Y686" s="3" t="str">
        <f t="shared" si="41"/>
        <v/>
      </c>
      <c r="Z686" s="3" t="str">
        <f t="shared" si="42"/>
        <v/>
      </c>
      <c r="AA686" s="11" t="str">
        <f t="shared" si="43"/>
        <v/>
      </c>
    </row>
    <row r="687" spans="1:27" x14ac:dyDescent="0.35">
      <c r="A687" s="10" t="s">
        <v>1810</v>
      </c>
      <c r="F687" t="s">
        <v>1358</v>
      </c>
      <c r="K687">
        <v>1</v>
      </c>
      <c r="L687" t="str">
        <f t="shared" si="40"/>
        <v/>
      </c>
      <c r="O687" t="s">
        <v>38</v>
      </c>
      <c r="T687" s="2">
        <f>'SUPUESTOS PRECIOS'!$B$9</f>
        <v>0</v>
      </c>
      <c r="U687" s="3">
        <f>'SUPUESTOS PRECIOS'!$B$5/'SUPUESTOS PRECIOS'!$B$4</f>
        <v>1000</v>
      </c>
      <c r="V687" s="3">
        <f>('SUPUESTOS PRECIOS'!$B$6-'SUPUESTOS PRECIOS'!$B$7)/'SUPUESTOS PRECIOS'!$B$4</f>
        <v>377.5</v>
      </c>
      <c r="W687" s="4">
        <f>'SUPUESTOS PRECIOS'!$B$8</f>
        <v>9.6799999999999994E-3</v>
      </c>
      <c r="X687" s="4">
        <f>'SUPUESTOS PRECIOS'!$B$2</f>
        <v>0.4</v>
      </c>
      <c r="Y687" s="3" t="str">
        <f t="shared" si="41"/>
        <v/>
      </c>
      <c r="Z687" s="3" t="str">
        <f t="shared" si="42"/>
        <v/>
      </c>
      <c r="AA687" s="11" t="str">
        <f t="shared" si="43"/>
        <v/>
      </c>
    </row>
    <row r="688" spans="1:27" x14ac:dyDescent="0.35">
      <c r="A688" s="10" t="s">
        <v>1811</v>
      </c>
      <c r="F688" t="s">
        <v>1358</v>
      </c>
      <c r="K688">
        <v>1</v>
      </c>
      <c r="L688" t="str">
        <f t="shared" si="40"/>
        <v/>
      </c>
      <c r="O688" t="s">
        <v>38</v>
      </c>
      <c r="T688" s="2">
        <f>'SUPUESTOS PRECIOS'!$B$9</f>
        <v>0</v>
      </c>
      <c r="U688" s="3">
        <f>'SUPUESTOS PRECIOS'!$B$5/'SUPUESTOS PRECIOS'!$B$4</f>
        <v>1000</v>
      </c>
      <c r="V688" s="3">
        <f>('SUPUESTOS PRECIOS'!$B$6-'SUPUESTOS PRECIOS'!$B$7)/'SUPUESTOS PRECIOS'!$B$4</f>
        <v>377.5</v>
      </c>
      <c r="W688" s="4">
        <f>'SUPUESTOS PRECIOS'!$B$8</f>
        <v>9.6799999999999994E-3</v>
      </c>
      <c r="X688" s="4">
        <f>'SUPUESTOS PRECIOS'!$B$2</f>
        <v>0.4</v>
      </c>
      <c r="Y688" s="3" t="str">
        <f t="shared" si="41"/>
        <v/>
      </c>
      <c r="Z688" s="3" t="str">
        <f t="shared" si="42"/>
        <v/>
      </c>
      <c r="AA688" s="11" t="str">
        <f t="shared" si="43"/>
        <v/>
      </c>
    </row>
    <row r="689" spans="1:27" x14ac:dyDescent="0.35">
      <c r="A689" s="10" t="s">
        <v>1812</v>
      </c>
      <c r="F689" t="s">
        <v>1358</v>
      </c>
      <c r="K689">
        <v>1</v>
      </c>
      <c r="L689" t="str">
        <f t="shared" si="40"/>
        <v/>
      </c>
      <c r="O689" t="s">
        <v>38</v>
      </c>
      <c r="T689" s="2">
        <f>'SUPUESTOS PRECIOS'!$B$9</f>
        <v>0</v>
      </c>
      <c r="U689" s="3">
        <f>'SUPUESTOS PRECIOS'!$B$5/'SUPUESTOS PRECIOS'!$B$4</f>
        <v>1000</v>
      </c>
      <c r="V689" s="3">
        <f>('SUPUESTOS PRECIOS'!$B$6-'SUPUESTOS PRECIOS'!$B$7)/'SUPUESTOS PRECIOS'!$B$4</f>
        <v>377.5</v>
      </c>
      <c r="W689" s="4">
        <f>'SUPUESTOS PRECIOS'!$B$8</f>
        <v>9.6799999999999994E-3</v>
      </c>
      <c r="X689" s="4">
        <f>'SUPUESTOS PRECIOS'!$B$2</f>
        <v>0.4</v>
      </c>
      <c r="Y689" s="3" t="str">
        <f t="shared" si="41"/>
        <v/>
      </c>
      <c r="Z689" s="3" t="str">
        <f t="shared" si="42"/>
        <v/>
      </c>
      <c r="AA689" s="11" t="str">
        <f t="shared" si="43"/>
        <v/>
      </c>
    </row>
    <row r="690" spans="1:27" x14ac:dyDescent="0.35">
      <c r="A690" s="10" t="s">
        <v>1813</v>
      </c>
      <c r="F690" t="s">
        <v>1358</v>
      </c>
      <c r="K690">
        <v>1</v>
      </c>
      <c r="L690" t="str">
        <f t="shared" si="40"/>
        <v/>
      </c>
      <c r="O690" t="s">
        <v>38</v>
      </c>
      <c r="T690" s="2">
        <f>'SUPUESTOS PRECIOS'!$B$9</f>
        <v>0</v>
      </c>
      <c r="U690" s="3">
        <f>'SUPUESTOS PRECIOS'!$B$5/'SUPUESTOS PRECIOS'!$B$4</f>
        <v>1000</v>
      </c>
      <c r="V690" s="3">
        <f>('SUPUESTOS PRECIOS'!$B$6-'SUPUESTOS PRECIOS'!$B$7)/'SUPUESTOS PRECIOS'!$B$4</f>
        <v>377.5</v>
      </c>
      <c r="W690" s="4">
        <f>'SUPUESTOS PRECIOS'!$B$8</f>
        <v>9.6799999999999994E-3</v>
      </c>
      <c r="X690" s="4">
        <f>'SUPUESTOS PRECIOS'!$B$2</f>
        <v>0.4</v>
      </c>
      <c r="Y690" s="3" t="str">
        <f t="shared" si="41"/>
        <v/>
      </c>
      <c r="Z690" s="3" t="str">
        <f t="shared" si="42"/>
        <v/>
      </c>
      <c r="AA690" s="11" t="str">
        <f t="shared" si="43"/>
        <v/>
      </c>
    </row>
    <row r="691" spans="1:27" x14ac:dyDescent="0.35">
      <c r="A691" s="10" t="s">
        <v>1814</v>
      </c>
      <c r="F691" t="s">
        <v>1358</v>
      </c>
      <c r="K691">
        <v>1</v>
      </c>
      <c r="L691" t="str">
        <f t="shared" si="40"/>
        <v/>
      </c>
      <c r="O691" t="s">
        <v>38</v>
      </c>
      <c r="T691" s="2">
        <f>'SUPUESTOS PRECIOS'!$B$9</f>
        <v>0</v>
      </c>
      <c r="U691" s="3">
        <f>'SUPUESTOS PRECIOS'!$B$5/'SUPUESTOS PRECIOS'!$B$4</f>
        <v>1000</v>
      </c>
      <c r="V691" s="3">
        <f>('SUPUESTOS PRECIOS'!$B$6-'SUPUESTOS PRECIOS'!$B$7)/'SUPUESTOS PRECIOS'!$B$4</f>
        <v>377.5</v>
      </c>
      <c r="W691" s="4">
        <f>'SUPUESTOS PRECIOS'!$B$8</f>
        <v>9.6799999999999994E-3</v>
      </c>
      <c r="X691" s="4">
        <f>'SUPUESTOS PRECIOS'!$B$2</f>
        <v>0.4</v>
      </c>
      <c r="Y691" s="3" t="str">
        <f t="shared" si="41"/>
        <v/>
      </c>
      <c r="Z691" s="3" t="str">
        <f t="shared" si="42"/>
        <v/>
      </c>
      <c r="AA691" s="11" t="str">
        <f t="shared" si="43"/>
        <v/>
      </c>
    </row>
    <row r="692" spans="1:27" x14ac:dyDescent="0.35">
      <c r="A692" s="10" t="s">
        <v>1815</v>
      </c>
      <c r="F692" t="s">
        <v>1358</v>
      </c>
      <c r="K692">
        <v>1</v>
      </c>
      <c r="L692" t="str">
        <f t="shared" si="40"/>
        <v/>
      </c>
      <c r="O692" t="s">
        <v>38</v>
      </c>
      <c r="T692" s="2">
        <f>'SUPUESTOS PRECIOS'!$B$9</f>
        <v>0</v>
      </c>
      <c r="U692" s="3">
        <f>'SUPUESTOS PRECIOS'!$B$5/'SUPUESTOS PRECIOS'!$B$4</f>
        <v>1000</v>
      </c>
      <c r="V692" s="3">
        <f>('SUPUESTOS PRECIOS'!$B$6-'SUPUESTOS PRECIOS'!$B$7)/'SUPUESTOS PRECIOS'!$B$4</f>
        <v>377.5</v>
      </c>
      <c r="W692" s="4">
        <f>'SUPUESTOS PRECIOS'!$B$8</f>
        <v>9.6799999999999994E-3</v>
      </c>
      <c r="X692" s="4">
        <f>'SUPUESTOS PRECIOS'!$B$2</f>
        <v>0.4</v>
      </c>
      <c r="Y692" s="3" t="str">
        <f t="shared" si="41"/>
        <v/>
      </c>
      <c r="Z692" s="3" t="str">
        <f t="shared" si="42"/>
        <v/>
      </c>
      <c r="AA692" s="11" t="str">
        <f t="shared" si="43"/>
        <v/>
      </c>
    </row>
    <row r="693" spans="1:27" x14ac:dyDescent="0.35">
      <c r="A693" s="10" t="s">
        <v>1816</v>
      </c>
      <c r="F693" t="s">
        <v>1358</v>
      </c>
      <c r="K693">
        <v>1</v>
      </c>
      <c r="L693" t="str">
        <f t="shared" si="40"/>
        <v/>
      </c>
      <c r="O693" t="s">
        <v>38</v>
      </c>
      <c r="T693" s="2">
        <f>'SUPUESTOS PRECIOS'!$B$9</f>
        <v>0</v>
      </c>
      <c r="U693" s="3">
        <f>'SUPUESTOS PRECIOS'!$B$5/'SUPUESTOS PRECIOS'!$B$4</f>
        <v>1000</v>
      </c>
      <c r="V693" s="3">
        <f>('SUPUESTOS PRECIOS'!$B$6-'SUPUESTOS PRECIOS'!$B$7)/'SUPUESTOS PRECIOS'!$B$4</f>
        <v>377.5</v>
      </c>
      <c r="W693" s="4">
        <f>'SUPUESTOS PRECIOS'!$B$8</f>
        <v>9.6799999999999994E-3</v>
      </c>
      <c r="X693" s="4">
        <f>'SUPUESTOS PRECIOS'!$B$2</f>
        <v>0.4</v>
      </c>
      <c r="Y693" s="3" t="str">
        <f t="shared" si="41"/>
        <v/>
      </c>
      <c r="Z693" s="3" t="str">
        <f t="shared" si="42"/>
        <v/>
      </c>
      <c r="AA693" s="11" t="str">
        <f t="shared" si="43"/>
        <v/>
      </c>
    </row>
    <row r="694" spans="1:27" x14ac:dyDescent="0.35">
      <c r="A694" s="10" t="s">
        <v>1817</v>
      </c>
      <c r="F694" t="s">
        <v>1358</v>
      </c>
      <c r="K694">
        <v>1</v>
      </c>
      <c r="L694" t="str">
        <f t="shared" si="40"/>
        <v/>
      </c>
      <c r="O694" t="s">
        <v>38</v>
      </c>
      <c r="T694" s="2">
        <f>'SUPUESTOS PRECIOS'!$B$9</f>
        <v>0</v>
      </c>
      <c r="U694" s="3">
        <f>'SUPUESTOS PRECIOS'!$B$5/'SUPUESTOS PRECIOS'!$B$4</f>
        <v>1000</v>
      </c>
      <c r="V694" s="3">
        <f>('SUPUESTOS PRECIOS'!$B$6-'SUPUESTOS PRECIOS'!$B$7)/'SUPUESTOS PRECIOS'!$B$4</f>
        <v>377.5</v>
      </c>
      <c r="W694" s="4">
        <f>'SUPUESTOS PRECIOS'!$B$8</f>
        <v>9.6799999999999994E-3</v>
      </c>
      <c r="X694" s="4">
        <f>'SUPUESTOS PRECIOS'!$B$2</f>
        <v>0.4</v>
      </c>
      <c r="Y694" s="3" t="str">
        <f t="shared" si="41"/>
        <v/>
      </c>
      <c r="Z694" s="3" t="str">
        <f t="shared" si="42"/>
        <v/>
      </c>
      <c r="AA694" s="11" t="str">
        <f t="shared" si="43"/>
        <v/>
      </c>
    </row>
    <row r="695" spans="1:27" x14ac:dyDescent="0.35">
      <c r="A695" s="10" t="s">
        <v>1818</v>
      </c>
      <c r="F695" t="s">
        <v>1358</v>
      </c>
      <c r="K695">
        <v>1</v>
      </c>
      <c r="L695" t="str">
        <f t="shared" si="40"/>
        <v/>
      </c>
      <c r="O695" t="s">
        <v>38</v>
      </c>
      <c r="T695" s="2">
        <f>'SUPUESTOS PRECIOS'!$B$9</f>
        <v>0</v>
      </c>
      <c r="U695" s="3">
        <f>'SUPUESTOS PRECIOS'!$B$5/'SUPUESTOS PRECIOS'!$B$4</f>
        <v>1000</v>
      </c>
      <c r="V695" s="3">
        <f>('SUPUESTOS PRECIOS'!$B$6-'SUPUESTOS PRECIOS'!$B$7)/'SUPUESTOS PRECIOS'!$B$4</f>
        <v>377.5</v>
      </c>
      <c r="W695" s="4">
        <f>'SUPUESTOS PRECIOS'!$B$8</f>
        <v>9.6799999999999994E-3</v>
      </c>
      <c r="X695" s="4">
        <f>'SUPUESTOS PRECIOS'!$B$2</f>
        <v>0.4</v>
      </c>
      <c r="Y695" s="3" t="str">
        <f t="shared" si="41"/>
        <v/>
      </c>
      <c r="Z695" s="3" t="str">
        <f t="shared" si="42"/>
        <v/>
      </c>
      <c r="AA695" s="11" t="str">
        <f t="shared" si="43"/>
        <v/>
      </c>
    </row>
    <row r="696" spans="1:27" x14ac:dyDescent="0.35">
      <c r="A696" s="10" t="s">
        <v>1819</v>
      </c>
      <c r="F696" t="s">
        <v>1358</v>
      </c>
      <c r="K696">
        <v>1</v>
      </c>
      <c r="L696" t="str">
        <f t="shared" si="40"/>
        <v/>
      </c>
      <c r="O696" t="s">
        <v>38</v>
      </c>
      <c r="T696" s="2">
        <f>'SUPUESTOS PRECIOS'!$B$9</f>
        <v>0</v>
      </c>
      <c r="U696" s="3">
        <f>'SUPUESTOS PRECIOS'!$B$5/'SUPUESTOS PRECIOS'!$B$4</f>
        <v>1000</v>
      </c>
      <c r="V696" s="3">
        <f>('SUPUESTOS PRECIOS'!$B$6-'SUPUESTOS PRECIOS'!$B$7)/'SUPUESTOS PRECIOS'!$B$4</f>
        <v>377.5</v>
      </c>
      <c r="W696" s="4">
        <f>'SUPUESTOS PRECIOS'!$B$8</f>
        <v>9.6799999999999994E-3</v>
      </c>
      <c r="X696" s="4">
        <f>'SUPUESTOS PRECIOS'!$B$2</f>
        <v>0.4</v>
      </c>
      <c r="Y696" s="3" t="str">
        <f t="shared" si="41"/>
        <v/>
      </c>
      <c r="Z696" s="3" t="str">
        <f t="shared" si="42"/>
        <v/>
      </c>
      <c r="AA696" s="11" t="str">
        <f t="shared" si="43"/>
        <v/>
      </c>
    </row>
    <row r="697" spans="1:27" x14ac:dyDescent="0.35">
      <c r="A697" s="10" t="s">
        <v>1820</v>
      </c>
      <c r="F697" t="s">
        <v>1358</v>
      </c>
      <c r="K697">
        <v>1</v>
      </c>
      <c r="L697" t="str">
        <f t="shared" si="40"/>
        <v/>
      </c>
      <c r="O697" t="s">
        <v>38</v>
      </c>
      <c r="T697" s="2">
        <f>'SUPUESTOS PRECIOS'!$B$9</f>
        <v>0</v>
      </c>
      <c r="U697" s="3">
        <f>'SUPUESTOS PRECIOS'!$B$5/'SUPUESTOS PRECIOS'!$B$4</f>
        <v>1000</v>
      </c>
      <c r="V697" s="3">
        <f>('SUPUESTOS PRECIOS'!$B$6-'SUPUESTOS PRECIOS'!$B$7)/'SUPUESTOS PRECIOS'!$B$4</f>
        <v>377.5</v>
      </c>
      <c r="W697" s="4">
        <f>'SUPUESTOS PRECIOS'!$B$8</f>
        <v>9.6799999999999994E-3</v>
      </c>
      <c r="X697" s="4">
        <f>'SUPUESTOS PRECIOS'!$B$2</f>
        <v>0.4</v>
      </c>
      <c r="Y697" s="3" t="str">
        <f t="shared" si="41"/>
        <v/>
      </c>
      <c r="Z697" s="3" t="str">
        <f t="shared" si="42"/>
        <v/>
      </c>
      <c r="AA697" s="11" t="str">
        <f t="shared" si="43"/>
        <v/>
      </c>
    </row>
    <row r="698" spans="1:27" x14ac:dyDescent="0.35">
      <c r="A698" s="10" t="s">
        <v>1821</v>
      </c>
      <c r="F698" t="s">
        <v>1358</v>
      </c>
      <c r="K698">
        <v>1</v>
      </c>
      <c r="L698" t="str">
        <f t="shared" si="40"/>
        <v/>
      </c>
      <c r="O698" t="s">
        <v>38</v>
      </c>
      <c r="T698" s="2">
        <f>'SUPUESTOS PRECIOS'!$B$9</f>
        <v>0</v>
      </c>
      <c r="U698" s="3">
        <f>'SUPUESTOS PRECIOS'!$B$5/'SUPUESTOS PRECIOS'!$B$4</f>
        <v>1000</v>
      </c>
      <c r="V698" s="3">
        <f>('SUPUESTOS PRECIOS'!$B$6-'SUPUESTOS PRECIOS'!$B$7)/'SUPUESTOS PRECIOS'!$B$4</f>
        <v>377.5</v>
      </c>
      <c r="W698" s="4">
        <f>'SUPUESTOS PRECIOS'!$B$8</f>
        <v>9.6799999999999994E-3</v>
      </c>
      <c r="X698" s="4">
        <f>'SUPUESTOS PRECIOS'!$B$2</f>
        <v>0.4</v>
      </c>
      <c r="Y698" s="3" t="str">
        <f t="shared" si="41"/>
        <v/>
      </c>
      <c r="Z698" s="3" t="str">
        <f t="shared" si="42"/>
        <v/>
      </c>
      <c r="AA698" s="11" t="str">
        <f t="shared" si="43"/>
        <v/>
      </c>
    </row>
    <row r="699" spans="1:27" x14ac:dyDescent="0.35">
      <c r="A699" s="10" t="s">
        <v>1822</v>
      </c>
      <c r="F699" t="s">
        <v>1358</v>
      </c>
      <c r="K699">
        <v>1</v>
      </c>
      <c r="L699" t="str">
        <f t="shared" si="40"/>
        <v/>
      </c>
      <c r="O699" t="s">
        <v>38</v>
      </c>
      <c r="T699" s="2">
        <f>'SUPUESTOS PRECIOS'!$B$9</f>
        <v>0</v>
      </c>
      <c r="U699" s="3">
        <f>'SUPUESTOS PRECIOS'!$B$5/'SUPUESTOS PRECIOS'!$B$4</f>
        <v>1000</v>
      </c>
      <c r="V699" s="3">
        <f>('SUPUESTOS PRECIOS'!$B$6-'SUPUESTOS PRECIOS'!$B$7)/'SUPUESTOS PRECIOS'!$B$4</f>
        <v>377.5</v>
      </c>
      <c r="W699" s="4">
        <f>'SUPUESTOS PRECIOS'!$B$8</f>
        <v>9.6799999999999994E-3</v>
      </c>
      <c r="X699" s="4">
        <f>'SUPUESTOS PRECIOS'!$B$2</f>
        <v>0.4</v>
      </c>
      <c r="Y699" s="3" t="str">
        <f t="shared" si="41"/>
        <v/>
      </c>
      <c r="Z699" s="3" t="str">
        <f t="shared" si="42"/>
        <v/>
      </c>
      <c r="AA699" s="11" t="str">
        <f t="shared" si="43"/>
        <v/>
      </c>
    </row>
    <row r="700" spans="1:27" x14ac:dyDescent="0.35">
      <c r="A700" s="10" t="s">
        <v>1823</v>
      </c>
      <c r="F700" t="s">
        <v>1358</v>
      </c>
      <c r="K700">
        <v>1</v>
      </c>
      <c r="L700" t="str">
        <f t="shared" si="40"/>
        <v/>
      </c>
      <c r="O700" t="s">
        <v>38</v>
      </c>
      <c r="T700" s="2">
        <f>'SUPUESTOS PRECIOS'!$B$9</f>
        <v>0</v>
      </c>
      <c r="U700" s="3">
        <f>'SUPUESTOS PRECIOS'!$B$5/'SUPUESTOS PRECIOS'!$B$4</f>
        <v>1000</v>
      </c>
      <c r="V700" s="3">
        <f>('SUPUESTOS PRECIOS'!$B$6-'SUPUESTOS PRECIOS'!$B$7)/'SUPUESTOS PRECIOS'!$B$4</f>
        <v>377.5</v>
      </c>
      <c r="W700" s="4">
        <f>'SUPUESTOS PRECIOS'!$B$8</f>
        <v>9.6799999999999994E-3</v>
      </c>
      <c r="X700" s="4">
        <f>'SUPUESTOS PRECIOS'!$B$2</f>
        <v>0.4</v>
      </c>
      <c r="Y700" s="3" t="str">
        <f t="shared" si="41"/>
        <v/>
      </c>
      <c r="Z700" s="3" t="str">
        <f t="shared" si="42"/>
        <v/>
      </c>
      <c r="AA700" s="11" t="str">
        <f t="shared" si="43"/>
        <v/>
      </c>
    </row>
    <row r="701" spans="1:27" x14ac:dyDescent="0.35">
      <c r="A701" s="10" t="s">
        <v>1824</v>
      </c>
      <c r="F701" t="s">
        <v>1358</v>
      </c>
      <c r="K701">
        <v>1</v>
      </c>
      <c r="L701" t="str">
        <f t="shared" si="40"/>
        <v/>
      </c>
      <c r="O701" t="s">
        <v>38</v>
      </c>
      <c r="T701" s="2">
        <f>'SUPUESTOS PRECIOS'!$B$9</f>
        <v>0</v>
      </c>
      <c r="U701" s="3">
        <f>'SUPUESTOS PRECIOS'!$B$5/'SUPUESTOS PRECIOS'!$B$4</f>
        <v>1000</v>
      </c>
      <c r="V701" s="3">
        <f>('SUPUESTOS PRECIOS'!$B$6-'SUPUESTOS PRECIOS'!$B$7)/'SUPUESTOS PRECIOS'!$B$4</f>
        <v>377.5</v>
      </c>
      <c r="W701" s="4">
        <f>'SUPUESTOS PRECIOS'!$B$8</f>
        <v>9.6799999999999994E-3</v>
      </c>
      <c r="X701" s="4">
        <f>'SUPUESTOS PRECIOS'!$B$2</f>
        <v>0.4</v>
      </c>
      <c r="Y701" s="3" t="str">
        <f t="shared" si="41"/>
        <v/>
      </c>
      <c r="Z701" s="3" t="str">
        <f t="shared" si="42"/>
        <v/>
      </c>
      <c r="AA701" s="11" t="str">
        <f t="shared" si="43"/>
        <v/>
      </c>
    </row>
    <row r="702" spans="1:27" x14ac:dyDescent="0.35">
      <c r="A702" s="10" t="s">
        <v>1825</v>
      </c>
      <c r="F702" t="s">
        <v>1358</v>
      </c>
      <c r="K702">
        <v>1</v>
      </c>
      <c r="L702" t="str">
        <f t="shared" si="40"/>
        <v/>
      </c>
      <c r="O702" t="s">
        <v>38</v>
      </c>
      <c r="T702" s="2">
        <f>'SUPUESTOS PRECIOS'!$B$9</f>
        <v>0</v>
      </c>
      <c r="U702" s="3">
        <f>'SUPUESTOS PRECIOS'!$B$5/'SUPUESTOS PRECIOS'!$B$4</f>
        <v>1000</v>
      </c>
      <c r="V702" s="3">
        <f>('SUPUESTOS PRECIOS'!$B$6-'SUPUESTOS PRECIOS'!$B$7)/'SUPUESTOS PRECIOS'!$B$4</f>
        <v>377.5</v>
      </c>
      <c r="W702" s="4">
        <f>'SUPUESTOS PRECIOS'!$B$8</f>
        <v>9.6799999999999994E-3</v>
      </c>
      <c r="X702" s="4">
        <f>'SUPUESTOS PRECIOS'!$B$2</f>
        <v>0.4</v>
      </c>
      <c r="Y702" s="3" t="str">
        <f t="shared" si="41"/>
        <v/>
      </c>
      <c r="Z702" s="3" t="str">
        <f t="shared" si="42"/>
        <v/>
      </c>
      <c r="AA702" s="11" t="str">
        <f t="shared" si="43"/>
        <v/>
      </c>
    </row>
    <row r="703" spans="1:27" x14ac:dyDescent="0.35">
      <c r="A703" s="10" t="s">
        <v>1826</v>
      </c>
      <c r="F703" t="s">
        <v>1358</v>
      </c>
      <c r="K703">
        <v>1</v>
      </c>
      <c r="L703" t="str">
        <f t="shared" si="40"/>
        <v/>
      </c>
      <c r="O703" t="s">
        <v>38</v>
      </c>
      <c r="T703" s="2">
        <f>'SUPUESTOS PRECIOS'!$B$9</f>
        <v>0</v>
      </c>
      <c r="U703" s="3">
        <f>'SUPUESTOS PRECIOS'!$B$5/'SUPUESTOS PRECIOS'!$B$4</f>
        <v>1000</v>
      </c>
      <c r="V703" s="3">
        <f>('SUPUESTOS PRECIOS'!$B$6-'SUPUESTOS PRECIOS'!$B$7)/'SUPUESTOS PRECIOS'!$B$4</f>
        <v>377.5</v>
      </c>
      <c r="W703" s="4">
        <f>'SUPUESTOS PRECIOS'!$B$8</f>
        <v>9.6799999999999994E-3</v>
      </c>
      <c r="X703" s="4">
        <f>'SUPUESTOS PRECIOS'!$B$2</f>
        <v>0.4</v>
      </c>
      <c r="Y703" s="3" t="str">
        <f t="shared" si="41"/>
        <v/>
      </c>
      <c r="Z703" s="3" t="str">
        <f t="shared" si="42"/>
        <v/>
      </c>
      <c r="AA703" s="11" t="str">
        <f t="shared" si="43"/>
        <v/>
      </c>
    </row>
    <row r="704" spans="1:27" x14ac:dyDescent="0.35">
      <c r="A704" s="10" t="s">
        <v>1827</v>
      </c>
      <c r="F704" t="s">
        <v>1358</v>
      </c>
      <c r="K704">
        <v>1</v>
      </c>
      <c r="L704" t="str">
        <f t="shared" si="40"/>
        <v/>
      </c>
      <c r="O704" t="s">
        <v>38</v>
      </c>
      <c r="T704" s="2">
        <f>'SUPUESTOS PRECIOS'!$B$9</f>
        <v>0</v>
      </c>
      <c r="U704" s="3">
        <f>'SUPUESTOS PRECIOS'!$B$5/'SUPUESTOS PRECIOS'!$B$4</f>
        <v>1000</v>
      </c>
      <c r="V704" s="3">
        <f>('SUPUESTOS PRECIOS'!$B$6-'SUPUESTOS PRECIOS'!$B$7)/'SUPUESTOS PRECIOS'!$B$4</f>
        <v>377.5</v>
      </c>
      <c r="W704" s="4">
        <f>'SUPUESTOS PRECIOS'!$B$8</f>
        <v>9.6799999999999994E-3</v>
      </c>
      <c r="X704" s="4">
        <f>'SUPUESTOS PRECIOS'!$B$2</f>
        <v>0.4</v>
      </c>
      <c r="Y704" s="3" t="str">
        <f t="shared" si="41"/>
        <v/>
      </c>
      <c r="Z704" s="3" t="str">
        <f t="shared" si="42"/>
        <v/>
      </c>
      <c r="AA704" s="11" t="str">
        <f t="shared" si="43"/>
        <v/>
      </c>
    </row>
    <row r="705" spans="1:27" x14ac:dyDescent="0.35">
      <c r="A705" s="10" t="s">
        <v>1828</v>
      </c>
      <c r="F705" t="s">
        <v>1358</v>
      </c>
      <c r="K705">
        <v>1</v>
      </c>
      <c r="L705" t="str">
        <f t="shared" si="40"/>
        <v/>
      </c>
      <c r="O705" t="s">
        <v>38</v>
      </c>
      <c r="T705" s="2">
        <f>'SUPUESTOS PRECIOS'!$B$9</f>
        <v>0</v>
      </c>
      <c r="U705" s="3">
        <f>'SUPUESTOS PRECIOS'!$B$5/'SUPUESTOS PRECIOS'!$B$4</f>
        <v>1000</v>
      </c>
      <c r="V705" s="3">
        <f>('SUPUESTOS PRECIOS'!$B$6-'SUPUESTOS PRECIOS'!$B$7)/'SUPUESTOS PRECIOS'!$B$4</f>
        <v>377.5</v>
      </c>
      <c r="W705" s="4">
        <f>'SUPUESTOS PRECIOS'!$B$8</f>
        <v>9.6799999999999994E-3</v>
      </c>
      <c r="X705" s="4">
        <f>'SUPUESTOS PRECIOS'!$B$2</f>
        <v>0.4</v>
      </c>
      <c r="Y705" s="3" t="str">
        <f t="shared" si="41"/>
        <v/>
      </c>
      <c r="Z705" s="3" t="str">
        <f t="shared" si="42"/>
        <v/>
      </c>
      <c r="AA705" s="11" t="str">
        <f t="shared" si="43"/>
        <v/>
      </c>
    </row>
    <row r="706" spans="1:27" x14ac:dyDescent="0.35">
      <c r="A706" s="10" t="s">
        <v>1829</v>
      </c>
      <c r="F706" t="s">
        <v>1358</v>
      </c>
      <c r="K706">
        <v>1</v>
      </c>
      <c r="L706" t="str">
        <f t="shared" ref="L706:L769" si="44">IF(J706="","",J706*(1+K706))</f>
        <v/>
      </c>
      <c r="O706" t="s">
        <v>38</v>
      </c>
      <c r="T706" s="2">
        <f>'SUPUESTOS PRECIOS'!$B$9</f>
        <v>0</v>
      </c>
      <c r="U706" s="3">
        <f>'SUPUESTOS PRECIOS'!$B$5/'SUPUESTOS PRECIOS'!$B$4</f>
        <v>1000</v>
      </c>
      <c r="V706" s="3">
        <f>('SUPUESTOS PRECIOS'!$B$6-'SUPUESTOS PRECIOS'!$B$7)/'SUPUESTOS PRECIOS'!$B$4</f>
        <v>377.5</v>
      </c>
      <c r="W706" s="4">
        <f>'SUPUESTOS PRECIOS'!$B$8</f>
        <v>9.6799999999999994E-3</v>
      </c>
      <c r="X706" s="4">
        <f>'SUPUESTOS PRECIOS'!$B$2</f>
        <v>0.4</v>
      </c>
      <c r="Y706" s="3" t="str">
        <f t="shared" ref="Y706:Y769" si="45">IF(OR($B706="",$J706=""),"",ROUND(($J706+$T706+$U706+$V706)/(1-$W706-$X706),-1))</f>
        <v/>
      </c>
      <c r="Z706" s="3" t="str">
        <f t="shared" ref="Z706:Z769" si="46">IF($Y706="","",$Y706-$J706-$T706-$U706-$V706-($Y706*$W706))</f>
        <v/>
      </c>
      <c r="AA706" s="11" t="str">
        <f t="shared" ref="AA706:AA769" si="47">IF($Y706="","",$Z706/$Y706)</f>
        <v/>
      </c>
    </row>
    <row r="707" spans="1:27" x14ac:dyDescent="0.35">
      <c r="A707" s="10" t="s">
        <v>1830</v>
      </c>
      <c r="F707" t="s">
        <v>1358</v>
      </c>
      <c r="K707">
        <v>1</v>
      </c>
      <c r="L707" t="str">
        <f t="shared" si="44"/>
        <v/>
      </c>
      <c r="O707" t="s">
        <v>38</v>
      </c>
      <c r="T707" s="2">
        <f>'SUPUESTOS PRECIOS'!$B$9</f>
        <v>0</v>
      </c>
      <c r="U707" s="3">
        <f>'SUPUESTOS PRECIOS'!$B$5/'SUPUESTOS PRECIOS'!$B$4</f>
        <v>1000</v>
      </c>
      <c r="V707" s="3">
        <f>('SUPUESTOS PRECIOS'!$B$6-'SUPUESTOS PRECIOS'!$B$7)/'SUPUESTOS PRECIOS'!$B$4</f>
        <v>377.5</v>
      </c>
      <c r="W707" s="4">
        <f>'SUPUESTOS PRECIOS'!$B$8</f>
        <v>9.6799999999999994E-3</v>
      </c>
      <c r="X707" s="4">
        <f>'SUPUESTOS PRECIOS'!$B$2</f>
        <v>0.4</v>
      </c>
      <c r="Y707" s="3" t="str">
        <f t="shared" si="45"/>
        <v/>
      </c>
      <c r="Z707" s="3" t="str">
        <f t="shared" si="46"/>
        <v/>
      </c>
      <c r="AA707" s="11" t="str">
        <f t="shared" si="47"/>
        <v/>
      </c>
    </row>
    <row r="708" spans="1:27" x14ac:dyDescent="0.35">
      <c r="A708" s="10" t="s">
        <v>1831</v>
      </c>
      <c r="F708" t="s">
        <v>1358</v>
      </c>
      <c r="K708">
        <v>1</v>
      </c>
      <c r="L708" t="str">
        <f t="shared" si="44"/>
        <v/>
      </c>
      <c r="O708" t="s">
        <v>38</v>
      </c>
      <c r="T708" s="2">
        <f>'SUPUESTOS PRECIOS'!$B$9</f>
        <v>0</v>
      </c>
      <c r="U708" s="3">
        <f>'SUPUESTOS PRECIOS'!$B$5/'SUPUESTOS PRECIOS'!$B$4</f>
        <v>1000</v>
      </c>
      <c r="V708" s="3">
        <f>('SUPUESTOS PRECIOS'!$B$6-'SUPUESTOS PRECIOS'!$B$7)/'SUPUESTOS PRECIOS'!$B$4</f>
        <v>377.5</v>
      </c>
      <c r="W708" s="4">
        <f>'SUPUESTOS PRECIOS'!$B$8</f>
        <v>9.6799999999999994E-3</v>
      </c>
      <c r="X708" s="4">
        <f>'SUPUESTOS PRECIOS'!$B$2</f>
        <v>0.4</v>
      </c>
      <c r="Y708" s="3" t="str">
        <f t="shared" si="45"/>
        <v/>
      </c>
      <c r="Z708" s="3" t="str">
        <f t="shared" si="46"/>
        <v/>
      </c>
      <c r="AA708" s="11" t="str">
        <f t="shared" si="47"/>
        <v/>
      </c>
    </row>
    <row r="709" spans="1:27" x14ac:dyDescent="0.35">
      <c r="A709" s="10" t="s">
        <v>1832</v>
      </c>
      <c r="F709" t="s">
        <v>1358</v>
      </c>
      <c r="K709">
        <v>1</v>
      </c>
      <c r="L709" t="str">
        <f t="shared" si="44"/>
        <v/>
      </c>
      <c r="O709" t="s">
        <v>38</v>
      </c>
      <c r="T709" s="2">
        <f>'SUPUESTOS PRECIOS'!$B$9</f>
        <v>0</v>
      </c>
      <c r="U709" s="3">
        <f>'SUPUESTOS PRECIOS'!$B$5/'SUPUESTOS PRECIOS'!$B$4</f>
        <v>1000</v>
      </c>
      <c r="V709" s="3">
        <f>('SUPUESTOS PRECIOS'!$B$6-'SUPUESTOS PRECIOS'!$B$7)/'SUPUESTOS PRECIOS'!$B$4</f>
        <v>377.5</v>
      </c>
      <c r="W709" s="4">
        <f>'SUPUESTOS PRECIOS'!$B$8</f>
        <v>9.6799999999999994E-3</v>
      </c>
      <c r="X709" s="4">
        <f>'SUPUESTOS PRECIOS'!$B$2</f>
        <v>0.4</v>
      </c>
      <c r="Y709" s="3" t="str">
        <f t="shared" si="45"/>
        <v/>
      </c>
      <c r="Z709" s="3" t="str">
        <f t="shared" si="46"/>
        <v/>
      </c>
      <c r="AA709" s="11" t="str">
        <f t="shared" si="47"/>
        <v/>
      </c>
    </row>
    <row r="710" spans="1:27" x14ac:dyDescent="0.35">
      <c r="A710" s="10" t="s">
        <v>1833</v>
      </c>
      <c r="F710" t="s">
        <v>1358</v>
      </c>
      <c r="K710">
        <v>1</v>
      </c>
      <c r="L710" t="str">
        <f t="shared" si="44"/>
        <v/>
      </c>
      <c r="O710" t="s">
        <v>38</v>
      </c>
      <c r="T710" s="2">
        <f>'SUPUESTOS PRECIOS'!$B$9</f>
        <v>0</v>
      </c>
      <c r="U710" s="3">
        <f>'SUPUESTOS PRECIOS'!$B$5/'SUPUESTOS PRECIOS'!$B$4</f>
        <v>1000</v>
      </c>
      <c r="V710" s="3">
        <f>('SUPUESTOS PRECIOS'!$B$6-'SUPUESTOS PRECIOS'!$B$7)/'SUPUESTOS PRECIOS'!$B$4</f>
        <v>377.5</v>
      </c>
      <c r="W710" s="4">
        <f>'SUPUESTOS PRECIOS'!$B$8</f>
        <v>9.6799999999999994E-3</v>
      </c>
      <c r="X710" s="4">
        <f>'SUPUESTOS PRECIOS'!$B$2</f>
        <v>0.4</v>
      </c>
      <c r="Y710" s="3" t="str">
        <f t="shared" si="45"/>
        <v/>
      </c>
      <c r="Z710" s="3" t="str">
        <f t="shared" si="46"/>
        <v/>
      </c>
      <c r="AA710" s="11" t="str">
        <f t="shared" si="47"/>
        <v/>
      </c>
    </row>
    <row r="711" spans="1:27" x14ac:dyDescent="0.35">
      <c r="A711" s="10" t="s">
        <v>1834</v>
      </c>
      <c r="F711" t="s">
        <v>1358</v>
      </c>
      <c r="K711">
        <v>1</v>
      </c>
      <c r="L711" t="str">
        <f t="shared" si="44"/>
        <v/>
      </c>
      <c r="O711" t="s">
        <v>38</v>
      </c>
      <c r="T711" s="2">
        <f>'SUPUESTOS PRECIOS'!$B$9</f>
        <v>0</v>
      </c>
      <c r="U711" s="3">
        <f>'SUPUESTOS PRECIOS'!$B$5/'SUPUESTOS PRECIOS'!$B$4</f>
        <v>1000</v>
      </c>
      <c r="V711" s="3">
        <f>('SUPUESTOS PRECIOS'!$B$6-'SUPUESTOS PRECIOS'!$B$7)/'SUPUESTOS PRECIOS'!$B$4</f>
        <v>377.5</v>
      </c>
      <c r="W711" s="4">
        <f>'SUPUESTOS PRECIOS'!$B$8</f>
        <v>9.6799999999999994E-3</v>
      </c>
      <c r="X711" s="4">
        <f>'SUPUESTOS PRECIOS'!$B$2</f>
        <v>0.4</v>
      </c>
      <c r="Y711" s="3" t="str">
        <f t="shared" si="45"/>
        <v/>
      </c>
      <c r="Z711" s="3" t="str">
        <f t="shared" si="46"/>
        <v/>
      </c>
      <c r="AA711" s="11" t="str">
        <f t="shared" si="47"/>
        <v/>
      </c>
    </row>
    <row r="712" spans="1:27" x14ac:dyDescent="0.35">
      <c r="A712" s="10" t="s">
        <v>1835</v>
      </c>
      <c r="F712" t="s">
        <v>1358</v>
      </c>
      <c r="K712">
        <v>1</v>
      </c>
      <c r="L712" t="str">
        <f t="shared" si="44"/>
        <v/>
      </c>
      <c r="O712" t="s">
        <v>38</v>
      </c>
      <c r="T712" s="2">
        <f>'SUPUESTOS PRECIOS'!$B$9</f>
        <v>0</v>
      </c>
      <c r="U712" s="3">
        <f>'SUPUESTOS PRECIOS'!$B$5/'SUPUESTOS PRECIOS'!$B$4</f>
        <v>1000</v>
      </c>
      <c r="V712" s="3">
        <f>('SUPUESTOS PRECIOS'!$B$6-'SUPUESTOS PRECIOS'!$B$7)/'SUPUESTOS PRECIOS'!$B$4</f>
        <v>377.5</v>
      </c>
      <c r="W712" s="4">
        <f>'SUPUESTOS PRECIOS'!$B$8</f>
        <v>9.6799999999999994E-3</v>
      </c>
      <c r="X712" s="4">
        <f>'SUPUESTOS PRECIOS'!$B$2</f>
        <v>0.4</v>
      </c>
      <c r="Y712" s="3" t="str">
        <f t="shared" si="45"/>
        <v/>
      </c>
      <c r="Z712" s="3" t="str">
        <f t="shared" si="46"/>
        <v/>
      </c>
      <c r="AA712" s="11" t="str">
        <f t="shared" si="47"/>
        <v/>
      </c>
    </row>
    <row r="713" spans="1:27" x14ac:dyDescent="0.35">
      <c r="A713" s="10" t="s">
        <v>1836</v>
      </c>
      <c r="F713" t="s">
        <v>1358</v>
      </c>
      <c r="K713">
        <v>1</v>
      </c>
      <c r="L713" t="str">
        <f t="shared" si="44"/>
        <v/>
      </c>
      <c r="O713" t="s">
        <v>38</v>
      </c>
      <c r="T713" s="2">
        <f>'SUPUESTOS PRECIOS'!$B$9</f>
        <v>0</v>
      </c>
      <c r="U713" s="3">
        <f>'SUPUESTOS PRECIOS'!$B$5/'SUPUESTOS PRECIOS'!$B$4</f>
        <v>1000</v>
      </c>
      <c r="V713" s="3">
        <f>('SUPUESTOS PRECIOS'!$B$6-'SUPUESTOS PRECIOS'!$B$7)/'SUPUESTOS PRECIOS'!$B$4</f>
        <v>377.5</v>
      </c>
      <c r="W713" s="4">
        <f>'SUPUESTOS PRECIOS'!$B$8</f>
        <v>9.6799999999999994E-3</v>
      </c>
      <c r="X713" s="4">
        <f>'SUPUESTOS PRECIOS'!$B$2</f>
        <v>0.4</v>
      </c>
      <c r="Y713" s="3" t="str">
        <f t="shared" si="45"/>
        <v/>
      </c>
      <c r="Z713" s="3" t="str">
        <f t="shared" si="46"/>
        <v/>
      </c>
      <c r="AA713" s="11" t="str">
        <f t="shared" si="47"/>
        <v/>
      </c>
    </row>
    <row r="714" spans="1:27" x14ac:dyDescent="0.35">
      <c r="A714" s="10" t="s">
        <v>1837</v>
      </c>
      <c r="F714" t="s">
        <v>1358</v>
      </c>
      <c r="K714">
        <v>1</v>
      </c>
      <c r="L714" t="str">
        <f t="shared" si="44"/>
        <v/>
      </c>
      <c r="O714" t="s">
        <v>38</v>
      </c>
      <c r="T714" s="2">
        <f>'SUPUESTOS PRECIOS'!$B$9</f>
        <v>0</v>
      </c>
      <c r="U714" s="3">
        <f>'SUPUESTOS PRECIOS'!$B$5/'SUPUESTOS PRECIOS'!$B$4</f>
        <v>1000</v>
      </c>
      <c r="V714" s="3">
        <f>('SUPUESTOS PRECIOS'!$B$6-'SUPUESTOS PRECIOS'!$B$7)/'SUPUESTOS PRECIOS'!$B$4</f>
        <v>377.5</v>
      </c>
      <c r="W714" s="4">
        <f>'SUPUESTOS PRECIOS'!$B$8</f>
        <v>9.6799999999999994E-3</v>
      </c>
      <c r="X714" s="4">
        <f>'SUPUESTOS PRECIOS'!$B$2</f>
        <v>0.4</v>
      </c>
      <c r="Y714" s="3" t="str">
        <f t="shared" si="45"/>
        <v/>
      </c>
      <c r="Z714" s="3" t="str">
        <f t="shared" si="46"/>
        <v/>
      </c>
      <c r="AA714" s="11" t="str">
        <f t="shared" si="47"/>
        <v/>
      </c>
    </row>
    <row r="715" spans="1:27" x14ac:dyDescent="0.35">
      <c r="A715" s="10" t="s">
        <v>1838</v>
      </c>
      <c r="F715" t="s">
        <v>1358</v>
      </c>
      <c r="K715">
        <v>1</v>
      </c>
      <c r="L715" t="str">
        <f t="shared" si="44"/>
        <v/>
      </c>
      <c r="O715" t="s">
        <v>38</v>
      </c>
      <c r="T715" s="2">
        <f>'SUPUESTOS PRECIOS'!$B$9</f>
        <v>0</v>
      </c>
      <c r="U715" s="3">
        <f>'SUPUESTOS PRECIOS'!$B$5/'SUPUESTOS PRECIOS'!$B$4</f>
        <v>1000</v>
      </c>
      <c r="V715" s="3">
        <f>('SUPUESTOS PRECIOS'!$B$6-'SUPUESTOS PRECIOS'!$B$7)/'SUPUESTOS PRECIOS'!$B$4</f>
        <v>377.5</v>
      </c>
      <c r="W715" s="4">
        <f>'SUPUESTOS PRECIOS'!$B$8</f>
        <v>9.6799999999999994E-3</v>
      </c>
      <c r="X715" s="4">
        <f>'SUPUESTOS PRECIOS'!$B$2</f>
        <v>0.4</v>
      </c>
      <c r="Y715" s="3" t="str">
        <f t="shared" si="45"/>
        <v/>
      </c>
      <c r="Z715" s="3" t="str">
        <f t="shared" si="46"/>
        <v/>
      </c>
      <c r="AA715" s="11" t="str">
        <f t="shared" si="47"/>
        <v/>
      </c>
    </row>
    <row r="716" spans="1:27" x14ac:dyDescent="0.35">
      <c r="A716" s="10" t="s">
        <v>1839</v>
      </c>
      <c r="F716" t="s">
        <v>1358</v>
      </c>
      <c r="K716">
        <v>1</v>
      </c>
      <c r="L716" t="str">
        <f t="shared" si="44"/>
        <v/>
      </c>
      <c r="O716" t="s">
        <v>38</v>
      </c>
      <c r="T716" s="2">
        <f>'SUPUESTOS PRECIOS'!$B$9</f>
        <v>0</v>
      </c>
      <c r="U716" s="3">
        <f>'SUPUESTOS PRECIOS'!$B$5/'SUPUESTOS PRECIOS'!$B$4</f>
        <v>1000</v>
      </c>
      <c r="V716" s="3">
        <f>('SUPUESTOS PRECIOS'!$B$6-'SUPUESTOS PRECIOS'!$B$7)/'SUPUESTOS PRECIOS'!$B$4</f>
        <v>377.5</v>
      </c>
      <c r="W716" s="4">
        <f>'SUPUESTOS PRECIOS'!$B$8</f>
        <v>9.6799999999999994E-3</v>
      </c>
      <c r="X716" s="4">
        <f>'SUPUESTOS PRECIOS'!$B$2</f>
        <v>0.4</v>
      </c>
      <c r="Y716" s="3" t="str">
        <f t="shared" si="45"/>
        <v/>
      </c>
      <c r="Z716" s="3" t="str">
        <f t="shared" si="46"/>
        <v/>
      </c>
      <c r="AA716" s="11" t="str">
        <f t="shared" si="47"/>
        <v/>
      </c>
    </row>
    <row r="717" spans="1:27" x14ac:dyDescent="0.35">
      <c r="A717" s="10" t="s">
        <v>1840</v>
      </c>
      <c r="F717" t="s">
        <v>1358</v>
      </c>
      <c r="K717">
        <v>1</v>
      </c>
      <c r="L717" t="str">
        <f t="shared" si="44"/>
        <v/>
      </c>
      <c r="O717" t="s">
        <v>38</v>
      </c>
      <c r="T717" s="2">
        <f>'SUPUESTOS PRECIOS'!$B$9</f>
        <v>0</v>
      </c>
      <c r="U717" s="3">
        <f>'SUPUESTOS PRECIOS'!$B$5/'SUPUESTOS PRECIOS'!$B$4</f>
        <v>1000</v>
      </c>
      <c r="V717" s="3">
        <f>('SUPUESTOS PRECIOS'!$B$6-'SUPUESTOS PRECIOS'!$B$7)/'SUPUESTOS PRECIOS'!$B$4</f>
        <v>377.5</v>
      </c>
      <c r="W717" s="4">
        <f>'SUPUESTOS PRECIOS'!$B$8</f>
        <v>9.6799999999999994E-3</v>
      </c>
      <c r="X717" s="4">
        <f>'SUPUESTOS PRECIOS'!$B$2</f>
        <v>0.4</v>
      </c>
      <c r="Y717" s="3" t="str">
        <f t="shared" si="45"/>
        <v/>
      </c>
      <c r="Z717" s="3" t="str">
        <f t="shared" si="46"/>
        <v/>
      </c>
      <c r="AA717" s="11" t="str">
        <f t="shared" si="47"/>
        <v/>
      </c>
    </row>
    <row r="718" spans="1:27" x14ac:dyDescent="0.35">
      <c r="A718" s="10" t="s">
        <v>1841</v>
      </c>
      <c r="F718" t="s">
        <v>1358</v>
      </c>
      <c r="K718">
        <v>1</v>
      </c>
      <c r="L718" t="str">
        <f t="shared" si="44"/>
        <v/>
      </c>
      <c r="O718" t="s">
        <v>38</v>
      </c>
      <c r="T718" s="2">
        <f>'SUPUESTOS PRECIOS'!$B$9</f>
        <v>0</v>
      </c>
      <c r="U718" s="3">
        <f>'SUPUESTOS PRECIOS'!$B$5/'SUPUESTOS PRECIOS'!$B$4</f>
        <v>1000</v>
      </c>
      <c r="V718" s="3">
        <f>('SUPUESTOS PRECIOS'!$B$6-'SUPUESTOS PRECIOS'!$B$7)/'SUPUESTOS PRECIOS'!$B$4</f>
        <v>377.5</v>
      </c>
      <c r="W718" s="4">
        <f>'SUPUESTOS PRECIOS'!$B$8</f>
        <v>9.6799999999999994E-3</v>
      </c>
      <c r="X718" s="4">
        <f>'SUPUESTOS PRECIOS'!$B$2</f>
        <v>0.4</v>
      </c>
      <c r="Y718" s="3" t="str">
        <f t="shared" si="45"/>
        <v/>
      </c>
      <c r="Z718" s="3" t="str">
        <f t="shared" si="46"/>
        <v/>
      </c>
      <c r="AA718" s="11" t="str">
        <f t="shared" si="47"/>
        <v/>
      </c>
    </row>
    <row r="719" spans="1:27" x14ac:dyDescent="0.35">
      <c r="A719" s="10" t="s">
        <v>1842</v>
      </c>
      <c r="F719" t="s">
        <v>1358</v>
      </c>
      <c r="K719">
        <v>1</v>
      </c>
      <c r="L719" t="str">
        <f t="shared" si="44"/>
        <v/>
      </c>
      <c r="O719" t="s">
        <v>38</v>
      </c>
      <c r="T719" s="2">
        <f>'SUPUESTOS PRECIOS'!$B$9</f>
        <v>0</v>
      </c>
      <c r="U719" s="3">
        <f>'SUPUESTOS PRECIOS'!$B$5/'SUPUESTOS PRECIOS'!$B$4</f>
        <v>1000</v>
      </c>
      <c r="V719" s="3">
        <f>('SUPUESTOS PRECIOS'!$B$6-'SUPUESTOS PRECIOS'!$B$7)/'SUPUESTOS PRECIOS'!$B$4</f>
        <v>377.5</v>
      </c>
      <c r="W719" s="4">
        <f>'SUPUESTOS PRECIOS'!$B$8</f>
        <v>9.6799999999999994E-3</v>
      </c>
      <c r="X719" s="4">
        <f>'SUPUESTOS PRECIOS'!$B$2</f>
        <v>0.4</v>
      </c>
      <c r="Y719" s="3" t="str">
        <f t="shared" si="45"/>
        <v/>
      </c>
      <c r="Z719" s="3" t="str">
        <f t="shared" si="46"/>
        <v/>
      </c>
      <c r="AA719" s="11" t="str">
        <f t="shared" si="47"/>
        <v/>
      </c>
    </row>
    <row r="720" spans="1:27" x14ac:dyDescent="0.35">
      <c r="A720" s="10" t="s">
        <v>1843</v>
      </c>
      <c r="F720" t="s">
        <v>1358</v>
      </c>
      <c r="K720">
        <v>1</v>
      </c>
      <c r="L720" t="str">
        <f t="shared" si="44"/>
        <v/>
      </c>
      <c r="O720" t="s">
        <v>38</v>
      </c>
      <c r="T720" s="2">
        <f>'SUPUESTOS PRECIOS'!$B$9</f>
        <v>0</v>
      </c>
      <c r="U720" s="3">
        <f>'SUPUESTOS PRECIOS'!$B$5/'SUPUESTOS PRECIOS'!$B$4</f>
        <v>1000</v>
      </c>
      <c r="V720" s="3">
        <f>('SUPUESTOS PRECIOS'!$B$6-'SUPUESTOS PRECIOS'!$B$7)/'SUPUESTOS PRECIOS'!$B$4</f>
        <v>377.5</v>
      </c>
      <c r="W720" s="4">
        <f>'SUPUESTOS PRECIOS'!$B$8</f>
        <v>9.6799999999999994E-3</v>
      </c>
      <c r="X720" s="4">
        <f>'SUPUESTOS PRECIOS'!$B$2</f>
        <v>0.4</v>
      </c>
      <c r="Y720" s="3" t="str">
        <f t="shared" si="45"/>
        <v/>
      </c>
      <c r="Z720" s="3" t="str">
        <f t="shared" si="46"/>
        <v/>
      </c>
      <c r="AA720" s="11" t="str">
        <f t="shared" si="47"/>
        <v/>
      </c>
    </row>
    <row r="721" spans="1:27" x14ac:dyDescent="0.35">
      <c r="A721" s="10" t="s">
        <v>1844</v>
      </c>
      <c r="F721" t="s">
        <v>1358</v>
      </c>
      <c r="K721">
        <v>1</v>
      </c>
      <c r="L721" t="str">
        <f t="shared" si="44"/>
        <v/>
      </c>
      <c r="O721" t="s">
        <v>38</v>
      </c>
      <c r="T721" s="2">
        <f>'SUPUESTOS PRECIOS'!$B$9</f>
        <v>0</v>
      </c>
      <c r="U721" s="3">
        <f>'SUPUESTOS PRECIOS'!$B$5/'SUPUESTOS PRECIOS'!$B$4</f>
        <v>1000</v>
      </c>
      <c r="V721" s="3">
        <f>('SUPUESTOS PRECIOS'!$B$6-'SUPUESTOS PRECIOS'!$B$7)/'SUPUESTOS PRECIOS'!$B$4</f>
        <v>377.5</v>
      </c>
      <c r="W721" s="4">
        <f>'SUPUESTOS PRECIOS'!$B$8</f>
        <v>9.6799999999999994E-3</v>
      </c>
      <c r="X721" s="4">
        <f>'SUPUESTOS PRECIOS'!$B$2</f>
        <v>0.4</v>
      </c>
      <c r="Y721" s="3" t="str">
        <f t="shared" si="45"/>
        <v/>
      </c>
      <c r="Z721" s="3" t="str">
        <f t="shared" si="46"/>
        <v/>
      </c>
      <c r="AA721" s="11" t="str">
        <f t="shared" si="47"/>
        <v/>
      </c>
    </row>
    <row r="722" spans="1:27" x14ac:dyDescent="0.35">
      <c r="A722" s="10" t="s">
        <v>1845</v>
      </c>
      <c r="F722" t="s">
        <v>1358</v>
      </c>
      <c r="K722">
        <v>1</v>
      </c>
      <c r="L722" t="str">
        <f t="shared" si="44"/>
        <v/>
      </c>
      <c r="O722" t="s">
        <v>38</v>
      </c>
      <c r="T722" s="2">
        <f>'SUPUESTOS PRECIOS'!$B$9</f>
        <v>0</v>
      </c>
      <c r="U722" s="3">
        <f>'SUPUESTOS PRECIOS'!$B$5/'SUPUESTOS PRECIOS'!$B$4</f>
        <v>1000</v>
      </c>
      <c r="V722" s="3">
        <f>('SUPUESTOS PRECIOS'!$B$6-'SUPUESTOS PRECIOS'!$B$7)/'SUPUESTOS PRECIOS'!$B$4</f>
        <v>377.5</v>
      </c>
      <c r="W722" s="4">
        <f>'SUPUESTOS PRECIOS'!$B$8</f>
        <v>9.6799999999999994E-3</v>
      </c>
      <c r="X722" s="4">
        <f>'SUPUESTOS PRECIOS'!$B$2</f>
        <v>0.4</v>
      </c>
      <c r="Y722" s="3" t="str">
        <f t="shared" si="45"/>
        <v/>
      </c>
      <c r="Z722" s="3" t="str">
        <f t="shared" si="46"/>
        <v/>
      </c>
      <c r="AA722" s="11" t="str">
        <f t="shared" si="47"/>
        <v/>
      </c>
    </row>
    <row r="723" spans="1:27" x14ac:dyDescent="0.35">
      <c r="A723" s="10" t="s">
        <v>1846</v>
      </c>
      <c r="F723" t="s">
        <v>1358</v>
      </c>
      <c r="K723">
        <v>1</v>
      </c>
      <c r="L723" t="str">
        <f t="shared" si="44"/>
        <v/>
      </c>
      <c r="O723" t="s">
        <v>38</v>
      </c>
      <c r="T723" s="2">
        <f>'SUPUESTOS PRECIOS'!$B$9</f>
        <v>0</v>
      </c>
      <c r="U723" s="3">
        <f>'SUPUESTOS PRECIOS'!$B$5/'SUPUESTOS PRECIOS'!$B$4</f>
        <v>1000</v>
      </c>
      <c r="V723" s="3">
        <f>('SUPUESTOS PRECIOS'!$B$6-'SUPUESTOS PRECIOS'!$B$7)/'SUPUESTOS PRECIOS'!$B$4</f>
        <v>377.5</v>
      </c>
      <c r="W723" s="4">
        <f>'SUPUESTOS PRECIOS'!$B$8</f>
        <v>9.6799999999999994E-3</v>
      </c>
      <c r="X723" s="4">
        <f>'SUPUESTOS PRECIOS'!$B$2</f>
        <v>0.4</v>
      </c>
      <c r="Y723" s="3" t="str">
        <f t="shared" si="45"/>
        <v/>
      </c>
      <c r="Z723" s="3" t="str">
        <f t="shared" si="46"/>
        <v/>
      </c>
      <c r="AA723" s="11" t="str">
        <f t="shared" si="47"/>
        <v/>
      </c>
    </row>
    <row r="724" spans="1:27" x14ac:dyDescent="0.35">
      <c r="A724" s="10" t="s">
        <v>1847</v>
      </c>
      <c r="F724" t="s">
        <v>1358</v>
      </c>
      <c r="K724">
        <v>1</v>
      </c>
      <c r="L724" t="str">
        <f t="shared" si="44"/>
        <v/>
      </c>
      <c r="O724" t="s">
        <v>38</v>
      </c>
      <c r="T724" s="2">
        <f>'SUPUESTOS PRECIOS'!$B$9</f>
        <v>0</v>
      </c>
      <c r="U724" s="3">
        <f>'SUPUESTOS PRECIOS'!$B$5/'SUPUESTOS PRECIOS'!$B$4</f>
        <v>1000</v>
      </c>
      <c r="V724" s="3">
        <f>('SUPUESTOS PRECIOS'!$B$6-'SUPUESTOS PRECIOS'!$B$7)/'SUPUESTOS PRECIOS'!$B$4</f>
        <v>377.5</v>
      </c>
      <c r="W724" s="4">
        <f>'SUPUESTOS PRECIOS'!$B$8</f>
        <v>9.6799999999999994E-3</v>
      </c>
      <c r="X724" s="4">
        <f>'SUPUESTOS PRECIOS'!$B$2</f>
        <v>0.4</v>
      </c>
      <c r="Y724" s="3" t="str">
        <f t="shared" si="45"/>
        <v/>
      </c>
      <c r="Z724" s="3" t="str">
        <f t="shared" si="46"/>
        <v/>
      </c>
      <c r="AA724" s="11" t="str">
        <f t="shared" si="47"/>
        <v/>
      </c>
    </row>
    <row r="725" spans="1:27" x14ac:dyDescent="0.35">
      <c r="A725" s="10" t="s">
        <v>1848</v>
      </c>
      <c r="F725" t="s">
        <v>1358</v>
      </c>
      <c r="K725">
        <v>1</v>
      </c>
      <c r="L725" t="str">
        <f t="shared" si="44"/>
        <v/>
      </c>
      <c r="O725" t="s">
        <v>38</v>
      </c>
      <c r="T725" s="2">
        <f>'SUPUESTOS PRECIOS'!$B$9</f>
        <v>0</v>
      </c>
      <c r="U725" s="3">
        <f>'SUPUESTOS PRECIOS'!$B$5/'SUPUESTOS PRECIOS'!$B$4</f>
        <v>1000</v>
      </c>
      <c r="V725" s="3">
        <f>('SUPUESTOS PRECIOS'!$B$6-'SUPUESTOS PRECIOS'!$B$7)/'SUPUESTOS PRECIOS'!$B$4</f>
        <v>377.5</v>
      </c>
      <c r="W725" s="4">
        <f>'SUPUESTOS PRECIOS'!$B$8</f>
        <v>9.6799999999999994E-3</v>
      </c>
      <c r="X725" s="4">
        <f>'SUPUESTOS PRECIOS'!$B$2</f>
        <v>0.4</v>
      </c>
      <c r="Y725" s="3" t="str">
        <f t="shared" si="45"/>
        <v/>
      </c>
      <c r="Z725" s="3" t="str">
        <f t="shared" si="46"/>
        <v/>
      </c>
      <c r="AA725" s="11" t="str">
        <f t="shared" si="47"/>
        <v/>
      </c>
    </row>
    <row r="726" spans="1:27" x14ac:dyDescent="0.35">
      <c r="A726" s="10" t="s">
        <v>1849</v>
      </c>
      <c r="F726" t="s">
        <v>1358</v>
      </c>
      <c r="K726">
        <v>1</v>
      </c>
      <c r="L726" t="str">
        <f t="shared" si="44"/>
        <v/>
      </c>
      <c r="O726" t="s">
        <v>38</v>
      </c>
      <c r="T726" s="2">
        <f>'SUPUESTOS PRECIOS'!$B$9</f>
        <v>0</v>
      </c>
      <c r="U726" s="3">
        <f>'SUPUESTOS PRECIOS'!$B$5/'SUPUESTOS PRECIOS'!$B$4</f>
        <v>1000</v>
      </c>
      <c r="V726" s="3">
        <f>('SUPUESTOS PRECIOS'!$B$6-'SUPUESTOS PRECIOS'!$B$7)/'SUPUESTOS PRECIOS'!$B$4</f>
        <v>377.5</v>
      </c>
      <c r="W726" s="4">
        <f>'SUPUESTOS PRECIOS'!$B$8</f>
        <v>9.6799999999999994E-3</v>
      </c>
      <c r="X726" s="4">
        <f>'SUPUESTOS PRECIOS'!$B$2</f>
        <v>0.4</v>
      </c>
      <c r="Y726" s="3" t="str">
        <f t="shared" si="45"/>
        <v/>
      </c>
      <c r="Z726" s="3" t="str">
        <f t="shared" si="46"/>
        <v/>
      </c>
      <c r="AA726" s="11" t="str">
        <f t="shared" si="47"/>
        <v/>
      </c>
    </row>
    <row r="727" spans="1:27" x14ac:dyDescent="0.35">
      <c r="A727" s="10" t="s">
        <v>1850</v>
      </c>
      <c r="F727" t="s">
        <v>1358</v>
      </c>
      <c r="K727">
        <v>1</v>
      </c>
      <c r="L727" t="str">
        <f t="shared" si="44"/>
        <v/>
      </c>
      <c r="O727" t="s">
        <v>38</v>
      </c>
      <c r="T727" s="2">
        <f>'SUPUESTOS PRECIOS'!$B$9</f>
        <v>0</v>
      </c>
      <c r="U727" s="3">
        <f>'SUPUESTOS PRECIOS'!$B$5/'SUPUESTOS PRECIOS'!$B$4</f>
        <v>1000</v>
      </c>
      <c r="V727" s="3">
        <f>('SUPUESTOS PRECIOS'!$B$6-'SUPUESTOS PRECIOS'!$B$7)/'SUPUESTOS PRECIOS'!$B$4</f>
        <v>377.5</v>
      </c>
      <c r="W727" s="4">
        <f>'SUPUESTOS PRECIOS'!$B$8</f>
        <v>9.6799999999999994E-3</v>
      </c>
      <c r="X727" s="4">
        <f>'SUPUESTOS PRECIOS'!$B$2</f>
        <v>0.4</v>
      </c>
      <c r="Y727" s="3" t="str">
        <f t="shared" si="45"/>
        <v/>
      </c>
      <c r="Z727" s="3" t="str">
        <f t="shared" si="46"/>
        <v/>
      </c>
      <c r="AA727" s="11" t="str">
        <f t="shared" si="47"/>
        <v/>
      </c>
    </row>
    <row r="728" spans="1:27" x14ac:dyDescent="0.35">
      <c r="A728" s="10" t="s">
        <v>1851</v>
      </c>
      <c r="F728" t="s">
        <v>1358</v>
      </c>
      <c r="K728">
        <v>1</v>
      </c>
      <c r="L728" t="str">
        <f t="shared" si="44"/>
        <v/>
      </c>
      <c r="O728" t="s">
        <v>38</v>
      </c>
      <c r="T728" s="2">
        <f>'SUPUESTOS PRECIOS'!$B$9</f>
        <v>0</v>
      </c>
      <c r="U728" s="3">
        <f>'SUPUESTOS PRECIOS'!$B$5/'SUPUESTOS PRECIOS'!$B$4</f>
        <v>1000</v>
      </c>
      <c r="V728" s="3">
        <f>('SUPUESTOS PRECIOS'!$B$6-'SUPUESTOS PRECIOS'!$B$7)/'SUPUESTOS PRECIOS'!$B$4</f>
        <v>377.5</v>
      </c>
      <c r="W728" s="4">
        <f>'SUPUESTOS PRECIOS'!$B$8</f>
        <v>9.6799999999999994E-3</v>
      </c>
      <c r="X728" s="4">
        <f>'SUPUESTOS PRECIOS'!$B$2</f>
        <v>0.4</v>
      </c>
      <c r="Y728" s="3" t="str">
        <f t="shared" si="45"/>
        <v/>
      </c>
      <c r="Z728" s="3" t="str">
        <f t="shared" si="46"/>
        <v/>
      </c>
      <c r="AA728" s="11" t="str">
        <f t="shared" si="47"/>
        <v/>
      </c>
    </row>
    <row r="729" spans="1:27" x14ac:dyDescent="0.35">
      <c r="A729" s="10" t="s">
        <v>1852</v>
      </c>
      <c r="F729" t="s">
        <v>1358</v>
      </c>
      <c r="K729">
        <v>1</v>
      </c>
      <c r="L729" t="str">
        <f t="shared" si="44"/>
        <v/>
      </c>
      <c r="O729" t="s">
        <v>38</v>
      </c>
      <c r="T729" s="2">
        <f>'SUPUESTOS PRECIOS'!$B$9</f>
        <v>0</v>
      </c>
      <c r="U729" s="3">
        <f>'SUPUESTOS PRECIOS'!$B$5/'SUPUESTOS PRECIOS'!$B$4</f>
        <v>1000</v>
      </c>
      <c r="V729" s="3">
        <f>('SUPUESTOS PRECIOS'!$B$6-'SUPUESTOS PRECIOS'!$B$7)/'SUPUESTOS PRECIOS'!$B$4</f>
        <v>377.5</v>
      </c>
      <c r="W729" s="4">
        <f>'SUPUESTOS PRECIOS'!$B$8</f>
        <v>9.6799999999999994E-3</v>
      </c>
      <c r="X729" s="4">
        <f>'SUPUESTOS PRECIOS'!$B$2</f>
        <v>0.4</v>
      </c>
      <c r="Y729" s="3" t="str">
        <f t="shared" si="45"/>
        <v/>
      </c>
      <c r="Z729" s="3" t="str">
        <f t="shared" si="46"/>
        <v/>
      </c>
      <c r="AA729" s="11" t="str">
        <f t="shared" si="47"/>
        <v/>
      </c>
    </row>
    <row r="730" spans="1:27" x14ac:dyDescent="0.35">
      <c r="A730" s="10" t="s">
        <v>1853</v>
      </c>
      <c r="F730" t="s">
        <v>1358</v>
      </c>
      <c r="K730">
        <v>1</v>
      </c>
      <c r="L730" t="str">
        <f t="shared" si="44"/>
        <v/>
      </c>
      <c r="O730" t="s">
        <v>38</v>
      </c>
      <c r="T730" s="2">
        <f>'SUPUESTOS PRECIOS'!$B$9</f>
        <v>0</v>
      </c>
      <c r="U730" s="3">
        <f>'SUPUESTOS PRECIOS'!$B$5/'SUPUESTOS PRECIOS'!$B$4</f>
        <v>1000</v>
      </c>
      <c r="V730" s="3">
        <f>('SUPUESTOS PRECIOS'!$B$6-'SUPUESTOS PRECIOS'!$B$7)/'SUPUESTOS PRECIOS'!$B$4</f>
        <v>377.5</v>
      </c>
      <c r="W730" s="4">
        <f>'SUPUESTOS PRECIOS'!$B$8</f>
        <v>9.6799999999999994E-3</v>
      </c>
      <c r="X730" s="4">
        <f>'SUPUESTOS PRECIOS'!$B$2</f>
        <v>0.4</v>
      </c>
      <c r="Y730" s="3" t="str">
        <f t="shared" si="45"/>
        <v/>
      </c>
      <c r="Z730" s="3" t="str">
        <f t="shared" si="46"/>
        <v/>
      </c>
      <c r="AA730" s="11" t="str">
        <f t="shared" si="47"/>
        <v/>
      </c>
    </row>
    <row r="731" spans="1:27" x14ac:dyDescent="0.35">
      <c r="A731" s="10" t="s">
        <v>1854</v>
      </c>
      <c r="F731" t="s">
        <v>1358</v>
      </c>
      <c r="K731">
        <v>1</v>
      </c>
      <c r="L731" t="str">
        <f t="shared" si="44"/>
        <v/>
      </c>
      <c r="O731" t="s">
        <v>38</v>
      </c>
      <c r="T731" s="2">
        <f>'SUPUESTOS PRECIOS'!$B$9</f>
        <v>0</v>
      </c>
      <c r="U731" s="3">
        <f>'SUPUESTOS PRECIOS'!$B$5/'SUPUESTOS PRECIOS'!$B$4</f>
        <v>1000</v>
      </c>
      <c r="V731" s="3">
        <f>('SUPUESTOS PRECIOS'!$B$6-'SUPUESTOS PRECIOS'!$B$7)/'SUPUESTOS PRECIOS'!$B$4</f>
        <v>377.5</v>
      </c>
      <c r="W731" s="4">
        <f>'SUPUESTOS PRECIOS'!$B$8</f>
        <v>9.6799999999999994E-3</v>
      </c>
      <c r="X731" s="4">
        <f>'SUPUESTOS PRECIOS'!$B$2</f>
        <v>0.4</v>
      </c>
      <c r="Y731" s="3" t="str">
        <f t="shared" si="45"/>
        <v/>
      </c>
      <c r="Z731" s="3" t="str">
        <f t="shared" si="46"/>
        <v/>
      </c>
      <c r="AA731" s="11" t="str">
        <f t="shared" si="47"/>
        <v/>
      </c>
    </row>
    <row r="732" spans="1:27" x14ac:dyDescent="0.35">
      <c r="A732" s="10" t="s">
        <v>1855</v>
      </c>
      <c r="F732" t="s">
        <v>1358</v>
      </c>
      <c r="K732">
        <v>1</v>
      </c>
      <c r="L732" t="str">
        <f t="shared" si="44"/>
        <v/>
      </c>
      <c r="O732" t="s">
        <v>38</v>
      </c>
      <c r="T732" s="2">
        <f>'SUPUESTOS PRECIOS'!$B$9</f>
        <v>0</v>
      </c>
      <c r="U732" s="3">
        <f>'SUPUESTOS PRECIOS'!$B$5/'SUPUESTOS PRECIOS'!$B$4</f>
        <v>1000</v>
      </c>
      <c r="V732" s="3">
        <f>('SUPUESTOS PRECIOS'!$B$6-'SUPUESTOS PRECIOS'!$B$7)/'SUPUESTOS PRECIOS'!$B$4</f>
        <v>377.5</v>
      </c>
      <c r="W732" s="4">
        <f>'SUPUESTOS PRECIOS'!$B$8</f>
        <v>9.6799999999999994E-3</v>
      </c>
      <c r="X732" s="4">
        <f>'SUPUESTOS PRECIOS'!$B$2</f>
        <v>0.4</v>
      </c>
      <c r="Y732" s="3" t="str">
        <f t="shared" si="45"/>
        <v/>
      </c>
      <c r="Z732" s="3" t="str">
        <f t="shared" si="46"/>
        <v/>
      </c>
      <c r="AA732" s="11" t="str">
        <f t="shared" si="47"/>
        <v/>
      </c>
    </row>
    <row r="733" spans="1:27" x14ac:dyDescent="0.35">
      <c r="A733" s="10" t="s">
        <v>1856</v>
      </c>
      <c r="F733" t="s">
        <v>1358</v>
      </c>
      <c r="K733">
        <v>1</v>
      </c>
      <c r="L733" t="str">
        <f t="shared" si="44"/>
        <v/>
      </c>
      <c r="O733" t="s">
        <v>38</v>
      </c>
      <c r="T733" s="2">
        <f>'SUPUESTOS PRECIOS'!$B$9</f>
        <v>0</v>
      </c>
      <c r="U733" s="3">
        <f>'SUPUESTOS PRECIOS'!$B$5/'SUPUESTOS PRECIOS'!$B$4</f>
        <v>1000</v>
      </c>
      <c r="V733" s="3">
        <f>('SUPUESTOS PRECIOS'!$B$6-'SUPUESTOS PRECIOS'!$B$7)/'SUPUESTOS PRECIOS'!$B$4</f>
        <v>377.5</v>
      </c>
      <c r="W733" s="4">
        <f>'SUPUESTOS PRECIOS'!$B$8</f>
        <v>9.6799999999999994E-3</v>
      </c>
      <c r="X733" s="4">
        <f>'SUPUESTOS PRECIOS'!$B$2</f>
        <v>0.4</v>
      </c>
      <c r="Y733" s="3" t="str">
        <f t="shared" si="45"/>
        <v/>
      </c>
      <c r="Z733" s="3" t="str">
        <f t="shared" si="46"/>
        <v/>
      </c>
      <c r="AA733" s="11" t="str">
        <f t="shared" si="47"/>
        <v/>
      </c>
    </row>
    <row r="734" spans="1:27" x14ac:dyDescent="0.35">
      <c r="A734" s="10" t="s">
        <v>1857</v>
      </c>
      <c r="F734" t="s">
        <v>1358</v>
      </c>
      <c r="K734">
        <v>1</v>
      </c>
      <c r="L734" t="str">
        <f t="shared" si="44"/>
        <v/>
      </c>
      <c r="O734" t="s">
        <v>38</v>
      </c>
      <c r="T734" s="2">
        <f>'SUPUESTOS PRECIOS'!$B$9</f>
        <v>0</v>
      </c>
      <c r="U734" s="3">
        <f>'SUPUESTOS PRECIOS'!$B$5/'SUPUESTOS PRECIOS'!$B$4</f>
        <v>1000</v>
      </c>
      <c r="V734" s="3">
        <f>('SUPUESTOS PRECIOS'!$B$6-'SUPUESTOS PRECIOS'!$B$7)/'SUPUESTOS PRECIOS'!$B$4</f>
        <v>377.5</v>
      </c>
      <c r="W734" s="4">
        <f>'SUPUESTOS PRECIOS'!$B$8</f>
        <v>9.6799999999999994E-3</v>
      </c>
      <c r="X734" s="4">
        <f>'SUPUESTOS PRECIOS'!$B$2</f>
        <v>0.4</v>
      </c>
      <c r="Y734" s="3" t="str">
        <f t="shared" si="45"/>
        <v/>
      </c>
      <c r="Z734" s="3" t="str">
        <f t="shared" si="46"/>
        <v/>
      </c>
      <c r="AA734" s="11" t="str">
        <f t="shared" si="47"/>
        <v/>
      </c>
    </row>
    <row r="735" spans="1:27" x14ac:dyDescent="0.35">
      <c r="A735" s="10" t="s">
        <v>1858</v>
      </c>
      <c r="F735" t="s">
        <v>1358</v>
      </c>
      <c r="K735">
        <v>1</v>
      </c>
      <c r="L735" t="str">
        <f t="shared" si="44"/>
        <v/>
      </c>
      <c r="O735" t="s">
        <v>38</v>
      </c>
      <c r="T735" s="2">
        <f>'SUPUESTOS PRECIOS'!$B$9</f>
        <v>0</v>
      </c>
      <c r="U735" s="3">
        <f>'SUPUESTOS PRECIOS'!$B$5/'SUPUESTOS PRECIOS'!$B$4</f>
        <v>1000</v>
      </c>
      <c r="V735" s="3">
        <f>('SUPUESTOS PRECIOS'!$B$6-'SUPUESTOS PRECIOS'!$B$7)/'SUPUESTOS PRECIOS'!$B$4</f>
        <v>377.5</v>
      </c>
      <c r="W735" s="4">
        <f>'SUPUESTOS PRECIOS'!$B$8</f>
        <v>9.6799999999999994E-3</v>
      </c>
      <c r="X735" s="4">
        <f>'SUPUESTOS PRECIOS'!$B$2</f>
        <v>0.4</v>
      </c>
      <c r="Y735" s="3" t="str">
        <f t="shared" si="45"/>
        <v/>
      </c>
      <c r="Z735" s="3" t="str">
        <f t="shared" si="46"/>
        <v/>
      </c>
      <c r="AA735" s="11" t="str">
        <f t="shared" si="47"/>
        <v/>
      </c>
    </row>
    <row r="736" spans="1:27" x14ac:dyDescent="0.35">
      <c r="A736" s="10" t="s">
        <v>1859</v>
      </c>
      <c r="F736" t="s">
        <v>1358</v>
      </c>
      <c r="K736">
        <v>1</v>
      </c>
      <c r="L736" t="str">
        <f t="shared" si="44"/>
        <v/>
      </c>
      <c r="O736" t="s">
        <v>38</v>
      </c>
      <c r="T736" s="2">
        <f>'SUPUESTOS PRECIOS'!$B$9</f>
        <v>0</v>
      </c>
      <c r="U736" s="3">
        <f>'SUPUESTOS PRECIOS'!$B$5/'SUPUESTOS PRECIOS'!$B$4</f>
        <v>1000</v>
      </c>
      <c r="V736" s="3">
        <f>('SUPUESTOS PRECIOS'!$B$6-'SUPUESTOS PRECIOS'!$B$7)/'SUPUESTOS PRECIOS'!$B$4</f>
        <v>377.5</v>
      </c>
      <c r="W736" s="4">
        <f>'SUPUESTOS PRECIOS'!$B$8</f>
        <v>9.6799999999999994E-3</v>
      </c>
      <c r="X736" s="4">
        <f>'SUPUESTOS PRECIOS'!$B$2</f>
        <v>0.4</v>
      </c>
      <c r="Y736" s="3" t="str">
        <f t="shared" si="45"/>
        <v/>
      </c>
      <c r="Z736" s="3" t="str">
        <f t="shared" si="46"/>
        <v/>
      </c>
      <c r="AA736" s="11" t="str">
        <f t="shared" si="47"/>
        <v/>
      </c>
    </row>
    <row r="737" spans="1:27" x14ac:dyDescent="0.35">
      <c r="A737" s="10" t="s">
        <v>1860</v>
      </c>
      <c r="F737" t="s">
        <v>1358</v>
      </c>
      <c r="K737">
        <v>1</v>
      </c>
      <c r="L737" t="str">
        <f t="shared" si="44"/>
        <v/>
      </c>
      <c r="O737" t="s">
        <v>38</v>
      </c>
      <c r="T737" s="2">
        <f>'SUPUESTOS PRECIOS'!$B$9</f>
        <v>0</v>
      </c>
      <c r="U737" s="3">
        <f>'SUPUESTOS PRECIOS'!$B$5/'SUPUESTOS PRECIOS'!$B$4</f>
        <v>1000</v>
      </c>
      <c r="V737" s="3">
        <f>('SUPUESTOS PRECIOS'!$B$6-'SUPUESTOS PRECIOS'!$B$7)/'SUPUESTOS PRECIOS'!$B$4</f>
        <v>377.5</v>
      </c>
      <c r="W737" s="4">
        <f>'SUPUESTOS PRECIOS'!$B$8</f>
        <v>9.6799999999999994E-3</v>
      </c>
      <c r="X737" s="4">
        <f>'SUPUESTOS PRECIOS'!$B$2</f>
        <v>0.4</v>
      </c>
      <c r="Y737" s="3" t="str">
        <f t="shared" si="45"/>
        <v/>
      </c>
      <c r="Z737" s="3" t="str">
        <f t="shared" si="46"/>
        <v/>
      </c>
      <c r="AA737" s="11" t="str">
        <f t="shared" si="47"/>
        <v/>
      </c>
    </row>
    <row r="738" spans="1:27" x14ac:dyDescent="0.35">
      <c r="A738" s="10" t="s">
        <v>1861</v>
      </c>
      <c r="F738" t="s">
        <v>1358</v>
      </c>
      <c r="K738">
        <v>1</v>
      </c>
      <c r="L738" t="str">
        <f t="shared" si="44"/>
        <v/>
      </c>
      <c r="O738" t="s">
        <v>38</v>
      </c>
      <c r="T738" s="2">
        <f>'SUPUESTOS PRECIOS'!$B$9</f>
        <v>0</v>
      </c>
      <c r="U738" s="3">
        <f>'SUPUESTOS PRECIOS'!$B$5/'SUPUESTOS PRECIOS'!$B$4</f>
        <v>1000</v>
      </c>
      <c r="V738" s="3">
        <f>('SUPUESTOS PRECIOS'!$B$6-'SUPUESTOS PRECIOS'!$B$7)/'SUPUESTOS PRECIOS'!$B$4</f>
        <v>377.5</v>
      </c>
      <c r="W738" s="4">
        <f>'SUPUESTOS PRECIOS'!$B$8</f>
        <v>9.6799999999999994E-3</v>
      </c>
      <c r="X738" s="4">
        <f>'SUPUESTOS PRECIOS'!$B$2</f>
        <v>0.4</v>
      </c>
      <c r="Y738" s="3" t="str">
        <f t="shared" si="45"/>
        <v/>
      </c>
      <c r="Z738" s="3" t="str">
        <f t="shared" si="46"/>
        <v/>
      </c>
      <c r="AA738" s="11" t="str">
        <f t="shared" si="47"/>
        <v/>
      </c>
    </row>
    <row r="739" spans="1:27" x14ac:dyDescent="0.35">
      <c r="A739" s="10" t="s">
        <v>1862</v>
      </c>
      <c r="F739" t="s">
        <v>1358</v>
      </c>
      <c r="K739">
        <v>1</v>
      </c>
      <c r="L739" t="str">
        <f t="shared" si="44"/>
        <v/>
      </c>
      <c r="O739" t="s">
        <v>38</v>
      </c>
      <c r="T739" s="2">
        <f>'SUPUESTOS PRECIOS'!$B$9</f>
        <v>0</v>
      </c>
      <c r="U739" s="3">
        <f>'SUPUESTOS PRECIOS'!$B$5/'SUPUESTOS PRECIOS'!$B$4</f>
        <v>1000</v>
      </c>
      <c r="V739" s="3">
        <f>('SUPUESTOS PRECIOS'!$B$6-'SUPUESTOS PRECIOS'!$B$7)/'SUPUESTOS PRECIOS'!$B$4</f>
        <v>377.5</v>
      </c>
      <c r="W739" s="4">
        <f>'SUPUESTOS PRECIOS'!$B$8</f>
        <v>9.6799999999999994E-3</v>
      </c>
      <c r="X739" s="4">
        <f>'SUPUESTOS PRECIOS'!$B$2</f>
        <v>0.4</v>
      </c>
      <c r="Y739" s="3" t="str">
        <f t="shared" si="45"/>
        <v/>
      </c>
      <c r="Z739" s="3" t="str">
        <f t="shared" si="46"/>
        <v/>
      </c>
      <c r="AA739" s="11" t="str">
        <f t="shared" si="47"/>
        <v/>
      </c>
    </row>
    <row r="740" spans="1:27" x14ac:dyDescent="0.35">
      <c r="A740" s="10" t="s">
        <v>1863</v>
      </c>
      <c r="F740" t="s">
        <v>1358</v>
      </c>
      <c r="K740">
        <v>1</v>
      </c>
      <c r="L740" t="str">
        <f t="shared" si="44"/>
        <v/>
      </c>
      <c r="O740" t="s">
        <v>38</v>
      </c>
      <c r="T740" s="2">
        <f>'SUPUESTOS PRECIOS'!$B$9</f>
        <v>0</v>
      </c>
      <c r="U740" s="3">
        <f>'SUPUESTOS PRECIOS'!$B$5/'SUPUESTOS PRECIOS'!$B$4</f>
        <v>1000</v>
      </c>
      <c r="V740" s="3">
        <f>('SUPUESTOS PRECIOS'!$B$6-'SUPUESTOS PRECIOS'!$B$7)/'SUPUESTOS PRECIOS'!$B$4</f>
        <v>377.5</v>
      </c>
      <c r="W740" s="4">
        <f>'SUPUESTOS PRECIOS'!$B$8</f>
        <v>9.6799999999999994E-3</v>
      </c>
      <c r="X740" s="4">
        <f>'SUPUESTOS PRECIOS'!$B$2</f>
        <v>0.4</v>
      </c>
      <c r="Y740" s="3" t="str">
        <f t="shared" si="45"/>
        <v/>
      </c>
      <c r="Z740" s="3" t="str">
        <f t="shared" si="46"/>
        <v/>
      </c>
      <c r="AA740" s="11" t="str">
        <f t="shared" si="47"/>
        <v/>
      </c>
    </row>
    <row r="741" spans="1:27" x14ac:dyDescent="0.35">
      <c r="A741" s="10" t="s">
        <v>1864</v>
      </c>
      <c r="F741" t="s">
        <v>1358</v>
      </c>
      <c r="K741">
        <v>1</v>
      </c>
      <c r="L741" t="str">
        <f t="shared" si="44"/>
        <v/>
      </c>
      <c r="O741" t="s">
        <v>38</v>
      </c>
      <c r="T741" s="2">
        <f>'SUPUESTOS PRECIOS'!$B$9</f>
        <v>0</v>
      </c>
      <c r="U741" s="3">
        <f>'SUPUESTOS PRECIOS'!$B$5/'SUPUESTOS PRECIOS'!$B$4</f>
        <v>1000</v>
      </c>
      <c r="V741" s="3">
        <f>('SUPUESTOS PRECIOS'!$B$6-'SUPUESTOS PRECIOS'!$B$7)/'SUPUESTOS PRECIOS'!$B$4</f>
        <v>377.5</v>
      </c>
      <c r="W741" s="4">
        <f>'SUPUESTOS PRECIOS'!$B$8</f>
        <v>9.6799999999999994E-3</v>
      </c>
      <c r="X741" s="4">
        <f>'SUPUESTOS PRECIOS'!$B$2</f>
        <v>0.4</v>
      </c>
      <c r="Y741" s="3" t="str">
        <f t="shared" si="45"/>
        <v/>
      </c>
      <c r="Z741" s="3" t="str">
        <f t="shared" si="46"/>
        <v/>
      </c>
      <c r="AA741" s="11" t="str">
        <f t="shared" si="47"/>
        <v/>
      </c>
    </row>
    <row r="742" spans="1:27" x14ac:dyDescent="0.35">
      <c r="A742" s="10" t="s">
        <v>1865</v>
      </c>
      <c r="F742" t="s">
        <v>1358</v>
      </c>
      <c r="K742">
        <v>1</v>
      </c>
      <c r="L742" t="str">
        <f t="shared" si="44"/>
        <v/>
      </c>
      <c r="O742" t="s">
        <v>38</v>
      </c>
      <c r="T742" s="2">
        <f>'SUPUESTOS PRECIOS'!$B$9</f>
        <v>0</v>
      </c>
      <c r="U742" s="3">
        <f>'SUPUESTOS PRECIOS'!$B$5/'SUPUESTOS PRECIOS'!$B$4</f>
        <v>1000</v>
      </c>
      <c r="V742" s="3">
        <f>('SUPUESTOS PRECIOS'!$B$6-'SUPUESTOS PRECIOS'!$B$7)/'SUPUESTOS PRECIOS'!$B$4</f>
        <v>377.5</v>
      </c>
      <c r="W742" s="4">
        <f>'SUPUESTOS PRECIOS'!$B$8</f>
        <v>9.6799999999999994E-3</v>
      </c>
      <c r="X742" s="4">
        <f>'SUPUESTOS PRECIOS'!$B$2</f>
        <v>0.4</v>
      </c>
      <c r="Y742" s="3" t="str">
        <f t="shared" si="45"/>
        <v/>
      </c>
      <c r="Z742" s="3" t="str">
        <f t="shared" si="46"/>
        <v/>
      </c>
      <c r="AA742" s="11" t="str">
        <f t="shared" si="47"/>
        <v/>
      </c>
    </row>
    <row r="743" spans="1:27" x14ac:dyDescent="0.35">
      <c r="A743" s="10" t="s">
        <v>1866</v>
      </c>
      <c r="F743" t="s">
        <v>1358</v>
      </c>
      <c r="K743">
        <v>1</v>
      </c>
      <c r="L743" t="str">
        <f t="shared" si="44"/>
        <v/>
      </c>
      <c r="O743" t="s">
        <v>38</v>
      </c>
      <c r="T743" s="2">
        <f>'SUPUESTOS PRECIOS'!$B$9</f>
        <v>0</v>
      </c>
      <c r="U743" s="3">
        <f>'SUPUESTOS PRECIOS'!$B$5/'SUPUESTOS PRECIOS'!$B$4</f>
        <v>1000</v>
      </c>
      <c r="V743" s="3">
        <f>('SUPUESTOS PRECIOS'!$B$6-'SUPUESTOS PRECIOS'!$B$7)/'SUPUESTOS PRECIOS'!$B$4</f>
        <v>377.5</v>
      </c>
      <c r="W743" s="4">
        <f>'SUPUESTOS PRECIOS'!$B$8</f>
        <v>9.6799999999999994E-3</v>
      </c>
      <c r="X743" s="4">
        <f>'SUPUESTOS PRECIOS'!$B$2</f>
        <v>0.4</v>
      </c>
      <c r="Y743" s="3" t="str">
        <f t="shared" si="45"/>
        <v/>
      </c>
      <c r="Z743" s="3" t="str">
        <f t="shared" si="46"/>
        <v/>
      </c>
      <c r="AA743" s="11" t="str">
        <f t="shared" si="47"/>
        <v/>
      </c>
    </row>
    <row r="744" spans="1:27" x14ac:dyDescent="0.35">
      <c r="A744" s="10" t="s">
        <v>1867</v>
      </c>
      <c r="F744" t="s">
        <v>1358</v>
      </c>
      <c r="K744">
        <v>1</v>
      </c>
      <c r="L744" t="str">
        <f t="shared" si="44"/>
        <v/>
      </c>
      <c r="O744" t="s">
        <v>38</v>
      </c>
      <c r="T744" s="2">
        <f>'SUPUESTOS PRECIOS'!$B$9</f>
        <v>0</v>
      </c>
      <c r="U744" s="3">
        <f>'SUPUESTOS PRECIOS'!$B$5/'SUPUESTOS PRECIOS'!$B$4</f>
        <v>1000</v>
      </c>
      <c r="V744" s="3">
        <f>('SUPUESTOS PRECIOS'!$B$6-'SUPUESTOS PRECIOS'!$B$7)/'SUPUESTOS PRECIOS'!$B$4</f>
        <v>377.5</v>
      </c>
      <c r="W744" s="4">
        <f>'SUPUESTOS PRECIOS'!$B$8</f>
        <v>9.6799999999999994E-3</v>
      </c>
      <c r="X744" s="4">
        <f>'SUPUESTOS PRECIOS'!$B$2</f>
        <v>0.4</v>
      </c>
      <c r="Y744" s="3" t="str">
        <f t="shared" si="45"/>
        <v/>
      </c>
      <c r="Z744" s="3" t="str">
        <f t="shared" si="46"/>
        <v/>
      </c>
      <c r="AA744" s="11" t="str">
        <f t="shared" si="47"/>
        <v/>
      </c>
    </row>
    <row r="745" spans="1:27" x14ac:dyDescent="0.35">
      <c r="A745" s="10" t="s">
        <v>1868</v>
      </c>
      <c r="F745" t="s">
        <v>1358</v>
      </c>
      <c r="K745">
        <v>1</v>
      </c>
      <c r="L745" t="str">
        <f t="shared" si="44"/>
        <v/>
      </c>
      <c r="O745" t="s">
        <v>38</v>
      </c>
      <c r="T745" s="2">
        <f>'SUPUESTOS PRECIOS'!$B$9</f>
        <v>0</v>
      </c>
      <c r="U745" s="3">
        <f>'SUPUESTOS PRECIOS'!$B$5/'SUPUESTOS PRECIOS'!$B$4</f>
        <v>1000</v>
      </c>
      <c r="V745" s="3">
        <f>('SUPUESTOS PRECIOS'!$B$6-'SUPUESTOS PRECIOS'!$B$7)/'SUPUESTOS PRECIOS'!$B$4</f>
        <v>377.5</v>
      </c>
      <c r="W745" s="4">
        <f>'SUPUESTOS PRECIOS'!$B$8</f>
        <v>9.6799999999999994E-3</v>
      </c>
      <c r="X745" s="4">
        <f>'SUPUESTOS PRECIOS'!$B$2</f>
        <v>0.4</v>
      </c>
      <c r="Y745" s="3" t="str">
        <f t="shared" si="45"/>
        <v/>
      </c>
      <c r="Z745" s="3" t="str">
        <f t="shared" si="46"/>
        <v/>
      </c>
      <c r="AA745" s="11" t="str">
        <f t="shared" si="47"/>
        <v/>
      </c>
    </row>
    <row r="746" spans="1:27" x14ac:dyDescent="0.35">
      <c r="A746" s="10" t="s">
        <v>1869</v>
      </c>
      <c r="F746" t="s">
        <v>1358</v>
      </c>
      <c r="K746">
        <v>1</v>
      </c>
      <c r="L746" t="str">
        <f t="shared" si="44"/>
        <v/>
      </c>
      <c r="O746" t="s">
        <v>38</v>
      </c>
      <c r="T746" s="2">
        <f>'SUPUESTOS PRECIOS'!$B$9</f>
        <v>0</v>
      </c>
      <c r="U746" s="3">
        <f>'SUPUESTOS PRECIOS'!$B$5/'SUPUESTOS PRECIOS'!$B$4</f>
        <v>1000</v>
      </c>
      <c r="V746" s="3">
        <f>('SUPUESTOS PRECIOS'!$B$6-'SUPUESTOS PRECIOS'!$B$7)/'SUPUESTOS PRECIOS'!$B$4</f>
        <v>377.5</v>
      </c>
      <c r="W746" s="4">
        <f>'SUPUESTOS PRECIOS'!$B$8</f>
        <v>9.6799999999999994E-3</v>
      </c>
      <c r="X746" s="4">
        <f>'SUPUESTOS PRECIOS'!$B$2</f>
        <v>0.4</v>
      </c>
      <c r="Y746" s="3" t="str">
        <f t="shared" si="45"/>
        <v/>
      </c>
      <c r="Z746" s="3" t="str">
        <f t="shared" si="46"/>
        <v/>
      </c>
      <c r="AA746" s="11" t="str">
        <f t="shared" si="47"/>
        <v/>
      </c>
    </row>
    <row r="747" spans="1:27" x14ac:dyDescent="0.35">
      <c r="A747" s="10" t="s">
        <v>1870</v>
      </c>
      <c r="F747" t="s">
        <v>1358</v>
      </c>
      <c r="K747">
        <v>1</v>
      </c>
      <c r="L747" t="str">
        <f t="shared" si="44"/>
        <v/>
      </c>
      <c r="O747" t="s">
        <v>38</v>
      </c>
      <c r="T747" s="2">
        <f>'SUPUESTOS PRECIOS'!$B$9</f>
        <v>0</v>
      </c>
      <c r="U747" s="3">
        <f>'SUPUESTOS PRECIOS'!$B$5/'SUPUESTOS PRECIOS'!$B$4</f>
        <v>1000</v>
      </c>
      <c r="V747" s="3">
        <f>('SUPUESTOS PRECIOS'!$B$6-'SUPUESTOS PRECIOS'!$B$7)/'SUPUESTOS PRECIOS'!$B$4</f>
        <v>377.5</v>
      </c>
      <c r="W747" s="4">
        <f>'SUPUESTOS PRECIOS'!$B$8</f>
        <v>9.6799999999999994E-3</v>
      </c>
      <c r="X747" s="4">
        <f>'SUPUESTOS PRECIOS'!$B$2</f>
        <v>0.4</v>
      </c>
      <c r="Y747" s="3" t="str">
        <f t="shared" si="45"/>
        <v/>
      </c>
      <c r="Z747" s="3" t="str">
        <f t="shared" si="46"/>
        <v/>
      </c>
      <c r="AA747" s="11" t="str">
        <f t="shared" si="47"/>
        <v/>
      </c>
    </row>
    <row r="748" spans="1:27" x14ac:dyDescent="0.35">
      <c r="A748" s="10" t="s">
        <v>1871</v>
      </c>
      <c r="F748" t="s">
        <v>1358</v>
      </c>
      <c r="K748">
        <v>1</v>
      </c>
      <c r="L748" t="str">
        <f t="shared" si="44"/>
        <v/>
      </c>
      <c r="O748" t="s">
        <v>38</v>
      </c>
      <c r="T748" s="2">
        <f>'SUPUESTOS PRECIOS'!$B$9</f>
        <v>0</v>
      </c>
      <c r="U748" s="3">
        <f>'SUPUESTOS PRECIOS'!$B$5/'SUPUESTOS PRECIOS'!$B$4</f>
        <v>1000</v>
      </c>
      <c r="V748" s="3">
        <f>('SUPUESTOS PRECIOS'!$B$6-'SUPUESTOS PRECIOS'!$B$7)/'SUPUESTOS PRECIOS'!$B$4</f>
        <v>377.5</v>
      </c>
      <c r="W748" s="4">
        <f>'SUPUESTOS PRECIOS'!$B$8</f>
        <v>9.6799999999999994E-3</v>
      </c>
      <c r="X748" s="4">
        <f>'SUPUESTOS PRECIOS'!$B$2</f>
        <v>0.4</v>
      </c>
      <c r="Y748" s="3" t="str">
        <f t="shared" si="45"/>
        <v/>
      </c>
      <c r="Z748" s="3" t="str">
        <f t="shared" si="46"/>
        <v/>
      </c>
      <c r="AA748" s="11" t="str">
        <f t="shared" si="47"/>
        <v/>
      </c>
    </row>
    <row r="749" spans="1:27" x14ac:dyDescent="0.35">
      <c r="A749" s="10" t="s">
        <v>1872</v>
      </c>
      <c r="F749" t="s">
        <v>1358</v>
      </c>
      <c r="K749">
        <v>1</v>
      </c>
      <c r="L749" t="str">
        <f t="shared" si="44"/>
        <v/>
      </c>
      <c r="O749" t="s">
        <v>38</v>
      </c>
      <c r="T749" s="2">
        <f>'SUPUESTOS PRECIOS'!$B$9</f>
        <v>0</v>
      </c>
      <c r="U749" s="3">
        <f>'SUPUESTOS PRECIOS'!$B$5/'SUPUESTOS PRECIOS'!$B$4</f>
        <v>1000</v>
      </c>
      <c r="V749" s="3">
        <f>('SUPUESTOS PRECIOS'!$B$6-'SUPUESTOS PRECIOS'!$B$7)/'SUPUESTOS PRECIOS'!$B$4</f>
        <v>377.5</v>
      </c>
      <c r="W749" s="4">
        <f>'SUPUESTOS PRECIOS'!$B$8</f>
        <v>9.6799999999999994E-3</v>
      </c>
      <c r="X749" s="4">
        <f>'SUPUESTOS PRECIOS'!$B$2</f>
        <v>0.4</v>
      </c>
      <c r="Y749" s="3" t="str">
        <f t="shared" si="45"/>
        <v/>
      </c>
      <c r="Z749" s="3" t="str">
        <f t="shared" si="46"/>
        <v/>
      </c>
      <c r="AA749" s="11" t="str">
        <f t="shared" si="47"/>
        <v/>
      </c>
    </row>
    <row r="750" spans="1:27" x14ac:dyDescent="0.35">
      <c r="A750" s="10" t="s">
        <v>1873</v>
      </c>
      <c r="F750" t="s">
        <v>1358</v>
      </c>
      <c r="K750">
        <v>1</v>
      </c>
      <c r="L750" t="str">
        <f t="shared" si="44"/>
        <v/>
      </c>
      <c r="O750" t="s">
        <v>38</v>
      </c>
      <c r="T750" s="2">
        <f>'SUPUESTOS PRECIOS'!$B$9</f>
        <v>0</v>
      </c>
      <c r="U750" s="3">
        <f>'SUPUESTOS PRECIOS'!$B$5/'SUPUESTOS PRECIOS'!$B$4</f>
        <v>1000</v>
      </c>
      <c r="V750" s="3">
        <f>('SUPUESTOS PRECIOS'!$B$6-'SUPUESTOS PRECIOS'!$B$7)/'SUPUESTOS PRECIOS'!$B$4</f>
        <v>377.5</v>
      </c>
      <c r="W750" s="4">
        <f>'SUPUESTOS PRECIOS'!$B$8</f>
        <v>9.6799999999999994E-3</v>
      </c>
      <c r="X750" s="4">
        <f>'SUPUESTOS PRECIOS'!$B$2</f>
        <v>0.4</v>
      </c>
      <c r="Y750" s="3" t="str">
        <f t="shared" si="45"/>
        <v/>
      </c>
      <c r="Z750" s="3" t="str">
        <f t="shared" si="46"/>
        <v/>
      </c>
      <c r="AA750" s="11" t="str">
        <f t="shared" si="47"/>
        <v/>
      </c>
    </row>
    <row r="751" spans="1:27" x14ac:dyDescent="0.35">
      <c r="A751" s="10" t="s">
        <v>1874</v>
      </c>
      <c r="F751" t="s">
        <v>1358</v>
      </c>
      <c r="K751">
        <v>1</v>
      </c>
      <c r="L751" t="str">
        <f t="shared" si="44"/>
        <v/>
      </c>
      <c r="O751" t="s">
        <v>38</v>
      </c>
      <c r="T751" s="2">
        <f>'SUPUESTOS PRECIOS'!$B$9</f>
        <v>0</v>
      </c>
      <c r="U751" s="3">
        <f>'SUPUESTOS PRECIOS'!$B$5/'SUPUESTOS PRECIOS'!$B$4</f>
        <v>1000</v>
      </c>
      <c r="V751" s="3">
        <f>('SUPUESTOS PRECIOS'!$B$6-'SUPUESTOS PRECIOS'!$B$7)/'SUPUESTOS PRECIOS'!$B$4</f>
        <v>377.5</v>
      </c>
      <c r="W751" s="4">
        <f>'SUPUESTOS PRECIOS'!$B$8</f>
        <v>9.6799999999999994E-3</v>
      </c>
      <c r="X751" s="4">
        <f>'SUPUESTOS PRECIOS'!$B$2</f>
        <v>0.4</v>
      </c>
      <c r="Y751" s="3" t="str">
        <f t="shared" si="45"/>
        <v/>
      </c>
      <c r="Z751" s="3" t="str">
        <f t="shared" si="46"/>
        <v/>
      </c>
      <c r="AA751" s="11" t="str">
        <f t="shared" si="47"/>
        <v/>
      </c>
    </row>
    <row r="752" spans="1:27" x14ac:dyDescent="0.35">
      <c r="A752" s="10" t="s">
        <v>1875</v>
      </c>
      <c r="F752" t="s">
        <v>1358</v>
      </c>
      <c r="K752">
        <v>1</v>
      </c>
      <c r="L752" t="str">
        <f t="shared" si="44"/>
        <v/>
      </c>
      <c r="O752" t="s">
        <v>38</v>
      </c>
      <c r="T752" s="2">
        <f>'SUPUESTOS PRECIOS'!$B$9</f>
        <v>0</v>
      </c>
      <c r="U752" s="3">
        <f>'SUPUESTOS PRECIOS'!$B$5/'SUPUESTOS PRECIOS'!$B$4</f>
        <v>1000</v>
      </c>
      <c r="V752" s="3">
        <f>('SUPUESTOS PRECIOS'!$B$6-'SUPUESTOS PRECIOS'!$B$7)/'SUPUESTOS PRECIOS'!$B$4</f>
        <v>377.5</v>
      </c>
      <c r="W752" s="4">
        <f>'SUPUESTOS PRECIOS'!$B$8</f>
        <v>9.6799999999999994E-3</v>
      </c>
      <c r="X752" s="4">
        <f>'SUPUESTOS PRECIOS'!$B$2</f>
        <v>0.4</v>
      </c>
      <c r="Y752" s="3" t="str">
        <f t="shared" si="45"/>
        <v/>
      </c>
      <c r="Z752" s="3" t="str">
        <f t="shared" si="46"/>
        <v/>
      </c>
      <c r="AA752" s="11" t="str">
        <f t="shared" si="47"/>
        <v/>
      </c>
    </row>
    <row r="753" spans="1:27" x14ac:dyDescent="0.35">
      <c r="A753" s="10" t="s">
        <v>1876</v>
      </c>
      <c r="F753" t="s">
        <v>1358</v>
      </c>
      <c r="K753">
        <v>1</v>
      </c>
      <c r="L753" t="str">
        <f t="shared" si="44"/>
        <v/>
      </c>
      <c r="O753" t="s">
        <v>38</v>
      </c>
      <c r="T753" s="2">
        <f>'SUPUESTOS PRECIOS'!$B$9</f>
        <v>0</v>
      </c>
      <c r="U753" s="3">
        <f>'SUPUESTOS PRECIOS'!$B$5/'SUPUESTOS PRECIOS'!$B$4</f>
        <v>1000</v>
      </c>
      <c r="V753" s="3">
        <f>('SUPUESTOS PRECIOS'!$B$6-'SUPUESTOS PRECIOS'!$B$7)/'SUPUESTOS PRECIOS'!$B$4</f>
        <v>377.5</v>
      </c>
      <c r="W753" s="4">
        <f>'SUPUESTOS PRECIOS'!$B$8</f>
        <v>9.6799999999999994E-3</v>
      </c>
      <c r="X753" s="4">
        <f>'SUPUESTOS PRECIOS'!$B$2</f>
        <v>0.4</v>
      </c>
      <c r="Y753" s="3" t="str">
        <f t="shared" si="45"/>
        <v/>
      </c>
      <c r="Z753" s="3" t="str">
        <f t="shared" si="46"/>
        <v/>
      </c>
      <c r="AA753" s="11" t="str">
        <f t="shared" si="47"/>
        <v/>
      </c>
    </row>
    <row r="754" spans="1:27" x14ac:dyDescent="0.35">
      <c r="A754" s="10" t="s">
        <v>1877</v>
      </c>
      <c r="F754" t="s">
        <v>1358</v>
      </c>
      <c r="K754">
        <v>1</v>
      </c>
      <c r="L754" t="str">
        <f t="shared" si="44"/>
        <v/>
      </c>
      <c r="O754" t="s">
        <v>38</v>
      </c>
      <c r="T754" s="2">
        <f>'SUPUESTOS PRECIOS'!$B$9</f>
        <v>0</v>
      </c>
      <c r="U754" s="3">
        <f>'SUPUESTOS PRECIOS'!$B$5/'SUPUESTOS PRECIOS'!$B$4</f>
        <v>1000</v>
      </c>
      <c r="V754" s="3">
        <f>('SUPUESTOS PRECIOS'!$B$6-'SUPUESTOS PRECIOS'!$B$7)/'SUPUESTOS PRECIOS'!$B$4</f>
        <v>377.5</v>
      </c>
      <c r="W754" s="4">
        <f>'SUPUESTOS PRECIOS'!$B$8</f>
        <v>9.6799999999999994E-3</v>
      </c>
      <c r="X754" s="4">
        <f>'SUPUESTOS PRECIOS'!$B$2</f>
        <v>0.4</v>
      </c>
      <c r="Y754" s="3" t="str">
        <f t="shared" si="45"/>
        <v/>
      </c>
      <c r="Z754" s="3" t="str">
        <f t="shared" si="46"/>
        <v/>
      </c>
      <c r="AA754" s="11" t="str">
        <f t="shared" si="47"/>
        <v/>
      </c>
    </row>
    <row r="755" spans="1:27" x14ac:dyDescent="0.35">
      <c r="A755" s="10" t="s">
        <v>1878</v>
      </c>
      <c r="F755" t="s">
        <v>1358</v>
      </c>
      <c r="K755">
        <v>1</v>
      </c>
      <c r="L755" t="str">
        <f t="shared" si="44"/>
        <v/>
      </c>
      <c r="O755" t="s">
        <v>38</v>
      </c>
      <c r="T755" s="2">
        <f>'SUPUESTOS PRECIOS'!$B$9</f>
        <v>0</v>
      </c>
      <c r="U755" s="3">
        <f>'SUPUESTOS PRECIOS'!$B$5/'SUPUESTOS PRECIOS'!$B$4</f>
        <v>1000</v>
      </c>
      <c r="V755" s="3">
        <f>('SUPUESTOS PRECIOS'!$B$6-'SUPUESTOS PRECIOS'!$B$7)/'SUPUESTOS PRECIOS'!$B$4</f>
        <v>377.5</v>
      </c>
      <c r="W755" s="4">
        <f>'SUPUESTOS PRECIOS'!$B$8</f>
        <v>9.6799999999999994E-3</v>
      </c>
      <c r="X755" s="4">
        <f>'SUPUESTOS PRECIOS'!$B$2</f>
        <v>0.4</v>
      </c>
      <c r="Y755" s="3" t="str">
        <f t="shared" si="45"/>
        <v/>
      </c>
      <c r="Z755" s="3" t="str">
        <f t="shared" si="46"/>
        <v/>
      </c>
      <c r="AA755" s="11" t="str">
        <f t="shared" si="47"/>
        <v/>
      </c>
    </row>
    <row r="756" spans="1:27" x14ac:dyDescent="0.35">
      <c r="A756" s="10" t="s">
        <v>1879</v>
      </c>
      <c r="F756" t="s">
        <v>1358</v>
      </c>
      <c r="K756">
        <v>1</v>
      </c>
      <c r="L756" t="str">
        <f t="shared" si="44"/>
        <v/>
      </c>
      <c r="O756" t="s">
        <v>38</v>
      </c>
      <c r="T756" s="2">
        <f>'SUPUESTOS PRECIOS'!$B$9</f>
        <v>0</v>
      </c>
      <c r="U756" s="3">
        <f>'SUPUESTOS PRECIOS'!$B$5/'SUPUESTOS PRECIOS'!$B$4</f>
        <v>1000</v>
      </c>
      <c r="V756" s="3">
        <f>('SUPUESTOS PRECIOS'!$B$6-'SUPUESTOS PRECIOS'!$B$7)/'SUPUESTOS PRECIOS'!$B$4</f>
        <v>377.5</v>
      </c>
      <c r="W756" s="4">
        <f>'SUPUESTOS PRECIOS'!$B$8</f>
        <v>9.6799999999999994E-3</v>
      </c>
      <c r="X756" s="4">
        <f>'SUPUESTOS PRECIOS'!$B$2</f>
        <v>0.4</v>
      </c>
      <c r="Y756" s="3" t="str">
        <f t="shared" si="45"/>
        <v/>
      </c>
      <c r="Z756" s="3" t="str">
        <f t="shared" si="46"/>
        <v/>
      </c>
      <c r="AA756" s="11" t="str">
        <f t="shared" si="47"/>
        <v/>
      </c>
    </row>
    <row r="757" spans="1:27" x14ac:dyDescent="0.35">
      <c r="A757" s="10" t="s">
        <v>1880</v>
      </c>
      <c r="F757" t="s">
        <v>1358</v>
      </c>
      <c r="K757">
        <v>1</v>
      </c>
      <c r="L757" t="str">
        <f t="shared" si="44"/>
        <v/>
      </c>
      <c r="O757" t="s">
        <v>38</v>
      </c>
      <c r="T757" s="2">
        <f>'SUPUESTOS PRECIOS'!$B$9</f>
        <v>0</v>
      </c>
      <c r="U757" s="3">
        <f>'SUPUESTOS PRECIOS'!$B$5/'SUPUESTOS PRECIOS'!$B$4</f>
        <v>1000</v>
      </c>
      <c r="V757" s="3">
        <f>('SUPUESTOS PRECIOS'!$B$6-'SUPUESTOS PRECIOS'!$B$7)/'SUPUESTOS PRECIOS'!$B$4</f>
        <v>377.5</v>
      </c>
      <c r="W757" s="4">
        <f>'SUPUESTOS PRECIOS'!$B$8</f>
        <v>9.6799999999999994E-3</v>
      </c>
      <c r="X757" s="4">
        <f>'SUPUESTOS PRECIOS'!$B$2</f>
        <v>0.4</v>
      </c>
      <c r="Y757" s="3" t="str">
        <f t="shared" si="45"/>
        <v/>
      </c>
      <c r="Z757" s="3" t="str">
        <f t="shared" si="46"/>
        <v/>
      </c>
      <c r="AA757" s="11" t="str">
        <f t="shared" si="47"/>
        <v/>
      </c>
    </row>
    <row r="758" spans="1:27" x14ac:dyDescent="0.35">
      <c r="A758" s="10" t="s">
        <v>1881</v>
      </c>
      <c r="F758" t="s">
        <v>1358</v>
      </c>
      <c r="K758">
        <v>1</v>
      </c>
      <c r="L758" t="str">
        <f t="shared" si="44"/>
        <v/>
      </c>
      <c r="O758" t="s">
        <v>38</v>
      </c>
      <c r="T758" s="2">
        <f>'SUPUESTOS PRECIOS'!$B$9</f>
        <v>0</v>
      </c>
      <c r="U758" s="3">
        <f>'SUPUESTOS PRECIOS'!$B$5/'SUPUESTOS PRECIOS'!$B$4</f>
        <v>1000</v>
      </c>
      <c r="V758" s="3">
        <f>('SUPUESTOS PRECIOS'!$B$6-'SUPUESTOS PRECIOS'!$B$7)/'SUPUESTOS PRECIOS'!$B$4</f>
        <v>377.5</v>
      </c>
      <c r="W758" s="4">
        <f>'SUPUESTOS PRECIOS'!$B$8</f>
        <v>9.6799999999999994E-3</v>
      </c>
      <c r="X758" s="4">
        <f>'SUPUESTOS PRECIOS'!$B$2</f>
        <v>0.4</v>
      </c>
      <c r="Y758" s="3" t="str">
        <f t="shared" si="45"/>
        <v/>
      </c>
      <c r="Z758" s="3" t="str">
        <f t="shared" si="46"/>
        <v/>
      </c>
      <c r="AA758" s="11" t="str">
        <f t="shared" si="47"/>
        <v/>
      </c>
    </row>
    <row r="759" spans="1:27" x14ac:dyDescent="0.35">
      <c r="A759" s="10" t="s">
        <v>1882</v>
      </c>
      <c r="F759" t="s">
        <v>1358</v>
      </c>
      <c r="K759">
        <v>1</v>
      </c>
      <c r="L759" t="str">
        <f t="shared" si="44"/>
        <v/>
      </c>
      <c r="O759" t="s">
        <v>38</v>
      </c>
      <c r="T759" s="2">
        <f>'SUPUESTOS PRECIOS'!$B$9</f>
        <v>0</v>
      </c>
      <c r="U759" s="3">
        <f>'SUPUESTOS PRECIOS'!$B$5/'SUPUESTOS PRECIOS'!$B$4</f>
        <v>1000</v>
      </c>
      <c r="V759" s="3">
        <f>('SUPUESTOS PRECIOS'!$B$6-'SUPUESTOS PRECIOS'!$B$7)/'SUPUESTOS PRECIOS'!$B$4</f>
        <v>377.5</v>
      </c>
      <c r="W759" s="4">
        <f>'SUPUESTOS PRECIOS'!$B$8</f>
        <v>9.6799999999999994E-3</v>
      </c>
      <c r="X759" s="4">
        <f>'SUPUESTOS PRECIOS'!$B$2</f>
        <v>0.4</v>
      </c>
      <c r="Y759" s="3" t="str">
        <f t="shared" si="45"/>
        <v/>
      </c>
      <c r="Z759" s="3" t="str">
        <f t="shared" si="46"/>
        <v/>
      </c>
      <c r="AA759" s="11" t="str">
        <f t="shared" si="47"/>
        <v/>
      </c>
    </row>
    <row r="760" spans="1:27" x14ac:dyDescent="0.35">
      <c r="A760" s="10" t="s">
        <v>1883</v>
      </c>
      <c r="F760" t="s">
        <v>1358</v>
      </c>
      <c r="K760">
        <v>1</v>
      </c>
      <c r="L760" t="str">
        <f t="shared" si="44"/>
        <v/>
      </c>
      <c r="O760" t="s">
        <v>38</v>
      </c>
      <c r="T760" s="2">
        <f>'SUPUESTOS PRECIOS'!$B$9</f>
        <v>0</v>
      </c>
      <c r="U760" s="3">
        <f>'SUPUESTOS PRECIOS'!$B$5/'SUPUESTOS PRECIOS'!$B$4</f>
        <v>1000</v>
      </c>
      <c r="V760" s="3">
        <f>('SUPUESTOS PRECIOS'!$B$6-'SUPUESTOS PRECIOS'!$B$7)/'SUPUESTOS PRECIOS'!$B$4</f>
        <v>377.5</v>
      </c>
      <c r="W760" s="4">
        <f>'SUPUESTOS PRECIOS'!$B$8</f>
        <v>9.6799999999999994E-3</v>
      </c>
      <c r="X760" s="4">
        <f>'SUPUESTOS PRECIOS'!$B$2</f>
        <v>0.4</v>
      </c>
      <c r="Y760" s="3" t="str">
        <f t="shared" si="45"/>
        <v/>
      </c>
      <c r="Z760" s="3" t="str">
        <f t="shared" si="46"/>
        <v/>
      </c>
      <c r="AA760" s="11" t="str">
        <f t="shared" si="47"/>
        <v/>
      </c>
    </row>
    <row r="761" spans="1:27" x14ac:dyDescent="0.35">
      <c r="A761" s="10" t="s">
        <v>1884</v>
      </c>
      <c r="F761" t="s">
        <v>1358</v>
      </c>
      <c r="K761">
        <v>1</v>
      </c>
      <c r="L761" t="str">
        <f t="shared" si="44"/>
        <v/>
      </c>
      <c r="O761" t="s">
        <v>38</v>
      </c>
      <c r="T761" s="2">
        <f>'SUPUESTOS PRECIOS'!$B$9</f>
        <v>0</v>
      </c>
      <c r="U761" s="3">
        <f>'SUPUESTOS PRECIOS'!$B$5/'SUPUESTOS PRECIOS'!$B$4</f>
        <v>1000</v>
      </c>
      <c r="V761" s="3">
        <f>('SUPUESTOS PRECIOS'!$B$6-'SUPUESTOS PRECIOS'!$B$7)/'SUPUESTOS PRECIOS'!$B$4</f>
        <v>377.5</v>
      </c>
      <c r="W761" s="4">
        <f>'SUPUESTOS PRECIOS'!$B$8</f>
        <v>9.6799999999999994E-3</v>
      </c>
      <c r="X761" s="4">
        <f>'SUPUESTOS PRECIOS'!$B$2</f>
        <v>0.4</v>
      </c>
      <c r="Y761" s="3" t="str">
        <f t="shared" si="45"/>
        <v/>
      </c>
      <c r="Z761" s="3" t="str">
        <f t="shared" si="46"/>
        <v/>
      </c>
      <c r="AA761" s="11" t="str">
        <f t="shared" si="47"/>
        <v/>
      </c>
    </row>
    <row r="762" spans="1:27" x14ac:dyDescent="0.35">
      <c r="A762" s="10" t="s">
        <v>1885</v>
      </c>
      <c r="F762" t="s">
        <v>1358</v>
      </c>
      <c r="K762">
        <v>1</v>
      </c>
      <c r="L762" t="str">
        <f t="shared" si="44"/>
        <v/>
      </c>
      <c r="O762" t="s">
        <v>38</v>
      </c>
      <c r="T762" s="2">
        <f>'SUPUESTOS PRECIOS'!$B$9</f>
        <v>0</v>
      </c>
      <c r="U762" s="3">
        <f>'SUPUESTOS PRECIOS'!$B$5/'SUPUESTOS PRECIOS'!$B$4</f>
        <v>1000</v>
      </c>
      <c r="V762" s="3">
        <f>('SUPUESTOS PRECIOS'!$B$6-'SUPUESTOS PRECIOS'!$B$7)/'SUPUESTOS PRECIOS'!$B$4</f>
        <v>377.5</v>
      </c>
      <c r="W762" s="4">
        <f>'SUPUESTOS PRECIOS'!$B$8</f>
        <v>9.6799999999999994E-3</v>
      </c>
      <c r="X762" s="4">
        <f>'SUPUESTOS PRECIOS'!$B$2</f>
        <v>0.4</v>
      </c>
      <c r="Y762" s="3" t="str">
        <f t="shared" si="45"/>
        <v/>
      </c>
      <c r="Z762" s="3" t="str">
        <f t="shared" si="46"/>
        <v/>
      </c>
      <c r="AA762" s="11" t="str">
        <f t="shared" si="47"/>
        <v/>
      </c>
    </row>
    <row r="763" spans="1:27" x14ac:dyDescent="0.35">
      <c r="A763" s="10" t="s">
        <v>1886</v>
      </c>
      <c r="F763" t="s">
        <v>1358</v>
      </c>
      <c r="K763">
        <v>1</v>
      </c>
      <c r="L763" t="str">
        <f t="shared" si="44"/>
        <v/>
      </c>
      <c r="O763" t="s">
        <v>38</v>
      </c>
      <c r="T763" s="2">
        <f>'SUPUESTOS PRECIOS'!$B$9</f>
        <v>0</v>
      </c>
      <c r="U763" s="3">
        <f>'SUPUESTOS PRECIOS'!$B$5/'SUPUESTOS PRECIOS'!$B$4</f>
        <v>1000</v>
      </c>
      <c r="V763" s="3">
        <f>('SUPUESTOS PRECIOS'!$B$6-'SUPUESTOS PRECIOS'!$B$7)/'SUPUESTOS PRECIOS'!$B$4</f>
        <v>377.5</v>
      </c>
      <c r="W763" s="4">
        <f>'SUPUESTOS PRECIOS'!$B$8</f>
        <v>9.6799999999999994E-3</v>
      </c>
      <c r="X763" s="4">
        <f>'SUPUESTOS PRECIOS'!$B$2</f>
        <v>0.4</v>
      </c>
      <c r="Y763" s="3" t="str">
        <f t="shared" si="45"/>
        <v/>
      </c>
      <c r="Z763" s="3" t="str">
        <f t="shared" si="46"/>
        <v/>
      </c>
      <c r="AA763" s="11" t="str">
        <f t="shared" si="47"/>
        <v/>
      </c>
    </row>
    <row r="764" spans="1:27" x14ac:dyDescent="0.35">
      <c r="A764" s="10" t="s">
        <v>1887</v>
      </c>
      <c r="F764" t="s">
        <v>1358</v>
      </c>
      <c r="K764">
        <v>1</v>
      </c>
      <c r="L764" t="str">
        <f t="shared" si="44"/>
        <v/>
      </c>
      <c r="O764" t="s">
        <v>38</v>
      </c>
      <c r="T764" s="2">
        <f>'SUPUESTOS PRECIOS'!$B$9</f>
        <v>0</v>
      </c>
      <c r="U764" s="3">
        <f>'SUPUESTOS PRECIOS'!$B$5/'SUPUESTOS PRECIOS'!$B$4</f>
        <v>1000</v>
      </c>
      <c r="V764" s="3">
        <f>('SUPUESTOS PRECIOS'!$B$6-'SUPUESTOS PRECIOS'!$B$7)/'SUPUESTOS PRECIOS'!$B$4</f>
        <v>377.5</v>
      </c>
      <c r="W764" s="4">
        <f>'SUPUESTOS PRECIOS'!$B$8</f>
        <v>9.6799999999999994E-3</v>
      </c>
      <c r="X764" s="4">
        <f>'SUPUESTOS PRECIOS'!$B$2</f>
        <v>0.4</v>
      </c>
      <c r="Y764" s="3" t="str">
        <f t="shared" si="45"/>
        <v/>
      </c>
      <c r="Z764" s="3" t="str">
        <f t="shared" si="46"/>
        <v/>
      </c>
      <c r="AA764" s="11" t="str">
        <f t="shared" si="47"/>
        <v/>
      </c>
    </row>
    <row r="765" spans="1:27" x14ac:dyDescent="0.35">
      <c r="A765" s="10" t="s">
        <v>1888</v>
      </c>
      <c r="F765" t="s">
        <v>1358</v>
      </c>
      <c r="K765">
        <v>1</v>
      </c>
      <c r="L765" t="str">
        <f t="shared" si="44"/>
        <v/>
      </c>
      <c r="O765" t="s">
        <v>38</v>
      </c>
      <c r="T765" s="2">
        <f>'SUPUESTOS PRECIOS'!$B$9</f>
        <v>0</v>
      </c>
      <c r="U765" s="3">
        <f>'SUPUESTOS PRECIOS'!$B$5/'SUPUESTOS PRECIOS'!$B$4</f>
        <v>1000</v>
      </c>
      <c r="V765" s="3">
        <f>('SUPUESTOS PRECIOS'!$B$6-'SUPUESTOS PRECIOS'!$B$7)/'SUPUESTOS PRECIOS'!$B$4</f>
        <v>377.5</v>
      </c>
      <c r="W765" s="4">
        <f>'SUPUESTOS PRECIOS'!$B$8</f>
        <v>9.6799999999999994E-3</v>
      </c>
      <c r="X765" s="4">
        <f>'SUPUESTOS PRECIOS'!$B$2</f>
        <v>0.4</v>
      </c>
      <c r="Y765" s="3" t="str">
        <f t="shared" si="45"/>
        <v/>
      </c>
      <c r="Z765" s="3" t="str">
        <f t="shared" si="46"/>
        <v/>
      </c>
      <c r="AA765" s="11" t="str">
        <f t="shared" si="47"/>
        <v/>
      </c>
    </row>
    <row r="766" spans="1:27" x14ac:dyDescent="0.35">
      <c r="A766" s="10" t="s">
        <v>1889</v>
      </c>
      <c r="F766" t="s">
        <v>1358</v>
      </c>
      <c r="K766">
        <v>1</v>
      </c>
      <c r="L766" t="str">
        <f t="shared" si="44"/>
        <v/>
      </c>
      <c r="O766" t="s">
        <v>38</v>
      </c>
      <c r="T766" s="2">
        <f>'SUPUESTOS PRECIOS'!$B$9</f>
        <v>0</v>
      </c>
      <c r="U766" s="3">
        <f>'SUPUESTOS PRECIOS'!$B$5/'SUPUESTOS PRECIOS'!$B$4</f>
        <v>1000</v>
      </c>
      <c r="V766" s="3">
        <f>('SUPUESTOS PRECIOS'!$B$6-'SUPUESTOS PRECIOS'!$B$7)/'SUPUESTOS PRECIOS'!$B$4</f>
        <v>377.5</v>
      </c>
      <c r="W766" s="4">
        <f>'SUPUESTOS PRECIOS'!$B$8</f>
        <v>9.6799999999999994E-3</v>
      </c>
      <c r="X766" s="4">
        <f>'SUPUESTOS PRECIOS'!$B$2</f>
        <v>0.4</v>
      </c>
      <c r="Y766" s="3" t="str">
        <f t="shared" si="45"/>
        <v/>
      </c>
      <c r="Z766" s="3" t="str">
        <f t="shared" si="46"/>
        <v/>
      </c>
      <c r="AA766" s="11" t="str">
        <f t="shared" si="47"/>
        <v/>
      </c>
    </row>
    <row r="767" spans="1:27" x14ac:dyDescent="0.35">
      <c r="A767" s="10" t="s">
        <v>1890</v>
      </c>
      <c r="F767" t="s">
        <v>1358</v>
      </c>
      <c r="K767">
        <v>1</v>
      </c>
      <c r="L767" t="str">
        <f t="shared" si="44"/>
        <v/>
      </c>
      <c r="O767" t="s">
        <v>38</v>
      </c>
      <c r="T767" s="2">
        <f>'SUPUESTOS PRECIOS'!$B$9</f>
        <v>0</v>
      </c>
      <c r="U767" s="3">
        <f>'SUPUESTOS PRECIOS'!$B$5/'SUPUESTOS PRECIOS'!$B$4</f>
        <v>1000</v>
      </c>
      <c r="V767" s="3">
        <f>('SUPUESTOS PRECIOS'!$B$6-'SUPUESTOS PRECIOS'!$B$7)/'SUPUESTOS PRECIOS'!$B$4</f>
        <v>377.5</v>
      </c>
      <c r="W767" s="4">
        <f>'SUPUESTOS PRECIOS'!$B$8</f>
        <v>9.6799999999999994E-3</v>
      </c>
      <c r="X767" s="4">
        <f>'SUPUESTOS PRECIOS'!$B$2</f>
        <v>0.4</v>
      </c>
      <c r="Y767" s="3" t="str">
        <f t="shared" si="45"/>
        <v/>
      </c>
      <c r="Z767" s="3" t="str">
        <f t="shared" si="46"/>
        <v/>
      </c>
      <c r="AA767" s="11" t="str">
        <f t="shared" si="47"/>
        <v/>
      </c>
    </row>
    <row r="768" spans="1:27" x14ac:dyDescent="0.35">
      <c r="A768" s="10" t="s">
        <v>1891</v>
      </c>
      <c r="F768" t="s">
        <v>1358</v>
      </c>
      <c r="K768">
        <v>1</v>
      </c>
      <c r="L768" t="str">
        <f t="shared" si="44"/>
        <v/>
      </c>
      <c r="O768" t="s">
        <v>38</v>
      </c>
      <c r="T768" s="2">
        <f>'SUPUESTOS PRECIOS'!$B$9</f>
        <v>0</v>
      </c>
      <c r="U768" s="3">
        <f>'SUPUESTOS PRECIOS'!$B$5/'SUPUESTOS PRECIOS'!$B$4</f>
        <v>1000</v>
      </c>
      <c r="V768" s="3">
        <f>('SUPUESTOS PRECIOS'!$B$6-'SUPUESTOS PRECIOS'!$B$7)/'SUPUESTOS PRECIOS'!$B$4</f>
        <v>377.5</v>
      </c>
      <c r="W768" s="4">
        <f>'SUPUESTOS PRECIOS'!$B$8</f>
        <v>9.6799999999999994E-3</v>
      </c>
      <c r="X768" s="4">
        <f>'SUPUESTOS PRECIOS'!$B$2</f>
        <v>0.4</v>
      </c>
      <c r="Y768" s="3" t="str">
        <f t="shared" si="45"/>
        <v/>
      </c>
      <c r="Z768" s="3" t="str">
        <f t="shared" si="46"/>
        <v/>
      </c>
      <c r="AA768" s="11" t="str">
        <f t="shared" si="47"/>
        <v/>
      </c>
    </row>
    <row r="769" spans="1:27" x14ac:dyDescent="0.35">
      <c r="A769" s="10" t="s">
        <v>1892</v>
      </c>
      <c r="F769" t="s">
        <v>1358</v>
      </c>
      <c r="K769">
        <v>1</v>
      </c>
      <c r="L769" t="str">
        <f t="shared" si="44"/>
        <v/>
      </c>
      <c r="O769" t="s">
        <v>38</v>
      </c>
      <c r="T769" s="2">
        <f>'SUPUESTOS PRECIOS'!$B$9</f>
        <v>0</v>
      </c>
      <c r="U769" s="3">
        <f>'SUPUESTOS PRECIOS'!$B$5/'SUPUESTOS PRECIOS'!$B$4</f>
        <v>1000</v>
      </c>
      <c r="V769" s="3">
        <f>('SUPUESTOS PRECIOS'!$B$6-'SUPUESTOS PRECIOS'!$B$7)/'SUPUESTOS PRECIOS'!$B$4</f>
        <v>377.5</v>
      </c>
      <c r="W769" s="4">
        <f>'SUPUESTOS PRECIOS'!$B$8</f>
        <v>9.6799999999999994E-3</v>
      </c>
      <c r="X769" s="4">
        <f>'SUPUESTOS PRECIOS'!$B$2</f>
        <v>0.4</v>
      </c>
      <c r="Y769" s="3" t="str">
        <f t="shared" si="45"/>
        <v/>
      </c>
      <c r="Z769" s="3" t="str">
        <f t="shared" si="46"/>
        <v/>
      </c>
      <c r="AA769" s="11" t="str">
        <f t="shared" si="47"/>
        <v/>
      </c>
    </row>
    <row r="770" spans="1:27" x14ac:dyDescent="0.35">
      <c r="A770" s="10" t="s">
        <v>1893</v>
      </c>
      <c r="F770" t="s">
        <v>1358</v>
      </c>
      <c r="K770">
        <v>1</v>
      </c>
      <c r="L770" t="str">
        <f t="shared" ref="L770:L833" si="48">IF(J770="","",J770*(1+K770))</f>
        <v/>
      </c>
      <c r="O770" t="s">
        <v>38</v>
      </c>
      <c r="T770" s="2">
        <f>'SUPUESTOS PRECIOS'!$B$9</f>
        <v>0</v>
      </c>
      <c r="U770" s="3">
        <f>'SUPUESTOS PRECIOS'!$B$5/'SUPUESTOS PRECIOS'!$B$4</f>
        <v>1000</v>
      </c>
      <c r="V770" s="3">
        <f>('SUPUESTOS PRECIOS'!$B$6-'SUPUESTOS PRECIOS'!$B$7)/'SUPUESTOS PRECIOS'!$B$4</f>
        <v>377.5</v>
      </c>
      <c r="W770" s="4">
        <f>'SUPUESTOS PRECIOS'!$B$8</f>
        <v>9.6799999999999994E-3</v>
      </c>
      <c r="X770" s="4">
        <f>'SUPUESTOS PRECIOS'!$B$2</f>
        <v>0.4</v>
      </c>
      <c r="Y770" s="3" t="str">
        <f t="shared" ref="Y770:Y833" si="49">IF(OR($B770="",$J770=""),"",ROUND(($J770+$T770+$U770+$V770)/(1-$W770-$X770),-1))</f>
        <v/>
      </c>
      <c r="Z770" s="3" t="str">
        <f t="shared" ref="Z770:Z833" si="50">IF($Y770="","",$Y770-$J770-$T770-$U770-$V770-($Y770*$W770))</f>
        <v/>
      </c>
      <c r="AA770" s="11" t="str">
        <f t="shared" ref="AA770:AA833" si="51">IF($Y770="","",$Z770/$Y770)</f>
        <v/>
      </c>
    </row>
    <row r="771" spans="1:27" x14ac:dyDescent="0.35">
      <c r="A771" s="10" t="s">
        <v>1894</v>
      </c>
      <c r="F771" t="s">
        <v>1358</v>
      </c>
      <c r="K771">
        <v>1</v>
      </c>
      <c r="L771" t="str">
        <f t="shared" si="48"/>
        <v/>
      </c>
      <c r="O771" t="s">
        <v>38</v>
      </c>
      <c r="T771" s="2">
        <f>'SUPUESTOS PRECIOS'!$B$9</f>
        <v>0</v>
      </c>
      <c r="U771" s="3">
        <f>'SUPUESTOS PRECIOS'!$B$5/'SUPUESTOS PRECIOS'!$B$4</f>
        <v>1000</v>
      </c>
      <c r="V771" s="3">
        <f>('SUPUESTOS PRECIOS'!$B$6-'SUPUESTOS PRECIOS'!$B$7)/'SUPUESTOS PRECIOS'!$B$4</f>
        <v>377.5</v>
      </c>
      <c r="W771" s="4">
        <f>'SUPUESTOS PRECIOS'!$B$8</f>
        <v>9.6799999999999994E-3</v>
      </c>
      <c r="X771" s="4">
        <f>'SUPUESTOS PRECIOS'!$B$2</f>
        <v>0.4</v>
      </c>
      <c r="Y771" s="3" t="str">
        <f t="shared" si="49"/>
        <v/>
      </c>
      <c r="Z771" s="3" t="str">
        <f t="shared" si="50"/>
        <v/>
      </c>
      <c r="AA771" s="11" t="str">
        <f t="shared" si="51"/>
        <v/>
      </c>
    </row>
    <row r="772" spans="1:27" x14ac:dyDescent="0.35">
      <c r="A772" s="10" t="s">
        <v>1895</v>
      </c>
      <c r="F772" t="s">
        <v>1358</v>
      </c>
      <c r="K772">
        <v>1</v>
      </c>
      <c r="L772" t="str">
        <f t="shared" si="48"/>
        <v/>
      </c>
      <c r="O772" t="s">
        <v>38</v>
      </c>
      <c r="T772" s="2">
        <f>'SUPUESTOS PRECIOS'!$B$9</f>
        <v>0</v>
      </c>
      <c r="U772" s="3">
        <f>'SUPUESTOS PRECIOS'!$B$5/'SUPUESTOS PRECIOS'!$B$4</f>
        <v>1000</v>
      </c>
      <c r="V772" s="3">
        <f>('SUPUESTOS PRECIOS'!$B$6-'SUPUESTOS PRECIOS'!$B$7)/'SUPUESTOS PRECIOS'!$B$4</f>
        <v>377.5</v>
      </c>
      <c r="W772" s="4">
        <f>'SUPUESTOS PRECIOS'!$B$8</f>
        <v>9.6799999999999994E-3</v>
      </c>
      <c r="X772" s="4">
        <f>'SUPUESTOS PRECIOS'!$B$2</f>
        <v>0.4</v>
      </c>
      <c r="Y772" s="3" t="str">
        <f t="shared" si="49"/>
        <v/>
      </c>
      <c r="Z772" s="3" t="str">
        <f t="shared" si="50"/>
        <v/>
      </c>
      <c r="AA772" s="11" t="str">
        <f t="shared" si="51"/>
        <v/>
      </c>
    </row>
    <row r="773" spans="1:27" x14ac:dyDescent="0.35">
      <c r="A773" s="10" t="s">
        <v>1896</v>
      </c>
      <c r="F773" t="s">
        <v>1358</v>
      </c>
      <c r="K773">
        <v>1</v>
      </c>
      <c r="L773" t="str">
        <f t="shared" si="48"/>
        <v/>
      </c>
      <c r="O773" t="s">
        <v>38</v>
      </c>
      <c r="T773" s="2">
        <f>'SUPUESTOS PRECIOS'!$B$9</f>
        <v>0</v>
      </c>
      <c r="U773" s="3">
        <f>'SUPUESTOS PRECIOS'!$B$5/'SUPUESTOS PRECIOS'!$B$4</f>
        <v>1000</v>
      </c>
      <c r="V773" s="3">
        <f>('SUPUESTOS PRECIOS'!$B$6-'SUPUESTOS PRECIOS'!$B$7)/'SUPUESTOS PRECIOS'!$B$4</f>
        <v>377.5</v>
      </c>
      <c r="W773" s="4">
        <f>'SUPUESTOS PRECIOS'!$B$8</f>
        <v>9.6799999999999994E-3</v>
      </c>
      <c r="X773" s="4">
        <f>'SUPUESTOS PRECIOS'!$B$2</f>
        <v>0.4</v>
      </c>
      <c r="Y773" s="3" t="str">
        <f t="shared" si="49"/>
        <v/>
      </c>
      <c r="Z773" s="3" t="str">
        <f t="shared" si="50"/>
        <v/>
      </c>
      <c r="AA773" s="11" t="str">
        <f t="shared" si="51"/>
        <v/>
      </c>
    </row>
    <row r="774" spans="1:27" x14ac:dyDescent="0.35">
      <c r="A774" s="10" t="s">
        <v>1897</v>
      </c>
      <c r="F774" t="s">
        <v>1358</v>
      </c>
      <c r="K774">
        <v>1</v>
      </c>
      <c r="L774" t="str">
        <f t="shared" si="48"/>
        <v/>
      </c>
      <c r="O774" t="s">
        <v>38</v>
      </c>
      <c r="T774" s="2">
        <f>'SUPUESTOS PRECIOS'!$B$9</f>
        <v>0</v>
      </c>
      <c r="U774" s="3">
        <f>'SUPUESTOS PRECIOS'!$B$5/'SUPUESTOS PRECIOS'!$B$4</f>
        <v>1000</v>
      </c>
      <c r="V774" s="3">
        <f>('SUPUESTOS PRECIOS'!$B$6-'SUPUESTOS PRECIOS'!$B$7)/'SUPUESTOS PRECIOS'!$B$4</f>
        <v>377.5</v>
      </c>
      <c r="W774" s="4">
        <f>'SUPUESTOS PRECIOS'!$B$8</f>
        <v>9.6799999999999994E-3</v>
      </c>
      <c r="X774" s="4">
        <f>'SUPUESTOS PRECIOS'!$B$2</f>
        <v>0.4</v>
      </c>
      <c r="Y774" s="3" t="str">
        <f t="shared" si="49"/>
        <v/>
      </c>
      <c r="Z774" s="3" t="str">
        <f t="shared" si="50"/>
        <v/>
      </c>
      <c r="AA774" s="11" t="str">
        <f t="shared" si="51"/>
        <v/>
      </c>
    </row>
    <row r="775" spans="1:27" x14ac:dyDescent="0.35">
      <c r="A775" s="10" t="s">
        <v>1898</v>
      </c>
      <c r="F775" t="s">
        <v>1358</v>
      </c>
      <c r="K775">
        <v>1</v>
      </c>
      <c r="L775" t="str">
        <f t="shared" si="48"/>
        <v/>
      </c>
      <c r="O775" t="s">
        <v>38</v>
      </c>
      <c r="T775" s="2">
        <f>'SUPUESTOS PRECIOS'!$B$9</f>
        <v>0</v>
      </c>
      <c r="U775" s="3">
        <f>'SUPUESTOS PRECIOS'!$B$5/'SUPUESTOS PRECIOS'!$B$4</f>
        <v>1000</v>
      </c>
      <c r="V775" s="3">
        <f>('SUPUESTOS PRECIOS'!$B$6-'SUPUESTOS PRECIOS'!$B$7)/'SUPUESTOS PRECIOS'!$B$4</f>
        <v>377.5</v>
      </c>
      <c r="W775" s="4">
        <f>'SUPUESTOS PRECIOS'!$B$8</f>
        <v>9.6799999999999994E-3</v>
      </c>
      <c r="X775" s="4">
        <f>'SUPUESTOS PRECIOS'!$B$2</f>
        <v>0.4</v>
      </c>
      <c r="Y775" s="3" t="str">
        <f t="shared" si="49"/>
        <v/>
      </c>
      <c r="Z775" s="3" t="str">
        <f t="shared" si="50"/>
        <v/>
      </c>
      <c r="AA775" s="11" t="str">
        <f t="shared" si="51"/>
        <v/>
      </c>
    </row>
    <row r="776" spans="1:27" x14ac:dyDescent="0.35">
      <c r="A776" s="10" t="s">
        <v>1899</v>
      </c>
      <c r="F776" t="s">
        <v>1358</v>
      </c>
      <c r="K776">
        <v>1</v>
      </c>
      <c r="L776" t="str">
        <f t="shared" si="48"/>
        <v/>
      </c>
      <c r="O776" t="s">
        <v>38</v>
      </c>
      <c r="T776" s="2">
        <f>'SUPUESTOS PRECIOS'!$B$9</f>
        <v>0</v>
      </c>
      <c r="U776" s="3">
        <f>'SUPUESTOS PRECIOS'!$B$5/'SUPUESTOS PRECIOS'!$B$4</f>
        <v>1000</v>
      </c>
      <c r="V776" s="3">
        <f>('SUPUESTOS PRECIOS'!$B$6-'SUPUESTOS PRECIOS'!$B$7)/'SUPUESTOS PRECIOS'!$B$4</f>
        <v>377.5</v>
      </c>
      <c r="W776" s="4">
        <f>'SUPUESTOS PRECIOS'!$B$8</f>
        <v>9.6799999999999994E-3</v>
      </c>
      <c r="X776" s="4">
        <f>'SUPUESTOS PRECIOS'!$B$2</f>
        <v>0.4</v>
      </c>
      <c r="Y776" s="3" t="str">
        <f t="shared" si="49"/>
        <v/>
      </c>
      <c r="Z776" s="3" t="str">
        <f t="shared" si="50"/>
        <v/>
      </c>
      <c r="AA776" s="11" t="str">
        <f t="shared" si="51"/>
        <v/>
      </c>
    </row>
    <row r="777" spans="1:27" x14ac:dyDescent="0.35">
      <c r="A777" s="10" t="s">
        <v>1900</v>
      </c>
      <c r="F777" t="s">
        <v>1358</v>
      </c>
      <c r="K777">
        <v>1</v>
      </c>
      <c r="L777" t="str">
        <f t="shared" si="48"/>
        <v/>
      </c>
      <c r="O777" t="s">
        <v>38</v>
      </c>
      <c r="T777" s="2">
        <f>'SUPUESTOS PRECIOS'!$B$9</f>
        <v>0</v>
      </c>
      <c r="U777" s="3">
        <f>'SUPUESTOS PRECIOS'!$B$5/'SUPUESTOS PRECIOS'!$B$4</f>
        <v>1000</v>
      </c>
      <c r="V777" s="3">
        <f>('SUPUESTOS PRECIOS'!$B$6-'SUPUESTOS PRECIOS'!$B$7)/'SUPUESTOS PRECIOS'!$B$4</f>
        <v>377.5</v>
      </c>
      <c r="W777" s="4">
        <f>'SUPUESTOS PRECIOS'!$B$8</f>
        <v>9.6799999999999994E-3</v>
      </c>
      <c r="X777" s="4">
        <f>'SUPUESTOS PRECIOS'!$B$2</f>
        <v>0.4</v>
      </c>
      <c r="Y777" s="3" t="str">
        <f t="shared" si="49"/>
        <v/>
      </c>
      <c r="Z777" s="3" t="str">
        <f t="shared" si="50"/>
        <v/>
      </c>
      <c r="AA777" s="11" t="str">
        <f t="shared" si="51"/>
        <v/>
      </c>
    </row>
    <row r="778" spans="1:27" x14ac:dyDescent="0.35">
      <c r="A778" s="10" t="s">
        <v>1901</v>
      </c>
      <c r="F778" t="s">
        <v>1358</v>
      </c>
      <c r="K778">
        <v>1</v>
      </c>
      <c r="L778" t="str">
        <f t="shared" si="48"/>
        <v/>
      </c>
      <c r="O778" t="s">
        <v>38</v>
      </c>
      <c r="T778" s="2">
        <f>'SUPUESTOS PRECIOS'!$B$9</f>
        <v>0</v>
      </c>
      <c r="U778" s="3">
        <f>'SUPUESTOS PRECIOS'!$B$5/'SUPUESTOS PRECIOS'!$B$4</f>
        <v>1000</v>
      </c>
      <c r="V778" s="3">
        <f>('SUPUESTOS PRECIOS'!$B$6-'SUPUESTOS PRECIOS'!$B$7)/'SUPUESTOS PRECIOS'!$B$4</f>
        <v>377.5</v>
      </c>
      <c r="W778" s="4">
        <f>'SUPUESTOS PRECIOS'!$B$8</f>
        <v>9.6799999999999994E-3</v>
      </c>
      <c r="X778" s="4">
        <f>'SUPUESTOS PRECIOS'!$B$2</f>
        <v>0.4</v>
      </c>
      <c r="Y778" s="3" t="str">
        <f t="shared" si="49"/>
        <v/>
      </c>
      <c r="Z778" s="3" t="str">
        <f t="shared" si="50"/>
        <v/>
      </c>
      <c r="AA778" s="11" t="str">
        <f t="shared" si="51"/>
        <v/>
      </c>
    </row>
    <row r="779" spans="1:27" x14ac:dyDescent="0.35">
      <c r="A779" s="10" t="s">
        <v>1902</v>
      </c>
      <c r="F779" t="s">
        <v>1358</v>
      </c>
      <c r="K779">
        <v>1</v>
      </c>
      <c r="L779" t="str">
        <f t="shared" si="48"/>
        <v/>
      </c>
      <c r="O779" t="s">
        <v>38</v>
      </c>
      <c r="T779" s="2">
        <f>'SUPUESTOS PRECIOS'!$B$9</f>
        <v>0</v>
      </c>
      <c r="U779" s="3">
        <f>'SUPUESTOS PRECIOS'!$B$5/'SUPUESTOS PRECIOS'!$B$4</f>
        <v>1000</v>
      </c>
      <c r="V779" s="3">
        <f>('SUPUESTOS PRECIOS'!$B$6-'SUPUESTOS PRECIOS'!$B$7)/'SUPUESTOS PRECIOS'!$B$4</f>
        <v>377.5</v>
      </c>
      <c r="W779" s="4">
        <f>'SUPUESTOS PRECIOS'!$B$8</f>
        <v>9.6799999999999994E-3</v>
      </c>
      <c r="X779" s="4">
        <f>'SUPUESTOS PRECIOS'!$B$2</f>
        <v>0.4</v>
      </c>
      <c r="Y779" s="3" t="str">
        <f t="shared" si="49"/>
        <v/>
      </c>
      <c r="Z779" s="3" t="str">
        <f t="shared" si="50"/>
        <v/>
      </c>
      <c r="AA779" s="11" t="str">
        <f t="shared" si="51"/>
        <v/>
      </c>
    </row>
    <row r="780" spans="1:27" x14ac:dyDescent="0.35">
      <c r="A780" s="10" t="s">
        <v>1903</v>
      </c>
      <c r="F780" t="s">
        <v>1358</v>
      </c>
      <c r="K780">
        <v>1</v>
      </c>
      <c r="L780" t="str">
        <f t="shared" si="48"/>
        <v/>
      </c>
      <c r="O780" t="s">
        <v>38</v>
      </c>
      <c r="T780" s="2">
        <f>'SUPUESTOS PRECIOS'!$B$9</f>
        <v>0</v>
      </c>
      <c r="U780" s="3">
        <f>'SUPUESTOS PRECIOS'!$B$5/'SUPUESTOS PRECIOS'!$B$4</f>
        <v>1000</v>
      </c>
      <c r="V780" s="3">
        <f>('SUPUESTOS PRECIOS'!$B$6-'SUPUESTOS PRECIOS'!$B$7)/'SUPUESTOS PRECIOS'!$B$4</f>
        <v>377.5</v>
      </c>
      <c r="W780" s="4">
        <f>'SUPUESTOS PRECIOS'!$B$8</f>
        <v>9.6799999999999994E-3</v>
      </c>
      <c r="X780" s="4">
        <f>'SUPUESTOS PRECIOS'!$B$2</f>
        <v>0.4</v>
      </c>
      <c r="Y780" s="3" t="str">
        <f t="shared" si="49"/>
        <v/>
      </c>
      <c r="Z780" s="3" t="str">
        <f t="shared" si="50"/>
        <v/>
      </c>
      <c r="AA780" s="11" t="str">
        <f t="shared" si="51"/>
        <v/>
      </c>
    </row>
    <row r="781" spans="1:27" x14ac:dyDescent="0.35">
      <c r="A781" s="10" t="s">
        <v>1904</v>
      </c>
      <c r="F781" t="s">
        <v>1358</v>
      </c>
      <c r="K781">
        <v>1</v>
      </c>
      <c r="L781" t="str">
        <f t="shared" si="48"/>
        <v/>
      </c>
      <c r="O781" t="s">
        <v>38</v>
      </c>
      <c r="T781" s="2">
        <f>'SUPUESTOS PRECIOS'!$B$9</f>
        <v>0</v>
      </c>
      <c r="U781" s="3">
        <f>'SUPUESTOS PRECIOS'!$B$5/'SUPUESTOS PRECIOS'!$B$4</f>
        <v>1000</v>
      </c>
      <c r="V781" s="3">
        <f>('SUPUESTOS PRECIOS'!$B$6-'SUPUESTOS PRECIOS'!$B$7)/'SUPUESTOS PRECIOS'!$B$4</f>
        <v>377.5</v>
      </c>
      <c r="W781" s="4">
        <f>'SUPUESTOS PRECIOS'!$B$8</f>
        <v>9.6799999999999994E-3</v>
      </c>
      <c r="X781" s="4">
        <f>'SUPUESTOS PRECIOS'!$B$2</f>
        <v>0.4</v>
      </c>
      <c r="Y781" s="3" t="str">
        <f t="shared" si="49"/>
        <v/>
      </c>
      <c r="Z781" s="3" t="str">
        <f t="shared" si="50"/>
        <v/>
      </c>
      <c r="AA781" s="11" t="str">
        <f t="shared" si="51"/>
        <v/>
      </c>
    </row>
    <row r="782" spans="1:27" x14ac:dyDescent="0.35">
      <c r="A782" s="10" t="s">
        <v>1905</v>
      </c>
      <c r="F782" t="s">
        <v>1358</v>
      </c>
      <c r="K782">
        <v>1</v>
      </c>
      <c r="L782" t="str">
        <f t="shared" si="48"/>
        <v/>
      </c>
      <c r="O782" t="s">
        <v>38</v>
      </c>
      <c r="T782" s="2">
        <f>'SUPUESTOS PRECIOS'!$B$9</f>
        <v>0</v>
      </c>
      <c r="U782" s="3">
        <f>'SUPUESTOS PRECIOS'!$B$5/'SUPUESTOS PRECIOS'!$B$4</f>
        <v>1000</v>
      </c>
      <c r="V782" s="3">
        <f>('SUPUESTOS PRECIOS'!$B$6-'SUPUESTOS PRECIOS'!$B$7)/'SUPUESTOS PRECIOS'!$B$4</f>
        <v>377.5</v>
      </c>
      <c r="W782" s="4">
        <f>'SUPUESTOS PRECIOS'!$B$8</f>
        <v>9.6799999999999994E-3</v>
      </c>
      <c r="X782" s="4">
        <f>'SUPUESTOS PRECIOS'!$B$2</f>
        <v>0.4</v>
      </c>
      <c r="Y782" s="3" t="str">
        <f t="shared" si="49"/>
        <v/>
      </c>
      <c r="Z782" s="3" t="str">
        <f t="shared" si="50"/>
        <v/>
      </c>
      <c r="AA782" s="11" t="str">
        <f t="shared" si="51"/>
        <v/>
      </c>
    </row>
    <row r="783" spans="1:27" x14ac:dyDescent="0.35">
      <c r="A783" s="10" t="s">
        <v>1906</v>
      </c>
      <c r="F783" t="s">
        <v>1358</v>
      </c>
      <c r="K783">
        <v>1</v>
      </c>
      <c r="L783" t="str">
        <f t="shared" si="48"/>
        <v/>
      </c>
      <c r="O783" t="s">
        <v>38</v>
      </c>
      <c r="T783" s="2">
        <f>'SUPUESTOS PRECIOS'!$B$9</f>
        <v>0</v>
      </c>
      <c r="U783" s="3">
        <f>'SUPUESTOS PRECIOS'!$B$5/'SUPUESTOS PRECIOS'!$B$4</f>
        <v>1000</v>
      </c>
      <c r="V783" s="3">
        <f>('SUPUESTOS PRECIOS'!$B$6-'SUPUESTOS PRECIOS'!$B$7)/'SUPUESTOS PRECIOS'!$B$4</f>
        <v>377.5</v>
      </c>
      <c r="W783" s="4">
        <f>'SUPUESTOS PRECIOS'!$B$8</f>
        <v>9.6799999999999994E-3</v>
      </c>
      <c r="X783" s="4">
        <f>'SUPUESTOS PRECIOS'!$B$2</f>
        <v>0.4</v>
      </c>
      <c r="Y783" s="3" t="str">
        <f t="shared" si="49"/>
        <v/>
      </c>
      <c r="Z783" s="3" t="str">
        <f t="shared" si="50"/>
        <v/>
      </c>
      <c r="AA783" s="11" t="str">
        <f t="shared" si="51"/>
        <v/>
      </c>
    </row>
    <row r="784" spans="1:27" x14ac:dyDescent="0.35">
      <c r="A784" s="10" t="s">
        <v>1907</v>
      </c>
      <c r="F784" t="s">
        <v>1358</v>
      </c>
      <c r="K784">
        <v>1</v>
      </c>
      <c r="L784" t="str">
        <f t="shared" si="48"/>
        <v/>
      </c>
      <c r="O784" t="s">
        <v>38</v>
      </c>
      <c r="T784" s="2">
        <f>'SUPUESTOS PRECIOS'!$B$9</f>
        <v>0</v>
      </c>
      <c r="U784" s="3">
        <f>'SUPUESTOS PRECIOS'!$B$5/'SUPUESTOS PRECIOS'!$B$4</f>
        <v>1000</v>
      </c>
      <c r="V784" s="3">
        <f>('SUPUESTOS PRECIOS'!$B$6-'SUPUESTOS PRECIOS'!$B$7)/'SUPUESTOS PRECIOS'!$B$4</f>
        <v>377.5</v>
      </c>
      <c r="W784" s="4">
        <f>'SUPUESTOS PRECIOS'!$B$8</f>
        <v>9.6799999999999994E-3</v>
      </c>
      <c r="X784" s="4">
        <f>'SUPUESTOS PRECIOS'!$B$2</f>
        <v>0.4</v>
      </c>
      <c r="Y784" s="3" t="str">
        <f t="shared" si="49"/>
        <v/>
      </c>
      <c r="Z784" s="3" t="str">
        <f t="shared" si="50"/>
        <v/>
      </c>
      <c r="AA784" s="11" t="str">
        <f t="shared" si="51"/>
        <v/>
      </c>
    </row>
    <row r="785" spans="1:27" x14ac:dyDescent="0.35">
      <c r="A785" s="10" t="s">
        <v>1908</v>
      </c>
      <c r="F785" t="s">
        <v>1358</v>
      </c>
      <c r="K785">
        <v>1</v>
      </c>
      <c r="L785" t="str">
        <f t="shared" si="48"/>
        <v/>
      </c>
      <c r="O785" t="s">
        <v>38</v>
      </c>
      <c r="T785" s="2">
        <f>'SUPUESTOS PRECIOS'!$B$9</f>
        <v>0</v>
      </c>
      <c r="U785" s="3">
        <f>'SUPUESTOS PRECIOS'!$B$5/'SUPUESTOS PRECIOS'!$B$4</f>
        <v>1000</v>
      </c>
      <c r="V785" s="3">
        <f>('SUPUESTOS PRECIOS'!$B$6-'SUPUESTOS PRECIOS'!$B$7)/'SUPUESTOS PRECIOS'!$B$4</f>
        <v>377.5</v>
      </c>
      <c r="W785" s="4">
        <f>'SUPUESTOS PRECIOS'!$B$8</f>
        <v>9.6799999999999994E-3</v>
      </c>
      <c r="X785" s="4">
        <f>'SUPUESTOS PRECIOS'!$B$2</f>
        <v>0.4</v>
      </c>
      <c r="Y785" s="3" t="str">
        <f t="shared" si="49"/>
        <v/>
      </c>
      <c r="Z785" s="3" t="str">
        <f t="shared" si="50"/>
        <v/>
      </c>
      <c r="AA785" s="11" t="str">
        <f t="shared" si="51"/>
        <v/>
      </c>
    </row>
    <row r="786" spans="1:27" x14ac:dyDescent="0.35">
      <c r="A786" s="10" t="s">
        <v>1909</v>
      </c>
      <c r="F786" t="s">
        <v>1358</v>
      </c>
      <c r="K786">
        <v>1</v>
      </c>
      <c r="L786" t="str">
        <f t="shared" si="48"/>
        <v/>
      </c>
      <c r="O786" t="s">
        <v>38</v>
      </c>
      <c r="T786" s="2">
        <f>'SUPUESTOS PRECIOS'!$B$9</f>
        <v>0</v>
      </c>
      <c r="U786" s="3">
        <f>'SUPUESTOS PRECIOS'!$B$5/'SUPUESTOS PRECIOS'!$B$4</f>
        <v>1000</v>
      </c>
      <c r="V786" s="3">
        <f>('SUPUESTOS PRECIOS'!$B$6-'SUPUESTOS PRECIOS'!$B$7)/'SUPUESTOS PRECIOS'!$B$4</f>
        <v>377.5</v>
      </c>
      <c r="W786" s="4">
        <f>'SUPUESTOS PRECIOS'!$B$8</f>
        <v>9.6799999999999994E-3</v>
      </c>
      <c r="X786" s="4">
        <f>'SUPUESTOS PRECIOS'!$B$2</f>
        <v>0.4</v>
      </c>
      <c r="Y786" s="3" t="str">
        <f t="shared" si="49"/>
        <v/>
      </c>
      <c r="Z786" s="3" t="str">
        <f t="shared" si="50"/>
        <v/>
      </c>
      <c r="AA786" s="11" t="str">
        <f t="shared" si="51"/>
        <v/>
      </c>
    </row>
    <row r="787" spans="1:27" x14ac:dyDescent="0.35">
      <c r="A787" s="10" t="s">
        <v>1910</v>
      </c>
      <c r="F787" t="s">
        <v>1358</v>
      </c>
      <c r="K787">
        <v>1</v>
      </c>
      <c r="L787" t="str">
        <f t="shared" si="48"/>
        <v/>
      </c>
      <c r="O787" t="s">
        <v>38</v>
      </c>
      <c r="T787" s="2">
        <f>'SUPUESTOS PRECIOS'!$B$9</f>
        <v>0</v>
      </c>
      <c r="U787" s="3">
        <f>'SUPUESTOS PRECIOS'!$B$5/'SUPUESTOS PRECIOS'!$B$4</f>
        <v>1000</v>
      </c>
      <c r="V787" s="3">
        <f>('SUPUESTOS PRECIOS'!$B$6-'SUPUESTOS PRECIOS'!$B$7)/'SUPUESTOS PRECIOS'!$B$4</f>
        <v>377.5</v>
      </c>
      <c r="W787" s="4">
        <f>'SUPUESTOS PRECIOS'!$B$8</f>
        <v>9.6799999999999994E-3</v>
      </c>
      <c r="X787" s="4">
        <f>'SUPUESTOS PRECIOS'!$B$2</f>
        <v>0.4</v>
      </c>
      <c r="Y787" s="3" t="str">
        <f t="shared" si="49"/>
        <v/>
      </c>
      <c r="Z787" s="3" t="str">
        <f t="shared" si="50"/>
        <v/>
      </c>
      <c r="AA787" s="11" t="str">
        <f t="shared" si="51"/>
        <v/>
      </c>
    </row>
    <row r="788" spans="1:27" x14ac:dyDescent="0.35">
      <c r="A788" s="10" t="s">
        <v>1911</v>
      </c>
      <c r="F788" t="s">
        <v>1358</v>
      </c>
      <c r="K788">
        <v>1</v>
      </c>
      <c r="L788" t="str">
        <f t="shared" si="48"/>
        <v/>
      </c>
      <c r="O788" t="s">
        <v>38</v>
      </c>
      <c r="T788" s="2">
        <f>'SUPUESTOS PRECIOS'!$B$9</f>
        <v>0</v>
      </c>
      <c r="U788" s="3">
        <f>'SUPUESTOS PRECIOS'!$B$5/'SUPUESTOS PRECIOS'!$B$4</f>
        <v>1000</v>
      </c>
      <c r="V788" s="3">
        <f>('SUPUESTOS PRECIOS'!$B$6-'SUPUESTOS PRECIOS'!$B$7)/'SUPUESTOS PRECIOS'!$B$4</f>
        <v>377.5</v>
      </c>
      <c r="W788" s="4">
        <f>'SUPUESTOS PRECIOS'!$B$8</f>
        <v>9.6799999999999994E-3</v>
      </c>
      <c r="X788" s="4">
        <f>'SUPUESTOS PRECIOS'!$B$2</f>
        <v>0.4</v>
      </c>
      <c r="Y788" s="3" t="str">
        <f t="shared" si="49"/>
        <v/>
      </c>
      <c r="Z788" s="3" t="str">
        <f t="shared" si="50"/>
        <v/>
      </c>
      <c r="AA788" s="11" t="str">
        <f t="shared" si="51"/>
        <v/>
      </c>
    </row>
    <row r="789" spans="1:27" x14ac:dyDescent="0.35">
      <c r="A789" s="10" t="s">
        <v>1912</v>
      </c>
      <c r="F789" t="s">
        <v>1358</v>
      </c>
      <c r="K789">
        <v>1</v>
      </c>
      <c r="L789" t="str">
        <f t="shared" si="48"/>
        <v/>
      </c>
      <c r="O789" t="s">
        <v>38</v>
      </c>
      <c r="T789" s="2">
        <f>'SUPUESTOS PRECIOS'!$B$9</f>
        <v>0</v>
      </c>
      <c r="U789" s="3">
        <f>'SUPUESTOS PRECIOS'!$B$5/'SUPUESTOS PRECIOS'!$B$4</f>
        <v>1000</v>
      </c>
      <c r="V789" s="3">
        <f>('SUPUESTOS PRECIOS'!$B$6-'SUPUESTOS PRECIOS'!$B$7)/'SUPUESTOS PRECIOS'!$B$4</f>
        <v>377.5</v>
      </c>
      <c r="W789" s="4">
        <f>'SUPUESTOS PRECIOS'!$B$8</f>
        <v>9.6799999999999994E-3</v>
      </c>
      <c r="X789" s="4">
        <f>'SUPUESTOS PRECIOS'!$B$2</f>
        <v>0.4</v>
      </c>
      <c r="Y789" s="3" t="str">
        <f t="shared" si="49"/>
        <v/>
      </c>
      <c r="Z789" s="3" t="str">
        <f t="shared" si="50"/>
        <v/>
      </c>
      <c r="AA789" s="11" t="str">
        <f t="shared" si="51"/>
        <v/>
      </c>
    </row>
    <row r="790" spans="1:27" x14ac:dyDescent="0.35">
      <c r="A790" s="10" t="s">
        <v>1913</v>
      </c>
      <c r="F790" t="s">
        <v>1358</v>
      </c>
      <c r="K790">
        <v>1</v>
      </c>
      <c r="L790" t="str">
        <f t="shared" si="48"/>
        <v/>
      </c>
      <c r="O790" t="s">
        <v>38</v>
      </c>
      <c r="T790" s="2">
        <f>'SUPUESTOS PRECIOS'!$B$9</f>
        <v>0</v>
      </c>
      <c r="U790" s="3">
        <f>'SUPUESTOS PRECIOS'!$B$5/'SUPUESTOS PRECIOS'!$B$4</f>
        <v>1000</v>
      </c>
      <c r="V790" s="3">
        <f>('SUPUESTOS PRECIOS'!$B$6-'SUPUESTOS PRECIOS'!$B$7)/'SUPUESTOS PRECIOS'!$B$4</f>
        <v>377.5</v>
      </c>
      <c r="W790" s="4">
        <f>'SUPUESTOS PRECIOS'!$B$8</f>
        <v>9.6799999999999994E-3</v>
      </c>
      <c r="X790" s="4">
        <f>'SUPUESTOS PRECIOS'!$B$2</f>
        <v>0.4</v>
      </c>
      <c r="Y790" s="3" t="str">
        <f t="shared" si="49"/>
        <v/>
      </c>
      <c r="Z790" s="3" t="str">
        <f t="shared" si="50"/>
        <v/>
      </c>
      <c r="AA790" s="11" t="str">
        <f t="shared" si="51"/>
        <v/>
      </c>
    </row>
    <row r="791" spans="1:27" x14ac:dyDescent="0.35">
      <c r="A791" s="10" t="s">
        <v>1914</v>
      </c>
      <c r="F791" t="s">
        <v>1358</v>
      </c>
      <c r="K791">
        <v>1</v>
      </c>
      <c r="L791" t="str">
        <f t="shared" si="48"/>
        <v/>
      </c>
      <c r="O791" t="s">
        <v>38</v>
      </c>
      <c r="T791" s="2">
        <f>'SUPUESTOS PRECIOS'!$B$9</f>
        <v>0</v>
      </c>
      <c r="U791" s="3">
        <f>'SUPUESTOS PRECIOS'!$B$5/'SUPUESTOS PRECIOS'!$B$4</f>
        <v>1000</v>
      </c>
      <c r="V791" s="3">
        <f>('SUPUESTOS PRECIOS'!$B$6-'SUPUESTOS PRECIOS'!$B$7)/'SUPUESTOS PRECIOS'!$B$4</f>
        <v>377.5</v>
      </c>
      <c r="W791" s="4">
        <f>'SUPUESTOS PRECIOS'!$B$8</f>
        <v>9.6799999999999994E-3</v>
      </c>
      <c r="X791" s="4">
        <f>'SUPUESTOS PRECIOS'!$B$2</f>
        <v>0.4</v>
      </c>
      <c r="Y791" s="3" t="str">
        <f t="shared" si="49"/>
        <v/>
      </c>
      <c r="Z791" s="3" t="str">
        <f t="shared" si="50"/>
        <v/>
      </c>
      <c r="AA791" s="11" t="str">
        <f t="shared" si="51"/>
        <v/>
      </c>
    </row>
    <row r="792" spans="1:27" x14ac:dyDescent="0.35">
      <c r="A792" s="10" t="s">
        <v>1915</v>
      </c>
      <c r="F792" t="s">
        <v>1358</v>
      </c>
      <c r="K792">
        <v>1</v>
      </c>
      <c r="L792" t="str">
        <f t="shared" si="48"/>
        <v/>
      </c>
      <c r="O792" t="s">
        <v>38</v>
      </c>
      <c r="T792" s="2">
        <f>'SUPUESTOS PRECIOS'!$B$9</f>
        <v>0</v>
      </c>
      <c r="U792" s="3">
        <f>'SUPUESTOS PRECIOS'!$B$5/'SUPUESTOS PRECIOS'!$B$4</f>
        <v>1000</v>
      </c>
      <c r="V792" s="3">
        <f>('SUPUESTOS PRECIOS'!$B$6-'SUPUESTOS PRECIOS'!$B$7)/'SUPUESTOS PRECIOS'!$B$4</f>
        <v>377.5</v>
      </c>
      <c r="W792" s="4">
        <f>'SUPUESTOS PRECIOS'!$B$8</f>
        <v>9.6799999999999994E-3</v>
      </c>
      <c r="X792" s="4">
        <f>'SUPUESTOS PRECIOS'!$B$2</f>
        <v>0.4</v>
      </c>
      <c r="Y792" s="3" t="str">
        <f t="shared" si="49"/>
        <v/>
      </c>
      <c r="Z792" s="3" t="str">
        <f t="shared" si="50"/>
        <v/>
      </c>
      <c r="AA792" s="11" t="str">
        <f t="shared" si="51"/>
        <v/>
      </c>
    </row>
    <row r="793" spans="1:27" x14ac:dyDescent="0.35">
      <c r="A793" s="10" t="s">
        <v>1916</v>
      </c>
      <c r="F793" t="s">
        <v>1358</v>
      </c>
      <c r="K793">
        <v>1</v>
      </c>
      <c r="L793" t="str">
        <f t="shared" si="48"/>
        <v/>
      </c>
      <c r="O793" t="s">
        <v>38</v>
      </c>
      <c r="T793" s="2">
        <f>'SUPUESTOS PRECIOS'!$B$9</f>
        <v>0</v>
      </c>
      <c r="U793" s="3">
        <f>'SUPUESTOS PRECIOS'!$B$5/'SUPUESTOS PRECIOS'!$B$4</f>
        <v>1000</v>
      </c>
      <c r="V793" s="3">
        <f>('SUPUESTOS PRECIOS'!$B$6-'SUPUESTOS PRECIOS'!$B$7)/'SUPUESTOS PRECIOS'!$B$4</f>
        <v>377.5</v>
      </c>
      <c r="W793" s="4">
        <f>'SUPUESTOS PRECIOS'!$B$8</f>
        <v>9.6799999999999994E-3</v>
      </c>
      <c r="X793" s="4">
        <f>'SUPUESTOS PRECIOS'!$B$2</f>
        <v>0.4</v>
      </c>
      <c r="Y793" s="3" t="str">
        <f t="shared" si="49"/>
        <v/>
      </c>
      <c r="Z793" s="3" t="str">
        <f t="shared" si="50"/>
        <v/>
      </c>
      <c r="AA793" s="11" t="str">
        <f t="shared" si="51"/>
        <v/>
      </c>
    </row>
    <row r="794" spans="1:27" x14ac:dyDescent="0.35">
      <c r="A794" s="10" t="s">
        <v>1917</v>
      </c>
      <c r="F794" t="s">
        <v>1358</v>
      </c>
      <c r="K794">
        <v>1</v>
      </c>
      <c r="L794" t="str">
        <f t="shared" si="48"/>
        <v/>
      </c>
      <c r="O794" t="s">
        <v>38</v>
      </c>
      <c r="T794" s="2">
        <f>'SUPUESTOS PRECIOS'!$B$9</f>
        <v>0</v>
      </c>
      <c r="U794" s="3">
        <f>'SUPUESTOS PRECIOS'!$B$5/'SUPUESTOS PRECIOS'!$B$4</f>
        <v>1000</v>
      </c>
      <c r="V794" s="3">
        <f>('SUPUESTOS PRECIOS'!$B$6-'SUPUESTOS PRECIOS'!$B$7)/'SUPUESTOS PRECIOS'!$B$4</f>
        <v>377.5</v>
      </c>
      <c r="W794" s="4">
        <f>'SUPUESTOS PRECIOS'!$B$8</f>
        <v>9.6799999999999994E-3</v>
      </c>
      <c r="X794" s="4">
        <f>'SUPUESTOS PRECIOS'!$B$2</f>
        <v>0.4</v>
      </c>
      <c r="Y794" s="3" t="str">
        <f t="shared" si="49"/>
        <v/>
      </c>
      <c r="Z794" s="3" t="str">
        <f t="shared" si="50"/>
        <v/>
      </c>
      <c r="AA794" s="11" t="str">
        <f t="shared" si="51"/>
        <v/>
      </c>
    </row>
    <row r="795" spans="1:27" x14ac:dyDescent="0.35">
      <c r="A795" s="10" t="s">
        <v>1918</v>
      </c>
      <c r="F795" t="s">
        <v>1358</v>
      </c>
      <c r="K795">
        <v>1</v>
      </c>
      <c r="L795" t="str">
        <f t="shared" si="48"/>
        <v/>
      </c>
      <c r="O795" t="s">
        <v>38</v>
      </c>
      <c r="T795" s="2">
        <f>'SUPUESTOS PRECIOS'!$B$9</f>
        <v>0</v>
      </c>
      <c r="U795" s="3">
        <f>'SUPUESTOS PRECIOS'!$B$5/'SUPUESTOS PRECIOS'!$B$4</f>
        <v>1000</v>
      </c>
      <c r="V795" s="3">
        <f>('SUPUESTOS PRECIOS'!$B$6-'SUPUESTOS PRECIOS'!$B$7)/'SUPUESTOS PRECIOS'!$B$4</f>
        <v>377.5</v>
      </c>
      <c r="W795" s="4">
        <f>'SUPUESTOS PRECIOS'!$B$8</f>
        <v>9.6799999999999994E-3</v>
      </c>
      <c r="X795" s="4">
        <f>'SUPUESTOS PRECIOS'!$B$2</f>
        <v>0.4</v>
      </c>
      <c r="Y795" s="3" t="str">
        <f t="shared" si="49"/>
        <v/>
      </c>
      <c r="Z795" s="3" t="str">
        <f t="shared" si="50"/>
        <v/>
      </c>
      <c r="AA795" s="11" t="str">
        <f t="shared" si="51"/>
        <v/>
      </c>
    </row>
    <row r="796" spans="1:27" x14ac:dyDescent="0.35">
      <c r="A796" s="10" t="s">
        <v>1919</v>
      </c>
      <c r="F796" t="s">
        <v>1358</v>
      </c>
      <c r="K796">
        <v>1</v>
      </c>
      <c r="L796" t="str">
        <f t="shared" si="48"/>
        <v/>
      </c>
      <c r="O796" t="s">
        <v>38</v>
      </c>
      <c r="T796" s="2">
        <f>'SUPUESTOS PRECIOS'!$B$9</f>
        <v>0</v>
      </c>
      <c r="U796" s="3">
        <f>'SUPUESTOS PRECIOS'!$B$5/'SUPUESTOS PRECIOS'!$B$4</f>
        <v>1000</v>
      </c>
      <c r="V796" s="3">
        <f>('SUPUESTOS PRECIOS'!$B$6-'SUPUESTOS PRECIOS'!$B$7)/'SUPUESTOS PRECIOS'!$B$4</f>
        <v>377.5</v>
      </c>
      <c r="W796" s="4">
        <f>'SUPUESTOS PRECIOS'!$B$8</f>
        <v>9.6799999999999994E-3</v>
      </c>
      <c r="X796" s="4">
        <f>'SUPUESTOS PRECIOS'!$B$2</f>
        <v>0.4</v>
      </c>
      <c r="Y796" s="3" t="str">
        <f t="shared" si="49"/>
        <v/>
      </c>
      <c r="Z796" s="3" t="str">
        <f t="shared" si="50"/>
        <v/>
      </c>
      <c r="AA796" s="11" t="str">
        <f t="shared" si="51"/>
        <v/>
      </c>
    </row>
    <row r="797" spans="1:27" x14ac:dyDescent="0.35">
      <c r="A797" s="10" t="s">
        <v>1920</v>
      </c>
      <c r="F797" t="s">
        <v>1358</v>
      </c>
      <c r="K797">
        <v>1</v>
      </c>
      <c r="L797" t="str">
        <f t="shared" si="48"/>
        <v/>
      </c>
      <c r="O797" t="s">
        <v>38</v>
      </c>
      <c r="T797" s="2">
        <f>'SUPUESTOS PRECIOS'!$B$9</f>
        <v>0</v>
      </c>
      <c r="U797" s="3">
        <f>'SUPUESTOS PRECIOS'!$B$5/'SUPUESTOS PRECIOS'!$B$4</f>
        <v>1000</v>
      </c>
      <c r="V797" s="3">
        <f>('SUPUESTOS PRECIOS'!$B$6-'SUPUESTOS PRECIOS'!$B$7)/'SUPUESTOS PRECIOS'!$B$4</f>
        <v>377.5</v>
      </c>
      <c r="W797" s="4">
        <f>'SUPUESTOS PRECIOS'!$B$8</f>
        <v>9.6799999999999994E-3</v>
      </c>
      <c r="X797" s="4">
        <f>'SUPUESTOS PRECIOS'!$B$2</f>
        <v>0.4</v>
      </c>
      <c r="Y797" s="3" t="str">
        <f t="shared" si="49"/>
        <v/>
      </c>
      <c r="Z797" s="3" t="str">
        <f t="shared" si="50"/>
        <v/>
      </c>
      <c r="AA797" s="11" t="str">
        <f t="shared" si="51"/>
        <v/>
      </c>
    </row>
    <row r="798" spans="1:27" x14ac:dyDescent="0.35">
      <c r="A798" s="10" t="s">
        <v>1921</v>
      </c>
      <c r="F798" t="s">
        <v>1358</v>
      </c>
      <c r="K798">
        <v>1</v>
      </c>
      <c r="L798" t="str">
        <f t="shared" si="48"/>
        <v/>
      </c>
      <c r="O798" t="s">
        <v>38</v>
      </c>
      <c r="T798" s="2">
        <f>'SUPUESTOS PRECIOS'!$B$9</f>
        <v>0</v>
      </c>
      <c r="U798" s="3">
        <f>'SUPUESTOS PRECIOS'!$B$5/'SUPUESTOS PRECIOS'!$B$4</f>
        <v>1000</v>
      </c>
      <c r="V798" s="3">
        <f>('SUPUESTOS PRECIOS'!$B$6-'SUPUESTOS PRECIOS'!$B$7)/'SUPUESTOS PRECIOS'!$B$4</f>
        <v>377.5</v>
      </c>
      <c r="W798" s="4">
        <f>'SUPUESTOS PRECIOS'!$B$8</f>
        <v>9.6799999999999994E-3</v>
      </c>
      <c r="X798" s="4">
        <f>'SUPUESTOS PRECIOS'!$B$2</f>
        <v>0.4</v>
      </c>
      <c r="Y798" s="3" t="str">
        <f t="shared" si="49"/>
        <v/>
      </c>
      <c r="Z798" s="3" t="str">
        <f t="shared" si="50"/>
        <v/>
      </c>
      <c r="AA798" s="11" t="str">
        <f t="shared" si="51"/>
        <v/>
      </c>
    </row>
    <row r="799" spans="1:27" x14ac:dyDescent="0.35">
      <c r="A799" s="10" t="s">
        <v>1922</v>
      </c>
      <c r="F799" t="s">
        <v>1358</v>
      </c>
      <c r="K799">
        <v>1</v>
      </c>
      <c r="L799" t="str">
        <f t="shared" si="48"/>
        <v/>
      </c>
      <c r="O799" t="s">
        <v>38</v>
      </c>
      <c r="T799" s="2">
        <f>'SUPUESTOS PRECIOS'!$B$9</f>
        <v>0</v>
      </c>
      <c r="U799" s="3">
        <f>'SUPUESTOS PRECIOS'!$B$5/'SUPUESTOS PRECIOS'!$B$4</f>
        <v>1000</v>
      </c>
      <c r="V799" s="3">
        <f>('SUPUESTOS PRECIOS'!$B$6-'SUPUESTOS PRECIOS'!$B$7)/'SUPUESTOS PRECIOS'!$B$4</f>
        <v>377.5</v>
      </c>
      <c r="W799" s="4">
        <f>'SUPUESTOS PRECIOS'!$B$8</f>
        <v>9.6799999999999994E-3</v>
      </c>
      <c r="X799" s="4">
        <f>'SUPUESTOS PRECIOS'!$B$2</f>
        <v>0.4</v>
      </c>
      <c r="Y799" s="3" t="str">
        <f t="shared" si="49"/>
        <v/>
      </c>
      <c r="Z799" s="3" t="str">
        <f t="shared" si="50"/>
        <v/>
      </c>
      <c r="AA799" s="11" t="str">
        <f t="shared" si="51"/>
        <v/>
      </c>
    </row>
    <row r="800" spans="1:27" x14ac:dyDescent="0.35">
      <c r="A800" s="10" t="s">
        <v>1923</v>
      </c>
      <c r="F800" t="s">
        <v>1358</v>
      </c>
      <c r="K800">
        <v>1</v>
      </c>
      <c r="L800" t="str">
        <f t="shared" si="48"/>
        <v/>
      </c>
      <c r="O800" t="s">
        <v>38</v>
      </c>
      <c r="T800" s="2">
        <f>'SUPUESTOS PRECIOS'!$B$9</f>
        <v>0</v>
      </c>
      <c r="U800" s="3">
        <f>'SUPUESTOS PRECIOS'!$B$5/'SUPUESTOS PRECIOS'!$B$4</f>
        <v>1000</v>
      </c>
      <c r="V800" s="3">
        <f>('SUPUESTOS PRECIOS'!$B$6-'SUPUESTOS PRECIOS'!$B$7)/'SUPUESTOS PRECIOS'!$B$4</f>
        <v>377.5</v>
      </c>
      <c r="W800" s="4">
        <f>'SUPUESTOS PRECIOS'!$B$8</f>
        <v>9.6799999999999994E-3</v>
      </c>
      <c r="X800" s="4">
        <f>'SUPUESTOS PRECIOS'!$B$2</f>
        <v>0.4</v>
      </c>
      <c r="Y800" s="3" t="str">
        <f t="shared" si="49"/>
        <v/>
      </c>
      <c r="Z800" s="3" t="str">
        <f t="shared" si="50"/>
        <v/>
      </c>
      <c r="AA800" s="11" t="str">
        <f t="shared" si="51"/>
        <v/>
      </c>
    </row>
    <row r="801" spans="1:27" x14ac:dyDescent="0.35">
      <c r="A801" s="10" t="s">
        <v>1924</v>
      </c>
      <c r="F801" t="s">
        <v>1358</v>
      </c>
      <c r="K801">
        <v>1</v>
      </c>
      <c r="L801" t="str">
        <f t="shared" si="48"/>
        <v/>
      </c>
      <c r="O801" t="s">
        <v>38</v>
      </c>
      <c r="T801" s="2">
        <f>'SUPUESTOS PRECIOS'!$B$9</f>
        <v>0</v>
      </c>
      <c r="U801" s="3">
        <f>'SUPUESTOS PRECIOS'!$B$5/'SUPUESTOS PRECIOS'!$B$4</f>
        <v>1000</v>
      </c>
      <c r="V801" s="3">
        <f>('SUPUESTOS PRECIOS'!$B$6-'SUPUESTOS PRECIOS'!$B$7)/'SUPUESTOS PRECIOS'!$B$4</f>
        <v>377.5</v>
      </c>
      <c r="W801" s="4">
        <f>'SUPUESTOS PRECIOS'!$B$8</f>
        <v>9.6799999999999994E-3</v>
      </c>
      <c r="X801" s="4">
        <f>'SUPUESTOS PRECIOS'!$B$2</f>
        <v>0.4</v>
      </c>
      <c r="Y801" s="3" t="str">
        <f t="shared" si="49"/>
        <v/>
      </c>
      <c r="Z801" s="3" t="str">
        <f t="shared" si="50"/>
        <v/>
      </c>
      <c r="AA801" s="11" t="str">
        <f t="shared" si="51"/>
        <v/>
      </c>
    </row>
    <row r="802" spans="1:27" x14ac:dyDescent="0.35">
      <c r="A802" s="10" t="s">
        <v>1925</v>
      </c>
      <c r="F802" t="s">
        <v>1358</v>
      </c>
      <c r="K802">
        <v>1</v>
      </c>
      <c r="L802" t="str">
        <f t="shared" si="48"/>
        <v/>
      </c>
      <c r="O802" t="s">
        <v>38</v>
      </c>
      <c r="T802" s="2">
        <f>'SUPUESTOS PRECIOS'!$B$9</f>
        <v>0</v>
      </c>
      <c r="U802" s="3">
        <f>'SUPUESTOS PRECIOS'!$B$5/'SUPUESTOS PRECIOS'!$B$4</f>
        <v>1000</v>
      </c>
      <c r="V802" s="3">
        <f>('SUPUESTOS PRECIOS'!$B$6-'SUPUESTOS PRECIOS'!$B$7)/'SUPUESTOS PRECIOS'!$B$4</f>
        <v>377.5</v>
      </c>
      <c r="W802" s="4">
        <f>'SUPUESTOS PRECIOS'!$B$8</f>
        <v>9.6799999999999994E-3</v>
      </c>
      <c r="X802" s="4">
        <f>'SUPUESTOS PRECIOS'!$B$2</f>
        <v>0.4</v>
      </c>
      <c r="Y802" s="3" t="str">
        <f t="shared" si="49"/>
        <v/>
      </c>
      <c r="Z802" s="3" t="str">
        <f t="shared" si="50"/>
        <v/>
      </c>
      <c r="AA802" s="11" t="str">
        <f t="shared" si="51"/>
        <v/>
      </c>
    </row>
    <row r="803" spans="1:27" x14ac:dyDescent="0.35">
      <c r="A803" s="10" t="s">
        <v>1926</v>
      </c>
      <c r="F803" t="s">
        <v>1358</v>
      </c>
      <c r="K803">
        <v>1</v>
      </c>
      <c r="L803" t="str">
        <f t="shared" si="48"/>
        <v/>
      </c>
      <c r="O803" t="s">
        <v>38</v>
      </c>
      <c r="T803" s="2">
        <f>'SUPUESTOS PRECIOS'!$B$9</f>
        <v>0</v>
      </c>
      <c r="U803" s="3">
        <f>'SUPUESTOS PRECIOS'!$B$5/'SUPUESTOS PRECIOS'!$B$4</f>
        <v>1000</v>
      </c>
      <c r="V803" s="3">
        <f>('SUPUESTOS PRECIOS'!$B$6-'SUPUESTOS PRECIOS'!$B$7)/'SUPUESTOS PRECIOS'!$B$4</f>
        <v>377.5</v>
      </c>
      <c r="W803" s="4">
        <f>'SUPUESTOS PRECIOS'!$B$8</f>
        <v>9.6799999999999994E-3</v>
      </c>
      <c r="X803" s="4">
        <f>'SUPUESTOS PRECIOS'!$B$2</f>
        <v>0.4</v>
      </c>
      <c r="Y803" s="3" t="str">
        <f t="shared" si="49"/>
        <v/>
      </c>
      <c r="Z803" s="3" t="str">
        <f t="shared" si="50"/>
        <v/>
      </c>
      <c r="AA803" s="11" t="str">
        <f t="shared" si="51"/>
        <v/>
      </c>
    </row>
    <row r="804" spans="1:27" x14ac:dyDescent="0.35">
      <c r="A804" s="10" t="s">
        <v>1927</v>
      </c>
      <c r="F804" t="s">
        <v>1358</v>
      </c>
      <c r="K804">
        <v>1</v>
      </c>
      <c r="L804" t="str">
        <f t="shared" si="48"/>
        <v/>
      </c>
      <c r="O804" t="s">
        <v>38</v>
      </c>
      <c r="T804" s="2">
        <f>'SUPUESTOS PRECIOS'!$B$9</f>
        <v>0</v>
      </c>
      <c r="U804" s="3">
        <f>'SUPUESTOS PRECIOS'!$B$5/'SUPUESTOS PRECIOS'!$B$4</f>
        <v>1000</v>
      </c>
      <c r="V804" s="3">
        <f>('SUPUESTOS PRECIOS'!$B$6-'SUPUESTOS PRECIOS'!$B$7)/'SUPUESTOS PRECIOS'!$B$4</f>
        <v>377.5</v>
      </c>
      <c r="W804" s="4">
        <f>'SUPUESTOS PRECIOS'!$B$8</f>
        <v>9.6799999999999994E-3</v>
      </c>
      <c r="X804" s="4">
        <f>'SUPUESTOS PRECIOS'!$B$2</f>
        <v>0.4</v>
      </c>
      <c r="Y804" s="3" t="str">
        <f t="shared" si="49"/>
        <v/>
      </c>
      <c r="Z804" s="3" t="str">
        <f t="shared" si="50"/>
        <v/>
      </c>
      <c r="AA804" s="11" t="str">
        <f t="shared" si="51"/>
        <v/>
      </c>
    </row>
    <row r="805" spans="1:27" x14ac:dyDescent="0.35">
      <c r="A805" s="10" t="s">
        <v>1928</v>
      </c>
      <c r="F805" t="s">
        <v>1358</v>
      </c>
      <c r="K805">
        <v>1</v>
      </c>
      <c r="L805" t="str">
        <f t="shared" si="48"/>
        <v/>
      </c>
      <c r="O805" t="s">
        <v>38</v>
      </c>
      <c r="T805" s="2">
        <f>'SUPUESTOS PRECIOS'!$B$9</f>
        <v>0</v>
      </c>
      <c r="U805" s="3">
        <f>'SUPUESTOS PRECIOS'!$B$5/'SUPUESTOS PRECIOS'!$B$4</f>
        <v>1000</v>
      </c>
      <c r="V805" s="3">
        <f>('SUPUESTOS PRECIOS'!$B$6-'SUPUESTOS PRECIOS'!$B$7)/'SUPUESTOS PRECIOS'!$B$4</f>
        <v>377.5</v>
      </c>
      <c r="W805" s="4">
        <f>'SUPUESTOS PRECIOS'!$B$8</f>
        <v>9.6799999999999994E-3</v>
      </c>
      <c r="X805" s="4">
        <f>'SUPUESTOS PRECIOS'!$B$2</f>
        <v>0.4</v>
      </c>
      <c r="Y805" s="3" t="str">
        <f t="shared" si="49"/>
        <v/>
      </c>
      <c r="Z805" s="3" t="str">
        <f t="shared" si="50"/>
        <v/>
      </c>
      <c r="AA805" s="11" t="str">
        <f t="shared" si="51"/>
        <v/>
      </c>
    </row>
    <row r="806" spans="1:27" x14ac:dyDescent="0.35">
      <c r="A806" s="10" t="s">
        <v>1929</v>
      </c>
      <c r="F806" t="s">
        <v>1358</v>
      </c>
      <c r="K806">
        <v>1</v>
      </c>
      <c r="L806" t="str">
        <f t="shared" si="48"/>
        <v/>
      </c>
      <c r="O806" t="s">
        <v>38</v>
      </c>
      <c r="T806" s="2">
        <f>'SUPUESTOS PRECIOS'!$B$9</f>
        <v>0</v>
      </c>
      <c r="U806" s="3">
        <f>'SUPUESTOS PRECIOS'!$B$5/'SUPUESTOS PRECIOS'!$B$4</f>
        <v>1000</v>
      </c>
      <c r="V806" s="3">
        <f>('SUPUESTOS PRECIOS'!$B$6-'SUPUESTOS PRECIOS'!$B$7)/'SUPUESTOS PRECIOS'!$B$4</f>
        <v>377.5</v>
      </c>
      <c r="W806" s="4">
        <f>'SUPUESTOS PRECIOS'!$B$8</f>
        <v>9.6799999999999994E-3</v>
      </c>
      <c r="X806" s="4">
        <f>'SUPUESTOS PRECIOS'!$B$2</f>
        <v>0.4</v>
      </c>
      <c r="Y806" s="3" t="str">
        <f t="shared" si="49"/>
        <v/>
      </c>
      <c r="Z806" s="3" t="str">
        <f t="shared" si="50"/>
        <v/>
      </c>
      <c r="AA806" s="11" t="str">
        <f t="shared" si="51"/>
        <v/>
      </c>
    </row>
    <row r="807" spans="1:27" x14ac:dyDescent="0.35">
      <c r="A807" s="10" t="s">
        <v>1930</v>
      </c>
      <c r="F807" t="s">
        <v>1358</v>
      </c>
      <c r="K807">
        <v>1</v>
      </c>
      <c r="L807" t="str">
        <f t="shared" si="48"/>
        <v/>
      </c>
      <c r="O807" t="s">
        <v>38</v>
      </c>
      <c r="T807" s="2">
        <f>'SUPUESTOS PRECIOS'!$B$9</f>
        <v>0</v>
      </c>
      <c r="U807" s="3">
        <f>'SUPUESTOS PRECIOS'!$B$5/'SUPUESTOS PRECIOS'!$B$4</f>
        <v>1000</v>
      </c>
      <c r="V807" s="3">
        <f>('SUPUESTOS PRECIOS'!$B$6-'SUPUESTOS PRECIOS'!$B$7)/'SUPUESTOS PRECIOS'!$B$4</f>
        <v>377.5</v>
      </c>
      <c r="W807" s="4">
        <f>'SUPUESTOS PRECIOS'!$B$8</f>
        <v>9.6799999999999994E-3</v>
      </c>
      <c r="X807" s="4">
        <f>'SUPUESTOS PRECIOS'!$B$2</f>
        <v>0.4</v>
      </c>
      <c r="Y807" s="3" t="str">
        <f t="shared" si="49"/>
        <v/>
      </c>
      <c r="Z807" s="3" t="str">
        <f t="shared" si="50"/>
        <v/>
      </c>
      <c r="AA807" s="11" t="str">
        <f t="shared" si="51"/>
        <v/>
      </c>
    </row>
    <row r="808" spans="1:27" x14ac:dyDescent="0.35">
      <c r="A808" s="10" t="s">
        <v>1931</v>
      </c>
      <c r="F808" t="s">
        <v>1358</v>
      </c>
      <c r="K808">
        <v>1</v>
      </c>
      <c r="L808" t="str">
        <f t="shared" si="48"/>
        <v/>
      </c>
      <c r="O808" t="s">
        <v>38</v>
      </c>
      <c r="T808" s="2">
        <f>'SUPUESTOS PRECIOS'!$B$9</f>
        <v>0</v>
      </c>
      <c r="U808" s="3">
        <f>'SUPUESTOS PRECIOS'!$B$5/'SUPUESTOS PRECIOS'!$B$4</f>
        <v>1000</v>
      </c>
      <c r="V808" s="3">
        <f>('SUPUESTOS PRECIOS'!$B$6-'SUPUESTOS PRECIOS'!$B$7)/'SUPUESTOS PRECIOS'!$B$4</f>
        <v>377.5</v>
      </c>
      <c r="W808" s="4">
        <f>'SUPUESTOS PRECIOS'!$B$8</f>
        <v>9.6799999999999994E-3</v>
      </c>
      <c r="X808" s="4">
        <f>'SUPUESTOS PRECIOS'!$B$2</f>
        <v>0.4</v>
      </c>
      <c r="Y808" s="3" t="str">
        <f t="shared" si="49"/>
        <v/>
      </c>
      <c r="Z808" s="3" t="str">
        <f t="shared" si="50"/>
        <v/>
      </c>
      <c r="AA808" s="11" t="str">
        <f t="shared" si="51"/>
        <v/>
      </c>
    </row>
    <row r="809" spans="1:27" x14ac:dyDescent="0.35">
      <c r="A809" s="10" t="s">
        <v>1932</v>
      </c>
      <c r="F809" t="s">
        <v>1358</v>
      </c>
      <c r="K809">
        <v>1</v>
      </c>
      <c r="L809" t="str">
        <f t="shared" si="48"/>
        <v/>
      </c>
      <c r="O809" t="s">
        <v>38</v>
      </c>
      <c r="T809" s="2">
        <f>'SUPUESTOS PRECIOS'!$B$9</f>
        <v>0</v>
      </c>
      <c r="U809" s="3">
        <f>'SUPUESTOS PRECIOS'!$B$5/'SUPUESTOS PRECIOS'!$B$4</f>
        <v>1000</v>
      </c>
      <c r="V809" s="3">
        <f>('SUPUESTOS PRECIOS'!$B$6-'SUPUESTOS PRECIOS'!$B$7)/'SUPUESTOS PRECIOS'!$B$4</f>
        <v>377.5</v>
      </c>
      <c r="W809" s="4">
        <f>'SUPUESTOS PRECIOS'!$B$8</f>
        <v>9.6799999999999994E-3</v>
      </c>
      <c r="X809" s="4">
        <f>'SUPUESTOS PRECIOS'!$B$2</f>
        <v>0.4</v>
      </c>
      <c r="Y809" s="3" t="str">
        <f t="shared" si="49"/>
        <v/>
      </c>
      <c r="Z809" s="3" t="str">
        <f t="shared" si="50"/>
        <v/>
      </c>
      <c r="AA809" s="11" t="str">
        <f t="shared" si="51"/>
        <v/>
      </c>
    </row>
    <row r="810" spans="1:27" x14ac:dyDescent="0.35">
      <c r="A810" s="10" t="s">
        <v>1933</v>
      </c>
      <c r="F810" t="s">
        <v>1358</v>
      </c>
      <c r="K810">
        <v>1</v>
      </c>
      <c r="L810" t="str">
        <f t="shared" si="48"/>
        <v/>
      </c>
      <c r="O810" t="s">
        <v>38</v>
      </c>
      <c r="T810" s="2">
        <f>'SUPUESTOS PRECIOS'!$B$9</f>
        <v>0</v>
      </c>
      <c r="U810" s="3">
        <f>'SUPUESTOS PRECIOS'!$B$5/'SUPUESTOS PRECIOS'!$B$4</f>
        <v>1000</v>
      </c>
      <c r="V810" s="3">
        <f>('SUPUESTOS PRECIOS'!$B$6-'SUPUESTOS PRECIOS'!$B$7)/'SUPUESTOS PRECIOS'!$B$4</f>
        <v>377.5</v>
      </c>
      <c r="W810" s="4">
        <f>'SUPUESTOS PRECIOS'!$B$8</f>
        <v>9.6799999999999994E-3</v>
      </c>
      <c r="X810" s="4">
        <f>'SUPUESTOS PRECIOS'!$B$2</f>
        <v>0.4</v>
      </c>
      <c r="Y810" s="3" t="str">
        <f t="shared" si="49"/>
        <v/>
      </c>
      <c r="Z810" s="3" t="str">
        <f t="shared" si="50"/>
        <v/>
      </c>
      <c r="AA810" s="11" t="str">
        <f t="shared" si="51"/>
        <v/>
      </c>
    </row>
    <row r="811" spans="1:27" x14ac:dyDescent="0.35">
      <c r="A811" s="10" t="s">
        <v>1934</v>
      </c>
      <c r="F811" t="s">
        <v>1358</v>
      </c>
      <c r="K811">
        <v>1</v>
      </c>
      <c r="L811" t="str">
        <f t="shared" si="48"/>
        <v/>
      </c>
      <c r="O811" t="s">
        <v>38</v>
      </c>
      <c r="T811" s="2">
        <f>'SUPUESTOS PRECIOS'!$B$9</f>
        <v>0</v>
      </c>
      <c r="U811" s="3">
        <f>'SUPUESTOS PRECIOS'!$B$5/'SUPUESTOS PRECIOS'!$B$4</f>
        <v>1000</v>
      </c>
      <c r="V811" s="3">
        <f>('SUPUESTOS PRECIOS'!$B$6-'SUPUESTOS PRECIOS'!$B$7)/'SUPUESTOS PRECIOS'!$B$4</f>
        <v>377.5</v>
      </c>
      <c r="W811" s="4">
        <f>'SUPUESTOS PRECIOS'!$B$8</f>
        <v>9.6799999999999994E-3</v>
      </c>
      <c r="X811" s="4">
        <f>'SUPUESTOS PRECIOS'!$B$2</f>
        <v>0.4</v>
      </c>
      <c r="Y811" s="3" t="str">
        <f t="shared" si="49"/>
        <v/>
      </c>
      <c r="Z811" s="3" t="str">
        <f t="shared" si="50"/>
        <v/>
      </c>
      <c r="AA811" s="11" t="str">
        <f t="shared" si="51"/>
        <v/>
      </c>
    </row>
    <row r="812" spans="1:27" x14ac:dyDescent="0.35">
      <c r="A812" s="10" t="s">
        <v>1935</v>
      </c>
      <c r="F812" t="s">
        <v>1358</v>
      </c>
      <c r="K812">
        <v>1</v>
      </c>
      <c r="L812" t="str">
        <f t="shared" si="48"/>
        <v/>
      </c>
      <c r="O812" t="s">
        <v>38</v>
      </c>
      <c r="T812" s="2">
        <f>'SUPUESTOS PRECIOS'!$B$9</f>
        <v>0</v>
      </c>
      <c r="U812" s="3">
        <f>'SUPUESTOS PRECIOS'!$B$5/'SUPUESTOS PRECIOS'!$B$4</f>
        <v>1000</v>
      </c>
      <c r="V812" s="3">
        <f>('SUPUESTOS PRECIOS'!$B$6-'SUPUESTOS PRECIOS'!$B$7)/'SUPUESTOS PRECIOS'!$B$4</f>
        <v>377.5</v>
      </c>
      <c r="W812" s="4">
        <f>'SUPUESTOS PRECIOS'!$B$8</f>
        <v>9.6799999999999994E-3</v>
      </c>
      <c r="X812" s="4">
        <f>'SUPUESTOS PRECIOS'!$B$2</f>
        <v>0.4</v>
      </c>
      <c r="Y812" s="3" t="str">
        <f t="shared" si="49"/>
        <v/>
      </c>
      <c r="Z812" s="3" t="str">
        <f t="shared" si="50"/>
        <v/>
      </c>
      <c r="AA812" s="11" t="str">
        <f t="shared" si="51"/>
        <v/>
      </c>
    </row>
    <row r="813" spans="1:27" x14ac:dyDescent="0.35">
      <c r="A813" s="10" t="s">
        <v>1936</v>
      </c>
      <c r="F813" t="s">
        <v>1358</v>
      </c>
      <c r="K813">
        <v>1</v>
      </c>
      <c r="L813" t="str">
        <f t="shared" si="48"/>
        <v/>
      </c>
      <c r="O813" t="s">
        <v>38</v>
      </c>
      <c r="T813" s="2">
        <f>'SUPUESTOS PRECIOS'!$B$9</f>
        <v>0</v>
      </c>
      <c r="U813" s="3">
        <f>'SUPUESTOS PRECIOS'!$B$5/'SUPUESTOS PRECIOS'!$B$4</f>
        <v>1000</v>
      </c>
      <c r="V813" s="3">
        <f>('SUPUESTOS PRECIOS'!$B$6-'SUPUESTOS PRECIOS'!$B$7)/'SUPUESTOS PRECIOS'!$B$4</f>
        <v>377.5</v>
      </c>
      <c r="W813" s="4">
        <f>'SUPUESTOS PRECIOS'!$B$8</f>
        <v>9.6799999999999994E-3</v>
      </c>
      <c r="X813" s="4">
        <f>'SUPUESTOS PRECIOS'!$B$2</f>
        <v>0.4</v>
      </c>
      <c r="Y813" s="3" t="str">
        <f t="shared" si="49"/>
        <v/>
      </c>
      <c r="Z813" s="3" t="str">
        <f t="shared" si="50"/>
        <v/>
      </c>
      <c r="AA813" s="11" t="str">
        <f t="shared" si="51"/>
        <v/>
      </c>
    </row>
    <row r="814" spans="1:27" x14ac:dyDescent="0.35">
      <c r="A814" s="10" t="s">
        <v>1937</v>
      </c>
      <c r="F814" t="s">
        <v>1358</v>
      </c>
      <c r="K814">
        <v>1</v>
      </c>
      <c r="L814" t="str">
        <f t="shared" si="48"/>
        <v/>
      </c>
      <c r="O814" t="s">
        <v>38</v>
      </c>
      <c r="T814" s="2">
        <f>'SUPUESTOS PRECIOS'!$B$9</f>
        <v>0</v>
      </c>
      <c r="U814" s="3">
        <f>'SUPUESTOS PRECIOS'!$B$5/'SUPUESTOS PRECIOS'!$B$4</f>
        <v>1000</v>
      </c>
      <c r="V814" s="3">
        <f>('SUPUESTOS PRECIOS'!$B$6-'SUPUESTOS PRECIOS'!$B$7)/'SUPUESTOS PRECIOS'!$B$4</f>
        <v>377.5</v>
      </c>
      <c r="W814" s="4">
        <f>'SUPUESTOS PRECIOS'!$B$8</f>
        <v>9.6799999999999994E-3</v>
      </c>
      <c r="X814" s="4">
        <f>'SUPUESTOS PRECIOS'!$B$2</f>
        <v>0.4</v>
      </c>
      <c r="Y814" s="3" t="str">
        <f t="shared" si="49"/>
        <v/>
      </c>
      <c r="Z814" s="3" t="str">
        <f t="shared" si="50"/>
        <v/>
      </c>
      <c r="AA814" s="11" t="str">
        <f t="shared" si="51"/>
        <v/>
      </c>
    </row>
    <row r="815" spans="1:27" x14ac:dyDescent="0.35">
      <c r="A815" s="10" t="s">
        <v>1938</v>
      </c>
      <c r="F815" t="s">
        <v>1358</v>
      </c>
      <c r="K815">
        <v>1</v>
      </c>
      <c r="L815" t="str">
        <f t="shared" si="48"/>
        <v/>
      </c>
      <c r="O815" t="s">
        <v>38</v>
      </c>
      <c r="T815" s="2">
        <f>'SUPUESTOS PRECIOS'!$B$9</f>
        <v>0</v>
      </c>
      <c r="U815" s="3">
        <f>'SUPUESTOS PRECIOS'!$B$5/'SUPUESTOS PRECIOS'!$B$4</f>
        <v>1000</v>
      </c>
      <c r="V815" s="3">
        <f>('SUPUESTOS PRECIOS'!$B$6-'SUPUESTOS PRECIOS'!$B$7)/'SUPUESTOS PRECIOS'!$B$4</f>
        <v>377.5</v>
      </c>
      <c r="W815" s="4">
        <f>'SUPUESTOS PRECIOS'!$B$8</f>
        <v>9.6799999999999994E-3</v>
      </c>
      <c r="X815" s="4">
        <f>'SUPUESTOS PRECIOS'!$B$2</f>
        <v>0.4</v>
      </c>
      <c r="Y815" s="3" t="str">
        <f t="shared" si="49"/>
        <v/>
      </c>
      <c r="Z815" s="3" t="str">
        <f t="shared" si="50"/>
        <v/>
      </c>
      <c r="AA815" s="11" t="str">
        <f t="shared" si="51"/>
        <v/>
      </c>
    </row>
    <row r="816" spans="1:27" x14ac:dyDescent="0.35">
      <c r="A816" s="10" t="s">
        <v>1939</v>
      </c>
      <c r="F816" t="s">
        <v>1358</v>
      </c>
      <c r="K816">
        <v>1</v>
      </c>
      <c r="L816" t="str">
        <f t="shared" si="48"/>
        <v/>
      </c>
      <c r="O816" t="s">
        <v>38</v>
      </c>
      <c r="T816" s="2">
        <f>'SUPUESTOS PRECIOS'!$B$9</f>
        <v>0</v>
      </c>
      <c r="U816" s="3">
        <f>'SUPUESTOS PRECIOS'!$B$5/'SUPUESTOS PRECIOS'!$B$4</f>
        <v>1000</v>
      </c>
      <c r="V816" s="3">
        <f>('SUPUESTOS PRECIOS'!$B$6-'SUPUESTOS PRECIOS'!$B$7)/'SUPUESTOS PRECIOS'!$B$4</f>
        <v>377.5</v>
      </c>
      <c r="W816" s="4">
        <f>'SUPUESTOS PRECIOS'!$B$8</f>
        <v>9.6799999999999994E-3</v>
      </c>
      <c r="X816" s="4">
        <f>'SUPUESTOS PRECIOS'!$B$2</f>
        <v>0.4</v>
      </c>
      <c r="Y816" s="3" t="str">
        <f t="shared" si="49"/>
        <v/>
      </c>
      <c r="Z816" s="3" t="str">
        <f t="shared" si="50"/>
        <v/>
      </c>
      <c r="AA816" s="11" t="str">
        <f t="shared" si="51"/>
        <v/>
      </c>
    </row>
    <row r="817" spans="1:27" x14ac:dyDescent="0.35">
      <c r="A817" s="10" t="s">
        <v>1940</v>
      </c>
      <c r="F817" t="s">
        <v>1358</v>
      </c>
      <c r="K817">
        <v>1</v>
      </c>
      <c r="L817" t="str">
        <f t="shared" si="48"/>
        <v/>
      </c>
      <c r="O817" t="s">
        <v>38</v>
      </c>
      <c r="T817" s="2">
        <f>'SUPUESTOS PRECIOS'!$B$9</f>
        <v>0</v>
      </c>
      <c r="U817" s="3">
        <f>'SUPUESTOS PRECIOS'!$B$5/'SUPUESTOS PRECIOS'!$B$4</f>
        <v>1000</v>
      </c>
      <c r="V817" s="3">
        <f>('SUPUESTOS PRECIOS'!$B$6-'SUPUESTOS PRECIOS'!$B$7)/'SUPUESTOS PRECIOS'!$B$4</f>
        <v>377.5</v>
      </c>
      <c r="W817" s="4">
        <f>'SUPUESTOS PRECIOS'!$B$8</f>
        <v>9.6799999999999994E-3</v>
      </c>
      <c r="X817" s="4">
        <f>'SUPUESTOS PRECIOS'!$B$2</f>
        <v>0.4</v>
      </c>
      <c r="Y817" s="3" t="str">
        <f t="shared" si="49"/>
        <v/>
      </c>
      <c r="Z817" s="3" t="str">
        <f t="shared" si="50"/>
        <v/>
      </c>
      <c r="AA817" s="11" t="str">
        <f t="shared" si="51"/>
        <v/>
      </c>
    </row>
    <row r="818" spans="1:27" x14ac:dyDescent="0.35">
      <c r="A818" s="10" t="s">
        <v>1941</v>
      </c>
      <c r="F818" t="s">
        <v>1358</v>
      </c>
      <c r="K818">
        <v>1</v>
      </c>
      <c r="L818" t="str">
        <f t="shared" si="48"/>
        <v/>
      </c>
      <c r="O818" t="s">
        <v>38</v>
      </c>
      <c r="T818" s="2">
        <f>'SUPUESTOS PRECIOS'!$B$9</f>
        <v>0</v>
      </c>
      <c r="U818" s="3">
        <f>'SUPUESTOS PRECIOS'!$B$5/'SUPUESTOS PRECIOS'!$B$4</f>
        <v>1000</v>
      </c>
      <c r="V818" s="3">
        <f>('SUPUESTOS PRECIOS'!$B$6-'SUPUESTOS PRECIOS'!$B$7)/'SUPUESTOS PRECIOS'!$B$4</f>
        <v>377.5</v>
      </c>
      <c r="W818" s="4">
        <f>'SUPUESTOS PRECIOS'!$B$8</f>
        <v>9.6799999999999994E-3</v>
      </c>
      <c r="X818" s="4">
        <f>'SUPUESTOS PRECIOS'!$B$2</f>
        <v>0.4</v>
      </c>
      <c r="Y818" s="3" t="str">
        <f t="shared" si="49"/>
        <v/>
      </c>
      <c r="Z818" s="3" t="str">
        <f t="shared" si="50"/>
        <v/>
      </c>
      <c r="AA818" s="11" t="str">
        <f t="shared" si="51"/>
        <v/>
      </c>
    </row>
    <row r="819" spans="1:27" x14ac:dyDescent="0.35">
      <c r="A819" s="10" t="s">
        <v>1942</v>
      </c>
      <c r="F819" t="s">
        <v>1358</v>
      </c>
      <c r="K819">
        <v>1</v>
      </c>
      <c r="L819" t="str">
        <f t="shared" si="48"/>
        <v/>
      </c>
      <c r="O819" t="s">
        <v>38</v>
      </c>
      <c r="T819" s="2">
        <f>'SUPUESTOS PRECIOS'!$B$9</f>
        <v>0</v>
      </c>
      <c r="U819" s="3">
        <f>'SUPUESTOS PRECIOS'!$B$5/'SUPUESTOS PRECIOS'!$B$4</f>
        <v>1000</v>
      </c>
      <c r="V819" s="3">
        <f>('SUPUESTOS PRECIOS'!$B$6-'SUPUESTOS PRECIOS'!$B$7)/'SUPUESTOS PRECIOS'!$B$4</f>
        <v>377.5</v>
      </c>
      <c r="W819" s="4">
        <f>'SUPUESTOS PRECIOS'!$B$8</f>
        <v>9.6799999999999994E-3</v>
      </c>
      <c r="X819" s="4">
        <f>'SUPUESTOS PRECIOS'!$B$2</f>
        <v>0.4</v>
      </c>
      <c r="Y819" s="3" t="str">
        <f t="shared" si="49"/>
        <v/>
      </c>
      <c r="Z819" s="3" t="str">
        <f t="shared" si="50"/>
        <v/>
      </c>
      <c r="AA819" s="11" t="str">
        <f t="shared" si="51"/>
        <v/>
      </c>
    </row>
    <row r="820" spans="1:27" x14ac:dyDescent="0.35">
      <c r="A820" s="10" t="s">
        <v>1943</v>
      </c>
      <c r="F820" t="s">
        <v>1358</v>
      </c>
      <c r="K820">
        <v>1</v>
      </c>
      <c r="L820" t="str">
        <f t="shared" si="48"/>
        <v/>
      </c>
      <c r="O820" t="s">
        <v>38</v>
      </c>
      <c r="T820" s="2">
        <f>'SUPUESTOS PRECIOS'!$B$9</f>
        <v>0</v>
      </c>
      <c r="U820" s="3">
        <f>'SUPUESTOS PRECIOS'!$B$5/'SUPUESTOS PRECIOS'!$B$4</f>
        <v>1000</v>
      </c>
      <c r="V820" s="3">
        <f>('SUPUESTOS PRECIOS'!$B$6-'SUPUESTOS PRECIOS'!$B$7)/'SUPUESTOS PRECIOS'!$B$4</f>
        <v>377.5</v>
      </c>
      <c r="W820" s="4">
        <f>'SUPUESTOS PRECIOS'!$B$8</f>
        <v>9.6799999999999994E-3</v>
      </c>
      <c r="X820" s="4">
        <f>'SUPUESTOS PRECIOS'!$B$2</f>
        <v>0.4</v>
      </c>
      <c r="Y820" s="3" t="str">
        <f t="shared" si="49"/>
        <v/>
      </c>
      <c r="Z820" s="3" t="str">
        <f t="shared" si="50"/>
        <v/>
      </c>
      <c r="AA820" s="11" t="str">
        <f t="shared" si="51"/>
        <v/>
      </c>
    </row>
    <row r="821" spans="1:27" x14ac:dyDescent="0.35">
      <c r="A821" s="10" t="s">
        <v>1944</v>
      </c>
      <c r="F821" t="s">
        <v>1358</v>
      </c>
      <c r="K821">
        <v>1</v>
      </c>
      <c r="L821" t="str">
        <f t="shared" si="48"/>
        <v/>
      </c>
      <c r="O821" t="s">
        <v>38</v>
      </c>
      <c r="T821" s="2">
        <f>'SUPUESTOS PRECIOS'!$B$9</f>
        <v>0</v>
      </c>
      <c r="U821" s="3">
        <f>'SUPUESTOS PRECIOS'!$B$5/'SUPUESTOS PRECIOS'!$B$4</f>
        <v>1000</v>
      </c>
      <c r="V821" s="3">
        <f>('SUPUESTOS PRECIOS'!$B$6-'SUPUESTOS PRECIOS'!$B$7)/'SUPUESTOS PRECIOS'!$B$4</f>
        <v>377.5</v>
      </c>
      <c r="W821" s="4">
        <f>'SUPUESTOS PRECIOS'!$B$8</f>
        <v>9.6799999999999994E-3</v>
      </c>
      <c r="X821" s="4">
        <f>'SUPUESTOS PRECIOS'!$B$2</f>
        <v>0.4</v>
      </c>
      <c r="Y821" s="3" t="str">
        <f t="shared" si="49"/>
        <v/>
      </c>
      <c r="Z821" s="3" t="str">
        <f t="shared" si="50"/>
        <v/>
      </c>
      <c r="AA821" s="11" t="str">
        <f t="shared" si="51"/>
        <v/>
      </c>
    </row>
    <row r="822" spans="1:27" x14ac:dyDescent="0.35">
      <c r="A822" s="10" t="s">
        <v>1945</v>
      </c>
      <c r="F822" t="s">
        <v>1358</v>
      </c>
      <c r="K822">
        <v>1</v>
      </c>
      <c r="L822" t="str">
        <f t="shared" si="48"/>
        <v/>
      </c>
      <c r="O822" t="s">
        <v>38</v>
      </c>
      <c r="T822" s="2">
        <f>'SUPUESTOS PRECIOS'!$B$9</f>
        <v>0</v>
      </c>
      <c r="U822" s="3">
        <f>'SUPUESTOS PRECIOS'!$B$5/'SUPUESTOS PRECIOS'!$B$4</f>
        <v>1000</v>
      </c>
      <c r="V822" s="3">
        <f>('SUPUESTOS PRECIOS'!$B$6-'SUPUESTOS PRECIOS'!$B$7)/'SUPUESTOS PRECIOS'!$B$4</f>
        <v>377.5</v>
      </c>
      <c r="W822" s="4">
        <f>'SUPUESTOS PRECIOS'!$B$8</f>
        <v>9.6799999999999994E-3</v>
      </c>
      <c r="X822" s="4">
        <f>'SUPUESTOS PRECIOS'!$B$2</f>
        <v>0.4</v>
      </c>
      <c r="Y822" s="3" t="str">
        <f t="shared" si="49"/>
        <v/>
      </c>
      <c r="Z822" s="3" t="str">
        <f t="shared" si="50"/>
        <v/>
      </c>
      <c r="AA822" s="11" t="str">
        <f t="shared" si="51"/>
        <v/>
      </c>
    </row>
    <row r="823" spans="1:27" x14ac:dyDescent="0.35">
      <c r="A823" s="10" t="s">
        <v>1946</v>
      </c>
      <c r="F823" t="s">
        <v>1358</v>
      </c>
      <c r="K823">
        <v>1</v>
      </c>
      <c r="L823" t="str">
        <f t="shared" si="48"/>
        <v/>
      </c>
      <c r="O823" t="s">
        <v>38</v>
      </c>
      <c r="T823" s="2">
        <f>'SUPUESTOS PRECIOS'!$B$9</f>
        <v>0</v>
      </c>
      <c r="U823" s="3">
        <f>'SUPUESTOS PRECIOS'!$B$5/'SUPUESTOS PRECIOS'!$B$4</f>
        <v>1000</v>
      </c>
      <c r="V823" s="3">
        <f>('SUPUESTOS PRECIOS'!$B$6-'SUPUESTOS PRECIOS'!$B$7)/'SUPUESTOS PRECIOS'!$B$4</f>
        <v>377.5</v>
      </c>
      <c r="W823" s="4">
        <f>'SUPUESTOS PRECIOS'!$B$8</f>
        <v>9.6799999999999994E-3</v>
      </c>
      <c r="X823" s="4">
        <f>'SUPUESTOS PRECIOS'!$B$2</f>
        <v>0.4</v>
      </c>
      <c r="Y823" s="3" t="str">
        <f t="shared" si="49"/>
        <v/>
      </c>
      <c r="Z823" s="3" t="str">
        <f t="shared" si="50"/>
        <v/>
      </c>
      <c r="AA823" s="11" t="str">
        <f t="shared" si="51"/>
        <v/>
      </c>
    </row>
    <row r="824" spans="1:27" x14ac:dyDescent="0.35">
      <c r="A824" s="10" t="s">
        <v>1947</v>
      </c>
      <c r="F824" t="s">
        <v>1358</v>
      </c>
      <c r="K824">
        <v>1</v>
      </c>
      <c r="L824" t="str">
        <f t="shared" si="48"/>
        <v/>
      </c>
      <c r="O824" t="s">
        <v>38</v>
      </c>
      <c r="T824" s="2">
        <f>'SUPUESTOS PRECIOS'!$B$9</f>
        <v>0</v>
      </c>
      <c r="U824" s="3">
        <f>'SUPUESTOS PRECIOS'!$B$5/'SUPUESTOS PRECIOS'!$B$4</f>
        <v>1000</v>
      </c>
      <c r="V824" s="3">
        <f>('SUPUESTOS PRECIOS'!$B$6-'SUPUESTOS PRECIOS'!$B$7)/'SUPUESTOS PRECIOS'!$B$4</f>
        <v>377.5</v>
      </c>
      <c r="W824" s="4">
        <f>'SUPUESTOS PRECIOS'!$B$8</f>
        <v>9.6799999999999994E-3</v>
      </c>
      <c r="X824" s="4">
        <f>'SUPUESTOS PRECIOS'!$B$2</f>
        <v>0.4</v>
      </c>
      <c r="Y824" s="3" t="str">
        <f t="shared" si="49"/>
        <v/>
      </c>
      <c r="Z824" s="3" t="str">
        <f t="shared" si="50"/>
        <v/>
      </c>
      <c r="AA824" s="11" t="str">
        <f t="shared" si="51"/>
        <v/>
      </c>
    </row>
    <row r="825" spans="1:27" x14ac:dyDescent="0.35">
      <c r="A825" s="10" t="s">
        <v>1948</v>
      </c>
      <c r="F825" t="s">
        <v>1358</v>
      </c>
      <c r="K825">
        <v>1</v>
      </c>
      <c r="L825" t="str">
        <f t="shared" si="48"/>
        <v/>
      </c>
      <c r="O825" t="s">
        <v>38</v>
      </c>
      <c r="T825" s="2">
        <f>'SUPUESTOS PRECIOS'!$B$9</f>
        <v>0</v>
      </c>
      <c r="U825" s="3">
        <f>'SUPUESTOS PRECIOS'!$B$5/'SUPUESTOS PRECIOS'!$B$4</f>
        <v>1000</v>
      </c>
      <c r="V825" s="3">
        <f>('SUPUESTOS PRECIOS'!$B$6-'SUPUESTOS PRECIOS'!$B$7)/'SUPUESTOS PRECIOS'!$B$4</f>
        <v>377.5</v>
      </c>
      <c r="W825" s="4">
        <f>'SUPUESTOS PRECIOS'!$B$8</f>
        <v>9.6799999999999994E-3</v>
      </c>
      <c r="X825" s="4">
        <f>'SUPUESTOS PRECIOS'!$B$2</f>
        <v>0.4</v>
      </c>
      <c r="Y825" s="3" t="str">
        <f t="shared" si="49"/>
        <v/>
      </c>
      <c r="Z825" s="3" t="str">
        <f t="shared" si="50"/>
        <v/>
      </c>
      <c r="AA825" s="11" t="str">
        <f t="shared" si="51"/>
        <v/>
      </c>
    </row>
    <row r="826" spans="1:27" x14ac:dyDescent="0.35">
      <c r="A826" s="10" t="s">
        <v>1949</v>
      </c>
      <c r="F826" t="s">
        <v>1358</v>
      </c>
      <c r="K826">
        <v>1</v>
      </c>
      <c r="L826" t="str">
        <f t="shared" si="48"/>
        <v/>
      </c>
      <c r="O826" t="s">
        <v>38</v>
      </c>
      <c r="T826" s="2">
        <f>'SUPUESTOS PRECIOS'!$B$9</f>
        <v>0</v>
      </c>
      <c r="U826" s="3">
        <f>'SUPUESTOS PRECIOS'!$B$5/'SUPUESTOS PRECIOS'!$B$4</f>
        <v>1000</v>
      </c>
      <c r="V826" s="3">
        <f>('SUPUESTOS PRECIOS'!$B$6-'SUPUESTOS PRECIOS'!$B$7)/'SUPUESTOS PRECIOS'!$B$4</f>
        <v>377.5</v>
      </c>
      <c r="W826" s="4">
        <f>'SUPUESTOS PRECIOS'!$B$8</f>
        <v>9.6799999999999994E-3</v>
      </c>
      <c r="X826" s="4">
        <f>'SUPUESTOS PRECIOS'!$B$2</f>
        <v>0.4</v>
      </c>
      <c r="Y826" s="3" t="str">
        <f t="shared" si="49"/>
        <v/>
      </c>
      <c r="Z826" s="3" t="str">
        <f t="shared" si="50"/>
        <v/>
      </c>
      <c r="AA826" s="11" t="str">
        <f t="shared" si="51"/>
        <v/>
      </c>
    </row>
    <row r="827" spans="1:27" x14ac:dyDescent="0.35">
      <c r="A827" s="10" t="s">
        <v>1950</v>
      </c>
      <c r="F827" t="s">
        <v>1358</v>
      </c>
      <c r="K827">
        <v>1</v>
      </c>
      <c r="L827" t="str">
        <f t="shared" si="48"/>
        <v/>
      </c>
      <c r="O827" t="s">
        <v>38</v>
      </c>
      <c r="T827" s="2">
        <f>'SUPUESTOS PRECIOS'!$B$9</f>
        <v>0</v>
      </c>
      <c r="U827" s="3">
        <f>'SUPUESTOS PRECIOS'!$B$5/'SUPUESTOS PRECIOS'!$B$4</f>
        <v>1000</v>
      </c>
      <c r="V827" s="3">
        <f>('SUPUESTOS PRECIOS'!$B$6-'SUPUESTOS PRECIOS'!$B$7)/'SUPUESTOS PRECIOS'!$B$4</f>
        <v>377.5</v>
      </c>
      <c r="W827" s="4">
        <f>'SUPUESTOS PRECIOS'!$B$8</f>
        <v>9.6799999999999994E-3</v>
      </c>
      <c r="X827" s="4">
        <f>'SUPUESTOS PRECIOS'!$B$2</f>
        <v>0.4</v>
      </c>
      <c r="Y827" s="3" t="str">
        <f t="shared" si="49"/>
        <v/>
      </c>
      <c r="Z827" s="3" t="str">
        <f t="shared" si="50"/>
        <v/>
      </c>
      <c r="AA827" s="11" t="str">
        <f t="shared" si="51"/>
        <v/>
      </c>
    </row>
    <row r="828" spans="1:27" x14ac:dyDescent="0.35">
      <c r="A828" s="10" t="s">
        <v>1951</v>
      </c>
      <c r="F828" t="s">
        <v>1358</v>
      </c>
      <c r="K828">
        <v>1</v>
      </c>
      <c r="L828" t="str">
        <f t="shared" si="48"/>
        <v/>
      </c>
      <c r="O828" t="s">
        <v>38</v>
      </c>
      <c r="T828" s="2">
        <f>'SUPUESTOS PRECIOS'!$B$9</f>
        <v>0</v>
      </c>
      <c r="U828" s="3">
        <f>'SUPUESTOS PRECIOS'!$B$5/'SUPUESTOS PRECIOS'!$B$4</f>
        <v>1000</v>
      </c>
      <c r="V828" s="3">
        <f>('SUPUESTOS PRECIOS'!$B$6-'SUPUESTOS PRECIOS'!$B$7)/'SUPUESTOS PRECIOS'!$B$4</f>
        <v>377.5</v>
      </c>
      <c r="W828" s="4">
        <f>'SUPUESTOS PRECIOS'!$B$8</f>
        <v>9.6799999999999994E-3</v>
      </c>
      <c r="X828" s="4">
        <f>'SUPUESTOS PRECIOS'!$B$2</f>
        <v>0.4</v>
      </c>
      <c r="Y828" s="3" t="str">
        <f t="shared" si="49"/>
        <v/>
      </c>
      <c r="Z828" s="3" t="str">
        <f t="shared" si="50"/>
        <v/>
      </c>
      <c r="AA828" s="11" t="str">
        <f t="shared" si="51"/>
        <v/>
      </c>
    </row>
    <row r="829" spans="1:27" x14ac:dyDescent="0.35">
      <c r="A829" s="10" t="s">
        <v>1952</v>
      </c>
      <c r="F829" t="s">
        <v>1358</v>
      </c>
      <c r="K829">
        <v>1</v>
      </c>
      <c r="L829" t="str">
        <f t="shared" si="48"/>
        <v/>
      </c>
      <c r="O829" t="s">
        <v>38</v>
      </c>
      <c r="T829" s="2">
        <f>'SUPUESTOS PRECIOS'!$B$9</f>
        <v>0</v>
      </c>
      <c r="U829" s="3">
        <f>'SUPUESTOS PRECIOS'!$B$5/'SUPUESTOS PRECIOS'!$B$4</f>
        <v>1000</v>
      </c>
      <c r="V829" s="3">
        <f>('SUPUESTOS PRECIOS'!$B$6-'SUPUESTOS PRECIOS'!$B$7)/'SUPUESTOS PRECIOS'!$B$4</f>
        <v>377.5</v>
      </c>
      <c r="W829" s="4">
        <f>'SUPUESTOS PRECIOS'!$B$8</f>
        <v>9.6799999999999994E-3</v>
      </c>
      <c r="X829" s="4">
        <f>'SUPUESTOS PRECIOS'!$B$2</f>
        <v>0.4</v>
      </c>
      <c r="Y829" s="3" t="str">
        <f t="shared" si="49"/>
        <v/>
      </c>
      <c r="Z829" s="3" t="str">
        <f t="shared" si="50"/>
        <v/>
      </c>
      <c r="AA829" s="11" t="str">
        <f t="shared" si="51"/>
        <v/>
      </c>
    </row>
    <row r="830" spans="1:27" x14ac:dyDescent="0.35">
      <c r="A830" s="10" t="s">
        <v>1953</v>
      </c>
      <c r="F830" t="s">
        <v>1358</v>
      </c>
      <c r="K830">
        <v>1</v>
      </c>
      <c r="L830" t="str">
        <f t="shared" si="48"/>
        <v/>
      </c>
      <c r="O830" t="s">
        <v>38</v>
      </c>
      <c r="T830" s="2">
        <f>'SUPUESTOS PRECIOS'!$B$9</f>
        <v>0</v>
      </c>
      <c r="U830" s="3">
        <f>'SUPUESTOS PRECIOS'!$B$5/'SUPUESTOS PRECIOS'!$B$4</f>
        <v>1000</v>
      </c>
      <c r="V830" s="3">
        <f>('SUPUESTOS PRECIOS'!$B$6-'SUPUESTOS PRECIOS'!$B$7)/'SUPUESTOS PRECIOS'!$B$4</f>
        <v>377.5</v>
      </c>
      <c r="W830" s="4">
        <f>'SUPUESTOS PRECIOS'!$B$8</f>
        <v>9.6799999999999994E-3</v>
      </c>
      <c r="X830" s="4">
        <f>'SUPUESTOS PRECIOS'!$B$2</f>
        <v>0.4</v>
      </c>
      <c r="Y830" s="3" t="str">
        <f t="shared" si="49"/>
        <v/>
      </c>
      <c r="Z830" s="3" t="str">
        <f t="shared" si="50"/>
        <v/>
      </c>
      <c r="AA830" s="11" t="str">
        <f t="shared" si="51"/>
        <v/>
      </c>
    </row>
    <row r="831" spans="1:27" x14ac:dyDescent="0.35">
      <c r="A831" s="10" t="s">
        <v>1954</v>
      </c>
      <c r="F831" t="s">
        <v>1358</v>
      </c>
      <c r="K831">
        <v>1</v>
      </c>
      <c r="L831" t="str">
        <f t="shared" si="48"/>
        <v/>
      </c>
      <c r="O831" t="s">
        <v>38</v>
      </c>
      <c r="T831" s="2">
        <f>'SUPUESTOS PRECIOS'!$B$9</f>
        <v>0</v>
      </c>
      <c r="U831" s="3">
        <f>'SUPUESTOS PRECIOS'!$B$5/'SUPUESTOS PRECIOS'!$B$4</f>
        <v>1000</v>
      </c>
      <c r="V831" s="3">
        <f>('SUPUESTOS PRECIOS'!$B$6-'SUPUESTOS PRECIOS'!$B$7)/'SUPUESTOS PRECIOS'!$B$4</f>
        <v>377.5</v>
      </c>
      <c r="W831" s="4">
        <f>'SUPUESTOS PRECIOS'!$B$8</f>
        <v>9.6799999999999994E-3</v>
      </c>
      <c r="X831" s="4">
        <f>'SUPUESTOS PRECIOS'!$B$2</f>
        <v>0.4</v>
      </c>
      <c r="Y831" s="3" t="str">
        <f t="shared" si="49"/>
        <v/>
      </c>
      <c r="Z831" s="3" t="str">
        <f t="shared" si="50"/>
        <v/>
      </c>
      <c r="AA831" s="11" t="str">
        <f t="shared" si="51"/>
        <v/>
      </c>
    </row>
    <row r="832" spans="1:27" x14ac:dyDescent="0.35">
      <c r="A832" s="10" t="s">
        <v>1955</v>
      </c>
      <c r="F832" t="s">
        <v>1358</v>
      </c>
      <c r="K832">
        <v>1</v>
      </c>
      <c r="L832" t="str">
        <f t="shared" si="48"/>
        <v/>
      </c>
      <c r="O832" t="s">
        <v>38</v>
      </c>
      <c r="T832" s="2">
        <f>'SUPUESTOS PRECIOS'!$B$9</f>
        <v>0</v>
      </c>
      <c r="U832" s="3">
        <f>'SUPUESTOS PRECIOS'!$B$5/'SUPUESTOS PRECIOS'!$B$4</f>
        <v>1000</v>
      </c>
      <c r="V832" s="3">
        <f>('SUPUESTOS PRECIOS'!$B$6-'SUPUESTOS PRECIOS'!$B$7)/'SUPUESTOS PRECIOS'!$B$4</f>
        <v>377.5</v>
      </c>
      <c r="W832" s="4">
        <f>'SUPUESTOS PRECIOS'!$B$8</f>
        <v>9.6799999999999994E-3</v>
      </c>
      <c r="X832" s="4">
        <f>'SUPUESTOS PRECIOS'!$B$2</f>
        <v>0.4</v>
      </c>
      <c r="Y832" s="3" t="str">
        <f t="shared" si="49"/>
        <v/>
      </c>
      <c r="Z832" s="3" t="str">
        <f t="shared" si="50"/>
        <v/>
      </c>
      <c r="AA832" s="11" t="str">
        <f t="shared" si="51"/>
        <v/>
      </c>
    </row>
    <row r="833" spans="1:27" x14ac:dyDescent="0.35">
      <c r="A833" s="10" t="s">
        <v>1956</v>
      </c>
      <c r="F833" t="s">
        <v>1358</v>
      </c>
      <c r="K833">
        <v>1</v>
      </c>
      <c r="L833" t="str">
        <f t="shared" si="48"/>
        <v/>
      </c>
      <c r="O833" t="s">
        <v>38</v>
      </c>
      <c r="T833" s="2">
        <f>'SUPUESTOS PRECIOS'!$B$9</f>
        <v>0</v>
      </c>
      <c r="U833" s="3">
        <f>'SUPUESTOS PRECIOS'!$B$5/'SUPUESTOS PRECIOS'!$B$4</f>
        <v>1000</v>
      </c>
      <c r="V833" s="3">
        <f>('SUPUESTOS PRECIOS'!$B$6-'SUPUESTOS PRECIOS'!$B$7)/'SUPUESTOS PRECIOS'!$B$4</f>
        <v>377.5</v>
      </c>
      <c r="W833" s="4">
        <f>'SUPUESTOS PRECIOS'!$B$8</f>
        <v>9.6799999999999994E-3</v>
      </c>
      <c r="X833" s="4">
        <f>'SUPUESTOS PRECIOS'!$B$2</f>
        <v>0.4</v>
      </c>
      <c r="Y833" s="3" t="str">
        <f t="shared" si="49"/>
        <v/>
      </c>
      <c r="Z833" s="3" t="str">
        <f t="shared" si="50"/>
        <v/>
      </c>
      <c r="AA833" s="11" t="str">
        <f t="shared" si="51"/>
        <v/>
      </c>
    </row>
    <row r="834" spans="1:27" x14ac:dyDescent="0.35">
      <c r="A834" s="10" t="s">
        <v>1957</v>
      </c>
      <c r="F834" t="s">
        <v>1358</v>
      </c>
      <c r="K834">
        <v>1</v>
      </c>
      <c r="L834" t="str">
        <f t="shared" ref="L834:L897" si="52">IF(J834="","",J834*(1+K834))</f>
        <v/>
      </c>
      <c r="O834" t="s">
        <v>38</v>
      </c>
      <c r="T834" s="2">
        <f>'SUPUESTOS PRECIOS'!$B$9</f>
        <v>0</v>
      </c>
      <c r="U834" s="3">
        <f>'SUPUESTOS PRECIOS'!$B$5/'SUPUESTOS PRECIOS'!$B$4</f>
        <v>1000</v>
      </c>
      <c r="V834" s="3">
        <f>('SUPUESTOS PRECIOS'!$B$6-'SUPUESTOS PRECIOS'!$B$7)/'SUPUESTOS PRECIOS'!$B$4</f>
        <v>377.5</v>
      </c>
      <c r="W834" s="4">
        <f>'SUPUESTOS PRECIOS'!$B$8</f>
        <v>9.6799999999999994E-3</v>
      </c>
      <c r="X834" s="4">
        <f>'SUPUESTOS PRECIOS'!$B$2</f>
        <v>0.4</v>
      </c>
      <c r="Y834" s="3" t="str">
        <f t="shared" ref="Y834:Y897" si="53">IF(OR($B834="",$J834=""),"",ROUND(($J834+$T834+$U834+$V834)/(1-$W834-$X834),-1))</f>
        <v/>
      </c>
      <c r="Z834" s="3" t="str">
        <f t="shared" ref="Z834:Z897" si="54">IF($Y834="","",$Y834-$J834-$T834-$U834-$V834-($Y834*$W834))</f>
        <v/>
      </c>
      <c r="AA834" s="11" t="str">
        <f t="shared" ref="AA834:AA897" si="55">IF($Y834="","",$Z834/$Y834)</f>
        <v/>
      </c>
    </row>
    <row r="835" spans="1:27" x14ac:dyDescent="0.35">
      <c r="A835" s="10" t="s">
        <v>1958</v>
      </c>
      <c r="F835" t="s">
        <v>1358</v>
      </c>
      <c r="K835">
        <v>1</v>
      </c>
      <c r="L835" t="str">
        <f t="shared" si="52"/>
        <v/>
      </c>
      <c r="O835" t="s">
        <v>38</v>
      </c>
      <c r="T835" s="2">
        <f>'SUPUESTOS PRECIOS'!$B$9</f>
        <v>0</v>
      </c>
      <c r="U835" s="3">
        <f>'SUPUESTOS PRECIOS'!$B$5/'SUPUESTOS PRECIOS'!$B$4</f>
        <v>1000</v>
      </c>
      <c r="V835" s="3">
        <f>('SUPUESTOS PRECIOS'!$B$6-'SUPUESTOS PRECIOS'!$B$7)/'SUPUESTOS PRECIOS'!$B$4</f>
        <v>377.5</v>
      </c>
      <c r="W835" s="4">
        <f>'SUPUESTOS PRECIOS'!$B$8</f>
        <v>9.6799999999999994E-3</v>
      </c>
      <c r="X835" s="4">
        <f>'SUPUESTOS PRECIOS'!$B$2</f>
        <v>0.4</v>
      </c>
      <c r="Y835" s="3" t="str">
        <f t="shared" si="53"/>
        <v/>
      </c>
      <c r="Z835" s="3" t="str">
        <f t="shared" si="54"/>
        <v/>
      </c>
      <c r="AA835" s="11" t="str">
        <f t="shared" si="55"/>
        <v/>
      </c>
    </row>
    <row r="836" spans="1:27" x14ac:dyDescent="0.35">
      <c r="A836" s="10" t="s">
        <v>1959</v>
      </c>
      <c r="F836" t="s">
        <v>1358</v>
      </c>
      <c r="K836">
        <v>1</v>
      </c>
      <c r="L836" t="str">
        <f t="shared" si="52"/>
        <v/>
      </c>
      <c r="O836" t="s">
        <v>38</v>
      </c>
      <c r="T836" s="2">
        <f>'SUPUESTOS PRECIOS'!$B$9</f>
        <v>0</v>
      </c>
      <c r="U836" s="3">
        <f>'SUPUESTOS PRECIOS'!$B$5/'SUPUESTOS PRECIOS'!$B$4</f>
        <v>1000</v>
      </c>
      <c r="V836" s="3">
        <f>('SUPUESTOS PRECIOS'!$B$6-'SUPUESTOS PRECIOS'!$B$7)/'SUPUESTOS PRECIOS'!$B$4</f>
        <v>377.5</v>
      </c>
      <c r="W836" s="4">
        <f>'SUPUESTOS PRECIOS'!$B$8</f>
        <v>9.6799999999999994E-3</v>
      </c>
      <c r="X836" s="4">
        <f>'SUPUESTOS PRECIOS'!$B$2</f>
        <v>0.4</v>
      </c>
      <c r="Y836" s="3" t="str">
        <f t="shared" si="53"/>
        <v/>
      </c>
      <c r="Z836" s="3" t="str">
        <f t="shared" si="54"/>
        <v/>
      </c>
      <c r="AA836" s="11" t="str">
        <f t="shared" si="55"/>
        <v/>
      </c>
    </row>
    <row r="837" spans="1:27" x14ac:dyDescent="0.35">
      <c r="A837" s="10" t="s">
        <v>1960</v>
      </c>
      <c r="F837" t="s">
        <v>1358</v>
      </c>
      <c r="K837">
        <v>1</v>
      </c>
      <c r="L837" t="str">
        <f t="shared" si="52"/>
        <v/>
      </c>
      <c r="O837" t="s">
        <v>38</v>
      </c>
      <c r="T837" s="2">
        <f>'SUPUESTOS PRECIOS'!$B$9</f>
        <v>0</v>
      </c>
      <c r="U837" s="3">
        <f>'SUPUESTOS PRECIOS'!$B$5/'SUPUESTOS PRECIOS'!$B$4</f>
        <v>1000</v>
      </c>
      <c r="V837" s="3">
        <f>('SUPUESTOS PRECIOS'!$B$6-'SUPUESTOS PRECIOS'!$B$7)/'SUPUESTOS PRECIOS'!$B$4</f>
        <v>377.5</v>
      </c>
      <c r="W837" s="4">
        <f>'SUPUESTOS PRECIOS'!$B$8</f>
        <v>9.6799999999999994E-3</v>
      </c>
      <c r="X837" s="4">
        <f>'SUPUESTOS PRECIOS'!$B$2</f>
        <v>0.4</v>
      </c>
      <c r="Y837" s="3" t="str">
        <f t="shared" si="53"/>
        <v/>
      </c>
      <c r="Z837" s="3" t="str">
        <f t="shared" si="54"/>
        <v/>
      </c>
      <c r="AA837" s="11" t="str">
        <f t="shared" si="55"/>
        <v/>
      </c>
    </row>
    <row r="838" spans="1:27" x14ac:dyDescent="0.35">
      <c r="A838" s="10" t="s">
        <v>1961</v>
      </c>
      <c r="F838" t="s">
        <v>1358</v>
      </c>
      <c r="K838">
        <v>1</v>
      </c>
      <c r="L838" t="str">
        <f t="shared" si="52"/>
        <v/>
      </c>
      <c r="O838" t="s">
        <v>38</v>
      </c>
      <c r="T838" s="2">
        <f>'SUPUESTOS PRECIOS'!$B$9</f>
        <v>0</v>
      </c>
      <c r="U838" s="3">
        <f>'SUPUESTOS PRECIOS'!$B$5/'SUPUESTOS PRECIOS'!$B$4</f>
        <v>1000</v>
      </c>
      <c r="V838" s="3">
        <f>('SUPUESTOS PRECIOS'!$B$6-'SUPUESTOS PRECIOS'!$B$7)/'SUPUESTOS PRECIOS'!$B$4</f>
        <v>377.5</v>
      </c>
      <c r="W838" s="4">
        <f>'SUPUESTOS PRECIOS'!$B$8</f>
        <v>9.6799999999999994E-3</v>
      </c>
      <c r="X838" s="4">
        <f>'SUPUESTOS PRECIOS'!$B$2</f>
        <v>0.4</v>
      </c>
      <c r="Y838" s="3" t="str">
        <f t="shared" si="53"/>
        <v/>
      </c>
      <c r="Z838" s="3" t="str">
        <f t="shared" si="54"/>
        <v/>
      </c>
      <c r="AA838" s="11" t="str">
        <f t="shared" si="55"/>
        <v/>
      </c>
    </row>
    <row r="839" spans="1:27" x14ac:dyDescent="0.35">
      <c r="A839" s="10" t="s">
        <v>1962</v>
      </c>
      <c r="F839" t="s">
        <v>1358</v>
      </c>
      <c r="K839">
        <v>1</v>
      </c>
      <c r="L839" t="str">
        <f t="shared" si="52"/>
        <v/>
      </c>
      <c r="O839" t="s">
        <v>38</v>
      </c>
      <c r="T839" s="2">
        <f>'SUPUESTOS PRECIOS'!$B$9</f>
        <v>0</v>
      </c>
      <c r="U839" s="3">
        <f>'SUPUESTOS PRECIOS'!$B$5/'SUPUESTOS PRECIOS'!$B$4</f>
        <v>1000</v>
      </c>
      <c r="V839" s="3">
        <f>('SUPUESTOS PRECIOS'!$B$6-'SUPUESTOS PRECIOS'!$B$7)/'SUPUESTOS PRECIOS'!$B$4</f>
        <v>377.5</v>
      </c>
      <c r="W839" s="4">
        <f>'SUPUESTOS PRECIOS'!$B$8</f>
        <v>9.6799999999999994E-3</v>
      </c>
      <c r="X839" s="4">
        <f>'SUPUESTOS PRECIOS'!$B$2</f>
        <v>0.4</v>
      </c>
      <c r="Y839" s="3" t="str">
        <f t="shared" si="53"/>
        <v/>
      </c>
      <c r="Z839" s="3" t="str">
        <f t="shared" si="54"/>
        <v/>
      </c>
      <c r="AA839" s="11" t="str">
        <f t="shared" si="55"/>
        <v/>
      </c>
    </row>
    <row r="840" spans="1:27" x14ac:dyDescent="0.35">
      <c r="A840" s="10" t="s">
        <v>1963</v>
      </c>
      <c r="F840" t="s">
        <v>1358</v>
      </c>
      <c r="K840">
        <v>1</v>
      </c>
      <c r="L840" t="str">
        <f t="shared" si="52"/>
        <v/>
      </c>
      <c r="O840" t="s">
        <v>38</v>
      </c>
      <c r="T840" s="2">
        <f>'SUPUESTOS PRECIOS'!$B$9</f>
        <v>0</v>
      </c>
      <c r="U840" s="3">
        <f>'SUPUESTOS PRECIOS'!$B$5/'SUPUESTOS PRECIOS'!$B$4</f>
        <v>1000</v>
      </c>
      <c r="V840" s="3">
        <f>('SUPUESTOS PRECIOS'!$B$6-'SUPUESTOS PRECIOS'!$B$7)/'SUPUESTOS PRECIOS'!$B$4</f>
        <v>377.5</v>
      </c>
      <c r="W840" s="4">
        <f>'SUPUESTOS PRECIOS'!$B$8</f>
        <v>9.6799999999999994E-3</v>
      </c>
      <c r="X840" s="4">
        <f>'SUPUESTOS PRECIOS'!$B$2</f>
        <v>0.4</v>
      </c>
      <c r="Y840" s="3" t="str">
        <f t="shared" si="53"/>
        <v/>
      </c>
      <c r="Z840" s="3" t="str">
        <f t="shared" si="54"/>
        <v/>
      </c>
      <c r="AA840" s="11" t="str">
        <f t="shared" si="55"/>
        <v/>
      </c>
    </row>
    <row r="841" spans="1:27" x14ac:dyDescent="0.35">
      <c r="A841" s="10" t="s">
        <v>1964</v>
      </c>
      <c r="F841" t="s">
        <v>1358</v>
      </c>
      <c r="K841">
        <v>1</v>
      </c>
      <c r="L841" t="str">
        <f t="shared" si="52"/>
        <v/>
      </c>
      <c r="O841" t="s">
        <v>38</v>
      </c>
      <c r="T841" s="2">
        <f>'SUPUESTOS PRECIOS'!$B$9</f>
        <v>0</v>
      </c>
      <c r="U841" s="3">
        <f>'SUPUESTOS PRECIOS'!$B$5/'SUPUESTOS PRECIOS'!$B$4</f>
        <v>1000</v>
      </c>
      <c r="V841" s="3">
        <f>('SUPUESTOS PRECIOS'!$B$6-'SUPUESTOS PRECIOS'!$B$7)/'SUPUESTOS PRECIOS'!$B$4</f>
        <v>377.5</v>
      </c>
      <c r="W841" s="4">
        <f>'SUPUESTOS PRECIOS'!$B$8</f>
        <v>9.6799999999999994E-3</v>
      </c>
      <c r="X841" s="4">
        <f>'SUPUESTOS PRECIOS'!$B$2</f>
        <v>0.4</v>
      </c>
      <c r="Y841" s="3" t="str">
        <f t="shared" si="53"/>
        <v/>
      </c>
      <c r="Z841" s="3" t="str">
        <f t="shared" si="54"/>
        <v/>
      </c>
      <c r="AA841" s="11" t="str">
        <f t="shared" si="55"/>
        <v/>
      </c>
    </row>
    <row r="842" spans="1:27" x14ac:dyDescent="0.35">
      <c r="A842" s="10" t="s">
        <v>1965</v>
      </c>
      <c r="F842" t="s">
        <v>1358</v>
      </c>
      <c r="K842">
        <v>1</v>
      </c>
      <c r="L842" t="str">
        <f t="shared" si="52"/>
        <v/>
      </c>
      <c r="O842" t="s">
        <v>38</v>
      </c>
      <c r="T842" s="2">
        <f>'SUPUESTOS PRECIOS'!$B$9</f>
        <v>0</v>
      </c>
      <c r="U842" s="3">
        <f>'SUPUESTOS PRECIOS'!$B$5/'SUPUESTOS PRECIOS'!$B$4</f>
        <v>1000</v>
      </c>
      <c r="V842" s="3">
        <f>('SUPUESTOS PRECIOS'!$B$6-'SUPUESTOS PRECIOS'!$B$7)/'SUPUESTOS PRECIOS'!$B$4</f>
        <v>377.5</v>
      </c>
      <c r="W842" s="4">
        <f>'SUPUESTOS PRECIOS'!$B$8</f>
        <v>9.6799999999999994E-3</v>
      </c>
      <c r="X842" s="4">
        <f>'SUPUESTOS PRECIOS'!$B$2</f>
        <v>0.4</v>
      </c>
      <c r="Y842" s="3" t="str">
        <f t="shared" si="53"/>
        <v/>
      </c>
      <c r="Z842" s="3" t="str">
        <f t="shared" si="54"/>
        <v/>
      </c>
      <c r="AA842" s="11" t="str">
        <f t="shared" si="55"/>
        <v/>
      </c>
    </row>
    <row r="843" spans="1:27" x14ac:dyDescent="0.35">
      <c r="A843" s="10" t="s">
        <v>1966</v>
      </c>
      <c r="F843" t="s">
        <v>1358</v>
      </c>
      <c r="K843">
        <v>1</v>
      </c>
      <c r="L843" t="str">
        <f t="shared" si="52"/>
        <v/>
      </c>
      <c r="O843" t="s">
        <v>38</v>
      </c>
      <c r="T843" s="2">
        <f>'SUPUESTOS PRECIOS'!$B$9</f>
        <v>0</v>
      </c>
      <c r="U843" s="3">
        <f>'SUPUESTOS PRECIOS'!$B$5/'SUPUESTOS PRECIOS'!$B$4</f>
        <v>1000</v>
      </c>
      <c r="V843" s="3">
        <f>('SUPUESTOS PRECIOS'!$B$6-'SUPUESTOS PRECIOS'!$B$7)/'SUPUESTOS PRECIOS'!$B$4</f>
        <v>377.5</v>
      </c>
      <c r="W843" s="4">
        <f>'SUPUESTOS PRECIOS'!$B$8</f>
        <v>9.6799999999999994E-3</v>
      </c>
      <c r="X843" s="4">
        <f>'SUPUESTOS PRECIOS'!$B$2</f>
        <v>0.4</v>
      </c>
      <c r="Y843" s="3" t="str">
        <f t="shared" si="53"/>
        <v/>
      </c>
      <c r="Z843" s="3" t="str">
        <f t="shared" si="54"/>
        <v/>
      </c>
      <c r="AA843" s="11" t="str">
        <f t="shared" si="55"/>
        <v/>
      </c>
    </row>
    <row r="844" spans="1:27" x14ac:dyDescent="0.35">
      <c r="A844" s="10" t="s">
        <v>1967</v>
      </c>
      <c r="F844" t="s">
        <v>1358</v>
      </c>
      <c r="K844">
        <v>1</v>
      </c>
      <c r="L844" t="str">
        <f t="shared" si="52"/>
        <v/>
      </c>
      <c r="O844" t="s">
        <v>38</v>
      </c>
      <c r="T844" s="2">
        <f>'SUPUESTOS PRECIOS'!$B$9</f>
        <v>0</v>
      </c>
      <c r="U844" s="3">
        <f>'SUPUESTOS PRECIOS'!$B$5/'SUPUESTOS PRECIOS'!$B$4</f>
        <v>1000</v>
      </c>
      <c r="V844" s="3">
        <f>('SUPUESTOS PRECIOS'!$B$6-'SUPUESTOS PRECIOS'!$B$7)/'SUPUESTOS PRECIOS'!$B$4</f>
        <v>377.5</v>
      </c>
      <c r="W844" s="4">
        <f>'SUPUESTOS PRECIOS'!$B$8</f>
        <v>9.6799999999999994E-3</v>
      </c>
      <c r="X844" s="4">
        <f>'SUPUESTOS PRECIOS'!$B$2</f>
        <v>0.4</v>
      </c>
      <c r="Y844" s="3" t="str">
        <f t="shared" si="53"/>
        <v/>
      </c>
      <c r="Z844" s="3" t="str">
        <f t="shared" si="54"/>
        <v/>
      </c>
      <c r="AA844" s="11" t="str">
        <f t="shared" si="55"/>
        <v/>
      </c>
    </row>
    <row r="845" spans="1:27" x14ac:dyDescent="0.35">
      <c r="A845" s="10" t="s">
        <v>1968</v>
      </c>
      <c r="F845" t="s">
        <v>1358</v>
      </c>
      <c r="K845">
        <v>1</v>
      </c>
      <c r="L845" t="str">
        <f t="shared" si="52"/>
        <v/>
      </c>
      <c r="O845" t="s">
        <v>38</v>
      </c>
      <c r="T845" s="2">
        <f>'SUPUESTOS PRECIOS'!$B$9</f>
        <v>0</v>
      </c>
      <c r="U845" s="3">
        <f>'SUPUESTOS PRECIOS'!$B$5/'SUPUESTOS PRECIOS'!$B$4</f>
        <v>1000</v>
      </c>
      <c r="V845" s="3">
        <f>('SUPUESTOS PRECIOS'!$B$6-'SUPUESTOS PRECIOS'!$B$7)/'SUPUESTOS PRECIOS'!$B$4</f>
        <v>377.5</v>
      </c>
      <c r="W845" s="4">
        <f>'SUPUESTOS PRECIOS'!$B$8</f>
        <v>9.6799999999999994E-3</v>
      </c>
      <c r="X845" s="4">
        <f>'SUPUESTOS PRECIOS'!$B$2</f>
        <v>0.4</v>
      </c>
      <c r="Y845" s="3" t="str">
        <f t="shared" si="53"/>
        <v/>
      </c>
      <c r="Z845" s="3" t="str">
        <f t="shared" si="54"/>
        <v/>
      </c>
      <c r="AA845" s="11" t="str">
        <f t="shared" si="55"/>
        <v/>
      </c>
    </row>
    <row r="846" spans="1:27" x14ac:dyDescent="0.35">
      <c r="A846" s="10" t="s">
        <v>1969</v>
      </c>
      <c r="F846" t="s">
        <v>1358</v>
      </c>
      <c r="K846">
        <v>1</v>
      </c>
      <c r="L846" t="str">
        <f t="shared" si="52"/>
        <v/>
      </c>
      <c r="O846" t="s">
        <v>38</v>
      </c>
      <c r="T846" s="2">
        <f>'SUPUESTOS PRECIOS'!$B$9</f>
        <v>0</v>
      </c>
      <c r="U846" s="3">
        <f>'SUPUESTOS PRECIOS'!$B$5/'SUPUESTOS PRECIOS'!$B$4</f>
        <v>1000</v>
      </c>
      <c r="V846" s="3">
        <f>('SUPUESTOS PRECIOS'!$B$6-'SUPUESTOS PRECIOS'!$B$7)/'SUPUESTOS PRECIOS'!$B$4</f>
        <v>377.5</v>
      </c>
      <c r="W846" s="4">
        <f>'SUPUESTOS PRECIOS'!$B$8</f>
        <v>9.6799999999999994E-3</v>
      </c>
      <c r="X846" s="4">
        <f>'SUPUESTOS PRECIOS'!$B$2</f>
        <v>0.4</v>
      </c>
      <c r="Y846" s="3" t="str">
        <f t="shared" si="53"/>
        <v/>
      </c>
      <c r="Z846" s="3" t="str">
        <f t="shared" si="54"/>
        <v/>
      </c>
      <c r="AA846" s="11" t="str">
        <f t="shared" si="55"/>
        <v/>
      </c>
    </row>
    <row r="847" spans="1:27" x14ac:dyDescent="0.35">
      <c r="A847" s="10" t="s">
        <v>1970</v>
      </c>
      <c r="F847" t="s">
        <v>1358</v>
      </c>
      <c r="K847">
        <v>1</v>
      </c>
      <c r="L847" t="str">
        <f t="shared" si="52"/>
        <v/>
      </c>
      <c r="O847" t="s">
        <v>38</v>
      </c>
      <c r="T847" s="2">
        <f>'SUPUESTOS PRECIOS'!$B$9</f>
        <v>0</v>
      </c>
      <c r="U847" s="3">
        <f>'SUPUESTOS PRECIOS'!$B$5/'SUPUESTOS PRECIOS'!$B$4</f>
        <v>1000</v>
      </c>
      <c r="V847" s="3">
        <f>('SUPUESTOS PRECIOS'!$B$6-'SUPUESTOS PRECIOS'!$B$7)/'SUPUESTOS PRECIOS'!$B$4</f>
        <v>377.5</v>
      </c>
      <c r="W847" s="4">
        <f>'SUPUESTOS PRECIOS'!$B$8</f>
        <v>9.6799999999999994E-3</v>
      </c>
      <c r="X847" s="4">
        <f>'SUPUESTOS PRECIOS'!$B$2</f>
        <v>0.4</v>
      </c>
      <c r="Y847" s="3" t="str">
        <f t="shared" si="53"/>
        <v/>
      </c>
      <c r="Z847" s="3" t="str">
        <f t="shared" si="54"/>
        <v/>
      </c>
      <c r="AA847" s="11" t="str">
        <f t="shared" si="55"/>
        <v/>
      </c>
    </row>
    <row r="848" spans="1:27" x14ac:dyDescent="0.35">
      <c r="A848" s="10" t="s">
        <v>1971</v>
      </c>
      <c r="F848" t="s">
        <v>1358</v>
      </c>
      <c r="K848">
        <v>1</v>
      </c>
      <c r="L848" t="str">
        <f t="shared" si="52"/>
        <v/>
      </c>
      <c r="O848" t="s">
        <v>38</v>
      </c>
      <c r="T848" s="2">
        <f>'SUPUESTOS PRECIOS'!$B$9</f>
        <v>0</v>
      </c>
      <c r="U848" s="3">
        <f>'SUPUESTOS PRECIOS'!$B$5/'SUPUESTOS PRECIOS'!$B$4</f>
        <v>1000</v>
      </c>
      <c r="V848" s="3">
        <f>('SUPUESTOS PRECIOS'!$B$6-'SUPUESTOS PRECIOS'!$B$7)/'SUPUESTOS PRECIOS'!$B$4</f>
        <v>377.5</v>
      </c>
      <c r="W848" s="4">
        <f>'SUPUESTOS PRECIOS'!$B$8</f>
        <v>9.6799999999999994E-3</v>
      </c>
      <c r="X848" s="4">
        <f>'SUPUESTOS PRECIOS'!$B$2</f>
        <v>0.4</v>
      </c>
      <c r="Y848" s="3" t="str">
        <f t="shared" si="53"/>
        <v/>
      </c>
      <c r="Z848" s="3" t="str">
        <f t="shared" si="54"/>
        <v/>
      </c>
      <c r="AA848" s="11" t="str">
        <f t="shared" si="55"/>
        <v/>
      </c>
    </row>
    <row r="849" spans="1:27" x14ac:dyDescent="0.35">
      <c r="A849" s="10" t="s">
        <v>1972</v>
      </c>
      <c r="F849" t="s">
        <v>1358</v>
      </c>
      <c r="K849">
        <v>1</v>
      </c>
      <c r="L849" t="str">
        <f t="shared" si="52"/>
        <v/>
      </c>
      <c r="O849" t="s">
        <v>38</v>
      </c>
      <c r="T849" s="2">
        <f>'SUPUESTOS PRECIOS'!$B$9</f>
        <v>0</v>
      </c>
      <c r="U849" s="3">
        <f>'SUPUESTOS PRECIOS'!$B$5/'SUPUESTOS PRECIOS'!$B$4</f>
        <v>1000</v>
      </c>
      <c r="V849" s="3">
        <f>('SUPUESTOS PRECIOS'!$B$6-'SUPUESTOS PRECIOS'!$B$7)/'SUPUESTOS PRECIOS'!$B$4</f>
        <v>377.5</v>
      </c>
      <c r="W849" s="4">
        <f>'SUPUESTOS PRECIOS'!$B$8</f>
        <v>9.6799999999999994E-3</v>
      </c>
      <c r="X849" s="4">
        <f>'SUPUESTOS PRECIOS'!$B$2</f>
        <v>0.4</v>
      </c>
      <c r="Y849" s="3" t="str">
        <f t="shared" si="53"/>
        <v/>
      </c>
      <c r="Z849" s="3" t="str">
        <f t="shared" si="54"/>
        <v/>
      </c>
      <c r="AA849" s="11" t="str">
        <f t="shared" si="55"/>
        <v/>
      </c>
    </row>
    <row r="850" spans="1:27" x14ac:dyDescent="0.35">
      <c r="A850" s="10" t="s">
        <v>1973</v>
      </c>
      <c r="F850" t="s">
        <v>1358</v>
      </c>
      <c r="K850">
        <v>1</v>
      </c>
      <c r="L850" t="str">
        <f t="shared" si="52"/>
        <v/>
      </c>
      <c r="O850" t="s">
        <v>38</v>
      </c>
      <c r="T850" s="2">
        <f>'SUPUESTOS PRECIOS'!$B$9</f>
        <v>0</v>
      </c>
      <c r="U850" s="3">
        <f>'SUPUESTOS PRECIOS'!$B$5/'SUPUESTOS PRECIOS'!$B$4</f>
        <v>1000</v>
      </c>
      <c r="V850" s="3">
        <f>('SUPUESTOS PRECIOS'!$B$6-'SUPUESTOS PRECIOS'!$B$7)/'SUPUESTOS PRECIOS'!$B$4</f>
        <v>377.5</v>
      </c>
      <c r="W850" s="4">
        <f>'SUPUESTOS PRECIOS'!$B$8</f>
        <v>9.6799999999999994E-3</v>
      </c>
      <c r="X850" s="4">
        <f>'SUPUESTOS PRECIOS'!$B$2</f>
        <v>0.4</v>
      </c>
      <c r="Y850" s="3" t="str">
        <f t="shared" si="53"/>
        <v/>
      </c>
      <c r="Z850" s="3" t="str">
        <f t="shared" si="54"/>
        <v/>
      </c>
      <c r="AA850" s="11" t="str">
        <f t="shared" si="55"/>
        <v/>
      </c>
    </row>
    <row r="851" spans="1:27" x14ac:dyDescent="0.35">
      <c r="A851" s="10" t="s">
        <v>1974</v>
      </c>
      <c r="F851" t="s">
        <v>1358</v>
      </c>
      <c r="K851">
        <v>1</v>
      </c>
      <c r="L851" t="str">
        <f t="shared" si="52"/>
        <v/>
      </c>
      <c r="O851" t="s">
        <v>38</v>
      </c>
      <c r="T851" s="2">
        <f>'SUPUESTOS PRECIOS'!$B$9</f>
        <v>0</v>
      </c>
      <c r="U851" s="3">
        <f>'SUPUESTOS PRECIOS'!$B$5/'SUPUESTOS PRECIOS'!$B$4</f>
        <v>1000</v>
      </c>
      <c r="V851" s="3">
        <f>('SUPUESTOS PRECIOS'!$B$6-'SUPUESTOS PRECIOS'!$B$7)/'SUPUESTOS PRECIOS'!$B$4</f>
        <v>377.5</v>
      </c>
      <c r="W851" s="4">
        <f>'SUPUESTOS PRECIOS'!$B$8</f>
        <v>9.6799999999999994E-3</v>
      </c>
      <c r="X851" s="4">
        <f>'SUPUESTOS PRECIOS'!$B$2</f>
        <v>0.4</v>
      </c>
      <c r="Y851" s="3" t="str">
        <f t="shared" si="53"/>
        <v/>
      </c>
      <c r="Z851" s="3" t="str">
        <f t="shared" si="54"/>
        <v/>
      </c>
      <c r="AA851" s="11" t="str">
        <f t="shared" si="55"/>
        <v/>
      </c>
    </row>
    <row r="852" spans="1:27" x14ac:dyDescent="0.35">
      <c r="A852" s="10" t="s">
        <v>1975</v>
      </c>
      <c r="F852" t="s">
        <v>1358</v>
      </c>
      <c r="K852">
        <v>1</v>
      </c>
      <c r="L852" t="str">
        <f t="shared" si="52"/>
        <v/>
      </c>
      <c r="O852" t="s">
        <v>38</v>
      </c>
      <c r="T852" s="2">
        <f>'SUPUESTOS PRECIOS'!$B$9</f>
        <v>0</v>
      </c>
      <c r="U852" s="3">
        <f>'SUPUESTOS PRECIOS'!$B$5/'SUPUESTOS PRECIOS'!$B$4</f>
        <v>1000</v>
      </c>
      <c r="V852" s="3">
        <f>('SUPUESTOS PRECIOS'!$B$6-'SUPUESTOS PRECIOS'!$B$7)/'SUPUESTOS PRECIOS'!$B$4</f>
        <v>377.5</v>
      </c>
      <c r="W852" s="4">
        <f>'SUPUESTOS PRECIOS'!$B$8</f>
        <v>9.6799999999999994E-3</v>
      </c>
      <c r="X852" s="4">
        <f>'SUPUESTOS PRECIOS'!$B$2</f>
        <v>0.4</v>
      </c>
      <c r="Y852" s="3" t="str">
        <f t="shared" si="53"/>
        <v/>
      </c>
      <c r="Z852" s="3" t="str">
        <f t="shared" si="54"/>
        <v/>
      </c>
      <c r="AA852" s="11" t="str">
        <f t="shared" si="55"/>
        <v/>
      </c>
    </row>
    <row r="853" spans="1:27" x14ac:dyDescent="0.35">
      <c r="A853" s="10" t="s">
        <v>1976</v>
      </c>
      <c r="F853" t="s">
        <v>1358</v>
      </c>
      <c r="K853">
        <v>1</v>
      </c>
      <c r="L853" t="str">
        <f t="shared" si="52"/>
        <v/>
      </c>
      <c r="O853" t="s">
        <v>38</v>
      </c>
      <c r="T853" s="2">
        <f>'SUPUESTOS PRECIOS'!$B$9</f>
        <v>0</v>
      </c>
      <c r="U853" s="3">
        <f>'SUPUESTOS PRECIOS'!$B$5/'SUPUESTOS PRECIOS'!$B$4</f>
        <v>1000</v>
      </c>
      <c r="V853" s="3">
        <f>('SUPUESTOS PRECIOS'!$B$6-'SUPUESTOS PRECIOS'!$B$7)/'SUPUESTOS PRECIOS'!$B$4</f>
        <v>377.5</v>
      </c>
      <c r="W853" s="4">
        <f>'SUPUESTOS PRECIOS'!$B$8</f>
        <v>9.6799999999999994E-3</v>
      </c>
      <c r="X853" s="4">
        <f>'SUPUESTOS PRECIOS'!$B$2</f>
        <v>0.4</v>
      </c>
      <c r="Y853" s="3" t="str">
        <f t="shared" si="53"/>
        <v/>
      </c>
      <c r="Z853" s="3" t="str">
        <f t="shared" si="54"/>
        <v/>
      </c>
      <c r="AA853" s="11" t="str">
        <f t="shared" si="55"/>
        <v/>
      </c>
    </row>
    <row r="854" spans="1:27" x14ac:dyDescent="0.35">
      <c r="A854" s="10" t="s">
        <v>1977</v>
      </c>
      <c r="F854" t="s">
        <v>1358</v>
      </c>
      <c r="K854">
        <v>1</v>
      </c>
      <c r="L854" t="str">
        <f t="shared" si="52"/>
        <v/>
      </c>
      <c r="O854" t="s">
        <v>38</v>
      </c>
      <c r="T854" s="2">
        <f>'SUPUESTOS PRECIOS'!$B$9</f>
        <v>0</v>
      </c>
      <c r="U854" s="3">
        <f>'SUPUESTOS PRECIOS'!$B$5/'SUPUESTOS PRECIOS'!$B$4</f>
        <v>1000</v>
      </c>
      <c r="V854" s="3">
        <f>('SUPUESTOS PRECIOS'!$B$6-'SUPUESTOS PRECIOS'!$B$7)/'SUPUESTOS PRECIOS'!$B$4</f>
        <v>377.5</v>
      </c>
      <c r="W854" s="4">
        <f>'SUPUESTOS PRECIOS'!$B$8</f>
        <v>9.6799999999999994E-3</v>
      </c>
      <c r="X854" s="4">
        <f>'SUPUESTOS PRECIOS'!$B$2</f>
        <v>0.4</v>
      </c>
      <c r="Y854" s="3" t="str">
        <f t="shared" si="53"/>
        <v/>
      </c>
      <c r="Z854" s="3" t="str">
        <f t="shared" si="54"/>
        <v/>
      </c>
      <c r="AA854" s="11" t="str">
        <f t="shared" si="55"/>
        <v/>
      </c>
    </row>
    <row r="855" spans="1:27" x14ac:dyDescent="0.35">
      <c r="A855" s="10" t="s">
        <v>1978</v>
      </c>
      <c r="F855" t="s">
        <v>1358</v>
      </c>
      <c r="K855">
        <v>1</v>
      </c>
      <c r="L855" t="str">
        <f t="shared" si="52"/>
        <v/>
      </c>
      <c r="O855" t="s">
        <v>38</v>
      </c>
      <c r="T855" s="2">
        <f>'SUPUESTOS PRECIOS'!$B$9</f>
        <v>0</v>
      </c>
      <c r="U855" s="3">
        <f>'SUPUESTOS PRECIOS'!$B$5/'SUPUESTOS PRECIOS'!$B$4</f>
        <v>1000</v>
      </c>
      <c r="V855" s="3">
        <f>('SUPUESTOS PRECIOS'!$B$6-'SUPUESTOS PRECIOS'!$B$7)/'SUPUESTOS PRECIOS'!$B$4</f>
        <v>377.5</v>
      </c>
      <c r="W855" s="4">
        <f>'SUPUESTOS PRECIOS'!$B$8</f>
        <v>9.6799999999999994E-3</v>
      </c>
      <c r="X855" s="4">
        <f>'SUPUESTOS PRECIOS'!$B$2</f>
        <v>0.4</v>
      </c>
      <c r="Y855" s="3" t="str">
        <f t="shared" si="53"/>
        <v/>
      </c>
      <c r="Z855" s="3" t="str">
        <f t="shared" si="54"/>
        <v/>
      </c>
      <c r="AA855" s="11" t="str">
        <f t="shared" si="55"/>
        <v/>
      </c>
    </row>
    <row r="856" spans="1:27" x14ac:dyDescent="0.35">
      <c r="A856" s="10" t="s">
        <v>1979</v>
      </c>
      <c r="F856" t="s">
        <v>1358</v>
      </c>
      <c r="K856">
        <v>1</v>
      </c>
      <c r="L856" t="str">
        <f t="shared" si="52"/>
        <v/>
      </c>
      <c r="O856" t="s">
        <v>38</v>
      </c>
      <c r="T856" s="2">
        <f>'SUPUESTOS PRECIOS'!$B$9</f>
        <v>0</v>
      </c>
      <c r="U856" s="3">
        <f>'SUPUESTOS PRECIOS'!$B$5/'SUPUESTOS PRECIOS'!$B$4</f>
        <v>1000</v>
      </c>
      <c r="V856" s="3">
        <f>('SUPUESTOS PRECIOS'!$B$6-'SUPUESTOS PRECIOS'!$B$7)/'SUPUESTOS PRECIOS'!$B$4</f>
        <v>377.5</v>
      </c>
      <c r="W856" s="4">
        <f>'SUPUESTOS PRECIOS'!$B$8</f>
        <v>9.6799999999999994E-3</v>
      </c>
      <c r="X856" s="4">
        <f>'SUPUESTOS PRECIOS'!$B$2</f>
        <v>0.4</v>
      </c>
      <c r="Y856" s="3" t="str">
        <f t="shared" si="53"/>
        <v/>
      </c>
      <c r="Z856" s="3" t="str">
        <f t="shared" si="54"/>
        <v/>
      </c>
      <c r="AA856" s="11" t="str">
        <f t="shared" si="55"/>
        <v/>
      </c>
    </row>
    <row r="857" spans="1:27" x14ac:dyDescent="0.35">
      <c r="A857" s="10" t="s">
        <v>1980</v>
      </c>
      <c r="F857" t="s">
        <v>1358</v>
      </c>
      <c r="K857">
        <v>1</v>
      </c>
      <c r="L857" t="str">
        <f t="shared" si="52"/>
        <v/>
      </c>
      <c r="O857" t="s">
        <v>38</v>
      </c>
      <c r="T857" s="2">
        <f>'SUPUESTOS PRECIOS'!$B$9</f>
        <v>0</v>
      </c>
      <c r="U857" s="3">
        <f>'SUPUESTOS PRECIOS'!$B$5/'SUPUESTOS PRECIOS'!$B$4</f>
        <v>1000</v>
      </c>
      <c r="V857" s="3">
        <f>('SUPUESTOS PRECIOS'!$B$6-'SUPUESTOS PRECIOS'!$B$7)/'SUPUESTOS PRECIOS'!$B$4</f>
        <v>377.5</v>
      </c>
      <c r="W857" s="4">
        <f>'SUPUESTOS PRECIOS'!$B$8</f>
        <v>9.6799999999999994E-3</v>
      </c>
      <c r="X857" s="4">
        <f>'SUPUESTOS PRECIOS'!$B$2</f>
        <v>0.4</v>
      </c>
      <c r="Y857" s="3" t="str">
        <f t="shared" si="53"/>
        <v/>
      </c>
      <c r="Z857" s="3" t="str">
        <f t="shared" si="54"/>
        <v/>
      </c>
      <c r="AA857" s="11" t="str">
        <f t="shared" si="55"/>
        <v/>
      </c>
    </row>
    <row r="858" spans="1:27" x14ac:dyDescent="0.35">
      <c r="A858" s="10" t="s">
        <v>1981</v>
      </c>
      <c r="F858" t="s">
        <v>1358</v>
      </c>
      <c r="K858">
        <v>1</v>
      </c>
      <c r="L858" t="str">
        <f t="shared" si="52"/>
        <v/>
      </c>
      <c r="O858" t="s">
        <v>38</v>
      </c>
      <c r="T858" s="2">
        <f>'SUPUESTOS PRECIOS'!$B$9</f>
        <v>0</v>
      </c>
      <c r="U858" s="3">
        <f>'SUPUESTOS PRECIOS'!$B$5/'SUPUESTOS PRECIOS'!$B$4</f>
        <v>1000</v>
      </c>
      <c r="V858" s="3">
        <f>('SUPUESTOS PRECIOS'!$B$6-'SUPUESTOS PRECIOS'!$B$7)/'SUPUESTOS PRECIOS'!$B$4</f>
        <v>377.5</v>
      </c>
      <c r="W858" s="4">
        <f>'SUPUESTOS PRECIOS'!$B$8</f>
        <v>9.6799999999999994E-3</v>
      </c>
      <c r="X858" s="4">
        <f>'SUPUESTOS PRECIOS'!$B$2</f>
        <v>0.4</v>
      </c>
      <c r="Y858" s="3" t="str">
        <f t="shared" si="53"/>
        <v/>
      </c>
      <c r="Z858" s="3" t="str">
        <f t="shared" si="54"/>
        <v/>
      </c>
      <c r="AA858" s="11" t="str">
        <f t="shared" si="55"/>
        <v/>
      </c>
    </row>
    <row r="859" spans="1:27" x14ac:dyDescent="0.35">
      <c r="A859" s="10" t="s">
        <v>1982</v>
      </c>
      <c r="F859" t="s">
        <v>1358</v>
      </c>
      <c r="K859">
        <v>1</v>
      </c>
      <c r="L859" t="str">
        <f t="shared" si="52"/>
        <v/>
      </c>
      <c r="O859" t="s">
        <v>38</v>
      </c>
      <c r="T859" s="2">
        <f>'SUPUESTOS PRECIOS'!$B$9</f>
        <v>0</v>
      </c>
      <c r="U859" s="3">
        <f>'SUPUESTOS PRECIOS'!$B$5/'SUPUESTOS PRECIOS'!$B$4</f>
        <v>1000</v>
      </c>
      <c r="V859" s="3">
        <f>('SUPUESTOS PRECIOS'!$B$6-'SUPUESTOS PRECIOS'!$B$7)/'SUPUESTOS PRECIOS'!$B$4</f>
        <v>377.5</v>
      </c>
      <c r="W859" s="4">
        <f>'SUPUESTOS PRECIOS'!$B$8</f>
        <v>9.6799999999999994E-3</v>
      </c>
      <c r="X859" s="4">
        <f>'SUPUESTOS PRECIOS'!$B$2</f>
        <v>0.4</v>
      </c>
      <c r="Y859" s="3" t="str">
        <f t="shared" si="53"/>
        <v/>
      </c>
      <c r="Z859" s="3" t="str">
        <f t="shared" si="54"/>
        <v/>
      </c>
      <c r="AA859" s="11" t="str">
        <f t="shared" si="55"/>
        <v/>
      </c>
    </row>
    <row r="860" spans="1:27" x14ac:dyDescent="0.35">
      <c r="A860" s="10" t="s">
        <v>1983</v>
      </c>
      <c r="F860" t="s">
        <v>1358</v>
      </c>
      <c r="K860">
        <v>1</v>
      </c>
      <c r="L860" t="str">
        <f t="shared" si="52"/>
        <v/>
      </c>
      <c r="O860" t="s">
        <v>38</v>
      </c>
      <c r="T860" s="2">
        <f>'SUPUESTOS PRECIOS'!$B$9</f>
        <v>0</v>
      </c>
      <c r="U860" s="3">
        <f>'SUPUESTOS PRECIOS'!$B$5/'SUPUESTOS PRECIOS'!$B$4</f>
        <v>1000</v>
      </c>
      <c r="V860" s="3">
        <f>('SUPUESTOS PRECIOS'!$B$6-'SUPUESTOS PRECIOS'!$B$7)/'SUPUESTOS PRECIOS'!$B$4</f>
        <v>377.5</v>
      </c>
      <c r="W860" s="4">
        <f>'SUPUESTOS PRECIOS'!$B$8</f>
        <v>9.6799999999999994E-3</v>
      </c>
      <c r="X860" s="4">
        <f>'SUPUESTOS PRECIOS'!$B$2</f>
        <v>0.4</v>
      </c>
      <c r="Y860" s="3" t="str">
        <f t="shared" si="53"/>
        <v/>
      </c>
      <c r="Z860" s="3" t="str">
        <f t="shared" si="54"/>
        <v/>
      </c>
      <c r="AA860" s="11" t="str">
        <f t="shared" si="55"/>
        <v/>
      </c>
    </row>
    <row r="861" spans="1:27" x14ac:dyDescent="0.35">
      <c r="A861" s="10" t="s">
        <v>1984</v>
      </c>
      <c r="F861" t="s">
        <v>1358</v>
      </c>
      <c r="K861">
        <v>1</v>
      </c>
      <c r="L861" t="str">
        <f t="shared" si="52"/>
        <v/>
      </c>
      <c r="O861" t="s">
        <v>38</v>
      </c>
      <c r="T861" s="2">
        <f>'SUPUESTOS PRECIOS'!$B$9</f>
        <v>0</v>
      </c>
      <c r="U861" s="3">
        <f>'SUPUESTOS PRECIOS'!$B$5/'SUPUESTOS PRECIOS'!$B$4</f>
        <v>1000</v>
      </c>
      <c r="V861" s="3">
        <f>('SUPUESTOS PRECIOS'!$B$6-'SUPUESTOS PRECIOS'!$B$7)/'SUPUESTOS PRECIOS'!$B$4</f>
        <v>377.5</v>
      </c>
      <c r="W861" s="4">
        <f>'SUPUESTOS PRECIOS'!$B$8</f>
        <v>9.6799999999999994E-3</v>
      </c>
      <c r="X861" s="4">
        <f>'SUPUESTOS PRECIOS'!$B$2</f>
        <v>0.4</v>
      </c>
      <c r="Y861" s="3" t="str">
        <f t="shared" si="53"/>
        <v/>
      </c>
      <c r="Z861" s="3" t="str">
        <f t="shared" si="54"/>
        <v/>
      </c>
      <c r="AA861" s="11" t="str">
        <f t="shared" si="55"/>
        <v/>
      </c>
    </row>
    <row r="862" spans="1:27" x14ac:dyDescent="0.35">
      <c r="A862" s="10" t="s">
        <v>1985</v>
      </c>
      <c r="F862" t="s">
        <v>1358</v>
      </c>
      <c r="K862">
        <v>1</v>
      </c>
      <c r="L862" t="str">
        <f t="shared" si="52"/>
        <v/>
      </c>
      <c r="O862" t="s">
        <v>38</v>
      </c>
      <c r="T862" s="2">
        <f>'SUPUESTOS PRECIOS'!$B$9</f>
        <v>0</v>
      </c>
      <c r="U862" s="3">
        <f>'SUPUESTOS PRECIOS'!$B$5/'SUPUESTOS PRECIOS'!$B$4</f>
        <v>1000</v>
      </c>
      <c r="V862" s="3">
        <f>('SUPUESTOS PRECIOS'!$B$6-'SUPUESTOS PRECIOS'!$B$7)/'SUPUESTOS PRECIOS'!$B$4</f>
        <v>377.5</v>
      </c>
      <c r="W862" s="4">
        <f>'SUPUESTOS PRECIOS'!$B$8</f>
        <v>9.6799999999999994E-3</v>
      </c>
      <c r="X862" s="4">
        <f>'SUPUESTOS PRECIOS'!$B$2</f>
        <v>0.4</v>
      </c>
      <c r="Y862" s="3" t="str">
        <f t="shared" si="53"/>
        <v/>
      </c>
      <c r="Z862" s="3" t="str">
        <f t="shared" si="54"/>
        <v/>
      </c>
      <c r="AA862" s="11" t="str">
        <f t="shared" si="55"/>
        <v/>
      </c>
    </row>
    <row r="863" spans="1:27" x14ac:dyDescent="0.35">
      <c r="A863" s="10" t="s">
        <v>1986</v>
      </c>
      <c r="F863" t="s">
        <v>1358</v>
      </c>
      <c r="K863">
        <v>1</v>
      </c>
      <c r="L863" t="str">
        <f t="shared" si="52"/>
        <v/>
      </c>
      <c r="O863" t="s">
        <v>38</v>
      </c>
      <c r="T863" s="2">
        <f>'SUPUESTOS PRECIOS'!$B$9</f>
        <v>0</v>
      </c>
      <c r="U863" s="3">
        <f>'SUPUESTOS PRECIOS'!$B$5/'SUPUESTOS PRECIOS'!$B$4</f>
        <v>1000</v>
      </c>
      <c r="V863" s="3">
        <f>('SUPUESTOS PRECIOS'!$B$6-'SUPUESTOS PRECIOS'!$B$7)/'SUPUESTOS PRECIOS'!$B$4</f>
        <v>377.5</v>
      </c>
      <c r="W863" s="4">
        <f>'SUPUESTOS PRECIOS'!$B$8</f>
        <v>9.6799999999999994E-3</v>
      </c>
      <c r="X863" s="4">
        <f>'SUPUESTOS PRECIOS'!$B$2</f>
        <v>0.4</v>
      </c>
      <c r="Y863" s="3" t="str">
        <f t="shared" si="53"/>
        <v/>
      </c>
      <c r="Z863" s="3" t="str">
        <f t="shared" si="54"/>
        <v/>
      </c>
      <c r="AA863" s="11" t="str">
        <f t="shared" si="55"/>
        <v/>
      </c>
    </row>
    <row r="864" spans="1:27" x14ac:dyDescent="0.35">
      <c r="A864" s="10" t="s">
        <v>1987</v>
      </c>
      <c r="F864" t="s">
        <v>1358</v>
      </c>
      <c r="K864">
        <v>1</v>
      </c>
      <c r="L864" t="str">
        <f t="shared" si="52"/>
        <v/>
      </c>
      <c r="O864" t="s">
        <v>38</v>
      </c>
      <c r="T864" s="2">
        <f>'SUPUESTOS PRECIOS'!$B$9</f>
        <v>0</v>
      </c>
      <c r="U864" s="3">
        <f>'SUPUESTOS PRECIOS'!$B$5/'SUPUESTOS PRECIOS'!$B$4</f>
        <v>1000</v>
      </c>
      <c r="V864" s="3">
        <f>('SUPUESTOS PRECIOS'!$B$6-'SUPUESTOS PRECIOS'!$B$7)/'SUPUESTOS PRECIOS'!$B$4</f>
        <v>377.5</v>
      </c>
      <c r="W864" s="4">
        <f>'SUPUESTOS PRECIOS'!$B$8</f>
        <v>9.6799999999999994E-3</v>
      </c>
      <c r="X864" s="4">
        <f>'SUPUESTOS PRECIOS'!$B$2</f>
        <v>0.4</v>
      </c>
      <c r="Y864" s="3" t="str">
        <f t="shared" si="53"/>
        <v/>
      </c>
      <c r="Z864" s="3" t="str">
        <f t="shared" si="54"/>
        <v/>
      </c>
      <c r="AA864" s="11" t="str">
        <f t="shared" si="55"/>
        <v/>
      </c>
    </row>
    <row r="865" spans="1:27" x14ac:dyDescent="0.35">
      <c r="A865" s="10" t="s">
        <v>1988</v>
      </c>
      <c r="F865" t="s">
        <v>1358</v>
      </c>
      <c r="K865">
        <v>1</v>
      </c>
      <c r="L865" t="str">
        <f t="shared" si="52"/>
        <v/>
      </c>
      <c r="O865" t="s">
        <v>38</v>
      </c>
      <c r="T865" s="2">
        <f>'SUPUESTOS PRECIOS'!$B$9</f>
        <v>0</v>
      </c>
      <c r="U865" s="3">
        <f>'SUPUESTOS PRECIOS'!$B$5/'SUPUESTOS PRECIOS'!$B$4</f>
        <v>1000</v>
      </c>
      <c r="V865" s="3">
        <f>('SUPUESTOS PRECIOS'!$B$6-'SUPUESTOS PRECIOS'!$B$7)/'SUPUESTOS PRECIOS'!$B$4</f>
        <v>377.5</v>
      </c>
      <c r="W865" s="4">
        <f>'SUPUESTOS PRECIOS'!$B$8</f>
        <v>9.6799999999999994E-3</v>
      </c>
      <c r="X865" s="4">
        <f>'SUPUESTOS PRECIOS'!$B$2</f>
        <v>0.4</v>
      </c>
      <c r="Y865" s="3" t="str">
        <f t="shared" si="53"/>
        <v/>
      </c>
      <c r="Z865" s="3" t="str">
        <f t="shared" si="54"/>
        <v/>
      </c>
      <c r="AA865" s="11" t="str">
        <f t="shared" si="55"/>
        <v/>
      </c>
    </row>
    <row r="866" spans="1:27" x14ac:dyDescent="0.35">
      <c r="A866" s="10" t="s">
        <v>1989</v>
      </c>
      <c r="F866" t="s">
        <v>1358</v>
      </c>
      <c r="K866">
        <v>1</v>
      </c>
      <c r="L866" t="str">
        <f t="shared" si="52"/>
        <v/>
      </c>
      <c r="O866" t="s">
        <v>38</v>
      </c>
      <c r="T866" s="2">
        <f>'SUPUESTOS PRECIOS'!$B$9</f>
        <v>0</v>
      </c>
      <c r="U866" s="3">
        <f>'SUPUESTOS PRECIOS'!$B$5/'SUPUESTOS PRECIOS'!$B$4</f>
        <v>1000</v>
      </c>
      <c r="V866" s="3">
        <f>('SUPUESTOS PRECIOS'!$B$6-'SUPUESTOS PRECIOS'!$B$7)/'SUPUESTOS PRECIOS'!$B$4</f>
        <v>377.5</v>
      </c>
      <c r="W866" s="4">
        <f>'SUPUESTOS PRECIOS'!$B$8</f>
        <v>9.6799999999999994E-3</v>
      </c>
      <c r="X866" s="4">
        <f>'SUPUESTOS PRECIOS'!$B$2</f>
        <v>0.4</v>
      </c>
      <c r="Y866" s="3" t="str">
        <f t="shared" si="53"/>
        <v/>
      </c>
      <c r="Z866" s="3" t="str">
        <f t="shared" si="54"/>
        <v/>
      </c>
      <c r="AA866" s="11" t="str">
        <f t="shared" si="55"/>
        <v/>
      </c>
    </row>
    <row r="867" spans="1:27" x14ac:dyDescent="0.35">
      <c r="A867" s="10" t="s">
        <v>1990</v>
      </c>
      <c r="F867" t="s">
        <v>1358</v>
      </c>
      <c r="K867">
        <v>1</v>
      </c>
      <c r="L867" t="str">
        <f t="shared" si="52"/>
        <v/>
      </c>
      <c r="O867" t="s">
        <v>38</v>
      </c>
      <c r="T867" s="2">
        <f>'SUPUESTOS PRECIOS'!$B$9</f>
        <v>0</v>
      </c>
      <c r="U867" s="3">
        <f>'SUPUESTOS PRECIOS'!$B$5/'SUPUESTOS PRECIOS'!$B$4</f>
        <v>1000</v>
      </c>
      <c r="V867" s="3">
        <f>('SUPUESTOS PRECIOS'!$B$6-'SUPUESTOS PRECIOS'!$B$7)/'SUPUESTOS PRECIOS'!$B$4</f>
        <v>377.5</v>
      </c>
      <c r="W867" s="4">
        <f>'SUPUESTOS PRECIOS'!$B$8</f>
        <v>9.6799999999999994E-3</v>
      </c>
      <c r="X867" s="4">
        <f>'SUPUESTOS PRECIOS'!$B$2</f>
        <v>0.4</v>
      </c>
      <c r="Y867" s="3" t="str">
        <f t="shared" si="53"/>
        <v/>
      </c>
      <c r="Z867" s="3" t="str">
        <f t="shared" si="54"/>
        <v/>
      </c>
      <c r="AA867" s="11" t="str">
        <f t="shared" si="55"/>
        <v/>
      </c>
    </row>
    <row r="868" spans="1:27" x14ac:dyDescent="0.35">
      <c r="A868" s="10" t="s">
        <v>1991</v>
      </c>
      <c r="F868" t="s">
        <v>1358</v>
      </c>
      <c r="K868">
        <v>1</v>
      </c>
      <c r="L868" t="str">
        <f t="shared" si="52"/>
        <v/>
      </c>
      <c r="O868" t="s">
        <v>38</v>
      </c>
      <c r="T868" s="2">
        <f>'SUPUESTOS PRECIOS'!$B$9</f>
        <v>0</v>
      </c>
      <c r="U868" s="3">
        <f>'SUPUESTOS PRECIOS'!$B$5/'SUPUESTOS PRECIOS'!$B$4</f>
        <v>1000</v>
      </c>
      <c r="V868" s="3">
        <f>('SUPUESTOS PRECIOS'!$B$6-'SUPUESTOS PRECIOS'!$B$7)/'SUPUESTOS PRECIOS'!$B$4</f>
        <v>377.5</v>
      </c>
      <c r="W868" s="4">
        <f>'SUPUESTOS PRECIOS'!$B$8</f>
        <v>9.6799999999999994E-3</v>
      </c>
      <c r="X868" s="4">
        <f>'SUPUESTOS PRECIOS'!$B$2</f>
        <v>0.4</v>
      </c>
      <c r="Y868" s="3" t="str">
        <f t="shared" si="53"/>
        <v/>
      </c>
      <c r="Z868" s="3" t="str">
        <f t="shared" si="54"/>
        <v/>
      </c>
      <c r="AA868" s="11" t="str">
        <f t="shared" si="55"/>
        <v/>
      </c>
    </row>
    <row r="869" spans="1:27" x14ac:dyDescent="0.35">
      <c r="A869" s="10" t="s">
        <v>1992</v>
      </c>
      <c r="F869" t="s">
        <v>1358</v>
      </c>
      <c r="K869">
        <v>1</v>
      </c>
      <c r="L869" t="str">
        <f t="shared" si="52"/>
        <v/>
      </c>
      <c r="O869" t="s">
        <v>38</v>
      </c>
      <c r="T869" s="2">
        <f>'SUPUESTOS PRECIOS'!$B$9</f>
        <v>0</v>
      </c>
      <c r="U869" s="3">
        <f>'SUPUESTOS PRECIOS'!$B$5/'SUPUESTOS PRECIOS'!$B$4</f>
        <v>1000</v>
      </c>
      <c r="V869" s="3">
        <f>('SUPUESTOS PRECIOS'!$B$6-'SUPUESTOS PRECIOS'!$B$7)/'SUPUESTOS PRECIOS'!$B$4</f>
        <v>377.5</v>
      </c>
      <c r="W869" s="4">
        <f>'SUPUESTOS PRECIOS'!$B$8</f>
        <v>9.6799999999999994E-3</v>
      </c>
      <c r="X869" s="4">
        <f>'SUPUESTOS PRECIOS'!$B$2</f>
        <v>0.4</v>
      </c>
      <c r="Y869" s="3" t="str">
        <f t="shared" si="53"/>
        <v/>
      </c>
      <c r="Z869" s="3" t="str">
        <f t="shared" si="54"/>
        <v/>
      </c>
      <c r="AA869" s="11" t="str">
        <f t="shared" si="55"/>
        <v/>
      </c>
    </row>
    <row r="870" spans="1:27" x14ac:dyDescent="0.35">
      <c r="A870" s="10" t="s">
        <v>1993</v>
      </c>
      <c r="F870" t="s">
        <v>1358</v>
      </c>
      <c r="K870">
        <v>1</v>
      </c>
      <c r="L870" t="str">
        <f t="shared" si="52"/>
        <v/>
      </c>
      <c r="O870" t="s">
        <v>38</v>
      </c>
      <c r="T870" s="2">
        <f>'SUPUESTOS PRECIOS'!$B$9</f>
        <v>0</v>
      </c>
      <c r="U870" s="3">
        <f>'SUPUESTOS PRECIOS'!$B$5/'SUPUESTOS PRECIOS'!$B$4</f>
        <v>1000</v>
      </c>
      <c r="V870" s="3">
        <f>('SUPUESTOS PRECIOS'!$B$6-'SUPUESTOS PRECIOS'!$B$7)/'SUPUESTOS PRECIOS'!$B$4</f>
        <v>377.5</v>
      </c>
      <c r="W870" s="4">
        <f>'SUPUESTOS PRECIOS'!$B$8</f>
        <v>9.6799999999999994E-3</v>
      </c>
      <c r="X870" s="4">
        <f>'SUPUESTOS PRECIOS'!$B$2</f>
        <v>0.4</v>
      </c>
      <c r="Y870" s="3" t="str">
        <f t="shared" si="53"/>
        <v/>
      </c>
      <c r="Z870" s="3" t="str">
        <f t="shared" si="54"/>
        <v/>
      </c>
      <c r="AA870" s="11" t="str">
        <f t="shared" si="55"/>
        <v/>
      </c>
    </row>
    <row r="871" spans="1:27" x14ac:dyDescent="0.35">
      <c r="A871" s="10" t="s">
        <v>1994</v>
      </c>
      <c r="F871" t="s">
        <v>1358</v>
      </c>
      <c r="K871">
        <v>1</v>
      </c>
      <c r="L871" t="str">
        <f t="shared" si="52"/>
        <v/>
      </c>
      <c r="O871" t="s">
        <v>38</v>
      </c>
      <c r="T871" s="2">
        <f>'SUPUESTOS PRECIOS'!$B$9</f>
        <v>0</v>
      </c>
      <c r="U871" s="3">
        <f>'SUPUESTOS PRECIOS'!$B$5/'SUPUESTOS PRECIOS'!$B$4</f>
        <v>1000</v>
      </c>
      <c r="V871" s="3">
        <f>('SUPUESTOS PRECIOS'!$B$6-'SUPUESTOS PRECIOS'!$B$7)/'SUPUESTOS PRECIOS'!$B$4</f>
        <v>377.5</v>
      </c>
      <c r="W871" s="4">
        <f>'SUPUESTOS PRECIOS'!$B$8</f>
        <v>9.6799999999999994E-3</v>
      </c>
      <c r="X871" s="4">
        <f>'SUPUESTOS PRECIOS'!$B$2</f>
        <v>0.4</v>
      </c>
      <c r="Y871" s="3" t="str">
        <f t="shared" si="53"/>
        <v/>
      </c>
      <c r="Z871" s="3" t="str">
        <f t="shared" si="54"/>
        <v/>
      </c>
      <c r="AA871" s="11" t="str">
        <f t="shared" si="55"/>
        <v/>
      </c>
    </row>
    <row r="872" spans="1:27" x14ac:dyDescent="0.35">
      <c r="A872" s="10" t="s">
        <v>1995</v>
      </c>
      <c r="F872" t="s">
        <v>1358</v>
      </c>
      <c r="K872">
        <v>1</v>
      </c>
      <c r="L872" t="str">
        <f t="shared" si="52"/>
        <v/>
      </c>
      <c r="O872" t="s">
        <v>38</v>
      </c>
      <c r="T872" s="2">
        <f>'SUPUESTOS PRECIOS'!$B$9</f>
        <v>0</v>
      </c>
      <c r="U872" s="3">
        <f>'SUPUESTOS PRECIOS'!$B$5/'SUPUESTOS PRECIOS'!$B$4</f>
        <v>1000</v>
      </c>
      <c r="V872" s="3">
        <f>('SUPUESTOS PRECIOS'!$B$6-'SUPUESTOS PRECIOS'!$B$7)/'SUPUESTOS PRECIOS'!$B$4</f>
        <v>377.5</v>
      </c>
      <c r="W872" s="4">
        <f>'SUPUESTOS PRECIOS'!$B$8</f>
        <v>9.6799999999999994E-3</v>
      </c>
      <c r="X872" s="4">
        <f>'SUPUESTOS PRECIOS'!$B$2</f>
        <v>0.4</v>
      </c>
      <c r="Y872" s="3" t="str">
        <f t="shared" si="53"/>
        <v/>
      </c>
      <c r="Z872" s="3" t="str">
        <f t="shared" si="54"/>
        <v/>
      </c>
      <c r="AA872" s="11" t="str">
        <f t="shared" si="55"/>
        <v/>
      </c>
    </row>
    <row r="873" spans="1:27" x14ac:dyDescent="0.35">
      <c r="A873" s="10" t="s">
        <v>1996</v>
      </c>
      <c r="F873" t="s">
        <v>1358</v>
      </c>
      <c r="K873">
        <v>1</v>
      </c>
      <c r="L873" t="str">
        <f t="shared" si="52"/>
        <v/>
      </c>
      <c r="O873" t="s">
        <v>38</v>
      </c>
      <c r="T873" s="2">
        <f>'SUPUESTOS PRECIOS'!$B$9</f>
        <v>0</v>
      </c>
      <c r="U873" s="3">
        <f>'SUPUESTOS PRECIOS'!$B$5/'SUPUESTOS PRECIOS'!$B$4</f>
        <v>1000</v>
      </c>
      <c r="V873" s="3">
        <f>('SUPUESTOS PRECIOS'!$B$6-'SUPUESTOS PRECIOS'!$B$7)/'SUPUESTOS PRECIOS'!$B$4</f>
        <v>377.5</v>
      </c>
      <c r="W873" s="4">
        <f>'SUPUESTOS PRECIOS'!$B$8</f>
        <v>9.6799999999999994E-3</v>
      </c>
      <c r="X873" s="4">
        <f>'SUPUESTOS PRECIOS'!$B$2</f>
        <v>0.4</v>
      </c>
      <c r="Y873" s="3" t="str">
        <f t="shared" si="53"/>
        <v/>
      </c>
      <c r="Z873" s="3" t="str">
        <f t="shared" si="54"/>
        <v/>
      </c>
      <c r="AA873" s="11" t="str">
        <f t="shared" si="55"/>
        <v/>
      </c>
    </row>
    <row r="874" spans="1:27" x14ac:dyDescent="0.35">
      <c r="A874" s="10" t="s">
        <v>1997</v>
      </c>
      <c r="F874" t="s">
        <v>1358</v>
      </c>
      <c r="K874">
        <v>1</v>
      </c>
      <c r="L874" t="str">
        <f t="shared" si="52"/>
        <v/>
      </c>
      <c r="O874" t="s">
        <v>38</v>
      </c>
      <c r="T874" s="2">
        <f>'SUPUESTOS PRECIOS'!$B$9</f>
        <v>0</v>
      </c>
      <c r="U874" s="3">
        <f>'SUPUESTOS PRECIOS'!$B$5/'SUPUESTOS PRECIOS'!$B$4</f>
        <v>1000</v>
      </c>
      <c r="V874" s="3">
        <f>('SUPUESTOS PRECIOS'!$B$6-'SUPUESTOS PRECIOS'!$B$7)/'SUPUESTOS PRECIOS'!$B$4</f>
        <v>377.5</v>
      </c>
      <c r="W874" s="4">
        <f>'SUPUESTOS PRECIOS'!$B$8</f>
        <v>9.6799999999999994E-3</v>
      </c>
      <c r="X874" s="4">
        <f>'SUPUESTOS PRECIOS'!$B$2</f>
        <v>0.4</v>
      </c>
      <c r="Y874" s="3" t="str">
        <f t="shared" si="53"/>
        <v/>
      </c>
      <c r="Z874" s="3" t="str">
        <f t="shared" si="54"/>
        <v/>
      </c>
      <c r="AA874" s="11" t="str">
        <f t="shared" si="55"/>
        <v/>
      </c>
    </row>
    <row r="875" spans="1:27" x14ac:dyDescent="0.35">
      <c r="A875" s="10" t="s">
        <v>1998</v>
      </c>
      <c r="F875" t="s">
        <v>1358</v>
      </c>
      <c r="K875">
        <v>1</v>
      </c>
      <c r="L875" t="str">
        <f t="shared" si="52"/>
        <v/>
      </c>
      <c r="O875" t="s">
        <v>38</v>
      </c>
      <c r="T875" s="2">
        <f>'SUPUESTOS PRECIOS'!$B$9</f>
        <v>0</v>
      </c>
      <c r="U875" s="3">
        <f>'SUPUESTOS PRECIOS'!$B$5/'SUPUESTOS PRECIOS'!$B$4</f>
        <v>1000</v>
      </c>
      <c r="V875" s="3">
        <f>('SUPUESTOS PRECIOS'!$B$6-'SUPUESTOS PRECIOS'!$B$7)/'SUPUESTOS PRECIOS'!$B$4</f>
        <v>377.5</v>
      </c>
      <c r="W875" s="4">
        <f>'SUPUESTOS PRECIOS'!$B$8</f>
        <v>9.6799999999999994E-3</v>
      </c>
      <c r="X875" s="4">
        <f>'SUPUESTOS PRECIOS'!$B$2</f>
        <v>0.4</v>
      </c>
      <c r="Y875" s="3" t="str">
        <f t="shared" si="53"/>
        <v/>
      </c>
      <c r="Z875" s="3" t="str">
        <f t="shared" si="54"/>
        <v/>
      </c>
      <c r="AA875" s="11" t="str">
        <f t="shared" si="55"/>
        <v/>
      </c>
    </row>
    <row r="876" spans="1:27" x14ac:dyDescent="0.35">
      <c r="A876" s="10" t="s">
        <v>1999</v>
      </c>
      <c r="F876" t="s">
        <v>1358</v>
      </c>
      <c r="K876">
        <v>1</v>
      </c>
      <c r="L876" t="str">
        <f t="shared" si="52"/>
        <v/>
      </c>
      <c r="O876" t="s">
        <v>38</v>
      </c>
      <c r="T876" s="2">
        <f>'SUPUESTOS PRECIOS'!$B$9</f>
        <v>0</v>
      </c>
      <c r="U876" s="3">
        <f>'SUPUESTOS PRECIOS'!$B$5/'SUPUESTOS PRECIOS'!$B$4</f>
        <v>1000</v>
      </c>
      <c r="V876" s="3">
        <f>('SUPUESTOS PRECIOS'!$B$6-'SUPUESTOS PRECIOS'!$B$7)/'SUPUESTOS PRECIOS'!$B$4</f>
        <v>377.5</v>
      </c>
      <c r="W876" s="4">
        <f>'SUPUESTOS PRECIOS'!$B$8</f>
        <v>9.6799999999999994E-3</v>
      </c>
      <c r="X876" s="4">
        <f>'SUPUESTOS PRECIOS'!$B$2</f>
        <v>0.4</v>
      </c>
      <c r="Y876" s="3" t="str">
        <f t="shared" si="53"/>
        <v/>
      </c>
      <c r="Z876" s="3" t="str">
        <f t="shared" si="54"/>
        <v/>
      </c>
      <c r="AA876" s="11" t="str">
        <f t="shared" si="55"/>
        <v/>
      </c>
    </row>
    <row r="877" spans="1:27" x14ac:dyDescent="0.35">
      <c r="A877" s="10" t="s">
        <v>2000</v>
      </c>
      <c r="F877" t="s">
        <v>1358</v>
      </c>
      <c r="K877">
        <v>1</v>
      </c>
      <c r="L877" t="str">
        <f t="shared" si="52"/>
        <v/>
      </c>
      <c r="O877" t="s">
        <v>38</v>
      </c>
      <c r="T877" s="2">
        <f>'SUPUESTOS PRECIOS'!$B$9</f>
        <v>0</v>
      </c>
      <c r="U877" s="3">
        <f>'SUPUESTOS PRECIOS'!$B$5/'SUPUESTOS PRECIOS'!$B$4</f>
        <v>1000</v>
      </c>
      <c r="V877" s="3">
        <f>('SUPUESTOS PRECIOS'!$B$6-'SUPUESTOS PRECIOS'!$B$7)/'SUPUESTOS PRECIOS'!$B$4</f>
        <v>377.5</v>
      </c>
      <c r="W877" s="4">
        <f>'SUPUESTOS PRECIOS'!$B$8</f>
        <v>9.6799999999999994E-3</v>
      </c>
      <c r="X877" s="4">
        <f>'SUPUESTOS PRECIOS'!$B$2</f>
        <v>0.4</v>
      </c>
      <c r="Y877" s="3" t="str">
        <f t="shared" si="53"/>
        <v/>
      </c>
      <c r="Z877" s="3" t="str">
        <f t="shared" si="54"/>
        <v/>
      </c>
      <c r="AA877" s="11" t="str">
        <f t="shared" si="55"/>
        <v/>
      </c>
    </row>
    <row r="878" spans="1:27" x14ac:dyDescent="0.35">
      <c r="A878" s="10" t="s">
        <v>2001</v>
      </c>
      <c r="F878" t="s">
        <v>1358</v>
      </c>
      <c r="K878">
        <v>1</v>
      </c>
      <c r="L878" t="str">
        <f t="shared" si="52"/>
        <v/>
      </c>
      <c r="O878" t="s">
        <v>38</v>
      </c>
      <c r="T878" s="2">
        <f>'SUPUESTOS PRECIOS'!$B$9</f>
        <v>0</v>
      </c>
      <c r="U878" s="3">
        <f>'SUPUESTOS PRECIOS'!$B$5/'SUPUESTOS PRECIOS'!$B$4</f>
        <v>1000</v>
      </c>
      <c r="V878" s="3">
        <f>('SUPUESTOS PRECIOS'!$B$6-'SUPUESTOS PRECIOS'!$B$7)/'SUPUESTOS PRECIOS'!$B$4</f>
        <v>377.5</v>
      </c>
      <c r="W878" s="4">
        <f>'SUPUESTOS PRECIOS'!$B$8</f>
        <v>9.6799999999999994E-3</v>
      </c>
      <c r="X878" s="4">
        <f>'SUPUESTOS PRECIOS'!$B$2</f>
        <v>0.4</v>
      </c>
      <c r="Y878" s="3" t="str">
        <f t="shared" si="53"/>
        <v/>
      </c>
      <c r="Z878" s="3" t="str">
        <f t="shared" si="54"/>
        <v/>
      </c>
      <c r="AA878" s="11" t="str">
        <f t="shared" si="55"/>
        <v/>
      </c>
    </row>
    <row r="879" spans="1:27" x14ac:dyDescent="0.35">
      <c r="A879" s="10" t="s">
        <v>2002</v>
      </c>
      <c r="F879" t="s">
        <v>1358</v>
      </c>
      <c r="K879">
        <v>1</v>
      </c>
      <c r="L879" t="str">
        <f t="shared" si="52"/>
        <v/>
      </c>
      <c r="O879" t="s">
        <v>38</v>
      </c>
      <c r="T879" s="2">
        <f>'SUPUESTOS PRECIOS'!$B$9</f>
        <v>0</v>
      </c>
      <c r="U879" s="3">
        <f>'SUPUESTOS PRECIOS'!$B$5/'SUPUESTOS PRECIOS'!$B$4</f>
        <v>1000</v>
      </c>
      <c r="V879" s="3">
        <f>('SUPUESTOS PRECIOS'!$B$6-'SUPUESTOS PRECIOS'!$B$7)/'SUPUESTOS PRECIOS'!$B$4</f>
        <v>377.5</v>
      </c>
      <c r="W879" s="4">
        <f>'SUPUESTOS PRECIOS'!$B$8</f>
        <v>9.6799999999999994E-3</v>
      </c>
      <c r="X879" s="4">
        <f>'SUPUESTOS PRECIOS'!$B$2</f>
        <v>0.4</v>
      </c>
      <c r="Y879" s="3" t="str">
        <f t="shared" si="53"/>
        <v/>
      </c>
      <c r="Z879" s="3" t="str">
        <f t="shared" si="54"/>
        <v/>
      </c>
      <c r="AA879" s="11" t="str">
        <f t="shared" si="55"/>
        <v/>
      </c>
    </row>
    <row r="880" spans="1:27" x14ac:dyDescent="0.35">
      <c r="A880" s="10" t="s">
        <v>2003</v>
      </c>
      <c r="F880" t="s">
        <v>1358</v>
      </c>
      <c r="K880">
        <v>1</v>
      </c>
      <c r="L880" t="str">
        <f t="shared" si="52"/>
        <v/>
      </c>
      <c r="O880" t="s">
        <v>38</v>
      </c>
      <c r="T880" s="2">
        <f>'SUPUESTOS PRECIOS'!$B$9</f>
        <v>0</v>
      </c>
      <c r="U880" s="3">
        <f>'SUPUESTOS PRECIOS'!$B$5/'SUPUESTOS PRECIOS'!$B$4</f>
        <v>1000</v>
      </c>
      <c r="V880" s="3">
        <f>('SUPUESTOS PRECIOS'!$B$6-'SUPUESTOS PRECIOS'!$B$7)/'SUPUESTOS PRECIOS'!$B$4</f>
        <v>377.5</v>
      </c>
      <c r="W880" s="4">
        <f>'SUPUESTOS PRECIOS'!$B$8</f>
        <v>9.6799999999999994E-3</v>
      </c>
      <c r="X880" s="4">
        <f>'SUPUESTOS PRECIOS'!$B$2</f>
        <v>0.4</v>
      </c>
      <c r="Y880" s="3" t="str">
        <f t="shared" si="53"/>
        <v/>
      </c>
      <c r="Z880" s="3" t="str">
        <f t="shared" si="54"/>
        <v/>
      </c>
      <c r="AA880" s="11" t="str">
        <f t="shared" si="55"/>
        <v/>
      </c>
    </row>
    <row r="881" spans="1:27" x14ac:dyDescent="0.35">
      <c r="A881" s="10" t="s">
        <v>2004</v>
      </c>
      <c r="F881" t="s">
        <v>1358</v>
      </c>
      <c r="K881">
        <v>1</v>
      </c>
      <c r="L881" t="str">
        <f t="shared" si="52"/>
        <v/>
      </c>
      <c r="O881" t="s">
        <v>38</v>
      </c>
      <c r="T881" s="2">
        <f>'SUPUESTOS PRECIOS'!$B$9</f>
        <v>0</v>
      </c>
      <c r="U881" s="3">
        <f>'SUPUESTOS PRECIOS'!$B$5/'SUPUESTOS PRECIOS'!$B$4</f>
        <v>1000</v>
      </c>
      <c r="V881" s="3">
        <f>('SUPUESTOS PRECIOS'!$B$6-'SUPUESTOS PRECIOS'!$B$7)/'SUPUESTOS PRECIOS'!$B$4</f>
        <v>377.5</v>
      </c>
      <c r="W881" s="4">
        <f>'SUPUESTOS PRECIOS'!$B$8</f>
        <v>9.6799999999999994E-3</v>
      </c>
      <c r="X881" s="4">
        <f>'SUPUESTOS PRECIOS'!$B$2</f>
        <v>0.4</v>
      </c>
      <c r="Y881" s="3" t="str">
        <f t="shared" si="53"/>
        <v/>
      </c>
      <c r="Z881" s="3" t="str">
        <f t="shared" si="54"/>
        <v/>
      </c>
      <c r="AA881" s="11" t="str">
        <f t="shared" si="55"/>
        <v/>
      </c>
    </row>
    <row r="882" spans="1:27" x14ac:dyDescent="0.35">
      <c r="A882" s="10" t="s">
        <v>2005</v>
      </c>
      <c r="F882" t="s">
        <v>1358</v>
      </c>
      <c r="K882">
        <v>1</v>
      </c>
      <c r="L882" t="str">
        <f t="shared" si="52"/>
        <v/>
      </c>
      <c r="O882" t="s">
        <v>38</v>
      </c>
      <c r="T882" s="2">
        <f>'SUPUESTOS PRECIOS'!$B$9</f>
        <v>0</v>
      </c>
      <c r="U882" s="3">
        <f>'SUPUESTOS PRECIOS'!$B$5/'SUPUESTOS PRECIOS'!$B$4</f>
        <v>1000</v>
      </c>
      <c r="V882" s="3">
        <f>('SUPUESTOS PRECIOS'!$B$6-'SUPUESTOS PRECIOS'!$B$7)/'SUPUESTOS PRECIOS'!$B$4</f>
        <v>377.5</v>
      </c>
      <c r="W882" s="4">
        <f>'SUPUESTOS PRECIOS'!$B$8</f>
        <v>9.6799999999999994E-3</v>
      </c>
      <c r="X882" s="4">
        <f>'SUPUESTOS PRECIOS'!$B$2</f>
        <v>0.4</v>
      </c>
      <c r="Y882" s="3" t="str">
        <f t="shared" si="53"/>
        <v/>
      </c>
      <c r="Z882" s="3" t="str">
        <f t="shared" si="54"/>
        <v/>
      </c>
      <c r="AA882" s="11" t="str">
        <f t="shared" si="55"/>
        <v/>
      </c>
    </row>
    <row r="883" spans="1:27" x14ac:dyDescent="0.35">
      <c r="A883" s="10" t="s">
        <v>2006</v>
      </c>
      <c r="F883" t="s">
        <v>1358</v>
      </c>
      <c r="K883">
        <v>1</v>
      </c>
      <c r="L883" t="str">
        <f t="shared" si="52"/>
        <v/>
      </c>
      <c r="O883" t="s">
        <v>38</v>
      </c>
      <c r="T883" s="2">
        <f>'SUPUESTOS PRECIOS'!$B$9</f>
        <v>0</v>
      </c>
      <c r="U883" s="3">
        <f>'SUPUESTOS PRECIOS'!$B$5/'SUPUESTOS PRECIOS'!$B$4</f>
        <v>1000</v>
      </c>
      <c r="V883" s="3">
        <f>('SUPUESTOS PRECIOS'!$B$6-'SUPUESTOS PRECIOS'!$B$7)/'SUPUESTOS PRECIOS'!$B$4</f>
        <v>377.5</v>
      </c>
      <c r="W883" s="4">
        <f>'SUPUESTOS PRECIOS'!$B$8</f>
        <v>9.6799999999999994E-3</v>
      </c>
      <c r="X883" s="4">
        <f>'SUPUESTOS PRECIOS'!$B$2</f>
        <v>0.4</v>
      </c>
      <c r="Y883" s="3" t="str">
        <f t="shared" si="53"/>
        <v/>
      </c>
      <c r="Z883" s="3" t="str">
        <f t="shared" si="54"/>
        <v/>
      </c>
      <c r="AA883" s="11" t="str">
        <f t="shared" si="55"/>
        <v/>
      </c>
    </row>
    <row r="884" spans="1:27" x14ac:dyDescent="0.35">
      <c r="A884" s="10" t="s">
        <v>2007</v>
      </c>
      <c r="F884" t="s">
        <v>1358</v>
      </c>
      <c r="K884">
        <v>1</v>
      </c>
      <c r="L884" t="str">
        <f t="shared" si="52"/>
        <v/>
      </c>
      <c r="O884" t="s">
        <v>38</v>
      </c>
      <c r="T884" s="2">
        <f>'SUPUESTOS PRECIOS'!$B$9</f>
        <v>0</v>
      </c>
      <c r="U884" s="3">
        <f>'SUPUESTOS PRECIOS'!$B$5/'SUPUESTOS PRECIOS'!$B$4</f>
        <v>1000</v>
      </c>
      <c r="V884" s="3">
        <f>('SUPUESTOS PRECIOS'!$B$6-'SUPUESTOS PRECIOS'!$B$7)/'SUPUESTOS PRECIOS'!$B$4</f>
        <v>377.5</v>
      </c>
      <c r="W884" s="4">
        <f>'SUPUESTOS PRECIOS'!$B$8</f>
        <v>9.6799999999999994E-3</v>
      </c>
      <c r="X884" s="4">
        <f>'SUPUESTOS PRECIOS'!$B$2</f>
        <v>0.4</v>
      </c>
      <c r="Y884" s="3" t="str">
        <f t="shared" si="53"/>
        <v/>
      </c>
      <c r="Z884" s="3" t="str">
        <f t="shared" si="54"/>
        <v/>
      </c>
      <c r="AA884" s="11" t="str">
        <f t="shared" si="55"/>
        <v/>
      </c>
    </row>
    <row r="885" spans="1:27" x14ac:dyDescent="0.35">
      <c r="A885" s="10" t="s">
        <v>2008</v>
      </c>
      <c r="F885" t="s">
        <v>1358</v>
      </c>
      <c r="K885">
        <v>1</v>
      </c>
      <c r="L885" t="str">
        <f t="shared" si="52"/>
        <v/>
      </c>
      <c r="O885" t="s">
        <v>38</v>
      </c>
      <c r="T885" s="2">
        <f>'SUPUESTOS PRECIOS'!$B$9</f>
        <v>0</v>
      </c>
      <c r="U885" s="3">
        <f>'SUPUESTOS PRECIOS'!$B$5/'SUPUESTOS PRECIOS'!$B$4</f>
        <v>1000</v>
      </c>
      <c r="V885" s="3">
        <f>('SUPUESTOS PRECIOS'!$B$6-'SUPUESTOS PRECIOS'!$B$7)/'SUPUESTOS PRECIOS'!$B$4</f>
        <v>377.5</v>
      </c>
      <c r="W885" s="4">
        <f>'SUPUESTOS PRECIOS'!$B$8</f>
        <v>9.6799999999999994E-3</v>
      </c>
      <c r="X885" s="4">
        <f>'SUPUESTOS PRECIOS'!$B$2</f>
        <v>0.4</v>
      </c>
      <c r="Y885" s="3" t="str">
        <f t="shared" si="53"/>
        <v/>
      </c>
      <c r="Z885" s="3" t="str">
        <f t="shared" si="54"/>
        <v/>
      </c>
      <c r="AA885" s="11" t="str">
        <f t="shared" si="55"/>
        <v/>
      </c>
    </row>
    <row r="886" spans="1:27" x14ac:dyDescent="0.35">
      <c r="A886" s="10" t="s">
        <v>2009</v>
      </c>
      <c r="F886" t="s">
        <v>1358</v>
      </c>
      <c r="K886">
        <v>1</v>
      </c>
      <c r="L886" t="str">
        <f t="shared" si="52"/>
        <v/>
      </c>
      <c r="O886" t="s">
        <v>38</v>
      </c>
      <c r="T886" s="2">
        <f>'SUPUESTOS PRECIOS'!$B$9</f>
        <v>0</v>
      </c>
      <c r="U886" s="3">
        <f>'SUPUESTOS PRECIOS'!$B$5/'SUPUESTOS PRECIOS'!$B$4</f>
        <v>1000</v>
      </c>
      <c r="V886" s="3">
        <f>('SUPUESTOS PRECIOS'!$B$6-'SUPUESTOS PRECIOS'!$B$7)/'SUPUESTOS PRECIOS'!$B$4</f>
        <v>377.5</v>
      </c>
      <c r="W886" s="4">
        <f>'SUPUESTOS PRECIOS'!$B$8</f>
        <v>9.6799999999999994E-3</v>
      </c>
      <c r="X886" s="4">
        <f>'SUPUESTOS PRECIOS'!$B$2</f>
        <v>0.4</v>
      </c>
      <c r="Y886" s="3" t="str">
        <f t="shared" si="53"/>
        <v/>
      </c>
      <c r="Z886" s="3" t="str">
        <f t="shared" si="54"/>
        <v/>
      </c>
      <c r="AA886" s="11" t="str">
        <f t="shared" si="55"/>
        <v/>
      </c>
    </row>
    <row r="887" spans="1:27" x14ac:dyDescent="0.35">
      <c r="A887" s="10" t="s">
        <v>2010</v>
      </c>
      <c r="F887" t="s">
        <v>1358</v>
      </c>
      <c r="K887">
        <v>1</v>
      </c>
      <c r="L887" t="str">
        <f t="shared" si="52"/>
        <v/>
      </c>
      <c r="O887" t="s">
        <v>38</v>
      </c>
      <c r="T887" s="2">
        <f>'SUPUESTOS PRECIOS'!$B$9</f>
        <v>0</v>
      </c>
      <c r="U887" s="3">
        <f>'SUPUESTOS PRECIOS'!$B$5/'SUPUESTOS PRECIOS'!$B$4</f>
        <v>1000</v>
      </c>
      <c r="V887" s="3">
        <f>('SUPUESTOS PRECIOS'!$B$6-'SUPUESTOS PRECIOS'!$B$7)/'SUPUESTOS PRECIOS'!$B$4</f>
        <v>377.5</v>
      </c>
      <c r="W887" s="4">
        <f>'SUPUESTOS PRECIOS'!$B$8</f>
        <v>9.6799999999999994E-3</v>
      </c>
      <c r="X887" s="4">
        <f>'SUPUESTOS PRECIOS'!$B$2</f>
        <v>0.4</v>
      </c>
      <c r="Y887" s="3" t="str">
        <f t="shared" si="53"/>
        <v/>
      </c>
      <c r="Z887" s="3" t="str">
        <f t="shared" si="54"/>
        <v/>
      </c>
      <c r="AA887" s="11" t="str">
        <f t="shared" si="55"/>
        <v/>
      </c>
    </row>
    <row r="888" spans="1:27" x14ac:dyDescent="0.35">
      <c r="A888" s="10" t="s">
        <v>2011</v>
      </c>
      <c r="F888" t="s">
        <v>1358</v>
      </c>
      <c r="K888">
        <v>1</v>
      </c>
      <c r="L888" t="str">
        <f t="shared" si="52"/>
        <v/>
      </c>
      <c r="O888" t="s">
        <v>38</v>
      </c>
      <c r="T888" s="2">
        <f>'SUPUESTOS PRECIOS'!$B$9</f>
        <v>0</v>
      </c>
      <c r="U888" s="3">
        <f>'SUPUESTOS PRECIOS'!$B$5/'SUPUESTOS PRECIOS'!$B$4</f>
        <v>1000</v>
      </c>
      <c r="V888" s="3">
        <f>('SUPUESTOS PRECIOS'!$B$6-'SUPUESTOS PRECIOS'!$B$7)/'SUPUESTOS PRECIOS'!$B$4</f>
        <v>377.5</v>
      </c>
      <c r="W888" s="4">
        <f>'SUPUESTOS PRECIOS'!$B$8</f>
        <v>9.6799999999999994E-3</v>
      </c>
      <c r="X888" s="4">
        <f>'SUPUESTOS PRECIOS'!$B$2</f>
        <v>0.4</v>
      </c>
      <c r="Y888" s="3" t="str">
        <f t="shared" si="53"/>
        <v/>
      </c>
      <c r="Z888" s="3" t="str">
        <f t="shared" si="54"/>
        <v/>
      </c>
      <c r="AA888" s="11" t="str">
        <f t="shared" si="55"/>
        <v/>
      </c>
    </row>
    <row r="889" spans="1:27" x14ac:dyDescent="0.35">
      <c r="A889" s="10" t="s">
        <v>2012</v>
      </c>
      <c r="F889" t="s">
        <v>1358</v>
      </c>
      <c r="K889">
        <v>1</v>
      </c>
      <c r="L889" t="str">
        <f t="shared" si="52"/>
        <v/>
      </c>
      <c r="O889" t="s">
        <v>38</v>
      </c>
      <c r="T889" s="2">
        <f>'SUPUESTOS PRECIOS'!$B$9</f>
        <v>0</v>
      </c>
      <c r="U889" s="3">
        <f>'SUPUESTOS PRECIOS'!$B$5/'SUPUESTOS PRECIOS'!$B$4</f>
        <v>1000</v>
      </c>
      <c r="V889" s="3">
        <f>('SUPUESTOS PRECIOS'!$B$6-'SUPUESTOS PRECIOS'!$B$7)/'SUPUESTOS PRECIOS'!$B$4</f>
        <v>377.5</v>
      </c>
      <c r="W889" s="4">
        <f>'SUPUESTOS PRECIOS'!$B$8</f>
        <v>9.6799999999999994E-3</v>
      </c>
      <c r="X889" s="4">
        <f>'SUPUESTOS PRECIOS'!$B$2</f>
        <v>0.4</v>
      </c>
      <c r="Y889" s="3" t="str">
        <f t="shared" si="53"/>
        <v/>
      </c>
      <c r="Z889" s="3" t="str">
        <f t="shared" si="54"/>
        <v/>
      </c>
      <c r="AA889" s="11" t="str">
        <f t="shared" si="55"/>
        <v/>
      </c>
    </row>
    <row r="890" spans="1:27" x14ac:dyDescent="0.35">
      <c r="A890" s="10" t="s">
        <v>2013</v>
      </c>
      <c r="F890" t="s">
        <v>1358</v>
      </c>
      <c r="K890">
        <v>1</v>
      </c>
      <c r="L890" t="str">
        <f t="shared" si="52"/>
        <v/>
      </c>
      <c r="O890" t="s">
        <v>38</v>
      </c>
      <c r="T890" s="2">
        <f>'SUPUESTOS PRECIOS'!$B$9</f>
        <v>0</v>
      </c>
      <c r="U890" s="3">
        <f>'SUPUESTOS PRECIOS'!$B$5/'SUPUESTOS PRECIOS'!$B$4</f>
        <v>1000</v>
      </c>
      <c r="V890" s="3">
        <f>('SUPUESTOS PRECIOS'!$B$6-'SUPUESTOS PRECIOS'!$B$7)/'SUPUESTOS PRECIOS'!$B$4</f>
        <v>377.5</v>
      </c>
      <c r="W890" s="4">
        <f>'SUPUESTOS PRECIOS'!$B$8</f>
        <v>9.6799999999999994E-3</v>
      </c>
      <c r="X890" s="4">
        <f>'SUPUESTOS PRECIOS'!$B$2</f>
        <v>0.4</v>
      </c>
      <c r="Y890" s="3" t="str">
        <f t="shared" si="53"/>
        <v/>
      </c>
      <c r="Z890" s="3" t="str">
        <f t="shared" si="54"/>
        <v/>
      </c>
      <c r="AA890" s="11" t="str">
        <f t="shared" si="55"/>
        <v/>
      </c>
    </row>
    <row r="891" spans="1:27" x14ac:dyDescent="0.35">
      <c r="A891" s="10" t="s">
        <v>2014</v>
      </c>
      <c r="F891" t="s">
        <v>1358</v>
      </c>
      <c r="K891">
        <v>1</v>
      </c>
      <c r="L891" t="str">
        <f t="shared" si="52"/>
        <v/>
      </c>
      <c r="O891" t="s">
        <v>38</v>
      </c>
      <c r="T891" s="2">
        <f>'SUPUESTOS PRECIOS'!$B$9</f>
        <v>0</v>
      </c>
      <c r="U891" s="3">
        <f>'SUPUESTOS PRECIOS'!$B$5/'SUPUESTOS PRECIOS'!$B$4</f>
        <v>1000</v>
      </c>
      <c r="V891" s="3">
        <f>('SUPUESTOS PRECIOS'!$B$6-'SUPUESTOS PRECIOS'!$B$7)/'SUPUESTOS PRECIOS'!$B$4</f>
        <v>377.5</v>
      </c>
      <c r="W891" s="4">
        <f>'SUPUESTOS PRECIOS'!$B$8</f>
        <v>9.6799999999999994E-3</v>
      </c>
      <c r="X891" s="4">
        <f>'SUPUESTOS PRECIOS'!$B$2</f>
        <v>0.4</v>
      </c>
      <c r="Y891" s="3" t="str">
        <f t="shared" si="53"/>
        <v/>
      </c>
      <c r="Z891" s="3" t="str">
        <f t="shared" si="54"/>
        <v/>
      </c>
      <c r="AA891" s="11" t="str">
        <f t="shared" si="55"/>
        <v/>
      </c>
    </row>
    <row r="892" spans="1:27" x14ac:dyDescent="0.35">
      <c r="A892" s="10" t="s">
        <v>2015</v>
      </c>
      <c r="F892" t="s">
        <v>1358</v>
      </c>
      <c r="K892">
        <v>1</v>
      </c>
      <c r="L892" t="str">
        <f t="shared" si="52"/>
        <v/>
      </c>
      <c r="O892" t="s">
        <v>38</v>
      </c>
      <c r="T892" s="2">
        <f>'SUPUESTOS PRECIOS'!$B$9</f>
        <v>0</v>
      </c>
      <c r="U892" s="3">
        <f>'SUPUESTOS PRECIOS'!$B$5/'SUPUESTOS PRECIOS'!$B$4</f>
        <v>1000</v>
      </c>
      <c r="V892" s="3">
        <f>('SUPUESTOS PRECIOS'!$B$6-'SUPUESTOS PRECIOS'!$B$7)/'SUPUESTOS PRECIOS'!$B$4</f>
        <v>377.5</v>
      </c>
      <c r="W892" s="4">
        <f>'SUPUESTOS PRECIOS'!$B$8</f>
        <v>9.6799999999999994E-3</v>
      </c>
      <c r="X892" s="4">
        <f>'SUPUESTOS PRECIOS'!$B$2</f>
        <v>0.4</v>
      </c>
      <c r="Y892" s="3" t="str">
        <f t="shared" si="53"/>
        <v/>
      </c>
      <c r="Z892" s="3" t="str">
        <f t="shared" si="54"/>
        <v/>
      </c>
      <c r="AA892" s="11" t="str">
        <f t="shared" si="55"/>
        <v/>
      </c>
    </row>
    <row r="893" spans="1:27" x14ac:dyDescent="0.35">
      <c r="A893" s="10" t="s">
        <v>2016</v>
      </c>
      <c r="F893" t="s">
        <v>1358</v>
      </c>
      <c r="K893">
        <v>1</v>
      </c>
      <c r="L893" t="str">
        <f t="shared" si="52"/>
        <v/>
      </c>
      <c r="O893" t="s">
        <v>38</v>
      </c>
      <c r="T893" s="2">
        <f>'SUPUESTOS PRECIOS'!$B$9</f>
        <v>0</v>
      </c>
      <c r="U893" s="3">
        <f>'SUPUESTOS PRECIOS'!$B$5/'SUPUESTOS PRECIOS'!$B$4</f>
        <v>1000</v>
      </c>
      <c r="V893" s="3">
        <f>('SUPUESTOS PRECIOS'!$B$6-'SUPUESTOS PRECIOS'!$B$7)/'SUPUESTOS PRECIOS'!$B$4</f>
        <v>377.5</v>
      </c>
      <c r="W893" s="4">
        <f>'SUPUESTOS PRECIOS'!$B$8</f>
        <v>9.6799999999999994E-3</v>
      </c>
      <c r="X893" s="4">
        <f>'SUPUESTOS PRECIOS'!$B$2</f>
        <v>0.4</v>
      </c>
      <c r="Y893" s="3" t="str">
        <f t="shared" si="53"/>
        <v/>
      </c>
      <c r="Z893" s="3" t="str">
        <f t="shared" si="54"/>
        <v/>
      </c>
      <c r="AA893" s="11" t="str">
        <f t="shared" si="55"/>
        <v/>
      </c>
    </row>
    <row r="894" spans="1:27" x14ac:dyDescent="0.35">
      <c r="A894" s="10" t="s">
        <v>2017</v>
      </c>
      <c r="F894" t="s">
        <v>1358</v>
      </c>
      <c r="K894">
        <v>1</v>
      </c>
      <c r="L894" t="str">
        <f t="shared" si="52"/>
        <v/>
      </c>
      <c r="O894" t="s">
        <v>38</v>
      </c>
      <c r="T894" s="2">
        <f>'SUPUESTOS PRECIOS'!$B$9</f>
        <v>0</v>
      </c>
      <c r="U894" s="3">
        <f>'SUPUESTOS PRECIOS'!$B$5/'SUPUESTOS PRECIOS'!$B$4</f>
        <v>1000</v>
      </c>
      <c r="V894" s="3">
        <f>('SUPUESTOS PRECIOS'!$B$6-'SUPUESTOS PRECIOS'!$B$7)/'SUPUESTOS PRECIOS'!$B$4</f>
        <v>377.5</v>
      </c>
      <c r="W894" s="4">
        <f>'SUPUESTOS PRECIOS'!$B$8</f>
        <v>9.6799999999999994E-3</v>
      </c>
      <c r="X894" s="4">
        <f>'SUPUESTOS PRECIOS'!$B$2</f>
        <v>0.4</v>
      </c>
      <c r="Y894" s="3" t="str">
        <f t="shared" si="53"/>
        <v/>
      </c>
      <c r="Z894" s="3" t="str">
        <f t="shared" si="54"/>
        <v/>
      </c>
      <c r="AA894" s="11" t="str">
        <f t="shared" si="55"/>
        <v/>
      </c>
    </row>
    <row r="895" spans="1:27" x14ac:dyDescent="0.35">
      <c r="A895" s="10" t="s">
        <v>2018</v>
      </c>
      <c r="F895" t="s">
        <v>1358</v>
      </c>
      <c r="K895">
        <v>1</v>
      </c>
      <c r="L895" t="str">
        <f t="shared" si="52"/>
        <v/>
      </c>
      <c r="O895" t="s">
        <v>38</v>
      </c>
      <c r="T895" s="2">
        <f>'SUPUESTOS PRECIOS'!$B$9</f>
        <v>0</v>
      </c>
      <c r="U895" s="3">
        <f>'SUPUESTOS PRECIOS'!$B$5/'SUPUESTOS PRECIOS'!$B$4</f>
        <v>1000</v>
      </c>
      <c r="V895" s="3">
        <f>('SUPUESTOS PRECIOS'!$B$6-'SUPUESTOS PRECIOS'!$B$7)/'SUPUESTOS PRECIOS'!$B$4</f>
        <v>377.5</v>
      </c>
      <c r="W895" s="4">
        <f>'SUPUESTOS PRECIOS'!$B$8</f>
        <v>9.6799999999999994E-3</v>
      </c>
      <c r="X895" s="4">
        <f>'SUPUESTOS PRECIOS'!$B$2</f>
        <v>0.4</v>
      </c>
      <c r="Y895" s="3" t="str">
        <f t="shared" si="53"/>
        <v/>
      </c>
      <c r="Z895" s="3" t="str">
        <f t="shared" si="54"/>
        <v/>
      </c>
      <c r="AA895" s="11" t="str">
        <f t="shared" si="55"/>
        <v/>
      </c>
    </row>
    <row r="896" spans="1:27" x14ac:dyDescent="0.35">
      <c r="A896" s="10" t="s">
        <v>2019</v>
      </c>
      <c r="F896" t="s">
        <v>1358</v>
      </c>
      <c r="K896">
        <v>1</v>
      </c>
      <c r="L896" t="str">
        <f t="shared" si="52"/>
        <v/>
      </c>
      <c r="O896" t="s">
        <v>38</v>
      </c>
      <c r="T896" s="2">
        <f>'SUPUESTOS PRECIOS'!$B$9</f>
        <v>0</v>
      </c>
      <c r="U896" s="3">
        <f>'SUPUESTOS PRECIOS'!$B$5/'SUPUESTOS PRECIOS'!$B$4</f>
        <v>1000</v>
      </c>
      <c r="V896" s="3">
        <f>('SUPUESTOS PRECIOS'!$B$6-'SUPUESTOS PRECIOS'!$B$7)/'SUPUESTOS PRECIOS'!$B$4</f>
        <v>377.5</v>
      </c>
      <c r="W896" s="4">
        <f>'SUPUESTOS PRECIOS'!$B$8</f>
        <v>9.6799999999999994E-3</v>
      </c>
      <c r="X896" s="4">
        <f>'SUPUESTOS PRECIOS'!$B$2</f>
        <v>0.4</v>
      </c>
      <c r="Y896" s="3" t="str">
        <f t="shared" si="53"/>
        <v/>
      </c>
      <c r="Z896" s="3" t="str">
        <f t="shared" si="54"/>
        <v/>
      </c>
      <c r="AA896" s="11" t="str">
        <f t="shared" si="55"/>
        <v/>
      </c>
    </row>
    <row r="897" spans="1:27" x14ac:dyDescent="0.35">
      <c r="A897" s="10" t="s">
        <v>2020</v>
      </c>
      <c r="F897" t="s">
        <v>1358</v>
      </c>
      <c r="K897">
        <v>1</v>
      </c>
      <c r="L897" t="str">
        <f t="shared" si="52"/>
        <v/>
      </c>
      <c r="O897" t="s">
        <v>38</v>
      </c>
      <c r="T897" s="2">
        <f>'SUPUESTOS PRECIOS'!$B$9</f>
        <v>0</v>
      </c>
      <c r="U897" s="3">
        <f>'SUPUESTOS PRECIOS'!$B$5/'SUPUESTOS PRECIOS'!$B$4</f>
        <v>1000</v>
      </c>
      <c r="V897" s="3">
        <f>('SUPUESTOS PRECIOS'!$B$6-'SUPUESTOS PRECIOS'!$B$7)/'SUPUESTOS PRECIOS'!$B$4</f>
        <v>377.5</v>
      </c>
      <c r="W897" s="4">
        <f>'SUPUESTOS PRECIOS'!$B$8</f>
        <v>9.6799999999999994E-3</v>
      </c>
      <c r="X897" s="4">
        <f>'SUPUESTOS PRECIOS'!$B$2</f>
        <v>0.4</v>
      </c>
      <c r="Y897" s="3" t="str">
        <f t="shared" si="53"/>
        <v/>
      </c>
      <c r="Z897" s="3" t="str">
        <f t="shared" si="54"/>
        <v/>
      </c>
      <c r="AA897" s="11" t="str">
        <f t="shared" si="55"/>
        <v/>
      </c>
    </row>
    <row r="898" spans="1:27" x14ac:dyDescent="0.35">
      <c r="A898" s="10" t="s">
        <v>2021</v>
      </c>
      <c r="F898" t="s">
        <v>1358</v>
      </c>
      <c r="K898">
        <v>1</v>
      </c>
      <c r="L898" t="str">
        <f t="shared" ref="L898:L961" si="56">IF(J898="","",J898*(1+K898))</f>
        <v/>
      </c>
      <c r="O898" t="s">
        <v>38</v>
      </c>
      <c r="T898" s="2">
        <f>'SUPUESTOS PRECIOS'!$B$9</f>
        <v>0</v>
      </c>
      <c r="U898" s="3">
        <f>'SUPUESTOS PRECIOS'!$B$5/'SUPUESTOS PRECIOS'!$B$4</f>
        <v>1000</v>
      </c>
      <c r="V898" s="3">
        <f>('SUPUESTOS PRECIOS'!$B$6-'SUPUESTOS PRECIOS'!$B$7)/'SUPUESTOS PRECIOS'!$B$4</f>
        <v>377.5</v>
      </c>
      <c r="W898" s="4">
        <f>'SUPUESTOS PRECIOS'!$B$8</f>
        <v>9.6799999999999994E-3</v>
      </c>
      <c r="X898" s="4">
        <f>'SUPUESTOS PRECIOS'!$B$2</f>
        <v>0.4</v>
      </c>
      <c r="Y898" s="3" t="str">
        <f t="shared" ref="Y898:Y961" si="57">IF(OR($B898="",$J898=""),"",ROUND(($J898+$T898+$U898+$V898)/(1-$W898-$X898),-1))</f>
        <v/>
      </c>
      <c r="Z898" s="3" t="str">
        <f t="shared" ref="Z898:Z961" si="58">IF($Y898="","",$Y898-$J898-$T898-$U898-$V898-($Y898*$W898))</f>
        <v/>
      </c>
      <c r="AA898" s="11" t="str">
        <f t="shared" ref="AA898:AA961" si="59">IF($Y898="","",$Z898/$Y898)</f>
        <v/>
      </c>
    </row>
    <row r="899" spans="1:27" x14ac:dyDescent="0.35">
      <c r="A899" s="10" t="s">
        <v>2022</v>
      </c>
      <c r="F899" t="s">
        <v>1358</v>
      </c>
      <c r="K899">
        <v>1</v>
      </c>
      <c r="L899" t="str">
        <f t="shared" si="56"/>
        <v/>
      </c>
      <c r="O899" t="s">
        <v>38</v>
      </c>
      <c r="T899" s="2">
        <f>'SUPUESTOS PRECIOS'!$B$9</f>
        <v>0</v>
      </c>
      <c r="U899" s="3">
        <f>'SUPUESTOS PRECIOS'!$B$5/'SUPUESTOS PRECIOS'!$B$4</f>
        <v>1000</v>
      </c>
      <c r="V899" s="3">
        <f>('SUPUESTOS PRECIOS'!$B$6-'SUPUESTOS PRECIOS'!$B$7)/'SUPUESTOS PRECIOS'!$B$4</f>
        <v>377.5</v>
      </c>
      <c r="W899" s="4">
        <f>'SUPUESTOS PRECIOS'!$B$8</f>
        <v>9.6799999999999994E-3</v>
      </c>
      <c r="X899" s="4">
        <f>'SUPUESTOS PRECIOS'!$B$2</f>
        <v>0.4</v>
      </c>
      <c r="Y899" s="3" t="str">
        <f t="shared" si="57"/>
        <v/>
      </c>
      <c r="Z899" s="3" t="str">
        <f t="shared" si="58"/>
        <v/>
      </c>
      <c r="AA899" s="11" t="str">
        <f t="shared" si="59"/>
        <v/>
      </c>
    </row>
    <row r="900" spans="1:27" x14ac:dyDescent="0.35">
      <c r="A900" s="10" t="s">
        <v>2023</v>
      </c>
      <c r="F900" t="s">
        <v>1358</v>
      </c>
      <c r="K900">
        <v>1</v>
      </c>
      <c r="L900" t="str">
        <f t="shared" si="56"/>
        <v/>
      </c>
      <c r="O900" t="s">
        <v>38</v>
      </c>
      <c r="T900" s="2">
        <f>'SUPUESTOS PRECIOS'!$B$9</f>
        <v>0</v>
      </c>
      <c r="U900" s="3">
        <f>'SUPUESTOS PRECIOS'!$B$5/'SUPUESTOS PRECIOS'!$B$4</f>
        <v>1000</v>
      </c>
      <c r="V900" s="3">
        <f>('SUPUESTOS PRECIOS'!$B$6-'SUPUESTOS PRECIOS'!$B$7)/'SUPUESTOS PRECIOS'!$B$4</f>
        <v>377.5</v>
      </c>
      <c r="W900" s="4">
        <f>'SUPUESTOS PRECIOS'!$B$8</f>
        <v>9.6799999999999994E-3</v>
      </c>
      <c r="X900" s="4">
        <f>'SUPUESTOS PRECIOS'!$B$2</f>
        <v>0.4</v>
      </c>
      <c r="Y900" s="3" t="str">
        <f t="shared" si="57"/>
        <v/>
      </c>
      <c r="Z900" s="3" t="str">
        <f t="shared" si="58"/>
        <v/>
      </c>
      <c r="AA900" s="11" t="str">
        <f t="shared" si="59"/>
        <v/>
      </c>
    </row>
    <row r="901" spans="1:27" x14ac:dyDescent="0.35">
      <c r="A901" s="10" t="s">
        <v>2024</v>
      </c>
      <c r="F901" t="s">
        <v>1358</v>
      </c>
      <c r="K901">
        <v>1</v>
      </c>
      <c r="L901" t="str">
        <f t="shared" si="56"/>
        <v/>
      </c>
      <c r="O901" t="s">
        <v>38</v>
      </c>
      <c r="T901" s="2">
        <f>'SUPUESTOS PRECIOS'!$B$9</f>
        <v>0</v>
      </c>
      <c r="U901" s="3">
        <f>'SUPUESTOS PRECIOS'!$B$5/'SUPUESTOS PRECIOS'!$B$4</f>
        <v>1000</v>
      </c>
      <c r="V901" s="3">
        <f>('SUPUESTOS PRECIOS'!$B$6-'SUPUESTOS PRECIOS'!$B$7)/'SUPUESTOS PRECIOS'!$B$4</f>
        <v>377.5</v>
      </c>
      <c r="W901" s="4">
        <f>'SUPUESTOS PRECIOS'!$B$8</f>
        <v>9.6799999999999994E-3</v>
      </c>
      <c r="X901" s="4">
        <f>'SUPUESTOS PRECIOS'!$B$2</f>
        <v>0.4</v>
      </c>
      <c r="Y901" s="3" t="str">
        <f t="shared" si="57"/>
        <v/>
      </c>
      <c r="Z901" s="3" t="str">
        <f t="shared" si="58"/>
        <v/>
      </c>
      <c r="AA901" s="11" t="str">
        <f t="shared" si="59"/>
        <v/>
      </c>
    </row>
    <row r="902" spans="1:27" x14ac:dyDescent="0.35">
      <c r="A902" s="10" t="s">
        <v>2025</v>
      </c>
      <c r="F902" t="s">
        <v>1358</v>
      </c>
      <c r="K902">
        <v>1</v>
      </c>
      <c r="L902" t="str">
        <f t="shared" si="56"/>
        <v/>
      </c>
      <c r="O902" t="s">
        <v>38</v>
      </c>
      <c r="T902" s="2">
        <f>'SUPUESTOS PRECIOS'!$B$9</f>
        <v>0</v>
      </c>
      <c r="U902" s="3">
        <f>'SUPUESTOS PRECIOS'!$B$5/'SUPUESTOS PRECIOS'!$B$4</f>
        <v>1000</v>
      </c>
      <c r="V902" s="3">
        <f>('SUPUESTOS PRECIOS'!$B$6-'SUPUESTOS PRECIOS'!$B$7)/'SUPUESTOS PRECIOS'!$B$4</f>
        <v>377.5</v>
      </c>
      <c r="W902" s="4">
        <f>'SUPUESTOS PRECIOS'!$B$8</f>
        <v>9.6799999999999994E-3</v>
      </c>
      <c r="X902" s="4">
        <f>'SUPUESTOS PRECIOS'!$B$2</f>
        <v>0.4</v>
      </c>
      <c r="Y902" s="3" t="str">
        <f t="shared" si="57"/>
        <v/>
      </c>
      <c r="Z902" s="3" t="str">
        <f t="shared" si="58"/>
        <v/>
      </c>
      <c r="AA902" s="11" t="str">
        <f t="shared" si="59"/>
        <v/>
      </c>
    </row>
    <row r="903" spans="1:27" x14ac:dyDescent="0.35">
      <c r="A903" s="10" t="s">
        <v>2026</v>
      </c>
      <c r="F903" t="s">
        <v>1358</v>
      </c>
      <c r="K903">
        <v>1</v>
      </c>
      <c r="L903" t="str">
        <f t="shared" si="56"/>
        <v/>
      </c>
      <c r="O903" t="s">
        <v>38</v>
      </c>
      <c r="T903" s="2">
        <f>'SUPUESTOS PRECIOS'!$B$9</f>
        <v>0</v>
      </c>
      <c r="U903" s="3">
        <f>'SUPUESTOS PRECIOS'!$B$5/'SUPUESTOS PRECIOS'!$B$4</f>
        <v>1000</v>
      </c>
      <c r="V903" s="3">
        <f>('SUPUESTOS PRECIOS'!$B$6-'SUPUESTOS PRECIOS'!$B$7)/'SUPUESTOS PRECIOS'!$B$4</f>
        <v>377.5</v>
      </c>
      <c r="W903" s="4">
        <f>'SUPUESTOS PRECIOS'!$B$8</f>
        <v>9.6799999999999994E-3</v>
      </c>
      <c r="X903" s="4">
        <f>'SUPUESTOS PRECIOS'!$B$2</f>
        <v>0.4</v>
      </c>
      <c r="Y903" s="3" t="str">
        <f t="shared" si="57"/>
        <v/>
      </c>
      <c r="Z903" s="3" t="str">
        <f t="shared" si="58"/>
        <v/>
      </c>
      <c r="AA903" s="11" t="str">
        <f t="shared" si="59"/>
        <v/>
      </c>
    </row>
    <row r="904" spans="1:27" x14ac:dyDescent="0.35">
      <c r="A904" s="10" t="s">
        <v>2027</v>
      </c>
      <c r="F904" t="s">
        <v>1358</v>
      </c>
      <c r="K904">
        <v>1</v>
      </c>
      <c r="L904" t="str">
        <f t="shared" si="56"/>
        <v/>
      </c>
      <c r="O904" t="s">
        <v>38</v>
      </c>
      <c r="T904" s="2">
        <f>'SUPUESTOS PRECIOS'!$B$9</f>
        <v>0</v>
      </c>
      <c r="U904" s="3">
        <f>'SUPUESTOS PRECIOS'!$B$5/'SUPUESTOS PRECIOS'!$B$4</f>
        <v>1000</v>
      </c>
      <c r="V904" s="3">
        <f>('SUPUESTOS PRECIOS'!$B$6-'SUPUESTOS PRECIOS'!$B$7)/'SUPUESTOS PRECIOS'!$B$4</f>
        <v>377.5</v>
      </c>
      <c r="W904" s="4">
        <f>'SUPUESTOS PRECIOS'!$B$8</f>
        <v>9.6799999999999994E-3</v>
      </c>
      <c r="X904" s="4">
        <f>'SUPUESTOS PRECIOS'!$B$2</f>
        <v>0.4</v>
      </c>
      <c r="Y904" s="3" t="str">
        <f t="shared" si="57"/>
        <v/>
      </c>
      <c r="Z904" s="3" t="str">
        <f t="shared" si="58"/>
        <v/>
      </c>
      <c r="AA904" s="11" t="str">
        <f t="shared" si="59"/>
        <v/>
      </c>
    </row>
    <row r="905" spans="1:27" x14ac:dyDescent="0.35">
      <c r="A905" s="10" t="s">
        <v>2028</v>
      </c>
      <c r="F905" t="s">
        <v>1358</v>
      </c>
      <c r="K905">
        <v>1</v>
      </c>
      <c r="L905" t="str">
        <f t="shared" si="56"/>
        <v/>
      </c>
      <c r="O905" t="s">
        <v>38</v>
      </c>
      <c r="T905" s="2">
        <f>'SUPUESTOS PRECIOS'!$B$9</f>
        <v>0</v>
      </c>
      <c r="U905" s="3">
        <f>'SUPUESTOS PRECIOS'!$B$5/'SUPUESTOS PRECIOS'!$B$4</f>
        <v>1000</v>
      </c>
      <c r="V905" s="3">
        <f>('SUPUESTOS PRECIOS'!$B$6-'SUPUESTOS PRECIOS'!$B$7)/'SUPUESTOS PRECIOS'!$B$4</f>
        <v>377.5</v>
      </c>
      <c r="W905" s="4">
        <f>'SUPUESTOS PRECIOS'!$B$8</f>
        <v>9.6799999999999994E-3</v>
      </c>
      <c r="X905" s="4">
        <f>'SUPUESTOS PRECIOS'!$B$2</f>
        <v>0.4</v>
      </c>
      <c r="Y905" s="3" t="str">
        <f t="shared" si="57"/>
        <v/>
      </c>
      <c r="Z905" s="3" t="str">
        <f t="shared" si="58"/>
        <v/>
      </c>
      <c r="AA905" s="11" t="str">
        <f t="shared" si="59"/>
        <v/>
      </c>
    </row>
    <row r="906" spans="1:27" x14ac:dyDescent="0.35">
      <c r="A906" s="10" t="s">
        <v>2029</v>
      </c>
      <c r="F906" t="s">
        <v>1358</v>
      </c>
      <c r="K906">
        <v>1</v>
      </c>
      <c r="L906" t="str">
        <f t="shared" si="56"/>
        <v/>
      </c>
      <c r="O906" t="s">
        <v>38</v>
      </c>
      <c r="T906" s="2">
        <f>'SUPUESTOS PRECIOS'!$B$9</f>
        <v>0</v>
      </c>
      <c r="U906" s="3">
        <f>'SUPUESTOS PRECIOS'!$B$5/'SUPUESTOS PRECIOS'!$B$4</f>
        <v>1000</v>
      </c>
      <c r="V906" s="3">
        <f>('SUPUESTOS PRECIOS'!$B$6-'SUPUESTOS PRECIOS'!$B$7)/'SUPUESTOS PRECIOS'!$B$4</f>
        <v>377.5</v>
      </c>
      <c r="W906" s="4">
        <f>'SUPUESTOS PRECIOS'!$B$8</f>
        <v>9.6799999999999994E-3</v>
      </c>
      <c r="X906" s="4">
        <f>'SUPUESTOS PRECIOS'!$B$2</f>
        <v>0.4</v>
      </c>
      <c r="Y906" s="3" t="str">
        <f t="shared" si="57"/>
        <v/>
      </c>
      <c r="Z906" s="3" t="str">
        <f t="shared" si="58"/>
        <v/>
      </c>
      <c r="AA906" s="11" t="str">
        <f t="shared" si="59"/>
        <v/>
      </c>
    </row>
    <row r="907" spans="1:27" x14ac:dyDescent="0.35">
      <c r="A907" s="10" t="s">
        <v>2030</v>
      </c>
      <c r="F907" t="s">
        <v>1358</v>
      </c>
      <c r="K907">
        <v>1</v>
      </c>
      <c r="L907" t="str">
        <f t="shared" si="56"/>
        <v/>
      </c>
      <c r="O907" t="s">
        <v>38</v>
      </c>
      <c r="T907" s="2">
        <f>'SUPUESTOS PRECIOS'!$B$9</f>
        <v>0</v>
      </c>
      <c r="U907" s="3">
        <f>'SUPUESTOS PRECIOS'!$B$5/'SUPUESTOS PRECIOS'!$B$4</f>
        <v>1000</v>
      </c>
      <c r="V907" s="3">
        <f>('SUPUESTOS PRECIOS'!$B$6-'SUPUESTOS PRECIOS'!$B$7)/'SUPUESTOS PRECIOS'!$B$4</f>
        <v>377.5</v>
      </c>
      <c r="W907" s="4">
        <f>'SUPUESTOS PRECIOS'!$B$8</f>
        <v>9.6799999999999994E-3</v>
      </c>
      <c r="X907" s="4">
        <f>'SUPUESTOS PRECIOS'!$B$2</f>
        <v>0.4</v>
      </c>
      <c r="Y907" s="3" t="str">
        <f t="shared" si="57"/>
        <v/>
      </c>
      <c r="Z907" s="3" t="str">
        <f t="shared" si="58"/>
        <v/>
      </c>
      <c r="AA907" s="11" t="str">
        <f t="shared" si="59"/>
        <v/>
      </c>
    </row>
    <row r="908" spans="1:27" x14ac:dyDescent="0.35">
      <c r="A908" s="10" t="s">
        <v>2031</v>
      </c>
      <c r="F908" t="s">
        <v>1358</v>
      </c>
      <c r="K908">
        <v>1</v>
      </c>
      <c r="L908" t="str">
        <f t="shared" si="56"/>
        <v/>
      </c>
      <c r="O908" t="s">
        <v>38</v>
      </c>
      <c r="T908" s="2">
        <f>'SUPUESTOS PRECIOS'!$B$9</f>
        <v>0</v>
      </c>
      <c r="U908" s="3">
        <f>'SUPUESTOS PRECIOS'!$B$5/'SUPUESTOS PRECIOS'!$B$4</f>
        <v>1000</v>
      </c>
      <c r="V908" s="3">
        <f>('SUPUESTOS PRECIOS'!$B$6-'SUPUESTOS PRECIOS'!$B$7)/'SUPUESTOS PRECIOS'!$B$4</f>
        <v>377.5</v>
      </c>
      <c r="W908" s="4">
        <f>'SUPUESTOS PRECIOS'!$B$8</f>
        <v>9.6799999999999994E-3</v>
      </c>
      <c r="X908" s="4">
        <f>'SUPUESTOS PRECIOS'!$B$2</f>
        <v>0.4</v>
      </c>
      <c r="Y908" s="3" t="str">
        <f t="shared" si="57"/>
        <v/>
      </c>
      <c r="Z908" s="3" t="str">
        <f t="shared" si="58"/>
        <v/>
      </c>
      <c r="AA908" s="11" t="str">
        <f t="shared" si="59"/>
        <v/>
      </c>
    </row>
    <row r="909" spans="1:27" x14ac:dyDescent="0.35">
      <c r="A909" s="10" t="s">
        <v>2032</v>
      </c>
      <c r="F909" t="s">
        <v>1358</v>
      </c>
      <c r="K909">
        <v>1</v>
      </c>
      <c r="L909" t="str">
        <f t="shared" si="56"/>
        <v/>
      </c>
      <c r="O909" t="s">
        <v>38</v>
      </c>
      <c r="T909" s="2">
        <f>'SUPUESTOS PRECIOS'!$B$9</f>
        <v>0</v>
      </c>
      <c r="U909" s="3">
        <f>'SUPUESTOS PRECIOS'!$B$5/'SUPUESTOS PRECIOS'!$B$4</f>
        <v>1000</v>
      </c>
      <c r="V909" s="3">
        <f>('SUPUESTOS PRECIOS'!$B$6-'SUPUESTOS PRECIOS'!$B$7)/'SUPUESTOS PRECIOS'!$B$4</f>
        <v>377.5</v>
      </c>
      <c r="W909" s="4">
        <f>'SUPUESTOS PRECIOS'!$B$8</f>
        <v>9.6799999999999994E-3</v>
      </c>
      <c r="X909" s="4">
        <f>'SUPUESTOS PRECIOS'!$B$2</f>
        <v>0.4</v>
      </c>
      <c r="Y909" s="3" t="str">
        <f t="shared" si="57"/>
        <v/>
      </c>
      <c r="Z909" s="3" t="str">
        <f t="shared" si="58"/>
        <v/>
      </c>
      <c r="AA909" s="11" t="str">
        <f t="shared" si="59"/>
        <v/>
      </c>
    </row>
    <row r="910" spans="1:27" x14ac:dyDescent="0.35">
      <c r="A910" s="10" t="s">
        <v>2033</v>
      </c>
      <c r="F910" t="s">
        <v>1358</v>
      </c>
      <c r="K910">
        <v>1</v>
      </c>
      <c r="L910" t="str">
        <f t="shared" si="56"/>
        <v/>
      </c>
      <c r="O910" t="s">
        <v>38</v>
      </c>
      <c r="T910" s="2">
        <f>'SUPUESTOS PRECIOS'!$B$9</f>
        <v>0</v>
      </c>
      <c r="U910" s="3">
        <f>'SUPUESTOS PRECIOS'!$B$5/'SUPUESTOS PRECIOS'!$B$4</f>
        <v>1000</v>
      </c>
      <c r="V910" s="3">
        <f>('SUPUESTOS PRECIOS'!$B$6-'SUPUESTOS PRECIOS'!$B$7)/'SUPUESTOS PRECIOS'!$B$4</f>
        <v>377.5</v>
      </c>
      <c r="W910" s="4">
        <f>'SUPUESTOS PRECIOS'!$B$8</f>
        <v>9.6799999999999994E-3</v>
      </c>
      <c r="X910" s="4">
        <f>'SUPUESTOS PRECIOS'!$B$2</f>
        <v>0.4</v>
      </c>
      <c r="Y910" s="3" t="str">
        <f t="shared" si="57"/>
        <v/>
      </c>
      <c r="Z910" s="3" t="str">
        <f t="shared" si="58"/>
        <v/>
      </c>
      <c r="AA910" s="11" t="str">
        <f t="shared" si="59"/>
        <v/>
      </c>
    </row>
    <row r="911" spans="1:27" x14ac:dyDescent="0.35">
      <c r="A911" s="10" t="s">
        <v>2034</v>
      </c>
      <c r="F911" t="s">
        <v>1358</v>
      </c>
      <c r="K911">
        <v>1</v>
      </c>
      <c r="L911" t="str">
        <f t="shared" si="56"/>
        <v/>
      </c>
      <c r="O911" t="s">
        <v>38</v>
      </c>
      <c r="T911" s="2">
        <f>'SUPUESTOS PRECIOS'!$B$9</f>
        <v>0</v>
      </c>
      <c r="U911" s="3">
        <f>'SUPUESTOS PRECIOS'!$B$5/'SUPUESTOS PRECIOS'!$B$4</f>
        <v>1000</v>
      </c>
      <c r="V911" s="3">
        <f>('SUPUESTOS PRECIOS'!$B$6-'SUPUESTOS PRECIOS'!$B$7)/'SUPUESTOS PRECIOS'!$B$4</f>
        <v>377.5</v>
      </c>
      <c r="W911" s="4">
        <f>'SUPUESTOS PRECIOS'!$B$8</f>
        <v>9.6799999999999994E-3</v>
      </c>
      <c r="X911" s="4">
        <f>'SUPUESTOS PRECIOS'!$B$2</f>
        <v>0.4</v>
      </c>
      <c r="Y911" s="3" t="str">
        <f t="shared" si="57"/>
        <v/>
      </c>
      <c r="Z911" s="3" t="str">
        <f t="shared" si="58"/>
        <v/>
      </c>
      <c r="AA911" s="11" t="str">
        <f t="shared" si="59"/>
        <v/>
      </c>
    </row>
    <row r="912" spans="1:27" x14ac:dyDescent="0.35">
      <c r="A912" s="10" t="s">
        <v>2035</v>
      </c>
      <c r="F912" t="s">
        <v>1358</v>
      </c>
      <c r="K912">
        <v>1</v>
      </c>
      <c r="L912" t="str">
        <f t="shared" si="56"/>
        <v/>
      </c>
      <c r="O912" t="s">
        <v>38</v>
      </c>
      <c r="T912" s="2">
        <f>'SUPUESTOS PRECIOS'!$B$9</f>
        <v>0</v>
      </c>
      <c r="U912" s="3">
        <f>'SUPUESTOS PRECIOS'!$B$5/'SUPUESTOS PRECIOS'!$B$4</f>
        <v>1000</v>
      </c>
      <c r="V912" s="3">
        <f>('SUPUESTOS PRECIOS'!$B$6-'SUPUESTOS PRECIOS'!$B$7)/'SUPUESTOS PRECIOS'!$B$4</f>
        <v>377.5</v>
      </c>
      <c r="W912" s="4">
        <f>'SUPUESTOS PRECIOS'!$B$8</f>
        <v>9.6799999999999994E-3</v>
      </c>
      <c r="X912" s="4">
        <f>'SUPUESTOS PRECIOS'!$B$2</f>
        <v>0.4</v>
      </c>
      <c r="Y912" s="3" t="str">
        <f t="shared" si="57"/>
        <v/>
      </c>
      <c r="Z912" s="3" t="str">
        <f t="shared" si="58"/>
        <v/>
      </c>
      <c r="AA912" s="11" t="str">
        <f t="shared" si="59"/>
        <v/>
      </c>
    </row>
    <row r="913" spans="1:27" x14ac:dyDescent="0.35">
      <c r="A913" s="10" t="s">
        <v>2036</v>
      </c>
      <c r="F913" t="s">
        <v>1358</v>
      </c>
      <c r="K913">
        <v>1</v>
      </c>
      <c r="L913" t="str">
        <f t="shared" si="56"/>
        <v/>
      </c>
      <c r="O913" t="s">
        <v>38</v>
      </c>
      <c r="T913" s="2">
        <f>'SUPUESTOS PRECIOS'!$B$9</f>
        <v>0</v>
      </c>
      <c r="U913" s="3">
        <f>'SUPUESTOS PRECIOS'!$B$5/'SUPUESTOS PRECIOS'!$B$4</f>
        <v>1000</v>
      </c>
      <c r="V913" s="3">
        <f>('SUPUESTOS PRECIOS'!$B$6-'SUPUESTOS PRECIOS'!$B$7)/'SUPUESTOS PRECIOS'!$B$4</f>
        <v>377.5</v>
      </c>
      <c r="W913" s="4">
        <f>'SUPUESTOS PRECIOS'!$B$8</f>
        <v>9.6799999999999994E-3</v>
      </c>
      <c r="X913" s="4">
        <f>'SUPUESTOS PRECIOS'!$B$2</f>
        <v>0.4</v>
      </c>
      <c r="Y913" s="3" t="str">
        <f t="shared" si="57"/>
        <v/>
      </c>
      <c r="Z913" s="3" t="str">
        <f t="shared" si="58"/>
        <v/>
      </c>
      <c r="AA913" s="11" t="str">
        <f t="shared" si="59"/>
        <v/>
      </c>
    </row>
    <row r="914" spans="1:27" x14ac:dyDescent="0.35">
      <c r="A914" s="10" t="s">
        <v>2037</v>
      </c>
      <c r="F914" t="s">
        <v>1358</v>
      </c>
      <c r="K914">
        <v>1</v>
      </c>
      <c r="L914" t="str">
        <f t="shared" si="56"/>
        <v/>
      </c>
      <c r="O914" t="s">
        <v>38</v>
      </c>
      <c r="T914" s="2">
        <f>'SUPUESTOS PRECIOS'!$B$9</f>
        <v>0</v>
      </c>
      <c r="U914" s="3">
        <f>'SUPUESTOS PRECIOS'!$B$5/'SUPUESTOS PRECIOS'!$B$4</f>
        <v>1000</v>
      </c>
      <c r="V914" s="3">
        <f>('SUPUESTOS PRECIOS'!$B$6-'SUPUESTOS PRECIOS'!$B$7)/'SUPUESTOS PRECIOS'!$B$4</f>
        <v>377.5</v>
      </c>
      <c r="W914" s="4">
        <f>'SUPUESTOS PRECIOS'!$B$8</f>
        <v>9.6799999999999994E-3</v>
      </c>
      <c r="X914" s="4">
        <f>'SUPUESTOS PRECIOS'!$B$2</f>
        <v>0.4</v>
      </c>
      <c r="Y914" s="3" t="str">
        <f t="shared" si="57"/>
        <v/>
      </c>
      <c r="Z914" s="3" t="str">
        <f t="shared" si="58"/>
        <v/>
      </c>
      <c r="AA914" s="11" t="str">
        <f t="shared" si="59"/>
        <v/>
      </c>
    </row>
    <row r="915" spans="1:27" x14ac:dyDescent="0.35">
      <c r="A915" s="10" t="s">
        <v>2038</v>
      </c>
      <c r="F915" t="s">
        <v>1358</v>
      </c>
      <c r="K915">
        <v>1</v>
      </c>
      <c r="L915" t="str">
        <f t="shared" si="56"/>
        <v/>
      </c>
      <c r="O915" t="s">
        <v>38</v>
      </c>
      <c r="T915" s="2">
        <f>'SUPUESTOS PRECIOS'!$B$9</f>
        <v>0</v>
      </c>
      <c r="U915" s="3">
        <f>'SUPUESTOS PRECIOS'!$B$5/'SUPUESTOS PRECIOS'!$B$4</f>
        <v>1000</v>
      </c>
      <c r="V915" s="3">
        <f>('SUPUESTOS PRECIOS'!$B$6-'SUPUESTOS PRECIOS'!$B$7)/'SUPUESTOS PRECIOS'!$B$4</f>
        <v>377.5</v>
      </c>
      <c r="W915" s="4">
        <f>'SUPUESTOS PRECIOS'!$B$8</f>
        <v>9.6799999999999994E-3</v>
      </c>
      <c r="X915" s="4">
        <f>'SUPUESTOS PRECIOS'!$B$2</f>
        <v>0.4</v>
      </c>
      <c r="Y915" s="3" t="str">
        <f t="shared" si="57"/>
        <v/>
      </c>
      <c r="Z915" s="3" t="str">
        <f t="shared" si="58"/>
        <v/>
      </c>
      <c r="AA915" s="11" t="str">
        <f t="shared" si="59"/>
        <v/>
      </c>
    </row>
    <row r="916" spans="1:27" x14ac:dyDescent="0.35">
      <c r="A916" s="10" t="s">
        <v>2039</v>
      </c>
      <c r="F916" t="s">
        <v>1358</v>
      </c>
      <c r="K916">
        <v>1</v>
      </c>
      <c r="L916" t="str">
        <f t="shared" si="56"/>
        <v/>
      </c>
      <c r="O916" t="s">
        <v>38</v>
      </c>
      <c r="T916" s="2">
        <f>'SUPUESTOS PRECIOS'!$B$9</f>
        <v>0</v>
      </c>
      <c r="U916" s="3">
        <f>'SUPUESTOS PRECIOS'!$B$5/'SUPUESTOS PRECIOS'!$B$4</f>
        <v>1000</v>
      </c>
      <c r="V916" s="3">
        <f>('SUPUESTOS PRECIOS'!$B$6-'SUPUESTOS PRECIOS'!$B$7)/'SUPUESTOS PRECIOS'!$B$4</f>
        <v>377.5</v>
      </c>
      <c r="W916" s="4">
        <f>'SUPUESTOS PRECIOS'!$B$8</f>
        <v>9.6799999999999994E-3</v>
      </c>
      <c r="X916" s="4">
        <f>'SUPUESTOS PRECIOS'!$B$2</f>
        <v>0.4</v>
      </c>
      <c r="Y916" s="3" t="str">
        <f t="shared" si="57"/>
        <v/>
      </c>
      <c r="Z916" s="3" t="str">
        <f t="shared" si="58"/>
        <v/>
      </c>
      <c r="AA916" s="11" t="str">
        <f t="shared" si="59"/>
        <v/>
      </c>
    </row>
    <row r="917" spans="1:27" x14ac:dyDescent="0.35">
      <c r="A917" s="10" t="s">
        <v>2040</v>
      </c>
      <c r="F917" t="s">
        <v>1358</v>
      </c>
      <c r="K917">
        <v>1</v>
      </c>
      <c r="L917" t="str">
        <f t="shared" si="56"/>
        <v/>
      </c>
      <c r="O917" t="s">
        <v>38</v>
      </c>
      <c r="T917" s="2">
        <f>'SUPUESTOS PRECIOS'!$B$9</f>
        <v>0</v>
      </c>
      <c r="U917" s="3">
        <f>'SUPUESTOS PRECIOS'!$B$5/'SUPUESTOS PRECIOS'!$B$4</f>
        <v>1000</v>
      </c>
      <c r="V917" s="3">
        <f>('SUPUESTOS PRECIOS'!$B$6-'SUPUESTOS PRECIOS'!$B$7)/'SUPUESTOS PRECIOS'!$B$4</f>
        <v>377.5</v>
      </c>
      <c r="W917" s="4">
        <f>'SUPUESTOS PRECIOS'!$B$8</f>
        <v>9.6799999999999994E-3</v>
      </c>
      <c r="X917" s="4">
        <f>'SUPUESTOS PRECIOS'!$B$2</f>
        <v>0.4</v>
      </c>
      <c r="Y917" s="3" t="str">
        <f t="shared" si="57"/>
        <v/>
      </c>
      <c r="Z917" s="3" t="str">
        <f t="shared" si="58"/>
        <v/>
      </c>
      <c r="AA917" s="11" t="str">
        <f t="shared" si="59"/>
        <v/>
      </c>
    </row>
    <row r="918" spans="1:27" x14ac:dyDescent="0.35">
      <c r="A918" s="10" t="s">
        <v>2041</v>
      </c>
      <c r="F918" t="s">
        <v>1358</v>
      </c>
      <c r="K918">
        <v>1</v>
      </c>
      <c r="L918" t="str">
        <f t="shared" si="56"/>
        <v/>
      </c>
      <c r="O918" t="s">
        <v>38</v>
      </c>
      <c r="T918" s="2">
        <f>'SUPUESTOS PRECIOS'!$B$9</f>
        <v>0</v>
      </c>
      <c r="U918" s="3">
        <f>'SUPUESTOS PRECIOS'!$B$5/'SUPUESTOS PRECIOS'!$B$4</f>
        <v>1000</v>
      </c>
      <c r="V918" s="3">
        <f>('SUPUESTOS PRECIOS'!$B$6-'SUPUESTOS PRECIOS'!$B$7)/'SUPUESTOS PRECIOS'!$B$4</f>
        <v>377.5</v>
      </c>
      <c r="W918" s="4">
        <f>'SUPUESTOS PRECIOS'!$B$8</f>
        <v>9.6799999999999994E-3</v>
      </c>
      <c r="X918" s="4">
        <f>'SUPUESTOS PRECIOS'!$B$2</f>
        <v>0.4</v>
      </c>
      <c r="Y918" s="3" t="str">
        <f t="shared" si="57"/>
        <v/>
      </c>
      <c r="Z918" s="3" t="str">
        <f t="shared" si="58"/>
        <v/>
      </c>
      <c r="AA918" s="11" t="str">
        <f t="shared" si="59"/>
        <v/>
      </c>
    </row>
    <row r="919" spans="1:27" x14ac:dyDescent="0.35">
      <c r="A919" s="10" t="s">
        <v>2042</v>
      </c>
      <c r="F919" t="s">
        <v>1358</v>
      </c>
      <c r="K919">
        <v>1</v>
      </c>
      <c r="L919" t="str">
        <f t="shared" si="56"/>
        <v/>
      </c>
      <c r="O919" t="s">
        <v>38</v>
      </c>
      <c r="T919" s="2">
        <f>'SUPUESTOS PRECIOS'!$B$9</f>
        <v>0</v>
      </c>
      <c r="U919" s="3">
        <f>'SUPUESTOS PRECIOS'!$B$5/'SUPUESTOS PRECIOS'!$B$4</f>
        <v>1000</v>
      </c>
      <c r="V919" s="3">
        <f>('SUPUESTOS PRECIOS'!$B$6-'SUPUESTOS PRECIOS'!$B$7)/'SUPUESTOS PRECIOS'!$B$4</f>
        <v>377.5</v>
      </c>
      <c r="W919" s="4">
        <f>'SUPUESTOS PRECIOS'!$B$8</f>
        <v>9.6799999999999994E-3</v>
      </c>
      <c r="X919" s="4">
        <f>'SUPUESTOS PRECIOS'!$B$2</f>
        <v>0.4</v>
      </c>
      <c r="Y919" s="3" t="str">
        <f t="shared" si="57"/>
        <v/>
      </c>
      <c r="Z919" s="3" t="str">
        <f t="shared" si="58"/>
        <v/>
      </c>
      <c r="AA919" s="11" t="str">
        <f t="shared" si="59"/>
        <v/>
      </c>
    </row>
    <row r="920" spans="1:27" x14ac:dyDescent="0.35">
      <c r="A920" s="10" t="s">
        <v>2043</v>
      </c>
      <c r="F920" t="s">
        <v>1358</v>
      </c>
      <c r="K920">
        <v>1</v>
      </c>
      <c r="L920" t="str">
        <f t="shared" si="56"/>
        <v/>
      </c>
      <c r="O920" t="s">
        <v>38</v>
      </c>
      <c r="T920" s="2">
        <f>'SUPUESTOS PRECIOS'!$B$9</f>
        <v>0</v>
      </c>
      <c r="U920" s="3">
        <f>'SUPUESTOS PRECIOS'!$B$5/'SUPUESTOS PRECIOS'!$B$4</f>
        <v>1000</v>
      </c>
      <c r="V920" s="3">
        <f>('SUPUESTOS PRECIOS'!$B$6-'SUPUESTOS PRECIOS'!$B$7)/'SUPUESTOS PRECIOS'!$B$4</f>
        <v>377.5</v>
      </c>
      <c r="W920" s="4">
        <f>'SUPUESTOS PRECIOS'!$B$8</f>
        <v>9.6799999999999994E-3</v>
      </c>
      <c r="X920" s="4">
        <f>'SUPUESTOS PRECIOS'!$B$2</f>
        <v>0.4</v>
      </c>
      <c r="Y920" s="3" t="str">
        <f t="shared" si="57"/>
        <v/>
      </c>
      <c r="Z920" s="3" t="str">
        <f t="shared" si="58"/>
        <v/>
      </c>
      <c r="AA920" s="11" t="str">
        <f t="shared" si="59"/>
        <v/>
      </c>
    </row>
    <row r="921" spans="1:27" x14ac:dyDescent="0.35">
      <c r="A921" s="10" t="s">
        <v>2044</v>
      </c>
      <c r="F921" t="s">
        <v>1358</v>
      </c>
      <c r="K921">
        <v>1</v>
      </c>
      <c r="L921" t="str">
        <f t="shared" si="56"/>
        <v/>
      </c>
      <c r="O921" t="s">
        <v>38</v>
      </c>
      <c r="T921" s="2">
        <f>'SUPUESTOS PRECIOS'!$B$9</f>
        <v>0</v>
      </c>
      <c r="U921" s="3">
        <f>'SUPUESTOS PRECIOS'!$B$5/'SUPUESTOS PRECIOS'!$B$4</f>
        <v>1000</v>
      </c>
      <c r="V921" s="3">
        <f>('SUPUESTOS PRECIOS'!$B$6-'SUPUESTOS PRECIOS'!$B$7)/'SUPUESTOS PRECIOS'!$B$4</f>
        <v>377.5</v>
      </c>
      <c r="W921" s="4">
        <f>'SUPUESTOS PRECIOS'!$B$8</f>
        <v>9.6799999999999994E-3</v>
      </c>
      <c r="X921" s="4">
        <f>'SUPUESTOS PRECIOS'!$B$2</f>
        <v>0.4</v>
      </c>
      <c r="Y921" s="3" t="str">
        <f t="shared" si="57"/>
        <v/>
      </c>
      <c r="Z921" s="3" t="str">
        <f t="shared" si="58"/>
        <v/>
      </c>
      <c r="AA921" s="11" t="str">
        <f t="shared" si="59"/>
        <v/>
      </c>
    </row>
    <row r="922" spans="1:27" x14ac:dyDescent="0.35">
      <c r="A922" s="10" t="s">
        <v>2045</v>
      </c>
      <c r="F922" t="s">
        <v>1358</v>
      </c>
      <c r="K922">
        <v>1</v>
      </c>
      <c r="L922" t="str">
        <f t="shared" si="56"/>
        <v/>
      </c>
      <c r="O922" t="s">
        <v>38</v>
      </c>
      <c r="T922" s="2">
        <f>'SUPUESTOS PRECIOS'!$B$9</f>
        <v>0</v>
      </c>
      <c r="U922" s="3">
        <f>'SUPUESTOS PRECIOS'!$B$5/'SUPUESTOS PRECIOS'!$B$4</f>
        <v>1000</v>
      </c>
      <c r="V922" s="3">
        <f>('SUPUESTOS PRECIOS'!$B$6-'SUPUESTOS PRECIOS'!$B$7)/'SUPUESTOS PRECIOS'!$B$4</f>
        <v>377.5</v>
      </c>
      <c r="W922" s="4">
        <f>'SUPUESTOS PRECIOS'!$B$8</f>
        <v>9.6799999999999994E-3</v>
      </c>
      <c r="X922" s="4">
        <f>'SUPUESTOS PRECIOS'!$B$2</f>
        <v>0.4</v>
      </c>
      <c r="Y922" s="3" t="str">
        <f t="shared" si="57"/>
        <v/>
      </c>
      <c r="Z922" s="3" t="str">
        <f t="shared" si="58"/>
        <v/>
      </c>
      <c r="AA922" s="11" t="str">
        <f t="shared" si="59"/>
        <v/>
      </c>
    </row>
    <row r="923" spans="1:27" x14ac:dyDescent="0.35">
      <c r="A923" s="10" t="s">
        <v>2046</v>
      </c>
      <c r="F923" t="s">
        <v>1358</v>
      </c>
      <c r="K923">
        <v>1</v>
      </c>
      <c r="L923" t="str">
        <f t="shared" si="56"/>
        <v/>
      </c>
      <c r="O923" t="s">
        <v>38</v>
      </c>
      <c r="T923" s="2">
        <f>'SUPUESTOS PRECIOS'!$B$9</f>
        <v>0</v>
      </c>
      <c r="U923" s="3">
        <f>'SUPUESTOS PRECIOS'!$B$5/'SUPUESTOS PRECIOS'!$B$4</f>
        <v>1000</v>
      </c>
      <c r="V923" s="3">
        <f>('SUPUESTOS PRECIOS'!$B$6-'SUPUESTOS PRECIOS'!$B$7)/'SUPUESTOS PRECIOS'!$B$4</f>
        <v>377.5</v>
      </c>
      <c r="W923" s="4">
        <f>'SUPUESTOS PRECIOS'!$B$8</f>
        <v>9.6799999999999994E-3</v>
      </c>
      <c r="X923" s="4">
        <f>'SUPUESTOS PRECIOS'!$B$2</f>
        <v>0.4</v>
      </c>
      <c r="Y923" s="3" t="str">
        <f t="shared" si="57"/>
        <v/>
      </c>
      <c r="Z923" s="3" t="str">
        <f t="shared" si="58"/>
        <v/>
      </c>
      <c r="AA923" s="11" t="str">
        <f t="shared" si="59"/>
        <v/>
      </c>
    </row>
    <row r="924" spans="1:27" x14ac:dyDescent="0.35">
      <c r="A924" s="10" t="s">
        <v>2047</v>
      </c>
      <c r="F924" t="s">
        <v>1358</v>
      </c>
      <c r="K924">
        <v>1</v>
      </c>
      <c r="L924" t="str">
        <f t="shared" si="56"/>
        <v/>
      </c>
      <c r="O924" t="s">
        <v>38</v>
      </c>
      <c r="T924" s="2">
        <f>'SUPUESTOS PRECIOS'!$B$9</f>
        <v>0</v>
      </c>
      <c r="U924" s="3">
        <f>'SUPUESTOS PRECIOS'!$B$5/'SUPUESTOS PRECIOS'!$B$4</f>
        <v>1000</v>
      </c>
      <c r="V924" s="3">
        <f>('SUPUESTOS PRECIOS'!$B$6-'SUPUESTOS PRECIOS'!$B$7)/'SUPUESTOS PRECIOS'!$B$4</f>
        <v>377.5</v>
      </c>
      <c r="W924" s="4">
        <f>'SUPUESTOS PRECIOS'!$B$8</f>
        <v>9.6799999999999994E-3</v>
      </c>
      <c r="X924" s="4">
        <f>'SUPUESTOS PRECIOS'!$B$2</f>
        <v>0.4</v>
      </c>
      <c r="Y924" s="3" t="str">
        <f t="shared" si="57"/>
        <v/>
      </c>
      <c r="Z924" s="3" t="str">
        <f t="shared" si="58"/>
        <v/>
      </c>
      <c r="AA924" s="11" t="str">
        <f t="shared" si="59"/>
        <v/>
      </c>
    </row>
    <row r="925" spans="1:27" x14ac:dyDescent="0.35">
      <c r="A925" s="10" t="s">
        <v>2048</v>
      </c>
      <c r="F925" t="s">
        <v>1358</v>
      </c>
      <c r="K925">
        <v>1</v>
      </c>
      <c r="L925" t="str">
        <f t="shared" si="56"/>
        <v/>
      </c>
      <c r="O925" t="s">
        <v>38</v>
      </c>
      <c r="T925" s="2">
        <f>'SUPUESTOS PRECIOS'!$B$9</f>
        <v>0</v>
      </c>
      <c r="U925" s="3">
        <f>'SUPUESTOS PRECIOS'!$B$5/'SUPUESTOS PRECIOS'!$B$4</f>
        <v>1000</v>
      </c>
      <c r="V925" s="3">
        <f>('SUPUESTOS PRECIOS'!$B$6-'SUPUESTOS PRECIOS'!$B$7)/'SUPUESTOS PRECIOS'!$B$4</f>
        <v>377.5</v>
      </c>
      <c r="W925" s="4">
        <f>'SUPUESTOS PRECIOS'!$B$8</f>
        <v>9.6799999999999994E-3</v>
      </c>
      <c r="X925" s="4">
        <f>'SUPUESTOS PRECIOS'!$B$2</f>
        <v>0.4</v>
      </c>
      <c r="Y925" s="3" t="str">
        <f t="shared" si="57"/>
        <v/>
      </c>
      <c r="Z925" s="3" t="str">
        <f t="shared" si="58"/>
        <v/>
      </c>
      <c r="AA925" s="11" t="str">
        <f t="shared" si="59"/>
        <v/>
      </c>
    </row>
    <row r="926" spans="1:27" x14ac:dyDescent="0.35">
      <c r="A926" s="10" t="s">
        <v>2049</v>
      </c>
      <c r="F926" t="s">
        <v>1358</v>
      </c>
      <c r="K926">
        <v>1</v>
      </c>
      <c r="L926" t="str">
        <f t="shared" si="56"/>
        <v/>
      </c>
      <c r="O926" t="s">
        <v>38</v>
      </c>
      <c r="T926" s="2">
        <f>'SUPUESTOS PRECIOS'!$B$9</f>
        <v>0</v>
      </c>
      <c r="U926" s="3">
        <f>'SUPUESTOS PRECIOS'!$B$5/'SUPUESTOS PRECIOS'!$B$4</f>
        <v>1000</v>
      </c>
      <c r="V926" s="3">
        <f>('SUPUESTOS PRECIOS'!$B$6-'SUPUESTOS PRECIOS'!$B$7)/'SUPUESTOS PRECIOS'!$B$4</f>
        <v>377.5</v>
      </c>
      <c r="W926" s="4">
        <f>'SUPUESTOS PRECIOS'!$B$8</f>
        <v>9.6799999999999994E-3</v>
      </c>
      <c r="X926" s="4">
        <f>'SUPUESTOS PRECIOS'!$B$2</f>
        <v>0.4</v>
      </c>
      <c r="Y926" s="3" t="str">
        <f t="shared" si="57"/>
        <v/>
      </c>
      <c r="Z926" s="3" t="str">
        <f t="shared" si="58"/>
        <v/>
      </c>
      <c r="AA926" s="11" t="str">
        <f t="shared" si="59"/>
        <v/>
      </c>
    </row>
    <row r="927" spans="1:27" x14ac:dyDescent="0.35">
      <c r="A927" s="10" t="s">
        <v>2050</v>
      </c>
      <c r="F927" t="s">
        <v>1358</v>
      </c>
      <c r="K927">
        <v>1</v>
      </c>
      <c r="L927" t="str">
        <f t="shared" si="56"/>
        <v/>
      </c>
      <c r="O927" t="s">
        <v>38</v>
      </c>
      <c r="T927" s="2">
        <f>'SUPUESTOS PRECIOS'!$B$9</f>
        <v>0</v>
      </c>
      <c r="U927" s="3">
        <f>'SUPUESTOS PRECIOS'!$B$5/'SUPUESTOS PRECIOS'!$B$4</f>
        <v>1000</v>
      </c>
      <c r="V927" s="3">
        <f>('SUPUESTOS PRECIOS'!$B$6-'SUPUESTOS PRECIOS'!$B$7)/'SUPUESTOS PRECIOS'!$B$4</f>
        <v>377.5</v>
      </c>
      <c r="W927" s="4">
        <f>'SUPUESTOS PRECIOS'!$B$8</f>
        <v>9.6799999999999994E-3</v>
      </c>
      <c r="X927" s="4">
        <f>'SUPUESTOS PRECIOS'!$B$2</f>
        <v>0.4</v>
      </c>
      <c r="Y927" s="3" t="str">
        <f t="shared" si="57"/>
        <v/>
      </c>
      <c r="Z927" s="3" t="str">
        <f t="shared" si="58"/>
        <v/>
      </c>
      <c r="AA927" s="11" t="str">
        <f t="shared" si="59"/>
        <v/>
      </c>
    </row>
    <row r="928" spans="1:27" x14ac:dyDescent="0.35">
      <c r="A928" s="10" t="s">
        <v>2051</v>
      </c>
      <c r="F928" t="s">
        <v>1358</v>
      </c>
      <c r="K928">
        <v>1</v>
      </c>
      <c r="L928" t="str">
        <f t="shared" si="56"/>
        <v/>
      </c>
      <c r="O928" t="s">
        <v>38</v>
      </c>
      <c r="T928" s="2">
        <f>'SUPUESTOS PRECIOS'!$B$9</f>
        <v>0</v>
      </c>
      <c r="U928" s="3">
        <f>'SUPUESTOS PRECIOS'!$B$5/'SUPUESTOS PRECIOS'!$B$4</f>
        <v>1000</v>
      </c>
      <c r="V928" s="3">
        <f>('SUPUESTOS PRECIOS'!$B$6-'SUPUESTOS PRECIOS'!$B$7)/'SUPUESTOS PRECIOS'!$B$4</f>
        <v>377.5</v>
      </c>
      <c r="W928" s="4">
        <f>'SUPUESTOS PRECIOS'!$B$8</f>
        <v>9.6799999999999994E-3</v>
      </c>
      <c r="X928" s="4">
        <f>'SUPUESTOS PRECIOS'!$B$2</f>
        <v>0.4</v>
      </c>
      <c r="Y928" s="3" t="str">
        <f t="shared" si="57"/>
        <v/>
      </c>
      <c r="Z928" s="3" t="str">
        <f t="shared" si="58"/>
        <v/>
      </c>
      <c r="AA928" s="11" t="str">
        <f t="shared" si="59"/>
        <v/>
      </c>
    </row>
    <row r="929" spans="1:27" x14ac:dyDescent="0.35">
      <c r="A929" s="10" t="s">
        <v>2052</v>
      </c>
      <c r="F929" t="s">
        <v>1358</v>
      </c>
      <c r="K929">
        <v>1</v>
      </c>
      <c r="L929" t="str">
        <f t="shared" si="56"/>
        <v/>
      </c>
      <c r="O929" t="s">
        <v>38</v>
      </c>
      <c r="T929" s="2">
        <f>'SUPUESTOS PRECIOS'!$B$9</f>
        <v>0</v>
      </c>
      <c r="U929" s="3">
        <f>'SUPUESTOS PRECIOS'!$B$5/'SUPUESTOS PRECIOS'!$B$4</f>
        <v>1000</v>
      </c>
      <c r="V929" s="3">
        <f>('SUPUESTOS PRECIOS'!$B$6-'SUPUESTOS PRECIOS'!$B$7)/'SUPUESTOS PRECIOS'!$B$4</f>
        <v>377.5</v>
      </c>
      <c r="W929" s="4">
        <f>'SUPUESTOS PRECIOS'!$B$8</f>
        <v>9.6799999999999994E-3</v>
      </c>
      <c r="X929" s="4">
        <f>'SUPUESTOS PRECIOS'!$B$2</f>
        <v>0.4</v>
      </c>
      <c r="Y929" s="3" t="str">
        <f t="shared" si="57"/>
        <v/>
      </c>
      <c r="Z929" s="3" t="str">
        <f t="shared" si="58"/>
        <v/>
      </c>
      <c r="AA929" s="11" t="str">
        <f t="shared" si="59"/>
        <v/>
      </c>
    </row>
    <row r="930" spans="1:27" x14ac:dyDescent="0.35">
      <c r="A930" s="10" t="s">
        <v>2053</v>
      </c>
      <c r="F930" t="s">
        <v>1358</v>
      </c>
      <c r="K930">
        <v>1</v>
      </c>
      <c r="L930" t="str">
        <f t="shared" si="56"/>
        <v/>
      </c>
      <c r="O930" t="s">
        <v>38</v>
      </c>
      <c r="T930" s="2">
        <f>'SUPUESTOS PRECIOS'!$B$9</f>
        <v>0</v>
      </c>
      <c r="U930" s="3">
        <f>'SUPUESTOS PRECIOS'!$B$5/'SUPUESTOS PRECIOS'!$B$4</f>
        <v>1000</v>
      </c>
      <c r="V930" s="3">
        <f>('SUPUESTOS PRECIOS'!$B$6-'SUPUESTOS PRECIOS'!$B$7)/'SUPUESTOS PRECIOS'!$B$4</f>
        <v>377.5</v>
      </c>
      <c r="W930" s="4">
        <f>'SUPUESTOS PRECIOS'!$B$8</f>
        <v>9.6799999999999994E-3</v>
      </c>
      <c r="X930" s="4">
        <f>'SUPUESTOS PRECIOS'!$B$2</f>
        <v>0.4</v>
      </c>
      <c r="Y930" s="3" t="str">
        <f t="shared" si="57"/>
        <v/>
      </c>
      <c r="Z930" s="3" t="str">
        <f t="shared" si="58"/>
        <v/>
      </c>
      <c r="AA930" s="11" t="str">
        <f t="shared" si="59"/>
        <v/>
      </c>
    </row>
    <row r="931" spans="1:27" x14ac:dyDescent="0.35">
      <c r="A931" s="10" t="s">
        <v>2054</v>
      </c>
      <c r="F931" t="s">
        <v>1358</v>
      </c>
      <c r="K931">
        <v>1</v>
      </c>
      <c r="L931" t="str">
        <f t="shared" si="56"/>
        <v/>
      </c>
      <c r="O931" t="s">
        <v>38</v>
      </c>
      <c r="T931" s="2">
        <f>'SUPUESTOS PRECIOS'!$B$9</f>
        <v>0</v>
      </c>
      <c r="U931" s="3">
        <f>'SUPUESTOS PRECIOS'!$B$5/'SUPUESTOS PRECIOS'!$B$4</f>
        <v>1000</v>
      </c>
      <c r="V931" s="3">
        <f>('SUPUESTOS PRECIOS'!$B$6-'SUPUESTOS PRECIOS'!$B$7)/'SUPUESTOS PRECIOS'!$B$4</f>
        <v>377.5</v>
      </c>
      <c r="W931" s="4">
        <f>'SUPUESTOS PRECIOS'!$B$8</f>
        <v>9.6799999999999994E-3</v>
      </c>
      <c r="X931" s="4">
        <f>'SUPUESTOS PRECIOS'!$B$2</f>
        <v>0.4</v>
      </c>
      <c r="Y931" s="3" t="str">
        <f t="shared" si="57"/>
        <v/>
      </c>
      <c r="Z931" s="3" t="str">
        <f t="shared" si="58"/>
        <v/>
      </c>
      <c r="AA931" s="11" t="str">
        <f t="shared" si="59"/>
        <v/>
      </c>
    </row>
    <row r="932" spans="1:27" x14ac:dyDescent="0.35">
      <c r="A932" s="10" t="s">
        <v>2055</v>
      </c>
      <c r="F932" t="s">
        <v>1358</v>
      </c>
      <c r="K932">
        <v>1</v>
      </c>
      <c r="L932" t="str">
        <f t="shared" si="56"/>
        <v/>
      </c>
      <c r="O932" t="s">
        <v>38</v>
      </c>
      <c r="T932" s="2">
        <f>'SUPUESTOS PRECIOS'!$B$9</f>
        <v>0</v>
      </c>
      <c r="U932" s="3">
        <f>'SUPUESTOS PRECIOS'!$B$5/'SUPUESTOS PRECIOS'!$B$4</f>
        <v>1000</v>
      </c>
      <c r="V932" s="3">
        <f>('SUPUESTOS PRECIOS'!$B$6-'SUPUESTOS PRECIOS'!$B$7)/'SUPUESTOS PRECIOS'!$B$4</f>
        <v>377.5</v>
      </c>
      <c r="W932" s="4">
        <f>'SUPUESTOS PRECIOS'!$B$8</f>
        <v>9.6799999999999994E-3</v>
      </c>
      <c r="X932" s="4">
        <f>'SUPUESTOS PRECIOS'!$B$2</f>
        <v>0.4</v>
      </c>
      <c r="Y932" s="3" t="str">
        <f t="shared" si="57"/>
        <v/>
      </c>
      <c r="Z932" s="3" t="str">
        <f t="shared" si="58"/>
        <v/>
      </c>
      <c r="AA932" s="11" t="str">
        <f t="shared" si="59"/>
        <v/>
      </c>
    </row>
    <row r="933" spans="1:27" x14ac:dyDescent="0.35">
      <c r="A933" s="10" t="s">
        <v>2056</v>
      </c>
      <c r="F933" t="s">
        <v>1358</v>
      </c>
      <c r="K933">
        <v>1</v>
      </c>
      <c r="L933" t="str">
        <f t="shared" si="56"/>
        <v/>
      </c>
      <c r="O933" t="s">
        <v>38</v>
      </c>
      <c r="T933" s="2">
        <f>'SUPUESTOS PRECIOS'!$B$9</f>
        <v>0</v>
      </c>
      <c r="U933" s="3">
        <f>'SUPUESTOS PRECIOS'!$B$5/'SUPUESTOS PRECIOS'!$B$4</f>
        <v>1000</v>
      </c>
      <c r="V933" s="3">
        <f>('SUPUESTOS PRECIOS'!$B$6-'SUPUESTOS PRECIOS'!$B$7)/'SUPUESTOS PRECIOS'!$B$4</f>
        <v>377.5</v>
      </c>
      <c r="W933" s="4">
        <f>'SUPUESTOS PRECIOS'!$B$8</f>
        <v>9.6799999999999994E-3</v>
      </c>
      <c r="X933" s="4">
        <f>'SUPUESTOS PRECIOS'!$B$2</f>
        <v>0.4</v>
      </c>
      <c r="Y933" s="3" t="str">
        <f t="shared" si="57"/>
        <v/>
      </c>
      <c r="Z933" s="3" t="str">
        <f t="shared" si="58"/>
        <v/>
      </c>
      <c r="AA933" s="11" t="str">
        <f t="shared" si="59"/>
        <v/>
      </c>
    </row>
    <row r="934" spans="1:27" x14ac:dyDescent="0.35">
      <c r="A934" s="10" t="s">
        <v>2057</v>
      </c>
      <c r="F934" t="s">
        <v>1358</v>
      </c>
      <c r="K934">
        <v>1</v>
      </c>
      <c r="L934" t="str">
        <f t="shared" si="56"/>
        <v/>
      </c>
      <c r="O934" t="s">
        <v>38</v>
      </c>
      <c r="T934" s="2">
        <f>'SUPUESTOS PRECIOS'!$B$9</f>
        <v>0</v>
      </c>
      <c r="U934" s="3">
        <f>'SUPUESTOS PRECIOS'!$B$5/'SUPUESTOS PRECIOS'!$B$4</f>
        <v>1000</v>
      </c>
      <c r="V934" s="3">
        <f>('SUPUESTOS PRECIOS'!$B$6-'SUPUESTOS PRECIOS'!$B$7)/'SUPUESTOS PRECIOS'!$B$4</f>
        <v>377.5</v>
      </c>
      <c r="W934" s="4">
        <f>'SUPUESTOS PRECIOS'!$B$8</f>
        <v>9.6799999999999994E-3</v>
      </c>
      <c r="X934" s="4">
        <f>'SUPUESTOS PRECIOS'!$B$2</f>
        <v>0.4</v>
      </c>
      <c r="Y934" s="3" t="str">
        <f t="shared" si="57"/>
        <v/>
      </c>
      <c r="Z934" s="3" t="str">
        <f t="shared" si="58"/>
        <v/>
      </c>
      <c r="AA934" s="11" t="str">
        <f t="shared" si="59"/>
        <v/>
      </c>
    </row>
    <row r="935" spans="1:27" x14ac:dyDescent="0.35">
      <c r="A935" s="10" t="s">
        <v>2058</v>
      </c>
      <c r="F935" t="s">
        <v>1358</v>
      </c>
      <c r="K935">
        <v>1</v>
      </c>
      <c r="L935" t="str">
        <f t="shared" si="56"/>
        <v/>
      </c>
      <c r="O935" t="s">
        <v>38</v>
      </c>
      <c r="T935" s="2">
        <f>'SUPUESTOS PRECIOS'!$B$9</f>
        <v>0</v>
      </c>
      <c r="U935" s="3">
        <f>'SUPUESTOS PRECIOS'!$B$5/'SUPUESTOS PRECIOS'!$B$4</f>
        <v>1000</v>
      </c>
      <c r="V935" s="3">
        <f>('SUPUESTOS PRECIOS'!$B$6-'SUPUESTOS PRECIOS'!$B$7)/'SUPUESTOS PRECIOS'!$B$4</f>
        <v>377.5</v>
      </c>
      <c r="W935" s="4">
        <f>'SUPUESTOS PRECIOS'!$B$8</f>
        <v>9.6799999999999994E-3</v>
      </c>
      <c r="X935" s="4">
        <f>'SUPUESTOS PRECIOS'!$B$2</f>
        <v>0.4</v>
      </c>
      <c r="Y935" s="3" t="str">
        <f t="shared" si="57"/>
        <v/>
      </c>
      <c r="Z935" s="3" t="str">
        <f t="shared" si="58"/>
        <v/>
      </c>
      <c r="AA935" s="11" t="str">
        <f t="shared" si="59"/>
        <v/>
      </c>
    </row>
    <row r="936" spans="1:27" x14ac:dyDescent="0.35">
      <c r="A936" s="10" t="s">
        <v>2059</v>
      </c>
      <c r="F936" t="s">
        <v>1358</v>
      </c>
      <c r="K936">
        <v>1</v>
      </c>
      <c r="L936" t="str">
        <f t="shared" si="56"/>
        <v/>
      </c>
      <c r="O936" t="s">
        <v>38</v>
      </c>
      <c r="T936" s="2">
        <f>'SUPUESTOS PRECIOS'!$B$9</f>
        <v>0</v>
      </c>
      <c r="U936" s="3">
        <f>'SUPUESTOS PRECIOS'!$B$5/'SUPUESTOS PRECIOS'!$B$4</f>
        <v>1000</v>
      </c>
      <c r="V936" s="3">
        <f>('SUPUESTOS PRECIOS'!$B$6-'SUPUESTOS PRECIOS'!$B$7)/'SUPUESTOS PRECIOS'!$B$4</f>
        <v>377.5</v>
      </c>
      <c r="W936" s="4">
        <f>'SUPUESTOS PRECIOS'!$B$8</f>
        <v>9.6799999999999994E-3</v>
      </c>
      <c r="X936" s="4">
        <f>'SUPUESTOS PRECIOS'!$B$2</f>
        <v>0.4</v>
      </c>
      <c r="Y936" s="3" t="str">
        <f t="shared" si="57"/>
        <v/>
      </c>
      <c r="Z936" s="3" t="str">
        <f t="shared" si="58"/>
        <v/>
      </c>
      <c r="AA936" s="11" t="str">
        <f t="shared" si="59"/>
        <v/>
      </c>
    </row>
    <row r="937" spans="1:27" x14ac:dyDescent="0.35">
      <c r="A937" s="10" t="s">
        <v>2060</v>
      </c>
      <c r="F937" t="s">
        <v>1358</v>
      </c>
      <c r="K937">
        <v>1</v>
      </c>
      <c r="L937" t="str">
        <f t="shared" si="56"/>
        <v/>
      </c>
      <c r="O937" t="s">
        <v>38</v>
      </c>
      <c r="T937" s="2">
        <f>'SUPUESTOS PRECIOS'!$B$9</f>
        <v>0</v>
      </c>
      <c r="U937" s="3">
        <f>'SUPUESTOS PRECIOS'!$B$5/'SUPUESTOS PRECIOS'!$B$4</f>
        <v>1000</v>
      </c>
      <c r="V937" s="3">
        <f>('SUPUESTOS PRECIOS'!$B$6-'SUPUESTOS PRECIOS'!$B$7)/'SUPUESTOS PRECIOS'!$B$4</f>
        <v>377.5</v>
      </c>
      <c r="W937" s="4">
        <f>'SUPUESTOS PRECIOS'!$B$8</f>
        <v>9.6799999999999994E-3</v>
      </c>
      <c r="X937" s="4">
        <f>'SUPUESTOS PRECIOS'!$B$2</f>
        <v>0.4</v>
      </c>
      <c r="Y937" s="3" t="str">
        <f t="shared" si="57"/>
        <v/>
      </c>
      <c r="Z937" s="3" t="str">
        <f t="shared" si="58"/>
        <v/>
      </c>
      <c r="AA937" s="11" t="str">
        <f t="shared" si="59"/>
        <v/>
      </c>
    </row>
    <row r="938" spans="1:27" x14ac:dyDescent="0.35">
      <c r="A938" s="10" t="s">
        <v>2061</v>
      </c>
      <c r="F938" t="s">
        <v>1358</v>
      </c>
      <c r="K938">
        <v>1</v>
      </c>
      <c r="L938" t="str">
        <f t="shared" si="56"/>
        <v/>
      </c>
      <c r="O938" t="s">
        <v>38</v>
      </c>
      <c r="T938" s="2">
        <f>'SUPUESTOS PRECIOS'!$B$9</f>
        <v>0</v>
      </c>
      <c r="U938" s="3">
        <f>'SUPUESTOS PRECIOS'!$B$5/'SUPUESTOS PRECIOS'!$B$4</f>
        <v>1000</v>
      </c>
      <c r="V938" s="3">
        <f>('SUPUESTOS PRECIOS'!$B$6-'SUPUESTOS PRECIOS'!$B$7)/'SUPUESTOS PRECIOS'!$B$4</f>
        <v>377.5</v>
      </c>
      <c r="W938" s="4">
        <f>'SUPUESTOS PRECIOS'!$B$8</f>
        <v>9.6799999999999994E-3</v>
      </c>
      <c r="X938" s="4">
        <f>'SUPUESTOS PRECIOS'!$B$2</f>
        <v>0.4</v>
      </c>
      <c r="Y938" s="3" t="str">
        <f t="shared" si="57"/>
        <v/>
      </c>
      <c r="Z938" s="3" t="str">
        <f t="shared" si="58"/>
        <v/>
      </c>
      <c r="AA938" s="11" t="str">
        <f t="shared" si="59"/>
        <v/>
      </c>
    </row>
    <row r="939" spans="1:27" x14ac:dyDescent="0.35">
      <c r="A939" s="10" t="s">
        <v>2062</v>
      </c>
      <c r="F939" t="s">
        <v>1358</v>
      </c>
      <c r="K939">
        <v>1</v>
      </c>
      <c r="L939" t="str">
        <f t="shared" si="56"/>
        <v/>
      </c>
      <c r="O939" t="s">
        <v>38</v>
      </c>
      <c r="T939" s="2">
        <f>'SUPUESTOS PRECIOS'!$B$9</f>
        <v>0</v>
      </c>
      <c r="U939" s="3">
        <f>'SUPUESTOS PRECIOS'!$B$5/'SUPUESTOS PRECIOS'!$B$4</f>
        <v>1000</v>
      </c>
      <c r="V939" s="3">
        <f>('SUPUESTOS PRECIOS'!$B$6-'SUPUESTOS PRECIOS'!$B$7)/'SUPUESTOS PRECIOS'!$B$4</f>
        <v>377.5</v>
      </c>
      <c r="W939" s="4">
        <f>'SUPUESTOS PRECIOS'!$B$8</f>
        <v>9.6799999999999994E-3</v>
      </c>
      <c r="X939" s="4">
        <f>'SUPUESTOS PRECIOS'!$B$2</f>
        <v>0.4</v>
      </c>
      <c r="Y939" s="3" t="str">
        <f t="shared" si="57"/>
        <v/>
      </c>
      <c r="Z939" s="3" t="str">
        <f t="shared" si="58"/>
        <v/>
      </c>
      <c r="AA939" s="11" t="str">
        <f t="shared" si="59"/>
        <v/>
      </c>
    </row>
    <row r="940" spans="1:27" x14ac:dyDescent="0.35">
      <c r="A940" s="10" t="s">
        <v>2063</v>
      </c>
      <c r="F940" t="s">
        <v>1358</v>
      </c>
      <c r="K940">
        <v>1</v>
      </c>
      <c r="L940" t="str">
        <f t="shared" si="56"/>
        <v/>
      </c>
      <c r="O940" t="s">
        <v>38</v>
      </c>
      <c r="T940" s="2">
        <f>'SUPUESTOS PRECIOS'!$B$9</f>
        <v>0</v>
      </c>
      <c r="U940" s="3">
        <f>'SUPUESTOS PRECIOS'!$B$5/'SUPUESTOS PRECIOS'!$B$4</f>
        <v>1000</v>
      </c>
      <c r="V940" s="3">
        <f>('SUPUESTOS PRECIOS'!$B$6-'SUPUESTOS PRECIOS'!$B$7)/'SUPUESTOS PRECIOS'!$B$4</f>
        <v>377.5</v>
      </c>
      <c r="W940" s="4">
        <f>'SUPUESTOS PRECIOS'!$B$8</f>
        <v>9.6799999999999994E-3</v>
      </c>
      <c r="X940" s="4">
        <f>'SUPUESTOS PRECIOS'!$B$2</f>
        <v>0.4</v>
      </c>
      <c r="Y940" s="3" t="str">
        <f t="shared" si="57"/>
        <v/>
      </c>
      <c r="Z940" s="3" t="str">
        <f t="shared" si="58"/>
        <v/>
      </c>
      <c r="AA940" s="11" t="str">
        <f t="shared" si="59"/>
        <v/>
      </c>
    </row>
    <row r="941" spans="1:27" x14ac:dyDescent="0.35">
      <c r="A941" s="10" t="s">
        <v>2064</v>
      </c>
      <c r="F941" t="s">
        <v>1358</v>
      </c>
      <c r="K941">
        <v>1</v>
      </c>
      <c r="L941" t="str">
        <f t="shared" si="56"/>
        <v/>
      </c>
      <c r="O941" t="s">
        <v>38</v>
      </c>
      <c r="T941" s="2">
        <f>'SUPUESTOS PRECIOS'!$B$9</f>
        <v>0</v>
      </c>
      <c r="U941" s="3">
        <f>'SUPUESTOS PRECIOS'!$B$5/'SUPUESTOS PRECIOS'!$B$4</f>
        <v>1000</v>
      </c>
      <c r="V941" s="3">
        <f>('SUPUESTOS PRECIOS'!$B$6-'SUPUESTOS PRECIOS'!$B$7)/'SUPUESTOS PRECIOS'!$B$4</f>
        <v>377.5</v>
      </c>
      <c r="W941" s="4">
        <f>'SUPUESTOS PRECIOS'!$B$8</f>
        <v>9.6799999999999994E-3</v>
      </c>
      <c r="X941" s="4">
        <f>'SUPUESTOS PRECIOS'!$B$2</f>
        <v>0.4</v>
      </c>
      <c r="Y941" s="3" t="str">
        <f t="shared" si="57"/>
        <v/>
      </c>
      <c r="Z941" s="3" t="str">
        <f t="shared" si="58"/>
        <v/>
      </c>
      <c r="AA941" s="11" t="str">
        <f t="shared" si="59"/>
        <v/>
      </c>
    </row>
    <row r="942" spans="1:27" x14ac:dyDescent="0.35">
      <c r="A942" s="10" t="s">
        <v>2065</v>
      </c>
      <c r="F942" t="s">
        <v>1358</v>
      </c>
      <c r="K942">
        <v>1</v>
      </c>
      <c r="L942" t="str">
        <f t="shared" si="56"/>
        <v/>
      </c>
      <c r="O942" t="s">
        <v>38</v>
      </c>
      <c r="T942" s="2">
        <f>'SUPUESTOS PRECIOS'!$B$9</f>
        <v>0</v>
      </c>
      <c r="U942" s="3">
        <f>'SUPUESTOS PRECIOS'!$B$5/'SUPUESTOS PRECIOS'!$B$4</f>
        <v>1000</v>
      </c>
      <c r="V942" s="3">
        <f>('SUPUESTOS PRECIOS'!$B$6-'SUPUESTOS PRECIOS'!$B$7)/'SUPUESTOS PRECIOS'!$B$4</f>
        <v>377.5</v>
      </c>
      <c r="W942" s="4">
        <f>'SUPUESTOS PRECIOS'!$B$8</f>
        <v>9.6799999999999994E-3</v>
      </c>
      <c r="X942" s="4">
        <f>'SUPUESTOS PRECIOS'!$B$2</f>
        <v>0.4</v>
      </c>
      <c r="Y942" s="3" t="str">
        <f t="shared" si="57"/>
        <v/>
      </c>
      <c r="Z942" s="3" t="str">
        <f t="shared" si="58"/>
        <v/>
      </c>
      <c r="AA942" s="11" t="str">
        <f t="shared" si="59"/>
        <v/>
      </c>
    </row>
    <row r="943" spans="1:27" x14ac:dyDescent="0.35">
      <c r="A943" s="10" t="s">
        <v>2066</v>
      </c>
      <c r="F943" t="s">
        <v>1358</v>
      </c>
      <c r="K943">
        <v>1</v>
      </c>
      <c r="L943" t="str">
        <f t="shared" si="56"/>
        <v/>
      </c>
      <c r="O943" t="s">
        <v>38</v>
      </c>
      <c r="T943" s="2">
        <f>'SUPUESTOS PRECIOS'!$B$9</f>
        <v>0</v>
      </c>
      <c r="U943" s="3">
        <f>'SUPUESTOS PRECIOS'!$B$5/'SUPUESTOS PRECIOS'!$B$4</f>
        <v>1000</v>
      </c>
      <c r="V943" s="3">
        <f>('SUPUESTOS PRECIOS'!$B$6-'SUPUESTOS PRECIOS'!$B$7)/'SUPUESTOS PRECIOS'!$B$4</f>
        <v>377.5</v>
      </c>
      <c r="W943" s="4">
        <f>'SUPUESTOS PRECIOS'!$B$8</f>
        <v>9.6799999999999994E-3</v>
      </c>
      <c r="X943" s="4">
        <f>'SUPUESTOS PRECIOS'!$B$2</f>
        <v>0.4</v>
      </c>
      <c r="Y943" s="3" t="str">
        <f t="shared" si="57"/>
        <v/>
      </c>
      <c r="Z943" s="3" t="str">
        <f t="shared" si="58"/>
        <v/>
      </c>
      <c r="AA943" s="11" t="str">
        <f t="shared" si="59"/>
        <v/>
      </c>
    </row>
    <row r="944" spans="1:27" x14ac:dyDescent="0.35">
      <c r="A944" s="10" t="s">
        <v>2067</v>
      </c>
      <c r="F944" t="s">
        <v>1358</v>
      </c>
      <c r="K944">
        <v>1</v>
      </c>
      <c r="L944" t="str">
        <f t="shared" si="56"/>
        <v/>
      </c>
      <c r="O944" t="s">
        <v>38</v>
      </c>
      <c r="T944" s="2">
        <f>'SUPUESTOS PRECIOS'!$B$9</f>
        <v>0</v>
      </c>
      <c r="U944" s="3">
        <f>'SUPUESTOS PRECIOS'!$B$5/'SUPUESTOS PRECIOS'!$B$4</f>
        <v>1000</v>
      </c>
      <c r="V944" s="3">
        <f>('SUPUESTOS PRECIOS'!$B$6-'SUPUESTOS PRECIOS'!$B$7)/'SUPUESTOS PRECIOS'!$B$4</f>
        <v>377.5</v>
      </c>
      <c r="W944" s="4">
        <f>'SUPUESTOS PRECIOS'!$B$8</f>
        <v>9.6799999999999994E-3</v>
      </c>
      <c r="X944" s="4">
        <f>'SUPUESTOS PRECIOS'!$B$2</f>
        <v>0.4</v>
      </c>
      <c r="Y944" s="3" t="str">
        <f t="shared" si="57"/>
        <v/>
      </c>
      <c r="Z944" s="3" t="str">
        <f t="shared" si="58"/>
        <v/>
      </c>
      <c r="AA944" s="11" t="str">
        <f t="shared" si="59"/>
        <v/>
      </c>
    </row>
    <row r="945" spans="1:27" x14ac:dyDescent="0.35">
      <c r="A945" s="10" t="s">
        <v>2068</v>
      </c>
      <c r="F945" t="s">
        <v>1358</v>
      </c>
      <c r="K945">
        <v>1</v>
      </c>
      <c r="L945" t="str">
        <f t="shared" si="56"/>
        <v/>
      </c>
      <c r="O945" t="s">
        <v>38</v>
      </c>
      <c r="T945" s="2">
        <f>'SUPUESTOS PRECIOS'!$B$9</f>
        <v>0</v>
      </c>
      <c r="U945" s="3">
        <f>'SUPUESTOS PRECIOS'!$B$5/'SUPUESTOS PRECIOS'!$B$4</f>
        <v>1000</v>
      </c>
      <c r="V945" s="3">
        <f>('SUPUESTOS PRECIOS'!$B$6-'SUPUESTOS PRECIOS'!$B$7)/'SUPUESTOS PRECIOS'!$B$4</f>
        <v>377.5</v>
      </c>
      <c r="W945" s="4">
        <f>'SUPUESTOS PRECIOS'!$B$8</f>
        <v>9.6799999999999994E-3</v>
      </c>
      <c r="X945" s="4">
        <f>'SUPUESTOS PRECIOS'!$B$2</f>
        <v>0.4</v>
      </c>
      <c r="Y945" s="3" t="str">
        <f t="shared" si="57"/>
        <v/>
      </c>
      <c r="Z945" s="3" t="str">
        <f t="shared" si="58"/>
        <v/>
      </c>
      <c r="AA945" s="11" t="str">
        <f t="shared" si="59"/>
        <v/>
      </c>
    </row>
    <row r="946" spans="1:27" x14ac:dyDescent="0.35">
      <c r="A946" s="10" t="s">
        <v>2069</v>
      </c>
      <c r="F946" t="s">
        <v>1358</v>
      </c>
      <c r="K946">
        <v>1</v>
      </c>
      <c r="L946" t="str">
        <f t="shared" si="56"/>
        <v/>
      </c>
      <c r="O946" t="s">
        <v>38</v>
      </c>
      <c r="T946" s="2">
        <f>'SUPUESTOS PRECIOS'!$B$9</f>
        <v>0</v>
      </c>
      <c r="U946" s="3">
        <f>'SUPUESTOS PRECIOS'!$B$5/'SUPUESTOS PRECIOS'!$B$4</f>
        <v>1000</v>
      </c>
      <c r="V946" s="3">
        <f>('SUPUESTOS PRECIOS'!$B$6-'SUPUESTOS PRECIOS'!$B$7)/'SUPUESTOS PRECIOS'!$B$4</f>
        <v>377.5</v>
      </c>
      <c r="W946" s="4">
        <f>'SUPUESTOS PRECIOS'!$B$8</f>
        <v>9.6799999999999994E-3</v>
      </c>
      <c r="X946" s="4">
        <f>'SUPUESTOS PRECIOS'!$B$2</f>
        <v>0.4</v>
      </c>
      <c r="Y946" s="3" t="str">
        <f t="shared" si="57"/>
        <v/>
      </c>
      <c r="Z946" s="3" t="str">
        <f t="shared" si="58"/>
        <v/>
      </c>
      <c r="AA946" s="11" t="str">
        <f t="shared" si="59"/>
        <v/>
      </c>
    </row>
    <row r="947" spans="1:27" x14ac:dyDescent="0.35">
      <c r="A947" s="10" t="s">
        <v>2070</v>
      </c>
      <c r="F947" t="s">
        <v>1358</v>
      </c>
      <c r="K947">
        <v>1</v>
      </c>
      <c r="L947" t="str">
        <f t="shared" si="56"/>
        <v/>
      </c>
      <c r="O947" t="s">
        <v>38</v>
      </c>
      <c r="T947" s="2">
        <f>'SUPUESTOS PRECIOS'!$B$9</f>
        <v>0</v>
      </c>
      <c r="U947" s="3">
        <f>'SUPUESTOS PRECIOS'!$B$5/'SUPUESTOS PRECIOS'!$B$4</f>
        <v>1000</v>
      </c>
      <c r="V947" s="3">
        <f>('SUPUESTOS PRECIOS'!$B$6-'SUPUESTOS PRECIOS'!$B$7)/'SUPUESTOS PRECIOS'!$B$4</f>
        <v>377.5</v>
      </c>
      <c r="W947" s="4">
        <f>'SUPUESTOS PRECIOS'!$B$8</f>
        <v>9.6799999999999994E-3</v>
      </c>
      <c r="X947" s="4">
        <f>'SUPUESTOS PRECIOS'!$B$2</f>
        <v>0.4</v>
      </c>
      <c r="Y947" s="3" t="str">
        <f t="shared" si="57"/>
        <v/>
      </c>
      <c r="Z947" s="3" t="str">
        <f t="shared" si="58"/>
        <v/>
      </c>
      <c r="AA947" s="11" t="str">
        <f t="shared" si="59"/>
        <v/>
      </c>
    </row>
    <row r="948" spans="1:27" x14ac:dyDescent="0.35">
      <c r="A948" s="10" t="s">
        <v>2071</v>
      </c>
      <c r="F948" t="s">
        <v>1358</v>
      </c>
      <c r="K948">
        <v>1</v>
      </c>
      <c r="L948" t="str">
        <f t="shared" si="56"/>
        <v/>
      </c>
      <c r="O948" t="s">
        <v>38</v>
      </c>
      <c r="T948" s="2">
        <f>'SUPUESTOS PRECIOS'!$B$9</f>
        <v>0</v>
      </c>
      <c r="U948" s="3">
        <f>'SUPUESTOS PRECIOS'!$B$5/'SUPUESTOS PRECIOS'!$B$4</f>
        <v>1000</v>
      </c>
      <c r="V948" s="3">
        <f>('SUPUESTOS PRECIOS'!$B$6-'SUPUESTOS PRECIOS'!$B$7)/'SUPUESTOS PRECIOS'!$B$4</f>
        <v>377.5</v>
      </c>
      <c r="W948" s="4">
        <f>'SUPUESTOS PRECIOS'!$B$8</f>
        <v>9.6799999999999994E-3</v>
      </c>
      <c r="X948" s="4">
        <f>'SUPUESTOS PRECIOS'!$B$2</f>
        <v>0.4</v>
      </c>
      <c r="Y948" s="3" t="str">
        <f t="shared" si="57"/>
        <v/>
      </c>
      <c r="Z948" s="3" t="str">
        <f t="shared" si="58"/>
        <v/>
      </c>
      <c r="AA948" s="11" t="str">
        <f t="shared" si="59"/>
        <v/>
      </c>
    </row>
    <row r="949" spans="1:27" x14ac:dyDescent="0.35">
      <c r="A949" s="10" t="s">
        <v>2072</v>
      </c>
      <c r="F949" t="s">
        <v>1358</v>
      </c>
      <c r="K949">
        <v>1</v>
      </c>
      <c r="L949" t="str">
        <f t="shared" si="56"/>
        <v/>
      </c>
      <c r="O949" t="s">
        <v>38</v>
      </c>
      <c r="T949" s="2">
        <f>'SUPUESTOS PRECIOS'!$B$9</f>
        <v>0</v>
      </c>
      <c r="U949" s="3">
        <f>'SUPUESTOS PRECIOS'!$B$5/'SUPUESTOS PRECIOS'!$B$4</f>
        <v>1000</v>
      </c>
      <c r="V949" s="3">
        <f>('SUPUESTOS PRECIOS'!$B$6-'SUPUESTOS PRECIOS'!$B$7)/'SUPUESTOS PRECIOS'!$B$4</f>
        <v>377.5</v>
      </c>
      <c r="W949" s="4">
        <f>'SUPUESTOS PRECIOS'!$B$8</f>
        <v>9.6799999999999994E-3</v>
      </c>
      <c r="X949" s="4">
        <f>'SUPUESTOS PRECIOS'!$B$2</f>
        <v>0.4</v>
      </c>
      <c r="Y949" s="3" t="str">
        <f t="shared" si="57"/>
        <v/>
      </c>
      <c r="Z949" s="3" t="str">
        <f t="shared" si="58"/>
        <v/>
      </c>
      <c r="AA949" s="11" t="str">
        <f t="shared" si="59"/>
        <v/>
      </c>
    </row>
    <row r="950" spans="1:27" x14ac:dyDescent="0.35">
      <c r="A950" s="10" t="s">
        <v>2073</v>
      </c>
      <c r="F950" t="s">
        <v>1358</v>
      </c>
      <c r="K950">
        <v>1</v>
      </c>
      <c r="L950" t="str">
        <f t="shared" si="56"/>
        <v/>
      </c>
      <c r="O950" t="s">
        <v>38</v>
      </c>
      <c r="T950" s="2">
        <f>'SUPUESTOS PRECIOS'!$B$9</f>
        <v>0</v>
      </c>
      <c r="U950" s="3">
        <f>'SUPUESTOS PRECIOS'!$B$5/'SUPUESTOS PRECIOS'!$B$4</f>
        <v>1000</v>
      </c>
      <c r="V950" s="3">
        <f>('SUPUESTOS PRECIOS'!$B$6-'SUPUESTOS PRECIOS'!$B$7)/'SUPUESTOS PRECIOS'!$B$4</f>
        <v>377.5</v>
      </c>
      <c r="W950" s="4">
        <f>'SUPUESTOS PRECIOS'!$B$8</f>
        <v>9.6799999999999994E-3</v>
      </c>
      <c r="X950" s="4">
        <f>'SUPUESTOS PRECIOS'!$B$2</f>
        <v>0.4</v>
      </c>
      <c r="Y950" s="3" t="str">
        <f t="shared" si="57"/>
        <v/>
      </c>
      <c r="Z950" s="3" t="str">
        <f t="shared" si="58"/>
        <v/>
      </c>
      <c r="AA950" s="11" t="str">
        <f t="shared" si="59"/>
        <v/>
      </c>
    </row>
    <row r="951" spans="1:27" x14ac:dyDescent="0.35">
      <c r="A951" s="10" t="s">
        <v>2074</v>
      </c>
      <c r="F951" t="s">
        <v>1358</v>
      </c>
      <c r="K951">
        <v>1</v>
      </c>
      <c r="L951" t="str">
        <f t="shared" si="56"/>
        <v/>
      </c>
      <c r="O951" t="s">
        <v>38</v>
      </c>
      <c r="T951" s="2">
        <f>'SUPUESTOS PRECIOS'!$B$9</f>
        <v>0</v>
      </c>
      <c r="U951" s="3">
        <f>'SUPUESTOS PRECIOS'!$B$5/'SUPUESTOS PRECIOS'!$B$4</f>
        <v>1000</v>
      </c>
      <c r="V951" s="3">
        <f>('SUPUESTOS PRECIOS'!$B$6-'SUPUESTOS PRECIOS'!$B$7)/'SUPUESTOS PRECIOS'!$B$4</f>
        <v>377.5</v>
      </c>
      <c r="W951" s="4">
        <f>'SUPUESTOS PRECIOS'!$B$8</f>
        <v>9.6799999999999994E-3</v>
      </c>
      <c r="X951" s="4">
        <f>'SUPUESTOS PRECIOS'!$B$2</f>
        <v>0.4</v>
      </c>
      <c r="Y951" s="3" t="str">
        <f t="shared" si="57"/>
        <v/>
      </c>
      <c r="Z951" s="3" t="str">
        <f t="shared" si="58"/>
        <v/>
      </c>
      <c r="AA951" s="11" t="str">
        <f t="shared" si="59"/>
        <v/>
      </c>
    </row>
    <row r="952" spans="1:27" x14ac:dyDescent="0.35">
      <c r="A952" s="10" t="s">
        <v>2075</v>
      </c>
      <c r="F952" t="s">
        <v>1358</v>
      </c>
      <c r="K952">
        <v>1</v>
      </c>
      <c r="L952" t="str">
        <f t="shared" si="56"/>
        <v/>
      </c>
      <c r="O952" t="s">
        <v>38</v>
      </c>
      <c r="T952" s="2">
        <f>'SUPUESTOS PRECIOS'!$B$9</f>
        <v>0</v>
      </c>
      <c r="U952" s="3">
        <f>'SUPUESTOS PRECIOS'!$B$5/'SUPUESTOS PRECIOS'!$B$4</f>
        <v>1000</v>
      </c>
      <c r="V952" s="3">
        <f>('SUPUESTOS PRECIOS'!$B$6-'SUPUESTOS PRECIOS'!$B$7)/'SUPUESTOS PRECIOS'!$B$4</f>
        <v>377.5</v>
      </c>
      <c r="W952" s="4">
        <f>'SUPUESTOS PRECIOS'!$B$8</f>
        <v>9.6799999999999994E-3</v>
      </c>
      <c r="X952" s="4">
        <f>'SUPUESTOS PRECIOS'!$B$2</f>
        <v>0.4</v>
      </c>
      <c r="Y952" s="3" t="str">
        <f t="shared" si="57"/>
        <v/>
      </c>
      <c r="Z952" s="3" t="str">
        <f t="shared" si="58"/>
        <v/>
      </c>
      <c r="AA952" s="11" t="str">
        <f t="shared" si="59"/>
        <v/>
      </c>
    </row>
    <row r="953" spans="1:27" x14ac:dyDescent="0.35">
      <c r="A953" s="10" t="s">
        <v>2076</v>
      </c>
      <c r="F953" t="s">
        <v>1358</v>
      </c>
      <c r="K953">
        <v>1</v>
      </c>
      <c r="L953" t="str">
        <f t="shared" si="56"/>
        <v/>
      </c>
      <c r="O953" t="s">
        <v>38</v>
      </c>
      <c r="T953" s="2">
        <f>'SUPUESTOS PRECIOS'!$B$9</f>
        <v>0</v>
      </c>
      <c r="U953" s="3">
        <f>'SUPUESTOS PRECIOS'!$B$5/'SUPUESTOS PRECIOS'!$B$4</f>
        <v>1000</v>
      </c>
      <c r="V953" s="3">
        <f>('SUPUESTOS PRECIOS'!$B$6-'SUPUESTOS PRECIOS'!$B$7)/'SUPUESTOS PRECIOS'!$B$4</f>
        <v>377.5</v>
      </c>
      <c r="W953" s="4">
        <f>'SUPUESTOS PRECIOS'!$B$8</f>
        <v>9.6799999999999994E-3</v>
      </c>
      <c r="X953" s="4">
        <f>'SUPUESTOS PRECIOS'!$B$2</f>
        <v>0.4</v>
      </c>
      <c r="Y953" s="3" t="str">
        <f t="shared" si="57"/>
        <v/>
      </c>
      <c r="Z953" s="3" t="str">
        <f t="shared" si="58"/>
        <v/>
      </c>
      <c r="AA953" s="11" t="str">
        <f t="shared" si="59"/>
        <v/>
      </c>
    </row>
    <row r="954" spans="1:27" x14ac:dyDescent="0.35">
      <c r="A954" s="10" t="s">
        <v>2077</v>
      </c>
      <c r="F954" t="s">
        <v>1358</v>
      </c>
      <c r="K954">
        <v>1</v>
      </c>
      <c r="L954" t="str">
        <f t="shared" si="56"/>
        <v/>
      </c>
      <c r="O954" t="s">
        <v>38</v>
      </c>
      <c r="T954" s="2">
        <f>'SUPUESTOS PRECIOS'!$B$9</f>
        <v>0</v>
      </c>
      <c r="U954" s="3">
        <f>'SUPUESTOS PRECIOS'!$B$5/'SUPUESTOS PRECIOS'!$B$4</f>
        <v>1000</v>
      </c>
      <c r="V954" s="3">
        <f>('SUPUESTOS PRECIOS'!$B$6-'SUPUESTOS PRECIOS'!$B$7)/'SUPUESTOS PRECIOS'!$B$4</f>
        <v>377.5</v>
      </c>
      <c r="W954" s="4">
        <f>'SUPUESTOS PRECIOS'!$B$8</f>
        <v>9.6799999999999994E-3</v>
      </c>
      <c r="X954" s="4">
        <f>'SUPUESTOS PRECIOS'!$B$2</f>
        <v>0.4</v>
      </c>
      <c r="Y954" s="3" t="str">
        <f t="shared" si="57"/>
        <v/>
      </c>
      <c r="Z954" s="3" t="str">
        <f t="shared" si="58"/>
        <v/>
      </c>
      <c r="AA954" s="11" t="str">
        <f t="shared" si="59"/>
        <v/>
      </c>
    </row>
    <row r="955" spans="1:27" x14ac:dyDescent="0.35">
      <c r="A955" s="10" t="s">
        <v>2078</v>
      </c>
      <c r="F955" t="s">
        <v>1358</v>
      </c>
      <c r="K955">
        <v>1</v>
      </c>
      <c r="L955" t="str">
        <f t="shared" si="56"/>
        <v/>
      </c>
      <c r="O955" t="s">
        <v>38</v>
      </c>
      <c r="T955" s="2">
        <f>'SUPUESTOS PRECIOS'!$B$9</f>
        <v>0</v>
      </c>
      <c r="U955" s="3">
        <f>'SUPUESTOS PRECIOS'!$B$5/'SUPUESTOS PRECIOS'!$B$4</f>
        <v>1000</v>
      </c>
      <c r="V955" s="3">
        <f>('SUPUESTOS PRECIOS'!$B$6-'SUPUESTOS PRECIOS'!$B$7)/'SUPUESTOS PRECIOS'!$B$4</f>
        <v>377.5</v>
      </c>
      <c r="W955" s="4">
        <f>'SUPUESTOS PRECIOS'!$B$8</f>
        <v>9.6799999999999994E-3</v>
      </c>
      <c r="X955" s="4">
        <f>'SUPUESTOS PRECIOS'!$B$2</f>
        <v>0.4</v>
      </c>
      <c r="Y955" s="3" t="str">
        <f t="shared" si="57"/>
        <v/>
      </c>
      <c r="Z955" s="3" t="str">
        <f t="shared" si="58"/>
        <v/>
      </c>
      <c r="AA955" s="11" t="str">
        <f t="shared" si="59"/>
        <v/>
      </c>
    </row>
    <row r="956" spans="1:27" x14ac:dyDescent="0.35">
      <c r="A956" s="10" t="s">
        <v>2079</v>
      </c>
      <c r="F956" t="s">
        <v>1358</v>
      </c>
      <c r="K956">
        <v>1</v>
      </c>
      <c r="L956" t="str">
        <f t="shared" si="56"/>
        <v/>
      </c>
      <c r="O956" t="s">
        <v>38</v>
      </c>
      <c r="T956" s="2">
        <f>'SUPUESTOS PRECIOS'!$B$9</f>
        <v>0</v>
      </c>
      <c r="U956" s="3">
        <f>'SUPUESTOS PRECIOS'!$B$5/'SUPUESTOS PRECIOS'!$B$4</f>
        <v>1000</v>
      </c>
      <c r="V956" s="3">
        <f>('SUPUESTOS PRECIOS'!$B$6-'SUPUESTOS PRECIOS'!$B$7)/'SUPUESTOS PRECIOS'!$B$4</f>
        <v>377.5</v>
      </c>
      <c r="W956" s="4">
        <f>'SUPUESTOS PRECIOS'!$B$8</f>
        <v>9.6799999999999994E-3</v>
      </c>
      <c r="X956" s="4">
        <f>'SUPUESTOS PRECIOS'!$B$2</f>
        <v>0.4</v>
      </c>
      <c r="Y956" s="3" t="str">
        <f t="shared" si="57"/>
        <v/>
      </c>
      <c r="Z956" s="3" t="str">
        <f t="shared" si="58"/>
        <v/>
      </c>
      <c r="AA956" s="11" t="str">
        <f t="shared" si="59"/>
        <v/>
      </c>
    </row>
    <row r="957" spans="1:27" x14ac:dyDescent="0.35">
      <c r="A957" s="10" t="s">
        <v>2080</v>
      </c>
      <c r="F957" t="s">
        <v>1358</v>
      </c>
      <c r="K957">
        <v>1</v>
      </c>
      <c r="L957" t="str">
        <f t="shared" si="56"/>
        <v/>
      </c>
      <c r="O957" t="s">
        <v>38</v>
      </c>
      <c r="T957" s="2">
        <f>'SUPUESTOS PRECIOS'!$B$9</f>
        <v>0</v>
      </c>
      <c r="U957" s="3">
        <f>'SUPUESTOS PRECIOS'!$B$5/'SUPUESTOS PRECIOS'!$B$4</f>
        <v>1000</v>
      </c>
      <c r="V957" s="3">
        <f>('SUPUESTOS PRECIOS'!$B$6-'SUPUESTOS PRECIOS'!$B$7)/'SUPUESTOS PRECIOS'!$B$4</f>
        <v>377.5</v>
      </c>
      <c r="W957" s="4">
        <f>'SUPUESTOS PRECIOS'!$B$8</f>
        <v>9.6799999999999994E-3</v>
      </c>
      <c r="X957" s="4">
        <f>'SUPUESTOS PRECIOS'!$B$2</f>
        <v>0.4</v>
      </c>
      <c r="Y957" s="3" t="str">
        <f t="shared" si="57"/>
        <v/>
      </c>
      <c r="Z957" s="3" t="str">
        <f t="shared" si="58"/>
        <v/>
      </c>
      <c r="AA957" s="11" t="str">
        <f t="shared" si="59"/>
        <v/>
      </c>
    </row>
    <row r="958" spans="1:27" x14ac:dyDescent="0.35">
      <c r="A958" s="10" t="s">
        <v>2081</v>
      </c>
      <c r="F958" t="s">
        <v>1358</v>
      </c>
      <c r="K958">
        <v>1</v>
      </c>
      <c r="L958" t="str">
        <f t="shared" si="56"/>
        <v/>
      </c>
      <c r="O958" t="s">
        <v>38</v>
      </c>
      <c r="T958" s="2">
        <f>'SUPUESTOS PRECIOS'!$B$9</f>
        <v>0</v>
      </c>
      <c r="U958" s="3">
        <f>'SUPUESTOS PRECIOS'!$B$5/'SUPUESTOS PRECIOS'!$B$4</f>
        <v>1000</v>
      </c>
      <c r="V958" s="3">
        <f>('SUPUESTOS PRECIOS'!$B$6-'SUPUESTOS PRECIOS'!$B$7)/'SUPUESTOS PRECIOS'!$B$4</f>
        <v>377.5</v>
      </c>
      <c r="W958" s="4">
        <f>'SUPUESTOS PRECIOS'!$B$8</f>
        <v>9.6799999999999994E-3</v>
      </c>
      <c r="X958" s="4">
        <f>'SUPUESTOS PRECIOS'!$B$2</f>
        <v>0.4</v>
      </c>
      <c r="Y958" s="3" t="str">
        <f t="shared" si="57"/>
        <v/>
      </c>
      <c r="Z958" s="3" t="str">
        <f t="shared" si="58"/>
        <v/>
      </c>
      <c r="AA958" s="11" t="str">
        <f t="shared" si="59"/>
        <v/>
      </c>
    </row>
    <row r="959" spans="1:27" x14ac:dyDescent="0.35">
      <c r="A959" s="10" t="s">
        <v>2082</v>
      </c>
      <c r="F959" t="s">
        <v>1358</v>
      </c>
      <c r="K959">
        <v>1</v>
      </c>
      <c r="L959" t="str">
        <f t="shared" si="56"/>
        <v/>
      </c>
      <c r="O959" t="s">
        <v>38</v>
      </c>
      <c r="T959" s="2">
        <f>'SUPUESTOS PRECIOS'!$B$9</f>
        <v>0</v>
      </c>
      <c r="U959" s="3">
        <f>'SUPUESTOS PRECIOS'!$B$5/'SUPUESTOS PRECIOS'!$B$4</f>
        <v>1000</v>
      </c>
      <c r="V959" s="3">
        <f>('SUPUESTOS PRECIOS'!$B$6-'SUPUESTOS PRECIOS'!$B$7)/'SUPUESTOS PRECIOS'!$B$4</f>
        <v>377.5</v>
      </c>
      <c r="W959" s="4">
        <f>'SUPUESTOS PRECIOS'!$B$8</f>
        <v>9.6799999999999994E-3</v>
      </c>
      <c r="X959" s="4">
        <f>'SUPUESTOS PRECIOS'!$B$2</f>
        <v>0.4</v>
      </c>
      <c r="Y959" s="3" t="str">
        <f t="shared" si="57"/>
        <v/>
      </c>
      <c r="Z959" s="3" t="str">
        <f t="shared" si="58"/>
        <v/>
      </c>
      <c r="AA959" s="11" t="str">
        <f t="shared" si="59"/>
        <v/>
      </c>
    </row>
    <row r="960" spans="1:27" x14ac:dyDescent="0.35">
      <c r="A960" s="10" t="s">
        <v>2083</v>
      </c>
      <c r="F960" t="s">
        <v>1358</v>
      </c>
      <c r="K960">
        <v>1</v>
      </c>
      <c r="L960" t="str">
        <f t="shared" si="56"/>
        <v/>
      </c>
      <c r="O960" t="s">
        <v>38</v>
      </c>
      <c r="T960" s="2">
        <f>'SUPUESTOS PRECIOS'!$B$9</f>
        <v>0</v>
      </c>
      <c r="U960" s="3">
        <f>'SUPUESTOS PRECIOS'!$B$5/'SUPUESTOS PRECIOS'!$B$4</f>
        <v>1000</v>
      </c>
      <c r="V960" s="3">
        <f>('SUPUESTOS PRECIOS'!$B$6-'SUPUESTOS PRECIOS'!$B$7)/'SUPUESTOS PRECIOS'!$B$4</f>
        <v>377.5</v>
      </c>
      <c r="W960" s="4">
        <f>'SUPUESTOS PRECIOS'!$B$8</f>
        <v>9.6799999999999994E-3</v>
      </c>
      <c r="X960" s="4">
        <f>'SUPUESTOS PRECIOS'!$B$2</f>
        <v>0.4</v>
      </c>
      <c r="Y960" s="3" t="str">
        <f t="shared" si="57"/>
        <v/>
      </c>
      <c r="Z960" s="3" t="str">
        <f t="shared" si="58"/>
        <v/>
      </c>
      <c r="AA960" s="11" t="str">
        <f t="shared" si="59"/>
        <v/>
      </c>
    </row>
    <row r="961" spans="1:27" x14ac:dyDescent="0.35">
      <c r="A961" s="10" t="s">
        <v>2084</v>
      </c>
      <c r="F961" t="s">
        <v>1358</v>
      </c>
      <c r="K961">
        <v>1</v>
      </c>
      <c r="L961" t="str">
        <f t="shared" si="56"/>
        <v/>
      </c>
      <c r="O961" t="s">
        <v>38</v>
      </c>
      <c r="T961" s="2">
        <f>'SUPUESTOS PRECIOS'!$B$9</f>
        <v>0</v>
      </c>
      <c r="U961" s="3">
        <f>'SUPUESTOS PRECIOS'!$B$5/'SUPUESTOS PRECIOS'!$B$4</f>
        <v>1000</v>
      </c>
      <c r="V961" s="3">
        <f>('SUPUESTOS PRECIOS'!$B$6-'SUPUESTOS PRECIOS'!$B$7)/'SUPUESTOS PRECIOS'!$B$4</f>
        <v>377.5</v>
      </c>
      <c r="W961" s="4">
        <f>'SUPUESTOS PRECIOS'!$B$8</f>
        <v>9.6799999999999994E-3</v>
      </c>
      <c r="X961" s="4">
        <f>'SUPUESTOS PRECIOS'!$B$2</f>
        <v>0.4</v>
      </c>
      <c r="Y961" s="3" t="str">
        <f t="shared" si="57"/>
        <v/>
      </c>
      <c r="Z961" s="3" t="str">
        <f t="shared" si="58"/>
        <v/>
      </c>
      <c r="AA961" s="11" t="str">
        <f t="shared" si="59"/>
        <v/>
      </c>
    </row>
    <row r="962" spans="1:27" x14ac:dyDescent="0.35">
      <c r="A962" s="10" t="s">
        <v>2085</v>
      </c>
      <c r="F962" t="s">
        <v>1358</v>
      </c>
      <c r="K962">
        <v>1</v>
      </c>
      <c r="L962" t="str">
        <f t="shared" ref="L962:L1001" si="60">IF(J962="","",J962*(1+K962))</f>
        <v/>
      </c>
      <c r="O962" t="s">
        <v>38</v>
      </c>
      <c r="T962" s="2">
        <f>'SUPUESTOS PRECIOS'!$B$9</f>
        <v>0</v>
      </c>
      <c r="U962" s="3">
        <f>'SUPUESTOS PRECIOS'!$B$5/'SUPUESTOS PRECIOS'!$B$4</f>
        <v>1000</v>
      </c>
      <c r="V962" s="3">
        <f>('SUPUESTOS PRECIOS'!$B$6-'SUPUESTOS PRECIOS'!$B$7)/'SUPUESTOS PRECIOS'!$B$4</f>
        <v>377.5</v>
      </c>
      <c r="W962" s="4">
        <f>'SUPUESTOS PRECIOS'!$B$8</f>
        <v>9.6799999999999994E-3</v>
      </c>
      <c r="X962" s="4">
        <f>'SUPUESTOS PRECIOS'!$B$2</f>
        <v>0.4</v>
      </c>
      <c r="Y962" s="3" t="str">
        <f t="shared" ref="Y962:Y1001" si="61">IF(OR($B962="",$J962=""),"",ROUND(($J962+$T962+$U962+$V962)/(1-$W962-$X962),-1))</f>
        <v/>
      </c>
      <c r="Z962" s="3" t="str">
        <f t="shared" ref="Z962:Z1001" si="62">IF($Y962="","",$Y962-$J962-$T962-$U962-$V962-($Y962*$W962))</f>
        <v/>
      </c>
      <c r="AA962" s="11" t="str">
        <f t="shared" ref="AA962:AA1001" si="63">IF($Y962="","",$Z962/$Y962)</f>
        <v/>
      </c>
    </row>
    <row r="963" spans="1:27" x14ac:dyDescent="0.35">
      <c r="A963" s="10" t="s">
        <v>2086</v>
      </c>
      <c r="F963" t="s">
        <v>1358</v>
      </c>
      <c r="K963">
        <v>1</v>
      </c>
      <c r="L963" t="str">
        <f t="shared" si="60"/>
        <v/>
      </c>
      <c r="O963" t="s">
        <v>38</v>
      </c>
      <c r="T963" s="2">
        <f>'SUPUESTOS PRECIOS'!$B$9</f>
        <v>0</v>
      </c>
      <c r="U963" s="3">
        <f>'SUPUESTOS PRECIOS'!$B$5/'SUPUESTOS PRECIOS'!$B$4</f>
        <v>1000</v>
      </c>
      <c r="V963" s="3">
        <f>('SUPUESTOS PRECIOS'!$B$6-'SUPUESTOS PRECIOS'!$B$7)/'SUPUESTOS PRECIOS'!$B$4</f>
        <v>377.5</v>
      </c>
      <c r="W963" s="4">
        <f>'SUPUESTOS PRECIOS'!$B$8</f>
        <v>9.6799999999999994E-3</v>
      </c>
      <c r="X963" s="4">
        <f>'SUPUESTOS PRECIOS'!$B$2</f>
        <v>0.4</v>
      </c>
      <c r="Y963" s="3" t="str">
        <f t="shared" si="61"/>
        <v/>
      </c>
      <c r="Z963" s="3" t="str">
        <f t="shared" si="62"/>
        <v/>
      </c>
      <c r="AA963" s="11" t="str">
        <f t="shared" si="63"/>
        <v/>
      </c>
    </row>
    <row r="964" spans="1:27" x14ac:dyDescent="0.35">
      <c r="A964" s="10" t="s">
        <v>2087</v>
      </c>
      <c r="F964" t="s">
        <v>1358</v>
      </c>
      <c r="K964">
        <v>1</v>
      </c>
      <c r="L964" t="str">
        <f t="shared" si="60"/>
        <v/>
      </c>
      <c r="O964" t="s">
        <v>38</v>
      </c>
      <c r="T964" s="2">
        <f>'SUPUESTOS PRECIOS'!$B$9</f>
        <v>0</v>
      </c>
      <c r="U964" s="3">
        <f>'SUPUESTOS PRECIOS'!$B$5/'SUPUESTOS PRECIOS'!$B$4</f>
        <v>1000</v>
      </c>
      <c r="V964" s="3">
        <f>('SUPUESTOS PRECIOS'!$B$6-'SUPUESTOS PRECIOS'!$B$7)/'SUPUESTOS PRECIOS'!$B$4</f>
        <v>377.5</v>
      </c>
      <c r="W964" s="4">
        <f>'SUPUESTOS PRECIOS'!$B$8</f>
        <v>9.6799999999999994E-3</v>
      </c>
      <c r="X964" s="4">
        <f>'SUPUESTOS PRECIOS'!$B$2</f>
        <v>0.4</v>
      </c>
      <c r="Y964" s="3" t="str">
        <f t="shared" si="61"/>
        <v/>
      </c>
      <c r="Z964" s="3" t="str">
        <f t="shared" si="62"/>
        <v/>
      </c>
      <c r="AA964" s="11" t="str">
        <f t="shared" si="63"/>
        <v/>
      </c>
    </row>
    <row r="965" spans="1:27" x14ac:dyDescent="0.35">
      <c r="A965" s="10" t="s">
        <v>2088</v>
      </c>
      <c r="F965" t="s">
        <v>1358</v>
      </c>
      <c r="K965">
        <v>1</v>
      </c>
      <c r="L965" t="str">
        <f t="shared" si="60"/>
        <v/>
      </c>
      <c r="O965" t="s">
        <v>38</v>
      </c>
      <c r="T965" s="2">
        <f>'SUPUESTOS PRECIOS'!$B$9</f>
        <v>0</v>
      </c>
      <c r="U965" s="3">
        <f>'SUPUESTOS PRECIOS'!$B$5/'SUPUESTOS PRECIOS'!$B$4</f>
        <v>1000</v>
      </c>
      <c r="V965" s="3">
        <f>('SUPUESTOS PRECIOS'!$B$6-'SUPUESTOS PRECIOS'!$B$7)/'SUPUESTOS PRECIOS'!$B$4</f>
        <v>377.5</v>
      </c>
      <c r="W965" s="4">
        <f>'SUPUESTOS PRECIOS'!$B$8</f>
        <v>9.6799999999999994E-3</v>
      </c>
      <c r="X965" s="4">
        <f>'SUPUESTOS PRECIOS'!$B$2</f>
        <v>0.4</v>
      </c>
      <c r="Y965" s="3" t="str">
        <f t="shared" si="61"/>
        <v/>
      </c>
      <c r="Z965" s="3" t="str">
        <f t="shared" si="62"/>
        <v/>
      </c>
      <c r="AA965" s="11" t="str">
        <f t="shared" si="63"/>
        <v/>
      </c>
    </row>
    <row r="966" spans="1:27" x14ac:dyDescent="0.35">
      <c r="A966" s="10" t="s">
        <v>2089</v>
      </c>
      <c r="F966" t="s">
        <v>1358</v>
      </c>
      <c r="K966">
        <v>1</v>
      </c>
      <c r="L966" t="str">
        <f t="shared" si="60"/>
        <v/>
      </c>
      <c r="O966" t="s">
        <v>38</v>
      </c>
      <c r="T966" s="2">
        <f>'SUPUESTOS PRECIOS'!$B$9</f>
        <v>0</v>
      </c>
      <c r="U966" s="3">
        <f>'SUPUESTOS PRECIOS'!$B$5/'SUPUESTOS PRECIOS'!$B$4</f>
        <v>1000</v>
      </c>
      <c r="V966" s="3">
        <f>('SUPUESTOS PRECIOS'!$B$6-'SUPUESTOS PRECIOS'!$B$7)/'SUPUESTOS PRECIOS'!$B$4</f>
        <v>377.5</v>
      </c>
      <c r="W966" s="4">
        <f>'SUPUESTOS PRECIOS'!$B$8</f>
        <v>9.6799999999999994E-3</v>
      </c>
      <c r="X966" s="4">
        <f>'SUPUESTOS PRECIOS'!$B$2</f>
        <v>0.4</v>
      </c>
      <c r="Y966" s="3" t="str">
        <f t="shared" si="61"/>
        <v/>
      </c>
      <c r="Z966" s="3" t="str">
        <f t="shared" si="62"/>
        <v/>
      </c>
      <c r="AA966" s="11" t="str">
        <f t="shared" si="63"/>
        <v/>
      </c>
    </row>
    <row r="967" spans="1:27" x14ac:dyDescent="0.35">
      <c r="A967" s="10" t="s">
        <v>2090</v>
      </c>
      <c r="F967" t="s">
        <v>1358</v>
      </c>
      <c r="K967">
        <v>1</v>
      </c>
      <c r="L967" t="str">
        <f t="shared" si="60"/>
        <v/>
      </c>
      <c r="O967" t="s">
        <v>38</v>
      </c>
      <c r="T967" s="2">
        <f>'SUPUESTOS PRECIOS'!$B$9</f>
        <v>0</v>
      </c>
      <c r="U967" s="3">
        <f>'SUPUESTOS PRECIOS'!$B$5/'SUPUESTOS PRECIOS'!$B$4</f>
        <v>1000</v>
      </c>
      <c r="V967" s="3">
        <f>('SUPUESTOS PRECIOS'!$B$6-'SUPUESTOS PRECIOS'!$B$7)/'SUPUESTOS PRECIOS'!$B$4</f>
        <v>377.5</v>
      </c>
      <c r="W967" s="4">
        <f>'SUPUESTOS PRECIOS'!$B$8</f>
        <v>9.6799999999999994E-3</v>
      </c>
      <c r="X967" s="4">
        <f>'SUPUESTOS PRECIOS'!$B$2</f>
        <v>0.4</v>
      </c>
      <c r="Y967" s="3" t="str">
        <f t="shared" si="61"/>
        <v/>
      </c>
      <c r="Z967" s="3" t="str">
        <f t="shared" si="62"/>
        <v/>
      </c>
      <c r="AA967" s="11" t="str">
        <f t="shared" si="63"/>
        <v/>
      </c>
    </row>
    <row r="968" spans="1:27" x14ac:dyDescent="0.35">
      <c r="A968" s="10" t="s">
        <v>2091</v>
      </c>
      <c r="F968" t="s">
        <v>1358</v>
      </c>
      <c r="K968">
        <v>1</v>
      </c>
      <c r="L968" t="str">
        <f t="shared" si="60"/>
        <v/>
      </c>
      <c r="O968" t="s">
        <v>38</v>
      </c>
      <c r="T968" s="2">
        <f>'SUPUESTOS PRECIOS'!$B$9</f>
        <v>0</v>
      </c>
      <c r="U968" s="3">
        <f>'SUPUESTOS PRECIOS'!$B$5/'SUPUESTOS PRECIOS'!$B$4</f>
        <v>1000</v>
      </c>
      <c r="V968" s="3">
        <f>('SUPUESTOS PRECIOS'!$B$6-'SUPUESTOS PRECIOS'!$B$7)/'SUPUESTOS PRECIOS'!$B$4</f>
        <v>377.5</v>
      </c>
      <c r="W968" s="4">
        <f>'SUPUESTOS PRECIOS'!$B$8</f>
        <v>9.6799999999999994E-3</v>
      </c>
      <c r="X968" s="4">
        <f>'SUPUESTOS PRECIOS'!$B$2</f>
        <v>0.4</v>
      </c>
      <c r="Y968" s="3" t="str">
        <f t="shared" si="61"/>
        <v/>
      </c>
      <c r="Z968" s="3" t="str">
        <f t="shared" si="62"/>
        <v/>
      </c>
      <c r="AA968" s="11" t="str">
        <f t="shared" si="63"/>
        <v/>
      </c>
    </row>
    <row r="969" spans="1:27" x14ac:dyDescent="0.35">
      <c r="A969" s="10" t="s">
        <v>2092</v>
      </c>
      <c r="F969" t="s">
        <v>1358</v>
      </c>
      <c r="K969">
        <v>1</v>
      </c>
      <c r="L969" t="str">
        <f t="shared" si="60"/>
        <v/>
      </c>
      <c r="O969" t="s">
        <v>38</v>
      </c>
      <c r="T969" s="2">
        <f>'SUPUESTOS PRECIOS'!$B$9</f>
        <v>0</v>
      </c>
      <c r="U969" s="3">
        <f>'SUPUESTOS PRECIOS'!$B$5/'SUPUESTOS PRECIOS'!$B$4</f>
        <v>1000</v>
      </c>
      <c r="V969" s="3">
        <f>('SUPUESTOS PRECIOS'!$B$6-'SUPUESTOS PRECIOS'!$B$7)/'SUPUESTOS PRECIOS'!$B$4</f>
        <v>377.5</v>
      </c>
      <c r="W969" s="4">
        <f>'SUPUESTOS PRECIOS'!$B$8</f>
        <v>9.6799999999999994E-3</v>
      </c>
      <c r="X969" s="4">
        <f>'SUPUESTOS PRECIOS'!$B$2</f>
        <v>0.4</v>
      </c>
      <c r="Y969" s="3" t="str">
        <f t="shared" si="61"/>
        <v/>
      </c>
      <c r="Z969" s="3" t="str">
        <f t="shared" si="62"/>
        <v/>
      </c>
      <c r="AA969" s="11" t="str">
        <f t="shared" si="63"/>
        <v/>
      </c>
    </row>
    <row r="970" spans="1:27" x14ac:dyDescent="0.35">
      <c r="A970" s="10" t="s">
        <v>2093</v>
      </c>
      <c r="F970" t="s">
        <v>1358</v>
      </c>
      <c r="K970">
        <v>1</v>
      </c>
      <c r="L970" t="str">
        <f t="shared" si="60"/>
        <v/>
      </c>
      <c r="O970" t="s">
        <v>38</v>
      </c>
      <c r="T970" s="2">
        <f>'SUPUESTOS PRECIOS'!$B$9</f>
        <v>0</v>
      </c>
      <c r="U970" s="3">
        <f>'SUPUESTOS PRECIOS'!$B$5/'SUPUESTOS PRECIOS'!$B$4</f>
        <v>1000</v>
      </c>
      <c r="V970" s="3">
        <f>('SUPUESTOS PRECIOS'!$B$6-'SUPUESTOS PRECIOS'!$B$7)/'SUPUESTOS PRECIOS'!$B$4</f>
        <v>377.5</v>
      </c>
      <c r="W970" s="4">
        <f>'SUPUESTOS PRECIOS'!$B$8</f>
        <v>9.6799999999999994E-3</v>
      </c>
      <c r="X970" s="4">
        <f>'SUPUESTOS PRECIOS'!$B$2</f>
        <v>0.4</v>
      </c>
      <c r="Y970" s="3" t="str">
        <f t="shared" si="61"/>
        <v/>
      </c>
      <c r="Z970" s="3" t="str">
        <f t="shared" si="62"/>
        <v/>
      </c>
      <c r="AA970" s="11" t="str">
        <f t="shared" si="63"/>
        <v/>
      </c>
    </row>
    <row r="971" spans="1:27" x14ac:dyDescent="0.35">
      <c r="A971" s="10" t="s">
        <v>2094</v>
      </c>
      <c r="F971" t="s">
        <v>1358</v>
      </c>
      <c r="K971">
        <v>1</v>
      </c>
      <c r="L971" t="str">
        <f t="shared" si="60"/>
        <v/>
      </c>
      <c r="O971" t="s">
        <v>38</v>
      </c>
      <c r="T971" s="2">
        <f>'SUPUESTOS PRECIOS'!$B$9</f>
        <v>0</v>
      </c>
      <c r="U971" s="3">
        <f>'SUPUESTOS PRECIOS'!$B$5/'SUPUESTOS PRECIOS'!$B$4</f>
        <v>1000</v>
      </c>
      <c r="V971" s="3">
        <f>('SUPUESTOS PRECIOS'!$B$6-'SUPUESTOS PRECIOS'!$B$7)/'SUPUESTOS PRECIOS'!$B$4</f>
        <v>377.5</v>
      </c>
      <c r="W971" s="4">
        <f>'SUPUESTOS PRECIOS'!$B$8</f>
        <v>9.6799999999999994E-3</v>
      </c>
      <c r="X971" s="4">
        <f>'SUPUESTOS PRECIOS'!$B$2</f>
        <v>0.4</v>
      </c>
      <c r="Y971" s="3" t="str">
        <f t="shared" si="61"/>
        <v/>
      </c>
      <c r="Z971" s="3" t="str">
        <f t="shared" si="62"/>
        <v/>
      </c>
      <c r="AA971" s="11" t="str">
        <f t="shared" si="63"/>
        <v/>
      </c>
    </row>
    <row r="972" spans="1:27" x14ac:dyDescent="0.35">
      <c r="A972" s="10" t="s">
        <v>2095</v>
      </c>
      <c r="F972" t="s">
        <v>1358</v>
      </c>
      <c r="K972">
        <v>1</v>
      </c>
      <c r="L972" t="str">
        <f t="shared" si="60"/>
        <v/>
      </c>
      <c r="O972" t="s">
        <v>38</v>
      </c>
      <c r="T972" s="2">
        <f>'SUPUESTOS PRECIOS'!$B$9</f>
        <v>0</v>
      </c>
      <c r="U972" s="3">
        <f>'SUPUESTOS PRECIOS'!$B$5/'SUPUESTOS PRECIOS'!$B$4</f>
        <v>1000</v>
      </c>
      <c r="V972" s="3">
        <f>('SUPUESTOS PRECIOS'!$B$6-'SUPUESTOS PRECIOS'!$B$7)/'SUPUESTOS PRECIOS'!$B$4</f>
        <v>377.5</v>
      </c>
      <c r="W972" s="4">
        <f>'SUPUESTOS PRECIOS'!$B$8</f>
        <v>9.6799999999999994E-3</v>
      </c>
      <c r="X972" s="4">
        <f>'SUPUESTOS PRECIOS'!$B$2</f>
        <v>0.4</v>
      </c>
      <c r="Y972" s="3" t="str">
        <f t="shared" si="61"/>
        <v/>
      </c>
      <c r="Z972" s="3" t="str">
        <f t="shared" si="62"/>
        <v/>
      </c>
      <c r="AA972" s="11" t="str">
        <f t="shared" si="63"/>
        <v/>
      </c>
    </row>
    <row r="973" spans="1:27" x14ac:dyDescent="0.35">
      <c r="A973" s="10" t="s">
        <v>2096</v>
      </c>
      <c r="F973" t="s">
        <v>1358</v>
      </c>
      <c r="K973">
        <v>1</v>
      </c>
      <c r="L973" t="str">
        <f t="shared" si="60"/>
        <v/>
      </c>
      <c r="O973" t="s">
        <v>38</v>
      </c>
      <c r="T973" s="2">
        <f>'SUPUESTOS PRECIOS'!$B$9</f>
        <v>0</v>
      </c>
      <c r="U973" s="3">
        <f>'SUPUESTOS PRECIOS'!$B$5/'SUPUESTOS PRECIOS'!$B$4</f>
        <v>1000</v>
      </c>
      <c r="V973" s="3">
        <f>('SUPUESTOS PRECIOS'!$B$6-'SUPUESTOS PRECIOS'!$B$7)/'SUPUESTOS PRECIOS'!$B$4</f>
        <v>377.5</v>
      </c>
      <c r="W973" s="4">
        <f>'SUPUESTOS PRECIOS'!$B$8</f>
        <v>9.6799999999999994E-3</v>
      </c>
      <c r="X973" s="4">
        <f>'SUPUESTOS PRECIOS'!$B$2</f>
        <v>0.4</v>
      </c>
      <c r="Y973" s="3" t="str">
        <f t="shared" si="61"/>
        <v/>
      </c>
      <c r="Z973" s="3" t="str">
        <f t="shared" si="62"/>
        <v/>
      </c>
      <c r="AA973" s="11" t="str">
        <f t="shared" si="63"/>
        <v/>
      </c>
    </row>
    <row r="974" spans="1:27" x14ac:dyDescent="0.35">
      <c r="A974" s="10" t="s">
        <v>2097</v>
      </c>
      <c r="F974" t="s">
        <v>1358</v>
      </c>
      <c r="K974">
        <v>1</v>
      </c>
      <c r="L974" t="str">
        <f t="shared" si="60"/>
        <v/>
      </c>
      <c r="O974" t="s">
        <v>38</v>
      </c>
      <c r="T974" s="2">
        <f>'SUPUESTOS PRECIOS'!$B$9</f>
        <v>0</v>
      </c>
      <c r="U974" s="3">
        <f>'SUPUESTOS PRECIOS'!$B$5/'SUPUESTOS PRECIOS'!$B$4</f>
        <v>1000</v>
      </c>
      <c r="V974" s="3">
        <f>('SUPUESTOS PRECIOS'!$B$6-'SUPUESTOS PRECIOS'!$B$7)/'SUPUESTOS PRECIOS'!$B$4</f>
        <v>377.5</v>
      </c>
      <c r="W974" s="4">
        <f>'SUPUESTOS PRECIOS'!$B$8</f>
        <v>9.6799999999999994E-3</v>
      </c>
      <c r="X974" s="4">
        <f>'SUPUESTOS PRECIOS'!$B$2</f>
        <v>0.4</v>
      </c>
      <c r="Y974" s="3" t="str">
        <f t="shared" si="61"/>
        <v/>
      </c>
      <c r="Z974" s="3" t="str">
        <f t="shared" si="62"/>
        <v/>
      </c>
      <c r="AA974" s="11" t="str">
        <f t="shared" si="63"/>
        <v/>
      </c>
    </row>
    <row r="975" spans="1:27" x14ac:dyDescent="0.35">
      <c r="A975" s="10" t="s">
        <v>2098</v>
      </c>
      <c r="F975" t="s">
        <v>1358</v>
      </c>
      <c r="K975">
        <v>1</v>
      </c>
      <c r="L975" t="str">
        <f t="shared" si="60"/>
        <v/>
      </c>
      <c r="O975" t="s">
        <v>38</v>
      </c>
      <c r="T975" s="2">
        <f>'SUPUESTOS PRECIOS'!$B$9</f>
        <v>0</v>
      </c>
      <c r="U975" s="3">
        <f>'SUPUESTOS PRECIOS'!$B$5/'SUPUESTOS PRECIOS'!$B$4</f>
        <v>1000</v>
      </c>
      <c r="V975" s="3">
        <f>('SUPUESTOS PRECIOS'!$B$6-'SUPUESTOS PRECIOS'!$B$7)/'SUPUESTOS PRECIOS'!$B$4</f>
        <v>377.5</v>
      </c>
      <c r="W975" s="4">
        <f>'SUPUESTOS PRECIOS'!$B$8</f>
        <v>9.6799999999999994E-3</v>
      </c>
      <c r="X975" s="4">
        <f>'SUPUESTOS PRECIOS'!$B$2</f>
        <v>0.4</v>
      </c>
      <c r="Y975" s="3" t="str">
        <f t="shared" si="61"/>
        <v/>
      </c>
      <c r="Z975" s="3" t="str">
        <f t="shared" si="62"/>
        <v/>
      </c>
      <c r="AA975" s="11" t="str">
        <f t="shared" si="63"/>
        <v/>
      </c>
    </row>
    <row r="976" spans="1:27" x14ac:dyDescent="0.35">
      <c r="A976" s="10" t="s">
        <v>2099</v>
      </c>
      <c r="F976" t="s">
        <v>1358</v>
      </c>
      <c r="K976">
        <v>1</v>
      </c>
      <c r="L976" t="str">
        <f t="shared" si="60"/>
        <v/>
      </c>
      <c r="O976" t="s">
        <v>38</v>
      </c>
      <c r="T976" s="2">
        <f>'SUPUESTOS PRECIOS'!$B$9</f>
        <v>0</v>
      </c>
      <c r="U976" s="3">
        <f>'SUPUESTOS PRECIOS'!$B$5/'SUPUESTOS PRECIOS'!$B$4</f>
        <v>1000</v>
      </c>
      <c r="V976" s="3">
        <f>('SUPUESTOS PRECIOS'!$B$6-'SUPUESTOS PRECIOS'!$B$7)/'SUPUESTOS PRECIOS'!$B$4</f>
        <v>377.5</v>
      </c>
      <c r="W976" s="4">
        <f>'SUPUESTOS PRECIOS'!$B$8</f>
        <v>9.6799999999999994E-3</v>
      </c>
      <c r="X976" s="4">
        <f>'SUPUESTOS PRECIOS'!$B$2</f>
        <v>0.4</v>
      </c>
      <c r="Y976" s="3" t="str">
        <f t="shared" si="61"/>
        <v/>
      </c>
      <c r="Z976" s="3" t="str">
        <f t="shared" si="62"/>
        <v/>
      </c>
      <c r="AA976" s="11" t="str">
        <f t="shared" si="63"/>
        <v/>
      </c>
    </row>
    <row r="977" spans="1:27" x14ac:dyDescent="0.35">
      <c r="A977" s="10" t="s">
        <v>2100</v>
      </c>
      <c r="F977" t="s">
        <v>1358</v>
      </c>
      <c r="K977">
        <v>1</v>
      </c>
      <c r="L977" t="str">
        <f t="shared" si="60"/>
        <v/>
      </c>
      <c r="O977" t="s">
        <v>38</v>
      </c>
      <c r="T977" s="2">
        <f>'SUPUESTOS PRECIOS'!$B$9</f>
        <v>0</v>
      </c>
      <c r="U977" s="3">
        <f>'SUPUESTOS PRECIOS'!$B$5/'SUPUESTOS PRECIOS'!$B$4</f>
        <v>1000</v>
      </c>
      <c r="V977" s="3">
        <f>('SUPUESTOS PRECIOS'!$B$6-'SUPUESTOS PRECIOS'!$B$7)/'SUPUESTOS PRECIOS'!$B$4</f>
        <v>377.5</v>
      </c>
      <c r="W977" s="4">
        <f>'SUPUESTOS PRECIOS'!$B$8</f>
        <v>9.6799999999999994E-3</v>
      </c>
      <c r="X977" s="4">
        <f>'SUPUESTOS PRECIOS'!$B$2</f>
        <v>0.4</v>
      </c>
      <c r="Y977" s="3" t="str">
        <f t="shared" si="61"/>
        <v/>
      </c>
      <c r="Z977" s="3" t="str">
        <f t="shared" si="62"/>
        <v/>
      </c>
      <c r="AA977" s="11" t="str">
        <f t="shared" si="63"/>
        <v/>
      </c>
    </row>
    <row r="978" spans="1:27" x14ac:dyDescent="0.35">
      <c r="A978" s="10" t="s">
        <v>2101</v>
      </c>
      <c r="F978" t="s">
        <v>1358</v>
      </c>
      <c r="K978">
        <v>1</v>
      </c>
      <c r="L978" t="str">
        <f t="shared" si="60"/>
        <v/>
      </c>
      <c r="O978" t="s">
        <v>38</v>
      </c>
      <c r="T978" s="2">
        <f>'SUPUESTOS PRECIOS'!$B$9</f>
        <v>0</v>
      </c>
      <c r="U978" s="3">
        <f>'SUPUESTOS PRECIOS'!$B$5/'SUPUESTOS PRECIOS'!$B$4</f>
        <v>1000</v>
      </c>
      <c r="V978" s="3">
        <f>('SUPUESTOS PRECIOS'!$B$6-'SUPUESTOS PRECIOS'!$B$7)/'SUPUESTOS PRECIOS'!$B$4</f>
        <v>377.5</v>
      </c>
      <c r="W978" s="4">
        <f>'SUPUESTOS PRECIOS'!$B$8</f>
        <v>9.6799999999999994E-3</v>
      </c>
      <c r="X978" s="4">
        <f>'SUPUESTOS PRECIOS'!$B$2</f>
        <v>0.4</v>
      </c>
      <c r="Y978" s="3" t="str">
        <f t="shared" si="61"/>
        <v/>
      </c>
      <c r="Z978" s="3" t="str">
        <f t="shared" si="62"/>
        <v/>
      </c>
      <c r="AA978" s="11" t="str">
        <f t="shared" si="63"/>
        <v/>
      </c>
    </row>
    <row r="979" spans="1:27" x14ac:dyDescent="0.35">
      <c r="A979" s="10" t="s">
        <v>2102</v>
      </c>
      <c r="F979" t="s">
        <v>1358</v>
      </c>
      <c r="K979">
        <v>1</v>
      </c>
      <c r="L979" t="str">
        <f t="shared" si="60"/>
        <v/>
      </c>
      <c r="O979" t="s">
        <v>38</v>
      </c>
      <c r="T979" s="2">
        <f>'SUPUESTOS PRECIOS'!$B$9</f>
        <v>0</v>
      </c>
      <c r="U979" s="3">
        <f>'SUPUESTOS PRECIOS'!$B$5/'SUPUESTOS PRECIOS'!$B$4</f>
        <v>1000</v>
      </c>
      <c r="V979" s="3">
        <f>('SUPUESTOS PRECIOS'!$B$6-'SUPUESTOS PRECIOS'!$B$7)/'SUPUESTOS PRECIOS'!$B$4</f>
        <v>377.5</v>
      </c>
      <c r="W979" s="4">
        <f>'SUPUESTOS PRECIOS'!$B$8</f>
        <v>9.6799999999999994E-3</v>
      </c>
      <c r="X979" s="4">
        <f>'SUPUESTOS PRECIOS'!$B$2</f>
        <v>0.4</v>
      </c>
      <c r="Y979" s="3" t="str">
        <f t="shared" si="61"/>
        <v/>
      </c>
      <c r="Z979" s="3" t="str">
        <f t="shared" si="62"/>
        <v/>
      </c>
      <c r="AA979" s="11" t="str">
        <f t="shared" si="63"/>
        <v/>
      </c>
    </row>
    <row r="980" spans="1:27" x14ac:dyDescent="0.35">
      <c r="A980" s="10" t="s">
        <v>2103</v>
      </c>
      <c r="F980" t="s">
        <v>1358</v>
      </c>
      <c r="K980">
        <v>1</v>
      </c>
      <c r="L980" t="str">
        <f t="shared" si="60"/>
        <v/>
      </c>
      <c r="O980" t="s">
        <v>38</v>
      </c>
      <c r="T980" s="2">
        <f>'SUPUESTOS PRECIOS'!$B$9</f>
        <v>0</v>
      </c>
      <c r="U980" s="3">
        <f>'SUPUESTOS PRECIOS'!$B$5/'SUPUESTOS PRECIOS'!$B$4</f>
        <v>1000</v>
      </c>
      <c r="V980" s="3">
        <f>('SUPUESTOS PRECIOS'!$B$6-'SUPUESTOS PRECIOS'!$B$7)/'SUPUESTOS PRECIOS'!$B$4</f>
        <v>377.5</v>
      </c>
      <c r="W980" s="4">
        <f>'SUPUESTOS PRECIOS'!$B$8</f>
        <v>9.6799999999999994E-3</v>
      </c>
      <c r="X980" s="4">
        <f>'SUPUESTOS PRECIOS'!$B$2</f>
        <v>0.4</v>
      </c>
      <c r="Y980" s="3" t="str">
        <f t="shared" si="61"/>
        <v/>
      </c>
      <c r="Z980" s="3" t="str">
        <f t="shared" si="62"/>
        <v/>
      </c>
      <c r="AA980" s="11" t="str">
        <f t="shared" si="63"/>
        <v/>
      </c>
    </row>
    <row r="981" spans="1:27" x14ac:dyDescent="0.35">
      <c r="A981" s="10" t="s">
        <v>2104</v>
      </c>
      <c r="F981" t="s">
        <v>1358</v>
      </c>
      <c r="K981">
        <v>1</v>
      </c>
      <c r="L981" t="str">
        <f t="shared" si="60"/>
        <v/>
      </c>
      <c r="O981" t="s">
        <v>38</v>
      </c>
      <c r="T981" s="2">
        <f>'SUPUESTOS PRECIOS'!$B$9</f>
        <v>0</v>
      </c>
      <c r="U981" s="3">
        <f>'SUPUESTOS PRECIOS'!$B$5/'SUPUESTOS PRECIOS'!$B$4</f>
        <v>1000</v>
      </c>
      <c r="V981" s="3">
        <f>('SUPUESTOS PRECIOS'!$B$6-'SUPUESTOS PRECIOS'!$B$7)/'SUPUESTOS PRECIOS'!$B$4</f>
        <v>377.5</v>
      </c>
      <c r="W981" s="4">
        <f>'SUPUESTOS PRECIOS'!$B$8</f>
        <v>9.6799999999999994E-3</v>
      </c>
      <c r="X981" s="4">
        <f>'SUPUESTOS PRECIOS'!$B$2</f>
        <v>0.4</v>
      </c>
      <c r="Y981" s="3" t="str">
        <f t="shared" si="61"/>
        <v/>
      </c>
      <c r="Z981" s="3" t="str">
        <f t="shared" si="62"/>
        <v/>
      </c>
      <c r="AA981" s="11" t="str">
        <f t="shared" si="63"/>
        <v/>
      </c>
    </row>
    <row r="982" spans="1:27" x14ac:dyDescent="0.35">
      <c r="A982" s="10" t="s">
        <v>2105</v>
      </c>
      <c r="F982" t="s">
        <v>1358</v>
      </c>
      <c r="K982">
        <v>1</v>
      </c>
      <c r="L982" t="str">
        <f t="shared" si="60"/>
        <v/>
      </c>
      <c r="O982" t="s">
        <v>38</v>
      </c>
      <c r="T982" s="2">
        <f>'SUPUESTOS PRECIOS'!$B$9</f>
        <v>0</v>
      </c>
      <c r="U982" s="3">
        <f>'SUPUESTOS PRECIOS'!$B$5/'SUPUESTOS PRECIOS'!$B$4</f>
        <v>1000</v>
      </c>
      <c r="V982" s="3">
        <f>('SUPUESTOS PRECIOS'!$B$6-'SUPUESTOS PRECIOS'!$B$7)/'SUPUESTOS PRECIOS'!$B$4</f>
        <v>377.5</v>
      </c>
      <c r="W982" s="4">
        <f>'SUPUESTOS PRECIOS'!$B$8</f>
        <v>9.6799999999999994E-3</v>
      </c>
      <c r="X982" s="4">
        <f>'SUPUESTOS PRECIOS'!$B$2</f>
        <v>0.4</v>
      </c>
      <c r="Y982" s="3" t="str">
        <f t="shared" si="61"/>
        <v/>
      </c>
      <c r="Z982" s="3" t="str">
        <f t="shared" si="62"/>
        <v/>
      </c>
      <c r="AA982" s="11" t="str">
        <f t="shared" si="63"/>
        <v/>
      </c>
    </row>
    <row r="983" spans="1:27" x14ac:dyDescent="0.35">
      <c r="A983" s="10" t="s">
        <v>2106</v>
      </c>
      <c r="F983" t="s">
        <v>1358</v>
      </c>
      <c r="K983">
        <v>1</v>
      </c>
      <c r="L983" t="str">
        <f t="shared" si="60"/>
        <v/>
      </c>
      <c r="O983" t="s">
        <v>38</v>
      </c>
      <c r="T983" s="2">
        <f>'SUPUESTOS PRECIOS'!$B$9</f>
        <v>0</v>
      </c>
      <c r="U983" s="3">
        <f>'SUPUESTOS PRECIOS'!$B$5/'SUPUESTOS PRECIOS'!$B$4</f>
        <v>1000</v>
      </c>
      <c r="V983" s="3">
        <f>('SUPUESTOS PRECIOS'!$B$6-'SUPUESTOS PRECIOS'!$B$7)/'SUPUESTOS PRECIOS'!$B$4</f>
        <v>377.5</v>
      </c>
      <c r="W983" s="4">
        <f>'SUPUESTOS PRECIOS'!$B$8</f>
        <v>9.6799999999999994E-3</v>
      </c>
      <c r="X983" s="4">
        <f>'SUPUESTOS PRECIOS'!$B$2</f>
        <v>0.4</v>
      </c>
      <c r="Y983" s="3" t="str">
        <f t="shared" si="61"/>
        <v/>
      </c>
      <c r="Z983" s="3" t="str">
        <f t="shared" si="62"/>
        <v/>
      </c>
      <c r="AA983" s="11" t="str">
        <f t="shared" si="63"/>
        <v/>
      </c>
    </row>
    <row r="984" spans="1:27" x14ac:dyDescent="0.35">
      <c r="A984" s="10" t="s">
        <v>2107</v>
      </c>
      <c r="F984" t="s">
        <v>1358</v>
      </c>
      <c r="K984">
        <v>1</v>
      </c>
      <c r="L984" t="str">
        <f t="shared" si="60"/>
        <v/>
      </c>
      <c r="O984" t="s">
        <v>38</v>
      </c>
      <c r="T984" s="2">
        <f>'SUPUESTOS PRECIOS'!$B$9</f>
        <v>0</v>
      </c>
      <c r="U984" s="3">
        <f>'SUPUESTOS PRECIOS'!$B$5/'SUPUESTOS PRECIOS'!$B$4</f>
        <v>1000</v>
      </c>
      <c r="V984" s="3">
        <f>('SUPUESTOS PRECIOS'!$B$6-'SUPUESTOS PRECIOS'!$B$7)/'SUPUESTOS PRECIOS'!$B$4</f>
        <v>377.5</v>
      </c>
      <c r="W984" s="4">
        <f>'SUPUESTOS PRECIOS'!$B$8</f>
        <v>9.6799999999999994E-3</v>
      </c>
      <c r="X984" s="4">
        <f>'SUPUESTOS PRECIOS'!$B$2</f>
        <v>0.4</v>
      </c>
      <c r="Y984" s="3" t="str">
        <f t="shared" si="61"/>
        <v/>
      </c>
      <c r="Z984" s="3" t="str">
        <f t="shared" si="62"/>
        <v/>
      </c>
      <c r="AA984" s="11" t="str">
        <f t="shared" si="63"/>
        <v/>
      </c>
    </row>
    <row r="985" spans="1:27" x14ac:dyDescent="0.35">
      <c r="A985" s="10" t="s">
        <v>2108</v>
      </c>
      <c r="F985" t="s">
        <v>1358</v>
      </c>
      <c r="K985">
        <v>1</v>
      </c>
      <c r="L985" t="str">
        <f t="shared" si="60"/>
        <v/>
      </c>
      <c r="O985" t="s">
        <v>38</v>
      </c>
      <c r="T985" s="2">
        <f>'SUPUESTOS PRECIOS'!$B$9</f>
        <v>0</v>
      </c>
      <c r="U985" s="3">
        <f>'SUPUESTOS PRECIOS'!$B$5/'SUPUESTOS PRECIOS'!$B$4</f>
        <v>1000</v>
      </c>
      <c r="V985" s="3">
        <f>('SUPUESTOS PRECIOS'!$B$6-'SUPUESTOS PRECIOS'!$B$7)/'SUPUESTOS PRECIOS'!$B$4</f>
        <v>377.5</v>
      </c>
      <c r="W985" s="4">
        <f>'SUPUESTOS PRECIOS'!$B$8</f>
        <v>9.6799999999999994E-3</v>
      </c>
      <c r="X985" s="4">
        <f>'SUPUESTOS PRECIOS'!$B$2</f>
        <v>0.4</v>
      </c>
      <c r="Y985" s="3" t="str">
        <f t="shared" si="61"/>
        <v/>
      </c>
      <c r="Z985" s="3" t="str">
        <f t="shared" si="62"/>
        <v/>
      </c>
      <c r="AA985" s="11" t="str">
        <f t="shared" si="63"/>
        <v/>
      </c>
    </row>
    <row r="986" spans="1:27" x14ac:dyDescent="0.35">
      <c r="A986" s="10" t="s">
        <v>2109</v>
      </c>
      <c r="F986" t="s">
        <v>1358</v>
      </c>
      <c r="K986">
        <v>1</v>
      </c>
      <c r="L986" t="str">
        <f t="shared" si="60"/>
        <v/>
      </c>
      <c r="O986" t="s">
        <v>38</v>
      </c>
      <c r="T986" s="2">
        <f>'SUPUESTOS PRECIOS'!$B$9</f>
        <v>0</v>
      </c>
      <c r="U986" s="3">
        <f>'SUPUESTOS PRECIOS'!$B$5/'SUPUESTOS PRECIOS'!$B$4</f>
        <v>1000</v>
      </c>
      <c r="V986" s="3">
        <f>('SUPUESTOS PRECIOS'!$B$6-'SUPUESTOS PRECIOS'!$B$7)/'SUPUESTOS PRECIOS'!$B$4</f>
        <v>377.5</v>
      </c>
      <c r="W986" s="4">
        <f>'SUPUESTOS PRECIOS'!$B$8</f>
        <v>9.6799999999999994E-3</v>
      </c>
      <c r="X986" s="4">
        <f>'SUPUESTOS PRECIOS'!$B$2</f>
        <v>0.4</v>
      </c>
      <c r="Y986" s="3" t="str">
        <f t="shared" si="61"/>
        <v/>
      </c>
      <c r="Z986" s="3" t="str">
        <f t="shared" si="62"/>
        <v/>
      </c>
      <c r="AA986" s="11" t="str">
        <f t="shared" si="63"/>
        <v/>
      </c>
    </row>
    <row r="987" spans="1:27" x14ac:dyDescent="0.35">
      <c r="A987" s="10" t="s">
        <v>2110</v>
      </c>
      <c r="F987" t="s">
        <v>1358</v>
      </c>
      <c r="K987">
        <v>1</v>
      </c>
      <c r="L987" t="str">
        <f t="shared" si="60"/>
        <v/>
      </c>
      <c r="O987" t="s">
        <v>38</v>
      </c>
      <c r="T987" s="2">
        <f>'SUPUESTOS PRECIOS'!$B$9</f>
        <v>0</v>
      </c>
      <c r="U987" s="3">
        <f>'SUPUESTOS PRECIOS'!$B$5/'SUPUESTOS PRECIOS'!$B$4</f>
        <v>1000</v>
      </c>
      <c r="V987" s="3">
        <f>('SUPUESTOS PRECIOS'!$B$6-'SUPUESTOS PRECIOS'!$B$7)/'SUPUESTOS PRECIOS'!$B$4</f>
        <v>377.5</v>
      </c>
      <c r="W987" s="4">
        <f>'SUPUESTOS PRECIOS'!$B$8</f>
        <v>9.6799999999999994E-3</v>
      </c>
      <c r="X987" s="4">
        <f>'SUPUESTOS PRECIOS'!$B$2</f>
        <v>0.4</v>
      </c>
      <c r="Y987" s="3" t="str">
        <f t="shared" si="61"/>
        <v/>
      </c>
      <c r="Z987" s="3" t="str">
        <f t="shared" si="62"/>
        <v/>
      </c>
      <c r="AA987" s="11" t="str">
        <f t="shared" si="63"/>
        <v/>
      </c>
    </row>
    <row r="988" spans="1:27" x14ac:dyDescent="0.35">
      <c r="A988" s="10" t="s">
        <v>2111</v>
      </c>
      <c r="F988" t="s">
        <v>1358</v>
      </c>
      <c r="K988">
        <v>1</v>
      </c>
      <c r="L988" t="str">
        <f t="shared" si="60"/>
        <v/>
      </c>
      <c r="O988" t="s">
        <v>38</v>
      </c>
      <c r="T988" s="2">
        <f>'SUPUESTOS PRECIOS'!$B$9</f>
        <v>0</v>
      </c>
      <c r="U988" s="3">
        <f>'SUPUESTOS PRECIOS'!$B$5/'SUPUESTOS PRECIOS'!$B$4</f>
        <v>1000</v>
      </c>
      <c r="V988" s="3">
        <f>('SUPUESTOS PRECIOS'!$B$6-'SUPUESTOS PRECIOS'!$B$7)/'SUPUESTOS PRECIOS'!$B$4</f>
        <v>377.5</v>
      </c>
      <c r="W988" s="4">
        <f>'SUPUESTOS PRECIOS'!$B$8</f>
        <v>9.6799999999999994E-3</v>
      </c>
      <c r="X988" s="4">
        <f>'SUPUESTOS PRECIOS'!$B$2</f>
        <v>0.4</v>
      </c>
      <c r="Y988" s="3" t="str">
        <f t="shared" si="61"/>
        <v/>
      </c>
      <c r="Z988" s="3" t="str">
        <f t="shared" si="62"/>
        <v/>
      </c>
      <c r="AA988" s="11" t="str">
        <f t="shared" si="63"/>
        <v/>
      </c>
    </row>
    <row r="989" spans="1:27" x14ac:dyDescent="0.35">
      <c r="A989" s="10" t="s">
        <v>2112</v>
      </c>
      <c r="F989" t="s">
        <v>1358</v>
      </c>
      <c r="K989">
        <v>1</v>
      </c>
      <c r="L989" t="str">
        <f t="shared" si="60"/>
        <v/>
      </c>
      <c r="O989" t="s">
        <v>38</v>
      </c>
      <c r="T989" s="2">
        <f>'SUPUESTOS PRECIOS'!$B$9</f>
        <v>0</v>
      </c>
      <c r="U989" s="3">
        <f>'SUPUESTOS PRECIOS'!$B$5/'SUPUESTOS PRECIOS'!$B$4</f>
        <v>1000</v>
      </c>
      <c r="V989" s="3">
        <f>('SUPUESTOS PRECIOS'!$B$6-'SUPUESTOS PRECIOS'!$B$7)/'SUPUESTOS PRECIOS'!$B$4</f>
        <v>377.5</v>
      </c>
      <c r="W989" s="4">
        <f>'SUPUESTOS PRECIOS'!$B$8</f>
        <v>9.6799999999999994E-3</v>
      </c>
      <c r="X989" s="4">
        <f>'SUPUESTOS PRECIOS'!$B$2</f>
        <v>0.4</v>
      </c>
      <c r="Y989" s="3" t="str">
        <f t="shared" si="61"/>
        <v/>
      </c>
      <c r="Z989" s="3" t="str">
        <f t="shared" si="62"/>
        <v/>
      </c>
      <c r="AA989" s="11" t="str">
        <f t="shared" si="63"/>
        <v/>
      </c>
    </row>
    <row r="990" spans="1:27" x14ac:dyDescent="0.35">
      <c r="A990" s="10" t="s">
        <v>2113</v>
      </c>
      <c r="F990" t="s">
        <v>1358</v>
      </c>
      <c r="K990">
        <v>1</v>
      </c>
      <c r="L990" t="str">
        <f t="shared" si="60"/>
        <v/>
      </c>
      <c r="O990" t="s">
        <v>38</v>
      </c>
      <c r="T990" s="2">
        <f>'SUPUESTOS PRECIOS'!$B$9</f>
        <v>0</v>
      </c>
      <c r="U990" s="3">
        <f>'SUPUESTOS PRECIOS'!$B$5/'SUPUESTOS PRECIOS'!$B$4</f>
        <v>1000</v>
      </c>
      <c r="V990" s="3">
        <f>('SUPUESTOS PRECIOS'!$B$6-'SUPUESTOS PRECIOS'!$B$7)/'SUPUESTOS PRECIOS'!$B$4</f>
        <v>377.5</v>
      </c>
      <c r="W990" s="4">
        <f>'SUPUESTOS PRECIOS'!$B$8</f>
        <v>9.6799999999999994E-3</v>
      </c>
      <c r="X990" s="4">
        <f>'SUPUESTOS PRECIOS'!$B$2</f>
        <v>0.4</v>
      </c>
      <c r="Y990" s="3" t="str">
        <f t="shared" si="61"/>
        <v/>
      </c>
      <c r="Z990" s="3" t="str">
        <f t="shared" si="62"/>
        <v/>
      </c>
      <c r="AA990" s="11" t="str">
        <f t="shared" si="63"/>
        <v/>
      </c>
    </row>
    <row r="991" spans="1:27" x14ac:dyDescent="0.35">
      <c r="A991" s="10" t="s">
        <v>2114</v>
      </c>
      <c r="F991" t="s">
        <v>1358</v>
      </c>
      <c r="K991">
        <v>1</v>
      </c>
      <c r="L991" t="str">
        <f t="shared" si="60"/>
        <v/>
      </c>
      <c r="O991" t="s">
        <v>38</v>
      </c>
      <c r="T991" s="2">
        <f>'SUPUESTOS PRECIOS'!$B$9</f>
        <v>0</v>
      </c>
      <c r="U991" s="3">
        <f>'SUPUESTOS PRECIOS'!$B$5/'SUPUESTOS PRECIOS'!$B$4</f>
        <v>1000</v>
      </c>
      <c r="V991" s="3">
        <f>('SUPUESTOS PRECIOS'!$B$6-'SUPUESTOS PRECIOS'!$B$7)/'SUPUESTOS PRECIOS'!$B$4</f>
        <v>377.5</v>
      </c>
      <c r="W991" s="4">
        <f>'SUPUESTOS PRECIOS'!$B$8</f>
        <v>9.6799999999999994E-3</v>
      </c>
      <c r="X991" s="4">
        <f>'SUPUESTOS PRECIOS'!$B$2</f>
        <v>0.4</v>
      </c>
      <c r="Y991" s="3" t="str">
        <f t="shared" si="61"/>
        <v/>
      </c>
      <c r="Z991" s="3" t="str">
        <f t="shared" si="62"/>
        <v/>
      </c>
      <c r="AA991" s="11" t="str">
        <f t="shared" si="63"/>
        <v/>
      </c>
    </row>
    <row r="992" spans="1:27" x14ac:dyDescent="0.35">
      <c r="A992" s="10" t="s">
        <v>2115</v>
      </c>
      <c r="F992" t="s">
        <v>1358</v>
      </c>
      <c r="K992">
        <v>1</v>
      </c>
      <c r="L992" t="str">
        <f t="shared" si="60"/>
        <v/>
      </c>
      <c r="O992" t="s">
        <v>38</v>
      </c>
      <c r="T992" s="2">
        <f>'SUPUESTOS PRECIOS'!$B$9</f>
        <v>0</v>
      </c>
      <c r="U992" s="3">
        <f>'SUPUESTOS PRECIOS'!$B$5/'SUPUESTOS PRECIOS'!$B$4</f>
        <v>1000</v>
      </c>
      <c r="V992" s="3">
        <f>('SUPUESTOS PRECIOS'!$B$6-'SUPUESTOS PRECIOS'!$B$7)/'SUPUESTOS PRECIOS'!$B$4</f>
        <v>377.5</v>
      </c>
      <c r="W992" s="4">
        <f>'SUPUESTOS PRECIOS'!$B$8</f>
        <v>9.6799999999999994E-3</v>
      </c>
      <c r="X992" s="4">
        <f>'SUPUESTOS PRECIOS'!$B$2</f>
        <v>0.4</v>
      </c>
      <c r="Y992" s="3" t="str">
        <f t="shared" si="61"/>
        <v/>
      </c>
      <c r="Z992" s="3" t="str">
        <f t="shared" si="62"/>
        <v/>
      </c>
      <c r="AA992" s="11" t="str">
        <f t="shared" si="63"/>
        <v/>
      </c>
    </row>
    <row r="993" spans="1:27" x14ac:dyDescent="0.35">
      <c r="A993" s="10" t="s">
        <v>2116</v>
      </c>
      <c r="F993" t="s">
        <v>1358</v>
      </c>
      <c r="K993">
        <v>1</v>
      </c>
      <c r="L993" t="str">
        <f t="shared" si="60"/>
        <v/>
      </c>
      <c r="O993" t="s">
        <v>38</v>
      </c>
      <c r="T993" s="2">
        <f>'SUPUESTOS PRECIOS'!$B$9</f>
        <v>0</v>
      </c>
      <c r="U993" s="3">
        <f>'SUPUESTOS PRECIOS'!$B$5/'SUPUESTOS PRECIOS'!$B$4</f>
        <v>1000</v>
      </c>
      <c r="V993" s="3">
        <f>('SUPUESTOS PRECIOS'!$B$6-'SUPUESTOS PRECIOS'!$B$7)/'SUPUESTOS PRECIOS'!$B$4</f>
        <v>377.5</v>
      </c>
      <c r="W993" s="4">
        <f>'SUPUESTOS PRECIOS'!$B$8</f>
        <v>9.6799999999999994E-3</v>
      </c>
      <c r="X993" s="4">
        <f>'SUPUESTOS PRECIOS'!$B$2</f>
        <v>0.4</v>
      </c>
      <c r="Y993" s="3" t="str">
        <f t="shared" si="61"/>
        <v/>
      </c>
      <c r="Z993" s="3" t="str">
        <f t="shared" si="62"/>
        <v/>
      </c>
      <c r="AA993" s="11" t="str">
        <f t="shared" si="63"/>
        <v/>
      </c>
    </row>
    <row r="994" spans="1:27" x14ac:dyDescent="0.35">
      <c r="A994" s="10" t="s">
        <v>2117</v>
      </c>
      <c r="F994" t="s">
        <v>1358</v>
      </c>
      <c r="K994">
        <v>1</v>
      </c>
      <c r="L994" t="str">
        <f t="shared" si="60"/>
        <v/>
      </c>
      <c r="O994" t="s">
        <v>38</v>
      </c>
      <c r="T994" s="2">
        <f>'SUPUESTOS PRECIOS'!$B$9</f>
        <v>0</v>
      </c>
      <c r="U994" s="3">
        <f>'SUPUESTOS PRECIOS'!$B$5/'SUPUESTOS PRECIOS'!$B$4</f>
        <v>1000</v>
      </c>
      <c r="V994" s="3">
        <f>('SUPUESTOS PRECIOS'!$B$6-'SUPUESTOS PRECIOS'!$B$7)/'SUPUESTOS PRECIOS'!$B$4</f>
        <v>377.5</v>
      </c>
      <c r="W994" s="4">
        <f>'SUPUESTOS PRECIOS'!$B$8</f>
        <v>9.6799999999999994E-3</v>
      </c>
      <c r="X994" s="4">
        <f>'SUPUESTOS PRECIOS'!$B$2</f>
        <v>0.4</v>
      </c>
      <c r="Y994" s="3" t="str">
        <f t="shared" si="61"/>
        <v/>
      </c>
      <c r="Z994" s="3" t="str">
        <f t="shared" si="62"/>
        <v/>
      </c>
      <c r="AA994" s="11" t="str">
        <f t="shared" si="63"/>
        <v/>
      </c>
    </row>
    <row r="995" spans="1:27" x14ac:dyDescent="0.35">
      <c r="A995" s="10" t="s">
        <v>2118</v>
      </c>
      <c r="F995" t="s">
        <v>1358</v>
      </c>
      <c r="K995">
        <v>1</v>
      </c>
      <c r="L995" t="str">
        <f t="shared" si="60"/>
        <v/>
      </c>
      <c r="O995" t="s">
        <v>38</v>
      </c>
      <c r="T995" s="2">
        <f>'SUPUESTOS PRECIOS'!$B$9</f>
        <v>0</v>
      </c>
      <c r="U995" s="3">
        <f>'SUPUESTOS PRECIOS'!$B$5/'SUPUESTOS PRECIOS'!$B$4</f>
        <v>1000</v>
      </c>
      <c r="V995" s="3">
        <f>('SUPUESTOS PRECIOS'!$B$6-'SUPUESTOS PRECIOS'!$B$7)/'SUPUESTOS PRECIOS'!$B$4</f>
        <v>377.5</v>
      </c>
      <c r="W995" s="4">
        <f>'SUPUESTOS PRECIOS'!$B$8</f>
        <v>9.6799999999999994E-3</v>
      </c>
      <c r="X995" s="4">
        <f>'SUPUESTOS PRECIOS'!$B$2</f>
        <v>0.4</v>
      </c>
      <c r="Y995" s="3" t="str">
        <f t="shared" si="61"/>
        <v/>
      </c>
      <c r="Z995" s="3" t="str">
        <f t="shared" si="62"/>
        <v/>
      </c>
      <c r="AA995" s="11" t="str">
        <f t="shared" si="63"/>
        <v/>
      </c>
    </row>
    <row r="996" spans="1:27" x14ac:dyDescent="0.35">
      <c r="A996" s="10" t="s">
        <v>2119</v>
      </c>
      <c r="F996" t="s">
        <v>1358</v>
      </c>
      <c r="K996">
        <v>1</v>
      </c>
      <c r="L996" t="str">
        <f t="shared" si="60"/>
        <v/>
      </c>
      <c r="O996" t="s">
        <v>38</v>
      </c>
      <c r="T996" s="2">
        <f>'SUPUESTOS PRECIOS'!$B$9</f>
        <v>0</v>
      </c>
      <c r="U996" s="3">
        <f>'SUPUESTOS PRECIOS'!$B$5/'SUPUESTOS PRECIOS'!$B$4</f>
        <v>1000</v>
      </c>
      <c r="V996" s="3">
        <f>('SUPUESTOS PRECIOS'!$B$6-'SUPUESTOS PRECIOS'!$B$7)/'SUPUESTOS PRECIOS'!$B$4</f>
        <v>377.5</v>
      </c>
      <c r="W996" s="4">
        <f>'SUPUESTOS PRECIOS'!$B$8</f>
        <v>9.6799999999999994E-3</v>
      </c>
      <c r="X996" s="4">
        <f>'SUPUESTOS PRECIOS'!$B$2</f>
        <v>0.4</v>
      </c>
      <c r="Y996" s="3" t="str">
        <f t="shared" si="61"/>
        <v/>
      </c>
      <c r="Z996" s="3" t="str">
        <f t="shared" si="62"/>
        <v/>
      </c>
      <c r="AA996" s="11" t="str">
        <f t="shared" si="63"/>
        <v/>
      </c>
    </row>
    <row r="997" spans="1:27" x14ac:dyDescent="0.35">
      <c r="A997" s="10" t="s">
        <v>2120</v>
      </c>
      <c r="F997" t="s">
        <v>1358</v>
      </c>
      <c r="K997">
        <v>1</v>
      </c>
      <c r="L997" t="str">
        <f t="shared" si="60"/>
        <v/>
      </c>
      <c r="O997" t="s">
        <v>38</v>
      </c>
      <c r="T997" s="2">
        <f>'SUPUESTOS PRECIOS'!$B$9</f>
        <v>0</v>
      </c>
      <c r="U997" s="3">
        <f>'SUPUESTOS PRECIOS'!$B$5/'SUPUESTOS PRECIOS'!$B$4</f>
        <v>1000</v>
      </c>
      <c r="V997" s="3">
        <f>('SUPUESTOS PRECIOS'!$B$6-'SUPUESTOS PRECIOS'!$B$7)/'SUPUESTOS PRECIOS'!$B$4</f>
        <v>377.5</v>
      </c>
      <c r="W997" s="4">
        <f>'SUPUESTOS PRECIOS'!$B$8</f>
        <v>9.6799999999999994E-3</v>
      </c>
      <c r="X997" s="4">
        <f>'SUPUESTOS PRECIOS'!$B$2</f>
        <v>0.4</v>
      </c>
      <c r="Y997" s="3" t="str">
        <f t="shared" si="61"/>
        <v/>
      </c>
      <c r="Z997" s="3" t="str">
        <f t="shared" si="62"/>
        <v/>
      </c>
      <c r="AA997" s="11" t="str">
        <f t="shared" si="63"/>
        <v/>
      </c>
    </row>
    <row r="998" spans="1:27" x14ac:dyDescent="0.35">
      <c r="A998" s="10" t="s">
        <v>2121</v>
      </c>
      <c r="F998" t="s">
        <v>1358</v>
      </c>
      <c r="K998">
        <v>1</v>
      </c>
      <c r="L998" t="str">
        <f t="shared" si="60"/>
        <v/>
      </c>
      <c r="O998" t="s">
        <v>38</v>
      </c>
      <c r="T998" s="2">
        <f>'SUPUESTOS PRECIOS'!$B$9</f>
        <v>0</v>
      </c>
      <c r="U998" s="3">
        <f>'SUPUESTOS PRECIOS'!$B$5/'SUPUESTOS PRECIOS'!$B$4</f>
        <v>1000</v>
      </c>
      <c r="V998" s="3">
        <f>('SUPUESTOS PRECIOS'!$B$6-'SUPUESTOS PRECIOS'!$B$7)/'SUPUESTOS PRECIOS'!$B$4</f>
        <v>377.5</v>
      </c>
      <c r="W998" s="4">
        <f>'SUPUESTOS PRECIOS'!$B$8</f>
        <v>9.6799999999999994E-3</v>
      </c>
      <c r="X998" s="4">
        <f>'SUPUESTOS PRECIOS'!$B$2</f>
        <v>0.4</v>
      </c>
      <c r="Y998" s="3" t="str">
        <f t="shared" si="61"/>
        <v/>
      </c>
      <c r="Z998" s="3" t="str">
        <f t="shared" si="62"/>
        <v/>
      </c>
      <c r="AA998" s="11" t="str">
        <f t="shared" si="63"/>
        <v/>
      </c>
    </row>
    <row r="999" spans="1:27" x14ac:dyDescent="0.35">
      <c r="A999" s="10" t="s">
        <v>2122</v>
      </c>
      <c r="F999" t="s">
        <v>1358</v>
      </c>
      <c r="K999">
        <v>1</v>
      </c>
      <c r="L999" t="str">
        <f t="shared" si="60"/>
        <v/>
      </c>
      <c r="O999" t="s">
        <v>38</v>
      </c>
      <c r="T999" s="2">
        <f>'SUPUESTOS PRECIOS'!$B$9</f>
        <v>0</v>
      </c>
      <c r="U999" s="3">
        <f>'SUPUESTOS PRECIOS'!$B$5/'SUPUESTOS PRECIOS'!$B$4</f>
        <v>1000</v>
      </c>
      <c r="V999" s="3">
        <f>('SUPUESTOS PRECIOS'!$B$6-'SUPUESTOS PRECIOS'!$B$7)/'SUPUESTOS PRECIOS'!$B$4</f>
        <v>377.5</v>
      </c>
      <c r="W999" s="4">
        <f>'SUPUESTOS PRECIOS'!$B$8</f>
        <v>9.6799999999999994E-3</v>
      </c>
      <c r="X999" s="4">
        <f>'SUPUESTOS PRECIOS'!$B$2</f>
        <v>0.4</v>
      </c>
      <c r="Y999" s="3" t="str">
        <f t="shared" si="61"/>
        <v/>
      </c>
      <c r="Z999" s="3" t="str">
        <f t="shared" si="62"/>
        <v/>
      </c>
      <c r="AA999" s="11" t="str">
        <f t="shared" si="63"/>
        <v/>
      </c>
    </row>
    <row r="1000" spans="1:27" x14ac:dyDescent="0.35">
      <c r="A1000" s="10" t="s">
        <v>2123</v>
      </c>
      <c r="F1000" t="s">
        <v>1358</v>
      </c>
      <c r="K1000">
        <v>1</v>
      </c>
      <c r="L1000" t="str">
        <f t="shared" si="60"/>
        <v/>
      </c>
      <c r="O1000" t="s">
        <v>38</v>
      </c>
      <c r="T1000" s="2">
        <f>'SUPUESTOS PRECIOS'!$B$9</f>
        <v>0</v>
      </c>
      <c r="U1000" s="3">
        <f>'SUPUESTOS PRECIOS'!$B$5/'SUPUESTOS PRECIOS'!$B$4</f>
        <v>1000</v>
      </c>
      <c r="V1000" s="3">
        <f>('SUPUESTOS PRECIOS'!$B$6-'SUPUESTOS PRECIOS'!$B$7)/'SUPUESTOS PRECIOS'!$B$4</f>
        <v>377.5</v>
      </c>
      <c r="W1000" s="4">
        <f>'SUPUESTOS PRECIOS'!$B$8</f>
        <v>9.6799999999999994E-3</v>
      </c>
      <c r="X1000" s="4">
        <f>'SUPUESTOS PRECIOS'!$B$2</f>
        <v>0.4</v>
      </c>
      <c r="Y1000" s="3" t="str">
        <f t="shared" si="61"/>
        <v/>
      </c>
      <c r="Z1000" s="3" t="str">
        <f t="shared" si="62"/>
        <v/>
      </c>
      <c r="AA1000" s="11" t="str">
        <f t="shared" si="63"/>
        <v/>
      </c>
    </row>
    <row r="1001" spans="1:27" x14ac:dyDescent="0.35">
      <c r="A1001" s="12" t="s">
        <v>2124</v>
      </c>
      <c r="B1001" s="13"/>
      <c r="C1001" s="13"/>
      <c r="D1001" s="13"/>
      <c r="E1001" s="13"/>
      <c r="F1001" s="13" t="s">
        <v>1358</v>
      </c>
      <c r="G1001" s="13"/>
      <c r="H1001" s="13"/>
      <c r="I1001" s="13"/>
      <c r="J1001" s="13"/>
      <c r="K1001" s="13">
        <v>1</v>
      </c>
      <c r="L1001" s="13" t="str">
        <f t="shared" si="60"/>
        <v/>
      </c>
      <c r="M1001" s="13"/>
      <c r="N1001" s="13"/>
      <c r="O1001" s="13" t="s">
        <v>38</v>
      </c>
      <c r="P1001" s="13"/>
      <c r="Q1001" s="13"/>
      <c r="R1001" s="13"/>
      <c r="S1001" s="13"/>
      <c r="T1001" s="14">
        <f>'SUPUESTOS PRECIOS'!$B$9</f>
        <v>0</v>
      </c>
      <c r="U1001" s="15">
        <f>'SUPUESTOS PRECIOS'!$B$5/'SUPUESTOS PRECIOS'!$B$4</f>
        <v>1000</v>
      </c>
      <c r="V1001" s="15">
        <f>('SUPUESTOS PRECIOS'!$B$6-'SUPUESTOS PRECIOS'!$B$7)/'SUPUESTOS PRECIOS'!$B$4</f>
        <v>377.5</v>
      </c>
      <c r="W1001" s="16">
        <f>'SUPUESTOS PRECIOS'!$B$8</f>
        <v>9.6799999999999994E-3</v>
      </c>
      <c r="X1001" s="16">
        <f>'SUPUESTOS PRECIOS'!$B$2</f>
        <v>0.4</v>
      </c>
      <c r="Y1001" s="15" t="str">
        <f t="shared" si="61"/>
        <v/>
      </c>
      <c r="Z1001" s="15" t="str">
        <f t="shared" si="62"/>
        <v/>
      </c>
      <c r="AA1001" s="17" t="str">
        <f t="shared" si="63"/>
        <v/>
      </c>
    </row>
  </sheetData>
  <conditionalFormatting sqref="M2:M1001">
    <cfRule type="cellIs" dxfId="1" priority="2" operator="lessThanOrEqual">
      <formula>N2</formula>
    </cfRule>
  </conditionalFormatting>
  <dataValidations count="1">
    <dataValidation type="list" allowBlank="1" sqref="O2:O1001" xr:uid="{00000000-0002-0000-0000-000000000000}">
      <formula1>"Activo,Inactivo"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ColWidth="9.1796875" defaultRowHeight="14.5" x14ac:dyDescent="0.35"/>
  <sheetData>
    <row r="1" spans="1:1" x14ac:dyDescent="0.35">
      <c r="A1" t="s">
        <v>44</v>
      </c>
    </row>
    <row r="2" spans="1:1" x14ac:dyDescent="0.35">
      <c r="A2" t="s">
        <v>31</v>
      </c>
    </row>
    <row r="3" spans="1:1" x14ac:dyDescent="0.35">
      <c r="A3" t="s">
        <v>829</v>
      </c>
    </row>
    <row r="4" spans="1:1" x14ac:dyDescent="0.35">
      <c r="A4" t="s">
        <v>66</v>
      </c>
    </row>
    <row r="5" spans="1:1" x14ac:dyDescent="0.35">
      <c r="A5" t="s">
        <v>105</v>
      </c>
    </row>
    <row r="6" spans="1:1" x14ac:dyDescent="0.35">
      <c r="A6" t="s">
        <v>90</v>
      </c>
    </row>
    <row r="7" spans="1:1" x14ac:dyDescent="0.35">
      <c r="A7" t="s">
        <v>740</v>
      </c>
    </row>
    <row r="8" spans="1:1" x14ac:dyDescent="0.35">
      <c r="A8" t="s">
        <v>133</v>
      </c>
    </row>
    <row r="9" spans="1:1" x14ac:dyDescent="0.35">
      <c r="A9" t="s">
        <v>1207</v>
      </c>
    </row>
    <row r="10" spans="1:1" x14ac:dyDescent="0.35">
      <c r="A10" t="s">
        <v>446</v>
      </c>
    </row>
    <row r="11" spans="1:1" x14ac:dyDescent="0.35">
      <c r="A11" t="s">
        <v>1048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ColWidth="9.1796875" defaultRowHeight="14.5" x14ac:dyDescent="0.35"/>
  <sheetData>
    <row r="1" spans="1:5" x14ac:dyDescent="0.35">
      <c r="A1" t="s">
        <v>2125</v>
      </c>
      <c r="B1" t="s">
        <v>1</v>
      </c>
      <c r="C1" t="s">
        <v>2126</v>
      </c>
      <c r="D1" t="s">
        <v>2127</v>
      </c>
      <c r="E1" t="s">
        <v>2128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ColWidth="9.1796875" defaultRowHeight="14.5" x14ac:dyDescent="0.35"/>
  <sheetData>
    <row r="1" spans="1:2" x14ac:dyDescent="0.35">
      <c r="A1" t="s">
        <v>2129</v>
      </c>
      <c r="B1" t="s">
        <v>2130</v>
      </c>
    </row>
    <row r="2" spans="1:2" x14ac:dyDescent="0.35">
      <c r="A2" t="s">
        <v>2131</v>
      </c>
      <c r="B2">
        <f>COUNTA(PRODUCTOS!A2:A201)</f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ColWidth="9.1796875" defaultRowHeight="14.5" x14ac:dyDescent="0.35"/>
  <sheetData>
    <row r="1" spans="1:1" x14ac:dyDescent="0.35">
      <c r="A1" t="s">
        <v>2132</v>
      </c>
    </row>
    <row r="2" spans="1:1" x14ac:dyDescent="0.35">
      <c r="A2" t="s">
        <v>2133</v>
      </c>
    </row>
    <row r="3" spans="1:1" x14ac:dyDescent="0.35">
      <c r="A3" t="s">
        <v>2134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workbookViewId="0"/>
  </sheetViews>
  <sheetFormatPr defaultColWidth="9.1796875" defaultRowHeight="14.5" x14ac:dyDescent="0.35"/>
  <sheetData>
    <row r="1" spans="1:1" x14ac:dyDescent="0.35">
      <c r="A1" t="s">
        <v>2135</v>
      </c>
    </row>
    <row r="2" spans="1:1" x14ac:dyDescent="0.35">
      <c r="A2" t="s">
        <v>842</v>
      </c>
    </row>
    <row r="3" spans="1:1" x14ac:dyDescent="0.35">
      <c r="A3" t="s">
        <v>2136</v>
      </c>
    </row>
    <row r="4" spans="1:1" x14ac:dyDescent="0.35">
      <c r="A4" t="s">
        <v>836</v>
      </c>
    </row>
    <row r="5" spans="1:1" x14ac:dyDescent="0.35">
      <c r="A5" t="s">
        <v>2137</v>
      </c>
    </row>
    <row r="6" spans="1:1" x14ac:dyDescent="0.35">
      <c r="A6" t="s">
        <v>2138</v>
      </c>
    </row>
    <row r="7" spans="1:1" x14ac:dyDescent="0.35">
      <c r="A7" t="s">
        <v>2139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7"/>
  <sheetViews>
    <sheetView showGridLines="0" workbookViewId="0"/>
  </sheetViews>
  <sheetFormatPr defaultColWidth="9.1796875" defaultRowHeight="14.5" x14ac:dyDescent="0.35"/>
  <cols>
    <col min="1" max="1" width="14" customWidth="1"/>
    <col min="2" max="2" width="34" customWidth="1"/>
    <col min="3" max="3" width="20" customWidth="1"/>
    <col min="4" max="4" width="14" customWidth="1"/>
    <col min="5" max="5" width="48" customWidth="1"/>
    <col min="6" max="6" width="52" customWidth="1"/>
    <col min="7" max="7" width="16" customWidth="1"/>
    <col min="8" max="8" width="30" customWidth="1"/>
  </cols>
  <sheetData>
    <row r="1" spans="1:8" ht="30" customHeight="1" x14ac:dyDescent="0.35">
      <c r="A1" s="34" t="s">
        <v>2140</v>
      </c>
      <c r="B1" s="34"/>
      <c r="C1" s="34"/>
      <c r="D1" s="34"/>
      <c r="E1" s="34"/>
      <c r="F1" s="34"/>
      <c r="G1" s="34"/>
      <c r="H1" s="34"/>
    </row>
    <row r="2" spans="1:8" ht="30" customHeight="1" x14ac:dyDescent="0.35">
      <c r="A2" s="35" t="s">
        <v>2141</v>
      </c>
      <c r="B2" s="35"/>
      <c r="C2" s="35"/>
      <c r="D2" s="35"/>
      <c r="E2" s="35"/>
      <c r="F2" s="35"/>
      <c r="G2" s="35"/>
      <c r="H2" s="35"/>
    </row>
    <row r="4" spans="1:8" ht="34" customHeight="1" x14ac:dyDescent="0.35">
      <c r="A4" s="30" t="s">
        <v>2142</v>
      </c>
      <c r="B4" s="30" t="s">
        <v>5</v>
      </c>
      <c r="C4" s="30" t="s">
        <v>2143</v>
      </c>
      <c r="D4" s="30" t="s">
        <v>2144</v>
      </c>
      <c r="E4" s="30" t="s">
        <v>2145</v>
      </c>
      <c r="F4" s="30" t="s">
        <v>2146</v>
      </c>
      <c r="G4" s="30" t="s">
        <v>2147</v>
      </c>
      <c r="H4" s="30" t="s">
        <v>2148</v>
      </c>
    </row>
    <row r="5" spans="1:8" ht="29" x14ac:dyDescent="0.35">
      <c r="A5" s="31" t="s">
        <v>30</v>
      </c>
      <c r="B5" s="32" t="s">
        <v>34</v>
      </c>
      <c r="C5" s="32" t="s">
        <v>37</v>
      </c>
      <c r="D5" s="32" t="s">
        <v>2149</v>
      </c>
      <c r="E5" s="32" t="s">
        <v>2150</v>
      </c>
      <c r="F5" s="32" t="s">
        <v>2151</v>
      </c>
      <c r="G5" s="33" t="s">
        <v>2149</v>
      </c>
      <c r="H5" s="32"/>
    </row>
    <row r="6" spans="1:8" ht="29" x14ac:dyDescent="0.35">
      <c r="A6" s="31" t="s">
        <v>43</v>
      </c>
      <c r="B6" s="32" t="s">
        <v>46</v>
      </c>
      <c r="C6" s="32" t="s">
        <v>47</v>
      </c>
      <c r="D6" s="32" t="s">
        <v>2149</v>
      </c>
      <c r="E6" s="32" t="s">
        <v>2150</v>
      </c>
      <c r="F6" s="32" t="s">
        <v>2151</v>
      </c>
      <c r="G6" s="33" t="s">
        <v>2149</v>
      </c>
      <c r="H6" s="32"/>
    </row>
    <row r="7" spans="1:8" ht="29" x14ac:dyDescent="0.35">
      <c r="A7" s="31" t="s">
        <v>51</v>
      </c>
      <c r="B7" s="32" t="s">
        <v>53</v>
      </c>
      <c r="C7" s="32" t="s">
        <v>54</v>
      </c>
      <c r="D7" s="32" t="s">
        <v>2149</v>
      </c>
      <c r="E7" s="32" t="s">
        <v>2150</v>
      </c>
      <c r="F7" s="32" t="s">
        <v>2151</v>
      </c>
      <c r="G7" s="33" t="s">
        <v>2149</v>
      </c>
      <c r="H7" s="32"/>
    </row>
    <row r="8" spans="1:8" ht="29" x14ac:dyDescent="0.35">
      <c r="A8" s="31" t="s">
        <v>58</v>
      </c>
      <c r="B8" s="32" t="s">
        <v>60</v>
      </c>
      <c r="C8" s="32" t="s">
        <v>61</v>
      </c>
      <c r="D8" s="32" t="s">
        <v>2149</v>
      </c>
      <c r="E8" s="32" t="s">
        <v>2150</v>
      </c>
      <c r="F8" s="32" t="s">
        <v>2151</v>
      </c>
      <c r="G8" s="33" t="s">
        <v>2149</v>
      </c>
      <c r="H8" s="32"/>
    </row>
    <row r="9" spans="1:8" ht="29" x14ac:dyDescent="0.35">
      <c r="A9" s="31" t="s">
        <v>65</v>
      </c>
      <c r="B9" s="32" t="s">
        <v>68</v>
      </c>
      <c r="C9" s="32" t="s">
        <v>70</v>
      </c>
      <c r="D9" s="32" t="s">
        <v>2149</v>
      </c>
      <c r="E9" s="32" t="s">
        <v>2150</v>
      </c>
      <c r="F9" s="32" t="s">
        <v>2151</v>
      </c>
      <c r="G9" s="33" t="s">
        <v>2149</v>
      </c>
      <c r="H9" s="32"/>
    </row>
    <row r="10" spans="1:8" ht="29" x14ac:dyDescent="0.35">
      <c r="A10" s="31" t="s">
        <v>74</v>
      </c>
      <c r="B10" s="32" t="s">
        <v>76</v>
      </c>
      <c r="C10" s="32" t="s">
        <v>78</v>
      </c>
      <c r="D10" s="32" t="s">
        <v>2149</v>
      </c>
      <c r="E10" s="32" t="s">
        <v>2150</v>
      </c>
      <c r="F10" s="32" t="s">
        <v>2151</v>
      </c>
      <c r="G10" s="33" t="s">
        <v>2149</v>
      </c>
      <c r="H10" s="32"/>
    </row>
    <row r="11" spans="1:8" ht="29" x14ac:dyDescent="0.35">
      <c r="A11" s="31" t="s">
        <v>82</v>
      </c>
      <c r="B11" s="32" t="s">
        <v>84</v>
      </c>
      <c r="C11" s="32" t="s">
        <v>86</v>
      </c>
      <c r="D11" s="32" t="s">
        <v>2149</v>
      </c>
      <c r="E11" s="32" t="s">
        <v>2150</v>
      </c>
      <c r="F11" s="32" t="s">
        <v>2151</v>
      </c>
      <c r="G11" s="33" t="s">
        <v>2149</v>
      </c>
      <c r="H11" s="32"/>
    </row>
    <row r="12" spans="1:8" ht="29" x14ac:dyDescent="0.35">
      <c r="A12" s="31" t="s">
        <v>89</v>
      </c>
      <c r="B12" s="32" t="s">
        <v>92</v>
      </c>
      <c r="C12" s="32" t="s">
        <v>95</v>
      </c>
      <c r="D12" s="32" t="s">
        <v>2149</v>
      </c>
      <c r="E12" s="32" t="s">
        <v>2150</v>
      </c>
      <c r="F12" s="32" t="s">
        <v>2151</v>
      </c>
      <c r="G12" s="33" t="s">
        <v>2149</v>
      </c>
      <c r="H12" s="32"/>
    </row>
    <row r="13" spans="1:8" ht="29" x14ac:dyDescent="0.35">
      <c r="A13" s="31" t="s">
        <v>99</v>
      </c>
      <c r="B13" s="32" t="s">
        <v>100</v>
      </c>
      <c r="C13" s="32" t="s">
        <v>101</v>
      </c>
      <c r="D13" s="32" t="s">
        <v>2149</v>
      </c>
      <c r="E13" s="32" t="s">
        <v>2150</v>
      </c>
      <c r="F13" s="32" t="s">
        <v>2151</v>
      </c>
      <c r="G13" s="33" t="s">
        <v>2149</v>
      </c>
      <c r="H13" s="32"/>
    </row>
    <row r="14" spans="1:8" ht="29" x14ac:dyDescent="0.35">
      <c r="A14" s="31" t="s">
        <v>104</v>
      </c>
      <c r="B14" s="32" t="s">
        <v>107</v>
      </c>
      <c r="C14" s="32" t="s">
        <v>108</v>
      </c>
      <c r="D14" s="32" t="s">
        <v>2149</v>
      </c>
      <c r="E14" s="32" t="s">
        <v>2150</v>
      </c>
      <c r="F14" s="32" t="s">
        <v>2151</v>
      </c>
      <c r="G14" s="33" t="s">
        <v>2149</v>
      </c>
      <c r="H14" s="32"/>
    </row>
    <row r="15" spans="1:8" ht="29" x14ac:dyDescent="0.35">
      <c r="A15" s="31" t="s">
        <v>112</v>
      </c>
      <c r="B15" s="32" t="s">
        <v>113</v>
      </c>
      <c r="C15" s="32" t="s">
        <v>114</v>
      </c>
      <c r="D15" s="32" t="s">
        <v>2149</v>
      </c>
      <c r="E15" s="32" t="s">
        <v>2150</v>
      </c>
      <c r="F15" s="32" t="s">
        <v>2151</v>
      </c>
      <c r="G15" s="33" t="s">
        <v>2149</v>
      </c>
      <c r="H15" s="32"/>
    </row>
    <row r="16" spans="1:8" ht="29" x14ac:dyDescent="0.35">
      <c r="A16" s="31" t="s">
        <v>117</v>
      </c>
      <c r="B16" s="32" t="s">
        <v>118</v>
      </c>
      <c r="C16" s="32" t="s">
        <v>119</v>
      </c>
      <c r="D16" s="32" t="s">
        <v>2149</v>
      </c>
      <c r="E16" s="32" t="s">
        <v>2150</v>
      </c>
      <c r="F16" s="32" t="s">
        <v>2151</v>
      </c>
      <c r="G16" s="33" t="s">
        <v>2149</v>
      </c>
      <c r="H16" s="32"/>
    </row>
    <row r="17" spans="1:8" ht="29" x14ac:dyDescent="0.35">
      <c r="A17" s="31" t="s">
        <v>122</v>
      </c>
      <c r="B17" s="32" t="s">
        <v>123</v>
      </c>
      <c r="C17" s="32" t="s">
        <v>124</v>
      </c>
      <c r="D17" s="32" t="s">
        <v>2149</v>
      </c>
      <c r="E17" s="32" t="s">
        <v>2150</v>
      </c>
      <c r="F17" s="32" t="s">
        <v>2151</v>
      </c>
      <c r="G17" s="33" t="s">
        <v>2149</v>
      </c>
      <c r="H17" s="32"/>
    </row>
    <row r="18" spans="1:8" ht="29" x14ac:dyDescent="0.35">
      <c r="A18" s="31" t="s">
        <v>127</v>
      </c>
      <c r="B18" s="32" t="s">
        <v>128</v>
      </c>
      <c r="C18" s="32" t="s">
        <v>129</v>
      </c>
      <c r="D18" s="32" t="s">
        <v>2149</v>
      </c>
      <c r="E18" s="32" t="s">
        <v>2150</v>
      </c>
      <c r="F18" s="32" t="s">
        <v>2151</v>
      </c>
      <c r="G18" s="33" t="s">
        <v>2149</v>
      </c>
      <c r="H18" s="32"/>
    </row>
    <row r="19" spans="1:8" ht="29" x14ac:dyDescent="0.35">
      <c r="A19" s="31" t="s">
        <v>132</v>
      </c>
      <c r="B19" s="32" t="s">
        <v>135</v>
      </c>
      <c r="C19" s="32" t="s">
        <v>137</v>
      </c>
      <c r="D19" s="32" t="s">
        <v>2149</v>
      </c>
      <c r="E19" s="32" t="s">
        <v>2150</v>
      </c>
      <c r="F19" s="32" t="s">
        <v>2151</v>
      </c>
      <c r="G19" s="33" t="s">
        <v>2149</v>
      </c>
      <c r="H19" s="32"/>
    </row>
    <row r="20" spans="1:8" ht="29" x14ac:dyDescent="0.35">
      <c r="A20" s="31" t="s">
        <v>141</v>
      </c>
      <c r="B20" s="32" t="s">
        <v>142</v>
      </c>
      <c r="C20" s="32" t="s">
        <v>143</v>
      </c>
      <c r="D20" s="32" t="s">
        <v>2149</v>
      </c>
      <c r="E20" s="32" t="s">
        <v>2150</v>
      </c>
      <c r="F20" s="32" t="s">
        <v>2151</v>
      </c>
      <c r="G20" s="33" t="s">
        <v>2149</v>
      </c>
      <c r="H20" s="32"/>
    </row>
    <row r="21" spans="1:8" ht="29" x14ac:dyDescent="0.35">
      <c r="A21" s="31" t="s">
        <v>146</v>
      </c>
      <c r="B21" s="32" t="s">
        <v>147</v>
      </c>
      <c r="C21" s="32" t="s">
        <v>148</v>
      </c>
      <c r="D21" s="32" t="s">
        <v>2149</v>
      </c>
      <c r="E21" s="32" t="s">
        <v>2150</v>
      </c>
      <c r="F21" s="32" t="s">
        <v>2151</v>
      </c>
      <c r="G21" s="33" t="s">
        <v>2149</v>
      </c>
      <c r="H21" s="32"/>
    </row>
    <row r="22" spans="1:8" ht="29" x14ac:dyDescent="0.35">
      <c r="A22" s="31" t="s">
        <v>151</v>
      </c>
      <c r="B22" s="32" t="s">
        <v>152</v>
      </c>
      <c r="C22" s="32" t="s">
        <v>153</v>
      </c>
      <c r="D22" s="32" t="s">
        <v>2149</v>
      </c>
      <c r="E22" s="32" t="s">
        <v>2150</v>
      </c>
      <c r="F22" s="32" t="s">
        <v>2151</v>
      </c>
      <c r="G22" s="33" t="s">
        <v>2149</v>
      </c>
      <c r="H22" s="32"/>
    </row>
    <row r="23" spans="1:8" ht="29" x14ac:dyDescent="0.35">
      <c r="A23" s="31" t="s">
        <v>158</v>
      </c>
      <c r="B23" s="32" t="s">
        <v>159</v>
      </c>
      <c r="C23" s="32" t="s">
        <v>160</v>
      </c>
      <c r="D23" s="32" t="s">
        <v>2149</v>
      </c>
      <c r="E23" s="32" t="s">
        <v>2150</v>
      </c>
      <c r="F23" s="32" t="s">
        <v>2151</v>
      </c>
      <c r="G23" s="33" t="s">
        <v>2149</v>
      </c>
      <c r="H23" s="32"/>
    </row>
    <row r="24" spans="1:8" ht="29" x14ac:dyDescent="0.35">
      <c r="A24" s="31" t="s">
        <v>163</v>
      </c>
      <c r="B24" s="32" t="s">
        <v>152</v>
      </c>
      <c r="C24" s="32" t="s">
        <v>164</v>
      </c>
      <c r="D24" s="32" t="s">
        <v>2149</v>
      </c>
      <c r="E24" s="32" t="s">
        <v>2150</v>
      </c>
      <c r="F24" s="32" t="s">
        <v>2151</v>
      </c>
      <c r="G24" s="33" t="s">
        <v>2149</v>
      </c>
      <c r="H24" s="32"/>
    </row>
    <row r="25" spans="1:8" ht="29" x14ac:dyDescent="0.35">
      <c r="A25" s="31" t="s">
        <v>167</v>
      </c>
      <c r="B25" s="32" t="s">
        <v>152</v>
      </c>
      <c r="C25" s="32" t="s">
        <v>168</v>
      </c>
      <c r="D25" s="32" t="s">
        <v>2149</v>
      </c>
      <c r="E25" s="32" t="s">
        <v>2150</v>
      </c>
      <c r="F25" s="32" t="s">
        <v>2151</v>
      </c>
      <c r="G25" s="33" t="s">
        <v>2149</v>
      </c>
      <c r="H25" s="32"/>
    </row>
    <row r="26" spans="1:8" ht="29" x14ac:dyDescent="0.35">
      <c r="A26" s="31" t="s">
        <v>171</v>
      </c>
      <c r="B26" s="32" t="s">
        <v>172</v>
      </c>
      <c r="C26" s="32" t="s">
        <v>173</v>
      </c>
      <c r="D26" s="32" t="s">
        <v>2149</v>
      </c>
      <c r="E26" s="32" t="s">
        <v>2150</v>
      </c>
      <c r="F26" s="32" t="s">
        <v>2151</v>
      </c>
      <c r="G26" s="33" t="s">
        <v>2149</v>
      </c>
      <c r="H26" s="32"/>
    </row>
    <row r="27" spans="1:8" ht="29" x14ac:dyDescent="0.35">
      <c r="A27" s="31" t="s">
        <v>177</v>
      </c>
      <c r="B27" s="32" t="s">
        <v>172</v>
      </c>
      <c r="C27" s="32" t="s">
        <v>179</v>
      </c>
      <c r="D27" s="32" t="s">
        <v>2149</v>
      </c>
      <c r="E27" s="32" t="s">
        <v>2150</v>
      </c>
      <c r="F27" s="32" t="s">
        <v>2151</v>
      </c>
      <c r="G27" s="33" t="s">
        <v>2149</v>
      </c>
      <c r="H27" s="32"/>
    </row>
    <row r="28" spans="1:8" ht="29" x14ac:dyDescent="0.35">
      <c r="A28" s="31" t="s">
        <v>185</v>
      </c>
      <c r="B28" s="32" t="s">
        <v>183</v>
      </c>
      <c r="C28" s="32" t="s">
        <v>184</v>
      </c>
      <c r="D28" s="32" t="s">
        <v>2149</v>
      </c>
      <c r="E28" s="32" t="s">
        <v>2150</v>
      </c>
      <c r="F28" s="32" t="s">
        <v>2151</v>
      </c>
      <c r="G28" s="33" t="s">
        <v>2149</v>
      </c>
      <c r="H28" s="32"/>
    </row>
    <row r="29" spans="1:8" ht="29" x14ac:dyDescent="0.35">
      <c r="A29" s="31" t="s">
        <v>189</v>
      </c>
      <c r="B29" s="32" t="s">
        <v>183</v>
      </c>
      <c r="C29" s="32" t="s">
        <v>188</v>
      </c>
      <c r="D29" s="32" t="s">
        <v>2149</v>
      </c>
      <c r="E29" s="32" t="s">
        <v>2150</v>
      </c>
      <c r="F29" s="32" t="s">
        <v>2151</v>
      </c>
      <c r="G29" s="33" t="s">
        <v>2149</v>
      </c>
      <c r="H29" s="32"/>
    </row>
    <row r="30" spans="1:8" ht="29" x14ac:dyDescent="0.35">
      <c r="A30" s="31" t="s">
        <v>192</v>
      </c>
      <c r="B30" s="32" t="s">
        <v>172</v>
      </c>
      <c r="C30" s="32" t="s">
        <v>191</v>
      </c>
      <c r="D30" s="32" t="s">
        <v>2149</v>
      </c>
      <c r="E30" s="32" t="s">
        <v>2150</v>
      </c>
      <c r="F30" s="32" t="s">
        <v>2151</v>
      </c>
      <c r="G30" s="33" t="s">
        <v>2149</v>
      </c>
      <c r="H30" s="32"/>
    </row>
    <row r="31" spans="1:8" ht="29" x14ac:dyDescent="0.35">
      <c r="A31" s="31" t="s">
        <v>196</v>
      </c>
      <c r="B31" s="32" t="s">
        <v>194</v>
      </c>
      <c r="C31" s="32" t="s">
        <v>195</v>
      </c>
      <c r="D31" s="32" t="s">
        <v>2149</v>
      </c>
      <c r="E31" s="32" t="s">
        <v>2150</v>
      </c>
      <c r="F31" s="32" t="s">
        <v>2151</v>
      </c>
      <c r="G31" s="33" t="s">
        <v>2149</v>
      </c>
      <c r="H31" s="32"/>
    </row>
    <row r="32" spans="1:8" ht="29" x14ac:dyDescent="0.35">
      <c r="A32" s="31" t="s">
        <v>201</v>
      </c>
      <c r="B32" s="32" t="s">
        <v>194</v>
      </c>
      <c r="C32" s="32" t="s">
        <v>199</v>
      </c>
      <c r="D32" s="32" t="s">
        <v>2149</v>
      </c>
      <c r="E32" s="32" t="s">
        <v>2150</v>
      </c>
      <c r="F32" s="32" t="s">
        <v>2151</v>
      </c>
      <c r="G32" s="33" t="s">
        <v>2149</v>
      </c>
      <c r="H32" s="32"/>
    </row>
    <row r="33" spans="1:8" ht="29" x14ac:dyDescent="0.35">
      <c r="A33" s="31" t="s">
        <v>201</v>
      </c>
      <c r="B33" s="32" t="s">
        <v>202</v>
      </c>
      <c r="C33" s="32" t="s">
        <v>203</v>
      </c>
      <c r="D33" s="32" t="s">
        <v>2149</v>
      </c>
      <c r="E33" s="32" t="s">
        <v>2150</v>
      </c>
      <c r="F33" s="32" t="s">
        <v>2151</v>
      </c>
      <c r="G33" s="33" t="s">
        <v>2149</v>
      </c>
      <c r="H33" s="32"/>
    </row>
    <row r="34" spans="1:8" ht="29" x14ac:dyDescent="0.35">
      <c r="A34" s="31" t="s">
        <v>206</v>
      </c>
      <c r="B34" s="32" t="s">
        <v>208</v>
      </c>
      <c r="C34" s="32" t="s">
        <v>209</v>
      </c>
      <c r="D34" s="32" t="s">
        <v>2149</v>
      </c>
      <c r="E34" s="32" t="s">
        <v>2150</v>
      </c>
      <c r="F34" s="32" t="s">
        <v>2151</v>
      </c>
      <c r="G34" s="33" t="s">
        <v>2149</v>
      </c>
      <c r="H34" s="32"/>
    </row>
    <row r="35" spans="1:8" ht="29" x14ac:dyDescent="0.35">
      <c r="A35" s="31" t="s">
        <v>213</v>
      </c>
      <c r="B35" s="32" t="s">
        <v>214</v>
      </c>
      <c r="C35" s="32" t="s">
        <v>215</v>
      </c>
      <c r="D35" s="32" t="s">
        <v>2149</v>
      </c>
      <c r="E35" s="32" t="s">
        <v>2150</v>
      </c>
      <c r="F35" s="32" t="s">
        <v>2151</v>
      </c>
      <c r="G35" s="33" t="s">
        <v>2149</v>
      </c>
      <c r="H35" s="32"/>
    </row>
    <row r="36" spans="1:8" ht="29" x14ac:dyDescent="0.35">
      <c r="A36" s="31" t="s">
        <v>218</v>
      </c>
      <c r="B36" s="32" t="s">
        <v>220</v>
      </c>
      <c r="C36" s="32" t="s">
        <v>221</v>
      </c>
      <c r="D36" s="32" t="s">
        <v>2149</v>
      </c>
      <c r="E36" s="32" t="s">
        <v>2150</v>
      </c>
      <c r="F36" s="32" t="s">
        <v>2151</v>
      </c>
      <c r="G36" s="33" t="s">
        <v>2149</v>
      </c>
      <c r="H36" s="32"/>
    </row>
    <row r="37" spans="1:8" ht="29" x14ac:dyDescent="0.35">
      <c r="A37" s="31" t="s">
        <v>225</v>
      </c>
      <c r="B37" s="32" t="s">
        <v>220</v>
      </c>
      <c r="C37" s="32" t="s">
        <v>227</v>
      </c>
      <c r="D37" s="32" t="s">
        <v>2149</v>
      </c>
      <c r="E37" s="32" t="s">
        <v>2150</v>
      </c>
      <c r="F37" s="32" t="s">
        <v>2151</v>
      </c>
      <c r="G37" s="33" t="s">
        <v>2149</v>
      </c>
      <c r="H37" s="32"/>
    </row>
    <row r="38" spans="1:8" ht="29" x14ac:dyDescent="0.35">
      <c r="A38" s="31" t="s">
        <v>230</v>
      </c>
      <c r="B38" s="32" t="s">
        <v>231</v>
      </c>
      <c r="C38" s="32" t="s">
        <v>232</v>
      </c>
      <c r="D38" s="32" t="s">
        <v>2149</v>
      </c>
      <c r="E38" s="32" t="s">
        <v>2150</v>
      </c>
      <c r="F38" s="32" t="s">
        <v>2151</v>
      </c>
      <c r="G38" s="33" t="s">
        <v>2149</v>
      </c>
      <c r="H38" s="32"/>
    </row>
    <row r="39" spans="1:8" ht="29" x14ac:dyDescent="0.35">
      <c r="A39" s="31" t="s">
        <v>235</v>
      </c>
      <c r="B39" s="32" t="s">
        <v>236</v>
      </c>
      <c r="C39" s="32" t="s">
        <v>237</v>
      </c>
      <c r="D39" s="32" t="s">
        <v>2149</v>
      </c>
      <c r="E39" s="32" t="s">
        <v>2150</v>
      </c>
      <c r="F39" s="32" t="s">
        <v>2151</v>
      </c>
      <c r="G39" s="33" t="s">
        <v>2149</v>
      </c>
      <c r="H39" s="32"/>
    </row>
    <row r="40" spans="1:8" ht="29" x14ac:dyDescent="0.35">
      <c r="A40" s="31" t="s">
        <v>241</v>
      </c>
      <c r="B40" s="32" t="s">
        <v>243</v>
      </c>
      <c r="C40" s="32" t="s">
        <v>244</v>
      </c>
      <c r="D40" s="32" t="s">
        <v>2149</v>
      </c>
      <c r="E40" s="32" t="s">
        <v>2150</v>
      </c>
      <c r="F40" s="32" t="s">
        <v>2151</v>
      </c>
      <c r="G40" s="33" t="s">
        <v>2149</v>
      </c>
      <c r="H40" s="32"/>
    </row>
    <row r="41" spans="1:8" ht="29" x14ac:dyDescent="0.35">
      <c r="A41" s="31" t="s">
        <v>247</v>
      </c>
      <c r="B41" s="32" t="s">
        <v>243</v>
      </c>
      <c r="C41" s="32" t="s">
        <v>248</v>
      </c>
      <c r="D41" s="32" t="s">
        <v>2149</v>
      </c>
      <c r="E41" s="32" t="s">
        <v>2150</v>
      </c>
      <c r="F41" s="32" t="s">
        <v>2151</v>
      </c>
      <c r="G41" s="33" t="s">
        <v>2149</v>
      </c>
      <c r="H41" s="32"/>
    </row>
    <row r="42" spans="1:8" ht="29" x14ac:dyDescent="0.35">
      <c r="A42" s="31" t="s">
        <v>251</v>
      </c>
      <c r="B42" s="32" t="s">
        <v>253</v>
      </c>
      <c r="C42" s="32" t="s">
        <v>254</v>
      </c>
      <c r="D42" s="32" t="s">
        <v>2149</v>
      </c>
      <c r="E42" s="32" t="s">
        <v>2150</v>
      </c>
      <c r="F42" s="32" t="s">
        <v>2151</v>
      </c>
      <c r="G42" s="33" t="s">
        <v>2149</v>
      </c>
      <c r="H42" s="32"/>
    </row>
    <row r="43" spans="1:8" ht="29" x14ac:dyDescent="0.35">
      <c r="A43" s="31" t="s">
        <v>260</v>
      </c>
      <c r="B43" s="32" t="s">
        <v>261</v>
      </c>
      <c r="C43" s="32" t="s">
        <v>262</v>
      </c>
      <c r="D43" s="32" t="s">
        <v>2149</v>
      </c>
      <c r="E43" s="32" t="s">
        <v>2150</v>
      </c>
      <c r="F43" s="32" t="s">
        <v>2151</v>
      </c>
      <c r="G43" s="33" t="s">
        <v>2149</v>
      </c>
      <c r="H43" s="32"/>
    </row>
    <row r="44" spans="1:8" ht="29" x14ac:dyDescent="0.35">
      <c r="A44" s="31" t="s">
        <v>266</v>
      </c>
      <c r="B44" s="32" t="s">
        <v>267</v>
      </c>
      <c r="C44" s="32" t="s">
        <v>268</v>
      </c>
      <c r="D44" s="32" t="s">
        <v>2149</v>
      </c>
      <c r="E44" s="32" t="s">
        <v>2150</v>
      </c>
      <c r="F44" s="32" t="s">
        <v>2151</v>
      </c>
      <c r="G44" s="33" t="s">
        <v>2149</v>
      </c>
      <c r="H44" s="32"/>
    </row>
    <row r="45" spans="1:8" ht="29" x14ac:dyDescent="0.35">
      <c r="A45" s="31" t="s">
        <v>272</v>
      </c>
      <c r="B45" s="32" t="s">
        <v>273</v>
      </c>
      <c r="C45" s="32" t="s">
        <v>274</v>
      </c>
      <c r="D45" s="32" t="s">
        <v>2149</v>
      </c>
      <c r="E45" s="32" t="s">
        <v>2150</v>
      </c>
      <c r="F45" s="32" t="s">
        <v>2151</v>
      </c>
      <c r="G45" s="33" t="s">
        <v>2149</v>
      </c>
      <c r="H45" s="32"/>
    </row>
    <row r="46" spans="1:8" ht="29" x14ac:dyDescent="0.35">
      <c r="A46" s="31" t="s">
        <v>278</v>
      </c>
      <c r="B46" s="32" t="s">
        <v>279</v>
      </c>
      <c r="C46" s="32" t="s">
        <v>280</v>
      </c>
      <c r="D46" s="32" t="s">
        <v>2149</v>
      </c>
      <c r="E46" s="32" t="s">
        <v>2150</v>
      </c>
      <c r="F46" s="32" t="s">
        <v>2151</v>
      </c>
      <c r="G46" s="33" t="s">
        <v>2149</v>
      </c>
      <c r="H46" s="32"/>
    </row>
    <row r="47" spans="1:8" ht="29" x14ac:dyDescent="0.35">
      <c r="A47" s="31" t="s">
        <v>283</v>
      </c>
      <c r="B47" s="32" t="s">
        <v>284</v>
      </c>
      <c r="C47" s="32" t="s">
        <v>285</v>
      </c>
      <c r="D47" s="32" t="s">
        <v>2149</v>
      </c>
      <c r="E47" s="32" t="s">
        <v>2150</v>
      </c>
      <c r="F47" s="32" t="s">
        <v>2151</v>
      </c>
      <c r="G47" s="33" t="s">
        <v>2149</v>
      </c>
      <c r="H47" s="32"/>
    </row>
    <row r="48" spans="1:8" ht="29" x14ac:dyDescent="0.35">
      <c r="A48" s="31" t="s">
        <v>288</v>
      </c>
      <c r="B48" s="32" t="s">
        <v>289</v>
      </c>
      <c r="C48" s="32" t="s">
        <v>290</v>
      </c>
      <c r="D48" s="32" t="s">
        <v>2149</v>
      </c>
      <c r="E48" s="32" t="s">
        <v>2150</v>
      </c>
      <c r="F48" s="32" t="s">
        <v>2151</v>
      </c>
      <c r="G48" s="33" t="s">
        <v>2149</v>
      </c>
      <c r="H48" s="32"/>
    </row>
    <row r="49" spans="1:8" ht="29" x14ac:dyDescent="0.35">
      <c r="A49" s="31" t="s">
        <v>295</v>
      </c>
      <c r="B49" s="32" t="s">
        <v>296</v>
      </c>
      <c r="C49" s="32" t="s">
        <v>297</v>
      </c>
      <c r="D49" s="32" t="s">
        <v>2149</v>
      </c>
      <c r="E49" s="32" t="s">
        <v>2150</v>
      </c>
      <c r="F49" s="32" t="s">
        <v>2151</v>
      </c>
      <c r="G49" s="33" t="s">
        <v>2149</v>
      </c>
      <c r="H49" s="32"/>
    </row>
    <row r="50" spans="1:8" ht="29" x14ac:dyDescent="0.35">
      <c r="A50" s="31" t="s">
        <v>300</v>
      </c>
      <c r="B50" s="32" t="s">
        <v>301</v>
      </c>
      <c r="C50" s="32" t="s">
        <v>302</v>
      </c>
      <c r="D50" s="32" t="s">
        <v>2149</v>
      </c>
      <c r="E50" s="32" t="s">
        <v>2150</v>
      </c>
      <c r="F50" s="32" t="s">
        <v>2151</v>
      </c>
      <c r="G50" s="33" t="s">
        <v>2149</v>
      </c>
      <c r="H50" s="32"/>
    </row>
    <row r="51" spans="1:8" ht="29" x14ac:dyDescent="0.35">
      <c r="A51" s="31" t="s">
        <v>305</v>
      </c>
      <c r="B51" s="32" t="s">
        <v>306</v>
      </c>
      <c r="C51" s="32" t="s">
        <v>307</v>
      </c>
      <c r="D51" s="32" t="s">
        <v>2149</v>
      </c>
      <c r="E51" s="32" t="s">
        <v>2150</v>
      </c>
      <c r="F51" s="32" t="s">
        <v>2151</v>
      </c>
      <c r="G51" s="33" t="s">
        <v>2149</v>
      </c>
      <c r="H51" s="32"/>
    </row>
    <row r="52" spans="1:8" ht="29" x14ac:dyDescent="0.35">
      <c r="A52" s="31" t="s">
        <v>310</v>
      </c>
      <c r="B52" s="32" t="s">
        <v>311</v>
      </c>
      <c r="C52" s="32" t="s">
        <v>312</v>
      </c>
      <c r="D52" s="32" t="s">
        <v>2149</v>
      </c>
      <c r="E52" s="32" t="s">
        <v>2150</v>
      </c>
      <c r="F52" s="32" t="s">
        <v>2151</v>
      </c>
      <c r="G52" s="33" t="s">
        <v>2149</v>
      </c>
      <c r="H52" s="32"/>
    </row>
    <row r="53" spans="1:8" ht="29" x14ac:dyDescent="0.35">
      <c r="A53" s="31" t="s">
        <v>315</v>
      </c>
      <c r="B53" s="32" t="s">
        <v>316</v>
      </c>
      <c r="C53" s="32" t="s">
        <v>317</v>
      </c>
      <c r="D53" s="32" t="s">
        <v>2149</v>
      </c>
      <c r="E53" s="32" t="s">
        <v>2150</v>
      </c>
      <c r="F53" s="32" t="s">
        <v>2151</v>
      </c>
      <c r="G53" s="33" t="s">
        <v>2149</v>
      </c>
      <c r="H53" s="32"/>
    </row>
    <row r="54" spans="1:8" ht="29" x14ac:dyDescent="0.35">
      <c r="A54" s="31" t="s">
        <v>320</v>
      </c>
      <c r="B54" s="32" t="s">
        <v>321</v>
      </c>
      <c r="C54" s="32" t="s">
        <v>322</v>
      </c>
      <c r="D54" s="32" t="s">
        <v>2149</v>
      </c>
      <c r="E54" s="32" t="s">
        <v>2150</v>
      </c>
      <c r="F54" s="32" t="s">
        <v>2151</v>
      </c>
      <c r="G54" s="33" t="s">
        <v>2149</v>
      </c>
      <c r="H54" s="32"/>
    </row>
    <row r="55" spans="1:8" ht="29" x14ac:dyDescent="0.35">
      <c r="A55" s="31" t="s">
        <v>325</v>
      </c>
      <c r="B55" s="32" t="s">
        <v>326</v>
      </c>
      <c r="C55" s="32" t="s">
        <v>327</v>
      </c>
      <c r="D55" s="32" t="s">
        <v>2149</v>
      </c>
      <c r="E55" s="32" t="s">
        <v>2150</v>
      </c>
      <c r="F55" s="32" t="s">
        <v>2151</v>
      </c>
      <c r="G55" s="33" t="s">
        <v>2149</v>
      </c>
      <c r="H55" s="32"/>
    </row>
    <row r="56" spans="1:8" ht="29" x14ac:dyDescent="0.35">
      <c r="A56" s="31" t="s">
        <v>330</v>
      </c>
      <c r="B56" s="32" t="s">
        <v>331</v>
      </c>
      <c r="C56" s="32" t="s">
        <v>332</v>
      </c>
      <c r="D56" s="32" t="s">
        <v>2149</v>
      </c>
      <c r="E56" s="32" t="s">
        <v>2150</v>
      </c>
      <c r="F56" s="32" t="s">
        <v>2151</v>
      </c>
      <c r="G56" s="33" t="s">
        <v>2149</v>
      </c>
      <c r="H56" s="32"/>
    </row>
    <row r="57" spans="1:8" ht="29" x14ac:dyDescent="0.35">
      <c r="A57" s="31" t="s">
        <v>335</v>
      </c>
      <c r="B57" s="32" t="s">
        <v>336</v>
      </c>
      <c r="C57" s="32" t="s">
        <v>337</v>
      </c>
      <c r="D57" s="32" t="s">
        <v>2149</v>
      </c>
      <c r="E57" s="32" t="s">
        <v>2150</v>
      </c>
      <c r="F57" s="32" t="s">
        <v>2151</v>
      </c>
      <c r="G57" s="33" t="s">
        <v>2149</v>
      </c>
      <c r="H57" s="32"/>
    </row>
    <row r="58" spans="1:8" ht="29" x14ac:dyDescent="0.35">
      <c r="A58" s="31" t="s">
        <v>340</v>
      </c>
      <c r="B58" s="32" t="s">
        <v>341</v>
      </c>
      <c r="C58" s="32" t="s">
        <v>342</v>
      </c>
      <c r="D58" s="32" t="s">
        <v>2149</v>
      </c>
      <c r="E58" s="32" t="s">
        <v>2150</v>
      </c>
      <c r="F58" s="32" t="s">
        <v>2151</v>
      </c>
      <c r="G58" s="33" t="s">
        <v>2149</v>
      </c>
      <c r="H58" s="32"/>
    </row>
    <row r="59" spans="1:8" ht="29" x14ac:dyDescent="0.35">
      <c r="A59" s="31" t="s">
        <v>345</v>
      </c>
      <c r="B59" s="32" t="s">
        <v>346</v>
      </c>
      <c r="C59" s="32" t="s">
        <v>347</v>
      </c>
      <c r="D59" s="32" t="s">
        <v>2149</v>
      </c>
      <c r="E59" s="32" t="s">
        <v>2150</v>
      </c>
      <c r="F59" s="32" t="s">
        <v>2151</v>
      </c>
      <c r="G59" s="33" t="s">
        <v>2149</v>
      </c>
      <c r="H59" s="32"/>
    </row>
    <row r="60" spans="1:8" ht="29" x14ac:dyDescent="0.35">
      <c r="A60" s="31" t="s">
        <v>350</v>
      </c>
      <c r="B60" s="32" t="s">
        <v>352</v>
      </c>
      <c r="C60" s="32" t="s">
        <v>353</v>
      </c>
      <c r="D60" s="32" t="s">
        <v>2149</v>
      </c>
      <c r="E60" s="32" t="s">
        <v>2150</v>
      </c>
      <c r="F60" s="32" t="s">
        <v>2151</v>
      </c>
      <c r="G60" s="33" t="s">
        <v>2149</v>
      </c>
      <c r="H60" s="32"/>
    </row>
    <row r="61" spans="1:8" ht="29" x14ac:dyDescent="0.35">
      <c r="A61" s="31" t="s">
        <v>356</v>
      </c>
      <c r="B61" s="32" t="s">
        <v>357</v>
      </c>
      <c r="C61" s="32" t="s">
        <v>358</v>
      </c>
      <c r="D61" s="32" t="s">
        <v>2149</v>
      </c>
      <c r="E61" s="32" t="s">
        <v>2150</v>
      </c>
      <c r="F61" s="32" t="s">
        <v>2151</v>
      </c>
      <c r="G61" s="33" t="s">
        <v>2149</v>
      </c>
      <c r="H61" s="32"/>
    </row>
    <row r="62" spans="1:8" ht="29" x14ac:dyDescent="0.35">
      <c r="A62" s="31" t="s">
        <v>361</v>
      </c>
      <c r="B62" s="32" t="s">
        <v>362</v>
      </c>
      <c r="C62" s="32" t="s">
        <v>363</v>
      </c>
      <c r="D62" s="32" t="s">
        <v>2149</v>
      </c>
      <c r="E62" s="32" t="s">
        <v>2150</v>
      </c>
      <c r="F62" s="32" t="s">
        <v>2151</v>
      </c>
      <c r="G62" s="33" t="s">
        <v>2149</v>
      </c>
      <c r="H62" s="32"/>
    </row>
    <row r="63" spans="1:8" ht="29" x14ac:dyDescent="0.35">
      <c r="A63" s="31" t="s">
        <v>366</v>
      </c>
      <c r="B63" s="32" t="s">
        <v>367</v>
      </c>
      <c r="C63" s="32" t="s">
        <v>368</v>
      </c>
      <c r="D63" s="32" t="s">
        <v>2149</v>
      </c>
      <c r="E63" s="32" t="s">
        <v>2150</v>
      </c>
      <c r="F63" s="32" t="s">
        <v>2151</v>
      </c>
      <c r="G63" s="33" t="s">
        <v>2149</v>
      </c>
      <c r="H63" s="32"/>
    </row>
    <row r="64" spans="1:8" ht="29" x14ac:dyDescent="0.35">
      <c r="A64" s="31" t="s">
        <v>371</v>
      </c>
      <c r="B64" s="32" t="s">
        <v>372</v>
      </c>
      <c r="C64" s="32" t="s">
        <v>373</v>
      </c>
      <c r="D64" s="32" t="s">
        <v>2149</v>
      </c>
      <c r="E64" s="32" t="s">
        <v>2150</v>
      </c>
      <c r="F64" s="32" t="s">
        <v>2151</v>
      </c>
      <c r="G64" s="33" t="s">
        <v>2149</v>
      </c>
      <c r="H64" s="32"/>
    </row>
    <row r="65" spans="1:8" ht="29" x14ac:dyDescent="0.35">
      <c r="A65" s="31" t="s">
        <v>376</v>
      </c>
      <c r="B65" s="32" t="s">
        <v>377</v>
      </c>
      <c r="C65" s="32" t="s">
        <v>378</v>
      </c>
      <c r="D65" s="32" t="s">
        <v>2149</v>
      </c>
      <c r="E65" s="32" t="s">
        <v>2150</v>
      </c>
      <c r="F65" s="32" t="s">
        <v>2151</v>
      </c>
      <c r="G65" s="33" t="s">
        <v>2149</v>
      </c>
      <c r="H65" s="32"/>
    </row>
    <row r="66" spans="1:8" ht="29" x14ac:dyDescent="0.35">
      <c r="A66" s="31" t="s">
        <v>381</v>
      </c>
      <c r="B66" s="32" t="s">
        <v>382</v>
      </c>
      <c r="C66" s="32" t="s">
        <v>383</v>
      </c>
      <c r="D66" s="32" t="s">
        <v>2149</v>
      </c>
      <c r="E66" s="32" t="s">
        <v>2150</v>
      </c>
      <c r="F66" s="32" t="s">
        <v>2151</v>
      </c>
      <c r="G66" s="33" t="s">
        <v>2149</v>
      </c>
      <c r="H66" s="32"/>
    </row>
    <row r="67" spans="1:8" ht="29" x14ac:dyDescent="0.35">
      <c r="A67" s="31" t="s">
        <v>386</v>
      </c>
      <c r="B67" s="32" t="s">
        <v>387</v>
      </c>
      <c r="C67" s="32" t="s">
        <v>388</v>
      </c>
      <c r="D67" s="32" t="s">
        <v>2149</v>
      </c>
      <c r="E67" s="32" t="s">
        <v>2150</v>
      </c>
      <c r="F67" s="32" t="s">
        <v>2151</v>
      </c>
      <c r="G67" s="33" t="s">
        <v>2149</v>
      </c>
      <c r="H67" s="32"/>
    </row>
    <row r="68" spans="1:8" ht="29" x14ac:dyDescent="0.35">
      <c r="A68" s="31" t="s">
        <v>391</v>
      </c>
      <c r="B68" s="32" t="s">
        <v>392</v>
      </c>
      <c r="C68" s="32" t="s">
        <v>393</v>
      </c>
      <c r="D68" s="32" t="s">
        <v>2149</v>
      </c>
      <c r="E68" s="32" t="s">
        <v>2150</v>
      </c>
      <c r="F68" s="32" t="s">
        <v>2151</v>
      </c>
      <c r="G68" s="33" t="s">
        <v>2149</v>
      </c>
      <c r="H68" s="32"/>
    </row>
    <row r="69" spans="1:8" ht="29" x14ac:dyDescent="0.35">
      <c r="A69" s="31" t="s">
        <v>396</v>
      </c>
      <c r="B69" s="32" t="s">
        <v>397</v>
      </c>
      <c r="C69" s="32" t="s">
        <v>398</v>
      </c>
      <c r="D69" s="32" t="s">
        <v>2149</v>
      </c>
      <c r="E69" s="32" t="s">
        <v>2150</v>
      </c>
      <c r="F69" s="32" t="s">
        <v>2151</v>
      </c>
      <c r="G69" s="33" t="s">
        <v>2149</v>
      </c>
      <c r="H69" s="32"/>
    </row>
    <row r="70" spans="1:8" ht="29" x14ac:dyDescent="0.35">
      <c r="A70" s="31" t="s">
        <v>401</v>
      </c>
      <c r="B70" s="32" t="s">
        <v>402</v>
      </c>
      <c r="C70" s="32" t="s">
        <v>403</v>
      </c>
      <c r="D70" s="32" t="s">
        <v>2149</v>
      </c>
      <c r="E70" s="32" t="s">
        <v>2150</v>
      </c>
      <c r="F70" s="32" t="s">
        <v>2151</v>
      </c>
      <c r="G70" s="33" t="s">
        <v>2149</v>
      </c>
      <c r="H70" s="32"/>
    </row>
    <row r="71" spans="1:8" ht="29" x14ac:dyDescent="0.35">
      <c r="A71" s="31" t="s">
        <v>406</v>
      </c>
      <c r="B71" s="32" t="s">
        <v>407</v>
      </c>
      <c r="C71" s="32" t="s">
        <v>408</v>
      </c>
      <c r="D71" s="32" t="s">
        <v>2149</v>
      </c>
      <c r="E71" s="32" t="s">
        <v>2150</v>
      </c>
      <c r="F71" s="32" t="s">
        <v>2151</v>
      </c>
      <c r="G71" s="33" t="s">
        <v>2149</v>
      </c>
      <c r="H71" s="32"/>
    </row>
    <row r="72" spans="1:8" ht="29" x14ac:dyDescent="0.35">
      <c r="A72" s="31" t="s">
        <v>411</v>
      </c>
      <c r="B72" s="32" t="s">
        <v>412</v>
      </c>
      <c r="C72" s="32" t="s">
        <v>413</v>
      </c>
      <c r="D72" s="32" t="s">
        <v>2149</v>
      </c>
      <c r="E72" s="32" t="s">
        <v>2150</v>
      </c>
      <c r="F72" s="32" t="s">
        <v>2151</v>
      </c>
      <c r="G72" s="33" t="s">
        <v>2149</v>
      </c>
      <c r="H72" s="32"/>
    </row>
    <row r="73" spans="1:8" ht="29" x14ac:dyDescent="0.35">
      <c r="A73" s="31" t="s">
        <v>416</v>
      </c>
      <c r="B73" s="32" t="s">
        <v>417</v>
      </c>
      <c r="C73" s="32" t="s">
        <v>418</v>
      </c>
      <c r="D73" s="32" t="s">
        <v>2149</v>
      </c>
      <c r="E73" s="32" t="s">
        <v>2150</v>
      </c>
      <c r="F73" s="32" t="s">
        <v>2151</v>
      </c>
      <c r="G73" s="33" t="s">
        <v>2149</v>
      </c>
      <c r="H73" s="32"/>
    </row>
    <row r="74" spans="1:8" ht="29" x14ac:dyDescent="0.35">
      <c r="A74" s="31" t="s">
        <v>421</v>
      </c>
      <c r="B74" s="32" t="s">
        <v>422</v>
      </c>
      <c r="C74" s="32" t="s">
        <v>423</v>
      </c>
      <c r="D74" s="32" t="s">
        <v>2149</v>
      </c>
      <c r="E74" s="32" t="s">
        <v>2150</v>
      </c>
      <c r="F74" s="32" t="s">
        <v>2151</v>
      </c>
      <c r="G74" s="33" t="s">
        <v>2149</v>
      </c>
      <c r="H74" s="32"/>
    </row>
    <row r="75" spans="1:8" ht="29" x14ac:dyDescent="0.35">
      <c r="A75" s="31" t="s">
        <v>426</v>
      </c>
      <c r="B75" s="32" t="s">
        <v>427</v>
      </c>
      <c r="C75" s="32" t="s">
        <v>428</v>
      </c>
      <c r="D75" s="32" t="s">
        <v>2149</v>
      </c>
      <c r="E75" s="32" t="s">
        <v>2150</v>
      </c>
      <c r="F75" s="32" t="s">
        <v>2151</v>
      </c>
      <c r="G75" s="33" t="s">
        <v>2149</v>
      </c>
      <c r="H75" s="32"/>
    </row>
    <row r="76" spans="1:8" ht="29" x14ac:dyDescent="0.35">
      <c r="A76" s="31" t="s">
        <v>431</v>
      </c>
      <c r="B76" s="32" t="s">
        <v>427</v>
      </c>
      <c r="C76" s="32" t="s">
        <v>432</v>
      </c>
      <c r="D76" s="32" t="s">
        <v>2149</v>
      </c>
      <c r="E76" s="32" t="s">
        <v>2150</v>
      </c>
      <c r="F76" s="32" t="s">
        <v>2151</v>
      </c>
      <c r="G76" s="33" t="s">
        <v>2149</v>
      </c>
      <c r="H76" s="32"/>
    </row>
    <row r="77" spans="1:8" ht="29" x14ac:dyDescent="0.35">
      <c r="A77" s="31" t="s">
        <v>434</v>
      </c>
      <c r="B77" s="32" t="s">
        <v>427</v>
      </c>
      <c r="C77" s="32" t="s">
        <v>435</v>
      </c>
      <c r="D77" s="32" t="s">
        <v>2149</v>
      </c>
      <c r="E77" s="32" t="s">
        <v>2150</v>
      </c>
      <c r="F77" s="32" t="s">
        <v>2151</v>
      </c>
      <c r="G77" s="33" t="s">
        <v>2149</v>
      </c>
      <c r="H77" s="32"/>
    </row>
    <row r="78" spans="1:8" ht="29" x14ac:dyDescent="0.35">
      <c r="A78" s="31" t="s">
        <v>437</v>
      </c>
      <c r="B78" s="32" t="s">
        <v>427</v>
      </c>
      <c r="C78" s="32" t="s">
        <v>438</v>
      </c>
      <c r="D78" s="32" t="s">
        <v>2149</v>
      </c>
      <c r="E78" s="32" t="s">
        <v>2150</v>
      </c>
      <c r="F78" s="32" t="s">
        <v>2151</v>
      </c>
      <c r="G78" s="33" t="s">
        <v>2149</v>
      </c>
      <c r="H78" s="32"/>
    </row>
    <row r="79" spans="1:8" ht="29" x14ac:dyDescent="0.35">
      <c r="A79" s="31" t="s">
        <v>440</v>
      </c>
      <c r="B79" s="32" t="s">
        <v>441</v>
      </c>
      <c r="C79" s="32" t="s">
        <v>442</v>
      </c>
      <c r="D79" s="32" t="s">
        <v>2149</v>
      </c>
      <c r="E79" s="32" t="s">
        <v>2150</v>
      </c>
      <c r="F79" s="32" t="s">
        <v>2151</v>
      </c>
      <c r="G79" s="33" t="s">
        <v>2149</v>
      </c>
      <c r="H79" s="32"/>
    </row>
    <row r="80" spans="1:8" ht="29" x14ac:dyDescent="0.35">
      <c r="A80" s="31" t="s">
        <v>445</v>
      </c>
      <c r="B80" s="32" t="s">
        <v>448</v>
      </c>
      <c r="C80" s="32" t="s">
        <v>449</v>
      </c>
      <c r="D80" s="32" t="s">
        <v>2149</v>
      </c>
      <c r="E80" s="32" t="s">
        <v>2150</v>
      </c>
      <c r="F80" s="32" t="s">
        <v>2151</v>
      </c>
      <c r="G80" s="33" t="s">
        <v>2149</v>
      </c>
      <c r="H80" s="32"/>
    </row>
    <row r="81" spans="1:8" ht="29" x14ac:dyDescent="0.35">
      <c r="A81" s="31" t="s">
        <v>453</v>
      </c>
      <c r="B81" s="32" t="s">
        <v>455</v>
      </c>
      <c r="C81" s="32" t="s">
        <v>456</v>
      </c>
      <c r="D81" s="32" t="s">
        <v>2149</v>
      </c>
      <c r="E81" s="32" t="s">
        <v>2150</v>
      </c>
      <c r="F81" s="32" t="s">
        <v>2151</v>
      </c>
      <c r="G81" s="33" t="s">
        <v>2149</v>
      </c>
      <c r="H81" s="32"/>
    </row>
    <row r="82" spans="1:8" ht="29" x14ac:dyDescent="0.35">
      <c r="A82" s="31" t="s">
        <v>460</v>
      </c>
      <c r="B82" s="32" t="s">
        <v>462</v>
      </c>
      <c r="C82" s="32" t="s">
        <v>463</v>
      </c>
      <c r="D82" s="32" t="s">
        <v>2149</v>
      </c>
      <c r="E82" s="32" t="s">
        <v>2150</v>
      </c>
      <c r="F82" s="32" t="s">
        <v>2151</v>
      </c>
      <c r="G82" s="33" t="s">
        <v>2149</v>
      </c>
      <c r="H82" s="32"/>
    </row>
    <row r="83" spans="1:8" ht="29" x14ac:dyDescent="0.35">
      <c r="A83" s="31" t="s">
        <v>467</v>
      </c>
      <c r="B83" s="32" t="s">
        <v>468</v>
      </c>
      <c r="C83" s="32" t="s">
        <v>471</v>
      </c>
      <c r="D83" s="32" t="s">
        <v>2149</v>
      </c>
      <c r="E83" s="32" t="s">
        <v>2150</v>
      </c>
      <c r="F83" s="32" t="s">
        <v>2151</v>
      </c>
      <c r="G83" s="33" t="s">
        <v>2149</v>
      </c>
      <c r="H83" s="32"/>
    </row>
    <row r="84" spans="1:8" ht="29" x14ac:dyDescent="0.35">
      <c r="A84" s="31" t="s">
        <v>476</v>
      </c>
      <c r="B84" s="32" t="s">
        <v>468</v>
      </c>
      <c r="C84" s="32" t="s">
        <v>478</v>
      </c>
      <c r="D84" s="32" t="s">
        <v>2149</v>
      </c>
      <c r="E84" s="32" t="s">
        <v>2150</v>
      </c>
      <c r="F84" s="32" t="s">
        <v>2151</v>
      </c>
      <c r="G84" s="33" t="s">
        <v>2149</v>
      </c>
      <c r="H84" s="32"/>
    </row>
    <row r="85" spans="1:8" ht="29" x14ac:dyDescent="0.35">
      <c r="A85" s="31" t="s">
        <v>481</v>
      </c>
      <c r="B85" s="32" t="s">
        <v>468</v>
      </c>
      <c r="C85" s="32" t="s">
        <v>483</v>
      </c>
      <c r="D85" s="32" t="s">
        <v>2149</v>
      </c>
      <c r="E85" s="32" t="s">
        <v>2150</v>
      </c>
      <c r="F85" s="32" t="s">
        <v>2151</v>
      </c>
      <c r="G85" s="33" t="s">
        <v>2149</v>
      </c>
      <c r="H85" s="32"/>
    </row>
    <row r="86" spans="1:8" ht="29" x14ac:dyDescent="0.35">
      <c r="A86" s="31" t="s">
        <v>486</v>
      </c>
      <c r="B86" s="32" t="s">
        <v>468</v>
      </c>
      <c r="C86" s="32" t="s">
        <v>488</v>
      </c>
      <c r="D86" s="32" t="s">
        <v>2149</v>
      </c>
      <c r="E86" s="32" t="s">
        <v>2150</v>
      </c>
      <c r="F86" s="32" t="s">
        <v>2151</v>
      </c>
      <c r="G86" s="33" t="s">
        <v>2149</v>
      </c>
      <c r="H86" s="32"/>
    </row>
    <row r="87" spans="1:8" ht="29" x14ac:dyDescent="0.35">
      <c r="A87" s="31" t="s">
        <v>491</v>
      </c>
      <c r="B87" s="32" t="s">
        <v>468</v>
      </c>
      <c r="C87" s="32" t="s">
        <v>493</v>
      </c>
      <c r="D87" s="32" t="s">
        <v>2149</v>
      </c>
      <c r="E87" s="32" t="s">
        <v>2150</v>
      </c>
      <c r="F87" s="32" t="s">
        <v>2151</v>
      </c>
      <c r="G87" s="33" t="s">
        <v>2149</v>
      </c>
      <c r="H87" s="32"/>
    </row>
    <row r="88" spans="1:8" ht="29" x14ac:dyDescent="0.35">
      <c r="A88" s="31" t="s">
        <v>496</v>
      </c>
      <c r="B88" s="32" t="s">
        <v>468</v>
      </c>
      <c r="C88" s="32" t="s">
        <v>498</v>
      </c>
      <c r="D88" s="32" t="s">
        <v>2149</v>
      </c>
      <c r="E88" s="32" t="s">
        <v>2150</v>
      </c>
      <c r="F88" s="32" t="s">
        <v>2151</v>
      </c>
      <c r="G88" s="33" t="s">
        <v>2149</v>
      </c>
      <c r="H88" s="32"/>
    </row>
    <row r="89" spans="1:8" ht="29" x14ac:dyDescent="0.35">
      <c r="A89" s="31" t="s">
        <v>501</v>
      </c>
      <c r="B89" s="32" t="s">
        <v>468</v>
      </c>
      <c r="C89" s="32" t="s">
        <v>503</v>
      </c>
      <c r="D89" s="32" t="s">
        <v>2149</v>
      </c>
      <c r="E89" s="32" t="s">
        <v>2150</v>
      </c>
      <c r="F89" s="32" t="s">
        <v>2151</v>
      </c>
      <c r="G89" s="33" t="s">
        <v>2149</v>
      </c>
      <c r="H89" s="32"/>
    </row>
    <row r="90" spans="1:8" ht="29" x14ac:dyDescent="0.35">
      <c r="A90" s="31" t="s">
        <v>506</v>
      </c>
      <c r="B90" s="32" t="s">
        <v>468</v>
      </c>
      <c r="C90" s="32" t="s">
        <v>508</v>
      </c>
      <c r="D90" s="32" t="s">
        <v>2149</v>
      </c>
      <c r="E90" s="32" t="s">
        <v>2150</v>
      </c>
      <c r="F90" s="32" t="s">
        <v>2151</v>
      </c>
      <c r="G90" s="33" t="s">
        <v>2149</v>
      </c>
      <c r="H90" s="32"/>
    </row>
    <row r="91" spans="1:8" ht="29" x14ac:dyDescent="0.35">
      <c r="A91" s="31" t="s">
        <v>511</v>
      </c>
      <c r="B91" s="32" t="s">
        <v>468</v>
      </c>
      <c r="C91" s="32" t="s">
        <v>513</v>
      </c>
      <c r="D91" s="32" t="s">
        <v>2149</v>
      </c>
      <c r="E91" s="32" t="s">
        <v>2150</v>
      </c>
      <c r="F91" s="32" t="s">
        <v>2151</v>
      </c>
      <c r="G91" s="33" t="s">
        <v>2149</v>
      </c>
      <c r="H91" s="32"/>
    </row>
    <row r="92" spans="1:8" ht="29" x14ac:dyDescent="0.35">
      <c r="A92" s="31" t="s">
        <v>516</v>
      </c>
      <c r="B92" s="32" t="s">
        <v>518</v>
      </c>
      <c r="C92" s="32" t="s">
        <v>519</v>
      </c>
      <c r="D92" s="32" t="s">
        <v>2149</v>
      </c>
      <c r="E92" s="32" t="s">
        <v>2150</v>
      </c>
      <c r="F92" s="32" t="s">
        <v>2151</v>
      </c>
      <c r="G92" s="33" t="s">
        <v>2149</v>
      </c>
      <c r="H92" s="32"/>
    </row>
    <row r="93" spans="1:8" ht="29" x14ac:dyDescent="0.35">
      <c r="A93" s="31" t="s">
        <v>523</v>
      </c>
      <c r="B93" s="32" t="s">
        <v>525</v>
      </c>
      <c r="C93" s="32" t="s">
        <v>527</v>
      </c>
      <c r="D93" s="32" t="s">
        <v>2149</v>
      </c>
      <c r="E93" s="32" t="s">
        <v>2150</v>
      </c>
      <c r="F93" s="32" t="s">
        <v>2151</v>
      </c>
      <c r="G93" s="33" t="s">
        <v>2149</v>
      </c>
      <c r="H93" s="32"/>
    </row>
    <row r="94" spans="1:8" ht="29" x14ac:dyDescent="0.35">
      <c r="A94" s="31" t="s">
        <v>531</v>
      </c>
      <c r="B94" s="32" t="s">
        <v>532</v>
      </c>
      <c r="C94" s="32" t="s">
        <v>533</v>
      </c>
      <c r="D94" s="32" t="s">
        <v>2149</v>
      </c>
      <c r="E94" s="32" t="s">
        <v>2150</v>
      </c>
      <c r="F94" s="32" t="s">
        <v>2151</v>
      </c>
      <c r="G94" s="33" t="s">
        <v>2149</v>
      </c>
      <c r="H94" s="32"/>
    </row>
    <row r="95" spans="1:8" ht="29" x14ac:dyDescent="0.35">
      <c r="A95" s="31" t="s">
        <v>538</v>
      </c>
      <c r="B95" s="32" t="s">
        <v>532</v>
      </c>
      <c r="C95" s="32" t="s">
        <v>539</v>
      </c>
      <c r="D95" s="32" t="s">
        <v>2149</v>
      </c>
      <c r="E95" s="32" t="s">
        <v>2150</v>
      </c>
      <c r="F95" s="32" t="s">
        <v>2151</v>
      </c>
      <c r="G95" s="33" t="s">
        <v>2149</v>
      </c>
      <c r="H95" s="32"/>
    </row>
    <row r="96" spans="1:8" ht="29" x14ac:dyDescent="0.35">
      <c r="A96" s="31" t="s">
        <v>542</v>
      </c>
      <c r="B96" s="32" t="s">
        <v>532</v>
      </c>
      <c r="C96" s="32" t="s">
        <v>544</v>
      </c>
      <c r="D96" s="32" t="s">
        <v>2149</v>
      </c>
      <c r="E96" s="32" t="s">
        <v>2150</v>
      </c>
      <c r="F96" s="32" t="s">
        <v>2151</v>
      </c>
      <c r="G96" s="33" t="s">
        <v>2149</v>
      </c>
      <c r="H96" s="32"/>
    </row>
    <row r="97" spans="1:8" ht="29" x14ac:dyDescent="0.35">
      <c r="A97" s="31" t="s">
        <v>547</v>
      </c>
      <c r="B97" s="32" t="s">
        <v>532</v>
      </c>
      <c r="C97" s="32" t="s">
        <v>548</v>
      </c>
      <c r="D97" s="32" t="s">
        <v>2149</v>
      </c>
      <c r="E97" s="32" t="s">
        <v>2150</v>
      </c>
      <c r="F97" s="32" t="s">
        <v>2151</v>
      </c>
      <c r="G97" s="33" t="s">
        <v>2149</v>
      </c>
      <c r="H97" s="32"/>
    </row>
    <row r="98" spans="1:8" ht="29" x14ac:dyDescent="0.35">
      <c r="A98" s="31" t="s">
        <v>551</v>
      </c>
      <c r="B98" s="32" t="s">
        <v>532</v>
      </c>
      <c r="C98" s="32" t="s">
        <v>553</v>
      </c>
      <c r="D98" s="32" t="s">
        <v>2149</v>
      </c>
      <c r="E98" s="32" t="s">
        <v>2150</v>
      </c>
      <c r="F98" s="32" t="s">
        <v>2151</v>
      </c>
      <c r="G98" s="33" t="s">
        <v>2149</v>
      </c>
      <c r="H98" s="32"/>
    </row>
    <row r="99" spans="1:8" ht="29" x14ac:dyDescent="0.35">
      <c r="A99" s="31" t="s">
        <v>556</v>
      </c>
      <c r="B99" s="32" t="s">
        <v>558</v>
      </c>
      <c r="C99" s="32" t="s">
        <v>559</v>
      </c>
      <c r="D99" s="32" t="s">
        <v>2149</v>
      </c>
      <c r="E99" s="32" t="s">
        <v>2150</v>
      </c>
      <c r="F99" s="32" t="s">
        <v>2151</v>
      </c>
      <c r="G99" s="33" t="s">
        <v>2149</v>
      </c>
      <c r="H99" s="32"/>
    </row>
    <row r="100" spans="1:8" ht="29" x14ac:dyDescent="0.35">
      <c r="A100" s="31" t="s">
        <v>563</v>
      </c>
      <c r="B100" s="32" t="s">
        <v>564</v>
      </c>
      <c r="C100" s="32" t="s">
        <v>565</v>
      </c>
      <c r="D100" s="32" t="s">
        <v>2149</v>
      </c>
      <c r="E100" s="32" t="s">
        <v>2150</v>
      </c>
      <c r="F100" s="32" t="s">
        <v>2151</v>
      </c>
      <c r="G100" s="33" t="s">
        <v>2149</v>
      </c>
      <c r="H100" s="32"/>
    </row>
    <row r="101" spans="1:8" ht="29" x14ac:dyDescent="0.35">
      <c r="A101" s="31" t="s">
        <v>569</v>
      </c>
      <c r="B101" s="32" t="s">
        <v>571</v>
      </c>
      <c r="C101" s="32" t="s">
        <v>572</v>
      </c>
      <c r="D101" s="32" t="s">
        <v>2149</v>
      </c>
      <c r="E101" s="32" t="s">
        <v>2150</v>
      </c>
      <c r="F101" s="32" t="s">
        <v>2151</v>
      </c>
      <c r="G101" s="33" t="s">
        <v>2149</v>
      </c>
      <c r="H101" s="32"/>
    </row>
    <row r="102" spans="1:8" ht="29" x14ac:dyDescent="0.35">
      <c r="A102" s="31" t="s">
        <v>576</v>
      </c>
      <c r="B102" s="32" t="s">
        <v>577</v>
      </c>
      <c r="C102" s="32" t="s">
        <v>579</v>
      </c>
      <c r="D102" s="32" t="s">
        <v>2149</v>
      </c>
      <c r="E102" s="32" t="s">
        <v>2150</v>
      </c>
      <c r="F102" s="32" t="s">
        <v>2151</v>
      </c>
      <c r="G102" s="33" t="s">
        <v>2149</v>
      </c>
      <c r="H102" s="32"/>
    </row>
    <row r="103" spans="1:8" ht="29" x14ac:dyDescent="0.35">
      <c r="A103" s="31" t="s">
        <v>582</v>
      </c>
      <c r="B103" s="32" t="s">
        <v>577</v>
      </c>
      <c r="C103" s="32" t="s">
        <v>584</v>
      </c>
      <c r="D103" s="32" t="s">
        <v>2149</v>
      </c>
      <c r="E103" s="32" t="s">
        <v>2150</v>
      </c>
      <c r="F103" s="32" t="s">
        <v>2151</v>
      </c>
      <c r="G103" s="33" t="s">
        <v>2149</v>
      </c>
      <c r="H103" s="32"/>
    </row>
    <row r="104" spans="1:8" ht="29" x14ac:dyDescent="0.35">
      <c r="A104" s="31" t="s">
        <v>587</v>
      </c>
      <c r="B104" s="32" t="s">
        <v>577</v>
      </c>
      <c r="C104" s="32" t="s">
        <v>589</v>
      </c>
      <c r="D104" s="32" t="s">
        <v>2149</v>
      </c>
      <c r="E104" s="32" t="s">
        <v>2150</v>
      </c>
      <c r="F104" s="32" t="s">
        <v>2151</v>
      </c>
      <c r="G104" s="33" t="s">
        <v>2149</v>
      </c>
      <c r="H104" s="32"/>
    </row>
    <row r="105" spans="1:8" ht="29" x14ac:dyDescent="0.35">
      <c r="A105" s="31" t="s">
        <v>592</v>
      </c>
      <c r="B105" s="32" t="s">
        <v>577</v>
      </c>
      <c r="C105" s="32" t="s">
        <v>594</v>
      </c>
      <c r="D105" s="32" t="s">
        <v>2149</v>
      </c>
      <c r="E105" s="32" t="s">
        <v>2150</v>
      </c>
      <c r="F105" s="32" t="s">
        <v>2151</v>
      </c>
      <c r="G105" s="33" t="s">
        <v>2149</v>
      </c>
      <c r="H105" s="32"/>
    </row>
    <row r="106" spans="1:8" ht="29" x14ac:dyDescent="0.35">
      <c r="A106" s="31" t="s">
        <v>597</v>
      </c>
      <c r="B106" s="32" t="s">
        <v>577</v>
      </c>
      <c r="C106" s="32" t="s">
        <v>599</v>
      </c>
      <c r="D106" s="32" t="s">
        <v>2149</v>
      </c>
      <c r="E106" s="32" t="s">
        <v>2150</v>
      </c>
      <c r="F106" s="32" t="s">
        <v>2151</v>
      </c>
      <c r="G106" s="33" t="s">
        <v>2149</v>
      </c>
      <c r="H106" s="32"/>
    </row>
    <row r="107" spans="1:8" ht="29" x14ac:dyDescent="0.35">
      <c r="A107" s="31" t="s">
        <v>602</v>
      </c>
      <c r="B107" s="32" t="s">
        <v>605</v>
      </c>
      <c r="C107" s="32" t="s">
        <v>607</v>
      </c>
      <c r="D107" s="32" t="s">
        <v>2149</v>
      </c>
      <c r="E107" s="32" t="s">
        <v>2150</v>
      </c>
      <c r="F107" s="32" t="s">
        <v>2151</v>
      </c>
      <c r="G107" s="33" t="s">
        <v>2149</v>
      </c>
      <c r="H107" s="32"/>
    </row>
    <row r="108" spans="1:8" ht="29" x14ac:dyDescent="0.35">
      <c r="A108" s="31" t="s">
        <v>612</v>
      </c>
      <c r="B108" s="32" t="s">
        <v>605</v>
      </c>
      <c r="C108" s="32" t="s">
        <v>614</v>
      </c>
      <c r="D108" s="32" t="s">
        <v>2149</v>
      </c>
      <c r="E108" s="32" t="s">
        <v>2150</v>
      </c>
      <c r="F108" s="32" t="s">
        <v>2151</v>
      </c>
      <c r="G108" s="33" t="s">
        <v>2149</v>
      </c>
      <c r="H108" s="32"/>
    </row>
    <row r="109" spans="1:8" ht="29" x14ac:dyDescent="0.35">
      <c r="A109" s="31" t="s">
        <v>617</v>
      </c>
      <c r="B109" s="32" t="s">
        <v>605</v>
      </c>
      <c r="C109" s="32" t="s">
        <v>618</v>
      </c>
      <c r="D109" s="32" t="s">
        <v>2149</v>
      </c>
      <c r="E109" s="32" t="s">
        <v>2150</v>
      </c>
      <c r="F109" s="32" t="s">
        <v>2151</v>
      </c>
      <c r="G109" s="33" t="s">
        <v>2149</v>
      </c>
      <c r="H109" s="32"/>
    </row>
    <row r="110" spans="1:8" ht="29" x14ac:dyDescent="0.35">
      <c r="A110" s="31" t="s">
        <v>621</v>
      </c>
      <c r="B110" s="32" t="s">
        <v>605</v>
      </c>
      <c r="C110" s="32" t="s">
        <v>623</v>
      </c>
      <c r="D110" s="32" t="s">
        <v>2149</v>
      </c>
      <c r="E110" s="32" t="s">
        <v>2150</v>
      </c>
      <c r="F110" s="32" t="s">
        <v>2151</v>
      </c>
      <c r="G110" s="33" t="s">
        <v>2149</v>
      </c>
      <c r="H110" s="32"/>
    </row>
    <row r="111" spans="1:8" ht="29" x14ac:dyDescent="0.35">
      <c r="A111" s="31" t="s">
        <v>626</v>
      </c>
      <c r="B111" s="32" t="s">
        <v>605</v>
      </c>
      <c r="C111" s="32" t="s">
        <v>627</v>
      </c>
      <c r="D111" s="32" t="s">
        <v>2149</v>
      </c>
      <c r="E111" s="32" t="s">
        <v>2150</v>
      </c>
      <c r="F111" s="32" t="s">
        <v>2151</v>
      </c>
      <c r="G111" s="33" t="s">
        <v>2149</v>
      </c>
      <c r="H111" s="32"/>
    </row>
    <row r="112" spans="1:8" ht="29" x14ac:dyDescent="0.35">
      <c r="A112" s="31" t="s">
        <v>630</v>
      </c>
      <c r="B112" s="32" t="s">
        <v>605</v>
      </c>
      <c r="C112" s="32" t="s">
        <v>632</v>
      </c>
      <c r="D112" s="32" t="s">
        <v>2149</v>
      </c>
      <c r="E112" s="32" t="s">
        <v>2150</v>
      </c>
      <c r="F112" s="32" t="s">
        <v>2151</v>
      </c>
      <c r="G112" s="33" t="s">
        <v>2149</v>
      </c>
      <c r="H112" s="32"/>
    </row>
    <row r="113" spans="1:8" ht="29" x14ac:dyDescent="0.35">
      <c r="A113" s="31" t="s">
        <v>635</v>
      </c>
      <c r="B113" s="32" t="s">
        <v>605</v>
      </c>
      <c r="C113" s="32" t="s">
        <v>637</v>
      </c>
      <c r="D113" s="32" t="s">
        <v>2149</v>
      </c>
      <c r="E113" s="32" t="s">
        <v>2150</v>
      </c>
      <c r="F113" s="32" t="s">
        <v>2151</v>
      </c>
      <c r="G113" s="33" t="s">
        <v>2149</v>
      </c>
      <c r="H113" s="32"/>
    </row>
    <row r="114" spans="1:8" ht="29" x14ac:dyDescent="0.35">
      <c r="A114" s="31" t="s">
        <v>640</v>
      </c>
      <c r="B114" s="32" t="s">
        <v>605</v>
      </c>
      <c r="C114" s="32" t="s">
        <v>642</v>
      </c>
      <c r="D114" s="32" t="s">
        <v>2149</v>
      </c>
      <c r="E114" s="32" t="s">
        <v>2150</v>
      </c>
      <c r="F114" s="32" t="s">
        <v>2151</v>
      </c>
      <c r="G114" s="33" t="s">
        <v>2149</v>
      </c>
      <c r="H114" s="32"/>
    </row>
    <row r="115" spans="1:8" ht="29" x14ac:dyDescent="0.35">
      <c r="A115" s="31" t="s">
        <v>645</v>
      </c>
      <c r="B115" s="32" t="s">
        <v>605</v>
      </c>
      <c r="C115" s="32" t="s">
        <v>647</v>
      </c>
      <c r="D115" s="32" t="s">
        <v>2149</v>
      </c>
      <c r="E115" s="32" t="s">
        <v>2150</v>
      </c>
      <c r="F115" s="32" t="s">
        <v>2151</v>
      </c>
      <c r="G115" s="33" t="s">
        <v>2149</v>
      </c>
      <c r="H115" s="32"/>
    </row>
    <row r="116" spans="1:8" ht="29" x14ac:dyDescent="0.35">
      <c r="A116" s="31" t="s">
        <v>650</v>
      </c>
      <c r="B116" s="32" t="s">
        <v>605</v>
      </c>
      <c r="C116" s="32" t="s">
        <v>652</v>
      </c>
      <c r="D116" s="32" t="s">
        <v>2149</v>
      </c>
      <c r="E116" s="32" t="s">
        <v>2150</v>
      </c>
      <c r="F116" s="32" t="s">
        <v>2151</v>
      </c>
      <c r="G116" s="33" t="s">
        <v>2149</v>
      </c>
      <c r="H116" s="32"/>
    </row>
    <row r="117" spans="1:8" ht="29" x14ac:dyDescent="0.35">
      <c r="A117" s="31" t="s">
        <v>655</v>
      </c>
      <c r="B117" s="32" t="s">
        <v>605</v>
      </c>
      <c r="C117" s="32" t="s">
        <v>657</v>
      </c>
      <c r="D117" s="32" t="s">
        <v>2149</v>
      </c>
      <c r="E117" s="32" t="s">
        <v>2150</v>
      </c>
      <c r="F117" s="32" t="s">
        <v>2151</v>
      </c>
      <c r="G117" s="33" t="s">
        <v>2149</v>
      </c>
      <c r="H117" s="32"/>
    </row>
    <row r="118" spans="1:8" ht="29" x14ac:dyDescent="0.35">
      <c r="A118" s="31" t="s">
        <v>660</v>
      </c>
      <c r="B118" s="32" t="s">
        <v>605</v>
      </c>
      <c r="C118" s="32" t="s">
        <v>662</v>
      </c>
      <c r="D118" s="32" t="s">
        <v>2149</v>
      </c>
      <c r="E118" s="32" t="s">
        <v>2150</v>
      </c>
      <c r="F118" s="32" t="s">
        <v>2151</v>
      </c>
      <c r="G118" s="33" t="s">
        <v>2149</v>
      </c>
      <c r="H118" s="32"/>
    </row>
    <row r="119" spans="1:8" ht="29" x14ac:dyDescent="0.35">
      <c r="A119" s="31" t="s">
        <v>665</v>
      </c>
      <c r="B119" s="32" t="s">
        <v>605</v>
      </c>
      <c r="C119" s="32" t="s">
        <v>667</v>
      </c>
      <c r="D119" s="32" t="s">
        <v>2149</v>
      </c>
      <c r="E119" s="32" t="s">
        <v>2150</v>
      </c>
      <c r="F119" s="32" t="s">
        <v>2151</v>
      </c>
      <c r="G119" s="33" t="s">
        <v>2149</v>
      </c>
      <c r="H119" s="32"/>
    </row>
    <row r="120" spans="1:8" ht="29" x14ac:dyDescent="0.35">
      <c r="A120" s="31" t="s">
        <v>670</v>
      </c>
      <c r="B120" s="32" t="s">
        <v>605</v>
      </c>
      <c r="C120" s="32" t="s">
        <v>672</v>
      </c>
      <c r="D120" s="32" t="s">
        <v>2149</v>
      </c>
      <c r="E120" s="32" t="s">
        <v>2150</v>
      </c>
      <c r="F120" s="32" t="s">
        <v>2151</v>
      </c>
      <c r="G120" s="33" t="s">
        <v>2149</v>
      </c>
      <c r="H120" s="32"/>
    </row>
    <row r="121" spans="1:8" ht="29" x14ac:dyDescent="0.35">
      <c r="A121" s="31" t="s">
        <v>675</v>
      </c>
      <c r="B121" s="32" t="s">
        <v>676</v>
      </c>
      <c r="C121" s="32" t="s">
        <v>677</v>
      </c>
      <c r="D121" s="32" t="s">
        <v>2149</v>
      </c>
      <c r="E121" s="32" t="s">
        <v>2150</v>
      </c>
      <c r="F121" s="32" t="s">
        <v>2151</v>
      </c>
      <c r="G121" s="33" t="s">
        <v>2149</v>
      </c>
      <c r="H121" s="32"/>
    </row>
    <row r="122" spans="1:8" ht="29" x14ac:dyDescent="0.35">
      <c r="A122" s="31" t="s">
        <v>680</v>
      </c>
      <c r="B122" s="32" t="s">
        <v>676</v>
      </c>
      <c r="C122" s="32" t="s">
        <v>681</v>
      </c>
      <c r="D122" s="32" t="s">
        <v>2149</v>
      </c>
      <c r="E122" s="32" t="s">
        <v>2150</v>
      </c>
      <c r="F122" s="32" t="s">
        <v>2151</v>
      </c>
      <c r="G122" s="33" t="s">
        <v>2149</v>
      </c>
      <c r="H122" s="32"/>
    </row>
    <row r="123" spans="1:8" ht="29" x14ac:dyDescent="0.35">
      <c r="A123" s="31" t="s">
        <v>684</v>
      </c>
      <c r="B123" s="32" t="s">
        <v>676</v>
      </c>
      <c r="C123" s="32" t="s">
        <v>685</v>
      </c>
      <c r="D123" s="32" t="s">
        <v>2149</v>
      </c>
      <c r="E123" s="32" t="s">
        <v>2150</v>
      </c>
      <c r="F123" s="32" t="s">
        <v>2151</v>
      </c>
      <c r="G123" s="33" t="s">
        <v>2149</v>
      </c>
      <c r="H123" s="32"/>
    </row>
    <row r="124" spans="1:8" ht="29" x14ac:dyDescent="0.35">
      <c r="A124" s="31" t="s">
        <v>688</v>
      </c>
      <c r="B124" s="32" t="s">
        <v>676</v>
      </c>
      <c r="C124" s="32" t="s">
        <v>690</v>
      </c>
      <c r="D124" s="32" t="s">
        <v>2149</v>
      </c>
      <c r="E124" s="32" t="s">
        <v>2150</v>
      </c>
      <c r="F124" s="32" t="s">
        <v>2151</v>
      </c>
      <c r="G124" s="33" t="s">
        <v>2149</v>
      </c>
      <c r="H124" s="32"/>
    </row>
    <row r="125" spans="1:8" ht="29" x14ac:dyDescent="0.35">
      <c r="A125" s="31" t="s">
        <v>693</v>
      </c>
      <c r="B125" s="32" t="s">
        <v>676</v>
      </c>
      <c r="C125" s="32" t="s">
        <v>695</v>
      </c>
      <c r="D125" s="32" t="s">
        <v>2149</v>
      </c>
      <c r="E125" s="32" t="s">
        <v>2150</v>
      </c>
      <c r="F125" s="32" t="s">
        <v>2151</v>
      </c>
      <c r="G125" s="33" t="s">
        <v>2149</v>
      </c>
      <c r="H125" s="32"/>
    </row>
    <row r="126" spans="1:8" ht="29" x14ac:dyDescent="0.35">
      <c r="A126" s="31" t="s">
        <v>698</v>
      </c>
      <c r="B126" s="32" t="s">
        <v>676</v>
      </c>
      <c r="C126" s="32" t="s">
        <v>700</v>
      </c>
      <c r="D126" s="32" t="s">
        <v>2149</v>
      </c>
      <c r="E126" s="32" t="s">
        <v>2150</v>
      </c>
      <c r="F126" s="32" t="s">
        <v>2151</v>
      </c>
      <c r="G126" s="33" t="s">
        <v>2149</v>
      </c>
      <c r="H126" s="32"/>
    </row>
    <row r="127" spans="1:8" ht="29" x14ac:dyDescent="0.35">
      <c r="A127" s="31" t="s">
        <v>703</v>
      </c>
      <c r="B127" s="32" t="s">
        <v>676</v>
      </c>
      <c r="C127" s="32" t="s">
        <v>704</v>
      </c>
      <c r="D127" s="32" t="s">
        <v>2149</v>
      </c>
      <c r="E127" s="32" t="s">
        <v>2150</v>
      </c>
      <c r="F127" s="32" t="s">
        <v>2151</v>
      </c>
      <c r="G127" s="33" t="s">
        <v>2149</v>
      </c>
      <c r="H127" s="32"/>
    </row>
    <row r="128" spans="1:8" ht="29" x14ac:dyDescent="0.35">
      <c r="A128" s="31" t="s">
        <v>707</v>
      </c>
      <c r="B128" s="32" t="s">
        <v>676</v>
      </c>
      <c r="C128" s="32" t="s">
        <v>709</v>
      </c>
      <c r="D128" s="32" t="s">
        <v>2149</v>
      </c>
      <c r="E128" s="32" t="s">
        <v>2150</v>
      </c>
      <c r="F128" s="32" t="s">
        <v>2151</v>
      </c>
      <c r="G128" s="33" t="s">
        <v>2149</v>
      </c>
      <c r="H128" s="32"/>
    </row>
    <row r="129" spans="1:8" ht="29" x14ac:dyDescent="0.35">
      <c r="A129" s="31" t="s">
        <v>712</v>
      </c>
      <c r="B129" s="32" t="s">
        <v>713</v>
      </c>
      <c r="C129" s="32" t="s">
        <v>715</v>
      </c>
      <c r="D129" s="32" t="s">
        <v>2149</v>
      </c>
      <c r="E129" s="32" t="s">
        <v>2150</v>
      </c>
      <c r="F129" s="32" t="s">
        <v>2151</v>
      </c>
      <c r="G129" s="33" t="s">
        <v>2149</v>
      </c>
      <c r="H129" s="32"/>
    </row>
    <row r="130" spans="1:8" ht="29" x14ac:dyDescent="0.35">
      <c r="A130" s="31" t="s">
        <v>719</v>
      </c>
      <c r="B130" s="32" t="s">
        <v>713</v>
      </c>
      <c r="C130" s="32" t="s">
        <v>721</v>
      </c>
      <c r="D130" s="32" t="s">
        <v>2149</v>
      </c>
      <c r="E130" s="32" t="s">
        <v>2150</v>
      </c>
      <c r="F130" s="32" t="s">
        <v>2151</v>
      </c>
      <c r="G130" s="33" t="s">
        <v>2149</v>
      </c>
      <c r="H130" s="32"/>
    </row>
    <row r="131" spans="1:8" ht="29" x14ac:dyDescent="0.35">
      <c r="A131" s="31" t="s">
        <v>724</v>
      </c>
      <c r="B131" s="32" t="s">
        <v>713</v>
      </c>
      <c r="C131" s="32" t="s">
        <v>726</v>
      </c>
      <c r="D131" s="32" t="s">
        <v>2149</v>
      </c>
      <c r="E131" s="32" t="s">
        <v>2150</v>
      </c>
      <c r="F131" s="32" t="s">
        <v>2151</v>
      </c>
      <c r="G131" s="33" t="s">
        <v>2149</v>
      </c>
      <c r="H131" s="32"/>
    </row>
    <row r="132" spans="1:8" ht="29" x14ac:dyDescent="0.35">
      <c r="A132" s="31" t="s">
        <v>729</v>
      </c>
      <c r="B132" s="32" t="s">
        <v>713</v>
      </c>
      <c r="C132" s="32" t="s">
        <v>731</v>
      </c>
      <c r="D132" s="32" t="s">
        <v>2149</v>
      </c>
      <c r="E132" s="32" t="s">
        <v>2150</v>
      </c>
      <c r="F132" s="32" t="s">
        <v>2151</v>
      </c>
      <c r="G132" s="33" t="s">
        <v>2149</v>
      </c>
      <c r="H132" s="32"/>
    </row>
    <row r="133" spans="1:8" ht="29" x14ac:dyDescent="0.35">
      <c r="A133" s="31" t="s">
        <v>734</v>
      </c>
      <c r="B133" s="32" t="s">
        <v>713</v>
      </c>
      <c r="C133" s="32" t="s">
        <v>736</v>
      </c>
      <c r="D133" s="32" t="s">
        <v>2149</v>
      </c>
      <c r="E133" s="32" t="s">
        <v>2150</v>
      </c>
      <c r="F133" s="32" t="s">
        <v>2151</v>
      </c>
      <c r="G133" s="33" t="s">
        <v>2149</v>
      </c>
      <c r="H133" s="32"/>
    </row>
    <row r="134" spans="1:8" ht="29" x14ac:dyDescent="0.35">
      <c r="A134" s="31" t="s">
        <v>739</v>
      </c>
      <c r="B134" s="32" t="s">
        <v>741</v>
      </c>
      <c r="C134" s="32" t="s">
        <v>742</v>
      </c>
      <c r="D134" s="32" t="s">
        <v>2152</v>
      </c>
      <c r="E134" s="32" t="s">
        <v>2153</v>
      </c>
      <c r="F134" s="32" t="s">
        <v>2154</v>
      </c>
      <c r="G134" s="33" t="s">
        <v>2149</v>
      </c>
      <c r="H134" s="32"/>
    </row>
    <row r="135" spans="1:8" ht="29" x14ac:dyDescent="0.35">
      <c r="A135" s="31" t="s">
        <v>746</v>
      </c>
      <c r="B135" s="32" t="s">
        <v>748</v>
      </c>
      <c r="C135" s="32" t="s">
        <v>749</v>
      </c>
      <c r="D135" s="32" t="s">
        <v>2152</v>
      </c>
      <c r="E135" s="32" t="s">
        <v>2153</v>
      </c>
      <c r="F135" s="32" t="s">
        <v>2154</v>
      </c>
      <c r="G135" s="33" t="s">
        <v>2149</v>
      </c>
      <c r="H135" s="32"/>
    </row>
    <row r="136" spans="1:8" ht="29" x14ac:dyDescent="0.35">
      <c r="A136" s="31" t="s">
        <v>753</v>
      </c>
      <c r="B136" s="32" t="s">
        <v>754</v>
      </c>
      <c r="C136" s="32" t="s">
        <v>755</v>
      </c>
      <c r="D136" s="32" t="s">
        <v>2152</v>
      </c>
      <c r="E136" s="32" t="s">
        <v>2153</v>
      </c>
      <c r="F136" s="32" t="s">
        <v>2154</v>
      </c>
      <c r="G136" s="33" t="s">
        <v>2149</v>
      </c>
      <c r="H136" s="32"/>
    </row>
    <row r="137" spans="1:8" ht="29" x14ac:dyDescent="0.35">
      <c r="A137" s="31" t="s">
        <v>759</v>
      </c>
      <c r="B137" s="32" t="s">
        <v>761</v>
      </c>
      <c r="C137" s="32" t="s">
        <v>763</v>
      </c>
      <c r="D137" s="32" t="s">
        <v>2149</v>
      </c>
      <c r="E137" s="32" t="s">
        <v>2150</v>
      </c>
      <c r="F137" s="32" t="s">
        <v>2151</v>
      </c>
      <c r="G137" s="33" t="s">
        <v>2149</v>
      </c>
      <c r="H137" s="32"/>
    </row>
    <row r="138" spans="1:8" x14ac:dyDescent="0.35">
      <c r="A138" s="31" t="s">
        <v>768</v>
      </c>
      <c r="B138" s="32" t="s">
        <v>769</v>
      </c>
      <c r="C138" s="32" t="s">
        <v>771</v>
      </c>
      <c r="D138" s="32" t="s">
        <v>2152</v>
      </c>
      <c r="E138" s="32" t="s">
        <v>2155</v>
      </c>
      <c r="F138" s="32" t="s">
        <v>2156</v>
      </c>
      <c r="G138" s="33" t="s">
        <v>2149</v>
      </c>
      <c r="H138" s="32"/>
    </row>
    <row r="139" spans="1:8" ht="29" x14ac:dyDescent="0.35">
      <c r="A139" s="31" t="s">
        <v>774</v>
      </c>
      <c r="B139" s="32" t="s">
        <v>775</v>
      </c>
      <c r="C139" s="32" t="s">
        <v>776</v>
      </c>
      <c r="D139" s="32" t="s">
        <v>2149</v>
      </c>
      <c r="E139" s="32" t="s">
        <v>2150</v>
      </c>
      <c r="F139" s="32" t="s">
        <v>2151</v>
      </c>
      <c r="G139" s="33" t="s">
        <v>2149</v>
      </c>
      <c r="H139" s="32"/>
    </row>
    <row r="140" spans="1:8" ht="29" x14ac:dyDescent="0.35">
      <c r="A140" s="31" t="s">
        <v>779</v>
      </c>
      <c r="B140" s="32" t="s">
        <v>780</v>
      </c>
      <c r="C140" s="32" t="s">
        <v>781</v>
      </c>
      <c r="D140" s="32" t="s">
        <v>2149</v>
      </c>
      <c r="E140" s="32" t="s">
        <v>2150</v>
      </c>
      <c r="F140" s="32" t="s">
        <v>2151</v>
      </c>
      <c r="G140" s="33" t="s">
        <v>2149</v>
      </c>
      <c r="H140" s="32"/>
    </row>
    <row r="141" spans="1:8" ht="29" x14ac:dyDescent="0.35">
      <c r="A141" s="31" t="s">
        <v>784</v>
      </c>
      <c r="B141" s="32" t="s">
        <v>786</v>
      </c>
      <c r="C141" s="32" t="s">
        <v>787</v>
      </c>
      <c r="D141" s="32" t="s">
        <v>2149</v>
      </c>
      <c r="E141" s="32" t="s">
        <v>2150</v>
      </c>
      <c r="F141" s="32" t="s">
        <v>2151</v>
      </c>
      <c r="G141" s="33" t="s">
        <v>2149</v>
      </c>
      <c r="H141" s="32"/>
    </row>
    <row r="142" spans="1:8" x14ac:dyDescent="0.35">
      <c r="A142" s="31" t="s">
        <v>791</v>
      </c>
      <c r="B142" s="32" t="s">
        <v>792</v>
      </c>
      <c r="C142" s="32" t="s">
        <v>793</v>
      </c>
      <c r="D142" s="32" t="s">
        <v>2152</v>
      </c>
      <c r="E142" s="32" t="s">
        <v>2155</v>
      </c>
      <c r="F142" s="32" t="s">
        <v>2156</v>
      </c>
      <c r="G142" s="33" t="s">
        <v>2149</v>
      </c>
      <c r="H142" s="32"/>
    </row>
    <row r="143" spans="1:8" ht="29" x14ac:dyDescent="0.35">
      <c r="A143" s="31" t="s">
        <v>796</v>
      </c>
      <c r="B143" s="32" t="s">
        <v>798</v>
      </c>
      <c r="C143" s="32" t="s">
        <v>799</v>
      </c>
      <c r="D143" s="32" t="s">
        <v>2149</v>
      </c>
      <c r="E143" s="32" t="s">
        <v>2150</v>
      </c>
      <c r="F143" s="32" t="s">
        <v>2151</v>
      </c>
      <c r="G143" s="33" t="s">
        <v>2149</v>
      </c>
      <c r="H143" s="32"/>
    </row>
    <row r="144" spans="1:8" x14ac:dyDescent="0.35">
      <c r="A144" s="31" t="s">
        <v>803</v>
      </c>
      <c r="B144" s="32" t="s">
        <v>804</v>
      </c>
      <c r="C144" s="32" t="s">
        <v>805</v>
      </c>
      <c r="D144" s="32" t="s">
        <v>2152</v>
      </c>
      <c r="E144" s="32" t="s">
        <v>2155</v>
      </c>
      <c r="F144" s="32" t="s">
        <v>2156</v>
      </c>
      <c r="G144" s="33" t="s">
        <v>2149</v>
      </c>
      <c r="H144" s="32"/>
    </row>
    <row r="145" spans="1:8" ht="29" x14ac:dyDescent="0.35">
      <c r="A145" s="31" t="s">
        <v>808</v>
      </c>
      <c r="B145" s="32" t="s">
        <v>809</v>
      </c>
      <c r="C145" s="32" t="s">
        <v>810</v>
      </c>
      <c r="D145" s="32" t="s">
        <v>2149</v>
      </c>
      <c r="E145" s="32" t="s">
        <v>2150</v>
      </c>
      <c r="F145" s="32" t="s">
        <v>2151</v>
      </c>
      <c r="G145" s="33" t="s">
        <v>2149</v>
      </c>
      <c r="H145" s="32"/>
    </row>
    <row r="146" spans="1:8" ht="29" x14ac:dyDescent="0.35">
      <c r="A146" s="31" t="s">
        <v>813</v>
      </c>
      <c r="B146" s="32" t="s">
        <v>814</v>
      </c>
      <c r="C146" s="32" t="s">
        <v>815</v>
      </c>
      <c r="D146" s="32" t="s">
        <v>2152</v>
      </c>
      <c r="E146" s="32" t="s">
        <v>2155</v>
      </c>
      <c r="F146" s="32" t="s">
        <v>2156</v>
      </c>
      <c r="G146" s="33" t="s">
        <v>2149</v>
      </c>
      <c r="H146" s="32"/>
    </row>
    <row r="147" spans="1:8" ht="29" x14ac:dyDescent="0.35">
      <c r="A147" s="31" t="s">
        <v>818</v>
      </c>
      <c r="B147" s="32" t="s">
        <v>819</v>
      </c>
      <c r="C147" s="32" t="s">
        <v>820</v>
      </c>
      <c r="D147" s="32" t="s">
        <v>2149</v>
      </c>
      <c r="E147" s="32" t="s">
        <v>2150</v>
      </c>
      <c r="F147" s="32" t="s">
        <v>2151</v>
      </c>
      <c r="G147" s="33" t="s">
        <v>2149</v>
      </c>
      <c r="H147" s="32"/>
    </row>
    <row r="148" spans="1:8" ht="29" x14ac:dyDescent="0.35">
      <c r="A148" s="31" t="s">
        <v>823</v>
      </c>
      <c r="B148" s="32" t="s">
        <v>824</v>
      </c>
      <c r="C148" s="32" t="s">
        <v>825</v>
      </c>
      <c r="D148" s="32" t="s">
        <v>2152</v>
      </c>
      <c r="E148" s="32" t="s">
        <v>2155</v>
      </c>
      <c r="F148" s="32" t="s">
        <v>2156</v>
      </c>
      <c r="G148" s="33" t="s">
        <v>2149</v>
      </c>
      <c r="H148" s="32"/>
    </row>
    <row r="149" spans="1:8" ht="29" x14ac:dyDescent="0.35">
      <c r="A149" s="31" t="s">
        <v>828</v>
      </c>
      <c r="B149" s="32" t="s">
        <v>831</v>
      </c>
      <c r="C149" s="32" t="s">
        <v>832</v>
      </c>
      <c r="D149" s="32" t="s">
        <v>2149</v>
      </c>
      <c r="E149" s="32" t="s">
        <v>2150</v>
      </c>
      <c r="F149" s="32" t="s">
        <v>2151</v>
      </c>
      <c r="G149" s="33" t="s">
        <v>2149</v>
      </c>
      <c r="H149" s="32"/>
    </row>
    <row r="150" spans="1:8" ht="29" x14ac:dyDescent="0.35">
      <c r="A150" s="31" t="s">
        <v>838</v>
      </c>
      <c r="B150" s="32" t="s">
        <v>839</v>
      </c>
      <c r="C150" s="32" t="s">
        <v>840</v>
      </c>
      <c r="D150" s="32" t="s">
        <v>2149</v>
      </c>
      <c r="E150" s="32" t="s">
        <v>2150</v>
      </c>
      <c r="F150" s="32" t="s">
        <v>2151</v>
      </c>
      <c r="G150" s="33" t="s">
        <v>2149</v>
      </c>
      <c r="H150" s="32"/>
    </row>
    <row r="151" spans="1:8" ht="29" x14ac:dyDescent="0.35">
      <c r="A151" s="31" t="s">
        <v>844</v>
      </c>
      <c r="B151" s="32" t="s">
        <v>845</v>
      </c>
      <c r="C151" s="32" t="s">
        <v>847</v>
      </c>
      <c r="D151" s="32" t="s">
        <v>2152</v>
      </c>
      <c r="E151" s="32" t="s">
        <v>2155</v>
      </c>
      <c r="F151" s="32" t="s">
        <v>2156</v>
      </c>
      <c r="G151" s="33" t="s">
        <v>2149</v>
      </c>
      <c r="H151" s="32"/>
    </row>
    <row r="152" spans="1:8" ht="29" x14ac:dyDescent="0.35">
      <c r="A152" s="31" t="s">
        <v>851</v>
      </c>
      <c r="B152" s="32" t="s">
        <v>831</v>
      </c>
      <c r="C152" s="32" t="s">
        <v>853</v>
      </c>
      <c r="D152" s="32" t="s">
        <v>2149</v>
      </c>
      <c r="E152" s="32" t="s">
        <v>2150</v>
      </c>
      <c r="F152" s="32" t="s">
        <v>2151</v>
      </c>
      <c r="G152" s="33" t="s">
        <v>2149</v>
      </c>
      <c r="H152" s="32"/>
    </row>
    <row r="153" spans="1:8" ht="29" x14ac:dyDescent="0.35">
      <c r="A153" s="31" t="s">
        <v>857</v>
      </c>
      <c r="B153" s="32" t="s">
        <v>839</v>
      </c>
      <c r="C153" s="32" t="s">
        <v>858</v>
      </c>
      <c r="D153" s="32" t="s">
        <v>2149</v>
      </c>
      <c r="E153" s="32" t="s">
        <v>2150</v>
      </c>
      <c r="F153" s="32" t="s">
        <v>2151</v>
      </c>
      <c r="G153" s="33" t="s">
        <v>2149</v>
      </c>
      <c r="H153" s="32"/>
    </row>
    <row r="154" spans="1:8" ht="29" x14ac:dyDescent="0.35">
      <c r="A154" s="31" t="s">
        <v>861</v>
      </c>
      <c r="B154" s="32" t="s">
        <v>845</v>
      </c>
      <c r="C154" s="32" t="s">
        <v>862</v>
      </c>
      <c r="D154" s="32" t="s">
        <v>2152</v>
      </c>
      <c r="E154" s="32" t="s">
        <v>2155</v>
      </c>
      <c r="F154" s="32" t="s">
        <v>2156</v>
      </c>
      <c r="G154" s="33" t="s">
        <v>2149</v>
      </c>
      <c r="H154" s="32"/>
    </row>
    <row r="155" spans="1:8" ht="29" x14ac:dyDescent="0.35">
      <c r="A155" s="31" t="s">
        <v>865</v>
      </c>
      <c r="B155" s="32" t="s">
        <v>831</v>
      </c>
      <c r="C155" s="32" t="s">
        <v>867</v>
      </c>
      <c r="D155" s="32" t="s">
        <v>2149</v>
      </c>
      <c r="E155" s="32" t="s">
        <v>2150</v>
      </c>
      <c r="F155" s="32" t="s">
        <v>2151</v>
      </c>
      <c r="G155" s="33" t="s">
        <v>2149</v>
      </c>
      <c r="H155" s="32"/>
    </row>
    <row r="156" spans="1:8" ht="29" x14ac:dyDescent="0.35">
      <c r="A156" s="31" t="s">
        <v>871</v>
      </c>
      <c r="B156" s="32" t="s">
        <v>839</v>
      </c>
      <c r="C156" s="32" t="s">
        <v>872</v>
      </c>
      <c r="D156" s="32" t="s">
        <v>2149</v>
      </c>
      <c r="E156" s="32" t="s">
        <v>2150</v>
      </c>
      <c r="F156" s="32" t="s">
        <v>2151</v>
      </c>
      <c r="G156" s="33" t="s">
        <v>2149</v>
      </c>
      <c r="H156" s="32"/>
    </row>
    <row r="157" spans="1:8" ht="29" x14ac:dyDescent="0.35">
      <c r="A157" s="31" t="s">
        <v>875</v>
      </c>
      <c r="B157" s="32" t="s">
        <v>845</v>
      </c>
      <c r="C157" s="32" t="s">
        <v>876</v>
      </c>
      <c r="D157" s="32" t="s">
        <v>2152</v>
      </c>
      <c r="E157" s="32" t="s">
        <v>2155</v>
      </c>
      <c r="F157" s="32" t="s">
        <v>2156</v>
      </c>
      <c r="G157" s="33" t="s">
        <v>2149</v>
      </c>
      <c r="H157" s="32"/>
    </row>
    <row r="158" spans="1:8" ht="29" x14ac:dyDescent="0.35">
      <c r="A158" s="31" t="s">
        <v>879</v>
      </c>
      <c r="B158" s="32" t="s">
        <v>831</v>
      </c>
      <c r="C158" s="32" t="s">
        <v>880</v>
      </c>
      <c r="D158" s="32" t="s">
        <v>2149</v>
      </c>
      <c r="E158" s="32" t="s">
        <v>2150</v>
      </c>
      <c r="F158" s="32" t="s">
        <v>2151</v>
      </c>
      <c r="G158" s="33" t="s">
        <v>2149</v>
      </c>
      <c r="H158" s="32"/>
    </row>
    <row r="159" spans="1:8" ht="29" x14ac:dyDescent="0.35">
      <c r="A159" s="31" t="s">
        <v>884</v>
      </c>
      <c r="B159" s="32" t="s">
        <v>839</v>
      </c>
      <c r="C159" s="32" t="s">
        <v>885</v>
      </c>
      <c r="D159" s="32" t="s">
        <v>2149</v>
      </c>
      <c r="E159" s="32" t="s">
        <v>2150</v>
      </c>
      <c r="F159" s="32" t="s">
        <v>2151</v>
      </c>
      <c r="G159" s="33" t="s">
        <v>2149</v>
      </c>
      <c r="H159" s="32"/>
    </row>
    <row r="160" spans="1:8" ht="29" x14ac:dyDescent="0.35">
      <c r="A160" s="31" t="s">
        <v>888</v>
      </c>
      <c r="B160" s="32" t="s">
        <v>845</v>
      </c>
      <c r="C160" s="32" t="s">
        <v>889</v>
      </c>
      <c r="D160" s="32" t="s">
        <v>2152</v>
      </c>
      <c r="E160" s="32" t="s">
        <v>2155</v>
      </c>
      <c r="F160" s="32" t="s">
        <v>2156</v>
      </c>
      <c r="G160" s="33" t="s">
        <v>2149</v>
      </c>
      <c r="H160" s="32"/>
    </row>
    <row r="161" spans="1:8" ht="29" x14ac:dyDescent="0.35">
      <c r="A161" s="31" t="s">
        <v>892</v>
      </c>
      <c r="B161" s="32" t="s">
        <v>894</v>
      </c>
      <c r="C161" s="32" t="s">
        <v>896</v>
      </c>
      <c r="D161" s="32" t="s">
        <v>2149</v>
      </c>
      <c r="E161" s="32" t="s">
        <v>2150</v>
      </c>
      <c r="F161" s="32" t="s">
        <v>2151</v>
      </c>
      <c r="G161" s="33" t="s">
        <v>2149</v>
      </c>
      <c r="H161" s="32"/>
    </row>
    <row r="162" spans="1:8" ht="29" x14ac:dyDescent="0.35">
      <c r="A162" s="31" t="s">
        <v>902</v>
      </c>
      <c r="B162" s="32" t="s">
        <v>903</v>
      </c>
      <c r="C162" s="32" t="s">
        <v>905</v>
      </c>
      <c r="D162" s="32" t="s">
        <v>2149</v>
      </c>
      <c r="E162" s="32" t="s">
        <v>2150</v>
      </c>
      <c r="F162" s="32" t="s">
        <v>2151</v>
      </c>
      <c r="G162" s="33" t="s">
        <v>2149</v>
      </c>
      <c r="H162" s="32"/>
    </row>
    <row r="163" spans="1:8" ht="29" x14ac:dyDescent="0.35">
      <c r="A163" s="31" t="s">
        <v>909</v>
      </c>
      <c r="B163" s="32" t="s">
        <v>910</v>
      </c>
      <c r="C163" s="32" t="s">
        <v>912</v>
      </c>
      <c r="D163" s="32" t="s">
        <v>2149</v>
      </c>
      <c r="E163" s="32" t="s">
        <v>2150</v>
      </c>
      <c r="F163" s="32" t="s">
        <v>2151</v>
      </c>
      <c r="G163" s="33" t="s">
        <v>2149</v>
      </c>
      <c r="H163" s="32"/>
    </row>
    <row r="164" spans="1:8" ht="29" x14ac:dyDescent="0.35">
      <c r="A164" s="31" t="s">
        <v>917</v>
      </c>
      <c r="B164" s="32" t="s">
        <v>918</v>
      </c>
      <c r="C164" s="32" t="s">
        <v>919</v>
      </c>
      <c r="D164" s="32" t="s">
        <v>2149</v>
      </c>
      <c r="E164" s="32" t="s">
        <v>2150</v>
      </c>
      <c r="F164" s="32" t="s">
        <v>2151</v>
      </c>
      <c r="G164" s="33" t="s">
        <v>2149</v>
      </c>
      <c r="H164" s="32"/>
    </row>
    <row r="165" spans="1:8" ht="29" x14ac:dyDescent="0.35">
      <c r="A165" s="31" t="s">
        <v>922</v>
      </c>
      <c r="B165" s="32" t="s">
        <v>923</v>
      </c>
      <c r="C165" s="32" t="s">
        <v>924</v>
      </c>
      <c r="D165" s="32" t="s">
        <v>2149</v>
      </c>
      <c r="E165" s="32" t="s">
        <v>2150</v>
      </c>
      <c r="F165" s="32" t="s">
        <v>2151</v>
      </c>
      <c r="G165" s="33" t="s">
        <v>2149</v>
      </c>
      <c r="H165" s="32"/>
    </row>
    <row r="166" spans="1:8" ht="29" x14ac:dyDescent="0.35">
      <c r="A166" s="31" t="s">
        <v>927</v>
      </c>
      <c r="B166" s="32" t="s">
        <v>928</v>
      </c>
      <c r="C166" s="32" t="s">
        <v>929</v>
      </c>
      <c r="D166" s="32" t="s">
        <v>2149</v>
      </c>
      <c r="E166" s="32" t="s">
        <v>2150</v>
      </c>
      <c r="F166" s="32" t="s">
        <v>2151</v>
      </c>
      <c r="G166" s="33" t="s">
        <v>2149</v>
      </c>
      <c r="H166" s="32"/>
    </row>
    <row r="167" spans="1:8" ht="29" x14ac:dyDescent="0.35">
      <c r="A167" s="31" t="s">
        <v>932</v>
      </c>
      <c r="B167" s="32" t="s">
        <v>933</v>
      </c>
      <c r="C167" s="32" t="s">
        <v>934</v>
      </c>
      <c r="D167" s="32" t="s">
        <v>2149</v>
      </c>
      <c r="E167" s="32" t="s">
        <v>2150</v>
      </c>
      <c r="F167" s="32" t="s">
        <v>2151</v>
      </c>
      <c r="G167" s="33" t="s">
        <v>2149</v>
      </c>
      <c r="H167" s="32"/>
    </row>
    <row r="168" spans="1:8" ht="29" x14ac:dyDescent="0.35">
      <c r="A168" s="31" t="s">
        <v>937</v>
      </c>
      <c r="B168" s="32" t="s">
        <v>940</v>
      </c>
      <c r="C168" s="32" t="s">
        <v>941</v>
      </c>
      <c r="D168" s="32" t="s">
        <v>2149</v>
      </c>
      <c r="E168" s="32" t="s">
        <v>2150</v>
      </c>
      <c r="F168" s="32" t="s">
        <v>2151</v>
      </c>
      <c r="G168" s="33" t="s">
        <v>2149</v>
      </c>
      <c r="H168" s="32"/>
    </row>
    <row r="169" spans="1:8" ht="29" x14ac:dyDescent="0.35">
      <c r="A169" s="31" t="s">
        <v>945</v>
      </c>
      <c r="B169" s="32" t="s">
        <v>946</v>
      </c>
      <c r="C169" s="32" t="s">
        <v>947</v>
      </c>
      <c r="D169" s="32" t="s">
        <v>2149</v>
      </c>
      <c r="E169" s="32" t="s">
        <v>2150</v>
      </c>
      <c r="F169" s="32" t="s">
        <v>2151</v>
      </c>
      <c r="G169" s="33" t="s">
        <v>2149</v>
      </c>
      <c r="H169" s="32"/>
    </row>
    <row r="170" spans="1:8" ht="29" x14ac:dyDescent="0.35">
      <c r="A170" s="31" t="s">
        <v>950</v>
      </c>
      <c r="B170" s="32" t="s">
        <v>951</v>
      </c>
      <c r="C170" s="32" t="s">
        <v>952</v>
      </c>
      <c r="D170" s="32" t="s">
        <v>2149</v>
      </c>
      <c r="E170" s="32" t="s">
        <v>2150</v>
      </c>
      <c r="F170" s="32" t="s">
        <v>2151</v>
      </c>
      <c r="G170" s="33" t="s">
        <v>2149</v>
      </c>
      <c r="H170" s="32"/>
    </row>
    <row r="171" spans="1:8" ht="29" x14ac:dyDescent="0.35">
      <c r="A171" s="31" t="s">
        <v>955</v>
      </c>
      <c r="B171" s="32" t="s">
        <v>956</v>
      </c>
      <c r="C171" s="32" t="s">
        <v>957</v>
      </c>
      <c r="D171" s="32" t="s">
        <v>2149</v>
      </c>
      <c r="E171" s="32" t="s">
        <v>2150</v>
      </c>
      <c r="F171" s="32" t="s">
        <v>2151</v>
      </c>
      <c r="G171" s="33" t="s">
        <v>2149</v>
      </c>
      <c r="H171" s="32"/>
    </row>
    <row r="172" spans="1:8" ht="29" x14ac:dyDescent="0.35">
      <c r="A172" s="31" t="s">
        <v>960</v>
      </c>
      <c r="B172" s="32" t="s">
        <v>961</v>
      </c>
      <c r="C172" s="32" t="s">
        <v>962</v>
      </c>
      <c r="D172" s="32" t="s">
        <v>2149</v>
      </c>
      <c r="E172" s="32" t="s">
        <v>2150</v>
      </c>
      <c r="F172" s="32" t="s">
        <v>2151</v>
      </c>
      <c r="G172" s="33" t="s">
        <v>2149</v>
      </c>
      <c r="H172" s="32"/>
    </row>
    <row r="173" spans="1:8" ht="29" x14ac:dyDescent="0.35">
      <c r="A173" s="31" t="s">
        <v>965</v>
      </c>
      <c r="B173" s="32" t="s">
        <v>966</v>
      </c>
      <c r="C173" s="32" t="s">
        <v>967</v>
      </c>
      <c r="D173" s="32" t="s">
        <v>2149</v>
      </c>
      <c r="E173" s="32" t="s">
        <v>2150</v>
      </c>
      <c r="F173" s="32" t="s">
        <v>2151</v>
      </c>
      <c r="G173" s="33" t="s">
        <v>2149</v>
      </c>
      <c r="H173" s="32"/>
    </row>
    <row r="174" spans="1:8" ht="29" x14ac:dyDescent="0.35">
      <c r="A174" s="31" t="s">
        <v>970</v>
      </c>
      <c r="B174" s="32" t="s">
        <v>971</v>
      </c>
      <c r="C174" s="32" t="s">
        <v>972</v>
      </c>
      <c r="D174" s="32" t="s">
        <v>2149</v>
      </c>
      <c r="E174" s="32" t="s">
        <v>2150</v>
      </c>
      <c r="F174" s="32" t="s">
        <v>2151</v>
      </c>
      <c r="G174" s="33" t="s">
        <v>2149</v>
      </c>
      <c r="H174" s="32"/>
    </row>
    <row r="175" spans="1:8" ht="29" x14ac:dyDescent="0.35">
      <c r="A175" s="31" t="s">
        <v>975</v>
      </c>
      <c r="B175" s="32" t="s">
        <v>977</v>
      </c>
      <c r="C175" s="32" t="s">
        <v>978</v>
      </c>
      <c r="D175" s="32" t="s">
        <v>2149</v>
      </c>
      <c r="E175" s="32" t="s">
        <v>2150</v>
      </c>
      <c r="F175" s="32" t="s">
        <v>2151</v>
      </c>
      <c r="G175" s="33" t="s">
        <v>2149</v>
      </c>
      <c r="H175" s="32"/>
    </row>
    <row r="176" spans="1:8" ht="29" x14ac:dyDescent="0.35">
      <c r="A176" s="31" t="s">
        <v>982</v>
      </c>
      <c r="B176" s="32" t="s">
        <v>983</v>
      </c>
      <c r="C176" s="32" t="s">
        <v>984</v>
      </c>
      <c r="D176" s="32" t="s">
        <v>2149</v>
      </c>
      <c r="E176" s="32" t="s">
        <v>2150</v>
      </c>
      <c r="F176" s="32" t="s">
        <v>2151</v>
      </c>
      <c r="G176" s="33" t="s">
        <v>2149</v>
      </c>
      <c r="H176" s="32"/>
    </row>
    <row r="177" spans="1:8" ht="29" x14ac:dyDescent="0.35">
      <c r="A177" s="31" t="s">
        <v>987</v>
      </c>
      <c r="B177" s="32" t="s">
        <v>988</v>
      </c>
      <c r="C177" s="32" t="s">
        <v>989</v>
      </c>
      <c r="D177" s="32" t="s">
        <v>2149</v>
      </c>
      <c r="E177" s="32" t="s">
        <v>2150</v>
      </c>
      <c r="F177" s="32" t="s">
        <v>2151</v>
      </c>
      <c r="G177" s="33" t="s">
        <v>2149</v>
      </c>
      <c r="H177" s="32"/>
    </row>
    <row r="178" spans="1:8" ht="29" x14ac:dyDescent="0.35">
      <c r="A178" s="31" t="s">
        <v>992</v>
      </c>
      <c r="B178" s="32" t="s">
        <v>993</v>
      </c>
      <c r="C178" s="32" t="s">
        <v>994</v>
      </c>
      <c r="D178" s="32" t="s">
        <v>2149</v>
      </c>
      <c r="E178" s="32" t="s">
        <v>2150</v>
      </c>
      <c r="F178" s="32" t="s">
        <v>2151</v>
      </c>
      <c r="G178" s="33" t="s">
        <v>2149</v>
      </c>
      <c r="H178" s="32"/>
    </row>
    <row r="179" spans="1:8" ht="29" x14ac:dyDescent="0.35">
      <c r="A179" s="31" t="s">
        <v>997</v>
      </c>
      <c r="B179" s="32" t="s">
        <v>998</v>
      </c>
      <c r="C179" s="32" t="s">
        <v>999</v>
      </c>
      <c r="D179" s="32" t="s">
        <v>2149</v>
      </c>
      <c r="E179" s="32" t="s">
        <v>2150</v>
      </c>
      <c r="F179" s="32" t="s">
        <v>2151</v>
      </c>
      <c r="G179" s="33" t="s">
        <v>2149</v>
      </c>
      <c r="H179" s="32"/>
    </row>
    <row r="180" spans="1:8" ht="29" x14ac:dyDescent="0.35">
      <c r="A180" s="31" t="s">
        <v>1002</v>
      </c>
      <c r="B180" s="32" t="s">
        <v>1004</v>
      </c>
      <c r="C180" s="32" t="s">
        <v>1005</v>
      </c>
      <c r="D180" s="32" t="s">
        <v>2149</v>
      </c>
      <c r="E180" s="32" t="s">
        <v>2150</v>
      </c>
      <c r="F180" s="32" t="s">
        <v>2151</v>
      </c>
      <c r="G180" s="33" t="s">
        <v>2149</v>
      </c>
      <c r="H180" s="32"/>
    </row>
    <row r="181" spans="1:8" ht="29" x14ac:dyDescent="0.35">
      <c r="A181" s="31" t="s">
        <v>1009</v>
      </c>
      <c r="B181" s="32" t="s">
        <v>1010</v>
      </c>
      <c r="C181" s="32" t="s">
        <v>1011</v>
      </c>
      <c r="D181" s="32" t="s">
        <v>2149</v>
      </c>
      <c r="E181" s="32" t="s">
        <v>2150</v>
      </c>
      <c r="F181" s="32" t="s">
        <v>2151</v>
      </c>
      <c r="G181" s="33" t="s">
        <v>2149</v>
      </c>
      <c r="H181" s="32"/>
    </row>
    <row r="182" spans="1:8" ht="29" x14ac:dyDescent="0.35">
      <c r="A182" s="31" t="s">
        <v>1014</v>
      </c>
      <c r="B182" s="32" t="s">
        <v>1016</v>
      </c>
      <c r="C182" s="32" t="s">
        <v>1017</v>
      </c>
      <c r="D182" s="32" t="s">
        <v>2149</v>
      </c>
      <c r="E182" s="32" t="s">
        <v>2150</v>
      </c>
      <c r="F182" s="32" t="s">
        <v>2151</v>
      </c>
      <c r="G182" s="33" t="s">
        <v>2149</v>
      </c>
      <c r="H182" s="32"/>
    </row>
    <row r="183" spans="1:8" ht="29" x14ac:dyDescent="0.35">
      <c r="A183" s="31" t="s">
        <v>1020</v>
      </c>
      <c r="B183" s="32" t="s">
        <v>1022</v>
      </c>
      <c r="C183" s="32" t="s">
        <v>1023</v>
      </c>
      <c r="D183" s="32" t="s">
        <v>2149</v>
      </c>
      <c r="E183" s="32" t="s">
        <v>2150</v>
      </c>
      <c r="F183" s="32" t="s">
        <v>2151</v>
      </c>
      <c r="G183" s="33" t="s">
        <v>2149</v>
      </c>
      <c r="H183" s="32"/>
    </row>
    <row r="184" spans="1:8" ht="29" x14ac:dyDescent="0.35">
      <c r="A184" s="31" t="s">
        <v>1026</v>
      </c>
      <c r="B184" s="32" t="s">
        <v>1027</v>
      </c>
      <c r="C184" s="32" t="s">
        <v>1028</v>
      </c>
      <c r="D184" s="32" t="s">
        <v>2149</v>
      </c>
      <c r="E184" s="32" t="s">
        <v>2150</v>
      </c>
      <c r="F184" s="32" t="s">
        <v>2151</v>
      </c>
      <c r="G184" s="33" t="s">
        <v>2149</v>
      </c>
      <c r="H184" s="32"/>
    </row>
    <row r="185" spans="1:8" ht="29" x14ac:dyDescent="0.35">
      <c r="A185" s="31" t="s">
        <v>1031</v>
      </c>
      <c r="B185" s="32" t="s">
        <v>1034</v>
      </c>
      <c r="C185" s="32" t="s">
        <v>1035</v>
      </c>
      <c r="D185" s="32" t="s">
        <v>2149</v>
      </c>
      <c r="E185" s="32" t="s">
        <v>2150</v>
      </c>
      <c r="F185" s="32" t="s">
        <v>2151</v>
      </c>
      <c r="G185" s="33" t="s">
        <v>2149</v>
      </c>
      <c r="H185" s="32"/>
    </row>
    <row r="186" spans="1:8" ht="29" x14ac:dyDescent="0.35">
      <c r="A186" s="31" t="s">
        <v>1039</v>
      </c>
      <c r="B186" s="32" t="s">
        <v>1042</v>
      </c>
      <c r="C186" s="32" t="s">
        <v>1043</v>
      </c>
      <c r="D186" s="32" t="s">
        <v>2149</v>
      </c>
      <c r="E186" s="32" t="s">
        <v>2150</v>
      </c>
      <c r="F186" s="32" t="s">
        <v>2151</v>
      </c>
      <c r="G186" s="33" t="s">
        <v>2149</v>
      </c>
      <c r="H186" s="32"/>
    </row>
    <row r="187" spans="1:8" ht="29" x14ac:dyDescent="0.35">
      <c r="A187" s="31" t="s">
        <v>1047</v>
      </c>
      <c r="B187" s="32" t="s">
        <v>1051</v>
      </c>
      <c r="C187" s="32" t="s">
        <v>1052</v>
      </c>
      <c r="D187" s="32" t="s">
        <v>2149</v>
      </c>
      <c r="E187" s="32" t="s">
        <v>2150</v>
      </c>
      <c r="F187" s="32" t="s">
        <v>2151</v>
      </c>
      <c r="G187" s="33" t="s">
        <v>2149</v>
      </c>
      <c r="H187" s="32"/>
    </row>
    <row r="188" spans="1:8" ht="29" x14ac:dyDescent="0.35">
      <c r="A188" s="31" t="s">
        <v>1056</v>
      </c>
      <c r="B188" s="32" t="s">
        <v>1059</v>
      </c>
      <c r="C188" s="32" t="s">
        <v>1060</v>
      </c>
      <c r="D188" s="32" t="s">
        <v>2149</v>
      </c>
      <c r="E188" s="32" t="s">
        <v>2150</v>
      </c>
      <c r="F188" s="32" t="s">
        <v>2151</v>
      </c>
      <c r="G188" s="33" t="s">
        <v>2149</v>
      </c>
      <c r="H188" s="32"/>
    </row>
    <row r="189" spans="1:8" ht="29" x14ac:dyDescent="0.35">
      <c r="A189" s="31" t="s">
        <v>1064</v>
      </c>
      <c r="B189" s="32" t="s">
        <v>1066</v>
      </c>
      <c r="C189" s="32" t="s">
        <v>1067</v>
      </c>
      <c r="D189" s="32" t="s">
        <v>2149</v>
      </c>
      <c r="E189" s="32" t="s">
        <v>2150</v>
      </c>
      <c r="F189" s="32" t="s">
        <v>2151</v>
      </c>
      <c r="G189" s="33" t="s">
        <v>2149</v>
      </c>
      <c r="H189" s="32"/>
    </row>
    <row r="190" spans="1:8" ht="29" x14ac:dyDescent="0.35">
      <c r="A190" s="31" t="s">
        <v>1071</v>
      </c>
      <c r="B190" s="32" t="s">
        <v>1074</v>
      </c>
      <c r="C190" s="32" t="s">
        <v>1075</v>
      </c>
      <c r="D190" s="32" t="s">
        <v>2149</v>
      </c>
      <c r="E190" s="32" t="s">
        <v>2150</v>
      </c>
      <c r="F190" s="32" t="s">
        <v>2151</v>
      </c>
      <c r="G190" s="33" t="s">
        <v>2149</v>
      </c>
      <c r="H190" s="32"/>
    </row>
    <row r="191" spans="1:8" ht="29" x14ac:dyDescent="0.35">
      <c r="A191" s="31" t="s">
        <v>1079</v>
      </c>
      <c r="B191" s="32" t="s">
        <v>1081</v>
      </c>
      <c r="C191" s="32" t="s">
        <v>1082</v>
      </c>
      <c r="D191" s="32" t="s">
        <v>2149</v>
      </c>
      <c r="E191" s="32" t="s">
        <v>2150</v>
      </c>
      <c r="F191" s="32" t="s">
        <v>2151</v>
      </c>
      <c r="G191" s="33" t="s">
        <v>2149</v>
      </c>
      <c r="H191" s="32"/>
    </row>
    <row r="192" spans="1:8" ht="29" x14ac:dyDescent="0.35">
      <c r="A192" s="31" t="s">
        <v>1085</v>
      </c>
      <c r="B192" s="32" t="s">
        <v>1086</v>
      </c>
      <c r="C192" s="32" t="s">
        <v>1087</v>
      </c>
      <c r="D192" s="32" t="s">
        <v>2149</v>
      </c>
      <c r="E192" s="32" t="s">
        <v>2150</v>
      </c>
      <c r="F192" s="32" t="s">
        <v>2151</v>
      </c>
      <c r="G192" s="33" t="s">
        <v>2149</v>
      </c>
      <c r="H192" s="32"/>
    </row>
    <row r="193" spans="1:8" ht="29" x14ac:dyDescent="0.35">
      <c r="A193" s="31" t="s">
        <v>1090</v>
      </c>
      <c r="B193" s="32" t="s">
        <v>1092</v>
      </c>
      <c r="C193" s="32" t="s">
        <v>1094</v>
      </c>
      <c r="D193" s="32" t="s">
        <v>2149</v>
      </c>
      <c r="E193" s="32" t="s">
        <v>2150</v>
      </c>
      <c r="F193" s="32" t="s">
        <v>2151</v>
      </c>
      <c r="G193" s="33" t="s">
        <v>2149</v>
      </c>
      <c r="H193" s="32"/>
    </row>
    <row r="194" spans="1:8" ht="29" x14ac:dyDescent="0.35">
      <c r="A194" s="31" t="s">
        <v>1100</v>
      </c>
      <c r="B194" s="32" t="s">
        <v>1092</v>
      </c>
      <c r="C194" s="32" t="s">
        <v>1102</v>
      </c>
      <c r="D194" s="32" t="s">
        <v>2149</v>
      </c>
      <c r="E194" s="32" t="s">
        <v>2150</v>
      </c>
      <c r="F194" s="32" t="s">
        <v>2151</v>
      </c>
      <c r="G194" s="33" t="s">
        <v>2149</v>
      </c>
      <c r="H194" s="32"/>
    </row>
    <row r="195" spans="1:8" ht="29" x14ac:dyDescent="0.35">
      <c r="A195" s="31" t="s">
        <v>1106</v>
      </c>
      <c r="B195" s="32" t="s">
        <v>1092</v>
      </c>
      <c r="C195" s="32" t="s">
        <v>1108</v>
      </c>
      <c r="D195" s="32" t="s">
        <v>2149</v>
      </c>
      <c r="E195" s="32" t="s">
        <v>2150</v>
      </c>
      <c r="F195" s="32" t="s">
        <v>2151</v>
      </c>
      <c r="G195" s="33" t="s">
        <v>2149</v>
      </c>
      <c r="H195" s="32"/>
    </row>
    <row r="196" spans="1:8" ht="29" x14ac:dyDescent="0.35">
      <c r="A196" s="31" t="s">
        <v>1112</v>
      </c>
      <c r="B196" s="32" t="s">
        <v>1092</v>
      </c>
      <c r="C196" s="32" t="s">
        <v>1114</v>
      </c>
      <c r="D196" s="32" t="s">
        <v>2149</v>
      </c>
      <c r="E196" s="32" t="s">
        <v>2150</v>
      </c>
      <c r="F196" s="32" t="s">
        <v>2151</v>
      </c>
      <c r="G196" s="33" t="s">
        <v>2149</v>
      </c>
      <c r="H196" s="32"/>
    </row>
    <row r="197" spans="1:8" ht="29" x14ac:dyDescent="0.35">
      <c r="A197" s="31" t="s">
        <v>1118</v>
      </c>
      <c r="B197" s="32" t="s">
        <v>1119</v>
      </c>
      <c r="C197" s="32" t="s">
        <v>1120</v>
      </c>
      <c r="D197" s="32" t="s">
        <v>2149</v>
      </c>
      <c r="E197" s="32" t="s">
        <v>2150</v>
      </c>
      <c r="F197" s="32" t="s">
        <v>2151</v>
      </c>
      <c r="G197" s="33" t="s">
        <v>2149</v>
      </c>
      <c r="H197" s="32"/>
    </row>
    <row r="198" spans="1:8" ht="29" x14ac:dyDescent="0.35">
      <c r="A198" s="31" t="s">
        <v>1123</v>
      </c>
      <c r="B198" s="32" t="s">
        <v>1124</v>
      </c>
      <c r="C198" s="32" t="s">
        <v>1125</v>
      </c>
      <c r="D198" s="32" t="s">
        <v>2149</v>
      </c>
      <c r="E198" s="32" t="s">
        <v>2150</v>
      </c>
      <c r="F198" s="32" t="s">
        <v>2151</v>
      </c>
      <c r="G198" s="33" t="s">
        <v>2149</v>
      </c>
      <c r="H198" s="32"/>
    </row>
    <row r="199" spans="1:8" ht="29" x14ac:dyDescent="0.35">
      <c r="A199" s="31" t="s">
        <v>1128</v>
      </c>
      <c r="B199" s="32" t="s">
        <v>1131</v>
      </c>
      <c r="C199" s="32" t="s">
        <v>1132</v>
      </c>
      <c r="D199" s="32" t="s">
        <v>2149</v>
      </c>
      <c r="E199" s="32" t="s">
        <v>2150</v>
      </c>
      <c r="F199" s="32" t="s">
        <v>2151</v>
      </c>
      <c r="G199" s="33" t="s">
        <v>2149</v>
      </c>
      <c r="H199" s="32"/>
    </row>
    <row r="200" spans="1:8" ht="29" x14ac:dyDescent="0.35">
      <c r="A200" s="31" t="s">
        <v>1136</v>
      </c>
      <c r="B200" s="32" t="s">
        <v>1138</v>
      </c>
      <c r="C200" s="32" t="s">
        <v>1139</v>
      </c>
      <c r="D200" s="32" t="s">
        <v>2149</v>
      </c>
      <c r="E200" s="32" t="s">
        <v>2150</v>
      </c>
      <c r="F200" s="32" t="s">
        <v>2151</v>
      </c>
      <c r="G200" s="33" t="s">
        <v>2149</v>
      </c>
      <c r="H200" s="32"/>
    </row>
    <row r="201" spans="1:8" ht="29" x14ac:dyDescent="0.35">
      <c r="A201" s="31" t="s">
        <v>1142</v>
      </c>
      <c r="B201" s="32" t="s">
        <v>1144</v>
      </c>
      <c r="C201" s="32" t="s">
        <v>1145</v>
      </c>
      <c r="D201" s="32" t="s">
        <v>2149</v>
      </c>
      <c r="E201" s="32" t="s">
        <v>2150</v>
      </c>
      <c r="F201" s="32" t="s">
        <v>2151</v>
      </c>
      <c r="G201" s="33" t="s">
        <v>2149</v>
      </c>
      <c r="H201" s="32"/>
    </row>
    <row r="202" spans="1:8" ht="29" x14ac:dyDescent="0.35">
      <c r="A202" s="31" t="s">
        <v>1148</v>
      </c>
      <c r="B202" s="32" t="s">
        <v>1150</v>
      </c>
      <c r="C202" s="32" t="s">
        <v>1151</v>
      </c>
      <c r="D202" s="32" t="s">
        <v>2149</v>
      </c>
      <c r="E202" s="32" t="s">
        <v>2150</v>
      </c>
      <c r="F202" s="32" t="s">
        <v>2151</v>
      </c>
      <c r="G202" s="33" t="s">
        <v>2149</v>
      </c>
      <c r="H202" s="32"/>
    </row>
    <row r="203" spans="1:8" ht="29" x14ac:dyDescent="0.35">
      <c r="A203" s="31" t="s">
        <v>1154</v>
      </c>
      <c r="B203" s="32" t="s">
        <v>1155</v>
      </c>
      <c r="C203" s="32" t="s">
        <v>1156</v>
      </c>
      <c r="D203" s="32" t="s">
        <v>2149</v>
      </c>
      <c r="E203" s="32" t="s">
        <v>2150</v>
      </c>
      <c r="F203" s="32" t="s">
        <v>2151</v>
      </c>
      <c r="G203" s="33" t="s">
        <v>2149</v>
      </c>
      <c r="H203" s="32"/>
    </row>
    <row r="204" spans="1:8" ht="29" x14ac:dyDescent="0.35">
      <c r="A204" s="31" t="s">
        <v>1159</v>
      </c>
      <c r="B204" s="32" t="s">
        <v>1162</v>
      </c>
      <c r="C204" s="32" t="s">
        <v>1163</v>
      </c>
      <c r="D204" s="32" t="s">
        <v>2149</v>
      </c>
      <c r="E204" s="32" t="s">
        <v>2150</v>
      </c>
      <c r="F204" s="32" t="s">
        <v>2151</v>
      </c>
      <c r="G204" s="33" t="s">
        <v>2149</v>
      </c>
      <c r="H204" s="32"/>
    </row>
    <row r="205" spans="1:8" ht="29" x14ac:dyDescent="0.35">
      <c r="A205" s="31" t="s">
        <v>1167</v>
      </c>
      <c r="B205" s="32" t="s">
        <v>1169</v>
      </c>
      <c r="C205" s="32" t="s">
        <v>1170</v>
      </c>
      <c r="D205" s="32" t="s">
        <v>2149</v>
      </c>
      <c r="E205" s="32" t="s">
        <v>2150</v>
      </c>
      <c r="F205" s="32" t="s">
        <v>2151</v>
      </c>
      <c r="G205" s="33" t="s">
        <v>2149</v>
      </c>
      <c r="H205" s="32"/>
    </row>
    <row r="206" spans="1:8" ht="29" x14ac:dyDescent="0.35">
      <c r="A206" s="31" t="s">
        <v>1173</v>
      </c>
      <c r="B206" s="32" t="s">
        <v>1176</v>
      </c>
      <c r="C206" s="32" t="s">
        <v>1177</v>
      </c>
      <c r="D206" s="32" t="s">
        <v>2149</v>
      </c>
      <c r="E206" s="32" t="s">
        <v>2150</v>
      </c>
      <c r="F206" s="32" t="s">
        <v>2151</v>
      </c>
      <c r="G206" s="33" t="s">
        <v>2149</v>
      </c>
      <c r="H206" s="32"/>
    </row>
    <row r="207" spans="1:8" ht="29" x14ac:dyDescent="0.35">
      <c r="A207" s="31" t="s">
        <v>1181</v>
      </c>
      <c r="B207" s="32" t="s">
        <v>1182</v>
      </c>
      <c r="C207" s="32" t="s">
        <v>1183</v>
      </c>
      <c r="D207" s="32" t="s">
        <v>2149</v>
      </c>
      <c r="E207" s="32" t="s">
        <v>2150</v>
      </c>
      <c r="F207" s="32" t="s">
        <v>2151</v>
      </c>
      <c r="G207" s="33" t="s">
        <v>2149</v>
      </c>
      <c r="H207" s="32"/>
    </row>
    <row r="208" spans="1:8" ht="29" x14ac:dyDescent="0.35">
      <c r="A208" s="31" t="s">
        <v>1186</v>
      </c>
      <c r="B208" s="32" t="s">
        <v>1187</v>
      </c>
      <c r="C208" s="32" t="s">
        <v>1188</v>
      </c>
      <c r="D208" s="32" t="s">
        <v>2149</v>
      </c>
      <c r="E208" s="32" t="s">
        <v>2150</v>
      </c>
      <c r="F208" s="32" t="s">
        <v>2151</v>
      </c>
      <c r="G208" s="33" t="s">
        <v>2149</v>
      </c>
      <c r="H208" s="32"/>
    </row>
    <row r="209" spans="1:8" ht="29" x14ac:dyDescent="0.35">
      <c r="A209" s="31" t="s">
        <v>1191</v>
      </c>
      <c r="B209" s="32" t="s">
        <v>1192</v>
      </c>
      <c r="C209" s="32" t="s">
        <v>1193</v>
      </c>
      <c r="D209" s="32" t="s">
        <v>2149</v>
      </c>
      <c r="E209" s="32" t="s">
        <v>2150</v>
      </c>
      <c r="F209" s="32" t="s">
        <v>2151</v>
      </c>
      <c r="G209" s="33" t="s">
        <v>2149</v>
      </c>
      <c r="H209" s="32"/>
    </row>
    <row r="210" spans="1:8" ht="29" x14ac:dyDescent="0.35">
      <c r="A210" s="31" t="s">
        <v>1196</v>
      </c>
      <c r="B210" s="32" t="s">
        <v>1197</v>
      </c>
      <c r="C210" s="32" t="s">
        <v>1198</v>
      </c>
      <c r="D210" s="32" t="s">
        <v>2149</v>
      </c>
      <c r="E210" s="32" t="s">
        <v>2150</v>
      </c>
      <c r="F210" s="32" t="s">
        <v>2151</v>
      </c>
      <c r="G210" s="33" t="s">
        <v>2149</v>
      </c>
      <c r="H210" s="32"/>
    </row>
    <row r="211" spans="1:8" ht="29" x14ac:dyDescent="0.35">
      <c r="A211" s="31" t="s">
        <v>1201</v>
      </c>
      <c r="B211" s="32" t="s">
        <v>1202</v>
      </c>
      <c r="C211" s="32" t="s">
        <v>1203</v>
      </c>
      <c r="D211" s="32" t="s">
        <v>2149</v>
      </c>
      <c r="E211" s="32" t="s">
        <v>2150</v>
      </c>
      <c r="F211" s="32" t="s">
        <v>2151</v>
      </c>
      <c r="G211" s="33" t="s">
        <v>2149</v>
      </c>
      <c r="H211" s="32"/>
    </row>
    <row r="212" spans="1:8" ht="29" x14ac:dyDescent="0.35">
      <c r="A212" s="31" t="s">
        <v>1206</v>
      </c>
      <c r="B212" s="32" t="s">
        <v>1210</v>
      </c>
      <c r="C212" s="32" t="s">
        <v>1211</v>
      </c>
      <c r="D212" s="32" t="s">
        <v>2149</v>
      </c>
      <c r="E212" s="32" t="s">
        <v>2150</v>
      </c>
      <c r="F212" s="32" t="s">
        <v>2151</v>
      </c>
      <c r="G212" s="33" t="s">
        <v>2149</v>
      </c>
      <c r="H212" s="32"/>
    </row>
    <row r="213" spans="1:8" ht="29" x14ac:dyDescent="0.35">
      <c r="A213" s="31" t="s">
        <v>1215</v>
      </c>
      <c r="B213" s="32" t="s">
        <v>1216</v>
      </c>
      <c r="C213" s="32" t="s">
        <v>1217</v>
      </c>
      <c r="D213" s="32" t="s">
        <v>2149</v>
      </c>
      <c r="E213" s="32" t="s">
        <v>2150</v>
      </c>
      <c r="F213" s="32" t="s">
        <v>2151</v>
      </c>
      <c r="G213" s="33" t="s">
        <v>2149</v>
      </c>
      <c r="H213" s="32"/>
    </row>
    <row r="214" spans="1:8" ht="29" x14ac:dyDescent="0.35">
      <c r="A214" s="31" t="s">
        <v>1220</v>
      </c>
      <c r="B214" s="32" t="s">
        <v>1221</v>
      </c>
      <c r="C214" s="32" t="s">
        <v>1222</v>
      </c>
      <c r="D214" s="32" t="s">
        <v>2149</v>
      </c>
      <c r="E214" s="32" t="s">
        <v>2150</v>
      </c>
      <c r="F214" s="32" t="s">
        <v>2151</v>
      </c>
      <c r="G214" s="33" t="s">
        <v>2149</v>
      </c>
      <c r="H214" s="32"/>
    </row>
    <row r="215" spans="1:8" ht="29" x14ac:dyDescent="0.35">
      <c r="A215" s="31" t="s">
        <v>1225</v>
      </c>
      <c r="B215" s="32" t="s">
        <v>1227</v>
      </c>
      <c r="C215" s="32" t="s">
        <v>1229</v>
      </c>
      <c r="D215" s="32" t="s">
        <v>2149</v>
      </c>
      <c r="E215" s="32" t="s">
        <v>2150</v>
      </c>
      <c r="F215" s="32" t="s">
        <v>2151</v>
      </c>
      <c r="G215" s="33" t="s">
        <v>2149</v>
      </c>
      <c r="H215" s="32"/>
    </row>
    <row r="216" spans="1:8" ht="29" x14ac:dyDescent="0.35">
      <c r="A216" s="31" t="s">
        <v>1233</v>
      </c>
      <c r="B216" s="32" t="s">
        <v>1234</v>
      </c>
      <c r="C216" s="32" t="s">
        <v>1236</v>
      </c>
      <c r="D216" s="32" t="s">
        <v>2149</v>
      </c>
      <c r="E216" s="32" t="s">
        <v>2150</v>
      </c>
      <c r="F216" s="32" t="s">
        <v>2151</v>
      </c>
      <c r="G216" s="33" t="s">
        <v>2149</v>
      </c>
      <c r="H216" s="32"/>
    </row>
    <row r="217" spans="1:8" ht="29" x14ac:dyDescent="0.35">
      <c r="A217" s="31" t="s">
        <v>1239</v>
      </c>
      <c r="B217" s="32" t="s">
        <v>1240</v>
      </c>
      <c r="C217" s="32" t="s">
        <v>1241</v>
      </c>
      <c r="D217" s="32" t="s">
        <v>2149</v>
      </c>
      <c r="E217" s="32" t="s">
        <v>2150</v>
      </c>
      <c r="F217" s="32" t="s">
        <v>2151</v>
      </c>
      <c r="G217" s="33" t="s">
        <v>2149</v>
      </c>
      <c r="H217" s="32"/>
    </row>
    <row r="218" spans="1:8" ht="29" x14ac:dyDescent="0.35">
      <c r="A218" s="31" t="s">
        <v>1244</v>
      </c>
      <c r="B218" s="32" t="s">
        <v>1245</v>
      </c>
      <c r="C218" s="32" t="s">
        <v>1246</v>
      </c>
      <c r="D218" s="32" t="s">
        <v>2149</v>
      </c>
      <c r="E218" s="32" t="s">
        <v>2150</v>
      </c>
      <c r="F218" s="32" t="s">
        <v>2151</v>
      </c>
      <c r="G218" s="33" t="s">
        <v>2149</v>
      </c>
      <c r="H218" s="32"/>
    </row>
    <row r="219" spans="1:8" ht="29" x14ac:dyDescent="0.35">
      <c r="A219" s="31" t="s">
        <v>1249</v>
      </c>
      <c r="B219" s="32" t="s">
        <v>1250</v>
      </c>
      <c r="C219" s="32" t="s">
        <v>1251</v>
      </c>
      <c r="D219" s="32" t="s">
        <v>2149</v>
      </c>
      <c r="E219" s="32" t="s">
        <v>2150</v>
      </c>
      <c r="F219" s="32" t="s">
        <v>2151</v>
      </c>
      <c r="G219" s="33" t="s">
        <v>2149</v>
      </c>
      <c r="H219" s="32"/>
    </row>
    <row r="220" spans="1:8" ht="29" x14ac:dyDescent="0.35">
      <c r="A220" s="31" t="s">
        <v>1254</v>
      </c>
      <c r="B220" s="32" t="s">
        <v>1256</v>
      </c>
      <c r="C220" s="32" t="s">
        <v>1257</v>
      </c>
      <c r="D220" s="32" t="s">
        <v>2149</v>
      </c>
      <c r="E220" s="32" t="s">
        <v>2150</v>
      </c>
      <c r="F220" s="32" t="s">
        <v>2151</v>
      </c>
      <c r="G220" s="33" t="s">
        <v>2149</v>
      </c>
      <c r="H220" s="32"/>
    </row>
    <row r="221" spans="1:8" ht="29" x14ac:dyDescent="0.35">
      <c r="A221" s="31" t="s">
        <v>1261</v>
      </c>
      <c r="B221" s="32" t="s">
        <v>1262</v>
      </c>
      <c r="C221" s="32" t="s">
        <v>1263</v>
      </c>
      <c r="D221" s="32" t="s">
        <v>2149</v>
      </c>
      <c r="E221" s="32" t="s">
        <v>2150</v>
      </c>
      <c r="F221" s="32" t="s">
        <v>2151</v>
      </c>
      <c r="G221" s="33" t="s">
        <v>2149</v>
      </c>
      <c r="H221" s="32"/>
    </row>
    <row r="222" spans="1:8" ht="29" x14ac:dyDescent="0.35">
      <c r="A222" s="31" t="s">
        <v>1266</v>
      </c>
      <c r="B222" s="32" t="s">
        <v>1267</v>
      </c>
      <c r="C222" s="32" t="s">
        <v>1268</v>
      </c>
      <c r="D222" s="32" t="s">
        <v>2149</v>
      </c>
      <c r="E222" s="32" t="s">
        <v>2150</v>
      </c>
      <c r="F222" s="32" t="s">
        <v>2151</v>
      </c>
      <c r="G222" s="33" t="s">
        <v>2149</v>
      </c>
      <c r="H222" s="32"/>
    </row>
    <row r="223" spans="1:8" ht="29" x14ac:dyDescent="0.35">
      <c r="A223" s="31" t="s">
        <v>1271</v>
      </c>
      <c r="B223" s="32" t="s">
        <v>1272</v>
      </c>
      <c r="C223" s="32" t="s">
        <v>1273</v>
      </c>
      <c r="D223" s="32" t="s">
        <v>2149</v>
      </c>
      <c r="E223" s="32" t="s">
        <v>2150</v>
      </c>
      <c r="F223" s="32" t="s">
        <v>2151</v>
      </c>
      <c r="G223" s="33" t="s">
        <v>2149</v>
      </c>
      <c r="H223" s="32"/>
    </row>
    <row r="224" spans="1:8" ht="29" x14ac:dyDescent="0.35">
      <c r="A224" s="31" t="s">
        <v>1276</v>
      </c>
      <c r="B224" s="32" t="s">
        <v>1278</v>
      </c>
      <c r="C224" s="32" t="s">
        <v>1279</v>
      </c>
      <c r="D224" s="32" t="s">
        <v>2149</v>
      </c>
      <c r="E224" s="32" t="s">
        <v>2150</v>
      </c>
      <c r="F224" s="32" t="s">
        <v>2151</v>
      </c>
      <c r="G224" s="33" t="s">
        <v>2149</v>
      </c>
      <c r="H224" s="32"/>
    </row>
    <row r="225" spans="1:8" ht="29" x14ac:dyDescent="0.35">
      <c r="A225" s="31" t="s">
        <v>1283</v>
      </c>
      <c r="B225" s="32" t="s">
        <v>1284</v>
      </c>
      <c r="C225" s="32" t="s">
        <v>1285</v>
      </c>
      <c r="D225" s="32" t="s">
        <v>2149</v>
      </c>
      <c r="E225" s="32" t="s">
        <v>2150</v>
      </c>
      <c r="F225" s="32" t="s">
        <v>2151</v>
      </c>
      <c r="G225" s="33" t="s">
        <v>2149</v>
      </c>
      <c r="H225" s="32"/>
    </row>
    <row r="226" spans="1:8" ht="29" x14ac:dyDescent="0.35">
      <c r="A226" s="31" t="s">
        <v>1288</v>
      </c>
      <c r="B226" s="32" t="s">
        <v>1289</v>
      </c>
      <c r="C226" s="32" t="s">
        <v>1290</v>
      </c>
      <c r="D226" s="32" t="s">
        <v>2149</v>
      </c>
      <c r="E226" s="32" t="s">
        <v>2150</v>
      </c>
      <c r="F226" s="32" t="s">
        <v>2151</v>
      </c>
      <c r="G226" s="33" t="s">
        <v>2149</v>
      </c>
      <c r="H226" s="32"/>
    </row>
    <row r="227" spans="1:8" ht="29" x14ac:dyDescent="0.35">
      <c r="A227" s="31" t="s">
        <v>1293</v>
      </c>
      <c r="B227" s="32" t="s">
        <v>1294</v>
      </c>
      <c r="C227" s="32" t="s">
        <v>1295</v>
      </c>
      <c r="D227" s="32" t="s">
        <v>2149</v>
      </c>
      <c r="E227" s="32" t="s">
        <v>2150</v>
      </c>
      <c r="F227" s="32" t="s">
        <v>2151</v>
      </c>
      <c r="G227" s="33" t="s">
        <v>2149</v>
      </c>
      <c r="H227" s="32"/>
    </row>
    <row r="228" spans="1:8" ht="29" x14ac:dyDescent="0.35">
      <c r="A228" s="31" t="s">
        <v>1298</v>
      </c>
      <c r="B228" s="32" t="s">
        <v>1299</v>
      </c>
      <c r="C228" s="32" t="s">
        <v>1300</v>
      </c>
      <c r="D228" s="32" t="s">
        <v>2149</v>
      </c>
      <c r="E228" s="32" t="s">
        <v>2150</v>
      </c>
      <c r="F228" s="32" t="s">
        <v>2151</v>
      </c>
      <c r="G228" s="33" t="s">
        <v>2149</v>
      </c>
      <c r="H228" s="32"/>
    </row>
    <row r="229" spans="1:8" ht="29" x14ac:dyDescent="0.35">
      <c r="A229" s="31" t="s">
        <v>1303</v>
      </c>
      <c r="B229" s="32" t="s">
        <v>1305</v>
      </c>
      <c r="C229" s="32" t="s">
        <v>1306</v>
      </c>
      <c r="D229" s="32" t="s">
        <v>2149</v>
      </c>
      <c r="E229" s="32" t="s">
        <v>2150</v>
      </c>
      <c r="F229" s="32" t="s">
        <v>2151</v>
      </c>
      <c r="G229" s="33" t="s">
        <v>2149</v>
      </c>
      <c r="H229" s="32"/>
    </row>
    <row r="230" spans="1:8" ht="29" x14ac:dyDescent="0.35">
      <c r="A230" s="31" t="s">
        <v>1310</v>
      </c>
      <c r="B230" s="32" t="s">
        <v>1311</v>
      </c>
      <c r="C230" s="32" t="s">
        <v>1312</v>
      </c>
      <c r="D230" s="32" t="s">
        <v>2149</v>
      </c>
      <c r="E230" s="32" t="s">
        <v>2150</v>
      </c>
      <c r="F230" s="32" t="s">
        <v>2151</v>
      </c>
      <c r="G230" s="33" t="s">
        <v>2149</v>
      </c>
      <c r="H230" s="32"/>
    </row>
    <row r="231" spans="1:8" ht="29" x14ac:dyDescent="0.35">
      <c r="A231" s="31" t="s">
        <v>1315</v>
      </c>
      <c r="B231" s="32" t="s">
        <v>1317</v>
      </c>
      <c r="C231" s="32" t="s">
        <v>1318</v>
      </c>
      <c r="D231" s="32" t="s">
        <v>2149</v>
      </c>
      <c r="E231" s="32" t="s">
        <v>2150</v>
      </c>
      <c r="F231" s="32" t="s">
        <v>2151</v>
      </c>
      <c r="G231" s="33" t="s">
        <v>2149</v>
      </c>
      <c r="H231" s="32"/>
    </row>
    <row r="232" spans="1:8" ht="29" x14ac:dyDescent="0.35">
      <c r="A232" s="31" t="s">
        <v>1322</v>
      </c>
      <c r="B232" s="32" t="s">
        <v>1323</v>
      </c>
      <c r="C232" s="32" t="s">
        <v>1324</v>
      </c>
      <c r="D232" s="32" t="s">
        <v>2149</v>
      </c>
      <c r="E232" s="32" t="s">
        <v>2150</v>
      </c>
      <c r="F232" s="32" t="s">
        <v>2151</v>
      </c>
      <c r="G232" s="33" t="s">
        <v>2149</v>
      </c>
      <c r="H232" s="32"/>
    </row>
    <row r="233" spans="1:8" ht="29" x14ac:dyDescent="0.35">
      <c r="A233" s="31" t="s">
        <v>1327</v>
      </c>
      <c r="B233" s="32" t="s">
        <v>1328</v>
      </c>
      <c r="C233" s="32" t="s">
        <v>1329</v>
      </c>
      <c r="D233" s="32" t="s">
        <v>2149</v>
      </c>
      <c r="E233" s="32" t="s">
        <v>2150</v>
      </c>
      <c r="F233" s="32" t="s">
        <v>2151</v>
      </c>
      <c r="G233" s="33" t="s">
        <v>2149</v>
      </c>
      <c r="H233" s="32"/>
    </row>
    <row r="234" spans="1:8" ht="29" x14ac:dyDescent="0.35">
      <c r="A234" s="31" t="s">
        <v>1332</v>
      </c>
      <c r="B234" s="32" t="s">
        <v>1334</v>
      </c>
      <c r="C234" s="32" t="s">
        <v>1335</v>
      </c>
      <c r="D234" s="32" t="s">
        <v>2149</v>
      </c>
      <c r="E234" s="32" t="s">
        <v>2150</v>
      </c>
      <c r="F234" s="32" t="s">
        <v>2151</v>
      </c>
      <c r="G234" s="33" t="s">
        <v>2149</v>
      </c>
      <c r="H234" s="32"/>
    </row>
    <row r="235" spans="1:8" ht="29" x14ac:dyDescent="0.35">
      <c r="A235" s="31" t="s">
        <v>1339</v>
      </c>
      <c r="B235" s="32" t="s">
        <v>1341</v>
      </c>
      <c r="C235" s="32" t="s">
        <v>1342</v>
      </c>
      <c r="D235" s="32" t="s">
        <v>2149</v>
      </c>
      <c r="E235" s="32" t="s">
        <v>2150</v>
      </c>
      <c r="F235" s="32" t="s">
        <v>2151</v>
      </c>
      <c r="G235" s="33" t="s">
        <v>2149</v>
      </c>
      <c r="H235" s="32"/>
    </row>
    <row r="236" spans="1:8" ht="29" x14ac:dyDescent="0.35">
      <c r="A236" s="31" t="s">
        <v>1345</v>
      </c>
      <c r="B236" s="32" t="s">
        <v>1347</v>
      </c>
      <c r="C236" s="32" t="s">
        <v>1348</v>
      </c>
      <c r="D236" s="32" t="s">
        <v>2149</v>
      </c>
      <c r="E236" s="32" t="s">
        <v>2150</v>
      </c>
      <c r="F236" s="32" t="s">
        <v>2151</v>
      </c>
      <c r="G236" s="33" t="s">
        <v>2149</v>
      </c>
      <c r="H236" s="32"/>
    </row>
    <row r="237" spans="1:8" ht="29" x14ac:dyDescent="0.35">
      <c r="A237" s="31" t="s">
        <v>1352</v>
      </c>
      <c r="B237" s="32" t="s">
        <v>1354</v>
      </c>
      <c r="C237" s="32" t="s">
        <v>1355</v>
      </c>
      <c r="D237" s="32" t="s">
        <v>2149</v>
      </c>
      <c r="E237" s="32" t="s">
        <v>2150</v>
      </c>
      <c r="F237" s="32" t="s">
        <v>2151</v>
      </c>
      <c r="G237" s="33" t="s">
        <v>2149</v>
      </c>
      <c r="H237" s="32"/>
    </row>
  </sheetData>
  <mergeCells count="2">
    <mergeCell ref="A1:H1"/>
    <mergeCell ref="A2:H2"/>
  </mergeCells>
  <conditionalFormatting sqref="D5:D237">
    <cfRule type="expression" dxfId="0" priority="1">
      <formula>D5="URGENTE"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showGridLines="0" workbookViewId="0"/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58" customWidth="1"/>
  </cols>
  <sheetData>
    <row r="1" spans="1:4" ht="30" customHeight="1" x14ac:dyDescent="0.35">
      <c r="A1" s="36" t="s">
        <v>2157</v>
      </c>
      <c r="B1" s="36"/>
      <c r="C1" s="36"/>
      <c r="D1" s="36"/>
    </row>
    <row r="2" spans="1:4" ht="29" x14ac:dyDescent="0.35">
      <c r="A2" s="20" t="s">
        <v>2158</v>
      </c>
      <c r="B2" s="21">
        <v>0.4</v>
      </c>
      <c r="C2" s="20" t="s">
        <v>2159</v>
      </c>
      <c r="D2" s="20" t="s">
        <v>2160</v>
      </c>
    </row>
    <row r="3" spans="1:4" x14ac:dyDescent="0.35">
      <c r="A3" s="22" t="s">
        <v>2161</v>
      </c>
      <c r="B3" s="22" t="s">
        <v>2130</v>
      </c>
      <c r="C3" s="22" t="s">
        <v>2162</v>
      </c>
      <c r="D3" s="22" t="s">
        <v>2163</v>
      </c>
    </row>
    <row r="4" spans="1:4" x14ac:dyDescent="0.35">
      <c r="A4" s="23" t="s">
        <v>2164</v>
      </c>
      <c r="B4" s="24">
        <v>4</v>
      </c>
      <c r="C4" s="25" t="s">
        <v>2165</v>
      </c>
      <c r="D4" s="25" t="s">
        <v>2166</v>
      </c>
    </row>
    <row r="5" spans="1:4" x14ac:dyDescent="0.35">
      <c r="A5" s="23" t="s">
        <v>2167</v>
      </c>
      <c r="B5" s="26">
        <v>4000</v>
      </c>
      <c r="C5" s="25" t="s">
        <v>2168</v>
      </c>
      <c r="D5" s="25" t="s">
        <v>2169</v>
      </c>
    </row>
    <row r="6" spans="1:4" x14ac:dyDescent="0.35">
      <c r="A6" s="23" t="s">
        <v>2170</v>
      </c>
      <c r="B6" s="26">
        <v>4000</v>
      </c>
      <c r="C6" s="25" t="s">
        <v>2168</v>
      </c>
      <c r="D6" s="25" t="s">
        <v>2171</v>
      </c>
    </row>
    <row r="7" spans="1:4" x14ac:dyDescent="0.35">
      <c r="A7" s="23" t="s">
        <v>2172</v>
      </c>
      <c r="B7" s="26">
        <v>2490</v>
      </c>
      <c r="C7" s="25" t="s">
        <v>2168</v>
      </c>
      <c r="D7" s="25" t="s">
        <v>2173</v>
      </c>
    </row>
    <row r="8" spans="1:4" x14ac:dyDescent="0.35">
      <c r="A8" s="23" t="s">
        <v>2174</v>
      </c>
      <c r="B8" s="21">
        <v>9.6799999999999994E-3</v>
      </c>
      <c r="C8" s="25" t="s">
        <v>2159</v>
      </c>
      <c r="D8" s="25" t="s">
        <v>2175</v>
      </c>
    </row>
    <row r="9" spans="1:4" x14ac:dyDescent="0.35">
      <c r="A9" s="23" t="s">
        <v>2176</v>
      </c>
      <c r="B9" s="26">
        <v>0</v>
      </c>
      <c r="C9" s="25" t="s">
        <v>2177</v>
      </c>
      <c r="D9" s="25" t="s">
        <v>2178</v>
      </c>
    </row>
    <row r="11" spans="1:4" x14ac:dyDescent="0.35">
      <c r="A11" s="37" t="s">
        <v>2179</v>
      </c>
      <c r="B11" s="37"/>
      <c r="C11" s="37"/>
      <c r="D11" s="37"/>
    </row>
    <row r="12" spans="1:4" ht="34" customHeight="1" x14ac:dyDescent="0.35">
      <c r="A12" s="38" t="s">
        <v>2180</v>
      </c>
      <c r="B12" s="38"/>
      <c r="C12" s="38"/>
      <c r="D12" s="38"/>
    </row>
    <row r="13" spans="1:4" ht="34" customHeight="1" x14ac:dyDescent="0.35">
      <c r="A13" s="38"/>
      <c r="B13" s="38"/>
      <c r="C13" s="38"/>
      <c r="D13" s="38"/>
    </row>
  </sheetData>
  <mergeCells count="3">
    <mergeCell ref="A1:D1"/>
    <mergeCell ref="A11:D11"/>
    <mergeCell ref="A12:D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showGridLines="0" workbookViewId="0"/>
  </sheetViews>
  <sheetFormatPr defaultRowHeight="14.5" x14ac:dyDescent="0.35"/>
  <cols>
    <col min="1" max="1" width="23" customWidth="1"/>
    <col min="2" max="4" width="20" customWidth="1"/>
    <col min="5" max="5" width="34" customWidth="1"/>
  </cols>
  <sheetData>
    <row r="1" spans="1:5" ht="19.5" x14ac:dyDescent="0.45">
      <c r="A1" s="39" t="s">
        <v>2181</v>
      </c>
      <c r="B1" s="39"/>
      <c r="C1" s="39"/>
      <c r="D1" s="39"/>
      <c r="E1" s="39"/>
    </row>
    <row r="3" spans="1:5" x14ac:dyDescent="0.35">
      <c r="A3" s="19" t="s">
        <v>2182</v>
      </c>
      <c r="B3" s="19" t="s">
        <v>2183</v>
      </c>
      <c r="C3" s="19" t="s">
        <v>2184</v>
      </c>
      <c r="D3" s="19" t="s">
        <v>2185</v>
      </c>
      <c r="E3" s="19" t="s">
        <v>2186</v>
      </c>
    </row>
    <row r="4" spans="1:5" x14ac:dyDescent="0.35">
      <c r="A4" s="18" t="s">
        <v>2187</v>
      </c>
      <c r="B4" s="27">
        <v>2990</v>
      </c>
      <c r="C4" s="27">
        <v>4000</v>
      </c>
      <c r="D4" s="27">
        <v>1010</v>
      </c>
      <c r="E4" s="18" t="s">
        <v>2188</v>
      </c>
    </row>
    <row r="5" spans="1:5" x14ac:dyDescent="0.35">
      <c r="A5" s="18" t="s">
        <v>2189</v>
      </c>
      <c r="B5" s="27">
        <v>2490</v>
      </c>
      <c r="C5" s="27">
        <v>4000</v>
      </c>
      <c r="D5" s="27">
        <v>1510</v>
      </c>
      <c r="E5" s="18" t="s">
        <v>2190</v>
      </c>
    </row>
    <row r="6" spans="1:5" x14ac:dyDescent="0.35">
      <c r="A6" s="18" t="s">
        <v>2191</v>
      </c>
      <c r="B6" s="27">
        <v>1990</v>
      </c>
      <c r="C6" s="27">
        <v>4000</v>
      </c>
      <c r="D6" s="27">
        <v>2010</v>
      </c>
      <c r="E6" s="18" t="s">
        <v>2192</v>
      </c>
    </row>
    <row r="8" spans="1:5" ht="32" customHeight="1" x14ac:dyDescent="0.35">
      <c r="A8" s="40" t="s">
        <v>2193</v>
      </c>
      <c r="B8" s="40"/>
      <c r="C8" s="40"/>
      <c r="D8" s="40"/>
      <c r="E8" s="40"/>
    </row>
  </sheetData>
  <mergeCells count="2">
    <mergeCell ref="A1:E1"/>
    <mergeCell ref="A8:E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showGridLines="0" workbookViewId="0"/>
  </sheetViews>
  <sheetFormatPr defaultRowHeight="14.5" x14ac:dyDescent="0.35"/>
  <cols>
    <col min="1" max="1" width="38" customWidth="1"/>
    <col min="2" max="2" width="20" customWidth="1"/>
  </cols>
  <sheetData>
    <row r="1" spans="1:4" ht="19.5" x14ac:dyDescent="0.45">
      <c r="A1" s="39" t="s">
        <v>2194</v>
      </c>
      <c r="B1" s="39"/>
      <c r="C1" s="39"/>
      <c r="D1" s="39"/>
    </row>
    <row r="3" spans="1:4" x14ac:dyDescent="0.35">
      <c r="A3" s="28" t="s">
        <v>2195</v>
      </c>
      <c r="B3" s="28" t="s">
        <v>2196</v>
      </c>
    </row>
    <row r="4" spans="1:4" x14ac:dyDescent="0.35">
      <c r="A4" s="18" t="s">
        <v>2197</v>
      </c>
      <c r="B4" s="18">
        <f>COUNTIFS(PRODUCTOS!$J$2:$J$1001,"&gt;0",PRODUCTOS!$Y$2:$Y$1001,"&gt;0")</f>
        <v>234</v>
      </c>
    </row>
    <row r="5" spans="1:4" x14ac:dyDescent="0.35">
      <c r="A5" s="18" t="s">
        <v>2198</v>
      </c>
      <c r="B5" s="18">
        <f>COUNTIFS(PRODUCTOS!$B$2:$B$1001,"&lt;&gt;",PRODUCTOS!$J$2:$J$1001,"&gt;0")</f>
        <v>234</v>
      </c>
    </row>
    <row r="6" spans="1:4" x14ac:dyDescent="0.35">
      <c r="A6" s="18" t="s">
        <v>2199</v>
      </c>
      <c r="B6" s="29">
        <f>AVERAGEIF(PRODUCTOS!$Y$2:$Y$1001,"&gt;0",PRODUCTOS!$AA$2:$AA$1001)</f>
        <v>0.3999775109303334</v>
      </c>
    </row>
    <row r="7" spans="1:4" x14ac:dyDescent="0.35">
      <c r="A7" s="18" t="s">
        <v>2200</v>
      </c>
      <c r="B7" s="18" t="str">
        <f>IF(AND(B4&gt;0,B6&gt;='SUPUESTOS PRECIOS'!$B$2-0.005),"OK","REVISAR")</f>
        <v>OK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PRODUCTOS</vt:lpstr>
      <vt:lpstr>CATEGORIAS</vt:lpstr>
      <vt:lpstr>MOVIMIENTOS_STOCK</vt:lpstr>
      <vt:lpstr>DASHBOARD</vt:lpstr>
      <vt:lpstr>MARCAS</vt:lpstr>
      <vt:lpstr>PRESENTACIONES</vt:lpstr>
      <vt:lpstr>CONTROL_FOTOS</vt:lpstr>
      <vt:lpstr>SUPUESTOS PRECIOS</vt:lpstr>
      <vt:lpstr>TARIFAS ENVÍO</vt:lpstr>
      <vt:lpstr>CONTROL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Facundo Leonel Guevara</cp:lastModifiedBy>
  <dcterms:modified xsi:type="dcterms:W3CDTF">2026-09-02T23:58:31Z</dcterms:modified>
</cp:coreProperties>
</file>