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48620690a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d095e8ef4a0a489f"/>
    <x:sheet xmlns:r="http://schemas.openxmlformats.org/officeDocument/2006/relationships" name="CATEGORIAS" sheetId="2" r:id="R1d714bcc3e594c24"/>
    <x:sheet xmlns:r="http://schemas.openxmlformats.org/officeDocument/2006/relationships" name="MOVIMIENTOS_STOCK" sheetId="3" r:id="Rfd611944c3d5462f"/>
    <x:sheet xmlns:r="http://schemas.openxmlformats.org/officeDocument/2006/relationships" name="DASHBOARD" sheetId="4" r:id="R1ea82894386049f2"/>
    <x:sheet xmlns:r="http://schemas.openxmlformats.org/officeDocument/2006/relationships" name="MARCAS" sheetId="5" r:id="R5d9dd6623e394137"/>
    <x:sheet xmlns:r="http://schemas.openxmlformats.org/officeDocument/2006/relationships" name="PRESENTACIONES" sheetId="6" r:id="R6cf058c48a6d48b9"/>
    <x:sheet xmlns:r="http://schemas.openxmlformats.org/officeDocument/2006/relationships" name="CONTROL_FOTOS" sheetId="7" r:id="Rdf0a275a473d4321"/>
    <x:sheet xmlns:r="http://schemas.openxmlformats.org/officeDocument/2006/relationships" name="SUPUESTOS PRECIOS" sheetId="8" r:id="R6869867f56c5444c"/>
    <x:sheet xmlns:r="http://schemas.openxmlformats.org/officeDocument/2006/relationships" name="TARIFAS ENVÍO" sheetId="9" r:id="R736c7b8615564f30"/>
    <x:sheet xmlns:r="http://schemas.openxmlformats.org/officeDocument/2006/relationships" name="CONTROL PRECIOS" sheetId="10" r:id="R829675324de0468d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<x:sst xmlns:x="http://schemas.openxmlformats.org/spreadsheetml/2006/main">
  <x:si>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</x:si>
  <x:si>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CODIGO</x:t>
  </x:si>
  <x:si>
    <x:t xml:space="preserve">CATEGORIA</x:t>
  </x:si>
  <x:si>
    <x:t xml:space="preserve">SUBCATEGORIA</x:t>
  </x:si>
  <x:si>
    <x:t xml:space="preserve">MARCA</x:t>
  </x:si>
  <x:si>
    <x:t xml:space="preserve">PRODUCTO</x:t>
  </x:si>
  <x:si>
    <x:t xml:space="preserve">FRAGANCIA</x:t>
  </x:si>
  <x:si>
    <x:t xml:space="preserve">PRESENTACION</x:t>
  </x:si>
  <x:si>
    <x:t xml:space="preserve">NOMBRE FOTO</x:t>
  </x:si>
  <x:si>
    <x:t xml:space="preserve">COSTO</x:t>
  </x:si>
  <x:si>
    <x:t xml:space="preserve">% MARGEN</x:t>
  </x:si>
  <x:si>
    <x:t xml:space="preserve">PRECIO VENTA</x:t>
  </x:si>
  <x:si>
    <x:t xml:space="preserve">STOCK</x:t>
  </x:si>
  <x:si>
    <x:t xml:space="preserve">STOCK MINIMO</x:t>
  </x:si>
  <x:si>
    <x:t xml:space="preserve">ESTADO</x:t>
  </x:si>
  <x:si>
    <x:t xml:space="preserve">DESTACADO</x:t>
  </x:si>
  <x:si>
    <x:t xml:space="preserve">SLUG</x:t>
  </x:si>
  <x:si>
    <x:t xml:space="preserve">DESCRIPCION</x:t>
  </x:si>
  <x:si>
    <x:t xml:space="preserve">CARACTERISTICAS</x:t>
  </x:si>
  <x:si>
    <x:t xml:space="preserve">EMPAQUE/PRODUCTO</x:t>
  </x:si>
  <x:si>
    <x:t xml:space="preserve">VIÁTICO PRORRATEADO</x:t>
  </x:si>
  <x:si>
    <x:t xml:space="preserve">SUBSIDIO ENVÍO PRORR.</x:t>
  </x:si>
  <x:si>
    <x:t xml:space="preserve">COMISIÓN COBRO</x:t>
  </x:si>
  <x:si>
    <x:t xml:space="preserve">MARGEN BRUTO OBJ.</x:t>
  </x:si>
  <x:si>
    <x:t xml:space="preserve">PRECIO VENTA AJUSTADO</x:t>
  </x:si>
  <x:si>
    <x:t xml:space="preserve">GANANCIA BRUTA EST.</x:t>
  </x:si>
  <x:si>
    <x:t xml:space="preserve">MARGEN BRUTO EST.</x:t>
  </x:si>
  <x:si>
    <x:t xml:space="preserve">GRUPO</x:t>
  </x:si>
  <x:si>
    <x:t xml:space="preserve">VARIANTE</x:t>
  </x:si>
  <x:si>
    <x:t xml:space="preserve">001</x:t>
  </x:si>
  <x:si>
    <x:t xml:space="preserve">CLO001</x:t>
  </x:si>
  <x:si>
    <x:t xml:space="preserve">🚽 Baño</x:t>
  </x:si>
  <x:si>
    <x:t xml:space="preserve">Lavandina</x:t>
  </x:si>
  <x:si>
    <x:t xml:space="preserve">bethel</x:t>
  </x:si>
  <x:si>
    <x:t xml:space="preserve">Lavandina al 4%</x:t>
  </x:si>
  <x:si>
    <x:t xml:space="preserve">sin frangancia</x:t>
  </x:si>
  <x:si>
    <x:t xml:space="preserve">5 litros</x:t>
  </x:si>
  <x:si>
    <x:t xml:space="preserve">CLO001.jpg</x:t>
  </x:si>
  <x:si>
    <x:t xml:space="preserve">Activo</x:t>
  </x:si>
  <x:si>
    <x:t xml:space="preserve">NO</x:t>
  </x:si>
  <x:si>
    <x:t xml:space="preserve">Lavandina al 4%. Presentación: 5 litros.</x:t>
  </x:si>
  <x:si>
    <x:t xml:space="preserve">Lavandina. Elimina suciedad y gérmenes en inodoros, azulejos y superficies del baño, dejando un aroma agradable.</x:t>
  </x:si>
  <x:si>
    <x:t xml:space="preserve">002</x:t>
  </x:si>
  <x:si>
    <x:t xml:space="preserve">DET001</x:t>
  </x:si>
  <x:si>
    <x:t xml:space="preserve">🍽️ Cocina</x:t>
  </x:si>
  <x:si>
    <x:t xml:space="preserve">Detergente concentrado</x:t>
  </x:si>
  <x:si>
    <x:t xml:space="preserve">Detergente 30%</x:t>
  </x:si>
  <x:si>
    <x:t xml:space="preserve">DET001.jpg</x:t>
  </x:si>
  <x:si>
    <x:t xml:space="preserve">Detergente 30%. Presentación: 5 litros.</x:t>
  </x:si>
  <x:si>
    <x:t xml:space="preserve">Detergente concentrado. Ideal para desengrasar y limpiar utensilios, vajilla y superficies de cocina de forma rápida y efectiva.</x:t>
  </x:si>
  <x:si>
    <x:t xml:space="preserve">003</x:t>
  </x:si>
  <x:si>
    <x:t xml:space="preserve">LVA001</x:t>
  </x:si>
  <x:si>
    <x:t xml:space="preserve">Detergente listo para usar</x:t>
  </x:si>
  <x:si>
    <x:t xml:space="preserve">Detergente Magistral listo para usar</x:t>
  </x:si>
  <x:si>
    <x:t xml:space="preserve">LVA001.jpg</x:t>
  </x:si>
  <x:si>
    <x:t xml:space="preserve">Detergente Magistral listo para usar. Presentación: 5 litros.</x:t>
  </x:si>
  <x:si>
    <x:t xml:space="preserve">Detergente listo para usar. Ideal para desengrasar y limpiar utensilios, vajilla y superficies de cocina de forma rápida y efectiva.</x:t>
  </x:si>
  <x:si>
    <x:t xml:space="preserve">004</x:t>
  </x:si>
  <x:si>
    <x:t xml:space="preserve">LVA002</x:t>
  </x:si>
  <x:si>
    <x:t xml:space="preserve">Lava-vajillas concentrado</x:t>
  </x:si>
  <x:si>
    <x:t xml:space="preserve">Lava-Vajillas Concentrado</x:t>
  </x:si>
  <x:si>
    <x:t xml:space="preserve">LVA002.jpg</x:t>
  </x:si>
  <x:si>
    <x:t xml:space="preserve">Lava-Vajillas Concentrado. Presentación: 5 litros.</x:t>
  </x:si>
  <x:si>
    <x:t xml:space="preserve">Lava-vajillas concentrado. Ideal para desengrasar y limpiar utensilios, vajilla y superficies de cocina de forma rápida y efectiva.</x:t>
  </x:si>
  <x:si>
    <x:t xml:space="preserve">005</x:t>
  </x:si>
  <x:si>
    <x:t xml:space="preserve">SUA001</x:t>
  </x:si>
  <x:si>
    <x:t xml:space="preserve">👕 Ropa y lavado</x:t>
  </x:si>
  <x:si>
    <x:t xml:space="preserve">Suavizante</x:t>
  </x:si>
  <x:si>
    <x:t xml:space="preserve">Suavizante Blanco por 5 litros</x:t>
  </x:si>
  <x:si>
    <x:t xml:space="preserve">color blanco premium</x:t>
  </x:si>
  <x:si>
    <x:t xml:space="preserve">SUA001.jpg</x:t>
  </x:si>
  <x:si>
    <x:t xml:space="preserve">Suavizante Blanco por 5 litros. Presentación: 5 litros. Fragancia: color blanco premium.</x:t>
  </x:si>
  <x:si>
    <x:t xml:space="preserve">Suavizante. Cuida las fibras de la ropa, suaviza y deja un aroma agradable y duradero en cada lavado.</x:t>
  </x:si>
  <x:si>
    <x:t xml:space="preserve">006</x:t>
  </x:si>
  <x:si>
    <x:t xml:space="preserve">SUA002</x:t>
  </x:si>
  <x:si>
    <x:t xml:space="preserve">Tradicional</x:t>
  </x:si>
  <x:si>
    <x:t xml:space="preserve">Suavizante listo para usar</x:t>
  </x:si>
  <x:si>
    <x:t xml:space="preserve">color celeste economico</x:t>
  </x:si>
  <x:si>
    <x:t xml:space="preserve">SUA002.jpg</x:t>
  </x:si>
  <x:si>
    <x:t xml:space="preserve">Suavizante listo para usar. Presentación: 5 litros. Fragancia: color celeste economico.</x:t>
  </x:si>
  <x:si>
    <x:t xml:space="preserve">Tradicional. Cuida las fibras de la ropa, suaviza y deja un aroma agradable y duradero en cada lavado.</x:t>
  </x:si>
  <x:si>
    <x:t xml:space="preserve">007</x:t>
  </x:si>
  <x:si>
    <x:t xml:space="preserve">JBP001</x:t>
  </x:si>
  <x:si>
    <x:t xml:space="preserve">granby</x:t>
  </x:si>
  <x:si>
    <x:t xml:space="preserve">Jabon en polvo</x:t>
  </x:si>
  <x:si>
    <x:t xml:space="preserve">20 kg</x:t>
  </x:si>
  <x:si>
    <x:t xml:space="preserve">JBP001.jpg</x:t>
  </x:si>
  <x:si>
    <x:t xml:space="preserve">Jabon en polvo. Presentación: 20 kg. Marca granby.</x:t>
  </x:si>
  <x:si>
    <x:t xml:space="preserve">008</x:t>
  </x:si>
  <x:si>
    <x:t xml:space="preserve">PFA001</x:t>
  </x:si>
  <x:si>
    <x:t xml:space="preserve">🌸 Aromas y fragancias</x:t>
  </x:si>
  <x:si>
    <x:t xml:space="preserve">Perfumes para ropa</x:t>
  </x:si>
  <x:si>
    <x:t xml:space="preserve">Perfume aromatico de base en agua</x:t>
  </x:si>
  <x:si>
    <x:t xml:space="preserve">1056, algodón, arpege, bazzu, bebe, c.h.242 , coco, uva, flores blancas, caricias, confy, limon, melon, premium, sandia/frambuesa , softy, ultra, comiglio, vainilla, vivex, flores silvestres, chocolate</x:t>
  </x:si>
  <x:si>
    <x:t xml:space="preserve">1 litros</x:t>
  </x:si>
  <x:si>
    <x:t xml:space="preserve">PFA001.jpg</x:t>
  </x:si>
  <x:si>
    <x:t xml:space="preserve">Perfume aromatico de base en agua. Presentación: 1 litros.</x:t>
  </x:si>
  <x:si>
    <x:t xml:space="preserve">Perfumes para ropa. Perfuma ambientes y textiles con una fragancia agradable y duradera, ideal para dejar todo con olor a limpio. Disponible en múltiples fragancias a elección.</x:t>
  </x:si>
  <x:si>
    <x:t xml:space="preserve">009</x:t>
  </x:si>
  <x:si>
    <x:t xml:space="preserve">PFA002</x:t>
  </x:si>
  <x:si>
    <x:t xml:space="preserve">Perfume aromatico de base en alcohol</x:t>
  </x:si>
  <x:si>
    <x:t xml:space="preserve">PFA002.jpg</x:t>
  </x:si>
  <x:si>
    <x:t xml:space="preserve">Perfume aromatico de base en alcohol. Presentación: 5 litros.</x:t>
  </x:si>
  <x:si>
    <x:t xml:space="preserve">010</x:t>
  </x:si>
  <x:si>
    <x:t xml:space="preserve">DES001</x:t>
  </x:si>
  <x:si>
    <x:t xml:space="preserve">🦠 Desinfección y limpieza</x:t>
  </x:si>
  <x:si>
    <x:t xml:space="preserve">Desengrasantes</x:t>
  </x:si>
  <x:si>
    <x:t xml:space="preserve">Desengrasante industrial</x:t>
  </x:si>
  <x:si>
    <x:t xml:space="preserve">DES001.jpg</x:t>
  </x:si>
  <x:si>
    <x:t xml:space="preserve">Desengrasante industrial. Presentación: 5 litros.</x:t>
  </x:si>
  <x:si>
    <x:t xml:space="preserve">Desengrasantes. Elimina bacterias y gérmenes, desinfectando a fondo superficies del hogar, comercios e industrias.</x:t>
  </x:si>
  <x:si>
    <x:t xml:space="preserve">011</x:t>
  </x:si>
  <x:si>
    <x:t xml:space="preserve">DES002</x:t>
  </x:si>
  <x:si>
    <x:t xml:space="preserve">Desengrasante lavamotor</x:t>
  </x:si>
  <x:si>
    <x:t xml:space="preserve">DES002.jpg</x:t>
  </x:si>
  <x:si>
    <x:t xml:space="preserve">Desengrasante lavamotor. Presentación: 5 litros.</x:t>
  </x:si>
  <x:si>
    <x:t xml:space="preserve">012</x:t>
  </x:si>
  <x:si>
    <x:t xml:space="preserve">DES003</x:t>
  </x:si>
  <x:si>
    <x:t xml:space="preserve">Desengrasante multi usos</x:t>
  </x:si>
  <x:si>
    <x:t xml:space="preserve">DES003.jpg</x:t>
  </x:si>
  <x:si>
    <x:t xml:space="preserve">Desengrasante multi usos. Presentación: 5 litros.</x:t>
  </x:si>
  <x:si>
    <x:t xml:space="preserve">013</x:t>
  </x:si>
  <x:si>
    <x:t xml:space="preserve">DES004</x:t>
  </x:si>
  <x:si>
    <x:t xml:space="preserve">Desengrasante quima manchas</x:t>
  </x:si>
  <x:si>
    <x:t xml:space="preserve">DES004.jpg</x:t>
  </x:si>
  <x:si>
    <x:t xml:space="preserve">Desengrasante quima manchas. Presentación: 5 litros.</x:t>
  </x:si>
  <x:si>
    <x:t xml:space="preserve">014</x:t>
  </x:si>
  <x:si>
    <x:t xml:space="preserve">DES005</x:t>
  </x:si>
  <x:si>
    <x:t xml:space="preserve">Desengrasante limpiador cremoso</x:t>
  </x:si>
  <x:si>
    <x:t xml:space="preserve">DES005.jpg</x:t>
  </x:si>
  <x:si>
    <x:t xml:space="preserve">Desengrasante limpiador cremoso. Presentación: 5 litros.</x:t>
  </x:si>
  <x:si>
    <x:t xml:space="preserve">015</x:t>
  </x:si>
  <x:si>
    <x:t xml:space="preserve">RJR001</x:t>
  </x:si>
  <x:si>
    <x:t xml:space="preserve">🧰 Accesorios y equipamiento</x:t>
  </x:si>
  <x:si>
    <x:t xml:space="preserve">Rejillas y repasadores</x:t>
  </x:si>
  <x:si>
    <x:t xml:space="preserve">Franela 40x50</x:t>
  </x:si>
  <x:si>
    <x:t xml:space="preserve">1 unidad</x:t>
  </x:si>
  <x:si>
    <x:t xml:space="preserve">RJR001.jpg</x:t>
  </x:si>
  <x:si>
    <x:t xml:space="preserve">Franela 40x50. Presentación: 1 unidad.</x:t>
  </x:si>
  <x:si>
    <x:t xml:space="preserve">Rejillas y repasadores. Accesorio resistente y práctico, pensado para facilitar las tareas de limpieza del hogar.</x:t>
  </x:si>
  <x:si>
    <x:t xml:space="preserve">016</x:t>
  </x:si>
  <x:si>
    <x:t xml:space="preserve">RJR002</x:t>
  </x:si>
  <x:si>
    <x:t xml:space="preserve">Rejilla de cocina</x:t>
  </x:si>
  <x:si>
    <x:t xml:space="preserve">RJR002.jpg</x:t>
  </x:si>
  <x:si>
    <x:t xml:space="preserve">Rejilla de cocina. Presentación: 1 unidad.</x:t>
  </x:si>
  <x:si>
    <x:t xml:space="preserve">017</x:t>
  </x:si>
  <x:si>
    <x:t xml:space="preserve">RJR003</x:t>
  </x:si>
  <x:si>
    <x:t xml:space="preserve">Rejilla tipo americana</x:t>
  </x:si>
  <x:si>
    <x:t xml:space="preserve">RJR003.jpg</x:t>
  </x:si>
  <x:si>
    <x:t xml:space="preserve">Rejilla tipo americana. Presentación: 1 unidad.</x:t>
  </x:si>
  <x:si>
    <x:t xml:space="preserve">018</x:t>
  </x:si>
  <x:si>
    <x:t xml:space="preserve">RJR004</x:t>
  </x:si>
  <x:si>
    <x:t xml:space="preserve">Rejilla de auto</x:t>
  </x:si>
  <x:si>
    <x:t xml:space="preserve">RJR004.jpg</x:t>
  </x:si>
  <x:si>
    <x:t xml:space="preserve">Rejilla de auto. Presentación: 1 unidad.</x:t>
  </x:si>
  <x:si>
    <x:t xml:space="preserve">RJR-AUTO</x:t>
  </x:si>
  <x:si>
    <x:t xml:space="preserve">SIMPLE</x:t>
  </x:si>
  <x:si>
    <x:t xml:space="preserve">019</x:t>
  </x:si>
  <x:si>
    <x:t xml:space="preserve">RJR005</x:t>
  </x:si>
  <x:si>
    <x:t xml:space="preserve">Rejilla de pabilo</x:t>
  </x:si>
  <x:si>
    <x:t xml:space="preserve">RJR005.jpg</x:t>
  </x:si>
  <x:si>
    <x:t xml:space="preserve">Rejilla de pabilo. Presentación: 1 unidad.</x:t>
  </x:si>
  <x:si>
    <x:t xml:space="preserve">020</x:t>
  </x:si>
  <x:si>
    <x:t xml:space="preserve">RJR006</x:t>
  </x:si>
  <x:si>
    <x:t xml:space="preserve">RJR006.jpg</x:t>
  </x:si>
  <x:si>
    <x:t xml:space="preserve">DOBLE</x:t>
  </x:si>
  <x:si>
    <x:t xml:space="preserve">021</x:t>
  </x:si>
  <x:si>
    <x:t xml:space="preserve">RJR007</x:t>
  </x:si>
  <x:si>
    <x:t xml:space="preserve">RJR007.jpg</x:t>
  </x:si>
  <x:si>
    <x:t xml:space="preserve">TRIPLE</x:t>
  </x:si>
  <x:si>
    <x:t xml:space="preserve">022</x:t>
  </x:si>
  <x:si>
    <x:t xml:space="preserve">RJR008</x:t>
  </x:si>
  <x:si>
    <x:t xml:space="preserve">Rejilla cocina</x:t>
  </x:si>
  <x:si>
    <x:t xml:space="preserve">RJR008.jpg</x:t>
  </x:si>
  <x:si>
    <x:t xml:space="preserve">Rejilla cocina. Presentación: 1 unidad.</x:t>
  </x:si>
  <x:si>
    <x:t xml:space="preserve">RJR-COCINA</x:t>
  </x:si>
  <x:si>
    <x:t xml:space="preserve">023</x:t>
  </x:si>
  <x:si>
    <x:t xml:space="preserve">RJR009</x:t>
  </x:si>
  <x:si>
    <x:t xml:space="preserve">Kide</x:t>
  </x:si>
  <x:si>
    <x:t xml:space="preserve">RJR009.jpg</x:t>
  </x:si>
  <x:si>
    <x:t xml:space="preserve">Rejilla cocina. Presentación: 1 unidad. Marca Kide.</x:t>
  </x:si>
  <x:si>
    <x:t xml:space="preserve">024</x:t>
  </x:si>
  <x:si>
    <x:t xml:space="preserve">RJR010</x:t>
  </x:si>
  <x:si>
    <x:t xml:space="preserve">Rejilla pabilo</x:t>
  </x:si>
  <x:si>
    <x:t xml:space="preserve">RJR010.jpg</x:t>
  </x:si>
  <x:si>
    <x:t xml:space="preserve">RJR011</x:t>
  </x:si>
  <x:si>
    <x:t xml:space="preserve">Rejilla pabilo. Presentación: 1 unidad.</x:t>
  </x:si>
  <x:si>
    <x:t xml:space="preserve">025</x:t>
  </x:si>
  <x:si>
    <x:t xml:space="preserve">RJR011.jpg</x:t>
  </x:si>
  <x:si>
    <x:t xml:space="preserve">RJR012</x:t>
  </x:si>
  <x:si>
    <x:t xml:space="preserve">026</x:t>
  </x:si>
  <x:si>
    <x:t xml:space="preserve">RJR012.jpg</x:t>
  </x:si>
  <x:si>
    <x:t xml:space="preserve">RJR013</x:t>
  </x:si>
  <x:si>
    <x:t xml:space="preserve">027</x:t>
  </x:si>
  <x:si>
    <x:t xml:space="preserve">Repasador</x:t>
  </x:si>
  <x:si>
    <x:t xml:space="preserve">RJR013.jpg</x:t>
  </x:si>
  <x:si>
    <x:t xml:space="preserve">RJR014</x:t>
  </x:si>
  <x:si>
    <x:t xml:space="preserve">Repasador. Presentación: 1 unidad.</x:t>
  </x:si>
  <x:si>
    <x:t xml:space="preserve">028</x:t>
  </x:si>
  <x:si>
    <x:t xml:space="preserve">RJR014.jpg</x:t>
  </x:si>
  <x:si>
    <x:t xml:space="preserve">029</x:t>
  </x:si>
  <x:si>
    <x:t xml:space="preserve">RJR015</x:t>
  </x:si>
  <x:si>
    <x:t xml:space="preserve">Paño amarillo para piso</x:t>
  </x:si>
  <x:si>
    <x:t xml:space="preserve">RJR015.jpg</x:t>
  </x:si>
  <x:si>
    <x:t xml:space="preserve">Paño amarillo para piso. Presentación: 1 unidad.</x:t>
  </x:si>
  <x:si>
    <x:t xml:space="preserve">030</x:t>
  </x:si>
  <x:si>
    <x:t xml:space="preserve">TDP001</x:t>
  </x:si>
  <x:si>
    <x:t xml:space="preserve">Trapos de piso</x:t>
  </x:si>
  <x:si>
    <x:t xml:space="preserve">Trapo de piso blanco</x:t>
  </x:si>
  <x:si>
    <x:t xml:space="preserve">TDP001.jpg</x:t>
  </x:si>
  <x:si>
    <x:t xml:space="preserve">Trapo de piso blanco. Presentación: 1 unidad.</x:t>
  </x:si>
  <x:si>
    <x:t xml:space="preserve">Trapos de piso. Accesorio resistente y práctico, pensado para facilitar las tareas de limpieza del hogar.</x:t>
  </x:si>
  <x:si>
    <x:t xml:space="preserve">031</x:t>
  </x:si>
  <x:si>
    <x:t xml:space="preserve">TDP002</x:t>
  </x:si>
  <x:si>
    <x:t xml:space="preserve">Trapo de piso gris</x:t>
  </x:si>
  <x:si>
    <x:t xml:space="preserve">TDP002.jpg</x:t>
  </x:si>
  <x:si>
    <x:t xml:space="preserve">Trapo de piso gris. Presentación: 1 unidad.</x:t>
  </x:si>
  <x:si>
    <x:t xml:space="preserve">032</x:t>
  </x:si>
  <x:si>
    <x:t xml:space="preserve">TDP003</x:t>
  </x:si>
  <x:si>
    <x:t xml:space="preserve">mr trappo</x:t>
  </x:si>
  <x:si>
    <x:t xml:space="preserve">Trapo de piso costurado</x:t>
  </x:si>
  <x:si>
    <x:t xml:space="preserve">TDP003.jpg</x:t>
  </x:si>
  <x:si>
    <x:t xml:space="preserve">Trapo de piso costurado. Presentación: 1 unidad. Marca mr trappo.</x:t>
  </x:si>
  <x:si>
    <x:t xml:space="preserve">TDP-COSTURADO</x:t>
  </x:si>
  <x:si>
    <x:t xml:space="preserve">033</x:t>
  </x:si>
  <x:si>
    <x:t xml:space="preserve">TDP004</x:t>
  </x:si>
  <x:si>
    <x:t xml:space="preserve">Fibran</x:t>
  </x:si>
  <x:si>
    <x:t xml:space="preserve">TDP004.jpg</x:t>
  </x:si>
  <x:si>
    <x:t xml:space="preserve">Trapo de piso costurado. Presentación: 1 unidad. Marca Fibran.</x:t>
  </x:si>
  <x:si>
    <x:t xml:space="preserve">034</x:t>
  </x:si>
  <x:si>
    <x:t xml:space="preserve">TDP005</x:t>
  </x:si>
  <x:si>
    <x:t xml:space="preserve">Trapo de piso nido de abeja</x:t>
  </x:si>
  <x:si>
    <x:t xml:space="preserve">TDP005.jpg</x:t>
  </x:si>
  <x:si>
    <x:t xml:space="preserve">Trapo de piso nido de abeja. Presentación: 1 unidad.</x:t>
  </x:si>
  <x:si>
    <x:t xml:space="preserve">035</x:t>
  </x:si>
  <x:si>
    <x:t xml:space="preserve">TDP006</x:t>
  </x:si>
  <x:si>
    <x:t xml:space="preserve">Trapo de piso nido de abeja economico</x:t>
  </x:si>
  <x:si>
    <x:t xml:space="preserve">TDP006.jpg</x:t>
  </x:si>
  <x:si>
    <x:t xml:space="preserve">Inactivo</x:t>
  </x:si>
  <x:si>
    <x:t xml:space="preserve">Trapo de piso nido de abeja economico. Presentación: 1 unidad.</x:t>
  </x:si>
  <x:si>
    <x:t xml:space="preserve">036</x:t>
  </x:si>
  <x:si>
    <x:t xml:space="preserve">TDP007</x:t>
  </x:si>
  <x:si>
    <x:t xml:space="preserve">consorcio</x:t>
  </x:si>
  <x:si>
    <x:t xml:space="preserve">Trapo de piso rayado</x:t>
  </x:si>
  <x:si>
    <x:t xml:space="preserve">TDP007.jpg</x:t>
  </x:si>
  <x:si>
    <x:t xml:space="preserve">Trapo de piso rayado. Presentación: 1 unidad. Marca consorcio.</x:t>
  </x:si>
  <x:si>
    <x:t xml:space="preserve">037</x:t>
  </x:si>
  <x:si>
    <x:t xml:space="preserve">TDP008</x:t>
  </x:si>
  <x:si>
    <x:t xml:space="preserve">TDP008.jpg</x:t>
  </x:si>
  <x:si>
    <x:t xml:space="preserve">Trapo de piso rayado. Presentación: 1 unidad.</x:t>
  </x:si>
  <x:si>
    <x:t xml:space="preserve">038</x:t>
  </x:si>
  <x:si>
    <x:t xml:space="preserve">EYE001</x:t>
  </x:si>
  <x:si>
    <x:t xml:space="preserve">Escobas y escobillones</x:t>
  </x:si>
  <x:si>
    <x:t xml:space="preserve">Escoba Anden de 40 cm</x:t>
  </x:si>
  <x:si>
    <x:t xml:space="preserve">EYE001.jpg</x:t>
  </x:si>
  <x:si>
    <x:t xml:space="preserve">Escoba Anden de 40 cm. Presentación: 1 unidad.</x:t>
  </x:si>
  <x:si>
    <x:t xml:space="preserve">Escobas y escobillones. Accesorio resistente y práctico, pensado para facilitar las tareas de limpieza del hogar.</x:t>
  </x:si>
  <x:si>
    <x:t xml:space="preserve">EYE-ANDEN</x:t>
  </x:si>
  <x:si>
    <x:t xml:space="preserve">40 CM</x:t>
  </x:si>
  <x:si>
    <x:t xml:space="preserve">039</x:t>
  </x:si>
  <x:si>
    <x:t xml:space="preserve">EYE002</x:t>
  </x:si>
  <x:si>
    <x:t xml:space="preserve">Escoba Anden de 60 cm</x:t>
  </x:si>
  <x:si>
    <x:t xml:space="preserve">EYE002.jpg</x:t>
  </x:si>
  <x:si>
    <x:t xml:space="preserve">Escoba Anden de 60 cm. Presentación: 1 unidad.</x:t>
  </x:si>
  <x:si>
    <x:t xml:space="preserve">60 CM</x:t>
  </x:si>
  <x:si>
    <x:t xml:space="preserve">040</x:t>
  </x:si>
  <x:si>
    <x:t xml:space="preserve">EYE003</x:t>
  </x:si>
  <x:si>
    <x:t xml:space="preserve">Escoba Anden de 80 cm</x:t>
  </x:si>
  <x:si>
    <x:t xml:space="preserve">EYE003.jpg</x:t>
  </x:si>
  <x:si>
    <x:t xml:space="preserve">Escoba Anden de 80 cm. Presentación: 1 unidad.</x:t>
  </x:si>
  <x:si>
    <x:t xml:space="preserve">80 CM</x:t>
  </x:si>
  <x:si>
    <x:t xml:space="preserve">041</x:t>
  </x:si>
  <x:si>
    <x:t xml:space="preserve">EYE004</x:t>
  </x:si>
  <x:si>
    <x:t xml:space="preserve">Escoba Anden de 100 cm</x:t>
  </x:si>
  <x:si>
    <x:t xml:space="preserve">EYE004.jpg</x:t>
  </x:si>
  <x:si>
    <x:t xml:space="preserve">Escoba Anden de 100 cm. Presentación: 1 unidad.</x:t>
  </x:si>
  <x:si>
    <x:t xml:space="preserve">100 CM</x:t>
  </x:si>
  <x:si>
    <x:t xml:space="preserve">042</x:t>
  </x:si>
  <x:si>
    <x:t xml:space="preserve">EYE005</x:t>
  </x:si>
  <x:si>
    <x:t xml:space="preserve">Escoba Anden de 60 cm barregrueso</x:t>
  </x:si>
  <x:si>
    <x:t xml:space="preserve">EYE005.jpg</x:t>
  </x:si>
  <x:si>
    <x:t xml:space="preserve">Escoba Anden de 60 cm barregrueso. Presentación: 1 unidad.</x:t>
  </x:si>
  <x:si>
    <x:t xml:space="preserve">043</x:t>
  </x:si>
  <x:si>
    <x:t xml:space="preserve">EYE006</x:t>
  </x:si>
  <x:si>
    <x:t xml:space="preserve">Escobillon Barrendero Economico</x:t>
  </x:si>
  <x:si>
    <x:t xml:space="preserve">EYE006.jpg</x:t>
  </x:si>
  <x:si>
    <x:t xml:space="preserve">Escobillon Barrendero Economico. Presentación: 1 unidad.</x:t>
  </x:si>
  <x:si>
    <x:t xml:space="preserve">044</x:t>
  </x:si>
  <x:si>
    <x:t xml:space="preserve">EYE007</x:t>
  </x:si>
  <x:si>
    <x:t xml:space="preserve">Escoba tipo barredor de 35 cm</x:t>
  </x:si>
  <x:si>
    <x:t xml:space="preserve">EYE007.jpg</x:t>
  </x:si>
  <x:si>
    <x:t xml:space="preserve">Escoba tipo barredor de 35 cm. Presentación: 1 unidad.</x:t>
  </x:si>
  <x:si>
    <x:t xml:space="preserve">EYE-BARREDOR</x:t>
  </x:si>
  <x:si>
    <x:t xml:space="preserve">35 CM</x:t>
  </x:si>
  <x:si>
    <x:t xml:space="preserve">045</x:t>
  </x:si>
  <x:si>
    <x:t xml:space="preserve">EYE008</x:t>
  </x:si>
  <x:si>
    <x:t xml:space="preserve">Escoba tipo barredor de 60 cm</x:t>
  </x:si>
  <x:si>
    <x:t xml:space="preserve">EYE008.jpg</x:t>
  </x:si>
  <x:si>
    <x:t xml:space="preserve">Escoba tipo barredor de 60 cm. Presentación: 1 unidad.</x:t>
  </x:si>
  <x:si>
    <x:t xml:space="preserve">046</x:t>
  </x:si>
  <x:si>
    <x:t xml:space="preserve">EYE009</x:t>
  </x:si>
  <x:si>
    <x:t xml:space="preserve">Escoba tipo barredor de 80 cm</x:t>
  </x:si>
  <x:si>
    <x:t xml:space="preserve">EYE009.jpg</x:t>
  </x:si>
  <x:si>
    <x:t xml:space="preserve">Escoba tipo barredor de 80 cm. Presentación: 1 unidad.</x:t>
  </x:si>
  <x:si>
    <x:t xml:space="preserve">047</x:t>
  </x:si>
  <x:si>
    <x:t xml:space="preserve">EYE010</x:t>
  </x:si>
  <x:si>
    <x:t xml:space="preserve">Escoba tipo barredor de 100 cm</x:t>
  </x:si>
  <x:si>
    <x:t xml:space="preserve">EYE010.jpg</x:t>
  </x:si>
  <x:si>
    <x:t xml:space="preserve">Escoba tipo barredor de 100 cm. Presentación: 1 unidad.</x:t>
  </x:si>
  <x:si>
    <x:t xml:space="preserve">048</x:t>
  </x:si>
  <x:si>
    <x:t xml:space="preserve">EYE011</x:t>
  </x:si>
  <x:si>
    <x:t xml:space="preserve">Barre Hojas Comun</x:t>
  </x:si>
  <x:si>
    <x:t xml:space="preserve">EYE011.jpg</x:t>
  </x:si>
  <x:si>
    <x:t xml:space="preserve">Barre Hojas Comun. Presentación: 1 unidad.</x:t>
  </x:si>
  <x:si>
    <x:t xml:space="preserve">049</x:t>
  </x:si>
  <x:si>
    <x:t xml:space="preserve">EYE012</x:t>
  </x:si>
  <x:si>
    <x:t xml:space="preserve">Barre Hojas Profesional</x:t>
  </x:si>
  <x:si>
    <x:t xml:space="preserve">EYE012.jpg</x:t>
  </x:si>
  <x:si>
    <x:t xml:space="preserve">Barre Hojas Profesional. Presentación: 1 unidad.</x:t>
  </x:si>
  <x:si>
    <x:t xml:space="preserve">050</x:t>
  </x:si>
  <x:si>
    <x:t xml:space="preserve">EYE013</x:t>
  </x:si>
  <x:si>
    <x:t xml:space="preserve">Escoba de tipo 6 hilos</x:t>
  </x:si>
  <x:si>
    <x:t xml:space="preserve">EYE013.jpg</x:t>
  </x:si>
  <x:si>
    <x:t xml:space="preserve">Escoba de tipo 6 hilos. Presentación: 1 unidad.</x:t>
  </x:si>
  <x:si>
    <x:t xml:space="preserve">051</x:t>
  </x:si>
  <x:si>
    <x:t xml:space="preserve">EYE014</x:t>
  </x:si>
  <x:si>
    <x:t xml:space="preserve">Escoba de tipo Americana</x:t>
  </x:si>
  <x:si>
    <x:t xml:space="preserve">EYE014.jpg</x:t>
  </x:si>
  <x:si>
    <x:t xml:space="preserve">Escoba de tipo Americana. Presentación: 1 unidad.</x:t>
  </x:si>
  <x:si>
    <x:t xml:space="preserve">052</x:t>
  </x:si>
  <x:si>
    <x:t xml:space="preserve">EYE015</x:t>
  </x:si>
  <x:si>
    <x:t xml:space="preserve">Escoba de tipo Capuchina</x:t>
  </x:si>
  <x:si>
    <x:t xml:space="preserve">EYE015.jpg</x:t>
  </x:si>
  <x:si>
    <x:t xml:space="preserve">Escoba de tipo Capuchina. Presentación: 1 unidad.</x:t>
  </x:si>
  <x:si>
    <x:t xml:space="preserve">053</x:t>
  </x:si>
  <x:si>
    <x:t xml:space="preserve">EYE016</x:t>
  </x:si>
  <x:si>
    <x:t xml:space="preserve">Escoba de tipo Barregrueso</x:t>
  </x:si>
  <x:si>
    <x:t xml:space="preserve">EYE016.jpg</x:t>
  </x:si>
  <x:si>
    <x:t xml:space="preserve">Escoba de tipo Barregrueso. Presentación: 1 unidad.</x:t>
  </x:si>
  <x:si>
    <x:t xml:space="preserve">054</x:t>
  </x:si>
  <x:si>
    <x:t xml:space="preserve">EYE017</x:t>
  </x:si>
  <x:si>
    <x:t xml:space="preserve">Escobillon de tipo liso de Cerda</x:t>
  </x:si>
  <x:si>
    <x:t xml:space="preserve">EYE017.jpg</x:t>
  </x:si>
  <x:si>
    <x:t xml:space="preserve">Escobillon de tipo liso de Cerda. Presentación: 1 unidad.</x:t>
  </x:si>
  <x:si>
    <x:t xml:space="preserve">055</x:t>
  </x:si>
  <x:si>
    <x:t xml:space="preserve">EYE018</x:t>
  </x:si>
  <x:si>
    <x:t xml:space="preserve">Escoba de tipo Galponera</x:t>
  </x:si>
  <x:si>
    <x:t xml:space="preserve">EYE018.jpg</x:t>
  </x:si>
  <x:si>
    <x:t xml:space="preserve">Escoba de tipo Galponera. Presentación: 1 unidad.</x:t>
  </x:si>
  <x:si>
    <x:t xml:space="preserve">056</x:t>
  </x:si>
  <x:si>
    <x:t xml:space="preserve">EYE019</x:t>
  </x:si>
  <x:si>
    <x:t xml:space="preserve">Rey Laqueado</x:t>
  </x:si>
  <x:si>
    <x:t xml:space="preserve">Escobillon Rey Laqueado</x:t>
  </x:si>
  <x:si>
    <x:t xml:space="preserve">EYE019.jpg</x:t>
  </x:si>
  <x:si>
    <x:t xml:space="preserve">Escobillon Rey Laqueado. Presentación: 1 unidad. Marca Rey Laqueado.</x:t>
  </x:si>
  <x:si>
    <x:t xml:space="preserve">057</x:t>
  </x:si>
  <x:si>
    <x:t xml:space="preserve">EYE020</x:t>
  </x:si>
  <x:si>
    <x:t xml:space="preserve">Escobillon tipo princesa laqueado</x:t>
  </x:si>
  <x:si>
    <x:t xml:space="preserve">EYE020.jpg</x:t>
  </x:si>
  <x:si>
    <x:t xml:space="preserve">Escobillon tipo princesa laqueado. Presentación: 1 unidad.</x:t>
  </x:si>
  <x:si>
    <x:t xml:space="preserve">058</x:t>
  </x:si>
  <x:si>
    <x:t xml:space="preserve">EYE021</x:t>
  </x:si>
  <x:si>
    <x:t xml:space="preserve">Escobillon tipo barregrueso economico</x:t>
  </x:si>
  <x:si>
    <x:t xml:space="preserve">EYE021.jpg</x:t>
  </x:si>
  <x:si>
    <x:t xml:space="preserve">Escobillon tipo barregrueso economico. Presentación: 1 unidad.</x:t>
  </x:si>
  <x:si>
    <x:t xml:space="preserve">059</x:t>
  </x:si>
  <x:si>
    <x:t xml:space="preserve">EYE022</x:t>
  </x:si>
  <x:si>
    <x:t xml:space="preserve">Escobillon tipo barregrueso salzano</x:t>
  </x:si>
  <x:si>
    <x:t xml:space="preserve">EYE022.jpg</x:t>
  </x:si>
  <x:si>
    <x:t xml:space="preserve">Escobillon tipo barregrueso salzano. Presentación: 1 unidad.</x:t>
  </x:si>
  <x:si>
    <x:t xml:space="preserve">060</x:t>
  </x:si>
  <x:si>
    <x:t xml:space="preserve">EYE023</x:t>
  </x:si>
  <x:si>
    <x:t xml:space="preserve">Escobillon de tipo gondola</x:t>
  </x:si>
  <x:si>
    <x:t xml:space="preserve">EYE023.jpg</x:t>
  </x:si>
  <x:si>
    <x:t xml:space="preserve">Escobillon de tipo gondola. Presentación: 1 unidad.</x:t>
  </x:si>
  <x:si>
    <x:t xml:space="preserve">061</x:t>
  </x:si>
  <x:si>
    <x:t xml:space="preserve">EYE024</x:t>
  </x:si>
  <x:si>
    <x:t xml:space="preserve">Escobillon de tipo Barrendero Salzano</x:t>
  </x:si>
  <x:si>
    <x:t xml:space="preserve">EYE024.jpg</x:t>
  </x:si>
  <x:si>
    <x:t xml:space="preserve">Escobillon de tipo Barrendero Salzano. Presentación: 1 unidad.</x:t>
  </x:si>
  <x:si>
    <x:t xml:space="preserve">062</x:t>
  </x:si>
  <x:si>
    <x:t xml:space="preserve">EYE025</x:t>
  </x:si>
  <x:si>
    <x:t xml:space="preserve">Escobillon bigote (cerda) Salzano</x:t>
  </x:si>
  <x:si>
    <x:t xml:space="preserve">EYE025.jpg</x:t>
  </x:si>
  <x:si>
    <x:t xml:space="preserve">Escobillon bigote (cerda) Salzano. Presentación: 1 unidad.</x:t>
  </x:si>
  <x:si>
    <x:t xml:space="preserve">063</x:t>
  </x:si>
  <x:si>
    <x:t xml:space="preserve">EYE026</x:t>
  </x:si>
  <x:si>
    <x:t xml:space="preserve">Escobillon de tipo golf</x:t>
  </x:si>
  <x:si>
    <x:t xml:space="preserve">EYE026.jpg</x:t>
  </x:si>
  <x:si>
    <x:t xml:space="preserve">Escobillon de tipo golf. Presentación: 1 unidad.</x:t>
  </x:si>
  <x:si>
    <x:t xml:space="preserve">064</x:t>
  </x:si>
  <x:si>
    <x:t xml:space="preserve">EYE027</x:t>
  </x:si>
  <x:si>
    <x:t xml:space="preserve">Escobillon Italia Salzano</x:t>
  </x:si>
  <x:si>
    <x:t xml:space="preserve">EYE027.jpg</x:t>
  </x:si>
  <x:si>
    <x:t xml:space="preserve">Escobillon Italia Salzano. Presentación: 1 unidad.</x:t>
  </x:si>
  <x:si>
    <x:t xml:space="preserve">065</x:t>
  </x:si>
  <x:si>
    <x:t xml:space="preserve">EYE028</x:t>
  </x:si>
  <x:si>
    <x:t xml:space="preserve">Escobillon Martina Salzano</x:t>
  </x:si>
  <x:si>
    <x:t xml:space="preserve">EYE028.jpg</x:t>
  </x:si>
  <x:si>
    <x:t xml:space="preserve">Escobillon Martina Salzano. Presentación: 1 unidad.</x:t>
  </x:si>
  <x:si>
    <x:t xml:space="preserve">066</x:t>
  </x:si>
  <x:si>
    <x:t xml:space="preserve">EYE029</x:t>
  </x:si>
  <x:si>
    <x:t xml:space="preserve">Escobillon Super Gondola</x:t>
  </x:si>
  <x:si>
    <x:t xml:space="preserve">EYE029.jpg</x:t>
  </x:si>
  <x:si>
    <x:t xml:space="preserve">Escobillon Super Gondola. Presentación: 1 unidad.</x:t>
  </x:si>
  <x:si>
    <x:t xml:space="preserve">067</x:t>
  </x:si>
  <x:si>
    <x:t xml:space="preserve">EYE030</x:t>
  </x:si>
  <x:si>
    <x:t xml:space="preserve">Escobillon Super Panda</x:t>
  </x:si>
  <x:si>
    <x:t xml:space="preserve">EYE030.jpg</x:t>
  </x:si>
  <x:si>
    <x:t xml:space="preserve">Escobillon Super Panda. Presentación: 1 unidad.</x:t>
  </x:si>
  <x:si>
    <x:t xml:space="preserve">068</x:t>
  </x:si>
  <x:si>
    <x:t xml:space="preserve">EYE031</x:t>
  </x:si>
  <x:si>
    <x:t xml:space="preserve">Escobillon Venecia Salzano</x:t>
  </x:si>
  <x:si>
    <x:t xml:space="preserve">EYE031.jpg</x:t>
  </x:si>
  <x:si>
    <x:t xml:space="preserve">Escobillon Venecia Salzano. Presentación: 1 unidad.</x:t>
  </x:si>
  <x:si>
    <x:t xml:space="preserve">069</x:t>
  </x:si>
  <x:si>
    <x:t xml:space="preserve">EYE032</x:t>
  </x:si>
  <x:si>
    <x:t xml:space="preserve">Globo de Techo Make</x:t>
  </x:si>
  <x:si>
    <x:t xml:space="preserve">EYE032.jpg</x:t>
  </x:si>
  <x:si>
    <x:t xml:space="preserve">Globo de Techo Make. Presentación: 1 unidad.</x:t>
  </x:si>
  <x:si>
    <x:t xml:space="preserve">070</x:t>
  </x:si>
  <x:si>
    <x:t xml:space="preserve">EYE033</x:t>
  </x:si>
  <x:si>
    <x:t xml:space="preserve">Globo de Techo Punky</x:t>
  </x:si>
  <x:si>
    <x:t xml:space="preserve">EYE033.jpg</x:t>
  </x:si>
  <x:si>
    <x:t xml:space="preserve">Globo de Techo Punky. Presentación: 1 unidad.</x:t>
  </x:si>
  <x:si>
    <x:t xml:space="preserve">071</x:t>
  </x:si>
  <x:si>
    <x:t xml:space="preserve">EYE034</x:t>
  </x:si>
  <x:si>
    <x:t xml:space="preserve">Repuesto barredor</x:t>
  </x:si>
  <x:si>
    <x:t xml:space="preserve">EYE034.jpg</x:t>
  </x:si>
  <x:si>
    <x:t xml:space="preserve">Repuesto barredor. Presentación: 1 unidad.</x:t>
  </x:si>
  <x:si>
    <x:t xml:space="preserve">072</x:t>
  </x:si>
  <x:si>
    <x:t xml:space="preserve">EYE035</x:t>
  </x:si>
  <x:si>
    <x:t xml:space="preserve">EYE035.jpg</x:t>
  </x:si>
  <x:si>
    <x:t xml:space="preserve">073</x:t>
  </x:si>
  <x:si>
    <x:t xml:space="preserve">EYE036</x:t>
  </x:si>
  <x:si>
    <x:t xml:space="preserve">EYE036.jpg</x:t>
  </x:si>
  <x:si>
    <x:t xml:space="preserve">074</x:t>
  </x:si>
  <x:si>
    <x:t xml:space="preserve">EYE037</x:t>
  </x:si>
  <x:si>
    <x:t xml:space="preserve">EYE037.jpg</x:t>
  </x:si>
  <x:si>
    <x:t xml:space="preserve">075</x:t>
  </x:si>
  <x:si>
    <x:t xml:space="preserve">EYE038</x:t>
  </x:si>
  <x:si>
    <x:t xml:space="preserve">Quita Pelusa Make</x:t>
  </x:si>
  <x:si>
    <x:t xml:space="preserve">EYE038.jpg</x:t>
  </x:si>
  <x:si>
    <x:t xml:space="preserve">Quita Pelusa Make. Presentación: 1 unidad.</x:t>
  </x:si>
  <x:si>
    <x:t xml:space="preserve">076</x:t>
  </x:si>
  <x:si>
    <x:t xml:space="preserve">AUT001</x:t>
  </x:si>
  <x:si>
    <x:t xml:space="preserve">🚗 Automotor</x:t>
  </x:si>
  <x:si>
    <x:t xml:space="preserve">Bruja</x:t>
  </x:si>
  <x:si>
    <x:t xml:space="preserve">Limpiador Tipo "Bruja"</x:t>
  </x:si>
  <x:si>
    <x:t xml:space="preserve">AUT001.jpg</x:t>
  </x:si>
  <x:si>
    <x:t xml:space="preserve">Limpiador Tipo "Bruja". Presentación: 1 unidad.</x:t>
  </x:si>
  <x:si>
    <x:t xml:space="preserve">Bruja. Cuida y da brillo a las superficies del vehículo, prolongando su buen aspecto.</x:t>
  </x:si>
  <x:si>
    <x:t xml:space="preserve">077</x:t>
  </x:si>
  <x:si>
    <x:t xml:space="preserve">AUT002</x:t>
  </x:si>
  <x:si>
    <x:t xml:space="preserve">Esponja</x:t>
  </x:si>
  <x:si>
    <x:t xml:space="preserve">Esponja para auto</x:t>
  </x:si>
  <x:si>
    <x:t xml:space="preserve">AUT002.jpg</x:t>
  </x:si>
  <x:si>
    <x:t xml:space="preserve">Esponja para auto. Presentación: 1 unidad.</x:t>
  </x:si>
  <x:si>
    <x:t xml:space="preserve">Esponja. Cuida y da brillo a las superficies del vehículo, prolongando su buen aspecto.</x:t>
  </x:si>
  <x:si>
    <x:t xml:space="preserve">078</x:t>
  </x:si>
  <x:si>
    <x:t xml:space="preserve">AUT003</x:t>
  </x:si>
  <x:si>
    <x:t xml:space="preserve">Silicona</x:t>
  </x:si>
  <x:si>
    <x:t xml:space="preserve">Silicona para auto por litro</x:t>
  </x:si>
  <x:si>
    <x:t xml:space="preserve">AUT003.jpg</x:t>
  </x:si>
  <x:si>
    <x:t xml:space="preserve">Silicona para auto por litro. Presentación: 1 unidad.</x:t>
  </x:si>
  <x:si>
    <x:t xml:space="preserve">Silicona. Cuida y da brillo a las superficies del vehículo, prolongando su buen aspecto.</x:t>
  </x:si>
  <x:si>
    <x:t xml:space="preserve">079</x:t>
  </x:si>
  <x:si>
    <x:t xml:space="preserve">AUT004</x:t>
  </x:si>
  <x:si>
    <x:t xml:space="preserve">Silicona en Aerosol</x:t>
  </x:si>
  <x:si>
    <x:t xml:space="preserve">Walker</x:t>
  </x:si>
  <x:si>
    <x:t xml:space="preserve">Black</x:t>
  </x:si>
  <x:si>
    <x:t xml:space="preserve">AUT004.jpg</x:t>
  </x:si>
  <x:si>
    <x:t xml:space="preserve">Silicona en Aerosol. Presentación: 1 unidad. Marca Walker. Fragancia: Black.</x:t>
  </x:si>
  <x:si>
    <x:t xml:space="preserve">Silicona en Aerosol. Cuida y da brillo a las superficies del vehículo, prolongando su buen aspecto.</x:t>
  </x:si>
  <x:si>
    <x:t xml:space="preserve">AUT-SILICONA-AEROSOL</x:t>
  </x:si>
  <x:si>
    <x:t xml:space="preserve">080</x:t>
  </x:si>
  <x:si>
    <x:t xml:space="preserve">AUT005</x:t>
  </x:si>
  <x:si>
    <x:t xml:space="preserve">Carolina Herrera</x:t>
  </x:si>
  <x:si>
    <x:t xml:space="preserve">AUT005.jpg</x:t>
  </x:si>
  <x:si>
    <x:t xml:space="preserve">Silicona en Aerosol. Presentación: 1 unidad. Marca Walker. Fragancia: Carolina Herrera.</x:t>
  </x:si>
  <x:si>
    <x:t xml:space="preserve">081</x:t>
  </x:si>
  <x:si>
    <x:t xml:space="preserve">AUT006</x:t>
  </x:si>
  <x:si>
    <x:t xml:space="preserve">Frutilla</x:t>
  </x:si>
  <x:si>
    <x:t xml:space="preserve">AUT006.jpg</x:t>
  </x:si>
  <x:si>
    <x:t xml:space="preserve">Silicona en Aerosol. Presentación: 1 unidad. Marca Walker. Fragancia: Frutilla.</x:t>
  </x:si>
  <x:si>
    <x:t xml:space="preserve">082</x:t>
  </x:si>
  <x:si>
    <x:t xml:space="preserve">AUT007</x:t>
  </x:si>
  <x:si>
    <x:t xml:space="preserve">Kenzo</x:t>
  </x:si>
  <x:si>
    <x:t xml:space="preserve">AUT007.jpg</x:t>
  </x:si>
  <x:si>
    <x:t xml:space="preserve">Silicona en Aerosol. Presentación: 1 unidad. Marca Walker. Fragancia: Kenzo.</x:t>
  </x:si>
  <x:si>
    <x:t xml:space="preserve">083</x:t>
  </x:si>
  <x:si>
    <x:t xml:space="preserve">AUT008</x:t>
  </x:si>
  <x:si>
    <x:t xml:space="preserve">Lavanda</x:t>
  </x:si>
  <x:si>
    <x:t xml:space="preserve">AUT008.jpg</x:t>
  </x:si>
  <x:si>
    <x:t xml:space="preserve">Silicona en Aerosol. Presentación: 1 unidad. Marca Walker. Fragancia: Lavanda.</x:t>
  </x:si>
  <x:si>
    <x:t xml:space="preserve">084</x:t>
  </x:si>
  <x:si>
    <x:t xml:space="preserve">AUT009</x:t>
  </x:si>
  <x:si>
    <x:t xml:space="preserve">One Million</x:t>
  </x:si>
  <x:si>
    <x:t xml:space="preserve">AUT009.jpg</x:t>
  </x:si>
  <x:si>
    <x:t xml:space="preserve">Silicona en Aerosol. Presentación: 1 unidad. Marca Walker. Fragancia: One Million.</x:t>
  </x:si>
  <x:si>
    <x:t xml:space="preserve">085</x:t>
  </x:si>
  <x:si>
    <x:t xml:space="preserve">AUT010</x:t>
  </x:si>
  <x:si>
    <x:t xml:space="preserve">Paco rabanne</x:t>
  </x:si>
  <x:si>
    <x:t xml:space="preserve">AUT010.jpg</x:t>
  </x:si>
  <x:si>
    <x:t xml:space="preserve">Silicona en Aerosol. Presentación: 1 unidad. Marca Walker. Fragancia: Paco rabanne.</x:t>
  </x:si>
  <x:si>
    <x:t xml:space="preserve">086</x:t>
  </x:si>
  <x:si>
    <x:t xml:space="preserve">AUT011</x:t>
  </x:si>
  <x:si>
    <x:t xml:space="preserve">Sensual</x:t>
  </x:si>
  <x:si>
    <x:t xml:space="preserve">AUT011.jpg</x:t>
  </x:si>
  <x:si>
    <x:t xml:space="preserve">Silicona en Aerosol. Presentación: 1 unidad. Marca Walker. Fragancia: Sensual.</x:t>
  </x:si>
  <x:si>
    <x:t xml:space="preserve">087</x:t>
  </x:si>
  <x:si>
    <x:t xml:space="preserve">AUT012</x:t>
  </x:si>
  <x:si>
    <x:t xml:space="preserve">Vainilla</x:t>
  </x:si>
  <x:si>
    <x:t xml:space="preserve">AUT012.jpg</x:t>
  </x:si>
  <x:si>
    <x:t xml:space="preserve">Silicona en Aerosol. Presentación: 1 unidad. Marca Walker. Fragancia: Vainilla.</x:t>
  </x:si>
  <x:si>
    <x:t xml:space="preserve">088</x:t>
  </x:si>
  <x:si>
    <x:t xml:space="preserve">AUT013</x:t>
  </x:si>
  <x:si>
    <x:t xml:space="preserve">Shampoo Siliconado</x:t>
  </x:si>
  <x:si>
    <x:t xml:space="preserve">Shampoo Siliconado por litro</x:t>
  </x:si>
  <x:si>
    <x:t xml:space="preserve">AUT013.jpg</x:t>
  </x:si>
  <x:si>
    <x:t xml:space="preserve">Shampoo Siliconado por litro. Presentación: 1 unidad.</x:t>
  </x:si>
  <x:si>
    <x:t xml:space="preserve">Shampoo Siliconado. Cuida y da brillo a las superficies del vehículo, prolongando su buen aspecto.</x:t>
  </x:si>
  <x:si>
    <x:t xml:space="preserve">089</x:t>
  </x:si>
  <x:si>
    <x:t xml:space="preserve">AUT014</x:t>
  </x:si>
  <x:si>
    <x:t xml:space="preserve">Mini Lata Walker</x:t>
  </x:si>
  <x:si>
    <x:t xml:space="preserve">Mini Lata Walker para auto</x:t>
  </x:si>
  <x:si>
    <x:t xml:space="preserve">universal</x:t>
  </x:si>
  <x:si>
    <x:t xml:space="preserve">AUT014.jpg</x:t>
  </x:si>
  <x:si>
    <x:t xml:space="preserve">Mini Lata Walker para auto. Presentación: 1 unidad. Marca Walker. Fragancia: universal.</x:t>
  </x:si>
  <x:si>
    <x:t xml:space="preserve">Mini Lata Walker. Cuida y da brillo a las superficies del vehículo, prolongando su buen aspecto.</x:t>
  </x:si>
  <x:si>
    <x:t xml:space="preserve">090</x:t>
  </x:si>
  <x:si>
    <x:t xml:space="preserve">AUT015</x:t>
  </x:si>
  <x:si>
    <x:t xml:space="preserve">Perfume en Lata Walker</x:t>
  </x:si>
  <x:si>
    <x:t xml:space="preserve">AUT015.jpg</x:t>
  </x:si>
  <x:si>
    <x:t xml:space="preserve">Perfume en Lata Walker. Presentación: 1 unidad. Marca Walker. Fragancia: Black.</x:t>
  </x:si>
  <x:si>
    <x:t xml:space="preserve">Perfume en Lata Walker. Cuida y da brillo a las superficies del vehículo, prolongando su buen aspecto.</x:t>
  </x:si>
  <x:si>
    <x:t xml:space="preserve">AUT-PERFUME-LATA</x:t>
  </x:si>
  <x:si>
    <x:t xml:space="preserve">091</x:t>
  </x:si>
  <x:si>
    <x:t xml:space="preserve">AUT016</x:t>
  </x:si>
  <x:si>
    <x:t xml:space="preserve">AUT016.jpg</x:t>
  </x:si>
  <x:si>
    <x:t xml:space="preserve">Perfume en Lata Walker. Presentación: 1 unidad. Marca Walker. Fragancia: Frutilla.</x:t>
  </x:si>
  <x:si>
    <x:t xml:space="preserve">092</x:t>
  </x:si>
  <x:si>
    <x:t xml:space="preserve">AUT017</x:t>
  </x:si>
  <x:si>
    <x:t xml:space="preserve">Limon</x:t>
  </x:si>
  <x:si>
    <x:t xml:space="preserve">AUT017.jpg</x:t>
  </x:si>
  <x:si>
    <x:t xml:space="preserve">Perfume en Lata Walker. Presentación: 1 unidad. Marca Walker. Fragancia: Limon.</x:t>
  </x:si>
  <x:si>
    <x:t xml:space="preserve">093</x:t>
  </x:si>
  <x:si>
    <x:t xml:space="preserve">AUT018</x:t>
  </x:si>
  <x:si>
    <x:t xml:space="preserve">AUT018.jpg</x:t>
  </x:si>
  <x:si>
    <x:t xml:space="preserve">Perfume en Lata Walker. Presentación: 1 unidad. Marca Walker. Fragancia: Vainilla.</x:t>
  </x:si>
  <x:si>
    <x:t xml:space="preserve">094</x:t>
  </x:si>
  <x:si>
    <x:t xml:space="preserve">AUT019</x:t>
  </x:si>
  <x:si>
    <x:t xml:space="preserve">Aqua</x:t>
  </x:si>
  <x:si>
    <x:t xml:space="preserve">AUT019.jpg</x:t>
  </x:si>
  <x:si>
    <x:t xml:space="preserve">Perfume en Lata Walker. Presentación: 1 unidad. Marca Walker. Fragancia: Aqua.</x:t>
  </x:si>
  <x:si>
    <x:t xml:space="preserve">095</x:t>
  </x:si>
  <x:si>
    <x:t xml:space="preserve">AUT020</x:t>
  </x:si>
  <x:si>
    <x:t xml:space="preserve">Cera</x:t>
  </x:si>
  <x:si>
    <x:t xml:space="preserve">Cera para auto por litro</x:t>
  </x:si>
  <x:si>
    <x:t xml:space="preserve">AUT020.jpg</x:t>
  </x:si>
  <x:si>
    <x:t xml:space="preserve">Cera para auto por litro. Presentación: 1 unidad.</x:t>
  </x:si>
  <x:si>
    <x:t xml:space="preserve">Cera. Cuida y da brillo a las superficies del vehículo, prolongando su buen aspecto.</x:t>
  </x:si>
  <x:si>
    <x:t xml:space="preserve">096</x:t>
  </x:si>
  <x:si>
    <x:t xml:space="preserve">AUT021</x:t>
  </x:si>
  <x:si>
    <x:t xml:space="preserve">Limpia Tapizado en Aerosol</x:t>
  </x:si>
  <x:si>
    <x:t xml:space="preserve">AUT021.jpg</x:t>
  </x:si>
  <x:si>
    <x:t xml:space="preserve">Limpia Tapizado en Aerosol. Presentación: 1 unidad. Marca Walker.</x:t>
  </x:si>
  <x:si>
    <x:t xml:space="preserve">Limpia Tapizado en Aerosol. Cuida y da brillo a las superficies del vehículo, prolongando su buen aspecto.</x:t>
  </x:si>
  <x:si>
    <x:t xml:space="preserve">097</x:t>
  </x:si>
  <x:si>
    <x:t xml:space="preserve">SHA001</x:t>
  </x:si>
  <x:si>
    <x:t xml:space="preserve">Jabón líquido de manos</x:t>
  </x:si>
  <x:si>
    <x:t xml:space="preserve">Shampoo para manos</x:t>
  </x:si>
  <x:si>
    <x:t xml:space="preserve">SHA001.png</x:t>
  </x:si>
  <x:si>
    <x:t xml:space="preserve">Shampoo para manos. Presentación: 1 unidad. Fragancia: Frutilla.</x:t>
  </x:si>
  <x:si>
    <x:t xml:space="preserve">Jabón líquido de manos. Elimina suciedad y gérmenes en inodoros, azulejos y superficies del baño, dejando un aroma agradable.</x:t>
  </x:si>
  <x:si>
    <x:t xml:space="preserve">098</x:t>
  </x:si>
  <x:si>
    <x:t xml:space="preserve">SHA002</x:t>
  </x:si>
  <x:si>
    <x:t xml:space="preserve">Shampoo para manos por 5 litros</x:t>
  </x:si>
  <x:si>
    <x:t xml:space="preserve">blanco</x:t>
  </x:si>
  <x:si>
    <x:t xml:space="preserve">SHA002.png</x:t>
  </x:si>
  <x:si>
    <x:t xml:space="preserve">Shampoo para manos por 5 litros. Presentación: 1 unidad. Fragancia: blanco.</x:t>
  </x:si>
  <x:si>
    <x:t xml:space="preserve">099</x:t>
  </x:si>
  <x:si>
    <x:t xml:space="preserve">SHA003</x:t>
  </x:si>
  <x:si>
    <x:t xml:space="preserve">vaini coco</x:t>
  </x:si>
  <x:si>
    <x:t xml:space="preserve">SHA003.png</x:t>
  </x:si>
  <x:si>
    <x:t xml:space="preserve">Shampoo para manos por 5 litros. Presentación: 1 unidad. Fragancia: vaini coco.</x:t>
  </x:si>
  <x:si>
    <x:t xml:space="preserve">100</x:t>
  </x:si>
  <x:si>
    <x:t xml:space="preserve">SHA004</x:t>
  </x:si>
  <x:si>
    <x:t xml:space="preserve">manzana</x:t>
  </x:si>
  <x:si>
    <x:t xml:space="preserve">SHA004.png</x:t>
  </x:si>
  <x:si>
    <x:t xml:space="preserve">Shampoo para manos por 5 litros. Presentación: 1 unidad. Fragancia: manzana.</x:t>
  </x:si>
  <x:si>
    <x:t xml:space="preserve">101</x:t>
  </x:si>
  <x:si>
    <x:t xml:space="preserve">SHA005</x:t>
  </x:si>
  <x:si>
    <x:t xml:space="preserve">uva</x:t>
  </x:si>
  <x:si>
    <x:t xml:space="preserve">SHA005.png</x:t>
  </x:si>
  <x:si>
    <x:t xml:space="preserve">Shampoo para manos por 5 litros. Presentación: 1 unidad. Fragancia: uva.</x:t>
  </x:si>
  <x:si>
    <x:t xml:space="preserve">102</x:t>
  </x:si>
  <x:si>
    <x:t xml:space="preserve">SHA006</x:t>
  </x:si>
  <x:si>
    <x:t xml:space="preserve">antibacterial</x:t>
  </x:si>
  <x:si>
    <x:t xml:space="preserve">SHA006.png</x:t>
  </x:si>
  <x:si>
    <x:t xml:space="preserve">Shampoo para manos por 5 litros. Presentación: 1 unidad. Fragancia: antibacterial.</x:t>
  </x:si>
  <x:si>
    <x:t xml:space="preserve">103</x:t>
  </x:si>
  <x:si>
    <x:t xml:space="preserve">DAV001</x:t>
  </x:si>
  <x:si>
    <x:t xml:space="preserve">Difusores aromáticos</x:t>
  </x:si>
  <x:si>
    <x:t xml:space="preserve">Saphirus</x:t>
  </x:si>
  <x:si>
    <x:t xml:space="preserve">Difusor Aromatico Saphirus por 50 CC</x:t>
  </x:si>
  <x:si>
    <x:t xml:space="preserve">vainilla</x:t>
  </x:si>
  <x:si>
    <x:t xml:space="preserve">DAV001.jpg</x:t>
  </x:si>
  <x:si>
    <x:t xml:space="preserve">Difusor Aromatico Saphirus por 50 CC. Presentación: 1 unidad. Marca Saphirus. Fragancia: vainilla.</x:t>
  </x:si>
  <x:si>
    <x:t xml:space="preserve">Difusores aromáticos. Perfuma ambientes y textiles con una fragancia agradable y duradera, ideal para dejar todo con olor a limpio.</x:t>
  </x:si>
  <x:si>
    <x:t xml:space="preserve">DAV-SIMPLE-DIFUSOR-SAPHIRUS</x:t>
  </x:si>
  <x:si>
    <x:t xml:space="preserve">104</x:t>
  </x:si>
  <x:si>
    <x:t xml:space="preserve">DAV002</x:t>
  </x:si>
  <x:si>
    <x:t xml:space="preserve">lavanda</x:t>
  </x:si>
  <x:si>
    <x:t xml:space="preserve">DAV002.jpg</x:t>
  </x:si>
  <x:si>
    <x:t xml:space="preserve">Difusor Aromatico Saphirus por 50 CC. Presentación: 1 unidad. Marca Saphirus. Fragancia: lavanda.</x:t>
  </x:si>
  <x:si>
    <x:t xml:space="preserve">105</x:t>
  </x:si>
  <x:si>
    <x:t xml:space="preserve">DAV003</x:t>
  </x:si>
  <x:si>
    <x:t xml:space="preserve">DAV003.jpg</x:t>
  </x:si>
  <x:si>
    <x:t xml:space="preserve">Difusor Aromatico Saphirus por 50 CC. Presentación: 1 unidad. Marca Saphirus. Fragancia: uva.</x:t>
  </x:si>
  <x:si>
    <x:t xml:space="preserve">106</x:t>
  </x:si>
  <x:si>
    <x:t xml:space="preserve">DAV004</x:t>
  </x:si>
  <x:si>
    <x:t xml:space="preserve">palito de la selva</x:t>
  </x:si>
  <x:si>
    <x:t xml:space="preserve">DAV004.jpg</x:t>
  </x:si>
  <x:si>
    <x:t xml:space="preserve">Difusor Aromatico Saphirus por 50 CC. Presentación: 1 unidad. Marca Saphirus. Fragancia: palito de la selva.</x:t>
  </x:si>
  <x:si>
    <x:t xml:space="preserve">107</x:t>
  </x:si>
  <x:si>
    <x:t xml:space="preserve">DAV005</x:t>
  </x:si>
  <x:si>
    <x:t xml:space="preserve">DAV005.jpg</x:t>
  </x:si>
  <x:si>
    <x:t xml:space="preserve">Difusor Aromatico Saphirus por 50 CC. Presentación: 1 unidad. Marca Saphirus. Fragancia: vaini coco.</x:t>
  </x:si>
  <x:si>
    <x:t xml:space="preserve">108</x:t>
  </x:si>
  <x:si>
    <x:t xml:space="preserve">DAV006</x:t>
  </x:si>
  <x:si>
    <x:t xml:space="preserve">coniglio</x:t>
  </x:si>
  <x:si>
    <x:t xml:space="preserve">DAV006.jpg</x:t>
  </x:si>
  <x:si>
    <x:t xml:space="preserve">Difusor Aromatico Saphirus por 50 CC. Presentación: 1 unidad. Marca Saphirus. Fragancia: coniglio.</x:t>
  </x:si>
  <x:si>
    <x:t xml:space="preserve">109</x:t>
  </x:si>
  <x:si>
    <x:t xml:space="preserve">DAV007</x:t>
  </x:si>
  <x:si>
    <x:t xml:space="preserve">limon</x:t>
  </x:si>
  <x:si>
    <x:t xml:space="preserve">DAV007.jpg</x:t>
  </x:si>
  <x:si>
    <x:t xml:space="preserve">Difusor Aromatico Saphirus por 50 CC. Presentación: 1 unidad. Marca Saphirus. Fragancia: limon.</x:t>
  </x:si>
  <x:si>
    <x:t xml:space="preserve">110</x:t>
  </x:si>
  <x:si>
    <x:t xml:space="preserve">DAV008</x:t>
  </x:si>
  <x:si>
    <x:t xml:space="preserve">coco</x:t>
  </x:si>
  <x:si>
    <x:t xml:space="preserve">DAV008.jpg</x:t>
  </x:si>
  <x:si>
    <x:t xml:space="preserve">Difusor Aromatico Saphirus por 50 CC. Presentación: 1 unidad. Marca Saphirus. Fragancia: coco.</x:t>
  </x:si>
  <x:si>
    <x:t xml:space="preserve">111</x:t>
  </x:si>
  <x:si>
    <x:t xml:space="preserve">DAV009</x:t>
  </x:si>
  <x:si>
    <x:t xml:space="preserve">frutilla</x:t>
  </x:si>
  <x:si>
    <x:t xml:space="preserve">DAV009.jpg</x:t>
  </x:si>
  <x:si>
    <x:t xml:space="preserve">Difusor Aromatico Saphirus por 50 CC. Presentación: 1 unidad. Marca Saphirus. Fragancia: frutilla.</x:t>
  </x:si>
  <x:si>
    <x:t xml:space="preserve">112</x:t>
  </x:si>
  <x:si>
    <x:t xml:space="preserve">DAV010</x:t>
  </x:si>
  <x:si>
    <x:t xml:space="preserve">j.baby</x:t>
  </x:si>
  <x:si>
    <x:t xml:space="preserve">DAV010.jpg</x:t>
  </x:si>
  <x:si>
    <x:t xml:space="preserve">Difusor Aromatico Saphirus por 50 CC. Presentación: 1 unidad. Marca Saphirus. Fragancia: j.baby.</x:t>
  </x:si>
  <x:si>
    <x:t xml:space="preserve">113</x:t>
  </x:si>
  <x:si>
    <x:t xml:space="preserve">DAV011</x:t>
  </x:si>
  <x:si>
    <x:t xml:space="preserve">papaya</x:t>
  </x:si>
  <x:si>
    <x:t xml:space="preserve">DAV011.jpg</x:t>
  </x:si>
  <x:si>
    <x:t xml:space="preserve">Difusor Aromatico Saphirus por 50 CC. Presentación: 1 unidad. Marca Saphirus. Fragancia: papaya.</x:t>
  </x:si>
  <x:si>
    <x:t xml:space="preserve">114</x:t>
  </x:si>
  <x:si>
    <x:t xml:space="preserve">DAV012</x:t>
  </x:si>
  <x:si>
    <x:t xml:space="preserve">flores blancas</x:t>
  </x:si>
  <x:si>
    <x:t xml:space="preserve">DAV012.jpg</x:t>
  </x:si>
  <x:si>
    <x:t xml:space="preserve">Difusor Aromatico Saphirus por 50 CC. Presentación: 1 unidad. Marca Saphirus. Fragancia: flores blancas.</x:t>
  </x:si>
  <x:si>
    <x:t xml:space="preserve">115</x:t>
  </x:si>
  <x:si>
    <x:t xml:space="preserve">DAV013</x:t>
  </x:si>
  <x:si>
    <x:t xml:space="preserve">citrus</x:t>
  </x:si>
  <x:si>
    <x:t xml:space="preserve">DAV013.jpg</x:t>
  </x:si>
  <x:si>
    <x:t xml:space="preserve">Difusor Aromatico Saphirus por 50 CC. Presentación: 1 unidad. Marca Saphirus. Fragancia: citrus.</x:t>
  </x:si>
  <x:si>
    <x:t xml:space="preserve">116</x:t>
  </x:si>
  <x:si>
    <x:t xml:space="preserve">DAV014</x:t>
  </x:si>
  <x:si>
    <x:t xml:space="preserve">jazmin</x:t>
  </x:si>
  <x:si>
    <x:t xml:space="preserve">DAV014.jpg</x:t>
  </x:si>
  <x:si>
    <x:t xml:space="preserve">Difusor Aromatico Saphirus por 50 CC. Presentación: 1 unidad. Marca Saphirus. Fragancia: jazmin.</x:t>
  </x:si>
  <x:si>
    <x:t xml:space="preserve">117</x:t>
  </x:si>
  <x:si>
    <x:t xml:space="preserve">DAV015</x:t>
  </x:si>
  <x:si>
    <x:t xml:space="preserve">Difusor Aromatico Saphirus por 120 CC</x:t>
  </x:si>
  <x:si>
    <x:t xml:space="preserve">DAV015.jpg</x:t>
  </x:si>
  <x:si>
    <x:t xml:space="preserve">Difusor Aromatico Saphirus por 120 CC. Presentación: 1 unidad. Marca Saphirus. Fragancia: vainilla.</x:t>
  </x:si>
  <x:si>
    <x:t xml:space="preserve">118</x:t>
  </x:si>
  <x:si>
    <x:t xml:space="preserve">DAV016</x:t>
  </x:si>
  <x:si>
    <x:t xml:space="preserve">DAV016.jpg</x:t>
  </x:si>
  <x:si>
    <x:t xml:space="preserve">Difusor Aromatico Saphirus por 120 CC. Presentación: 1 unidad. Marca Saphirus. Fragancia: lavanda.</x:t>
  </x:si>
  <x:si>
    <x:t xml:space="preserve">119</x:t>
  </x:si>
  <x:si>
    <x:t xml:space="preserve">DAV017</x:t>
  </x:si>
  <x:si>
    <x:t xml:space="preserve">DAV017.jpg</x:t>
  </x:si>
  <x:si>
    <x:t xml:space="preserve">Difusor Aromatico Saphirus por 120 CC. Presentación: 1 unidad. Marca Saphirus. Fragancia: limon.</x:t>
  </x:si>
  <x:si>
    <x:t xml:space="preserve">120</x:t>
  </x:si>
  <x:si>
    <x:t xml:space="preserve">DAV018</x:t>
  </x:si>
  <x:si>
    <x:t xml:space="preserve">vainilla madagascar</x:t>
  </x:si>
  <x:si>
    <x:t xml:space="preserve">DAV018.jpg</x:t>
  </x:si>
  <x:si>
    <x:t xml:space="preserve">Difusor Aromatico Saphirus por 120 CC. Presentación: 1 unidad. Marca Saphirus. Fragancia: vainilla madagascar.</x:t>
  </x:si>
  <x:si>
    <x:t xml:space="preserve">121</x:t>
  </x:si>
  <x:si>
    <x:t xml:space="preserve">DAV019</x:t>
  </x:si>
  <x:si>
    <x:t xml:space="preserve">floral</x:t>
  </x:si>
  <x:si>
    <x:t xml:space="preserve">DAV019.jpg</x:t>
  </x:si>
  <x:si>
    <x:t xml:space="preserve">Difusor Aromatico Saphirus por 120 CC. Presentación: 1 unidad. Marca Saphirus. Fragancia: floral.</x:t>
  </x:si>
  <x:si>
    <x:t xml:space="preserve">122</x:t>
  </x:si>
  <x:si>
    <x:t xml:space="preserve">DAV020</x:t>
  </x:si>
  <x:si>
    <x:t xml:space="preserve">chicle</x:t>
  </x:si>
  <x:si>
    <x:t xml:space="preserve">DAV020.jpg</x:t>
  </x:si>
  <x:si>
    <x:t xml:space="preserve">Difusor Aromatico Saphirus por 120 CC. Presentación: 1 unidad. Marca Saphirus. Fragancia: chicle.</x:t>
  </x:si>
  <x:si>
    <x:t xml:space="preserve">123</x:t>
  </x:si>
  <x:si>
    <x:t xml:space="preserve">DAV021</x:t>
  </x:si>
  <x:si>
    <x:t xml:space="preserve">DAV021.jpg</x:t>
  </x:si>
  <x:si>
    <x:t xml:space="preserve">Difusor Aromatico Saphirus por 120 CC. Presentación: 1 unidad. Marca Saphirus. Fragancia: palito de la selva.</x:t>
  </x:si>
  <x:si>
    <x:t xml:space="preserve">124</x:t>
  </x:si>
  <x:si>
    <x:t xml:space="preserve">DAV022</x:t>
  </x:si>
  <x:si>
    <x:t xml:space="preserve">nag champa</x:t>
  </x:si>
  <x:si>
    <x:t xml:space="preserve">DAV022.jpg</x:t>
  </x:si>
  <x:si>
    <x:t xml:space="preserve">Difusor Aromatico Saphirus por 120 CC. Presentación: 1 unidad. Marca Saphirus. Fragancia: nag champa.</x:t>
  </x:si>
  <x:si>
    <x:t xml:space="preserve">125</x:t>
  </x:si>
  <x:si>
    <x:t xml:space="preserve">DAV023</x:t>
  </x:si>
  <x:si>
    <x:t xml:space="preserve">Difusor Aromatico Saphirus combinados por 120 CC</x:t>
  </x:si>
  <x:si>
    <x:t xml:space="preserve">sandia / melon</x:t>
  </x:si>
  <x:si>
    <x:t xml:space="preserve">DAV023.jpg</x:t>
  </x:si>
  <x:si>
    <x:t xml:space="preserve">Difusor Aromatico Saphirus combinados por 120 CC. Presentación: 1 unidad. Marca Saphirus. Fragancia: sandia / melon.</x:t>
  </x:si>
  <x:si>
    <x:t xml:space="preserve">DAV-COMBINADO-DIFUSOR-SAPHIRUS</x:t>
  </x:si>
  <x:si>
    <x:t xml:space="preserve">126</x:t>
  </x:si>
  <x:si>
    <x:t xml:space="preserve">DAV024</x:t>
  </x:si>
  <x:si>
    <x:t xml:space="preserve">vainilla / frambruesa</x:t>
  </x:si>
  <x:si>
    <x:t xml:space="preserve">DAV024.jpg</x:t>
  </x:si>
  <x:si>
    <x:t xml:space="preserve">Difusor Aromatico Saphirus combinados por 120 CC. Presentación: 1 unidad. Marca Saphirus. Fragancia: vainilla / frambruesa.</x:t>
  </x:si>
  <x:si>
    <x:t xml:space="preserve">127</x:t>
  </x:si>
  <x:si>
    <x:t xml:space="preserve">DAV025</x:t>
  </x:si>
  <x:si>
    <x:t xml:space="preserve">vainilla / chocolate</x:t>
  </x:si>
  <x:si>
    <x:t xml:space="preserve">DAV025.jpg</x:t>
  </x:si>
  <x:si>
    <x:t xml:space="preserve">Difusor Aromatico Saphirus combinados por 120 CC. Presentación: 1 unidad. Marca Saphirus. Fragancia: vainilla / chocolate.</x:t>
  </x:si>
  <x:si>
    <x:t xml:space="preserve">128</x:t>
  </x:si>
  <x:si>
    <x:t xml:space="preserve">DAV026</x:t>
  </x:si>
  <x:si>
    <x:t xml:space="preserve">vaini / coco</x:t>
  </x:si>
  <x:si>
    <x:t xml:space="preserve">DAV026.jpg</x:t>
  </x:si>
  <x:si>
    <x:t xml:space="preserve">Difusor Aromatico Saphirus combinados por 120 CC. Presentación: 1 unidad. Marca Saphirus. Fragancia: vaini / coco.</x:t>
  </x:si>
  <x:si>
    <x:t xml:space="preserve">129</x:t>
  </x:si>
  <x:si>
    <x:t xml:space="preserve">DAV027</x:t>
  </x:si>
  <x:si>
    <x:t xml:space="preserve">flores blancas / uvas</x:t>
  </x:si>
  <x:si>
    <x:t xml:space="preserve">DAV027.jpg</x:t>
  </x:si>
  <x:si>
    <x:t xml:space="preserve">Difusor Aromatico Saphirus combinados por 120 CC. Presentación: 1 unidad. Marca Saphirus. Fragancia: flores blancas / uvas.</x:t>
  </x:si>
  <x:si>
    <x:t xml:space="preserve">130</x:t>
  </x:si>
  <x:si>
    <x:t xml:space="preserve">PROM001</x:t>
  </x:si>
  <x:si>
    <x:t xml:space="preserve">📦 Packs y ofertas</x:t>
  </x:si>
  <x:si>
    <x:t xml:space="preserve">Promo 15 litros</x:t>
  </x:si>
  <x:si>
    <x:t xml:space="preserve">PROM001.png</x:t>
  </x:si>
  <x:si>
    <x:t xml:space="preserve">Promo 15 litros. Presentación: 1 unidad.</x:t>
  </x:si>
  <x:si>
    <x:t xml:space="preserve">Promo 15 litros. Combo pensado para ahorrar, con mayor cantidad de producto al mejor precio por litro.</x:t>
  </x:si>
  <x:si>
    <x:t xml:space="preserve">131</x:t>
  </x:si>
  <x:si>
    <x:t xml:space="preserve">PROM002</x:t>
  </x:si>
  <x:si>
    <x:t xml:space="preserve">Promo 12 litros</x:t>
  </x:si>
  <x:si>
    <x:t xml:space="preserve">Promo 12 litros + 5 de regalo</x:t>
  </x:si>
  <x:si>
    <x:t xml:space="preserve">PROM002.png</x:t>
  </x:si>
  <x:si>
    <x:t xml:space="preserve">Promo 12 litros + 5 de regalo. Presentación: 1 unidad.</x:t>
  </x:si>
  <x:si>
    <x:t xml:space="preserve">Promo 12 litros. Combo pensado para ahorrar, con mayor cantidad de producto al mejor precio por litro.</x:t>
  </x:si>
  <x:si>
    <x:t xml:space="preserve">132</x:t>
  </x:si>
  <x:si>
    <x:t xml:space="preserve">PROM003</x:t>
  </x:si>
  <x:si>
    <x:t xml:space="preserve">Promo 10 litros</x:t>
  </x:si>
  <x:si>
    <x:t xml:space="preserve">PROM003.png</x:t>
  </x:si>
  <x:si>
    <x:t xml:space="preserve">Promo 10 litros. Presentación: 1 unidad.</x:t>
  </x:si>
  <x:si>
    <x:t xml:space="preserve">Promo 10 litros. Combo pensado para ahorrar, con mayor cantidad de producto al mejor precio por litro.</x:t>
  </x:si>
  <x:si>
    <x:t xml:space="preserve">133</x:t>
  </x:si>
  <x:si>
    <x:t xml:space="preserve">CLO002</x:t>
  </x:si>
  <x:si>
    <x:t xml:space="preserve">Cloro</x:t>
  </x:si>
  <x:si>
    <x:t xml:space="preserve">Cloro liquido x 1 litro</x:t>
  </x:si>
  <x:si>
    <x:t xml:space="preserve">1 litro</x:t>
  </x:si>
  <x:si>
    <x:t xml:space="preserve">CLO002.png</x:t>
  </x:si>
  <x:si>
    <x:t xml:space="preserve">SI</x:t>
  </x:si>
  <x:si>
    <x:t xml:space="preserve">Cloro liquido x 1 litro. Presentación: 1 litro.</x:t>
  </x:si>
  <x:si>
    <x:t xml:space="preserve">Cloro. Elimina bacterias y gérmenes, desinfectando a fondo superficies del hogar, comercios e industrias.</x:t>
  </x:si>
  <x:si>
    <x:t xml:space="preserve">134</x:t>
  </x:si>
  <x:si>
    <x:t xml:space="preserve">CLO003</x:t>
  </x:si>
  <x:si>
    <x:t xml:space="preserve">Cloro liquido pack x 6</x:t>
  </x:si>
  <x:si>
    <x:t xml:space="preserve">6 litros</x:t>
  </x:si>
  <x:si>
    <x:t xml:space="preserve">CLO003.png</x:t>
  </x:si>
  <x:si>
    <x:t xml:space="preserve">Cloro liquido pack x 6. Presentación: 6 litros.</x:t>
  </x:si>
  <x:si>
    <x:t xml:space="preserve">135</x:t>
  </x:si>
  <x:si>
    <x:t xml:space="preserve">DET002</x:t>
  </x:si>
  <x:si>
    <x:t xml:space="preserve">Detergente liquido concentrado</x:t>
  </x:si>
  <x:si>
    <x:t xml:space="preserve">DET002.png</x:t>
  </x:si>
  <x:si>
    <x:t xml:space="preserve">Detergente liquido concentrado. Presentación: 1 litros.</x:t>
  </x:si>
  <x:si>
    <x:t xml:space="preserve">136</x:t>
  </x:si>
  <x:si>
    <x:t xml:space="preserve">DET003</x:t>
  </x:si>
  <x:si>
    <x:t xml:space="preserve">Detergente liquido concentrado pack 6 unidades</x:t>
  </x:si>
  <x:si>
    <x:t xml:space="preserve">DET003.png</x:t>
  </x:si>
  <x:si>
    <x:t xml:space="preserve">Detergente liquido concentrado pack 6 unidades. Presentación: 6 litros.</x:t>
  </x:si>
  <x:si>
    <x:t xml:space="preserve">137</x:t>
  </x:si>
  <x:si>
    <x:t xml:space="preserve">LVA003</x:t>
  </x:si>
  <x:si>
    <x:t xml:space="preserve">Lavavajillas Listo para usar</x:t>
  </x:si>
  <x:si>
    <x:t xml:space="preserve">Lavavajillas listo para usar 1 litro</x:t>
  </x:si>
  <x:si>
    <x:t xml:space="preserve">LVA003.png</x:t>
  </x:si>
  <x:si>
    <x:t xml:space="preserve">Lavavajillas listo para usar 1 litro. Presentación: 1 litro.</x:t>
  </x:si>
  <x:si>
    <x:t xml:space="preserve">Lavavajillas Listo para usar. Ideal para desengrasar y limpiar utensilios, vajilla y superficies de cocina de forma rápida y efectiva.</x:t>
  </x:si>
  <x:si>
    <x:t xml:space="preserve">138</x:t>
  </x:si>
  <x:si>
    <x:t xml:space="preserve">LVA004</x:t>
  </x:si>
  <x:si>
    <x:t xml:space="preserve">Lavavajillas listo para usar pack 6 litros</x:t>
  </x:si>
  <x:si>
    <x:t xml:space="preserve">LVA004.png</x:t>
  </x:si>
  <x:si>
    <x:t xml:space="preserve">Lavavajillas listo para usar pack 6 litros. Presentación: 6 litros.</x:t>
  </x:si>
  <x:si>
    <x:t xml:space="preserve">139</x:t>
  </x:si>
  <x:si>
    <x:t xml:space="preserve">LVA005</x:t>
  </x:si>
  <x:si>
    <x:t xml:space="preserve">Lavavajillas Concentrado</x:t>
  </x:si>
  <x:si>
    <x:t xml:space="preserve">Lavavajillas concentrado 1 litro</x:t>
  </x:si>
  <x:si>
    <x:t xml:space="preserve">LVA005.png</x:t>
  </x:si>
  <x:si>
    <x:t xml:space="preserve">Lavavajillas concentrado 1 litro. Presentación: 1 litro.</x:t>
  </x:si>
  <x:si>
    <x:t xml:space="preserve">Lavavajillas Concentrado. Ideal para desengrasar y limpiar utensilios, vajilla y superficies de cocina de forma rápida y efectiva.</x:t>
  </x:si>
  <x:si>
    <x:t xml:space="preserve">140</x:t>
  </x:si>
  <x:si>
    <x:t xml:space="preserve">LVA006</x:t>
  </x:si>
  <x:si>
    <x:t xml:space="preserve">Lavavajillas concentrado pack 6 litros</x:t>
  </x:si>
  <x:si>
    <x:t xml:space="preserve">LVA006.png</x:t>
  </x:si>
  <x:si>
    <x:t xml:space="preserve">Lavavajillas concentrado pack 6 litros. Presentación: 6 litros.</x:t>
  </x:si>
  <x:si>
    <x:t xml:space="preserve">141</x:t>
  </x:si>
  <x:si>
    <x:t xml:space="preserve">SUA003</x:t>
  </x:si>
  <x:si>
    <x:t xml:space="preserve">Suavizante listo para usar 1 litro</x:t>
  </x:si>
  <x:si>
    <x:t xml:space="preserve">SUA003.png</x:t>
  </x:si>
  <x:si>
    <x:t xml:space="preserve">Suavizante listo para usar 1 litro. Presentación: 1 litro. Fragancia: color blanco premium.</x:t>
  </x:si>
  <x:si>
    <x:t xml:space="preserve">142</x:t>
  </x:si>
  <x:si>
    <x:t xml:space="preserve">SUA004</x:t>
  </x:si>
  <x:si>
    <x:t xml:space="preserve">Suavizante listo para usar pack 6 x 6 litros</x:t>
  </x:si>
  <x:si>
    <x:t xml:space="preserve">SUA004.png</x:t>
  </x:si>
  <x:si>
    <x:t xml:space="preserve">Suavizante listo para usar pack 6 x 6 litros. Presentación: 6 litros.</x:t>
  </x:si>
  <x:si>
    <x:t xml:space="preserve">143</x:t>
  </x:si>
  <x:si>
    <x:t xml:space="preserve">SUA005</x:t>
  </x:si>
  <x:si>
    <x:t xml:space="preserve">Suavizante listo para usar x 1 litro</x:t>
  </x:si>
  <x:si>
    <x:t xml:space="preserve">SUA005.png</x:t>
  </x:si>
  <x:si>
    <x:t xml:space="preserve">Suavizante listo para usar x 1 litro. Presentación: 1 litro. Fragancia: color celeste economico.</x:t>
  </x:si>
  <x:si>
    <x:t xml:space="preserve">144</x:t>
  </x:si>
  <x:si>
    <x:t xml:space="preserve">SUA006</x:t>
  </x:si>
  <x:si>
    <x:t xml:space="preserve">Suavizante listo para usar pack x 6 litros</x:t>
  </x:si>
  <x:si>
    <x:t xml:space="preserve">SUA006.png</x:t>
  </x:si>
  <x:si>
    <x:t xml:space="preserve">Suavizante listo para usar pack x 6 litros. Presentación: 6 litros. Fragancia: color celeste economico.</x:t>
  </x:si>
  <x:si>
    <x:t xml:space="preserve">145</x:t>
  </x:si>
  <x:si>
    <x:t xml:space="preserve">DPP001</x:t>
  </x:si>
  <x:si>
    <x:t xml:space="preserve">🧹 Pisos y superficies</x:t>
  </x:si>
  <x:si>
    <x:t xml:space="preserve">Desodorante para piso</x:t>
  </x:si>
  <x:si>
    <x:t xml:space="preserve">Desodorante para piso x 5 litros</x:t>
  </x:si>
  <x:si>
    <x:t xml:space="preserve">DPP001.png</x:t>
  </x:si>
  <x:si>
    <x:t xml:space="preserve">Desodorante para piso x 5 litros. Presentación: 5 litros. Fragancia: 1056.</x:t>
  </x:si>
  <x:si>
    <x:t xml:space="preserve">Desodorante para piso. Limpia y perfuma pisos y superficies, dejando un aroma duradero y sensación de frescura en el hogar.</x:t>
  </x:si>
  <x:si>
    <x:t xml:space="preserve">DPP-1056</x:t>
  </x:si>
  <x:si>
    <x:t xml:space="preserve">5 L</x:t>
  </x:si>
  <x:si>
    <x:t xml:space="preserve">146</x:t>
  </x:si>
  <x:si>
    <x:t xml:space="preserve">DPP002</x:t>
  </x:si>
  <x:si>
    <x:t xml:space="preserve">Desodorante para piso x 1 litro</x:t>
  </x:si>
  <x:si>
    <x:t xml:space="preserve">DPP002.png</x:t>
  </x:si>
  <x:si>
    <x:t xml:space="preserve">Desodorante para piso x 1 litro. Presentación: 1 litro. Fragancia: 1056.</x:t>
  </x:si>
  <x:si>
    <x:t xml:space="preserve">1 L</x:t>
  </x:si>
  <x:si>
    <x:t xml:space="preserve">147</x:t>
  </x:si>
  <x:si>
    <x:t xml:space="preserve">DPP003</x:t>
  </x:si>
  <x:si>
    <x:t xml:space="preserve">Desodorante para piso pack x 6 unidades</x:t>
  </x:si>
  <x:si>
    <x:t xml:space="preserve">1 pack</x:t>
  </x:si>
  <x:si>
    <x:t xml:space="preserve">DPP003.png</x:t>
  </x:si>
  <x:si>
    <x:t xml:space="preserve">Desodorante para piso pack x 6 unidades. Presentación: 1 pack. Fragancia: 1056.</x:t>
  </x:si>
  <x:si>
    <x:t xml:space="preserve">6 L PACK</x:t>
  </x:si>
  <x:si>
    <x:t xml:space="preserve">148</x:t>
  </x:si>
  <x:si>
    <x:t xml:space="preserve">DPP004</x:t>
  </x:si>
  <x:si>
    <x:t xml:space="preserve">Cherry</x:t>
  </x:si>
  <x:si>
    <x:t xml:space="preserve">DPP004.png</x:t>
  </x:si>
  <x:si>
    <x:t xml:space="preserve">Desodorante para piso x 5 litros. Presentación: 5 litros. Fragancia: Cherry.</x:t>
  </x:si>
  <x:si>
    <x:t xml:space="preserve">DPP-CHERRY</x:t>
  </x:si>
  <x:si>
    <x:t xml:space="preserve">149</x:t>
  </x:si>
  <x:si>
    <x:t xml:space="preserve">DPP005</x:t>
  </x:si>
  <x:si>
    <x:t xml:space="preserve">DPP005.png</x:t>
  </x:si>
  <x:si>
    <x:t xml:space="preserve">Desodorante para piso x 1 litro. Presentación: 1 litro. Fragancia: Cherry.</x:t>
  </x:si>
  <x:si>
    <x:t xml:space="preserve">150</x:t>
  </x:si>
  <x:si>
    <x:t xml:space="preserve">DPP006</x:t>
  </x:si>
  <x:si>
    <x:t xml:space="preserve">DPP006.png</x:t>
  </x:si>
  <x:si>
    <x:t xml:space="preserve">Desodorante para piso pack x 6 unidades. Presentación: 1 pack. Fragancia: Cherry.</x:t>
  </x:si>
  <x:si>
    <x:t xml:space="preserve">151</x:t>
  </x:si>
  <x:si>
    <x:t xml:space="preserve">DPP007</x:t>
  </x:si>
  <x:si>
    <x:t xml:space="preserve">pino</x:t>
  </x:si>
  <x:si>
    <x:t xml:space="preserve">DPP007.png</x:t>
  </x:si>
  <x:si>
    <x:t xml:space="preserve">Desodorante para piso x 5 litros. Presentación: 5 litros. Fragancia: pino.</x:t>
  </x:si>
  <x:si>
    <x:t xml:space="preserve">DPP-PINO</x:t>
  </x:si>
  <x:si>
    <x:t xml:space="preserve">152</x:t>
  </x:si>
  <x:si>
    <x:t xml:space="preserve">DPP008</x:t>
  </x:si>
  <x:si>
    <x:t xml:space="preserve">DPP008.png</x:t>
  </x:si>
  <x:si>
    <x:t xml:space="preserve">Desodorante para piso x 1 litro. Presentación: 1 litro. Fragancia: pino.</x:t>
  </x:si>
  <x:si>
    <x:t xml:space="preserve">153</x:t>
  </x:si>
  <x:si>
    <x:t xml:space="preserve">DPP009</x:t>
  </x:si>
  <x:si>
    <x:t xml:space="preserve">DPP009.png</x:t>
  </x:si>
  <x:si>
    <x:t xml:space="preserve">Desodorante para piso pack x 6 unidades. Presentación: 1 pack. Fragancia: pino.</x:t>
  </x:si>
  <x:si>
    <x:t xml:space="preserve">154</x:t>
  </x:si>
  <x:si>
    <x:t xml:space="preserve">DPP010</x:t>
  </x:si>
  <x:si>
    <x:t xml:space="preserve">DPP010.png</x:t>
  </x:si>
  <x:si>
    <x:t xml:space="preserve">Desodorante para piso x 5 litros. Presentación: 5 litros. Fragancia: lavanda.</x:t>
  </x:si>
  <x:si>
    <x:t xml:space="preserve">DPP-LAVANDA</x:t>
  </x:si>
  <x:si>
    <x:t xml:space="preserve">155</x:t>
  </x:si>
  <x:si>
    <x:t xml:space="preserve">DPP011</x:t>
  </x:si>
  <x:si>
    <x:t xml:space="preserve">DPP011.png</x:t>
  </x:si>
  <x:si>
    <x:t xml:space="preserve">Desodorante para piso x 1 litro. Presentación: 1 litro. Fragancia: lavanda.</x:t>
  </x:si>
  <x:si>
    <x:t xml:space="preserve">156</x:t>
  </x:si>
  <x:si>
    <x:t xml:space="preserve">DPP012</x:t>
  </x:si>
  <x:si>
    <x:t xml:space="preserve">DPP012.png</x:t>
  </x:si>
  <x:si>
    <x:t xml:space="preserve">Desodorante para piso pack x 6 unidades. Presentación: 1 pack. Fragancia: lavanda.</x:t>
  </x:si>
  <x:si>
    <x:t xml:space="preserve">157</x:t>
  </x:si>
  <x:si>
    <x:t xml:space="preserve">CBS001</x:t>
  </x:si>
  <x:si>
    <x:t xml:space="preserve">Cabos y mangos</x:t>
  </x:si>
  <x:si>
    <x:t xml:space="preserve">Cabo de madera de 1,2 Metros</x:t>
  </x:si>
  <x:si>
    <x:t xml:space="preserve">1,2 Metros</x:t>
  </x:si>
  <x:si>
    <x:t xml:space="preserve">CBS001.jpg</x:t>
  </x:si>
  <x:si>
    <x:t xml:space="preserve">Cabo de madera de 1,2 Metros. Presentación: 1 unidad.</x:t>
  </x:si>
  <x:si>
    <x:t xml:space="preserve">Cabos y mangos. Accesorio resistente y práctico, pensado para facilitar las tareas de limpieza del hogar. Disponible en múltiples fragancias a elección.</x:t>
  </x:si>
  <x:si>
    <x:t xml:space="preserve">CBS-CABO-MADERA</x:t>
  </x:si>
  <x:si>
    <x:t xml:space="preserve">1.2 MTS</x:t>
  </x:si>
  <x:si>
    <x:t xml:space="preserve">158</x:t>
  </x:si>
  <x:si>
    <x:t xml:space="preserve">CBS002</x:t>
  </x:si>
  <x:si>
    <x:t xml:space="preserve">Cabo de madera de 1,5 Metros</x:t>
  </x:si>
  <x:si>
    <x:t xml:space="preserve">1,5 Metros</x:t>
  </x:si>
  <x:si>
    <x:t xml:space="preserve">CBS002.jpg</x:t>
  </x:si>
  <x:si>
    <x:t xml:space="preserve">Cabo de madera de 1,5 Metros. Presentación: 1 unidad.</x:t>
  </x:si>
  <x:si>
    <x:t xml:space="preserve">1.5 MTS</x:t>
  </x:si>
  <x:si>
    <x:t xml:space="preserve">159</x:t>
  </x:si>
  <x:si>
    <x:t xml:space="preserve">CBS003</x:t>
  </x:si>
  <x:si>
    <x:t xml:space="preserve">Cabo de madera de 2 Metros</x:t>
  </x:si>
  <x:si>
    <x:t xml:space="preserve">2 Metros</x:t>
  </x:si>
  <x:si>
    <x:t xml:space="preserve">CBS003.jpg</x:t>
  </x:si>
  <x:si>
    <x:t xml:space="preserve">Cabo de madera de 2 Metros. Presentación: 1 unidad. Fragancia: 2 Metros.</x:t>
  </x:si>
  <x:si>
    <x:t xml:space="preserve">Cabos y mangos. Accesorio resistente y práctico, pensado para facilitar las tareas de limpieza del hogar.</x:t>
  </x:si>
  <x:si>
    <x:t xml:space="preserve">2.0 MTS</x:t>
  </x:si>
  <x:si>
    <x:t xml:space="preserve">160</x:t>
  </x:si>
  <x:si>
    <x:t xml:space="preserve">CBS004</x:t>
  </x:si>
  <x:si>
    <x:t xml:space="preserve">Cabo de metal make</x:t>
  </x:si>
  <x:si>
    <x:t xml:space="preserve">CBS004.jpg</x:t>
  </x:si>
  <x:si>
    <x:t xml:space="preserve">Cabo de metal make. Presentación: 1 unidad.</x:t>
  </x:si>
  <x:si>
    <x:t xml:space="preserve">161</x:t>
  </x:si>
  <x:si>
    <x:t xml:space="preserve">CBS005</x:t>
  </x:si>
  <x:si>
    <x:t xml:space="preserve">Cabo Saca Hojas</x:t>
  </x:si>
  <x:si>
    <x:t xml:space="preserve">CBS005.jpg</x:t>
  </x:si>
  <x:si>
    <x:t xml:space="preserve">Cabo Saca Hojas. Presentación: 1 unidad.</x:t>
  </x:si>
  <x:si>
    <x:t xml:space="preserve">162</x:t>
  </x:si>
  <x:si>
    <x:t xml:space="preserve">CBS006</x:t>
  </x:si>
  <x:si>
    <x:t xml:space="preserve">Cabo extensible 2 metros</x:t>
  </x:si>
  <x:si>
    <x:t xml:space="preserve">CBS006.jpg</x:t>
  </x:si>
  <x:si>
    <x:t xml:space="preserve">Cabo extensible 2 metros. Presentación: 1 unidad.</x:t>
  </x:si>
  <x:si>
    <x:t xml:space="preserve">163</x:t>
  </x:si>
  <x:si>
    <x:t xml:space="preserve">CBS007</x:t>
  </x:si>
  <x:si>
    <x:t xml:space="preserve">Cabo extensible 3 metros</x:t>
  </x:si>
  <x:si>
    <x:t xml:space="preserve">CBS007.jpg</x:t>
  </x:si>
  <x:si>
    <x:t xml:space="preserve">Cabo extensible 3 metros. Presentación: 1 unidad.</x:t>
  </x:si>
  <x:si>
    <x:t xml:space="preserve">164</x:t>
  </x:si>
  <x:si>
    <x:t xml:space="preserve">ESP001</x:t>
  </x:si>
  <x:si>
    <x:t xml:space="preserve">Esponjas</x:t>
  </x:si>
  <x:si>
    <x:t xml:space="preserve">Make</x:t>
  </x:si>
  <x:si>
    <x:t xml:space="preserve">Esponja de acero 10 Gr</x:t>
  </x:si>
  <x:si>
    <x:t xml:space="preserve">ESP001.jpg</x:t>
  </x:si>
  <x:si>
    <x:t xml:space="preserve">Esponja de acero 10 Gr. Presentación: 1 unidad.</x:t>
  </x:si>
  <x:si>
    <x:t xml:space="preserve">Esponjas. Accesorio resistente y práctico, pensado para facilitar las tareas de limpieza del hogar.</x:t>
  </x:si>
  <x:si>
    <x:t xml:space="preserve">165</x:t>
  </x:si>
  <x:si>
    <x:t xml:space="preserve">ESP002</x:t>
  </x:si>
  <x:si>
    <x:t xml:space="preserve">Esponja dorada de 30 Gr</x:t>
  </x:si>
  <x:si>
    <x:t xml:space="preserve">ESP002.jpg</x:t>
  </x:si>
  <x:si>
    <x:t xml:space="preserve">Esponja dorada de 30 Gr. Presentación: 1 unidad.</x:t>
  </x:si>
  <x:si>
    <x:t xml:space="preserve">166</x:t>
  </x:si>
  <x:si>
    <x:t xml:space="preserve">ESP003</x:t>
  </x:si>
  <x:si>
    <x:t xml:space="preserve">Esponja azul para teflon</x:t>
  </x:si>
  <x:si>
    <x:t xml:space="preserve">ESP003.jpg</x:t>
  </x:si>
  <x:si>
    <x:t xml:space="preserve">Esponja azul para teflon. Presentación: 1 unidad.</x:t>
  </x:si>
  <x:si>
    <x:t xml:space="preserve">167</x:t>
  </x:si>
  <x:si>
    <x:t xml:space="preserve">ESP004</x:t>
  </x:si>
  <x:si>
    <x:t xml:space="preserve">Esponja de acero 10 Gr pack de 12 unidades</x:t>
  </x:si>
  <x:si>
    <x:t xml:space="preserve">ESP004.jpg</x:t>
  </x:si>
  <x:si>
    <x:t xml:space="preserve">Esponja de acero 10 Gr pack de 12 unidades. Presentación: 1 pack.</x:t>
  </x:si>
  <x:si>
    <x:t xml:space="preserve">168</x:t>
  </x:si>
  <x:si>
    <x:t xml:space="preserve">ESP005</x:t>
  </x:si>
  <x:si>
    <x:t xml:space="preserve">Esponja dorada 30 Gr pack de 12 unidades</x:t>
  </x:si>
  <x:si>
    <x:t xml:space="preserve">ESP005.jpg</x:t>
  </x:si>
  <x:si>
    <x:t xml:space="preserve">Esponja dorada 30 Gr pack de 12 unidades. Presentación: 1 pack.</x:t>
  </x:si>
  <x:si>
    <x:t xml:space="preserve">169</x:t>
  </x:si>
  <x:si>
    <x:t xml:space="preserve">ESP006</x:t>
  </x:si>
  <x:si>
    <x:t xml:space="preserve">Lana de acero Make</x:t>
  </x:si>
  <x:si>
    <x:t xml:space="preserve">ESP006.jpg</x:t>
  </x:si>
  <x:si>
    <x:t xml:space="preserve">Lana de acero Make. Presentación: 1 unidad.</x:t>
  </x:si>
  <x:si>
    <x:t xml:space="preserve">170</x:t>
  </x:si>
  <x:si>
    <x:t xml:space="preserve">ESP007</x:t>
  </x:si>
  <x:si>
    <x:t xml:space="preserve">Lana de acero virulana</x:t>
  </x:si>
  <x:si>
    <x:t xml:space="preserve">ESP007.jpg</x:t>
  </x:si>
  <x:si>
    <x:t xml:space="preserve">Lana de acero virulana. Presentación: 1 unidad.</x:t>
  </x:si>
  <x:si>
    <x:t xml:space="preserve">171</x:t>
  </x:si>
  <x:si>
    <x:t xml:space="preserve">APR001</x:t>
  </x:si>
  <x:si>
    <x:t xml:space="preserve">Artículos para tender</x:t>
  </x:si>
  <x:si>
    <x:t xml:space="preserve">Tender Vertical para Ropa 3 niveles</x:t>
  </x:si>
  <x:si>
    <x:t xml:space="preserve">APR001.jpg</x:t>
  </x:si>
  <x:si>
    <x:t xml:space="preserve">Tender Vertical para Ropa 3 niveles. Presentación: 1 unidad.</x:t>
  </x:si>
  <x:si>
    <x:t xml:space="preserve">Artículos para tender. Accesorio resistente y práctico, pensado para facilitar las tareas de limpieza del hogar.</x:t>
  </x:si>
  <x:si>
    <x:t xml:space="preserve">172</x:t>
  </x:si>
  <x:si>
    <x:t xml:space="preserve">APR002</x:t>
  </x:si>
  <x:si>
    <x:t xml:space="preserve">Tender Para Medias de 18 Broches</x:t>
  </x:si>
  <x:si>
    <x:t xml:space="preserve">APR002.jpg</x:t>
  </x:si>
  <x:si>
    <x:t xml:space="preserve">Tender Para Medias de 18 Broches. Presentación: 1 unidad.</x:t>
  </x:si>
  <x:si>
    <x:t xml:space="preserve">173</x:t>
  </x:si>
  <x:si>
    <x:t xml:space="preserve">APR003</x:t>
  </x:si>
  <x:si>
    <x:t xml:space="preserve">Tender 10 varillas con Alas</x:t>
  </x:si>
  <x:si>
    <x:t xml:space="preserve">APR003.jpg</x:t>
  </x:si>
  <x:si>
    <x:t xml:space="preserve">Tender 10 varillas con Alas. Presentación: 1 unidad.</x:t>
  </x:si>
  <x:si>
    <x:t xml:space="preserve">174</x:t>
  </x:si>
  <x:si>
    <x:t xml:space="preserve">APR004</x:t>
  </x:si>
  <x:si>
    <x:t xml:space="preserve">Broches Plasticos x 12 unidades</x:t>
  </x:si>
  <x:si>
    <x:t xml:space="preserve">APR004.jpg</x:t>
  </x:si>
  <x:si>
    <x:t xml:space="preserve">Broches Plasticos x 12 unidades. Presentación: 1 pack.</x:t>
  </x:si>
  <x:si>
    <x:t xml:space="preserve">175</x:t>
  </x:si>
  <x:si>
    <x:t xml:space="preserve">APR005</x:t>
  </x:si>
  <x:si>
    <x:t xml:space="preserve">Broches Madera x 12 unidades</x:t>
  </x:si>
  <x:si>
    <x:t xml:space="preserve">APR005.jpg</x:t>
  </x:si>
  <x:si>
    <x:t xml:space="preserve">Broches Madera x 12 unidades. Presentación: 1 pack.</x:t>
  </x:si>
  <x:si>
    <x:t xml:space="preserve">176</x:t>
  </x:si>
  <x:si>
    <x:t xml:space="preserve">APB001</x:t>
  </x:si>
  <x:si>
    <x:t xml:space="preserve">Accesorios de baño</x:t>
  </x:si>
  <x:si>
    <x:t xml:space="preserve">Cepillo Lava Espalda Plastico</x:t>
  </x:si>
  <x:si>
    <x:t xml:space="preserve">APB001.jpg</x:t>
  </x:si>
  <x:si>
    <x:t xml:space="preserve">Cepillo Lava Espalda Plastico. Presentación: 1 unidad.</x:t>
  </x:si>
  <x:si>
    <x:t xml:space="preserve">Accesorios de baño. Elimina suciedad y gérmenes en inodoros, azulejos y superficies del baño, dejando un aroma agradable.</x:t>
  </x:si>
  <x:si>
    <x:t xml:space="preserve">177</x:t>
  </x:si>
  <x:si>
    <x:t xml:space="preserve">APB002</x:t>
  </x:si>
  <x:si>
    <x:t xml:space="preserve">Jabonera Deseplast</x:t>
  </x:si>
  <x:si>
    <x:t xml:space="preserve">APB002.jpg</x:t>
  </x:si>
  <x:si>
    <x:t xml:space="preserve">Jabonera Deseplast. Presentación: 1 unidad.</x:t>
  </x:si>
  <x:si>
    <x:t xml:space="preserve">178</x:t>
  </x:si>
  <x:si>
    <x:t xml:space="preserve">APB003</x:t>
  </x:si>
  <x:si>
    <x:t xml:space="preserve">Pato</x:t>
  </x:si>
  <x:si>
    <x:t xml:space="preserve">Limpiador Adhesivo inodoro</x:t>
  </x:si>
  <x:si>
    <x:t xml:space="preserve">APB003.jpg</x:t>
  </x:si>
  <x:si>
    <x:t xml:space="preserve">Limpiador Adhesivo inodoro. Presentación: 1 unidad. Marca Pato.</x:t>
  </x:si>
  <x:si>
    <x:t xml:space="preserve">179</x:t>
  </x:si>
  <x:si>
    <x:t xml:space="preserve">APB004</x:t>
  </x:si>
  <x:si>
    <x:t xml:space="preserve">Glade</x:t>
  </x:si>
  <x:si>
    <x:t xml:space="preserve">Pastilla para inodoro</x:t>
  </x:si>
  <x:si>
    <x:t xml:space="preserve">APB004.jpg</x:t>
  </x:si>
  <x:si>
    <x:t xml:space="preserve">Pastilla para inodoro. Presentación: 1 unidad. Marca Glade.</x:t>
  </x:si>
  <x:si>
    <x:t xml:space="preserve">180</x:t>
  </x:si>
  <x:si>
    <x:t xml:space="preserve">APB005</x:t>
  </x:si>
  <x:si>
    <x:t xml:space="preserve">Protector cortina de baño</x:t>
  </x:si>
  <x:si>
    <x:t xml:space="preserve">APB005.jpg</x:t>
  </x:si>
  <x:si>
    <x:t xml:space="preserve">Protector cortina de baño. Presentación: 1 unidad.</x:t>
  </x:si>
  <x:si>
    <x:t xml:space="preserve">181</x:t>
  </x:si>
  <x:si>
    <x:t xml:space="preserve">AER001</x:t>
  </x:si>
  <x:si>
    <x:t xml:space="preserve">Aerosol ambiental</x:t>
  </x:si>
  <x:si>
    <x:t xml:space="preserve">Poe</x:t>
  </x:si>
  <x:si>
    <x:t xml:space="preserve">Poett Desodorante de Ambiente</x:t>
  </x:si>
  <x:si>
    <x:t xml:space="preserve">AER001.jpg</x:t>
  </x:si>
  <x:si>
    <x:t xml:space="preserve">Poett Desodorante de Ambiente. Presentación: 1 unidad. Marca Poe.</x:t>
  </x:si>
  <x:si>
    <x:t xml:space="preserve">Aerosol ambiental. Perfuma ambientes y textiles con una fragancia agradable y duradera, ideal para dejar todo con olor a limpio.</x:t>
  </x:si>
  <x:si>
    <x:t xml:space="preserve">182</x:t>
  </x:si>
  <x:si>
    <x:t xml:space="preserve">AER002</x:t>
  </x:si>
  <x:si>
    <x:t xml:space="preserve">Aerosol desinfectante</x:t>
  </x:si>
  <x:si>
    <x:t xml:space="preserve">Lysoform</x:t>
  </x:si>
  <x:si>
    <x:t xml:space="preserve">Lysoform Desisfectante</x:t>
  </x:si>
  <x:si>
    <x:t xml:space="preserve">AER002.jpg</x:t>
  </x:si>
  <x:si>
    <x:t xml:space="preserve">Lysoform Desisfectante. Presentación: 1 unidad.</x:t>
  </x:si>
  <x:si>
    <x:t xml:space="preserve">Aerosol desinfectante. Elimina bacterias y gérmenes, desinfectando a fondo superficies del hogar, comercios e industrias.</x:t>
  </x:si>
  <x:si>
    <x:t xml:space="preserve">183</x:t>
  </x:si>
  <x:si>
    <x:t xml:space="preserve">AER003</x:t>
  </x:si>
  <x:si>
    <x:t xml:space="preserve">🏠 Hogar y varios</x:t>
  </x:si>
  <x:si>
    <x:t xml:space="preserve">Lustramuebles</x:t>
  </x:si>
  <x:si>
    <x:t xml:space="preserve">Blem</x:t>
  </x:si>
  <x:si>
    <x:t xml:space="preserve">Lustra Muebles</x:t>
  </x:si>
  <x:si>
    <x:t xml:space="preserve">AER003.jpg</x:t>
  </x:si>
  <x:si>
    <x:t xml:space="preserve">Lustra Muebles. Presentación: 1 unidad. Marca Blem.</x:t>
  </x:si>
  <x:si>
    <x:t xml:space="preserve">Lustramuebles. Producto práctico pensado para facilitar las tareas diarias del hogar.</x:t>
  </x:si>
  <x:si>
    <x:t xml:space="preserve">184</x:t>
  </x:si>
  <x:si>
    <x:t xml:space="preserve">AER004</x:t>
  </x:si>
  <x:si>
    <x:t xml:space="preserve">Limpiador de horno</x:t>
  </x:si>
  <x:si>
    <x:t xml:space="preserve">Mr. Musculo</x:t>
  </x:si>
  <x:si>
    <x:t xml:space="preserve">Limpiador para hornos</x:t>
  </x:si>
  <x:si>
    <x:t xml:space="preserve">AER004.jpg</x:t>
  </x:si>
  <x:si>
    <x:t xml:space="preserve">Limpiador para hornos. Presentación: 1 unidad. Marca Mr. Musculo.</x:t>
  </x:si>
  <x:si>
    <x:t xml:space="preserve">Limpiador de horno. Ideal para desengrasar y limpiar utensilios, vajilla y superficies de cocina de forma rápida y efectiva.</x:t>
  </x:si>
  <x:si>
    <x:t xml:space="preserve">185</x:t>
  </x:si>
  <x:si>
    <x:t xml:space="preserve">AER005</x:t>
  </x:si>
  <x:si>
    <x:t xml:space="preserve">Apresto para ropa</x:t>
  </x:si>
  <x:si>
    <x:t xml:space="preserve">Apresto Danubio</x:t>
  </x:si>
  <x:si>
    <x:t xml:space="preserve">AER005.jpg</x:t>
  </x:si>
  <x:si>
    <x:t xml:space="preserve">Apresto Danubio. Presentación: 1 unidad. Marca Apresto Danubio.</x:t>
  </x:si>
  <x:si>
    <x:t xml:space="preserve">Apresto para ropa. Cuida las fibras de la ropa, suaviza y deja un aroma agradable y duradero en cada lavado.</x:t>
  </x:si>
  <x:si>
    <x:t xml:space="preserve">186</x:t>
  </x:si>
  <x:si>
    <x:t xml:space="preserve">AER006</x:t>
  </x:si>
  <x:si>
    <x:t xml:space="preserve">Insecticidas</x:t>
  </x:si>
  <x:si>
    <x:t xml:space="preserve">Fuyi</x:t>
  </x:si>
  <x:si>
    <x:t xml:space="preserve">Fuyi Mata Moscas y Mosquitos</x:t>
  </x:si>
  <x:si>
    <x:t xml:space="preserve">AER006.jpg</x:t>
  </x:si>
  <x:si>
    <x:t xml:space="preserve">Fuyi Mata Moscas y Mosquitos. Presentación: 1 unidad.</x:t>
  </x:si>
  <x:si>
    <x:t xml:space="preserve">Insecticidas. Producto práctico pensado para facilitar las tareas diarias del hogar.</x:t>
  </x:si>
  <x:si>
    <x:t xml:space="preserve">187</x:t>
  </x:si>
  <x:si>
    <x:t xml:space="preserve">AER007</x:t>
  </x:si>
  <x:si>
    <x:t xml:space="preserve">Raid</x:t>
  </x:si>
  <x:si>
    <x:t xml:space="preserve">Raid Azul</x:t>
  </x:si>
  <x:si>
    <x:t xml:space="preserve">AER007.jpg</x:t>
  </x:si>
  <x:si>
    <x:t xml:space="preserve">Raid Azul. Presentación: 1 unidad.</x:t>
  </x:si>
  <x:si>
    <x:t xml:space="preserve">188</x:t>
  </x:si>
  <x:si>
    <x:t xml:space="preserve">AER008</x:t>
  </x:si>
  <x:si>
    <x:t xml:space="preserve">Raid Negro</x:t>
  </x:si>
  <x:si>
    <x:t xml:space="preserve">AER008.jpg</x:t>
  </x:si>
  <x:si>
    <x:t xml:space="preserve">Raid Negro. Presentación: 1 unidad.</x:t>
  </x:si>
  <x:si>
    <x:t xml:space="preserve">189</x:t>
  </x:si>
  <x:si>
    <x:t xml:space="preserve">MYG001</x:t>
  </x:si>
  <x:si>
    <x:t xml:space="preserve">Guantes</x:t>
  </x:si>
  <x:si>
    <x:t xml:space="preserve">Guantes de Goma Make</x:t>
  </x:si>
  <x:si>
    <x:t xml:space="preserve">Talle S</x:t>
  </x:si>
  <x:si>
    <x:t xml:space="preserve">MYG001.jpg</x:t>
  </x:si>
  <x:si>
    <x:t xml:space="preserve">Guantes de Goma Make. Presentación: 1 unidad. Fragancia: Talle S.</x:t>
  </x:si>
  <x:si>
    <x:t xml:space="preserve">Guantes. Accesorio resistente y práctico, pensado para facilitar las tareas de limpieza del hogar.</x:t>
  </x:si>
  <x:si>
    <x:t xml:space="preserve">MYG-GUANTES</x:t>
  </x:si>
  <x:si>
    <x:t xml:space="preserve">TALLE S</x:t>
  </x:si>
  <x:si>
    <x:t xml:space="preserve">190</x:t>
  </x:si>
  <x:si>
    <x:t xml:space="preserve">MYG002</x:t>
  </x:si>
  <x:si>
    <x:t xml:space="preserve">Talle M</x:t>
  </x:si>
  <x:si>
    <x:t xml:space="preserve">MYG002.jpg</x:t>
  </x:si>
  <x:si>
    <x:t xml:space="preserve">Guantes de Goma Make. Presentación: 1 unidad. Fragancia: Talle M.</x:t>
  </x:si>
  <x:si>
    <x:t xml:space="preserve">TALLE M</x:t>
  </x:si>
  <x:si>
    <x:t xml:space="preserve">191</x:t>
  </x:si>
  <x:si>
    <x:t xml:space="preserve">MYG003</x:t>
  </x:si>
  <x:si>
    <x:t xml:space="preserve">Talle L</x:t>
  </x:si>
  <x:si>
    <x:t xml:space="preserve">MYG003.jpg</x:t>
  </x:si>
  <x:si>
    <x:t xml:space="preserve">Guantes de Goma Make. Presentación: 1 unidad. Fragancia: Talle L.</x:t>
  </x:si>
  <x:si>
    <x:t xml:space="preserve">TALLE L</x:t>
  </x:si>
  <x:si>
    <x:t xml:space="preserve">192</x:t>
  </x:si>
  <x:si>
    <x:t xml:space="preserve">MYG004</x:t>
  </x:si>
  <x:si>
    <x:t xml:space="preserve">Talle XL</x:t>
  </x:si>
  <x:si>
    <x:t xml:space="preserve">MYG004.jpg</x:t>
  </x:si>
  <x:si>
    <x:t xml:space="preserve">Guantes de Goma Make. Presentación: 1 unidad. Fragancia: Talle XL.</x:t>
  </x:si>
  <x:si>
    <x:t xml:space="preserve">TALLE XL</x:t>
  </x:si>
  <x:si>
    <x:t xml:space="preserve">193</x:t>
  </x:si>
  <x:si>
    <x:t xml:space="preserve">MYG005</x:t>
  </x:si>
  <x:si>
    <x:t xml:space="preserve">Guantes de Latex descartable Caja x 100 unidades</x:t>
  </x:si>
  <x:si>
    <x:t xml:space="preserve">MYG005.jpg</x:t>
  </x:si>
  <x:si>
    <x:t xml:space="preserve">Guantes de Latex descartable Caja x 100 unidades. Presentación: 1 pack.</x:t>
  </x:si>
  <x:si>
    <x:t xml:space="preserve">194</x:t>
  </x:si>
  <x:si>
    <x:t xml:space="preserve">MYG006</x:t>
  </x:si>
  <x:si>
    <x:t xml:space="preserve">Guantes de Nitrilo Caja x 100 unidades</x:t>
  </x:si>
  <x:si>
    <x:t xml:space="preserve">MYG006.jpg</x:t>
  </x:si>
  <x:si>
    <x:t xml:space="preserve">Guantes de Nitrilo Caja x 100 unidades. Presentación: 1 pack.</x:t>
  </x:si>
  <x:si>
    <x:t xml:space="preserve">195</x:t>
  </x:si>
  <x:si>
    <x:t xml:space="preserve">MYG007</x:t>
  </x:si>
  <x:si>
    <x:t xml:space="preserve">Mopas</x:t>
  </x:si>
  <x:si>
    <x:t xml:space="preserve">Iberia</x:t>
  </x:si>
  <x:si>
    <x:t xml:space="preserve">Escurre Facil Iberia</x:t>
  </x:si>
  <x:si>
    <x:t xml:space="preserve">MYG007.jpg</x:t>
  </x:si>
  <x:si>
    <x:t xml:space="preserve">Escurre Facil Iberia. Presentación: 1 unidad. Marca Iberia.</x:t>
  </x:si>
  <x:si>
    <x:t xml:space="preserve">Mopas. Accesorio resistente y práctico, pensado para facilitar las tareas de limpieza del hogar.</x:t>
  </x:si>
  <x:si>
    <x:t xml:space="preserve">196</x:t>
  </x:si>
  <x:si>
    <x:t xml:space="preserve">MYG008</x:t>
  </x:si>
  <x:si>
    <x:t xml:space="preserve">MrTrapo</x:t>
  </x:si>
  <x:si>
    <x:t xml:space="preserve">Mopa Algodon Amarillo MrTrapo</x:t>
  </x:si>
  <x:si>
    <x:t xml:space="preserve">MYG008.jpg</x:t>
  </x:si>
  <x:si>
    <x:t xml:space="preserve">Mopa Algodon Amarillo MrTrapo. Presentación: 1 unidad. Marca MrTrapo.</x:t>
  </x:si>
  <x:si>
    <x:t xml:space="preserve">197</x:t>
  </x:si>
  <x:si>
    <x:t xml:space="preserve">MYG009</x:t>
  </x:si>
  <x:si>
    <x:t xml:space="preserve">Romyl</x:t>
  </x:si>
  <x:si>
    <x:t xml:space="preserve">Mopa Amarilla Romyl</x:t>
  </x:si>
  <x:si>
    <x:t xml:space="preserve">MYG009.jpg</x:t>
  </x:si>
  <x:si>
    <x:t xml:space="preserve">Mopa Amarilla Romyl. Presentación: 1 unidad. Marca Romyl.</x:t>
  </x:si>
  <x:si>
    <x:t xml:space="preserve">198</x:t>
  </x:si>
  <x:si>
    <x:t xml:space="preserve">MYG010</x:t>
  </x:si>
  <x:si>
    <x:t xml:space="preserve">Fibran Sur</x:t>
  </x:si>
  <x:si>
    <x:t xml:space="preserve">Mopa Blanca Algodon FibranSur</x:t>
  </x:si>
  <x:si>
    <x:t xml:space="preserve">MYG010.jpg</x:t>
  </x:si>
  <x:si>
    <x:t xml:space="preserve">Mopa Blanca Algodon FibranSur. Presentación: 1 unidad. Marca Fibran Sur.</x:t>
  </x:si>
  <x:si>
    <x:t xml:space="preserve">199</x:t>
  </x:si>
  <x:si>
    <x:t xml:space="preserve">MYG011</x:t>
  </x:si>
  <x:si>
    <x:t xml:space="preserve">Mopa Blanca Algodon Make</x:t>
  </x:si>
  <x:si>
    <x:t xml:space="preserve">MYG011.jpg</x:t>
  </x:si>
  <x:si>
    <x:t xml:space="preserve">Mopa Blanca Algodon Make. Presentación: 1 unidad.</x:t>
  </x:si>
  <x:si>
    <x:t xml:space="preserve">200</x:t>
  </x:si>
  <x:si>
    <x:t xml:space="preserve">MYG012</x:t>
  </x:si>
  <x:si>
    <x:t xml:space="preserve">Repuestos</x:t>
  </x:si>
  <x:si>
    <x:t xml:space="preserve">Turbo Facil</x:t>
  </x:si>
  <x:si>
    <x:t xml:space="preserve">Repuesto Mopa Pelo Corto Turbo Facil</x:t>
  </x:si>
  <x:si>
    <x:t xml:space="preserve">MYG012.jpg</x:t>
  </x:si>
  <x:si>
    <x:t xml:space="preserve">Repuesto Mopa Pelo Corto Turbo Facil. Presentación: 1 unidad. Marca Turbo Facil.</x:t>
  </x:si>
  <x:si>
    <x:t xml:space="preserve">Repuestos. Accesorio resistente y práctico, pensado para facilitar las tareas de limpieza del hogar.</x:t>
  </x:si>
  <x:si>
    <x:t xml:space="preserve">201</x:t>
  </x:si>
  <x:si>
    <x:t xml:space="preserve">MYG013</x:t>
  </x:si>
  <x:si>
    <x:t xml:space="preserve">Turbo Matic</x:t>
  </x:si>
  <x:si>
    <x:t xml:space="preserve">Repuesto Mopa Pelo Largo Turbo Matic</x:t>
  </x:si>
  <x:si>
    <x:t xml:space="preserve">MYG013.jpg</x:t>
  </x:si>
  <x:si>
    <x:t xml:space="preserve">Repuesto Mopa Pelo Largo Turbo Matic. Presentación: 1 unidad. Marca Turbo Matic.</x:t>
  </x:si>
  <x:si>
    <x:t xml:space="preserve">202</x:t>
  </x:si>
  <x:si>
    <x:t xml:space="preserve">RPP001</x:t>
  </x:si>
  <x:si>
    <x:t xml:space="preserve">Baldes y recipientes</x:t>
  </x:si>
  <x:si>
    <x:t xml:space="preserve">Matriplaster</x:t>
  </x:si>
  <x:si>
    <x:t xml:space="preserve">Balde Mopa 9 lts Matriplaster</x:t>
  </x:si>
  <x:si>
    <x:t xml:space="preserve">RPP001.jpg</x:t>
  </x:si>
  <x:si>
    <x:t xml:space="preserve">Balde Mopa 9 lts Matriplaster. Presentación: 1 unidad. Marca Matriplaster.</x:t>
  </x:si>
  <x:si>
    <x:t xml:space="preserve">Baldes y recipientes. Accesorio resistente y práctico, pensado para facilitar las tareas de limpieza del hogar.</x:t>
  </x:si>
  <x:si>
    <x:t xml:space="preserve">203</x:t>
  </x:si>
  <x:si>
    <x:t xml:space="preserve">RPP002</x:t>
  </x:si>
  <x:si>
    <x:t xml:space="preserve">Balde Mopa 14 lts Matriplaster</x:t>
  </x:si>
  <x:si>
    <x:t xml:space="preserve">RPP002.jpg</x:t>
  </x:si>
  <x:si>
    <x:t xml:space="preserve">Balde Mopa 14 lts Matriplaster. Presentación: 1 unidad. Marca Matriplaster.</x:t>
  </x:si>
  <x:si>
    <x:t xml:space="preserve">204</x:t>
  </x:si>
  <x:si>
    <x:t xml:space="preserve">RPP003</x:t>
  </x:si>
  <x:si>
    <x:t xml:space="preserve">Balde x 10 lts</x:t>
  </x:si>
  <x:si>
    <x:t xml:space="preserve">RPP003.jpg</x:t>
  </x:si>
  <x:si>
    <x:t xml:space="preserve">Balde x 10 lts. Presentación: 1 unidad.</x:t>
  </x:si>
  <x:si>
    <x:t xml:space="preserve">205</x:t>
  </x:si>
  <x:si>
    <x:t xml:space="preserve">RPP004</x:t>
  </x:si>
  <x:si>
    <x:t xml:space="preserve">Balde x 12 lts</x:t>
  </x:si>
  <x:si>
    <x:t xml:space="preserve">RPP004.jpg</x:t>
  </x:si>
  <x:si>
    <x:t xml:space="preserve">Balde x 12 lts. Presentación: 1 unidad.</x:t>
  </x:si>
  <x:si>
    <x:t xml:space="preserve">206</x:t>
  </x:si>
  <x:si>
    <x:t xml:space="preserve">RPP005</x:t>
  </x:si>
  <x:si>
    <x:t xml:space="preserve">Balde Mopa Duo Matriplaster</x:t>
  </x:si>
  <x:si>
    <x:t xml:space="preserve">RPP005.jpg</x:t>
  </x:si>
  <x:si>
    <x:t xml:space="preserve">Balde Mopa Duo Matriplaster. Presentación: 1 unidad. Marca Matriplaster.</x:t>
  </x:si>
  <x:si>
    <x:t xml:space="preserve">207</x:t>
  </x:si>
  <x:si>
    <x:t xml:space="preserve">RPP006</x:t>
  </x:si>
  <x:si>
    <x:t xml:space="preserve">Balde Mopa Plana</x:t>
  </x:si>
  <x:si>
    <x:t xml:space="preserve">RPP006.jpg</x:t>
  </x:si>
  <x:si>
    <x:t xml:space="preserve">Balde Mopa Plana. Presentación: 1 unidad.</x:t>
  </x:si>
  <x:si>
    <x:t xml:space="preserve">208</x:t>
  </x:si>
  <x:si>
    <x:t xml:space="preserve">PPP001</x:t>
  </x:si>
  <x:si>
    <x:t xml:space="preserve">🏊 Piletas</x:t>
  </x:si>
  <x:si>
    <x:t xml:space="preserve">Líquidos</x:t>
  </x:si>
  <x:si>
    <x:t xml:space="preserve">Clorotec</x:t>
  </x:si>
  <x:si>
    <x:t xml:space="preserve">Alguicida Clorotec 1 litro</x:t>
  </x:si>
  <x:si>
    <x:t xml:space="preserve">PPP001.jpg</x:t>
  </x:si>
  <x:si>
    <x:t xml:space="preserve">Alguicida Clorotec 1 litro. Presentación: 1 litro. Marca Clorotec.</x:t>
  </x:si>
  <x:si>
    <x:t xml:space="preserve">Líquidos. Mantiene el agua de la pileta limpia, clara y segura para el baño durante toda la temporada.</x:t>
  </x:si>
  <x:si>
    <x:t xml:space="preserve">209</x:t>
  </x:si>
  <x:si>
    <x:t xml:space="preserve">PPP002</x:t>
  </x:si>
  <x:si>
    <x:t xml:space="preserve">Clarificante Clorotec 1 litro</x:t>
  </x:si>
  <x:si>
    <x:t xml:space="preserve">PPP002.jpg</x:t>
  </x:si>
  <x:si>
    <x:t xml:space="preserve">Clarificante Clorotec 1 litro. Presentación: 1 litro. Marca Clorotec.</x:t>
  </x:si>
  <x:si>
    <x:t xml:space="preserve">210</x:t>
  </x:si>
  <x:si>
    <x:t xml:space="preserve">PPP003</x:t>
  </x:si>
  <x:si>
    <x:t xml:space="preserve">Regulador PH 5 litros</x:t>
  </x:si>
  <x:si>
    <x:t xml:space="preserve">PPP003.jpg</x:t>
  </x:si>
  <x:si>
    <x:t xml:space="preserve">Regulador PH 5 litros. Presentación: 5 litros.</x:t>
  </x:si>
  <x:si>
    <x:t xml:space="preserve">211</x:t>
  </x:si>
  <x:si>
    <x:t xml:space="preserve">PPP004</x:t>
  </x:si>
  <x:si>
    <x:t xml:space="preserve">Químicos</x:t>
  </x:si>
  <x:si>
    <x:t xml:space="preserve">Cloro Granulado Lento x 50 kg</x:t>
  </x:si>
  <x:si>
    <x:t xml:space="preserve">50 kilos</x:t>
  </x:si>
  <x:si>
    <x:t xml:space="preserve">PPP004.jpg</x:t>
  </x:si>
  <x:si>
    <x:t xml:space="preserve">Cloro Granulado Lento x 50 kg. Presentación: 50 kilos.</x:t>
  </x:si>
  <x:si>
    <x:t xml:space="preserve">Químicos. Mantiene el agua de la pileta limpia, clara y segura para el baño durante toda la temporada.</x:t>
  </x:si>
  <x:si>
    <x:t xml:space="preserve">212</x:t>
  </x:si>
  <x:si>
    <x:t xml:space="preserve">PPP005</x:t>
  </x:si>
  <x:si>
    <x:t xml:space="preserve">Cloro Granulado Lento 1 kg</x:t>
  </x:si>
  <x:si>
    <x:t xml:space="preserve">1 kilo</x:t>
  </x:si>
  <x:si>
    <x:t xml:space="preserve">PPP005.jpg</x:t>
  </x:si>
  <x:si>
    <x:t xml:space="preserve">Cloro Granulado Lento 1 kg. Presentación: 1 kilo.</x:t>
  </x:si>
  <x:si>
    <x:t xml:space="preserve">213</x:t>
  </x:si>
  <x:si>
    <x:t xml:space="preserve">PPP006</x:t>
  </x:si>
  <x:si>
    <x:t xml:space="preserve">Reactivos x 2</x:t>
  </x:si>
  <x:si>
    <x:t xml:space="preserve">PPP006.jpg</x:t>
  </x:si>
  <x:si>
    <x:t xml:space="preserve">Reactivos x 2. Presentación: 1 unidad.</x:t>
  </x:si>
  <x:si>
    <x:t xml:space="preserve">214</x:t>
  </x:si>
  <x:si>
    <x:t xml:space="preserve">PPP007</x:t>
  </x:si>
  <x:si>
    <x:t xml:space="preserve">Pastillas de Cloro triple Accion de 200 gr pack x 5 pastillas</x:t>
  </x:si>
  <x:si>
    <x:t xml:space="preserve">PPP007.jpg</x:t>
  </x:si>
  <x:si>
    <x:t xml:space="preserve">Pastillas de Cloro triple Accion de 200 gr pack x 5 pastillas. Presentación: 1 pack.</x:t>
  </x:si>
  <x:si>
    <x:t xml:space="preserve">215</x:t>
  </x:si>
  <x:si>
    <x:t xml:space="preserve">PPP008</x:t>
  </x:si>
  <x:si>
    <x:t xml:space="preserve">Test kit</x:t>
  </x:si>
  <x:si>
    <x:t xml:space="preserve">PPP008.jpg</x:t>
  </x:si>
  <x:si>
    <x:t xml:space="preserve">Test kit. Presentación: 1 unidad.</x:t>
  </x:si>
  <x:si>
    <x:t xml:space="preserve">216</x:t>
  </x:si>
  <x:si>
    <x:t xml:space="preserve">PPP009</x:t>
  </x:si>
  <x:si>
    <x:t xml:space="preserve">Mangueras</x:t>
  </x:si>
  <x:si>
    <x:t xml:space="preserve">Manguera 1'' x 15 mts</x:t>
  </x:si>
  <x:si>
    <x:t xml:space="preserve">PPP009.jpg</x:t>
  </x:si>
  <x:si>
    <x:t xml:space="preserve">Manguera 1'' x 15 mts. Presentación: 1 unidad.</x:t>
  </x:si>
  <x:si>
    <x:t xml:space="preserve">Mangueras. Mantiene el agua de la pileta limpia, clara y segura para el baño durante toda la temporada.</x:t>
  </x:si>
  <x:si>
    <x:t xml:space="preserve">217</x:t>
  </x:si>
  <x:si>
    <x:t xml:space="preserve">PPP010</x:t>
  </x:si>
  <x:si>
    <x:t xml:space="preserve">Manguera 3/4" x 15 mts</x:t>
  </x:si>
  <x:si>
    <x:t xml:space="preserve">PPP010.jpg</x:t>
  </x:si>
  <x:si>
    <x:t xml:space="preserve">Manguera 3/4" x 15 mts. Presentación: 1 unidad.</x:t>
  </x:si>
  <x:si>
    <x:t xml:space="preserve">218</x:t>
  </x:si>
  <x:si>
    <x:t xml:space="preserve">PPP011</x:t>
  </x:si>
  <x:si>
    <x:t xml:space="preserve">Manguera 1/2" x 15 mts</x:t>
  </x:si>
  <x:si>
    <x:t xml:space="preserve">PPP011.jpg</x:t>
  </x:si>
  <x:si>
    <x:t xml:space="preserve">Manguera 1/2" x 15 mts. Presentación: 1 unidad.</x:t>
  </x:si>
  <x:si>
    <x:t xml:space="preserve">219</x:t>
  </x:si>
  <x:si>
    <x:t xml:space="preserve">PPP012</x:t>
  </x:si>
  <x:si>
    <x:t xml:space="preserve">Manguera Corrugada 1 1/2" x 10 mts</x:t>
  </x:si>
  <x:si>
    <x:t xml:space="preserve">PPP012.jpg</x:t>
  </x:si>
  <x:si>
    <x:t xml:space="preserve">Manguera Corrugada 1 1/2" x 10 mts. Presentación: 1 unidad.</x:t>
  </x:si>
  <x:si>
    <x:t xml:space="preserve">220</x:t>
  </x:si>
  <x:si>
    <x:t xml:space="preserve">PPP013</x:t>
  </x:si>
  <x:si>
    <x:t xml:space="preserve">Accesorios de pileta</x:t>
  </x:si>
  <x:si>
    <x:t xml:space="preserve">Flota Flota</x:t>
  </x:si>
  <x:si>
    <x:t xml:space="preserve">PPP013.jpg</x:t>
  </x:si>
  <x:si>
    <x:t xml:space="preserve">Flota Flota. Presentación: 1 unidad.</x:t>
  </x:si>
  <x:si>
    <x:t xml:space="preserve">Accesorios de pileta. Mantiene el agua de la pileta limpia, clara y segura para el baño durante toda la temporada.</x:t>
  </x:si>
  <x:si>
    <x:t xml:space="preserve">221</x:t>
  </x:si>
  <x:si>
    <x:t xml:space="preserve">PPP014</x:t>
  </x:si>
  <x:si>
    <x:t xml:space="preserve">Barrefondo 8 Ruedas</x:t>
  </x:si>
  <x:si>
    <x:t xml:space="preserve">PPP014.jpg</x:t>
  </x:si>
  <x:si>
    <x:t xml:space="preserve">Barrefondo 8 Ruedas. Presentación: 1 unidad.</x:t>
  </x:si>
  <x:si>
    <x:t xml:space="preserve">222</x:t>
  </x:si>
  <x:si>
    <x:t xml:space="preserve">PPP015</x:t>
  </x:si>
  <x:si>
    <x:t xml:space="preserve">Barrefondo Medialuna</x:t>
  </x:si>
  <x:si>
    <x:t xml:space="preserve">PPP015.jpg</x:t>
  </x:si>
  <x:si>
    <x:t xml:space="preserve">Barrefondo Medialuna. Presentación: 1 unidad.</x:t>
  </x:si>
  <x:si>
    <x:t xml:space="preserve">223</x:t>
  </x:si>
  <x:si>
    <x:t xml:space="preserve">PPP016</x:t>
  </x:si>
  <x:si>
    <x:t xml:space="preserve">Boya Hongo</x:t>
  </x:si>
  <x:si>
    <x:t xml:space="preserve">PPP016.jpg</x:t>
  </x:si>
  <x:si>
    <x:t xml:space="preserve">Boya Hongo. Presentación: 1 unidad.</x:t>
  </x:si>
  <x:si>
    <x:t xml:space="preserve">224</x:t>
  </x:si>
  <x:si>
    <x:t xml:space="preserve">PPP017</x:t>
  </x:si>
  <x:si>
    <x:t xml:space="preserve">Boya Satelite</x:t>
  </x:si>
  <x:si>
    <x:t xml:space="preserve">PPP017.jpg</x:t>
  </x:si>
  <x:si>
    <x:t xml:space="preserve">Boya Satelite. Presentación: 1 unidad.</x:t>
  </x:si>
  <x:si>
    <x:t xml:space="preserve">225</x:t>
  </x:si>
  <x:si>
    <x:t xml:space="preserve">VAR001</x:t>
  </x:si>
  <x:si>
    <x:t xml:space="preserve">Velas</x:t>
  </x:si>
  <x:si>
    <x:t xml:space="preserve">Velas x 4 de 205 mm make</x:t>
  </x:si>
  <x:si>
    <x:t xml:space="preserve">VAR001.jpg</x:t>
  </x:si>
  <x:si>
    <x:t xml:space="preserve">Velas x 4 de 205 mm make. Presentación: 1 unidad.</x:t>
  </x:si>
  <x:si>
    <x:t xml:space="preserve">Velas. Producto práctico pensado para facilitar las tareas diarias del hogar.</x:t>
  </x:si>
  <x:si>
    <x:t xml:space="preserve">226</x:t>
  </x:si>
  <x:si>
    <x:t xml:space="preserve">VAR002</x:t>
  </x:si>
  <x:si>
    <x:t xml:space="preserve">Velas x 12 de 205 mm make</x:t>
  </x:si>
  <x:si>
    <x:t xml:space="preserve">VAR002.jpg</x:t>
  </x:si>
  <x:si>
    <x:t xml:space="preserve">Velas x 12 de 205 mm make. Presentación: 1 unidad.</x:t>
  </x:si>
  <x:si>
    <x:t xml:space="preserve">227</x:t>
  </x:si>
  <x:si>
    <x:t xml:space="preserve">VAR003</x:t>
  </x:si>
  <x:si>
    <x:t xml:space="preserve">Papel y film</x:t>
  </x:si>
  <x:si>
    <x:t xml:space="preserve">Papel Manteca Make</x:t>
  </x:si>
  <x:si>
    <x:t xml:space="preserve">VAR003.jpg</x:t>
  </x:si>
  <x:si>
    <x:t xml:space="preserve">Papel Manteca Make. Presentación: 1 unidad.</x:t>
  </x:si>
  <x:si>
    <x:t xml:space="preserve">Papel y film. Producto práctico pensado para facilitar las tareas diarias del hogar.</x:t>
  </x:si>
  <x:si>
    <x:t xml:space="preserve">228</x:t>
  </x:si>
  <x:si>
    <x:t xml:space="preserve">VAR004</x:t>
  </x:si>
  <x:si>
    <x:t xml:space="preserve">Papel Aluminio Make</x:t>
  </x:si>
  <x:si>
    <x:t xml:space="preserve">VAR004.jpg</x:t>
  </x:si>
  <x:si>
    <x:t xml:space="preserve">Papel Aluminio Make. Presentación: 1 unidad.</x:t>
  </x:si>
  <x:si>
    <x:t xml:space="preserve">229</x:t>
  </x:si>
  <x:si>
    <x:t xml:space="preserve">VAR005</x:t>
  </x:si>
  <x:si>
    <x:t xml:space="preserve">Film Adherente Make 30 metros</x:t>
  </x:si>
  <x:si>
    <x:t xml:space="preserve">VAR005.jpg</x:t>
  </x:si>
  <x:si>
    <x:t xml:space="preserve">Film Adherente Make 30 metros. Presentación: 1 unidad.</x:t>
  </x:si>
  <x:si>
    <x:t xml:space="preserve">230</x:t>
  </x:si>
  <x:si>
    <x:t xml:space="preserve">VAR006</x:t>
  </x:si>
  <x:si>
    <x:t xml:space="preserve">Bolsas y freezer</x:t>
  </x:si>
  <x:si>
    <x:t xml:space="preserve">Separador de Freezer Make x 200 unidades</x:t>
  </x:si>
  <x:si>
    <x:t xml:space="preserve">VAR006.jpg</x:t>
  </x:si>
  <x:si>
    <x:t xml:space="preserve">Separador de Freezer Make x 200 unidades. Presentación: 1 unidad.</x:t>
  </x:si>
  <x:si>
    <x:t xml:space="preserve">Bolsas y freezer. Producto práctico pensado para facilitar las tareas diarias del hogar.</x:t>
  </x:si>
  <x:si>
    <x:t xml:space="preserve">231</x:t>
  </x:si>
  <x:si>
    <x:t xml:space="preserve">VAR007</x:t>
  </x:si>
  <x:si>
    <x:t xml:space="preserve">Bolzip</x:t>
  </x:si>
  <x:si>
    <x:t xml:space="preserve">Bolsa para cubitos Bolzip</x:t>
  </x:si>
  <x:si>
    <x:t xml:space="preserve">VAR007.jpg</x:t>
  </x:si>
  <x:si>
    <x:t xml:space="preserve">Bolsa para cubitos Bolzip. Presentación: 1 unidad. Marca Bolzip.</x:t>
  </x:si>
  <x:si>
    <x:t xml:space="preserve">232</x:t>
  </x:si>
  <x:si>
    <x:t xml:space="preserve">VAR008</x:t>
  </x:si>
  <x:si>
    <x:t xml:space="preserve">Varios</x:t>
  </x:si>
  <x:si>
    <x:t xml:space="preserve">Palmeta Mata Moscas Plastica</x:t>
  </x:si>
  <x:si>
    <x:t xml:space="preserve">VAR008.jpg</x:t>
  </x:si>
  <x:si>
    <x:t xml:space="preserve">Palmeta Mata Moscas Plastica. Presentación: 1 unidad.</x:t>
  </x:si>
  <x:si>
    <x:t xml:space="preserve">Varios. Producto práctico pensado para facilitar las tareas diarias del hogar.</x:t>
  </x:si>
  <x:si>
    <x:t xml:space="preserve">233</x:t>
  </x:si>
  <x:si>
    <x:t xml:space="preserve">VAR009</x:t>
  </x:si>
  <x:si>
    <x:t xml:space="preserve">Gorrion</x:t>
  </x:si>
  <x:si>
    <x:t xml:space="preserve">Insecticida liquido Gorrion x 500 cc</x:t>
  </x:si>
  <x:si>
    <x:t xml:space="preserve">VAR009.jpg</x:t>
  </x:si>
  <x:si>
    <x:t xml:space="preserve">Insecticida liquido Gorrion x 500 cc. Presentación: 1 unidad. Marca Gorrion.</x:t>
  </x:si>
  <x:si>
    <x:t xml:space="preserve">234</x:t>
  </x:si>
  <x:si>
    <x:t xml:space="preserve"> </x:t>
  </x:si>
  <x:si>
    <x:t xml:space="preserve">235</x:t>
  </x:si>
  <x:si>
    <x:t xml:space="preserve">236</x:t>
  </x:si>
  <x:si>
    <x:t xml:space="preserve">237</x:t>
  </x:si>
  <x:si>
    <x:t xml:space="preserve">238</x:t>
  </x:si>
  <x:si>
    <x:t xml:space="preserve">239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</x:si>
  <x:si>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</x:si>
  <x:si>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</x:si>
  <x:si>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</x:si>
  <x:si>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</x:si>
  <x:si>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</x:si>
  <x:si>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</x:si>
  <x:si>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246</x:t>
  </x:si>
  <x:si>
    <x:t xml:space="preserve">247</x:t>
  </x:si>
  <x:si>
    <x:t xml:space="preserve">248</x:t>
  </x:si>
  <x:si>
    <x:t xml:space="preserve">249</x:t>
  </x:si>
  <x:si>
    <x:t xml:space="preserve">250</x:t>
  </x:si>
  <x:si>
    <x:t xml:space="preserve">251</x:t>
  </x:si>
  <x:si>
    <x:t xml:space="preserve">252</x:t>
  </x:si>
  <x:si>
    <x:t xml:space="preserve">253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</x:si>
  <x:si>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</x:si>
  <x:si>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</x:si>
  <x:si>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</x:si>
  <x:si>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</x:si>
  <x:si>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</x:si>
  <x:si>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259</x:t>
  </x:si>
  <x:si>
    <x:t xml:space="preserve">260</x:t>
  </x:si>
  <x:si>
    <x:t xml:space="preserve">261</x:t>
  </x:si>
  <x:si>
    <x:t xml:space="preserve">262</x:t>
  </x:si>
  <x:si>
    <x:t xml:space="preserve">263</x:t>
  </x:si>
  <x:si>
    <x:t xml:space="preserve">264</x:t>
  </x:si>
  <x:si>
    <x:t xml:space="preserve">265</x:t>
  </x:si>
  <x:si>
    <x:t xml:space="preserve">266</x:t>
  </x:si>
  <x:si>
    <x:t xml:space="preserve">267</x:t>
  </x:si>
  <x:si>
    <x:t xml:space="preserve">268</x:t>
  </x:si>
  <x:si>
    <x:t xml:space="preserve">269</x:t>
  </x:si>
  <x:si>
    <x:t xml:space="preserve">270</x:t>
  </x:si>
  <x:si>
    <x:t xml:space="preserve">271</x:t>
  </x:si>
  <x:si>
    <x:t xml:space="preserve">272</x:t>
  </x:si>
  <x:si>
    <x:t xml:space="preserve">273</x:t>
  </x:si>
  <x:si>
    <x:t xml:space="preserve">274</x:t>
  </x:si>
  <x:si>
    <x:t xml:space="preserve">275</x:t>
  </x:si>
  <x:si>
    <x:t xml:space="preserve">276</x:t>
  </x:si>
  <x:si>
    <x:t xml:space="preserve">277</x:t>
  </x:si>
  <x:si>
    <x:t xml:space="preserve">278</x:t>
  </x:si>
  <x:si>
    <x:t xml:space="preserve">279</x:t>
  </x:si>
  <x:si>
    <x:t xml:space="preserve">280</x:t>
  </x:si>
  <x:si>
    <x:t xml:space="preserve">281</x:t>
  </x:si>
  <x:si>
    <x:t xml:space="preserve">282</x:t>
  </x:si>
  <x:si>
    <x:t xml:space="preserve">283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</x:si>
  <x:si>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</x:si>
  <x:si>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</x:si>
  <x:si>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</x:si>
  <x:si>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</x:si>
  <x:si>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</x:si>
  <x:si>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</x:si>
  <x:si>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290</x:t>
  </x:si>
  <x:si>
    <x:t xml:space="preserve">291</x:t>
  </x:si>
  <x:si>
    <x:t xml:space="preserve">292</x:t>
  </x:si>
  <x:si>
    <x:t xml:space="preserve">293</x:t>
  </x:si>
  <x:si>
    <x:t xml:space="preserve">294</x:t>
  </x:si>
  <x:si>
    <x:t xml:space="preserve">295</x:t>
  </x:si>
  <x:si>
    <x:t xml:space="preserve">296</x:t>
  </x:si>
  <x:si>
    <x:t xml:space="preserve">297</x:t>
  </x:si>
  <x:si>
    <x:t xml:space="preserve">298</x:t>
  </x:si>
  <x:si>
    <x:t xml:space="preserve">299</x:t>
  </x:si>
  <x:si>
    <x:t xml:space="preserve">300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</x:si>
  <x:si>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</x:si>
  <x:si>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</x:si>
  <x:si>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</x:si>
  <x:si>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</x:si>
  <x:si>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305</x:t>
  </x:si>
  <x:si>
    <x:t xml:space="preserve">306</x:t>
  </x:si>
  <x:si>
    <x:t xml:space="preserve">307</x:t>
  </x:si>
  <x:si>
    <x:t xml:space="preserve">308</x:t>
  </x:si>
  <x:si>
    <x:t xml:space="preserve">309</x:t>
  </x:si>
  <x:si>
    <x:t xml:space="preserve">310</x:t>
  </x:si>
  <x:si>
    <x:t xml:space="preserve">311</x:t>
  </x:si>
  <x:si>
    <x:t xml:space="preserve">312</x:t>
  </x:si>
  <x:si>
    <x:t xml:space="preserve">313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</x:si>
  <x:si>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</x:si>
  <x:si>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</x:si>
  <x:si>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</x:si>
  <x:si>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</x:si>
  <x:si>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</x:si>
  <x:si>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</x:si>
  <x:si>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320</x:t>
  </x:si>
  <x:si>
    <x:t xml:space="preserve">321</x:t>
  </x:si>
  <x:si>
    <x:t xml:space="preserve">322</x:t>
  </x:si>
  <x:si>
    <x:t xml:space="preserve">323</x:t>
  </x:si>
  <x:si>
    <x:t xml:space="preserve">324</x:t>
  </x:si>
  <x:si>
    <x:t xml:space="preserve">325</x:t>
  </x:si>
  <x:si>
    <x:t xml:space="preserve">326</x:t>
  </x:si>
  <x:si>
    <x:t xml:space="preserve">327</x:t>
  </x:si>
  <x:si>
    <x:t xml:space="preserve">328</x:t>
  </x:si>
  <x:si>
    <x:t xml:space="preserve">329</x:t>
  </x:si>
  <x:si>
    <x:t xml:space="preserve">330</x:t>
  </x:si>
  <x:si>
    <x:t xml:space="preserve">331</x:t>
  </x:si>
  <x:si>
    <x:t xml:space="preserve">332</x:t>
  </x:si>
  <x:si>
    <x:t xml:space="preserve">333</x:t>
  </x:si>
  <x:si>
    <x:t xml:space="preserve">334</x:t>
  </x:si>
  <x:si>
    <x:t xml:space="preserve">335</x:t>
  </x:si>
  <x:si>
    <x:t xml:space="preserve">336</x:t>
  </x:si>
  <x:si>
    <x:t xml:space="preserve">337</x:t>
  </x:si>
  <x:si>
    <x:t xml:space="preserve">338</x:t>
  </x:si>
  <x:si>
    <x:t xml:space="preserve">339</x:t>
  </x:si>
  <x:si>
    <x:t xml:space="preserve">340</x:t>
  </x:si>
  <x:si>
    <x:t xml:space="preserve">341</x:t>
  </x:si>
  <x:si>
    <x:t xml:space="preserve">342</x:t>
  </x:si>
  <x:si>
    <x:t xml:space="preserve">343</x:t>
  </x:si>
  <x:si>
    <x:t xml:space="preserve">344</x:t>
  </x:si>
  <x:si>
    <x:t xml:space="preserve">345</x:t>
  </x:si>
  <x:si>
    <x:t xml:space="preserve">346</x:t>
  </x:si>
  <x:si>
    <x:t xml:space="preserve">347</x:t>
  </x:si>
  <x:si>
    <x:t xml:space="preserve">348</x:t>
  </x:si>
  <x:si>
    <x:t xml:space="preserve">349</x:t>
  </x:si>
  <x:si>
    <x:t xml:space="preserve">350</x:t>
  </x:si>
  <x:si>
    <x:t xml:space="preserve">351</x:t>
  </x:si>
  <x:si>
    <x:t xml:space="preserve">352</x:t>
  </x:si>
  <x:si>
    <x:t xml:space="preserve">353</x:t>
  </x:si>
  <x:si>
    <x:t xml:space="preserve">354</x:t>
  </x:si>
  <x:si>
    <x:t xml:space="preserve">355</x:t>
  </x:si>
  <x:si>
    <x:t xml:space="preserve">356</x:t>
  </x:si>
  <x:si>
    <x:t xml:space="preserve">357</x:t>
  </x:si>
  <x:si>
    <x:t xml:space="preserve">358</x:t>
  </x:si>
  <x:si>
    <x:t xml:space="preserve">359</x:t>
  </x:si>
  <x:si>
    <x:t xml:space="preserve">360</x:t>
  </x:si>
  <x:si>
    <x:t xml:space="preserve">361</x:t>
  </x:si>
  <x:si>
    <x:t xml:space="preserve">362</x:t>
  </x:si>
  <x:si>
    <x:t xml:space="preserve">363</x:t>
  </x:si>
  <x:si>
    <x:t xml:space="preserve">364</x:t>
  </x:si>
  <x:si>
    <x:t xml:space="preserve">365</x:t>
  </x:si>
  <x:si>
    <x:t xml:space="preserve">366</x:t>
  </x:si>
  <x:si>
    <x:t xml:space="preserve">367</x:t>
  </x:si>
  <x:si>
    <x:t xml:space="preserve">368</x:t>
  </x:si>
  <x:si>
    <x:t xml:space="preserve">369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</x:si>
  <x:si>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</x:si>
  <x:si>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</x:si>
  <x:si>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</x:si>
  <x:si>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</x:si>
  <x:si>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</x:si>
  <x:si>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375</x:t>
  </x:si>
  <x:si>
    <x:t xml:space="preserve">376</x:t>
  </x:si>
  <x:si>
    <x:t xml:space="preserve">377</x:t>
  </x:si>
  <x:si>
    <x:t xml:space="preserve">378</x:t>
  </x:si>
  <x:si>
    <x:t xml:space="preserve">379</x:t>
  </x:si>
  <x:si>
    <x:t xml:space="preserve">380</x:t>
  </x:si>
  <x:si>
    <x:t xml:space="preserve">381</x:t>
  </x:si>
  <x:si>
    <x:t xml:space="preserve">382</x:t>
  </x:si>
  <x:si>
    <x:t xml:space="preserve">383</x:t>
  </x:si>
  <x:si>
    <x:t xml:space="preserve">384</x:t>
  </x:si>
  <x:si>
    <x:t xml:space="preserve">385</x:t>
  </x:si>
  <x:si>
    <x:t xml:space="preserve">386</x:t>
  </x:si>
  <x:si>
    <x:t xml:space="preserve">387</x:t>
  </x:si>
  <x:si>
    <x:t xml:space="preserve">388</x:t>
  </x:si>
  <x:si>
    <x:t xml:space="preserve">389</x:t>
  </x:si>
  <x:si>
    <x:t xml:space="preserve">390</x:t>
  </x:si>
  <x:si>
    <x:t xml:space="preserve">391</x:t>
  </x:si>
  <x:si>
    <x:t xml:space="preserve">392</x:t>
  </x:si>
  <x:si>
    <x:t xml:space="preserve">393</x:t>
  </x:si>
  <x:si>
    <x:t xml:space="preserve">394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</x:si>
  <x:si>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</x:si>
  <x:si>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</x:si>
  <x:si>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</x:si>
  <x:si>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</x:si>
  <x:si>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399</x:t>
  </x:si>
  <x:si>
    <x:t xml:space="preserve">400</x:t>
  </x:si>
  <x:si>
    <x:t xml:space="preserve">401</x:t>
  </x:si>
  <x:si>
    <x:t xml:space="preserve">402</x:t>
  </x:si>
  <x:si>
    <x:t xml:space="preserve">403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</x:si>
  <x:si>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</x:si>
  <x:si>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</x:si>
  <x:si>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</x:si>
  <x:si>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</x:si>
  <x:si>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</x:si>
  <x:si>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</x:si>
  <x:si>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410</x:t>
  </x:si>
  <x:si>
    <x:t xml:space="preserve">411</x:t>
  </x:si>
  <x:si>
    <x:t xml:space="preserve">412</x:t>
  </x:si>
  <x:si>
    <x:t xml:space="preserve">413</x:t>
  </x:si>
  <x:si>
    <x:t xml:space="preserve">414</x:t>
  </x:si>
  <x:si>
    <x:t xml:space="preserve">415</x:t>
  </x:si>
  <x:si>
    <x:t xml:space="preserve">416</x:t>
  </x:si>
  <x:si>
    <x:t xml:space="preserve">417</x:t>
  </x:si>
  <x:si>
    <x:t xml:space="preserve">418</x:t>
  </x:si>
  <x:si>
    <x:t xml:space="preserve">419</x:t>
  </x:si>
  <x:si>
    <x:t xml:space="preserve">420</x:t>
  </x:si>
  <x:si>
    <x:t xml:space="preserve">421</x:t>
  </x:si>
  <x:si>
    <x:t xml:space="preserve">422</x:t>
  </x:si>
  <x:si>
    <x:t xml:space="preserve">423</x:t>
  </x:si>
  <x:si>
    <x:t xml:space="preserve">424</x:t>
  </x:si>
  <x:si>
    <x:t xml:space="preserve">425</x:t>
  </x:si>
  <x:si>
    <x:t xml:space="preserve">426</x:t>
  </x:si>
  <x:si>
    <x:t xml:space="preserve">427</x:t>
  </x:si>
  <x:si>
    <x:t xml:space="preserve">428</x:t>
  </x:si>
  <x:si>
    <x:t xml:space="preserve">429</x:t>
  </x:si>
  <x:si>
    <x:t xml:space="preserve">430</x:t>
  </x:si>
  <x:si>
    <x:t xml:space="preserve">431</x:t>
  </x:si>
  <x:si>
    <x:t xml:space="preserve">432</x:t>
  </x:si>
  <x:si>
    <x:t xml:space="preserve">433</x:t>
  </x:si>
  <x:si>
    <x:t xml:space="preserve">434</x:t>
  </x:si>
  <x:si>
    <x:t xml:space="preserve">435</x:t>
  </x:si>
  <x:si>
    <x:t xml:space="preserve">436</x:t>
  </x:si>
  <x:si>
    <x:t xml:space="preserve">437</x:t>
  </x:si>
  <x:si>
    <x:t xml:space="preserve">438</x:t>
  </x:si>
  <x:si>
    <x:t xml:space="preserve">439</x:t>
  </x:si>
  <x:si>
    <x:t xml:space="preserve">440</x:t>
  </x:si>
  <x:si>
    <x:t xml:space="preserve">441</x:t>
  </x:si>
  <x:si>
    <x:t xml:space="preserve">442</x:t>
  </x:si>
  <x:si>
    <x:t xml:space="preserve">443</x:t>
  </x:si>
  <x:si>
    <x:t xml:space="preserve">444</x:t>
  </x:si>
  <x:si>
    <x:t xml:space="preserve">445</x:t>
  </x:si>
  <x:si>
    <x:t xml:space="preserve">446</x:t>
  </x:si>
  <x:si>
    <x:t xml:space="preserve">447</x:t>
  </x:si>
  <x:si>
    <x:t xml:space="preserve">448</x:t>
  </x:si>
  <x:si>
    <x:t xml:space="preserve">449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</x:si>
  <x:si>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</x:si>
  <x:si>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</x:si>
  <x:si>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</x:si>
  <x:si>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</x:si>
  <x:si>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</x:si>
  <x:si>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455</x:t>
  </x:si>
  <x:si>
    <x:t xml:space="preserve">456</x:t>
  </x:si>
  <x:si>
    <x:t xml:space="preserve">457</x:t>
  </x:si>
  <x:si>
    <x:t xml:space="preserve">458</x:t>
  </x:si>
  <x:si>
    <x:t xml:space="preserve">459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</x:si>
  <x:si>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</x:si>
  <x:si>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</x:si>
  <x:si>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</x:si>
  <x:si>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</x:si>
  <x:si>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464</x:t>
  </x:si>
  <x:si>
    <x:t xml:space="preserve">465</x:t>
  </x:si>
  <x:si>
    <x:t xml:space="preserve">466</x:t>
  </x:si>
  <x:si>
    <x:t xml:space="preserve">467</x:t>
  </x:si>
  <x:si>
    <x:t xml:space="preserve">468</x:t>
  </x:si>
  <x:si>
    <x:t xml:space="preserve">469</x:t>
  </x:si>
  <x:si>
    <x:t xml:space="preserve">470</x:t>
  </x:si>
  <x:si>
    <x:t xml:space="preserve">471</x:t>
  </x:si>
  <x:si>
    <x:t xml:space="preserve">472</x:t>
  </x:si>
  <x:si>
    <x:t xml:space="preserve">473</x:t>
  </x:si>
  <x:si>
    <x:t xml:space="preserve">474</x:t>
  </x:si>
  <x:si>
    <x:t xml:space="preserve">475</x:t>
  </x:si>
  <x:si>
    <x:t xml:space="preserve">476</x:t>
  </x:si>
  <x:si>
    <x:t xml:space="preserve">477</x:t>
  </x:si>
  <x:si>
    <x:t xml:space="preserve">478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</x:si>
  <x:si>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</x:si>
  <x:si>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</x:si>
  <x:si>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</x:si>
  <x:si>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</x:si>
  <x:si>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483</x:t>
  </x:si>
  <x:si>
    <x:t xml:space="preserve">484</x:t>
  </x:si>
  <x:si>
    <x:t xml:space="preserve">485</x:t>
  </x:si>
  <x:si>
    <x:t xml:space="preserve">486</x:t>
  </x:si>
  <x:si>
    <x:t xml:space="preserve">487</x:t>
  </x:si>
  <x:si>
    <x:t xml:space="preserve">488</x:t>
  </x:si>
  <x:si>
    <x:t xml:space="preserve">489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</x:si>
  <x:si>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</x:si>
  <x:si>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</x:si>
  <x:si>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</x:si>
  <x:si>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</x:si>
  <x:si>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</x:si>
  <x:si>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</x:si>
  <x:si>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</x:si>
  <x:si>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</x:si>
  <x:si>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</x:si>
  <x:si>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</x:si>
  <x:si>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500</x:t>
  </x:si>
  <x:si>
    <x:t xml:space="preserve">501</x:t>
  </x:si>
  <x:si>
    <x:t xml:space="preserve">502</x:t>
  </x:si>
  <x:si>
    <x:t xml:space="preserve">503</x:t>
  </x:si>
  <x:si>
    <x:t xml:space="preserve">504</x:t>
  </x:si>
  <x:si>
    <x:t xml:space="preserve">505</x:t>
  </x:si>
  <x:si>
    <x:t xml:space="preserve">506</x:t>
  </x:si>
  <x:si>
    <x:t xml:space="preserve">507</x:t>
  </x:si>
  <x:si>
    <x:t xml:space="preserve">508</x:t>
  </x:si>
  <x:si>
    <x:t xml:space="preserve">509</x:t>
  </x:si>
  <x:si>
    <x:t xml:space="preserve">510</x:t>
  </x:si>
  <x:si>
    <x:t xml:space="preserve">511</x:t>
  </x:si>
  <x:si>
    <x:t xml:space="preserve">512</x:t>
  </x:si>
  <x:si>
    <x:t xml:space="preserve">513</x:t>
  </x:si>
  <x:si>
    <x:t xml:space="preserve">514</x:t>
  </x:si>
  <x:si>
    <x:t xml:space="preserve">515</x:t>
  </x:si>
  <x:si>
    <x:t xml:space="preserve">516</x:t>
  </x:si>
  <x:si>
    <x:t xml:space="preserve">517</x:t>
  </x:si>
  <x:si>
    <x:t xml:space="preserve">518</x:t>
  </x:si>
  <x:si>
    <x:t xml:space="preserve">519</x:t>
  </x:si>
  <x:si>
    <x:t xml:space="preserve">520</x:t>
  </x:si>
  <x:si>
    <x:t xml:space="preserve">521</x:t>
  </x:si>
  <x:si>
    <x:t xml:space="preserve">522</x:t>
  </x:si>
  <x:si>
    <x:t xml:space="preserve">523</x:t>
  </x:si>
  <x:si>
    <x:t xml:space="preserve">524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</x:si>
  <x:si>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</x:si>
  <x:si>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</x:si>
  <x:si>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</x:si>
  <x:si>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</x:si>
  <x:si>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</x:si>
  <x:si>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530</x:t>
  </x:si>
  <x:si>
    <x:t xml:space="preserve">531</x:t>
  </x:si>
  <x:si>
    <x:t xml:space="preserve">532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</x:si>
  <x:si>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</x:si>
  <x:si>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</x:si>
  <x:si>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</x:si>
  <x:si>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</x:si>
  <x:si>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</x:si>
  <x:si>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</x:si>
  <x:si>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539</x:t>
  </x:si>
  <x:si>
    <x:t xml:space="preserve">540</x:t>
  </x:si>
  <x:si>
    <x:t xml:space="preserve">541</x:t>
  </x:si>
  <x:si>
    <x:t xml:space="preserve">542</x:t>
  </x:si>
  <x:si>
    <x:t xml:space="preserve">543</x:t>
  </x:si>
  <x:si>
    <x:t xml:space="preserve">544</x:t>
  </x:si>
  <x:si>
    <x:t xml:space="preserve">545</x:t>
  </x:si>
  <x:si>
    <x:t xml:space="preserve">546</x:t>
  </x:si>
  <x:si>
    <x:t xml:space="preserve">547</x:t>
  </x:si>
  <x:si>
    <x:t xml:space="preserve">548</x:t>
  </x:si>
  <x:si>
    <x:t xml:space="preserve">549</x:t>
  </x:si>
  <x:si>
    <x:t xml:space="preserve">550</x:t>
  </x:si>
  <x:si>
    <x:t xml:space="preserve">551</x:t>
  </x:si>
  <x:si>
    <x:t xml:space="preserve">552</x:t>
  </x:si>
  <x:si>
    <x:t xml:space="preserve">553</x:t>
  </x:si>
  <x:si>
    <x:t xml:space="preserve">554</x:t>
  </x:si>
  <x:si>
    <x:t xml:space="preserve">555</x:t>
  </x:si>
  <x:si>
    <x:t xml:space="preserve">556</x:t>
  </x:si>
  <x:si>
    <x:t xml:space="preserve">557</x:t>
  </x:si>
  <x:si>
    <x:t xml:space="preserve">558</x:t>
  </x:si>
  <x:si>
    <x:t xml:space="preserve">559</x:t>
  </x:si>
  <x:si>
    <x:t xml:space="preserve">560</x:t>
  </x:si>
  <x:si>
    <x:t xml:space="preserve">561</x:t>
  </x:si>
  <x:si>
    <x:t xml:space="preserve">562</x:t>
  </x:si>
  <x:si>
    <x:t xml:space="preserve">563</x:t>
  </x:si>
  <x:si>
    <x:t xml:space="preserve">564</x:t>
  </x:si>
  <x:si>
    <x:t xml:space="preserve">565</x:t>
  </x:si>
  <x:si>
    <x:t xml:space="preserve">566</x:t>
  </x:si>
  <x:si>
    <x:t xml:space="preserve">567</x:t>
  </x:si>
  <x:si>
    <x:t xml:space="preserve">568</x:t>
  </x:si>
  <x:si>
    <x:t xml:space="preserve">569</x:t>
  </x:si>
  <x:si>
    <x:t xml:space="preserve">570</x:t>
  </x:si>
  <x:si>
    <x:t xml:space="preserve">571</x:t>
  </x:si>
  <x:si>
    <x:t xml:space="preserve">572</x:t>
  </x:si>
  <x:si>
    <x:t xml:space="preserve">573</x:t>
  </x:si>
  <x:si>
    <x:t xml:space="preserve">574</x:t>
  </x:si>
  <x:si>
    <x:t xml:space="preserve">575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</x:si>
  <x:si>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</x:si>
  <x:si>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</x:si>
  <x:si>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</x:si>
  <x:si>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</x:si>
  <x:si>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580</x:t>
  </x:si>
  <x:si>
    <x:t xml:space="preserve">581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</x:si>
  <x:si>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</x:si>
  <x:si>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</x:si>
  <x:si>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</x:si>
  <x:si>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</x:si>
  <x:si>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586</x:t>
  </x:si>
  <x:si>
    <x:t xml:space="preserve">587</x:t>
  </x:si>
  <x:si>
    <x:t xml:space="preserve">588</x:t>
  </x:si>
  <x:si>
    <x:t xml:space="preserve">589</x:t>
  </x:si>
  <x:si>
    <x:t xml:space="preserve">590</x:t>
  </x:si>
  <x:si>
    <x:t xml:space="preserve">591</x:t>
  </x:si>
  <x:si>
    <x:t xml:space="preserve">592</x:t>
  </x:si>
  <x:si>
    <x:t xml:space="preserve">593</x:t>
  </x:si>
  <x:si>
    <x:t xml:space="preserve">594</x:t>
  </x:si>
  <x:si>
    <x:t xml:space="preserve">595</x:t>
  </x:si>
  <x:si>
    <x:t xml:space="preserve">596</x:t>
  </x:si>
  <x:si>
    <x:t xml:space="preserve">597</x:t>
  </x:si>
  <x:si>
    <x:t xml:space="preserve">598</x:t>
  </x:si>
  <x:si>
    <x:t xml:space="preserve">599</x:t>
  </x:si>
  <x:si>
    <x:t xml:space="preserve">600</x:t>
  </x:si>
  <x:si>
    <x:t xml:space="preserve">601</x:t>
  </x:si>
  <x:si>
    <x:t xml:space="preserve">602</x:t>
  </x:si>
  <x:si>
    <x:t xml:space="preserve">603</x:t>
  </x:si>
  <x:si>
    <x:t xml:space="preserve">604</x:t>
  </x:si>
  <x:si>
    <x:t xml:space="preserve">605</x:t>
  </x:si>
  <x:si>
    <x:t xml:space="preserve">606</x:t>
  </x:si>
  <x:si>
    <x:t xml:space="preserve">607</x:t>
  </x:si>
  <x:si>
    <x:t xml:space="preserve">608</x:t>
  </x:si>
  <x:si>
    <x:t xml:space="preserve">609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</x:si>
  <x:si>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</x:si>
  <x:si>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</x:si>
  <x:si>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</x:si>
  <x:si>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</x:si>
  <x:si>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614</x:t>
  </x:si>
  <x:si>
    <x:t xml:space="preserve">615</x:t>
  </x:si>
  <x:si>
    <x:t xml:space="preserve">616</x:t>
  </x:si>
  <x:si>
    <x:t xml:space="preserve">617</x:t>
  </x:si>
  <x:si>
    <x:t xml:space="preserve">618</x:t>
  </x:si>
  <x:si>
    <x:t xml:space="preserve">619</x:t>
  </x:si>
  <x:si>
    <x:t xml:space="preserve">620</x:t>
  </x:si>
  <x:si>
    <x:t xml:space="preserve">621</x:t>
  </x:si>
  <x:si>
    <x:t xml:space="preserve">622</x:t>
  </x:si>
  <x:si>
    <x:t xml:space="preserve">623</x:t>
  </x:si>
  <x:si>
    <x:t xml:space="preserve">624</x:t>
  </x:si>
  <x:si>
    <x:t xml:space="preserve">625</x:t>
  </x:si>
  <x:si>
    <x:t xml:space="preserve">626</x:t>
  </x:si>
  <x:si>
    <x:t xml:space="preserve">627</x:t>
  </x:si>
  <x:si>
    <x:t xml:space="preserve">628</x:t>
  </x:si>
  <x:si>
    <x:t xml:space="preserve">629</x:t>
  </x:si>
  <x:si>
    <x:t xml:space="preserve">630</x:t>
  </x:si>
  <x:si>
    <x:t xml:space="preserve">631</x:t>
  </x:si>
  <x:si>
    <x:t xml:space="preserve">632</x:t>
  </x:si>
  <x:si>
    <x:t xml:space="preserve">633</x:t>
  </x:si>
  <x:si>
    <x:t xml:space="preserve">634</x:t>
  </x:si>
  <x:si>
    <x:t xml:space="preserve">635</x:t>
  </x:si>
  <x:si>
    <x:t xml:space="preserve">636</x:t>
  </x:si>
  <x:si>
    <x:t xml:space="preserve">637</x:t>
  </x:si>
  <x:si>
    <x:t xml:space="preserve">638</x:t>
  </x:si>
  <x:si>
    <x:t xml:space="preserve">639</x:t>
  </x:si>
  <x:si>
    <x:t xml:space="preserve">640</x:t>
  </x:si>
  <x:si>
    <x:t xml:space="preserve">641</x:t>
  </x:si>
  <x:si>
    <x:t xml:space="preserve">642</x:t>
  </x:si>
  <x:si>
    <x:t xml:space="preserve">643</x:t>
  </x:si>
  <x:si>
    <x:t xml:space="preserve">644</x:t>
  </x:si>
  <x:si>
    <x:t xml:space="preserve">645</x:t>
  </x:si>
  <x:si>
    <x:t xml:space="preserve">646</x:t>
  </x:si>
  <x:si>
    <x:t xml:space="preserve">647</x:t>
  </x:si>
  <x:si>
    <x:t xml:space="preserve">648</x:t>
  </x:si>
  <x:si>
    <x:t xml:space="preserve">649</x:t>
  </x:si>
  <x:si>
    <x:t xml:space="preserve">650</x:t>
  </x:si>
  <x:si>
    <x:t xml:space="preserve">651</x:t>
  </x:si>
  <x:si>
    <x:t xml:space="preserve">652</x:t>
  </x:si>
  <x:si>
    <x:t xml:space="preserve">653</x:t>
  </x:si>
  <x:si>
    <x:t xml:space="preserve">654</x:t>
  </x:si>
  <x:si>
    <x:t xml:space="preserve">655</x:t>
  </x:si>
  <x:si>
    <x:t xml:space="preserve">656</x:t>
  </x:si>
  <x:si>
    <x:t xml:space="preserve">657</x:t>
  </x:si>
  <x:si>
    <x:t xml:space="preserve">658</x:t>
  </x:si>
  <x:si>
    <x:t xml:space="preserve">659</x:t>
  </x:si>
  <x:si>
    <x:t xml:space="preserve">660</x:t>
  </x:si>
  <x:si>
    <x:t xml:space="preserve">661</x:t>
  </x:si>
  <x:si>
    <x:t xml:space="preserve">662</x:t>
  </x:si>
  <x:si>
    <x:t xml:space="preserve">663</x:t>
  </x:si>
  <x:si>
    <x:t xml:space="preserve">664</x:t>
  </x:si>
  <x:si>
    <x:t xml:space="preserve">665</x:t>
  </x:si>
  <x:si>
    <x:t xml:space="preserve">666</x:t>
  </x:si>
  <x:si>
    <x:t xml:space="preserve">667</x:t>
  </x:si>
  <x:si>
    <x:t xml:space="preserve">668</x:t>
  </x:si>
  <x:si>
    <x:t xml:space="preserve">669</x:t>
  </x:si>
  <x:si>
    <x:t xml:space="preserve">670</x:t>
  </x:si>
  <x:si>
    <x:t xml:space="preserve">671</x:t>
  </x:si>
  <x:si>
    <x:t xml:space="preserve">672</x:t>
  </x:si>
  <x:si>
    <x:t xml:space="preserve">673</x:t>
  </x:si>
  <x:si>
    <x:t xml:space="preserve">674</x:t>
  </x:si>
  <x:si>
    <x:t xml:space="preserve">675</x:t>
  </x:si>
  <x:si>
    <x:t xml:space="preserve">676</x:t>
  </x:si>
  <x:si>
    <x:t xml:space="preserve">677</x:t>
  </x:si>
  <x:si>
    <x:t xml:space="preserve">678</x:t>
  </x:si>
  <x:si>
    <x:t xml:space="preserve">679</x:t>
  </x:si>
  <x:si>
    <x:t xml:space="preserve">680</x:t>
  </x:si>
  <x:si>
    <x:t xml:space="preserve">681</x:t>
  </x:si>
  <x:si>
    <x:t xml:space="preserve">682</x:t>
  </x:si>
  <x:si>
    <x:t xml:space="preserve">683</x:t>
  </x:si>
  <x:si>
    <x:t xml:space="preserve">684</x:t>
  </x:si>
  <x:si>
    <x:t xml:space="preserve">685</x:t>
  </x:si>
  <x:si>
    <x:t xml:space="preserve">686</x:t>
  </x:si>
  <x:si>
    <x:t xml:space="preserve">687</x:t>
  </x:si>
  <x:si>
    <x:t xml:space="preserve">688</x:t>
  </x:si>
  <x:si>
    <x:t xml:space="preserve">689</x:t>
  </x:si>
  <x:si>
    <x:t xml:space="preserve">690</x:t>
  </x:si>
  <x:si>
    <x:t xml:space="preserve">691</x:t>
  </x:si>
  <x:si>
    <x:t xml:space="preserve">692</x:t>
  </x:si>
  <x:si>
    <x:t xml:space="preserve">693</x:t>
  </x:si>
  <x:si>
    <x:t xml:space="preserve">694</x:t>
  </x:si>
  <x:si>
    <x:t xml:space="preserve">695</x:t>
  </x:si>
  <x:si>
    <x:t xml:space="preserve">696</x:t>
  </x:si>
  <x:si>
    <x:t xml:space="preserve">697</x:t>
  </x:si>
  <x:si>
    <x:t xml:space="preserve">698</x:t>
  </x:si>
  <x:si>
    <x:t xml:space="preserve">699</x:t>
  </x:si>
  <x:si>
    <x:t xml:space="preserve">700</x:t>
  </x:si>
  <x:si>
    <x:t xml:space="preserve">701</x:t>
  </x:si>
  <x:si>
    <x:t xml:space="preserve">702</x:t>
  </x:si>
  <x:si>
    <x:t xml:space="preserve">703</x:t>
  </x:si>
  <x:si>
    <x:t xml:space="preserve">704</x:t>
  </x:si>
  <x:si>
    <x:t xml:space="preserve">705</x:t>
  </x:si>
  <x:si>
    <x:t xml:space="preserve">706</x:t>
  </x:si>
  <x:si>
    <x:t xml:space="preserve">707</x:t>
  </x:si>
  <x:si>
    <x:t xml:space="preserve">708</x:t>
  </x:si>
  <x:si>
    <x:t xml:space="preserve">709</x:t>
  </x:si>
  <x:si>
    <x:t xml:space="preserve">710</x:t>
  </x:si>
  <x:si>
    <x:t xml:space="preserve">711</x:t>
  </x:si>
  <x:si>
    <x:t xml:space="preserve">712</x:t>
  </x:si>
  <x:si>
    <x:t xml:space="preserve">713</x:t>
  </x:si>
  <x:si>
    <x:t xml:space="preserve">714</x:t>
  </x:si>
  <x:si>
    <x:t xml:space="preserve">715</x:t>
  </x:si>
  <x:si>
    <x:t xml:space="preserve">716</x:t>
  </x:si>
  <x:si>
    <x:t xml:space="preserve">717</x:t>
  </x:si>
  <x:si>
    <x:t xml:space="preserve">718</x:t>
  </x:si>
  <x:si>
    <x:t xml:space="preserve">719</x:t>
  </x:si>
  <x:si>
    <x:t xml:space="preserve">720</x:t>
  </x:si>
  <x:si>
    <x:t xml:space="preserve">721</x:t>
  </x:si>
  <x:si>
    <x:t xml:space="preserve">722</x:t>
  </x:si>
  <x:si>
    <x:t xml:space="preserve">723</x:t>
  </x:si>
  <x:si>
    <x:t xml:space="preserve">724</x:t>
  </x:si>
  <x:si>
    <x:t xml:space="preserve">725</x:t>
  </x:si>
  <x:si>
    <x:t xml:space="preserve">726</x:t>
  </x:si>
  <x:si>
    <x:t xml:space="preserve">727</x:t>
  </x:si>
  <x:si>
    <x:t xml:space="preserve">728</x:t>
  </x:si>
  <x:si>
    <x:t xml:space="preserve">729</x:t>
  </x:si>
  <x:si>
    <x:t xml:space="preserve">730</x:t>
  </x:si>
  <x:si>
    <x:t xml:space="preserve">731</x:t>
  </x:si>
  <x:si>
    <x:t xml:space="preserve">732</x:t>
  </x:si>
  <x:si>
    <x:t xml:space="preserve">733</x:t>
  </x:si>
  <x:si>
    <x:t xml:space="preserve">734</x:t>
  </x:si>
  <x:si>
    <x:t xml:space="preserve">735</x:t>
  </x:si>
  <x:si>
    <x:t xml:space="preserve">736</x:t>
  </x:si>
  <x:si>
    <x:t xml:space="preserve">737</x:t>
  </x:si>
  <x:si>
    <x:t xml:space="preserve">738</x:t>
  </x:si>
  <x:si>
    <x:t xml:space="preserve">739</x:t>
  </x:si>
  <x:si>
    <x:t xml:space="preserve">740</x:t>
  </x:si>
  <x:si>
    <x:t xml:space="preserve">741</x:t>
  </x:si>
  <x:si>
    <x:t xml:space="preserve">742</x:t>
  </x:si>
  <x:si>
    <x:t xml:space="preserve">743</x:t>
  </x:si>
  <x:si>
    <x:t xml:space="preserve">744</x:t>
  </x:si>
  <x:si>
    <x:t xml:space="preserve">745</x:t>
  </x:si>
  <x:si>
    <x:t xml:space="preserve">746</x:t>
  </x:si>
  <x:si>
    <x:t xml:space="preserve">747</x:t>
  </x:si>
  <x:si>
    <x:t xml:space="preserve">748</x:t>
  </x:si>
  <x:si>
    <x:t xml:space="preserve">749</x:t>
  </x:si>
  <x:si>
    <x:t xml:space="preserve">750</x:t>
  </x:si>
  <x:si>
    <x:t xml:space="preserve">751</x:t>
  </x:si>
  <x:si>
    <x:t xml:space="preserve">752</x:t>
  </x:si>
  <x:si>
    <x:t xml:space="preserve">753</x:t>
  </x:si>
  <x:si>
    <x:t xml:space="preserve">754</x:t>
  </x:si>
  <x:si>
    <x:t xml:space="preserve">755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</x:si>
  <x:si>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</x:si>
  <x:si>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</x:si>
  <x:si>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</x:si>
  <x:si>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</x:si>
  <x:si>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760</x:t>
  </x:si>
  <x:si>
    <x:t xml:space="preserve">761</x:t>
  </x:si>
  <x:si>
    <x:t xml:space="preserve">762</x:t>
  </x:si>
  <x:si>
    <x:t xml:space="preserve">763</x:t>
  </x:si>
  <x:si>
    <x:t xml:space="preserve">764</x:t>
  </x:si>
  <x:si>
    <x:t xml:space="preserve">765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</x:si>
  <x:si>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</x:si>
  <x:si>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</x:si>
  <x:si>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</x:si>
  <x:si>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</x:si>
  <x:si>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770</x:t>
  </x:si>
  <x:si>
    <x:t xml:space="preserve">771</x:t>
  </x:si>
  <x:si>
    <x:t xml:space="preserve">772</x:t>
  </x:si>
  <x:si>
    <x:t xml:space="preserve">773</x:t>
  </x:si>
  <x:si>
    <x:t xml:space="preserve">774</x:t>
  </x:si>
  <x:si>
    <x:t xml:space="preserve">775</x:t>
  </x:si>
  <x:si>
    <x:t xml:space="preserve">776</x:t>
  </x:si>
  <x:si>
    <x:t xml:space="preserve">777</x:t>
  </x:si>
  <x:si>
    <x:t xml:space="preserve">778</x:t>
  </x:si>
  <x:si>
    <x:t xml:space="preserve">779</x:t>
  </x:si>
  <x:si>
    <x:t xml:space="preserve">780</x:t>
  </x:si>
  <x:si>
    <x:t xml:space="preserve">781</x:t>
  </x:si>
  <x:si>
    <x:t xml:space="preserve">782</x:t>
  </x:si>
  <x:si>
    <x:t xml:space="preserve">783</x:t>
  </x:si>
  <x:si>
    <x:t xml:space="preserve">784</x:t>
  </x:si>
  <x:si>
    <x:t xml:space="preserve">785</x:t>
  </x:si>
  <x:si>
    <x:t xml:space="preserve">786</x:t>
  </x:si>
  <x:si>
    <x:t xml:space="preserve">787</x:t>
  </x:si>
  <x:si>
    <x:t xml:space="preserve">788</x:t>
  </x:si>
  <x:si>
    <x:t xml:space="preserve">789</x:t>
  </x:si>
  <x:si>
    <x:t xml:space="preserve">790</x:t>
  </x:si>
  <x:si>
    <x:t xml:space="preserve">791</x:t>
  </x:si>
  <x:si>
    <x:t xml:space="preserve">792</x:t>
  </x:si>
  <x:si>
    <x:t xml:space="preserve">793</x:t>
  </x:si>
  <x:si>
    <x:t xml:space="preserve">794</x:t>
  </x:si>
  <x:si>
    <x:t xml:space="preserve">795</x:t>
  </x:si>
  <x:si>
    <x:t xml:space="preserve">796</x:t>
  </x:si>
  <x:si>
    <x:t xml:space="preserve">797</x:t>
  </x:si>
  <x:si>
    <x:t xml:space="preserve">798</x:t>
  </x:si>
  <x:si>
    <x:t xml:space="preserve">799</x:t>
  </x:si>
  <x:si>
    <x:t xml:space="preserve">800</x:t>
  </x:si>
  <x:si>
    <x:t xml:space="preserve">801</x:t>
  </x:si>
  <x:si>
    <x:t xml:space="preserve">802</x:t>
  </x:si>
  <x:si>
    <x:t xml:space="preserve">803</x:t>
  </x:si>
  <x:si>
    <x:t xml:space="preserve">804</x:t>
  </x:si>
  <x:si>
    <x:t xml:space="preserve">805</x:t>
  </x:si>
  <x:si>
    <x:t xml:space="preserve">806</x:t>
  </x:si>
  <x:si>
    <x:t xml:space="preserve">807</x:t>
  </x:si>
  <x:si>
    <x:t xml:space="preserve">808</x:t>
  </x:si>
  <x:si>
    <x:t xml:space="preserve">809</x:t>
  </x:si>
  <x:si>
    <x:t xml:space="preserve">810</x:t>
  </x:si>
  <x:si>
    <x:t xml:space="preserve">811</x:t>
  </x:si>
  <x:si>
    <x:t xml:space="preserve">812</x:t>
  </x:si>
  <x:si>
    <x:t xml:space="preserve">813</x:t>
  </x:si>
  <x:si>
    <x:t xml:space="preserve">814</x:t>
  </x:si>
  <x:si>
    <x:t xml:space="preserve">815</x:t>
  </x:si>
  <x:si>
    <x:t xml:space="preserve">816</x:t>
  </x:si>
  <x:si>
    <x:t xml:space="preserve">817</x:t>
  </x:si>
  <x:si>
    <x:t xml:space="preserve">818</x:t>
  </x:si>
  <x:si>
    <x:t xml:space="preserve">819</x:t>
  </x:si>
  <x:si>
    <x:t xml:space="preserve">820</x:t>
  </x:si>
  <x:si>
    <x:t xml:space="preserve">821</x:t>
  </x:si>
  <x:si>
    <x:t xml:space="preserve">822</x:t>
  </x:si>
  <x:si>
    <x:t xml:space="preserve">823</x:t>
  </x:si>
  <x:si>
    <x:t xml:space="preserve">824</x:t>
  </x:si>
  <x:si>
    <x:t xml:space="preserve">825</x:t>
  </x:si>
  <x:si>
    <x:t xml:space="preserve">826</x:t>
  </x:si>
  <x:si>
    <x:t xml:space="preserve">827</x:t>
  </x:si>
  <x:si>
    <x:t xml:space="preserve">828</x:t>
  </x:si>
  <x:si>
    <x:t xml:space="preserve">829</x:t>
  </x:si>
  <x:si>
    <x:t xml:space="preserve">830</x:t>
  </x:si>
  <x:si>
    <x:t xml:space="preserve">831</x:t>
  </x:si>
  <x:si>
    <x:t xml:space="preserve">832</x:t>
  </x:si>
  <x:si>
    <x:t xml:space="preserve">833</x:t>
  </x:si>
  <x:si>
    <x:t xml:space="preserve">834</x:t>
  </x:si>
  <x:si>
    <x:t xml:space="preserve">835</x:t>
  </x:si>
  <x:si>
    <x:t xml:space="preserve">836</x:t>
  </x:si>
  <x:si>
    <x:t xml:space="preserve">837</x:t>
  </x:si>
  <x:si>
    <x:t xml:space="preserve">838</x:t>
  </x:si>
  <x:si>
    <x:t xml:space="preserve">839</x:t>
  </x:si>
  <x:si>
    <x:t xml:space="preserve">840</x:t>
  </x:si>
  <x:si>
    <x:t xml:space="preserve">841</x:t>
  </x:si>
  <x:si>
    <x:t xml:space="preserve">842</x:t>
  </x:si>
  <x:si>
    <x:t xml:space="preserve">843</x:t>
  </x:si>
  <x:si>
    <x:t xml:space="preserve">844</x:t>
  </x:si>
  <x:si>
    <x:t xml:space="preserve">845</x:t>
  </x:si>
  <x:si>
    <x:t xml:space="preserve">846</x:t>
  </x:si>
  <x:si>
    <x:t xml:space="preserve">847</x:t>
  </x:si>
  <x:si>
    <x:t xml:space="preserve">848</x:t>
  </x:si>
  <x:si>
    <x:t xml:space="preserve">849</x:t>
  </x:si>
  <x:si>
    <x:t xml:space="preserve">850</x:t>
  </x:si>
  <x:si>
    <x:t xml:space="preserve">851</x:t>
  </x:si>
  <x:si>
    <x:t xml:space="preserve">852</x:t>
  </x:si>
  <x:si>
    <x:t xml:space="preserve">853</x:t>
  </x:si>
  <x:si>
    <x:t xml:space="preserve">854</x:t>
  </x:si>
  <x:si>
    <x:t xml:space="preserve">855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</x:si>
  <x:si>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</x:si>
  <x:si>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</x:si>
  <x:si>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</x:si>
  <x:si>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</x:si>
  <x:si>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860</x:t>
  </x:si>
  <x:si>
    <x:t xml:space="preserve">861</x:t>
  </x:si>
  <x:si>
    <x:t xml:space="preserve">862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</x:si>
  <x:si>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</x:si>
  <x:si>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</x:si>
  <x:si>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</x:si>
  <x:si>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</x:si>
  <x:si>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</x:si>
  <x:si>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</x:si>
  <x:si>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869</x:t>
  </x:si>
  <x:si>
    <x:t xml:space="preserve">870</x:t>
  </x:si>
  <x:si>
    <x:t xml:space="preserve">871</x:t>
  </x:si>
  <x:si>
    <x:t xml:space="preserve">872</x:t>
  </x:si>
  <x:si>
    <x:t xml:space="preserve">873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</x:si>
  <x:si>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</x:si>
  <x:si>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</x:si>
  <x:si>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</x:si>
  <x:si>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</x:si>
  <x:si>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</x:si>
  <x:si>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</x:si>
  <x:si>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</x:si>
  <x:si>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</x:si>
  <x:si>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</x:si>
  <x:si>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</x:si>
  <x:si>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</x:si>
  <x:si>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</x:si>
  <x:si>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</x:si>
  <x:si>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</x:si>
  <x:si>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</x:si>
  <x:si>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889</x:t>
  </x:si>
  <x:si>
    <x:t xml:space="preserve">890</x:t>
  </x:si>
  <x:si>
    <x:t xml:space="preserve">891</x:t>
  </x:si>
  <x:si>
    <x:t xml:space="preserve">892</x:t>
  </x:si>
  <x:si>
    <x:t xml:space="preserve">893</x:t>
  </x:si>
  <x:si>
    <x:t xml:space="preserve">894</x:t>
  </x:si>
  <x:si>
    <x:t xml:space="preserve">895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</x:si>
  <x:si>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</x:si>
  <x:si>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</x:si>
  <x:si>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</x:si>
  <x:si>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</x:si>
  <x:si>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900</x:t>
  </x:si>
  <x:si>
    <x:t xml:space="preserve">901</x:t>
  </x:si>
  <x:si>
    <x:t xml:space="preserve">902</x:t>
  </x:si>
  <x:si>
    <x:t xml:space="preserve">903</x:t>
  </x:si>
  <x:si>
    <x:t xml:space="preserve">904</x:t>
  </x:si>
  <x:si>
    <x:t xml:space="preserve">905</x:t>
  </x:si>
  <x:si>
    <x:t xml:space="preserve">906</x:t>
  </x:si>
  <x:si>
    <x:t xml:space="preserve">907</x:t>
  </x:si>
  <x:si>
    <x:t xml:space="preserve">908</x:t>
  </x:si>
  <x:si>
    <x:t xml:space="preserve">909</x:t>
  </x:si>
  <x:si>
    <x:t xml:space="preserve">910</x:t>
  </x:si>
  <x:si>
    <x:t xml:space="preserve">911</x:t>
  </x:si>
  <x:si>
    <x:t xml:space="preserve">912</x:t>
  </x:si>
  <x:si>
    <x:t xml:space="preserve">913</x:t>
  </x:si>
  <x:si>
    <x:t xml:space="preserve">914</x:t>
  </x:si>
  <x:si>
    <x:t xml:space="preserve">915</x:t>
  </x:si>
  <x:si>
    <x:t xml:space="preserve">916</x:t>
  </x:si>
  <x:si>
    <x:t xml:space="preserve">917</x:t>
  </x:si>
  <x:si>
    <x:t xml:space="preserve">918</x:t>
  </x:si>
  <x:si>
    <x:t xml:space="preserve">919</x:t>
  </x:si>
  <x:si>
    <x:t xml:space="preserve">920</x:t>
  </x:si>
  <x:si>
    <x:t xml:space="preserve">921</x:t>
  </x:si>
  <x:si>
    <x:t xml:space="preserve">922</x:t>
  </x:si>
  <x:si>
    <x:t xml:space="preserve">923</x:t>
  </x:si>
  <x:si>
    <x:t xml:space="preserve">924</x:t>
  </x:si>
  <x:si>
    <x:t xml:space="preserve">925</x:t>
  </x:si>
  <x:si>
    <x:t xml:space="preserve">926</x:t>
  </x:si>
  <x:si>
    <x:t xml:space="preserve">927</x:t>
  </x:si>
  <x:si>
    <x:t xml:space="preserve">928</x:t>
  </x:si>
  <x:si>
    <x:t xml:space="preserve">929</x:t>
  </x:si>
  <x:si>
    <x:t xml:space="preserve">930</x:t>
  </x:si>
  <x:si>
    <x:t xml:space="preserve">931</x:t>
  </x:si>
  <x:si>
    <x:t xml:space="preserve">932</x:t>
  </x:si>
  <x:si>
    <x:t xml:space="preserve">933</x:t>
  </x:si>
  <x:si>
    <x:t xml:space="preserve">934</x:t>
  </x:si>
  <x:si>
    <x:t xml:space="preserve">935</x:t>
  </x:si>
  <x:si>
    <x:t xml:space="preserve">936</x:t>
  </x:si>
  <x:si>
    <x:t xml:space="preserve">937</x:t>
  </x:si>
  <x:si>
    <x:t xml:space="preserve">938</x:t>
  </x:si>
  <x:si>
    <x:t xml:space="preserve">939</x:t>
  </x:si>
  <x:si>
    <x:t xml:space="preserve">940</x:t>
  </x:si>
  <x:si>
    <x:t xml:space="preserve">941</x:t>
  </x:si>
  <x:si>
    <x:t xml:space="preserve">942</x:t>
  </x:si>
  <x:si>
    <x:t xml:space="preserve">943</x:t>
  </x:si>
  <x:si>
    <x:t xml:space="preserve">944</x:t>
  </x:si>
  <x:si>
    <x:t xml:space="preserve">945</x:t>
  </x:si>
  <x:si>
    <x:t xml:space="preserve">946</x:t>
  </x:si>
  <x:si>
    <x:t xml:space="preserve">947</x:t>
  </x:si>
  <x:si>
    <x:t xml:space="preserve">948</x:t>
  </x:si>
  <x:si>
    <x:t xml:space="preserve">949</x:t>
  </x:si>
  <x:si>
    <x:t xml:space="preserve">950</x:t>
  </x:si>
  <x:si>
    <x:t xml:space="preserve">951</x:t>
  </x:si>
  <x:si>
    <x:t xml:space="preserve">952</x:t>
  </x:si>
  <x:si>
    <x:t xml:space="preserve">953</x:t>
  </x:si>
  <x:si>
    <x:t xml:space="preserve">954</x:t>
  </x:si>
  <x:si>
    <x:t xml:space="preserve">955</x:t>
  </x:si>
  <x:si>
    <x:t xml:space="preserve">956</x:t>
  </x:si>
  <x:si>
    <x:t xml:space="preserve">957</x:t>
  </x:si>
  <x:si>
    <x:t xml:space="preserve">958</x:t>
  </x:si>
  <x:si>
    <x:t xml:space="preserve">959</x:t>
  </x:si>
  <x:si>
    <x:t xml:space="preserve">960</x:t>
  </x:si>
  <x:si>
    <x:t xml:space="preserve">961</x:t>
  </x:si>
  <x:si>
    <x:t xml:space="preserve">962</x:t>
  </x:si>
  <x:si>
    <x:t xml:space="preserve">963</x:t>
  </x:si>
  <x:si>
    <x:t xml:space="preserve">964</x:t>
  </x:si>
  <x:si>
    <x:t xml:space="preserve">965</x:t>
  </x:si>
  <x:si>
    <x:t xml:space="preserve">966</x:t>
  </x:si>
  <x:si>
    <x:t xml:space="preserve">967</x:t>
  </x:si>
  <x:si>
    <x:t xml:space="preserve">968</x:t>
  </x:si>
  <x:si>
    <x:t xml:space="preserve">969</x:t>
  </x:si>
  <x:si>
    <x:t xml:space="preserve">970</x:t>
  </x:si>
  <x:si>
    <x:t xml:space="preserve">971</x:t>
  </x:si>
  <x:si>
    <x:t xml:space="preserve">972</x:t>
  </x:si>
  <x:si>
    <x:t xml:space="preserve">973</x:t>
  </x:si>
  <x:si>
    <x:t xml:space="preserve">974</x:t>
  </x:si>
  <x:si>
    <x:t xml:space="preserve">975</x:t>
  </x:si>
  <x:si>
    <x:t xml:space="preserve">976</x:t>
  </x:si>
  <x:si>
    <x:t xml:space="preserve">977</x:t>
  </x:si>
  <x:si>
    <x:t xml:space="preserve">978</x:t>
  </x:si>
  <x:si>
    <x:t xml:space="preserve">979</x:t>
  </x:si>
  <x:si>
    <x:t xml:space="preserve">980</x:t>
  </x:si>
  <x:si>
    <x:t xml:space="preserve">981</x:t>
  </x:si>
  <x:si>
    <x:t xml:space="preserve">982</x:t>
  </x:si>
  <x:si>
    <x:t xml:space="preserve">983</x:t>
  </x:si>
  <x:si>
    <x:t xml:space="preserve">984</x:t>
  </x:si>
  <x:si>
    <x:t xml:space="preserve">985</x:t>
  </x:si>
  <x:si>
    <x:t xml:space="preserve">986</x:t>
  </x:si>
  <x:si>
    <x:t xml:space="preserve">987</x:t>
  </x:si>
  <x:si>
    <x:t xml:space="preserve">988</x:t>
  </x:si>
  <x:si>
    <x:t xml:space="preserve">989</x:t>
  </x:si>
  <x:si>
    <x:t xml:space="preserve">990</x:t>
  </x:si>
  <x:si>
    <x:t xml:space="preserve">991</x:t>
  </x:si>
  <x:si>
    <x:t xml:space="preserve">992</x:t>
  </x:si>
  <x:si>
    <x:t xml:space="preserve">993</x:t>
  </x:si>
  <x:si>
    <x:t xml:space="preserve">994</x:t>
  </x:si>
  <x:si>
    <x:t xml:space="preserve">995</x:t>
  </x:si>
  <x:si>
    <x:t xml:space="preserve">996</x:t>
  </x:si>
  <x:si>
    <x:t xml:space="preserve">997</x:t>
  </x:si>
  <x:si>
    <x:t xml:space="preserve">998</x:t>
  </x:si>
  <x:si>
    <x:t xml:space="preserve">999</x:t>
  </x:si>
  <x:si>
    <x:t xml:space="preserve">1000</x:t>
  </x:si>
  <x:si>
    <x:t xml:space="preserve">FECHA</x:t>
  </x:si>
  <x:si>
    <x:t xml:space="preserve">ENTRADA</x:t>
  </x:si>
  <x:si>
    <x:t xml:space="preserve">SALIDA</x:t>
  </x:si>
  <x:si>
    <x:t xml:space="preserve">OBSERVACION</x:t>
  </x:si>
  <x:si>
    <x:t xml:space="preserve">Indicador</x:t>
  </x:si>
  <x:si>
    <x:t xml:space="preserve">Valor</x:t>
  </x:si>
  <x:si>
    <x:t xml:space="preserve">Total Productos</x:t>
  </x:si>
  <x:si>
    <x:t xml:space="preserve">Bethel</x:t>
  </x:si>
  <x:si>
    <x:t xml:space="preserve">K2</x:t>
  </x:si>
  <x:si>
    <x:t xml:space="preserve">Genérica</x:t>
  </x:si>
  <x:si>
    <x:t xml:space="preserve">500 ml</x:t>
  </x:si>
  <x:si>
    <x:t xml:space="preserve">2 L</x:t>
  </x:si>
  <x:si>
    <x:t xml:space="preserve">10 L</x:t>
  </x:si>
  <x:si>
    <x:t xml:space="preserve">20 L</x:t>
  </x:si>
  <x:si>
    <x:t xml:space="preserve">25 kg</x:t>
  </x:si>
  <x:si>
    <x:t xml:space="preserve">Control de fotos del catálogo</x:t>
  </x:si>
  <x:si>
    <x:t xml:space="preserve">Cómo usarla: revisá cada imagen y completá DECISIÓN con MANTENER o REEMPLAZAR. Para las urgentes, reemplazá la imagen antes de publicar la campaña.</x:t>
  </x:si>
  <x:si>
    <x:t xml:space="preserve">CÓDIGO</x:t>
  </x:si>
  <x:si>
    <x:t xml:space="preserve">ARCHIVO ACTUAL</x:t>
  </x:si>
  <x:si>
    <x:t xml:space="preserve">PRIORIDAD</x:t>
  </x:si>
  <x:si>
    <x:t xml:space="preserve">HALLAZGO</x:t>
  </x:si>
  <x:si>
    <x:t xml:space="preserve">FOTO RECOMENDADA</x:t>
  </x:si>
  <x:si>
    <x:t xml:space="preserve">DECISIÓN</x:t>
  </x:si>
  <x:si>
    <x:t xml:space="preserve">NOTAS</x:t>
  </x:si>
  <x:si>
    <x:t xml:space="preserve">PENDIENTE</x:t>
  </x:si>
  <x:si>
    <x:t xml:space="preserve">Revisar manualmente: producto correcto, imagen nítida, fondo limpio y sin marcas ajenas.</x:t>
  </x:si>
  <x:si>
    <x:t xml:space="preserve">Si se reemplaza: foto real del producto, fondo blanco o neutro, buena luz y encuadre cuadrado.</x:t>
  </x:si>
  <x:si>
    <x:t xml:space="preserve">URGENTE</x:t>
  </x:si>
  <x:si>
    <x:t xml:space="preserve">Arte de promoción con identidad y datos que deben actualizarse.</x:t>
  </x:si>
  <x:si>
    <x:t xml:space="preserve">Nuevo arte de promo con identidad actual, fotos reales y precio vigente.</x:t>
  </x:si>
  <x:si>
    <x:t xml:space="preserve">La imagen muestra la marca anterior Química Bethel.</x:t>
  </x:si>
  <x:si>
    <x:t xml:space="preserve">Foto real del pack sin marca anterior, sobre fondo limpio.</x:t>
  </x:si>
  <x:si>
    <x:t xml:space="preserve">Supuestos para el precio de venta</x:t>
  </x:si>
  <x:si>
    <x:t xml:space="preserve">Margen bruto objetivo</x:t>
  </x:si>
  <x:si>
    <x:t xml:space="preserve">%</x:t>
  </x:si>
  <x:si>
    <x:t xml:space="preserve">Precio calculado para dejar 40% de margen luego de costos y comisión.</x:t>
  </x:si>
  <x:si>
    <x:t xml:space="preserve">Supuesto</x:t>
  </x:si>
  <x:si>
    <x:t xml:space="preserve">Unidad</x:t>
  </x:si>
  <x:si>
    <x:t xml:space="preserve">Nota</x:t>
  </x:si>
  <x:si>
    <x:t xml:space="preserve">Productos promedio por pedido</x:t>
  </x:si>
  <x:si>
    <x:t xml:space="preserve">productos</x:t>
  </x:si>
  <x:si>
    <x:t xml:space="preserve">Punto medio de 2 a 6 productos.</x:t>
  </x:si>
  <x:si>
    <x:t xml:space="preserve">Viático de abastecimiento por pedido</x:t>
  </x:si>
  <x:si>
    <x:t xml:space="preserve">$ / pedido</x:t>
  </x:si>
  <x:si>
    <x:t xml:space="preserve">Costo de ir a comprar y llevar los productos.</x:t>
  </x:si>
  <x:si>
    <x:t xml:space="preserve">Costo real de entrega por pedido</x:t>
  </x:si>
  <x:si>
    <x:t xml:space="preserve">Costo del reparto al cliente.</x:t>
  </x:si>
  <x:si>
    <x:t xml:space="preserve">Envío cobrado de referencia</x:t>
  </x:si>
  <x:si>
    <x:t xml:space="preserve">Tramo recomendado para compras de $15.000 a $19.999.</x:t>
  </x:si>
  <x:si>
    <x:t xml:space="preserve">Comisión de cobro QR Mercado Pago</x:t>
  </x:si>
  <x:si>
    <x:t xml:space="preserve">0,8% + IVA. Efectivo o transferencia directa: 0%.</x:t>
  </x:si>
  <x:si>
    <x:t xml:space="preserve">Empaque promedio por producto</x:t>
  </x:si>
  <x:si>
    <x:t xml:space="preserve">$ / producto</x:t>
  </x:si>
  <x:si>
    <x:t xml:space="preserve">Editable: completalo cuando tengas ese costo.</x:t>
  </x:si>
  <x:si>
    <x:t xml:space="preserve">Fórmula aplicada a PRECIO VENTA AJUSTADO</x:t>
  </x:si>
  <x:si>
    <x:t xml:space="preserve">(Costo del producto + Empaque por producto + Viático prorrateado + Subsidio de envío prorrateado) / (1 - Comisión de cobro - Margen bruto objetivo).
La comisión está calculada como porcentaje del precio final. Los importes amarillos son editables; las fórmulas del catálogo se actualizan al abrir Excel.</x:t>
  </x:si>
  <x:si>
    <x:t xml:space="preserve">Tarifas de envío a domicilio — referencia operativa</x:t>
  </x:si>
  <x:si>
    <x:t xml:space="preserve">Compra de productos</x:t>
  </x:si>
  <x:si>
    <x:t xml:space="preserve">Envío a cobrar</x:t>
  </x:si>
  <x:si>
    <x:t xml:space="preserve">Costo real de entrega</x:t>
  </x:si>
  <x:si>
    <x:t xml:space="preserve">Subsidio absorbido</x:t>
  </x:si>
  <x:si>
    <x:t xml:space="preserve">Mensaje comercial</x:t>
  </x:si>
  <x:si>
    <x:t xml:space="preserve">$10.000 a $14.999</x:t>
  </x:si>
  <x:si>
    <x:t xml:space="preserve">Envío a domicilio $2.990</x:t>
  </x:si>
  <x:si>
    <x:t xml:space="preserve">$15.000 a $19.999</x:t>
  </x:si>
  <x:si>
    <x:t xml:space="preserve">Envío a domicilio $2.490</x:t>
  </x:si>
  <x:si>
    <x:t xml:space="preserve">Desde $20.000</x:t>
  </x:si>
  <x:si>
    <x:t xml:space="preserve">Envío desde $1.990</x:t>
  </x:si>
  <x:si>
    <x:t xml:space="preserve">Política: se cobra un envío proporcional para atraer pedidos; el negocio absorbe la diferencia entre la tarifa y el costo real. La fórmula de precios usa el subsidio del tramo medio ($2.490 de envío).</x:t>
  </x:si>
  <x:si>
    <x:t xml:space="preserve">Control de cálculo de precios</x:t>
  </x:si>
  <x:si>
    <x:t xml:space="preserve">Control</x:t>
  </x:si>
  <x:si>
    <x:t xml:space="preserve">Resultado</x:t>
  </x:si>
  <x:si>
    <x:t xml:space="preserve">Productos con costo y precio ajustado</x:t>
  </x:si>
  <x:si>
    <x:t xml:space="preserve">Filas con productos cargados</x:t>
  </x:si>
  <x:si>
    <x:t xml:space="preserve">Margen bruto promedio estimado</x:t>
  </x:si>
  <x:si>
    <x:t xml:space="preserve">Estado</x:t>
  </x:si>
</x:sst>
</file>

<file path=xl/styles.xml><?xml version="1.0" encoding="utf-8"?>
<x:styleSheet xmlns:x="http://schemas.openxmlformats.org/spreadsheetml/2006/main">
  <x:numFmts count="3">
    <x:numFmt numFmtId="164" formatCode="\$#,##0;[Red]\(\$#,##0\);\-"/>
    <x:numFmt numFmtId="165" formatCode="0.0%;[Red]\(0.0%\);\-"/>
    <x:numFmt numFmtId="166" formatCode="0.0%"/>
  </x:numFmts>
  <x:fonts count="9">
    <x:font>
      <x:sz val="11"/>
      <x:color theme="1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b/>
      <x:sz val="11"/>
      <x:color rgb="FF1B5E20"/>
      <x:name val="Calibri"/>
    </x:font>
    <x:font>
      <x:b/>
      <x:sz val="11"/>
      <x:color rgb="FF0000FF"/>
      <x:name val="Calibri"/>
    </x:font>
    <x:font>
      <x:b/>
      <x:sz val="11"/>
      <x:color rgb="FF0F172A"/>
      <x:name val="Calibri"/>
    </x:font>
    <x:font>
      <x:b/>
      <x:sz val="11"/>
      <x:color theme="1"/>
      <x:name val="Calibri"/>
    </x:font>
    <x:font>
      <x:b/>
      <x:sz val="15"/>
      <x:color rgb="FFFFFFFF"/>
      <x:name val="Calibri"/>
    </x:font>
    <x:font>
      <x:i/>
      <x:sz val="11"/>
      <x:color rgb="FF7A4E00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4C5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0F4C5C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6">
    <x:border/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D9E2F3"/>
      </x:right>
      <x:top style="thin">
        <x:color rgb="FFB4C7E7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4C7E7"/>
      </x:top>
      <x:bottom style="thin">
        <x:color rgb="FFD9E2F3"/>
      </x:bottom>
    </x:border>
    <x:border>
      <x:left style="thin">
        <x:color rgb="FFD9E2F3"/>
      </x:left>
      <x:right style="thin">
        <x:color rgb="FFB4C7E7"/>
      </x:right>
      <x:top style="thin">
        <x:color rgb="FFB4C7E7"/>
      </x:top>
      <x:bottom style="thin">
        <x:color rgb="FFD9E2F3"/>
      </x:bottom>
    </x:border>
    <x:border>
      <x:left style="thin">
        <x:color rgb="FFB4C7E7"/>
      </x:left>
    </x:border>
    <x:border>
      <x:left style="thin">
        <x:color rgb="FFD9E2F3"/>
      </x:left>
      <x:right style="thin">
        <x:color rgb="FFB4C7E7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D9E2F3"/>
      </x:right>
      <x:top style="thin">
        <x:color rgb="FFD9E2F3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4C7E7"/>
      </x:bottom>
    </x:border>
    <x:border>
      <x:left style="thin">
        <x:color rgb="FFD9E2F3"/>
      </x:left>
      <x:right style="thin">
        <x:color rgb="FFB4C7E7"/>
      </x:right>
      <x:top style="thin">
        <x:color rgb="FFD9E2F3"/>
      </x:top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0" xfId="0" applyAlignment="1">
      <x:alignment wrapText="1"/>
    </x:xf>
    <x:xf numFmtId="164" fontId="0" fillId="0" borderId="1" xfId="0" applyNumberFormat="1" applyBorder="1"/>
    <x:xf numFmtId="164" fontId="0" fillId="0" borderId="2" xfId="0" applyNumberFormat="1" applyBorder="1"/>
    <x:xf numFmtId="165" fontId="0" fillId="0" borderId="2" xfId="0" applyNumberFormat="1" applyBorder="1"/>
    <x:xf numFmtId="0" fontId="1" fillId="2" borderId="3" xfId="0" applyFont="1" applyFill="1" applyBorder="1"/>
    <x:xf numFmtId="0" fontId="1" fillId="2" borderId="4" xfId="0" applyFont="1" applyFill="1" applyBorder="1"/>
    <x:xf numFmtId="0" fontId="1" fillId="3" borderId="5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1" fillId="3" borderId="7" xfId="0" applyFont="1" applyFill="1" applyBorder="1" applyAlignment="1">
      <x:alignment horizontal="center" vertical="center" wrapText="1"/>
    </x:xf>
    <x:xf numFmtId="0" fontId="0" fillId="0" borderId="8" xfId="0" applyBorder="1"/>
    <x:xf numFmtId="165" fontId="0" fillId="0" borderId="9" xfId="0" applyNumberFormat="1" applyBorder="1"/>
    <x:xf numFmtId="0" fontId="0" fillId="0" borderId="10" xfId="0" applyBorder="1"/>
    <x:xf numFmtId="0" fontId="0" fillId="0" borderId="11" xfId="0" applyBorder="1"/>
    <x:xf numFmtId="164" fontId="0" fillId="0" borderId="12" xfId="0" applyNumberFormat="1" applyBorder="1"/>
    <x:xf numFmtId="164" fontId="0" fillId="0" borderId="13" xfId="0" applyNumberFormat="1" applyBorder="1"/>
    <x:xf numFmtId="165" fontId="0" fillId="0" borderId="13" xfId="0" applyNumberFormat="1" applyBorder="1"/>
    <x:xf numFmtId="165" fontId="0" fillId="0" borderId="14" xfId="0" applyNumberFormat="1" applyBorder="1"/>
    <x:xf numFmtId="0" fontId="0" fillId="0" borderId="15" xfId="0" applyBorder="1"/>
    <x:xf numFmtId="0" fontId="5" fillId="6" borderId="15" xfId="0" applyFont="1" applyFill="1" applyBorder="1" applyAlignment="1">
      <x:alignment horizontal="center" wrapText="1"/>
    </x:xf>
    <x:xf numFmtId="0" fontId="3" fillId="4" borderId="15" xfId="0" applyFont="1" applyFill="1" applyBorder="1" applyAlignment="1">
      <x:alignment vertical="center" wrapText="1"/>
    </x:xf>
    <x:xf numFmtId="166" fontId="4" fillId="5" borderId="15" xfId="0" applyNumberFormat="1" applyFont="1" applyFill="1" applyBorder="1" applyAlignment="1">
      <x:alignment vertical="center" wrapText="1"/>
    </x:xf>
    <x:xf numFmtId="0" fontId="5" fillId="6" borderId="15" xfId="0" applyFont="1" applyFill="1" applyBorder="1" applyAlignment="1">
      <x:alignment horizontal="center" vertical="center" wrapText="1"/>
    </x:xf>
    <x:xf numFmtId="0" fontId="6" fillId="0" borderId="15" xfId="0" applyFont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0" fillId="0" borderId="15" xfId="0" applyBorder="1" applyAlignment="1">
      <x:alignment vertical="center" wrapText="1"/>
    </x:xf>
    <x:xf numFmtId="164" fontId="4" fillId="5" borderId="15" xfId="0" applyNumberFormat="1" applyFont="1" applyFill="1" applyBorder="1" applyAlignment="1">
      <x:alignment vertical="center" wrapText="1"/>
    </x:xf>
    <x:xf numFmtId="164" fontId="0" fillId="0" borderId="15" xfId="0" applyNumberFormat="1" applyBorder="1"/>
    <x:xf numFmtId="0" fontId="6" fillId="6" borderId="15" xfId="0" applyFont="1" applyFill="1" applyBorder="1"/>
    <x:xf numFmtId="166" fontId="0" fillId="0" borderId="15" xfId="0" applyNumberFormat="1" applyBorder="1"/>
    <x:xf numFmtId="0" fontId="5" fillId="10" borderId="2" xfId="0" applyFont="1" applyFill="1" applyBorder="1" applyAlignment="1">
      <x:alignment horizontal="center" vertical="center" wrapText="1"/>
    </x:xf>
    <x:xf numFmtId="0" fontId="0" fillId="0" borderId="2" xfId="0" applyBorder="1" applyAlignment="1">
      <x:alignment vertical="center"/>
    </x:xf>
    <x:xf numFmtId="0" fontId="0" fillId="0" borderId="2" xfId="0" applyBorder="1" applyAlignment="1">
      <x:alignment vertical="center" wrapText="1"/>
    </x:xf>
    <x:xf numFmtId="0" fontId="4" fillId="9" borderId="2" xfId="0" applyFont="1" applyFill="1" applyBorder="1" applyAlignment="1">
      <x:alignment horizontal="center" vertical="center" wrapText="1"/>
    </x:xf>
    <x:xf numFmtId="0" fontId="2" fillId="8" borderId="0" xfId="0" applyFont="1" applyFill="1" applyAlignment="1">
      <x:alignment horizontal="center" vertical="center"/>
    </x:xf>
    <x:xf numFmtId="0" fontId="8" fillId="9" borderId="0" xfId="0" applyFont="1" applyFill="1" applyAlignment="1">
      <x:alignment vertical="center" wrapText="1"/>
    </x:xf>
    <x:xf numFmtId="0" fontId="2" fillId="3" borderId="0" xfId="0" applyFont="1" applyFill="1" applyAlignment="1">
      <x:alignment horizontal="center" vertical="center"/>
    </x:xf>
    <x:xf numFmtId="0" fontId="3" fillId="4" borderId="0" xfId="0" applyFont="1" applyFill="1"/>
    <x:xf numFmtId="0" fontId="0" fillId="7" borderId="0" xfId="0" applyFill="1" applyAlignment="1">
      <x:alignment vertical="center" wrapText="1"/>
    </x:xf>
    <x:xf numFmtId="0" fontId="7" fillId="3" borderId="0" xfId="0" applyFont="1" applyFill="1" applyAlignment="1">
      <x:alignment horizontal="center"/>
    </x:xf>
    <x:xf numFmtId="0" fontId="0" fillId="5" borderId="0" xfId="0" applyFill="1" applyAlignment="1">
      <x:alignment vertical="center" wrapText="1"/>
    </x:xf>
  </x:cellXfs>
  <x:cellStyles count="1">
    <x:cellStyle name="Normal" xfId="0"/>
  </x:cellStyles>
  <x:dxfs count="2">
    <x:dxf>
      <x:font>
        <x:b/>
        <x:color rgb="FFC00000"/>
      </x:font>
      <x:fill>
        <x:patternFill>
          <x:bgColor rgb="FFFCE4D6"/>
        </x:patternFill>
      </x:fill>
    </x:dxf>
    <x:dxf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c7795af0e435a" /><Relationship Type="http://schemas.openxmlformats.org/officeDocument/2006/relationships/theme" Target="/xl/theme/theme1.xml" Id="R912b6afa641d48ed" /><Relationship Type="http://schemas.openxmlformats.org/officeDocument/2006/relationships/sharedStrings" Target="/xl/sharedStrings.xml" Id="Rcea06c0cbbc44d5b" /><Relationship Type="http://schemas.openxmlformats.org/officeDocument/2006/relationships/worksheet" Target="/xl/worksheets/sheet1.xml" Id="Rd095e8ef4a0a489f" /><Relationship Type="http://schemas.openxmlformats.org/officeDocument/2006/relationships/worksheet" Target="/xl/worksheets/sheet2.xml" Id="R1d714bcc3e594c24" /><Relationship Type="http://schemas.openxmlformats.org/officeDocument/2006/relationships/worksheet" Target="/xl/worksheets/sheet3.xml" Id="Rfd611944c3d5462f" /><Relationship Type="http://schemas.openxmlformats.org/officeDocument/2006/relationships/worksheet" Target="/xl/worksheets/sheet4.xml" Id="R1ea82894386049f2" /><Relationship Type="http://schemas.openxmlformats.org/officeDocument/2006/relationships/worksheet" Target="/xl/worksheets/sheet5.xml" Id="R5d9dd6623e394137" /><Relationship Type="http://schemas.openxmlformats.org/officeDocument/2006/relationships/worksheet" Target="/xl/worksheets/sheet6.xml" Id="R6cf058c48a6d48b9" /><Relationship Type="http://schemas.openxmlformats.org/officeDocument/2006/relationships/worksheet" Target="/xl/worksheets/sheet7.xml" Id="Rdf0a275a473d4321" /><Relationship Type="http://schemas.openxmlformats.org/officeDocument/2006/relationships/worksheet" Target="/xl/worksheets/sheet8.xml" Id="R6869867f56c5444c" /><Relationship Type="http://schemas.openxmlformats.org/officeDocument/2006/relationships/worksheet" Target="/xl/worksheets/sheet9.xml" Id="R736c7b8615564f30" /><Relationship Type="http://schemas.openxmlformats.org/officeDocument/2006/relationships/worksheet" Target="/xl/worksheets/sheet10.xml" Id="R829675324de0468d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40625" defaultRowHeight="15"/>
  <x:cols>
    <x:col min="6" max="6" width="26.140625" customWidth="1"/>
    <x:col min="7" max="7" width="23" customWidth="1"/>
    <x:col min="20" max="24" width="16" customWidth="1"/>
    <x:col min="25" max="25" width="20" customWidth="1"/>
    <x:col min="26" max="27" width="16" customWidth="1"/>
  </x:cols>
  <x:sheetData>
    <x:row r="1" ht="38.099998474121094" customHeight="1">
      <x:c r="A1" s="5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6" t="s">
        <x:v>18</x:v>
      </x:c>
      <x:c r="T1" s="7" t="s">
        <x:v>19</x:v>
      </x:c>
      <x:c r="U1" s="8" t="s">
        <x:v>20</x:v>
      </x:c>
      <x:c r="V1" s="8" t="s">
        <x:v>21</x:v>
      </x:c>
      <x:c r="W1" s="8" t="s">
        <x:v>22</x:v>
      </x:c>
      <x:c r="X1" s="8" t="s">
        <x:v>23</x:v>
      </x:c>
      <x:c r="Y1" s="8" t="s">
        <x:v>24</x:v>
      </x:c>
      <x:c r="Z1" s="8" t="s">
        <x:v>25</x:v>
      </x:c>
      <x:c r="AA1" s="9" t="s">
        <x:v>26</x:v>
      </x:c>
      <x:c r="AB1" s="6" t="s">
        <x:v>27</x:v>
      </x:c>
      <x:c r="AC1" s="6" t="s">
        <x:v>28</x:v>
      </x:c>
    </x:row>
    <x:row r="2">
      <x:c r="A2" s="10" t="s">
        <x:v>29</x:v>
      </x:c>
      <x:c r="B2" t="s">
        <x:v>30</x:v>
      </x:c>
      <x:c r="C2" t="s">
        <x:v>31</x:v>
      </x:c>
      <x:c r="D2" t="s">
        <x:v>32</x:v>
      </x:c>
      <x:c r="E2" t="s">
        <x:v>33</x:v>
      </x:c>
      <x:c r="F2" t="s">
        <x:v>34</x:v>
      </x:c>
      <x:c r="G2" t="s">
        <x:v>35</x:v>
      </x:c>
      <x:c r="H2" t="s">
        <x:v>36</x:v>
      </x:c>
      <x:c r="I2" t="s">
        <x:v>37</x:v>
      </x:c>
      <x:c r="J2">
        <x:v>3300</x:v>
      </x:c>
      <x:c r="K2">
        <x:v>0.4</x:v>
      </x:c>
      <x:c r="L2" t="n">
        <x:f t="shared" ref="L2:L65" si="0">IF(J2="","",J2*(1+K2))</x:f>
        <x:v>4620</x:v>
      </x:c>
      <x:c r="M2" t="s">
        <x:v>38</x:v>
      </x:c>
      <x:c r="O2" t="s">
        <x:v>38</x:v>
      </x:c>
      <x:c r="P2" t="s">
        <x:v>39</x:v>
      </x:c>
      <x:c r="Q2" t="s">
        <x:v>30</x:v>
      </x:c>
      <x:c r="R2" t="s">
        <x:v>40</x:v>
      </x:c>
      <x:c r="S2" t="s">
        <x:v>41</x:v>
      </x:c>
      <x:c r="T2" s="2" t="n">
        <x:f>'SUPUESTOS PRECIOS'!$B$9</x:f>
        <x:v>0</x:v>
      </x:c>
      <x:c r="U2" s="3" t="n">
        <x:f>'SUPUESTOS PRECIOS'!$B$5/'SUPUESTOS PRECIOS'!$B$4</x:f>
        <x:v>1000</x:v>
      </x:c>
      <x:c r="V2" s="3" t="n">
        <x:f>('SUPUESTOS PRECIOS'!$B$6-'SUPUESTOS PRECIOS'!$B$7)/'SUPUESTOS PRECIOS'!$B$4</x:f>
        <x:v>377.5</x:v>
      </x:c>
      <x:c r="W2" s="4" t="n">
        <x:f>'SUPUESTOS PRECIOS'!$B$8</x:f>
        <x:v>0.00968</x:v>
      </x:c>
      <x:c r="X2" s="4" t="n">
        <x:f>'SUPUESTOS PRECIOS'!$B$2</x:f>
        <x:v>0.4</x:v>
      </x:c>
      <x:c r="Y2" s="3" t="n">
        <x:f t="shared" ref="Y2:Y65" si="1">IF(OR($B2="",$J2=""),"",ROUND(($J2+$T2+$U2+$V2)/(1-$W2-$X2),-1))</x:f>
        <x:v>7920</x:v>
      </x:c>
      <x:c r="Z2" s="3" t="n">
        <x:f t="shared" ref="Z2:Z65" si="2">IF($Y2="","",$Y2-$J2-$T2-$U2-$V2-($Y2*$W2))</x:f>
        <x:v>3165.8344</x:v>
      </x:c>
      <x:c r="AA2" s="11" t="n">
        <x:f t="shared" ref="AA2:AA65" si="3">IF($Y2="","",$Z2/$Y2)</x:f>
        <x:v>0.39972656565656567</x:v>
      </x:c>
    </x:row>
    <x:row r="3">
      <x:c r="A3" s="10" t="s">
        <x:v>42</x:v>
      </x:c>
      <x:c r="B3" t="s">
        <x:v>43</x:v>
      </x:c>
      <x:c r="C3" t="s">
        <x:v>44</x:v>
      </x:c>
      <x:c r="D3" t="s">
        <x:v>45</x:v>
      </x:c>
      <x:c r="E3" t="s">
        <x:v>33</x:v>
      </x:c>
      <x:c r="F3" s="1" t="s">
        <x:v>46</x:v>
      </x:c>
      <x:c r="G3" t="s">
        <x:v>35</x:v>
      </x:c>
      <x:c r="H3" t="s">
        <x:v>36</x:v>
      </x:c>
      <x:c r="I3" t="s">
        <x:v>47</x:v>
      </x:c>
      <x:c r="J3">
        <x:v>9000</x:v>
      </x:c>
      <x:c r="K3">
        <x:v>0.3</x:v>
      </x:c>
      <x:c r="L3">
        <x:f t="shared" si="0"/>
        <x:v>11700</x:v>
      </x:c>
      <x:c r="M3" t="s">
        <x:v>38</x:v>
      </x:c>
      <x:c r="O3" t="s">
        <x:v>38</x:v>
      </x:c>
      <x:c r="P3" t="s">
        <x:v>39</x:v>
      </x:c>
      <x:c r="Q3" t="s">
        <x:v>43</x:v>
      </x:c>
      <x:c r="R3" t="s">
        <x:v>48</x:v>
      </x:c>
      <x:c r="S3" t="s">
        <x:v>49</x:v>
      </x:c>
      <x:c r="T3" s="2" t="n">
        <x:f>'SUPUESTOS PRECIOS'!$B$9</x:f>
        <x:v>0</x:v>
      </x:c>
      <x:c r="U3" s="3" t="n">
        <x:f>'SUPUESTOS PRECIOS'!$B$5/'SUPUESTOS PRECIOS'!$B$4</x:f>
        <x:v>1000</x:v>
      </x:c>
      <x:c r="V3" s="3" t="n">
        <x:f>('SUPUESTOS PRECIOS'!$B$6-'SUPUESTOS PRECIOS'!$B$7)/'SUPUESTOS PRECIOS'!$B$4</x:f>
        <x:v>377.5</x:v>
      </x:c>
      <x:c r="W3" s="4" t="n">
        <x:f>'SUPUESTOS PRECIOS'!$B$8</x:f>
        <x:v>0.00968</x:v>
      </x:c>
      <x:c r="X3" s="4" t="n">
        <x:f>'SUPUESTOS PRECIOS'!$B$2</x:f>
        <x:v>0.4</x:v>
      </x:c>
      <x:c r="Y3" s="3">
        <x:f t="shared" si="1"/>
        <x:v>17580</x:v>
      </x:c>
      <x:c r="Z3" s="3">
        <x:f t="shared" si="2"/>
        <x:v>7032.3256000000001</x:v>
      </x:c>
      <x:c r="AA3" s="11">
        <x:f t="shared" si="3"/>
        <x:v>0.40001852104664393</x:v>
      </x:c>
    </x:row>
    <x:row r="4">
      <x:c r="A4" s="10" t="s">
        <x:v>50</x:v>
      </x:c>
      <x:c r="B4" t="s">
        <x:v>51</x:v>
      </x:c>
      <x:c r="C4" t="s">
        <x:v>44</x:v>
      </x:c>
      <x:c r="D4" t="s">
        <x:v>52</x:v>
      </x:c>
      <x:c r="E4" t="s">
        <x:v>33</x:v>
      </x:c>
      <x:c r="F4" t="s">
        <x:v>53</x:v>
      </x:c>
      <x:c r="G4" t="s">
        <x:v>35</x:v>
      </x:c>
      <x:c r="H4" t="s">
        <x:v>36</x:v>
      </x:c>
      <x:c r="I4" t="s">
        <x:v>54</x:v>
      </x:c>
      <x:c r="J4">
        <x:v>2750</x:v>
      </x:c>
      <x:c r="K4">
        <x:v>0.3</x:v>
      </x:c>
      <x:c r="L4">
        <x:f t="shared" si="0"/>
        <x:v>3575</x:v>
      </x:c>
      <x:c r="M4" t="s">
        <x:v>38</x:v>
      </x:c>
      <x:c r="O4" t="s">
        <x:v>38</x:v>
      </x:c>
      <x:c r="P4" t="s">
        <x:v>39</x:v>
      </x:c>
      <x:c r="Q4" t="s">
        <x:v>51</x:v>
      </x:c>
      <x:c r="R4" t="s">
        <x:v>55</x:v>
      </x:c>
      <x:c r="S4" t="s">
        <x:v>56</x:v>
      </x:c>
      <x:c r="T4" s="2" t="n">
        <x:f>'SUPUESTOS PRECIOS'!$B$9</x:f>
        <x:v>0</x:v>
      </x:c>
      <x:c r="U4" s="3" t="n">
        <x:f>'SUPUESTOS PRECIOS'!$B$5/'SUPUESTOS PRECIOS'!$B$4</x:f>
        <x:v>1000</x:v>
      </x:c>
      <x:c r="V4" s="3" t="n">
        <x:f>('SUPUESTOS PRECIOS'!$B$6-'SUPUESTOS PRECIOS'!$B$7)/'SUPUESTOS PRECIOS'!$B$4</x:f>
        <x:v>377.5</x:v>
      </x:c>
      <x:c r="W4" s="4" t="n">
        <x:f>'SUPUESTOS PRECIOS'!$B$8</x:f>
        <x:v>0.00968</x:v>
      </x:c>
      <x:c r="X4" s="4" t="n">
        <x:f>'SUPUESTOS PRECIOS'!$B$2</x:f>
        <x:v>0.4</x:v>
      </x:c>
      <x:c r="Y4" s="3">
        <x:f t="shared" si="1"/>
        <x:v>6990</x:v>
      </x:c>
      <x:c r="Z4" s="3">
        <x:f t="shared" si="2"/>
        <x:v>2794.8368</x:v>
      </x:c>
      <x:c r="AA4" s="11">
        <x:f t="shared" si="3"/>
        <x:v>0.39983359084406295</x:v>
      </x:c>
    </x:row>
    <x:row r="5">
      <x:c r="A5" s="10" t="s">
        <x:v>57</x:v>
      </x:c>
      <x:c r="B5" t="s">
        <x:v>58</x:v>
      </x:c>
      <x:c r="C5" t="s">
        <x:v>44</x:v>
      </x:c>
      <x:c r="D5" t="s">
        <x:v>59</x:v>
      </x:c>
      <x:c r="E5" t="s">
        <x:v>33</x:v>
      </x:c>
      <x:c r="F5" t="s">
        <x:v>60</x:v>
      </x:c>
      <x:c r="H5" t="s">
        <x:v>36</x:v>
      </x:c>
      <x:c r="I5" t="s">
        <x:v>61</x:v>
      </x:c>
      <x:c r="J5">
        <x:v>3250</x:v>
      </x:c>
      <x:c r="K5">
        <x:v>0.3</x:v>
      </x:c>
      <x:c r="L5">
        <x:f t="shared" si="0"/>
        <x:v>4225</x:v>
      </x:c>
      <x:c r="M5" t="s">
        <x:v>38</x:v>
      </x:c>
      <x:c r="O5" t="s">
        <x:v>38</x:v>
      </x:c>
      <x:c r="P5" t="s">
        <x:v>39</x:v>
      </x:c>
      <x:c r="Q5" t="s">
        <x:v>58</x:v>
      </x:c>
      <x:c r="R5" t="s">
        <x:v>62</x:v>
      </x:c>
      <x:c r="S5" t="s">
        <x:v>63</x:v>
      </x:c>
      <x:c r="T5" s="2" t="n">
        <x:f>'SUPUESTOS PRECIOS'!$B$9</x:f>
        <x:v>0</x:v>
      </x:c>
      <x:c r="U5" s="3" t="n">
        <x:f>'SUPUESTOS PRECIOS'!$B$5/'SUPUESTOS PRECIOS'!$B$4</x:f>
        <x:v>1000</x:v>
      </x:c>
      <x:c r="V5" s="3" t="n">
        <x:f>('SUPUESTOS PRECIOS'!$B$6-'SUPUESTOS PRECIOS'!$B$7)/'SUPUESTOS PRECIOS'!$B$4</x:f>
        <x:v>377.5</x:v>
      </x:c>
      <x:c r="W5" s="4" t="n">
        <x:f>'SUPUESTOS PRECIOS'!$B$8</x:f>
        <x:v>0.00968</x:v>
      </x:c>
      <x:c r="X5" s="4" t="n">
        <x:f>'SUPUESTOS PRECIOS'!$B$2</x:f>
        <x:v>0.4</x:v>
      </x:c>
      <x:c r="Y5" s="3">
        <x:f t="shared" si="1"/>
        <x:v>7840</x:v>
      </x:c>
      <x:c r="Z5" s="3">
        <x:f t="shared" si="2"/>
        <x:v>3136.6088</x:v>
      </x:c>
      <x:c r="AA5" s="11">
        <x:f t="shared" si="3"/>
        <x:v>0.4000776530612245</x:v>
      </x:c>
    </x:row>
    <x:row r="6">
      <x:c r="A6" s="10" t="s">
        <x:v>64</x:v>
      </x:c>
      <x:c r="B6" t="s">
        <x:v>65</x:v>
      </x:c>
      <x:c r="C6" t="s">
        <x:v>66</x:v>
      </x:c>
      <x:c r="D6" t="s">
        <x:v>67</x:v>
      </x:c>
      <x:c r="E6" t="s">
        <x:v>33</x:v>
      </x:c>
      <x:c r="F6" t="s">
        <x:v>68</x:v>
      </x:c>
      <x:c r="G6" t="s">
        <x:v>69</x:v>
      </x:c>
      <x:c r="H6" t="s">
        <x:v>36</x:v>
      </x:c>
      <x:c r="I6" t="s">
        <x:v>70</x:v>
      </x:c>
      <x:c r="J6">
        <x:v>5000</x:v>
      </x:c>
      <x:c r="K6">
        <x:v>0.3</x:v>
      </x:c>
      <x:c r="L6">
        <x:f t="shared" si="0"/>
        <x:v>6500</x:v>
      </x:c>
      <x:c r="M6" t="s">
        <x:v>38</x:v>
      </x:c>
      <x:c r="O6" t="s">
        <x:v>38</x:v>
      </x:c>
      <x:c r="P6" t="s">
        <x:v>39</x:v>
      </x:c>
      <x:c r="Q6" t="s">
        <x:v>65</x:v>
      </x:c>
      <x:c r="R6" t="s">
        <x:v>71</x:v>
      </x:c>
      <x:c r="S6" t="s">
        <x:v>72</x:v>
      </x:c>
      <x:c r="T6" s="2" t="n">
        <x:f>'SUPUESTOS PRECIOS'!$B$9</x:f>
        <x:v>0</x:v>
      </x:c>
      <x:c r="U6" s="3" t="n">
        <x:f>'SUPUESTOS PRECIOS'!$B$5/'SUPUESTOS PRECIOS'!$B$4</x:f>
        <x:v>1000</x:v>
      </x:c>
      <x:c r="V6" s="3" t="n">
        <x:f>('SUPUESTOS PRECIOS'!$B$6-'SUPUESTOS PRECIOS'!$B$7)/'SUPUESTOS PRECIOS'!$B$4</x:f>
        <x:v>377.5</x:v>
      </x:c>
      <x:c r="W6" s="4" t="n">
        <x:f>'SUPUESTOS PRECIOS'!$B$8</x:f>
        <x:v>0.00968</x:v>
      </x:c>
      <x:c r="X6" s="4" t="n">
        <x:f>'SUPUESTOS PRECIOS'!$B$2</x:f>
        <x:v>0.4</x:v>
      </x:c>
      <x:c r="Y6" s="3">
        <x:f t="shared" si="1"/>
        <x:v>10800</x:v>
      </x:c>
      <x:c r="Z6" s="3">
        <x:f t="shared" si="2"/>
        <x:v>4317.9560000000001</x:v>
      </x:c>
      <x:c r="AA6" s="11">
        <x:f t="shared" si="3"/>
        <x:v>0.39981074074074074</x:v>
      </x:c>
    </x:row>
    <x:row r="7">
      <x:c r="A7" s="10" t="s">
        <x:v>73</x:v>
      </x:c>
      <x:c r="B7" t="s">
        <x:v>74</x:v>
      </x:c>
      <x:c r="C7" t="s">
        <x:v>66</x:v>
      </x:c>
      <x:c r="D7" t="s">
        <x:v>75</x:v>
      </x:c>
      <x:c r="E7" t="s">
        <x:v>33</x:v>
      </x:c>
      <x:c r="F7" t="s">
        <x:v>76</x:v>
      </x:c>
      <x:c r="G7" t="s">
        <x:v>77</x:v>
      </x:c>
      <x:c r="H7" t="s">
        <x:v>36</x:v>
      </x:c>
      <x:c r="I7" t="s">
        <x:v>78</x:v>
      </x:c>
      <x:c r="J7">
        <x:v>4000</x:v>
      </x:c>
      <x:c r="K7">
        <x:v>0.3</x:v>
      </x:c>
      <x:c r="L7">
        <x:f t="shared" si="0"/>
        <x:v>5200</x:v>
      </x:c>
      <x:c r="M7" t="s">
        <x:v>38</x:v>
      </x:c>
      <x:c r="O7" t="s">
        <x:v>38</x:v>
      </x:c>
      <x:c r="P7" t="s">
        <x:v>39</x:v>
      </x:c>
      <x:c r="Q7" t="s">
        <x:v>74</x:v>
      </x:c>
      <x:c r="R7" t="s">
        <x:v>79</x:v>
      </x:c>
      <x:c r="S7" t="s">
        <x:v>80</x:v>
      </x:c>
      <x:c r="T7" s="2" t="n">
        <x:f>'SUPUESTOS PRECIOS'!$B$9</x:f>
        <x:v>0</x:v>
      </x:c>
      <x:c r="U7" s="3" t="n">
        <x:f>'SUPUESTOS PRECIOS'!$B$5/'SUPUESTOS PRECIOS'!$B$4</x:f>
        <x:v>1000</x:v>
      </x:c>
      <x:c r="V7" s="3" t="n">
        <x:f>('SUPUESTOS PRECIOS'!$B$6-'SUPUESTOS PRECIOS'!$B$7)/'SUPUESTOS PRECIOS'!$B$4</x:f>
        <x:v>377.5</x:v>
      </x:c>
      <x:c r="W7" s="4" t="n">
        <x:f>'SUPUESTOS PRECIOS'!$B$8</x:f>
        <x:v>0.00968</x:v>
      </x:c>
      <x:c r="X7" s="4" t="n">
        <x:f>'SUPUESTOS PRECIOS'!$B$2</x:f>
        <x:v>0.4</x:v>
      </x:c>
      <x:c r="Y7" s="3">
        <x:f t="shared" si="1"/>
        <x:v>9110</x:v>
      </x:c>
      <x:c r="Z7" s="3">
        <x:f t="shared" si="2"/>
        <x:v>3644.3152</x:v>
      </x:c>
      <x:c r="AA7" s="11">
        <x:f t="shared" si="3"/>
        <x:v>0.40003459934138308</x:v>
      </x:c>
    </x:row>
    <x:row r="8">
      <x:c r="A8" s="10" t="s">
        <x:v>81</x:v>
      </x:c>
      <x:c r="B8" t="s">
        <x:v>82</x:v>
      </x:c>
      <x:c r="C8" t="s">
        <x:v>66</x:v>
      </x:c>
      <x:c r="D8" t="s">
        <x:v>75</x:v>
      </x:c>
      <x:c r="E8" t="s">
        <x:v>83</x:v>
      </x:c>
      <x:c r="F8" t="s">
        <x:v>84</x:v>
      </x:c>
      <x:c r="H8" t="s">
        <x:v>85</x:v>
      </x:c>
      <x:c r="I8" t="s">
        <x:v>86</x:v>
      </x:c>
      <x:c r="J8">
        <x:v>20000</x:v>
      </x:c>
      <x:c r="K8">
        <x:v>0.3</x:v>
      </x:c>
      <x:c r="L8">
        <x:f t="shared" si="0"/>
        <x:v>26000</x:v>
      </x:c>
      <x:c r="M8" t="s">
        <x:v>38</x:v>
      </x:c>
      <x:c r="O8" t="s">
        <x:v>38</x:v>
      </x:c>
      <x:c r="P8" t="s">
        <x:v>39</x:v>
      </x:c>
      <x:c r="Q8" t="s">
        <x:v>82</x:v>
      </x:c>
      <x:c r="R8" t="s">
        <x:v>87</x:v>
      </x:c>
      <x:c r="S8" t="s">
        <x:v>80</x:v>
      </x:c>
      <x:c r="T8" s="2" t="n">
        <x:f>'SUPUESTOS PRECIOS'!$B$9</x:f>
        <x:v>0</x:v>
      </x:c>
      <x:c r="U8" s="3" t="n">
        <x:f>'SUPUESTOS PRECIOS'!$B$5/'SUPUESTOS PRECIOS'!$B$4</x:f>
        <x:v>1000</x:v>
      </x:c>
      <x:c r="V8" s="3" t="n">
        <x:f>('SUPUESTOS PRECIOS'!$B$6-'SUPUESTOS PRECIOS'!$B$7)/'SUPUESTOS PRECIOS'!$B$4</x:f>
        <x:v>377.5</x:v>
      </x:c>
      <x:c r="W8" s="4" t="n">
        <x:f>'SUPUESTOS PRECIOS'!$B$8</x:f>
        <x:v>0.00968</x:v>
      </x:c>
      <x:c r="X8" s="4" t="n">
        <x:f>'SUPUESTOS PRECIOS'!$B$2</x:f>
        <x:v>0.4</x:v>
      </x:c>
      <x:c r="Y8" s="3">
        <x:f t="shared" si="1"/>
        <x:v>36210</x:v>
      </x:c>
      <x:c r="Z8" s="3">
        <x:f t="shared" si="2"/>
        <x:v>14481.9872</x:v>
      </x:c>
      <x:c r="AA8" s="11">
        <x:f t="shared" si="3"/>
        <x:v>0.39994441314553991</x:v>
      </x:c>
    </x:row>
    <x:row r="9">
      <x:c r="A9" s="10" t="s">
        <x:v>88</x:v>
      </x:c>
      <x:c r="B9" t="s">
        <x:v>89</x:v>
      </x:c>
      <x:c r="C9" t="s">
        <x:v>90</x:v>
      </x:c>
      <x:c r="D9" t="s">
        <x:v>91</x:v>
      </x:c>
      <x:c r="E9" t="s">
        <x:v>33</x:v>
      </x:c>
      <x:c r="F9" t="s">
        <x:v>92</x:v>
      </x:c>
      <x:c r="G9" t="s">
        <x:v>93</x:v>
      </x:c>
      <x:c r="H9" t="s">
        <x:v>94</x:v>
      </x:c>
      <x:c r="I9" t="s">
        <x:v>95</x:v>
      </x:c>
      <x:c r="J9">
        <x:v>2200</x:v>
      </x:c>
      <x:c r="K9">
        <x:v>0.3</x:v>
      </x:c>
      <x:c r="L9">
        <x:f t="shared" si="0"/>
        <x:v>2860</x:v>
      </x:c>
      <x:c r="M9" t="s">
        <x:v>38</x:v>
      </x:c>
      <x:c r="O9" t="s">
        <x:v>38</x:v>
      </x:c>
      <x:c r="P9" t="s">
        <x:v>39</x:v>
      </x:c>
      <x:c r="Q9" t="s">
        <x:v>89</x:v>
      </x:c>
      <x:c r="R9" t="s">
        <x:v>96</x:v>
      </x:c>
      <x:c r="S9" t="s">
        <x:v>97</x:v>
      </x:c>
      <x:c r="T9" s="2" t="n">
        <x:f>'SUPUESTOS PRECIOS'!$B$9</x:f>
        <x:v>0</x:v>
      </x:c>
      <x:c r="U9" s="3" t="n">
        <x:f>'SUPUESTOS PRECIOS'!$B$5/'SUPUESTOS PRECIOS'!$B$4</x:f>
        <x:v>1000</x:v>
      </x:c>
      <x:c r="V9" s="3" t="n">
        <x:f>('SUPUESTOS PRECIOS'!$B$6-'SUPUESTOS PRECIOS'!$B$7)/'SUPUESTOS PRECIOS'!$B$4</x:f>
        <x:v>377.5</x:v>
      </x:c>
      <x:c r="W9" s="4" t="n">
        <x:f>'SUPUESTOS PRECIOS'!$B$8</x:f>
        <x:v>0.00968</x:v>
      </x:c>
      <x:c r="X9" s="4" t="n">
        <x:f>'SUPUESTOS PRECIOS'!$B$2</x:f>
        <x:v>0.4</x:v>
      </x:c>
      <x:c r="Y9" s="3">
        <x:f t="shared" si="1"/>
        <x:v>6060</x:v>
      </x:c>
      <x:c r="Z9" s="3">
        <x:f t="shared" si="2"/>
        <x:v>2423.8391999999999</x:v>
      </x:c>
      <x:c r="AA9" s="11">
        <x:f t="shared" si="3"/>
        <x:v>0.39997346534653466</x:v>
      </x:c>
    </x:row>
    <x:row r="10">
      <x:c r="A10" s="10" t="s">
        <x:v>98</x:v>
      </x:c>
      <x:c r="B10" t="s">
        <x:v>99</x:v>
      </x:c>
      <x:c r="C10" t="s">
        <x:v>90</x:v>
      </x:c>
      <x:c r="D10" t="s">
        <x:v>91</x:v>
      </x:c>
      <x:c r="E10" t="s">
        <x:v>33</x:v>
      </x:c>
      <x:c r="F10" t="s">
        <x:v>100</x:v>
      </x:c>
      <x:c r="G10" t="s">
        <x:v>93</x:v>
      </x:c>
      <x:c r="H10" t="s">
        <x:v>36</x:v>
      </x:c>
      <x:c r="I10" t="s">
        <x:v>101</x:v>
      </x:c>
      <x:c r="J10">
        <x:v>16000</x:v>
      </x:c>
      <x:c r="K10">
        <x:v>0.3</x:v>
      </x:c>
      <x:c r="L10">
        <x:f t="shared" si="0"/>
        <x:v>20800</x:v>
      </x:c>
      <x:c r="M10" t="s">
        <x:v>38</x:v>
      </x:c>
      <x:c r="O10" t="s">
        <x:v>38</x:v>
      </x:c>
      <x:c r="P10" t="s">
        <x:v>39</x:v>
      </x:c>
      <x:c r="Q10" t="s">
        <x:v>99</x:v>
      </x:c>
      <x:c r="R10" t="s">
        <x:v>102</x:v>
      </x:c>
      <x:c r="S10" t="s">
        <x:v>97</x:v>
      </x:c>
      <x:c r="T10" s="2" t="n">
        <x:f>'SUPUESTOS PRECIOS'!$B$9</x:f>
        <x:v>0</x:v>
      </x:c>
      <x:c r="U10" s="3" t="n">
        <x:f>'SUPUESTOS PRECIOS'!$B$5/'SUPUESTOS PRECIOS'!$B$4</x:f>
        <x:v>1000</x:v>
      </x:c>
      <x:c r="V10" s="3" t="n">
        <x:f>('SUPUESTOS PRECIOS'!$B$6-'SUPUESTOS PRECIOS'!$B$7)/'SUPUESTOS PRECIOS'!$B$4</x:f>
        <x:v>377.5</x:v>
      </x:c>
      <x:c r="W10" s="4" t="n">
        <x:f>'SUPUESTOS PRECIOS'!$B$8</x:f>
        <x:v>0.00968</x:v>
      </x:c>
      <x:c r="X10" s="4" t="n">
        <x:f>'SUPUESTOS PRECIOS'!$B$2</x:f>
        <x:v>0.4</x:v>
      </x:c>
      <x:c r="Y10" s="3">
        <x:f t="shared" si="1"/>
        <x:v>29440</x:v>
      </x:c>
      <x:c r="Z10" s="3">
        <x:f t="shared" si="2"/>
        <x:v>11777.5208</x:v>
      </x:c>
      <x:c r="AA10" s="11">
        <x:f t="shared" si="3"/>
        <x:v>0.40005165760869565</x:v>
      </x:c>
    </x:row>
    <x:row r="11">
      <x:c r="A11" s="10" t="s">
        <x:v>103</x:v>
      </x:c>
      <x:c r="B11" t="s">
        <x:v>104</x:v>
      </x:c>
      <x:c r="C11" t="s">
        <x:v>105</x:v>
      </x:c>
      <x:c r="D11" t="s">
        <x:v>106</x:v>
      </x:c>
      <x:c r="E11" t="s">
        <x:v>33</x:v>
      </x:c>
      <x:c r="F11" t="s">
        <x:v>107</x:v>
      </x:c>
      <x:c r="H11" t="s">
        <x:v>36</x:v>
      </x:c>
      <x:c r="I11" t="s">
        <x:v>108</x:v>
      </x:c>
      <x:c r="J11">
        <x:v>4600</x:v>
      </x:c>
      <x:c r="K11">
        <x:v>0.3</x:v>
      </x:c>
      <x:c r="L11">
        <x:f t="shared" si="0"/>
        <x:v>5980</x:v>
      </x:c>
      <x:c r="M11" t="s">
        <x:v>38</x:v>
      </x:c>
      <x:c r="O11" t="s">
        <x:v>38</x:v>
      </x:c>
      <x:c r="P11" t="s">
        <x:v>39</x:v>
      </x:c>
      <x:c r="Q11" t="s">
        <x:v>104</x:v>
      </x:c>
      <x:c r="R11" t="s">
        <x:v>109</x:v>
      </x:c>
      <x:c r="S11" t="s">
        <x:v>110</x:v>
      </x:c>
      <x:c r="T11" s="2" t="n">
        <x:f>'SUPUESTOS PRECIOS'!$B$9</x:f>
        <x:v>0</x:v>
      </x:c>
      <x:c r="U11" s="3" t="n">
        <x:f>'SUPUESTOS PRECIOS'!$B$5/'SUPUESTOS PRECIOS'!$B$4</x:f>
        <x:v>1000</x:v>
      </x:c>
      <x:c r="V11" s="3" t="n">
        <x:f>('SUPUESTOS PRECIOS'!$B$6-'SUPUESTOS PRECIOS'!$B$7)/'SUPUESTOS PRECIOS'!$B$4</x:f>
        <x:v>377.5</x:v>
      </x:c>
      <x:c r="W11" s="4" t="n">
        <x:f>'SUPUESTOS PRECIOS'!$B$8</x:f>
        <x:v>0.00968</x:v>
      </x:c>
      <x:c r="X11" s="4" t="n">
        <x:f>'SUPUESTOS PRECIOS'!$B$2</x:f>
        <x:v>0.4</x:v>
      </x:c>
      <x:c r="Y11" s="3">
        <x:f t="shared" si="1"/>
        <x:v>10130</x:v>
      </x:c>
      <x:c r="Z11" s="3">
        <x:f t="shared" si="2"/>
        <x:v>4054.4416000000001</x:v>
      </x:c>
      <x:c r="AA11" s="11">
        <x:f t="shared" si="3"/>
        <x:v>0.40024102665350447</x:v>
      </x:c>
    </x:row>
    <x:row r="12">
      <x:c r="A12" s="10" t="s">
        <x:v>111</x:v>
      </x:c>
      <x:c r="B12" t="s">
        <x:v>112</x:v>
      </x:c>
      <x:c r="C12" t="s">
        <x:v>105</x:v>
      </x:c>
      <x:c r="D12" t="s">
        <x:v>106</x:v>
      </x:c>
      <x:c r="E12" t="s">
        <x:v>33</x:v>
      </x:c>
      <x:c r="F12" t="s">
        <x:v>113</x:v>
      </x:c>
      <x:c r="H12" t="s">
        <x:v>36</x:v>
      </x:c>
      <x:c r="I12" t="s">
        <x:v>114</x:v>
      </x:c>
      <x:c r="J12">
        <x:v>5400</x:v>
      </x:c>
      <x:c r="K12">
        <x:v>0.3</x:v>
      </x:c>
      <x:c r="L12">
        <x:f t="shared" si="0"/>
        <x:v>7020</x:v>
      </x:c>
      <x:c r="M12" t="s">
        <x:v>38</x:v>
      </x:c>
      <x:c r="O12" t="s">
        <x:v>38</x:v>
      </x:c>
      <x:c r="P12" t="s">
        <x:v>39</x:v>
      </x:c>
      <x:c r="Q12" t="s">
        <x:v>112</x:v>
      </x:c>
      <x:c r="R12" t="s">
        <x:v>115</x:v>
      </x:c>
      <x:c r="S12" t="s">
        <x:v>110</x:v>
      </x:c>
      <x:c r="T12" s="2" t="n">
        <x:f>'SUPUESTOS PRECIOS'!$B$9</x:f>
        <x:v>0</x:v>
      </x:c>
      <x:c r="U12" s="3" t="n">
        <x:f>'SUPUESTOS PRECIOS'!$B$5/'SUPUESTOS PRECIOS'!$B$4</x:f>
        <x:v>1000</x:v>
      </x:c>
      <x:c r="V12" s="3" t="n">
        <x:f>('SUPUESTOS PRECIOS'!$B$6-'SUPUESTOS PRECIOS'!$B$7)/'SUPUESTOS PRECIOS'!$B$4</x:f>
        <x:v>377.5</x:v>
      </x:c>
      <x:c r="W12" s="4" t="n">
        <x:f>'SUPUESTOS PRECIOS'!$B$8</x:f>
        <x:v>0.00968</x:v>
      </x:c>
      <x:c r="X12" s="4" t="n">
        <x:f>'SUPUESTOS PRECIOS'!$B$2</x:f>
        <x:v>0.4</x:v>
      </x:c>
      <x:c r="Y12" s="3">
        <x:f t="shared" si="1"/>
        <x:v>11480</x:v>
      </x:c>
      <x:c r="Z12" s="3">
        <x:f t="shared" si="2"/>
        <x:v>4591.3735999999999</x:v>
      </x:c>
      <x:c r="AA12" s="11">
        <x:f t="shared" si="3"/>
        <x:v>0.39994543554006967</x:v>
      </x:c>
    </x:row>
    <x:row r="13">
      <x:c r="A13" s="10" t="s">
        <x:v>116</x:v>
      </x:c>
      <x:c r="B13" t="s">
        <x:v>117</x:v>
      </x:c>
      <x:c r="C13" t="s">
        <x:v>105</x:v>
      </x:c>
      <x:c r="D13" t="s">
        <x:v>106</x:v>
      </x:c>
      <x:c r="E13" t="s">
        <x:v>33</x:v>
      </x:c>
      <x:c r="F13" t="s">
        <x:v>118</x:v>
      </x:c>
      <x:c r="H13" t="s">
        <x:v>36</x:v>
      </x:c>
      <x:c r="I13" t="s">
        <x:v>119</x:v>
      </x:c>
      <x:c r="J13">
        <x:v>5400</x:v>
      </x:c>
      <x:c r="K13">
        <x:v>0.3</x:v>
      </x:c>
      <x:c r="L13">
        <x:f t="shared" si="0"/>
        <x:v>7020</x:v>
      </x:c>
      <x:c r="M13" t="s">
        <x:v>38</x:v>
      </x:c>
      <x:c r="O13" t="s">
        <x:v>38</x:v>
      </x:c>
      <x:c r="P13" t="s">
        <x:v>39</x:v>
      </x:c>
      <x:c r="Q13" t="s">
        <x:v>117</x:v>
      </x:c>
      <x:c r="R13" t="s">
        <x:v>120</x:v>
      </x:c>
      <x:c r="S13" t="s">
        <x:v>110</x:v>
      </x:c>
      <x:c r="T13" s="2" t="n">
        <x:f>'SUPUESTOS PRECIOS'!$B$9</x:f>
        <x:v>0</x:v>
      </x:c>
      <x:c r="U13" s="3" t="n">
        <x:f>'SUPUESTOS PRECIOS'!$B$5/'SUPUESTOS PRECIOS'!$B$4</x:f>
        <x:v>1000</x:v>
      </x:c>
      <x:c r="V13" s="3" t="n">
        <x:f>('SUPUESTOS PRECIOS'!$B$6-'SUPUESTOS PRECIOS'!$B$7)/'SUPUESTOS PRECIOS'!$B$4</x:f>
        <x:v>377.5</x:v>
      </x:c>
      <x:c r="W13" s="4" t="n">
        <x:f>'SUPUESTOS PRECIOS'!$B$8</x:f>
        <x:v>0.00968</x:v>
      </x:c>
      <x:c r="X13" s="4" t="n">
        <x:f>'SUPUESTOS PRECIOS'!$B$2</x:f>
        <x:v>0.4</x:v>
      </x:c>
      <x:c r="Y13" s="3">
        <x:f t="shared" si="1"/>
        <x:v>11480</x:v>
      </x:c>
      <x:c r="Z13" s="3">
        <x:f t="shared" si="2"/>
        <x:v>4591.3735999999999</x:v>
      </x:c>
      <x:c r="AA13" s="11">
        <x:f t="shared" si="3"/>
        <x:v>0.39994543554006967</x:v>
      </x:c>
    </x:row>
    <x:row r="14">
      <x:c r="A14" s="10" t="s">
        <x:v>121</x:v>
      </x:c>
      <x:c r="B14" t="s">
        <x:v>122</x:v>
      </x:c>
      <x:c r="C14" t="s">
        <x:v>105</x:v>
      </x:c>
      <x:c r="D14" t="s">
        <x:v>106</x:v>
      </x:c>
      <x:c r="E14" t="s">
        <x:v>33</x:v>
      </x:c>
      <x:c r="F14" t="s">
        <x:v>123</x:v>
      </x:c>
      <x:c r="H14" t="s">
        <x:v>36</x:v>
      </x:c>
      <x:c r="I14" t="s">
        <x:v>124</x:v>
      </x:c>
      <x:c r="J14">
        <x:v>5400</x:v>
      </x:c>
      <x:c r="K14">
        <x:v>0.3</x:v>
      </x:c>
      <x:c r="L14">
        <x:f t="shared" si="0"/>
        <x:v>7020</x:v>
      </x:c>
      <x:c r="M14" t="s">
        <x:v>38</x:v>
      </x:c>
      <x:c r="O14" t="s">
        <x:v>38</x:v>
      </x:c>
      <x:c r="P14" t="s">
        <x:v>39</x:v>
      </x:c>
      <x:c r="Q14" t="s">
        <x:v>122</x:v>
      </x:c>
      <x:c r="R14" t="s">
        <x:v>125</x:v>
      </x:c>
      <x:c r="S14" t="s">
        <x:v>110</x:v>
      </x:c>
      <x:c r="T14" s="2" t="n">
        <x:f>'SUPUESTOS PRECIOS'!$B$9</x:f>
        <x:v>0</x:v>
      </x:c>
      <x:c r="U14" s="3" t="n">
        <x:f>'SUPUESTOS PRECIOS'!$B$5/'SUPUESTOS PRECIOS'!$B$4</x:f>
        <x:v>1000</x:v>
      </x:c>
      <x:c r="V14" s="3" t="n">
        <x:f>('SUPUESTOS PRECIOS'!$B$6-'SUPUESTOS PRECIOS'!$B$7)/'SUPUESTOS PRECIOS'!$B$4</x:f>
        <x:v>377.5</x:v>
      </x:c>
      <x:c r="W14" s="4" t="n">
        <x:f>'SUPUESTOS PRECIOS'!$B$8</x:f>
        <x:v>0.00968</x:v>
      </x:c>
      <x:c r="X14" s="4" t="n">
        <x:f>'SUPUESTOS PRECIOS'!$B$2</x:f>
        <x:v>0.4</x:v>
      </x:c>
      <x:c r="Y14" s="3">
        <x:f t="shared" si="1"/>
        <x:v>11480</x:v>
      </x:c>
      <x:c r="Z14" s="3">
        <x:f t="shared" si="2"/>
        <x:v>4591.3735999999999</x:v>
      </x:c>
      <x:c r="AA14" s="11">
        <x:f t="shared" si="3"/>
        <x:v>0.39994543554006967</x:v>
      </x:c>
    </x:row>
    <x:row r="15">
      <x:c r="A15" s="10" t="s">
        <x:v>126</x:v>
      </x:c>
      <x:c r="B15" t="s">
        <x:v>127</x:v>
      </x:c>
      <x:c r="C15" t="s">
        <x:v>105</x:v>
      </x:c>
      <x:c r="D15" t="s">
        <x:v>106</x:v>
      </x:c>
      <x:c r="E15" t="s">
        <x:v>33</x:v>
      </x:c>
      <x:c r="F15" t="s">
        <x:v>128</x:v>
      </x:c>
      <x:c r="H15" t="s">
        <x:v>36</x:v>
      </x:c>
      <x:c r="I15" t="s">
        <x:v>129</x:v>
      </x:c>
      <x:c r="J15">
        <x:v>7300</x:v>
      </x:c>
      <x:c r="K15">
        <x:v>0.3</x:v>
      </x:c>
      <x:c r="L15">
        <x:f t="shared" si="0"/>
        <x:v>9490</x:v>
      </x:c>
      <x:c r="M15" t="s">
        <x:v>38</x:v>
      </x:c>
      <x:c r="O15" t="s">
        <x:v>38</x:v>
      </x:c>
      <x:c r="P15" t="s">
        <x:v>39</x:v>
      </x:c>
      <x:c r="Q15" t="s">
        <x:v>127</x:v>
      </x:c>
      <x:c r="R15" t="s">
        <x:v>130</x:v>
      </x:c>
      <x:c r="S15" t="s">
        <x:v>110</x:v>
      </x:c>
      <x:c r="T15" s="2" t="n">
        <x:f>'SUPUESTOS PRECIOS'!$B$9</x:f>
        <x:v>0</x:v>
      </x:c>
      <x:c r="U15" s="3" t="n">
        <x:f>'SUPUESTOS PRECIOS'!$B$5/'SUPUESTOS PRECIOS'!$B$4</x:f>
        <x:v>1000</x:v>
      </x:c>
      <x:c r="V15" s="3" t="n">
        <x:f>('SUPUESTOS PRECIOS'!$B$6-'SUPUESTOS PRECIOS'!$B$7)/'SUPUESTOS PRECIOS'!$B$4</x:f>
        <x:v>377.5</x:v>
      </x:c>
      <x:c r="W15" s="4" t="n">
        <x:f>'SUPUESTOS PRECIOS'!$B$8</x:f>
        <x:v>0.00968</x:v>
      </x:c>
      <x:c r="X15" s="4" t="n">
        <x:f>'SUPUESTOS PRECIOS'!$B$2</x:f>
        <x:v>0.4</x:v>
      </x:c>
      <x:c r="Y15" s="3">
        <x:f t="shared" si="1"/>
        <x:v>14700</x:v>
      </x:c>
      <x:c r="Z15" s="3">
        <x:f t="shared" si="2"/>
        <x:v>5880.2039999999997</x:v>
      </x:c>
      <x:c r="AA15" s="11">
        <x:f t="shared" si="3"/>
        <x:v>0.40001387755102041</x:v>
      </x:c>
    </x:row>
    <x:row r="16">
      <x:c r="A16" s="10" t="s">
        <x:v>131</x:v>
      </x:c>
      <x:c r="B16" t="s">
        <x:v>132</x:v>
      </x:c>
      <x:c r="C16" t="s">
        <x:v>133</x:v>
      </x:c>
      <x:c r="D16" t="s">
        <x:v>134</x:v>
      </x:c>
      <x:c r="E16" t="s">
        <x:v>33</x:v>
      </x:c>
      <x:c r="F16" t="s">
        <x:v>135</x:v>
      </x:c>
      <x:c r="H16" t="s">
        <x:v>136</x:v>
      </x:c>
      <x:c r="I16" t="s">
        <x:v>137</x:v>
      </x:c>
      <x:c r="J16">
        <x:v>700</x:v>
      </x:c>
      <x:c r="K16">
        <x:v>0.3</x:v>
      </x:c>
      <x:c r="L16">
        <x:f t="shared" si="0"/>
        <x:v>910</x:v>
      </x:c>
      <x:c r="M16" t="s">
        <x:v>38</x:v>
      </x:c>
      <x:c r="O16" t="s">
        <x:v>38</x:v>
      </x:c>
      <x:c r="P16" t="s">
        <x:v>39</x:v>
      </x:c>
      <x:c r="Q16" t="s">
        <x:v>132</x:v>
      </x:c>
      <x:c r="R16" t="s">
        <x:v>138</x:v>
      </x:c>
      <x:c r="S16" t="s">
        <x:v>139</x:v>
      </x:c>
      <x:c r="T16" s="2" t="n">
        <x:f>'SUPUESTOS PRECIOS'!$B$9</x:f>
        <x:v>0</x:v>
      </x:c>
      <x:c r="U16" s="3" t="n">
        <x:f>'SUPUESTOS PRECIOS'!$B$5/'SUPUESTOS PRECIOS'!$B$4</x:f>
        <x:v>1000</x:v>
      </x:c>
      <x:c r="V16" s="3" t="n">
        <x:f>('SUPUESTOS PRECIOS'!$B$6-'SUPUESTOS PRECIOS'!$B$7)/'SUPUESTOS PRECIOS'!$B$4</x:f>
        <x:v>377.5</x:v>
      </x:c>
      <x:c r="W16" s="4" t="n">
        <x:f>'SUPUESTOS PRECIOS'!$B$8</x:f>
        <x:v>0.00968</x:v>
      </x:c>
      <x:c r="X16" s="4" t="n">
        <x:f>'SUPUESTOS PRECIOS'!$B$2</x:f>
        <x:v>0.4</x:v>
      </x:c>
      <x:c r="Y16" s="3">
        <x:f t="shared" si="1"/>
        <x:v>3520</x:v>
      </x:c>
      <x:c r="Z16" s="3">
        <x:f t="shared" si="2"/>
        <x:v>1408.4264000000001</x:v>
      </x:c>
      <x:c r="AA16" s="11">
        <x:f t="shared" si="3"/>
        <x:v>0.40012113636363639</x:v>
      </x:c>
    </x:row>
    <x:row r="17">
      <x:c r="A17" s="10" t="s">
        <x:v>140</x:v>
      </x:c>
      <x:c r="B17" t="s">
        <x:v>141</x:v>
      </x:c>
      <x:c r="C17" t="s">
        <x:v>133</x:v>
      </x:c>
      <x:c r="D17" t="s">
        <x:v>134</x:v>
      </x:c>
      <x:c r="E17" t="s">
        <x:v>33</x:v>
      </x:c>
      <x:c r="F17" t="s">
        <x:v>142</x:v>
      </x:c>
      <x:c r="H17" t="s">
        <x:v>136</x:v>
      </x:c>
      <x:c r="I17" t="s">
        <x:v>143</x:v>
      </x:c>
      <x:c r="J17">
        <x:v>300</x:v>
      </x:c>
      <x:c r="K17">
        <x:v>0.3</x:v>
      </x:c>
      <x:c r="L17">
        <x:f t="shared" si="0"/>
        <x:v>390</x:v>
      </x:c>
      <x:c r="M17" t="s">
        <x:v>38</x:v>
      </x:c>
      <x:c r="O17" t="s">
        <x:v>38</x:v>
      </x:c>
      <x:c r="P17" t="s">
        <x:v>39</x:v>
      </x:c>
      <x:c r="Q17" t="s">
        <x:v>141</x:v>
      </x:c>
      <x:c r="R17" t="s">
        <x:v>144</x:v>
      </x:c>
      <x:c r="S17" t="s">
        <x:v>139</x:v>
      </x:c>
      <x:c r="T17" s="2" t="n">
        <x:f>'SUPUESTOS PRECIOS'!$B$9</x:f>
        <x:v>0</x:v>
      </x:c>
      <x:c r="U17" s="3" t="n">
        <x:f>'SUPUESTOS PRECIOS'!$B$5/'SUPUESTOS PRECIOS'!$B$4</x:f>
        <x:v>1000</x:v>
      </x:c>
      <x:c r="V17" s="3" t="n">
        <x:f>('SUPUESTOS PRECIOS'!$B$6-'SUPUESTOS PRECIOS'!$B$7)/'SUPUESTOS PRECIOS'!$B$4</x:f>
        <x:v>377.5</x:v>
      </x:c>
      <x:c r="W17" s="4" t="n">
        <x:f>'SUPUESTOS PRECIOS'!$B$8</x:f>
        <x:v>0.00968</x:v>
      </x:c>
      <x:c r="X17" s="4" t="n">
        <x:f>'SUPUESTOS PRECIOS'!$B$2</x:f>
        <x:v>0.4</x:v>
      </x:c>
      <x:c r="Y17" s="3">
        <x:f t="shared" si="1"/>
        <x:v>2840</x:v>
      </x:c>
      <x:c r="Z17" s="3">
        <x:f t="shared" si="2"/>
        <x:v>1135.0088000000001</x:v>
      </x:c>
      <x:c r="AA17" s="11">
        <x:f t="shared" si="3"/>
        <x:v>0.39965098591549297</x:v>
      </x:c>
    </x:row>
    <x:row r="18">
      <x:c r="A18" s="10" t="s">
        <x:v>145</x:v>
      </x:c>
      <x:c r="B18" t="s">
        <x:v>146</x:v>
      </x:c>
      <x:c r="C18" t="s">
        <x:v>133</x:v>
      </x:c>
      <x:c r="D18" t="s">
        <x:v>134</x:v>
      </x:c>
      <x:c r="E18" t="s">
        <x:v>33</x:v>
      </x:c>
      <x:c r="F18" t="s">
        <x:v>147</x:v>
      </x:c>
      <x:c r="H18" t="s">
        <x:v>136</x:v>
      </x:c>
      <x:c r="I18" t="s">
        <x:v>148</x:v>
      </x:c>
      <x:c r="J18">
        <x:v>500</x:v>
      </x:c>
      <x:c r="K18">
        <x:v>0.3</x:v>
      </x:c>
      <x:c r="L18">
        <x:f t="shared" si="0"/>
        <x:v>650</x:v>
      </x:c>
      <x:c r="M18" t="s">
        <x:v>38</x:v>
      </x:c>
      <x:c r="O18" t="s">
        <x:v>38</x:v>
      </x:c>
      <x:c r="P18" t="s">
        <x:v>39</x:v>
      </x:c>
      <x:c r="Q18" t="s">
        <x:v>146</x:v>
      </x:c>
      <x:c r="R18" t="s">
        <x:v>149</x:v>
      </x:c>
      <x:c r="S18" t="s">
        <x:v>139</x:v>
      </x:c>
      <x:c r="T18" s="2" t="n">
        <x:f>'SUPUESTOS PRECIOS'!$B$9</x:f>
        <x:v>0</x:v>
      </x:c>
      <x:c r="U18" s="3" t="n">
        <x:f>'SUPUESTOS PRECIOS'!$B$5/'SUPUESTOS PRECIOS'!$B$4</x:f>
        <x:v>1000</x:v>
      </x:c>
      <x:c r="V18" s="3" t="n">
        <x:f>('SUPUESTOS PRECIOS'!$B$6-'SUPUESTOS PRECIOS'!$B$7)/'SUPUESTOS PRECIOS'!$B$4</x:f>
        <x:v>377.5</x:v>
      </x:c>
      <x:c r="W18" s="4" t="n">
        <x:f>'SUPUESTOS PRECIOS'!$B$8</x:f>
        <x:v>0.00968</x:v>
      </x:c>
      <x:c r="X18" s="4" t="n">
        <x:f>'SUPUESTOS PRECIOS'!$B$2</x:f>
        <x:v>0.4</x:v>
      </x:c>
      <x:c r="Y18" s="3">
        <x:f t="shared" si="1"/>
        <x:v>3180</x:v>
      </x:c>
      <x:c r="Z18" s="3">
        <x:f t="shared" si="2"/>
        <x:v>1271.7175999999999</x:v>
      </x:c>
      <x:c r="AA18" s="11">
        <x:f t="shared" si="3"/>
        <x:v>0.39991119496855343</x:v>
      </x:c>
    </x:row>
    <x:row r="19">
      <x:c r="A19" s="10" t="s">
        <x:v>150</x:v>
      </x:c>
      <x:c r="B19" t="s">
        <x:v>151</x:v>
      </x:c>
      <x:c r="C19" t="s">
        <x:v>133</x:v>
      </x:c>
      <x:c r="D19" t="s">
        <x:v>134</x:v>
      </x:c>
      <x:c r="E19" t="s">
        <x:v>33</x:v>
      </x:c>
      <x:c r="F19" t="s">
        <x:v>152</x:v>
      </x:c>
      <x:c r="H19" t="s">
        <x:v>136</x:v>
      </x:c>
      <x:c r="I19" t="s">
        <x:v>153</x:v>
      </x:c>
      <x:c r="J19">
        <x:v>500</x:v>
      </x:c>
      <x:c r="K19">
        <x:v>0.3</x:v>
      </x:c>
      <x:c r="L19">
        <x:f t="shared" si="0"/>
        <x:v>650</x:v>
      </x:c>
      <x:c r="M19" t="s">
        <x:v>38</x:v>
      </x:c>
      <x:c r="O19" t="s">
        <x:v>38</x:v>
      </x:c>
      <x:c r="P19" t="s">
        <x:v>39</x:v>
      </x:c>
      <x:c r="Q19" t="s">
        <x:v>151</x:v>
      </x:c>
      <x:c r="R19" t="s">
        <x:v>154</x:v>
      </x:c>
      <x:c r="S19" t="s">
        <x:v>139</x:v>
      </x:c>
      <x:c r="T19" s="2" t="n">
        <x:f>'SUPUESTOS PRECIOS'!$B$9</x:f>
        <x:v>0</x:v>
      </x:c>
      <x:c r="U19" s="3" t="n">
        <x:f>'SUPUESTOS PRECIOS'!$B$5/'SUPUESTOS PRECIOS'!$B$4</x:f>
        <x:v>1000</x:v>
      </x:c>
      <x:c r="V19" s="3" t="n">
        <x:f>('SUPUESTOS PRECIOS'!$B$6-'SUPUESTOS PRECIOS'!$B$7)/'SUPUESTOS PRECIOS'!$B$4</x:f>
        <x:v>377.5</x:v>
      </x:c>
      <x:c r="W19" s="4" t="n">
        <x:f>'SUPUESTOS PRECIOS'!$B$8</x:f>
        <x:v>0.00968</x:v>
      </x:c>
      <x:c r="X19" s="4" t="n">
        <x:f>'SUPUESTOS PRECIOS'!$B$2</x:f>
        <x:v>0.4</x:v>
      </x:c>
      <x:c r="Y19" s="3">
        <x:f t="shared" si="1"/>
        <x:v>3180</x:v>
      </x:c>
      <x:c r="Z19" s="3">
        <x:f t="shared" si="2"/>
        <x:v>1271.7175999999999</x:v>
      </x:c>
      <x:c r="AA19" s="11">
        <x:f t="shared" si="3"/>
        <x:v>0.39991119496855343</x:v>
      </x:c>
      <x:c r="AB19" t="s">
        <x:v>155</x:v>
      </x:c>
      <x:c r="AC19" t="s">
        <x:v>156</x:v>
      </x:c>
    </x:row>
    <x:row r="20">
      <x:c r="A20" s="10" t="s">
        <x:v>157</x:v>
      </x:c>
      <x:c r="B20" t="s">
        <x:v>158</x:v>
      </x:c>
      <x:c r="C20" t="s">
        <x:v>133</x:v>
      </x:c>
      <x:c r="D20" t="s">
        <x:v>134</x:v>
      </x:c>
      <x:c r="E20" t="s">
        <x:v>33</x:v>
      </x:c>
      <x:c r="F20" t="s">
        <x:v>159</x:v>
      </x:c>
      <x:c r="H20" t="s">
        <x:v>136</x:v>
      </x:c>
      <x:c r="I20" t="s">
        <x:v>160</x:v>
      </x:c>
      <x:c r="J20">
        <x:v>500</x:v>
      </x:c>
      <x:c r="K20">
        <x:v>0.3</x:v>
      </x:c>
      <x:c r="L20">
        <x:f t="shared" si="0"/>
        <x:v>650</x:v>
      </x:c>
      <x:c r="M20" t="s">
        <x:v>38</x:v>
      </x:c>
      <x:c r="O20" t="s">
        <x:v>38</x:v>
      </x:c>
      <x:c r="P20" t="s">
        <x:v>39</x:v>
      </x:c>
      <x:c r="Q20" t="s">
        <x:v>158</x:v>
      </x:c>
      <x:c r="R20" t="s">
        <x:v>161</x:v>
      </x:c>
      <x:c r="S20" t="s">
        <x:v>139</x:v>
      </x:c>
      <x:c r="T20" s="2" t="n">
        <x:f>'SUPUESTOS PRECIOS'!$B$9</x:f>
        <x:v>0</x:v>
      </x:c>
      <x:c r="U20" s="3" t="n">
        <x:f>'SUPUESTOS PRECIOS'!$B$5/'SUPUESTOS PRECIOS'!$B$4</x:f>
        <x:v>1000</x:v>
      </x:c>
      <x:c r="V20" s="3" t="n">
        <x:f>('SUPUESTOS PRECIOS'!$B$6-'SUPUESTOS PRECIOS'!$B$7)/'SUPUESTOS PRECIOS'!$B$4</x:f>
        <x:v>377.5</x:v>
      </x:c>
      <x:c r="W20" s="4" t="n">
        <x:f>'SUPUESTOS PRECIOS'!$B$8</x:f>
        <x:v>0.00968</x:v>
      </x:c>
      <x:c r="X20" s="4" t="n">
        <x:f>'SUPUESTOS PRECIOS'!$B$2</x:f>
        <x:v>0.4</x:v>
      </x:c>
      <x:c r="Y20" s="3">
        <x:f t="shared" si="1"/>
        <x:v>3180</x:v>
      </x:c>
      <x:c r="Z20" s="3">
        <x:f t="shared" si="2"/>
        <x:v>1271.7175999999999</x:v>
      </x:c>
      <x:c r="AA20" s="11">
        <x:f t="shared" si="3"/>
        <x:v>0.39991119496855343</x:v>
      </x:c>
    </x:row>
    <x:row r="21">
      <x:c r="A21" s="10" t="s">
        <x:v>162</x:v>
      </x:c>
      <x:c r="B21" t="s">
        <x:v>163</x:v>
      </x:c>
      <x:c r="C21" t="s">
        <x:v>133</x:v>
      </x:c>
      <x:c r="D21" t="s">
        <x:v>134</x:v>
      </x:c>
      <x:c r="E21" t="s">
        <x:v>33</x:v>
      </x:c>
      <x:c r="F21" t="s">
        <x:v>152</x:v>
      </x:c>
      <x:c r="H21" t="s">
        <x:v>136</x:v>
      </x:c>
      <x:c r="I21" t="s">
        <x:v>164</x:v>
      </x:c>
      <x:c r="J21">
        <x:v>2050</x:v>
      </x:c>
      <x:c r="K21">
        <x:v>0.3</x:v>
      </x:c>
      <x:c r="L21">
        <x:f t="shared" si="0"/>
        <x:v>2665</x:v>
      </x:c>
      <x:c r="M21" t="s">
        <x:v>38</x:v>
      </x:c>
      <x:c r="O21" t="s">
        <x:v>38</x:v>
      </x:c>
      <x:c r="P21" t="s">
        <x:v>39</x:v>
      </x:c>
      <x:c r="Q21" t="s">
        <x:v>163</x:v>
      </x:c>
      <x:c r="R21" t="s">
        <x:v>154</x:v>
      </x:c>
      <x:c r="S21" t="s">
        <x:v>139</x:v>
      </x:c>
      <x:c r="T21" s="2" t="n">
        <x:f>'SUPUESTOS PRECIOS'!$B$9</x:f>
        <x:v>0</x:v>
      </x:c>
      <x:c r="U21" s="3" t="n">
        <x:f>'SUPUESTOS PRECIOS'!$B$5/'SUPUESTOS PRECIOS'!$B$4</x:f>
        <x:v>1000</x:v>
      </x:c>
      <x:c r="V21" s="3" t="n">
        <x:f>('SUPUESTOS PRECIOS'!$B$6-'SUPUESTOS PRECIOS'!$B$7)/'SUPUESTOS PRECIOS'!$B$4</x:f>
        <x:v>377.5</x:v>
      </x:c>
      <x:c r="W21" s="4" t="n">
        <x:f>'SUPUESTOS PRECIOS'!$B$8</x:f>
        <x:v>0.00968</x:v>
      </x:c>
      <x:c r="X21" s="4" t="n">
        <x:f>'SUPUESTOS PRECIOS'!$B$2</x:f>
        <x:v>0.4</x:v>
      </x:c>
      <x:c r="Y21" s="3">
        <x:f t="shared" si="1"/>
        <x:v>5810</x:v>
      </x:c>
      <x:c r="Z21" s="3">
        <x:f t="shared" si="2"/>
        <x:v>2326.2592</x:v>
      </x:c>
      <x:c r="AA21" s="11">
        <x:f t="shared" si="3"/>
        <x:v>0.40038884681583475</x:v>
      </x:c>
      <x:c r="AB21" t="s">
        <x:v>155</x:v>
      </x:c>
      <x:c r="AC21" t="s">
        <x:v>165</x:v>
      </x:c>
    </x:row>
    <x:row r="22">
      <x:c r="A22" s="10" t="s">
        <x:v>166</x:v>
      </x:c>
      <x:c r="B22" t="s">
        <x:v>167</x:v>
      </x:c>
      <x:c r="C22" t="s">
        <x:v>133</x:v>
      </x:c>
      <x:c r="D22" t="s">
        <x:v>134</x:v>
      </x:c>
      <x:c r="E22" t="s">
        <x:v>33</x:v>
      </x:c>
      <x:c r="F22" t="s">
        <x:v>152</x:v>
      </x:c>
      <x:c r="H22" t="s">
        <x:v>136</x:v>
      </x:c>
      <x:c r="I22" t="s">
        <x:v>168</x:v>
      </x:c>
      <x:c r="J22">
        <x:v>2050</x:v>
      </x:c>
      <x:c r="K22">
        <x:v>0.3</x:v>
      </x:c>
      <x:c r="L22">
        <x:f t="shared" si="0"/>
        <x:v>2665</x:v>
      </x:c>
      <x:c r="M22" t="s">
        <x:v>38</x:v>
      </x:c>
      <x:c r="O22" t="s">
        <x:v>38</x:v>
      </x:c>
      <x:c r="P22" t="s">
        <x:v>39</x:v>
      </x:c>
      <x:c r="Q22" t="s">
        <x:v>167</x:v>
      </x:c>
      <x:c r="R22" t="s">
        <x:v>154</x:v>
      </x:c>
      <x:c r="S22" t="s">
        <x:v>139</x:v>
      </x:c>
      <x:c r="T22" s="2" t="n">
        <x:f>'SUPUESTOS PRECIOS'!$B$9</x:f>
        <x:v>0</x:v>
      </x:c>
      <x:c r="U22" s="3" t="n">
        <x:f>'SUPUESTOS PRECIOS'!$B$5/'SUPUESTOS PRECIOS'!$B$4</x:f>
        <x:v>1000</x:v>
      </x:c>
      <x:c r="V22" s="3" t="n">
        <x:f>('SUPUESTOS PRECIOS'!$B$6-'SUPUESTOS PRECIOS'!$B$7)/'SUPUESTOS PRECIOS'!$B$4</x:f>
        <x:v>377.5</x:v>
      </x:c>
      <x:c r="W22" s="4" t="n">
        <x:f>'SUPUESTOS PRECIOS'!$B$8</x:f>
        <x:v>0.00968</x:v>
      </x:c>
      <x:c r="X22" s="4" t="n">
        <x:f>'SUPUESTOS PRECIOS'!$B$2</x:f>
        <x:v>0.4</x:v>
      </x:c>
      <x:c r="Y22" s="3">
        <x:f t="shared" si="1"/>
        <x:v>5810</x:v>
      </x:c>
      <x:c r="Z22" s="3">
        <x:f t="shared" si="2"/>
        <x:v>2326.2592</x:v>
      </x:c>
      <x:c r="AA22" s="11">
        <x:f t="shared" si="3"/>
        <x:v>0.40038884681583475</x:v>
      </x:c>
      <x:c r="AB22" t="s">
        <x:v>155</x:v>
      </x:c>
      <x:c r="AC22" t="s">
        <x:v>169</x:v>
      </x:c>
    </x:row>
    <x:row r="23">
      <x:c r="A23" s="10" t="s">
        <x:v>170</x:v>
      </x:c>
      <x:c r="B23" t="s">
        <x:v>171</x:v>
      </x:c>
      <x:c r="C23" t="s">
        <x:v>133</x:v>
      </x:c>
      <x:c r="D23" t="s">
        <x:v>134</x:v>
      </x:c>
      <x:c r="E23" t="s">
        <x:v>33</x:v>
      </x:c>
      <x:c r="F23" t="s">
        <x:v>172</x:v>
      </x:c>
      <x:c r="H23" t="s">
        <x:v>136</x:v>
      </x:c>
      <x:c r="I23" t="s">
        <x:v>173</x:v>
      </x:c>
      <x:c r="J23">
        <x:v>750</x:v>
      </x:c>
      <x:c r="K23">
        <x:v>0.3</x:v>
      </x:c>
      <x:c r="L23">
        <x:f t="shared" si="0"/>
        <x:v>975</x:v>
      </x:c>
      <x:c r="M23" t="s">
        <x:v>38</x:v>
      </x:c>
      <x:c r="O23" t="s">
        <x:v>38</x:v>
      </x:c>
      <x:c r="P23" t="s">
        <x:v>39</x:v>
      </x:c>
      <x:c r="Q23" t="s">
        <x:v>171</x:v>
      </x:c>
      <x:c r="R23" t="s">
        <x:v>174</x:v>
      </x:c>
      <x:c r="S23" t="s">
        <x:v>139</x:v>
      </x:c>
      <x:c r="T23" s="2" t="n">
        <x:f>'SUPUESTOS PRECIOS'!$B$9</x:f>
        <x:v>0</x:v>
      </x:c>
      <x:c r="U23" s="3" t="n">
        <x:f>'SUPUESTOS PRECIOS'!$B$5/'SUPUESTOS PRECIOS'!$B$4</x:f>
        <x:v>1000</x:v>
      </x:c>
      <x:c r="V23" s="3" t="n">
        <x:f>('SUPUESTOS PRECIOS'!$B$6-'SUPUESTOS PRECIOS'!$B$7)/'SUPUESTOS PRECIOS'!$B$4</x:f>
        <x:v>377.5</x:v>
      </x:c>
      <x:c r="W23" s="4" t="n">
        <x:f>'SUPUESTOS PRECIOS'!$B$8</x:f>
        <x:v>0.00968</x:v>
      </x:c>
      <x:c r="X23" s="4" t="n">
        <x:f>'SUPUESTOS PRECIOS'!$B$2</x:f>
        <x:v>0.4</x:v>
      </x:c>
      <x:c r="Y23" s="3">
        <x:f t="shared" si="1"/>
        <x:v>3600</x:v>
      </x:c>
      <x:c r="Z23" s="3">
        <x:f t="shared" si="2"/>
        <x:v>1437.652</x:v>
      </x:c>
      <x:c r="AA23" s="11">
        <x:f t="shared" si="3"/>
        <x:v>0.3993477777777778</x:v>
      </x:c>
      <x:c r="AB23" t="s">
        <x:v>175</x:v>
      </x:c>
      <x:c r="AC23" t="s">
        <x:v>169</x:v>
      </x:c>
    </x:row>
    <x:row r="24">
      <x:c r="A24" s="10" t="s">
        <x:v>176</x:v>
      </x:c>
      <x:c r="B24" t="s">
        <x:v>177</x:v>
      </x:c>
      <x:c r="C24" t="s">
        <x:v>133</x:v>
      </x:c>
      <x:c r="D24" t="s">
        <x:v>134</x:v>
      </x:c>
      <x:c r="E24" t="s">
        <x:v>178</x:v>
      </x:c>
      <x:c r="F24" t="s">
        <x:v>172</x:v>
      </x:c>
      <x:c r="H24" t="s">
        <x:v>136</x:v>
      </x:c>
      <x:c r="I24" t="s">
        <x:v>179</x:v>
      </x:c>
      <x:c r="J24">
        <x:v>650</x:v>
      </x:c>
      <x:c r="K24">
        <x:v>0.3</x:v>
      </x:c>
      <x:c r="L24">
        <x:f t="shared" si="0"/>
        <x:v>845</x:v>
      </x:c>
      <x:c r="M24" t="s">
        <x:v>38</x:v>
      </x:c>
      <x:c r="O24" t="s">
        <x:v>38</x:v>
      </x:c>
      <x:c r="P24" t="s">
        <x:v>39</x:v>
      </x:c>
      <x:c r="Q24" t="s">
        <x:v>177</x:v>
      </x:c>
      <x:c r="R24" t="s">
        <x:v>180</x:v>
      </x:c>
      <x:c r="S24" t="s">
        <x:v>139</x:v>
      </x:c>
      <x:c r="T24" s="2" t="n">
        <x:f>'SUPUESTOS PRECIOS'!$B$9</x:f>
        <x:v>0</x:v>
      </x:c>
      <x:c r="U24" s="3" t="n">
        <x:f>'SUPUESTOS PRECIOS'!$B$5/'SUPUESTOS PRECIOS'!$B$4</x:f>
        <x:v>1000</x:v>
      </x:c>
      <x:c r="V24" s="3" t="n">
        <x:f>('SUPUESTOS PRECIOS'!$B$6-'SUPUESTOS PRECIOS'!$B$7)/'SUPUESTOS PRECIOS'!$B$4</x:f>
        <x:v>377.5</x:v>
      </x:c>
      <x:c r="W24" s="4" t="n">
        <x:f>'SUPUESTOS PRECIOS'!$B$8</x:f>
        <x:v>0.00968</x:v>
      </x:c>
      <x:c r="X24" s="4" t="n">
        <x:f>'SUPUESTOS PRECIOS'!$B$2</x:f>
        <x:v>0.4</x:v>
      </x:c>
      <x:c r="Y24" s="3">
        <x:f t="shared" si="1"/>
        <x:v>3430</x:v>
      </x:c>
      <x:c r="Z24" s="3">
        <x:f t="shared" si="2"/>
        <x:v>1369.2976000000001</x:v>
      </x:c>
      <x:c r="AA24" s="11">
        <x:f t="shared" si="3"/>
        <x:v>0.39921212827988339</x:v>
      </x:c>
      <x:c r="AB24" t="s">
        <x:v>175</x:v>
      </x:c>
      <x:c r="AC24" t="s">
        <x:v>165</x:v>
      </x:c>
    </x:row>
    <x:row r="25">
      <x:c r="A25" s="10" t="s">
        <x:v>181</x:v>
      </x:c>
      <x:c r="B25" t="s">
        <x:v>182</x:v>
      </x:c>
      <x:c r="C25" t="s">
        <x:v>133</x:v>
      </x:c>
      <x:c r="D25" t="s">
        <x:v>134</x:v>
      </x:c>
      <x:c r="E25" t="s">
        <x:v>33</x:v>
      </x:c>
      <x:c r="F25" t="s">
        <x:v>183</x:v>
      </x:c>
      <x:c r="H25" t="s">
        <x:v>136</x:v>
      </x:c>
      <x:c r="I25" t="s">
        <x:v>184</x:v>
      </x:c>
      <x:c r="J25">
        <x:v>260</x:v>
      </x:c>
      <x:c r="K25">
        <x:v>0.3</x:v>
      </x:c>
      <x:c r="L25">
        <x:f t="shared" si="0"/>
        <x:v>338</x:v>
      </x:c>
      <x:c r="M25" t="s">
        <x:v>38</x:v>
      </x:c>
      <x:c r="O25" t="s">
        <x:v>38</x:v>
      </x:c>
      <x:c r="P25" t="s">
        <x:v>39</x:v>
      </x:c>
      <x:c r="Q25" t="s">
        <x:v>185</x:v>
      </x:c>
      <x:c r="R25" t="s">
        <x:v>186</x:v>
      </x:c>
      <x:c r="S25" t="s">
        <x:v>139</x:v>
      </x:c>
      <x:c r="T25" s="2" t="n">
        <x:f>'SUPUESTOS PRECIOS'!$B$9</x:f>
        <x:v>0</x:v>
      </x:c>
      <x:c r="U25" s="3" t="n">
        <x:f>'SUPUESTOS PRECIOS'!$B$5/'SUPUESTOS PRECIOS'!$B$4</x:f>
        <x:v>1000</x:v>
      </x:c>
      <x:c r="V25" s="3" t="n">
        <x:f>('SUPUESTOS PRECIOS'!$B$6-'SUPUESTOS PRECIOS'!$B$7)/'SUPUESTOS PRECIOS'!$B$4</x:f>
        <x:v>377.5</x:v>
      </x:c>
      <x:c r="W25" s="4" t="n">
        <x:f>'SUPUESTOS PRECIOS'!$B$8</x:f>
        <x:v>0.00968</x:v>
      </x:c>
      <x:c r="X25" s="4" t="n">
        <x:f>'SUPUESTOS PRECIOS'!$B$2</x:f>
        <x:v>0.4</x:v>
      </x:c>
      <x:c r="Y25" s="3">
        <x:f t="shared" si="1"/>
        <x:v>2770</x:v>
      </x:c>
      <x:c r="Z25" s="3">
        <x:f t="shared" si="2"/>
        <x:v>1105.6864</x:v>
      </x:c>
      <x:c r="AA25" s="11">
        <x:f t="shared" si="3"/>
        <x:v>0.3991647653429603</x:v>
      </x:c>
    </x:row>
    <x:row r="26">
      <x:c r="A26" s="10" t="s">
        <x:v>187</x:v>
      </x:c>
      <x:c r="B26" t="s">
        <x:v>185</x:v>
      </x:c>
      <x:c r="C26" t="s">
        <x:v>133</x:v>
      </x:c>
      <x:c r="D26" t="s">
        <x:v>134</x:v>
      </x:c>
      <x:c r="E26" t="s">
        <x:v>33</x:v>
      </x:c>
      <x:c r="F26" t="s">
        <x:v>183</x:v>
      </x:c>
      <x:c r="H26" t="s">
        <x:v>136</x:v>
      </x:c>
      <x:c r="I26" t="s">
        <x:v>188</x:v>
      </x:c>
      <x:c r="J26">
        <x:v>300</x:v>
      </x:c>
      <x:c r="K26">
        <x:v>0.3</x:v>
      </x:c>
      <x:c r="L26">
        <x:f t="shared" si="0"/>
        <x:v>390</x:v>
      </x:c>
      <x:c r="M26" t="s">
        <x:v>38</x:v>
      </x:c>
      <x:c r="O26" t="s">
        <x:v>38</x:v>
      </x:c>
      <x:c r="P26" t="s">
        <x:v>39</x:v>
      </x:c>
      <x:c r="Q26" t="s">
        <x:v>189</x:v>
      </x:c>
      <x:c r="R26" t="s">
        <x:v>186</x:v>
      </x:c>
      <x:c r="S26" t="s">
        <x:v>139</x:v>
      </x:c>
      <x:c r="T26" s="2" t="n">
        <x:f>'SUPUESTOS PRECIOS'!$B$9</x:f>
        <x:v>0</x:v>
      </x:c>
      <x:c r="U26" s="3" t="n">
        <x:f>'SUPUESTOS PRECIOS'!$B$5/'SUPUESTOS PRECIOS'!$B$4</x:f>
        <x:v>1000</x:v>
      </x:c>
      <x:c r="V26" s="3" t="n">
        <x:f>('SUPUESTOS PRECIOS'!$B$6-'SUPUESTOS PRECIOS'!$B$7)/'SUPUESTOS PRECIOS'!$B$4</x:f>
        <x:v>377.5</x:v>
      </x:c>
      <x:c r="W26" s="4" t="n">
        <x:f>'SUPUESTOS PRECIOS'!$B$8</x:f>
        <x:v>0.00968</x:v>
      </x:c>
      <x:c r="X26" s="4" t="n">
        <x:f>'SUPUESTOS PRECIOS'!$B$2</x:f>
        <x:v>0.4</x:v>
      </x:c>
      <x:c r="Y26" s="3">
        <x:f t="shared" si="1"/>
        <x:v>2840</x:v>
      </x:c>
      <x:c r="Z26" s="3">
        <x:f t="shared" si="2"/>
        <x:v>1135.0088000000001</x:v>
      </x:c>
      <x:c r="AA26" s="11">
        <x:f t="shared" si="3"/>
        <x:v>0.39965098591549297</x:v>
      </x:c>
    </x:row>
    <x:row r="27">
      <x:c r="A27" s="10" t="s">
        <x:v>190</x:v>
      </x:c>
      <x:c r="B27" t="s">
        <x:v>189</x:v>
      </x:c>
      <x:c r="C27" t="s">
        <x:v>133</x:v>
      </x:c>
      <x:c r="D27" t="s">
        <x:v>134</x:v>
      </x:c>
      <x:c r="E27" t="s">
        <x:v>33</x:v>
      </x:c>
      <x:c r="F27" t="s">
        <x:v>172</x:v>
      </x:c>
      <x:c r="H27" t="s">
        <x:v>136</x:v>
      </x:c>
      <x:c r="I27" t="s">
        <x:v>191</x:v>
      </x:c>
      <x:c r="J27">
        <x:v>300</x:v>
      </x:c>
      <x:c r="K27">
        <x:v>0.3</x:v>
      </x:c>
      <x:c r="L27">
        <x:f t="shared" si="0"/>
        <x:v>390</x:v>
      </x:c>
      <x:c r="M27" t="s">
        <x:v>38</x:v>
      </x:c>
      <x:c r="O27" t="s">
        <x:v>38</x:v>
      </x:c>
      <x:c r="P27" t="s">
        <x:v>39</x:v>
      </x:c>
      <x:c r="Q27" t="s">
        <x:v>192</x:v>
      </x:c>
      <x:c r="R27" t="s">
        <x:v>174</x:v>
      </x:c>
      <x:c r="S27" t="s">
        <x:v>139</x:v>
      </x:c>
      <x:c r="T27" s="2" t="n">
        <x:f>'SUPUESTOS PRECIOS'!$B$9</x:f>
        <x:v>0</x:v>
      </x:c>
      <x:c r="U27" s="3" t="n">
        <x:f>'SUPUESTOS PRECIOS'!$B$5/'SUPUESTOS PRECIOS'!$B$4</x:f>
        <x:v>1000</x:v>
      </x:c>
      <x:c r="V27" s="3" t="n">
        <x:f>('SUPUESTOS PRECIOS'!$B$6-'SUPUESTOS PRECIOS'!$B$7)/'SUPUESTOS PRECIOS'!$B$4</x:f>
        <x:v>377.5</x:v>
      </x:c>
      <x:c r="W27" s="4" t="n">
        <x:f>'SUPUESTOS PRECIOS'!$B$8</x:f>
        <x:v>0.00968</x:v>
      </x:c>
      <x:c r="X27" s="4" t="n">
        <x:f>'SUPUESTOS PRECIOS'!$B$2</x:f>
        <x:v>0.4</x:v>
      </x:c>
      <x:c r="Y27" s="3">
        <x:f t="shared" si="1"/>
        <x:v>2840</x:v>
      </x:c>
      <x:c r="Z27" s="3">
        <x:f t="shared" si="2"/>
        <x:v>1135.0088000000001</x:v>
      </x:c>
      <x:c r="AA27" s="11">
        <x:f t="shared" si="3"/>
        <x:v>0.39965098591549297</x:v>
      </x:c>
      <x:c r="AB27" t="s">
        <x:v>175</x:v>
      </x:c>
      <x:c r="AC27" t="s">
        <x:v>156</x:v>
      </x:c>
    </x:row>
    <x:row r="28">
      <x:c r="A28" s="10" t="s">
        <x:v>193</x:v>
      </x:c>
      <x:c r="B28" t="s">
        <x:v>192</x:v>
      </x:c>
      <x:c r="C28" t="s">
        <x:v>133</x:v>
      </x:c>
      <x:c r="D28" t="s">
        <x:v>134</x:v>
      </x:c>
      <x:c r="E28" t="s">
        <x:v>33</x:v>
      </x:c>
      <x:c r="F28" t="s">
        <x:v>194</x:v>
      </x:c>
      <x:c r="H28" t="s">
        <x:v>136</x:v>
      </x:c>
      <x:c r="I28" t="s">
        <x:v>195</x:v>
      </x:c>
      <x:c r="J28">
        <x:v>1100</x:v>
      </x:c>
      <x:c r="K28">
        <x:v>0.3</x:v>
      </x:c>
      <x:c r="L28">
        <x:f t="shared" si="0"/>
        <x:v>1430</x:v>
      </x:c>
      <x:c r="M28" t="s">
        <x:v>38</x:v>
      </x:c>
      <x:c r="O28" t="s">
        <x:v>38</x:v>
      </x:c>
      <x:c r="P28" t="s">
        <x:v>39</x:v>
      </x:c>
      <x:c r="Q28" t="s">
        <x:v>196</x:v>
      </x:c>
      <x:c r="R28" t="s">
        <x:v>197</x:v>
      </x:c>
      <x:c r="S28" t="s">
        <x:v>139</x:v>
      </x:c>
      <x:c r="T28" s="2" t="n">
        <x:f>'SUPUESTOS PRECIOS'!$B$9</x:f>
        <x:v>0</x:v>
      </x:c>
      <x:c r="U28" s="3" t="n">
        <x:f>'SUPUESTOS PRECIOS'!$B$5/'SUPUESTOS PRECIOS'!$B$4</x:f>
        <x:v>1000</x:v>
      </x:c>
      <x:c r="V28" s="3" t="n">
        <x:f>('SUPUESTOS PRECIOS'!$B$6-'SUPUESTOS PRECIOS'!$B$7)/'SUPUESTOS PRECIOS'!$B$4</x:f>
        <x:v>377.5</x:v>
      </x:c>
      <x:c r="W28" s="4" t="n">
        <x:f>'SUPUESTOS PRECIOS'!$B$8</x:f>
        <x:v>0.00968</x:v>
      </x:c>
      <x:c r="X28" s="4" t="n">
        <x:f>'SUPUESTOS PRECIOS'!$B$2</x:f>
        <x:v>0.4</x:v>
      </x:c>
      <x:c r="Y28" s="3">
        <x:f t="shared" si="1"/>
        <x:v>4200</x:v>
      </x:c>
      <x:c r="Z28" s="3">
        <x:f t="shared" si="2"/>
        <x:v>1681.8440000000001</x:v>
      </x:c>
      <x:c r="AA28" s="11">
        <x:f t="shared" si="3"/>
        <x:v>0.40043904761904764</x:v>
      </x:c>
    </x:row>
    <x:row r="29">
      <x:c r="A29" s="10" t="s">
        <x:v>198</x:v>
      </x:c>
      <x:c r="B29" t="s">
        <x:v>196</x:v>
      </x:c>
      <x:c r="C29" t="s">
        <x:v>133</x:v>
      </x:c>
      <x:c r="D29" t="s">
        <x:v>134</x:v>
      </x:c>
      <x:c r="E29" t="s">
        <x:v>33</x:v>
      </x:c>
      <x:c r="F29" t="s">
        <x:v>194</x:v>
      </x:c>
      <x:c r="H29" t="s">
        <x:v>136</x:v>
      </x:c>
      <x:c r="I29" t="s">
        <x:v>199</x:v>
      </x:c>
      <x:c r="J29">
        <x:v>1700</x:v>
      </x:c>
      <x:c r="K29">
        <x:v>0.3</x:v>
      </x:c>
      <x:c r="L29">
        <x:f t="shared" si="0"/>
        <x:v>2210</x:v>
      </x:c>
      <x:c r="M29" t="s">
        <x:v>38</x:v>
      </x:c>
      <x:c r="O29" t="s">
        <x:v>38</x:v>
      </x:c>
      <x:c r="P29" t="s">
        <x:v>39</x:v>
      </x:c>
      <x:c r="Q29" t="str">
        <x:v>RJR015-REPASADOR</x:v>
      </x:c>
      <x:c r="R29" t="s">
        <x:v>197</x:v>
      </x:c>
      <x:c r="S29" t="s">
        <x:v>139</x:v>
      </x:c>
      <x:c r="T29" s="2" t="n">
        <x:f>'SUPUESTOS PRECIOS'!$B$9</x:f>
        <x:v>0</x:v>
      </x:c>
      <x:c r="U29" s="3" t="n">
        <x:f>'SUPUESTOS PRECIOS'!$B$5/'SUPUESTOS PRECIOS'!$B$4</x:f>
        <x:v>1000</x:v>
      </x:c>
      <x:c r="V29" s="3" t="n">
        <x:f>('SUPUESTOS PRECIOS'!$B$6-'SUPUESTOS PRECIOS'!$B$7)/'SUPUESTOS PRECIOS'!$B$4</x:f>
        <x:v>377.5</x:v>
      </x:c>
      <x:c r="W29" s="4" t="n">
        <x:f>'SUPUESTOS PRECIOS'!$B$8</x:f>
        <x:v>0.00968</x:v>
      </x:c>
      <x:c r="X29" s="4" t="n">
        <x:f>'SUPUESTOS PRECIOS'!$B$2</x:f>
        <x:v>0.4</x:v>
      </x:c>
      <x:c r="Y29" s="3">
        <x:f t="shared" si="1"/>
        <x:v>5210</x:v>
      </x:c>
      <x:c r="Z29" s="3">
        <x:f t="shared" si="2"/>
        <x:v>2082.0672</x:v>
      </x:c>
      <x:c r="AA29" s="11">
        <x:f t="shared" si="3"/>
        <x:v>0.39962902111324378</x:v>
      </x:c>
    </x:row>
    <x:row r="30">
      <x:c r="A30" s="10" t="s">
        <x:v>200</x:v>
      </x:c>
      <x:c r="B30" t="s">
        <x:v>201</x:v>
      </x:c>
      <x:c r="C30" t="s">
        <x:v>133</x:v>
      </x:c>
      <x:c r="D30" t="s">
        <x:v>134</x:v>
      </x:c>
      <x:c r="E30" t="s">
        <x:v>33</x:v>
      </x:c>
      <x:c r="F30" t="s">
        <x:v>202</x:v>
      </x:c>
      <x:c r="H30" t="s">
        <x:v>136</x:v>
      </x:c>
      <x:c r="I30" t="s">
        <x:v>203</x:v>
      </x:c>
      <x:c r="J30">
        <x:v>600</x:v>
      </x:c>
      <x:c r="K30">
        <x:v>0.3</x:v>
      </x:c>
      <x:c r="L30">
        <x:f t="shared" si="0"/>
        <x:v>780</x:v>
      </x:c>
      <x:c r="M30" t="s">
        <x:v>38</x:v>
      </x:c>
      <x:c r="O30" t="s">
        <x:v>38</x:v>
      </x:c>
      <x:c r="P30" t="s">
        <x:v>39</x:v>
      </x:c>
      <x:c r="Q30" t="s">
        <x:v>201</x:v>
      </x:c>
      <x:c r="R30" t="s">
        <x:v>204</x:v>
      </x:c>
      <x:c r="S30" t="s">
        <x:v>139</x:v>
      </x:c>
      <x:c r="T30" s="2" t="n">
        <x:f>'SUPUESTOS PRECIOS'!$B$9</x:f>
        <x:v>0</x:v>
      </x:c>
      <x:c r="U30" s="3" t="n">
        <x:f>'SUPUESTOS PRECIOS'!$B$5/'SUPUESTOS PRECIOS'!$B$4</x:f>
        <x:v>1000</x:v>
      </x:c>
      <x:c r="V30" s="3" t="n">
        <x:f>('SUPUESTOS PRECIOS'!$B$6-'SUPUESTOS PRECIOS'!$B$7)/'SUPUESTOS PRECIOS'!$B$4</x:f>
        <x:v>377.5</x:v>
      </x:c>
      <x:c r="W30" s="4" t="n">
        <x:f>'SUPUESTOS PRECIOS'!$B$8</x:f>
        <x:v>0.00968</x:v>
      </x:c>
      <x:c r="X30" s="4" t="n">
        <x:f>'SUPUESTOS PRECIOS'!$B$2</x:f>
        <x:v>0.4</x:v>
      </x:c>
      <x:c r="Y30" s="3">
        <x:f t="shared" si="1"/>
        <x:v>3350</x:v>
      </x:c>
      <x:c r="Z30" s="3">
        <x:f t="shared" si="2"/>
        <x:v>1340.0720000000001</x:v>
      </x:c>
      <x:c r="AA30" s="11">
        <x:f t="shared" si="3"/>
        <x:v>0.40002149253731345</x:v>
      </x:c>
    </x:row>
    <x:row r="31">
      <x:c r="A31" s="10" t="s">
        <x:v>205</x:v>
      </x:c>
      <x:c r="B31" t="s">
        <x:v>206</x:v>
      </x:c>
      <x:c r="C31" t="s">
        <x:v>133</x:v>
      </x:c>
      <x:c r="D31" t="s">
        <x:v>207</x:v>
      </x:c>
      <x:c r="E31" t="s">
        <x:v>33</x:v>
      </x:c>
      <x:c r="F31" t="s">
        <x:v>208</x:v>
      </x:c>
      <x:c r="H31" t="s">
        <x:v>136</x:v>
      </x:c>
      <x:c r="I31" t="s">
        <x:v>209</x:v>
      </x:c>
      <x:c r="J31">
        <x:v>1150</x:v>
      </x:c>
      <x:c r="K31">
        <x:v>0.3</x:v>
      </x:c>
      <x:c r="L31">
        <x:f t="shared" si="0"/>
        <x:v>1495</x:v>
      </x:c>
      <x:c r="M31" t="s">
        <x:v>38</x:v>
      </x:c>
      <x:c r="O31" t="s">
        <x:v>38</x:v>
      </x:c>
      <x:c r="P31" t="s">
        <x:v>39</x:v>
      </x:c>
      <x:c r="Q31" t="s">
        <x:v>206</x:v>
      </x:c>
      <x:c r="R31" t="s">
        <x:v>210</x:v>
      </x:c>
      <x:c r="S31" t="s">
        <x:v>211</x:v>
      </x:c>
      <x:c r="T31" s="2" t="n">
        <x:f>'SUPUESTOS PRECIOS'!$B$9</x:f>
        <x:v>0</x:v>
      </x:c>
      <x:c r="U31" s="3" t="n">
        <x:f>'SUPUESTOS PRECIOS'!$B$5/'SUPUESTOS PRECIOS'!$B$4</x:f>
        <x:v>1000</x:v>
      </x:c>
      <x:c r="V31" s="3" t="n">
        <x:f>('SUPUESTOS PRECIOS'!$B$6-'SUPUESTOS PRECIOS'!$B$7)/'SUPUESTOS PRECIOS'!$B$4</x:f>
        <x:v>377.5</x:v>
      </x:c>
      <x:c r="W31" s="4" t="n">
        <x:f>'SUPUESTOS PRECIOS'!$B$8</x:f>
        <x:v>0.00968</x:v>
      </x:c>
      <x:c r="X31" s="4" t="n">
        <x:f>'SUPUESTOS PRECIOS'!$B$2</x:f>
        <x:v>0.4</x:v>
      </x:c>
      <x:c r="Y31" s="3">
        <x:f t="shared" si="1"/>
        <x:v>4280</x:v>
      </x:c>
      <x:c r="Z31" s="3">
        <x:f t="shared" si="2"/>
        <x:v>1711.0696</x:v>
      </x:c>
      <x:c r="AA31" s="11">
        <x:f t="shared" si="3"/>
        <x:v>0.39978261682242994</x:v>
      </x:c>
    </x:row>
    <x:row r="32">
      <x:c r="A32" s="10" t="s">
        <x:v>212</x:v>
      </x:c>
      <x:c r="B32" t="s">
        <x:v>213</x:v>
      </x:c>
      <x:c r="C32" t="s">
        <x:v>133</x:v>
      </x:c>
      <x:c r="D32" t="s">
        <x:v>207</x:v>
      </x:c>
      <x:c r="E32" t="s">
        <x:v>33</x:v>
      </x:c>
      <x:c r="F32" t="s">
        <x:v>214</x:v>
      </x:c>
      <x:c r="H32" t="s">
        <x:v>136</x:v>
      </x:c>
      <x:c r="I32" t="s">
        <x:v>215</x:v>
      </x:c>
      <x:c r="J32">
        <x:v>1150</x:v>
      </x:c>
      <x:c r="K32">
        <x:v>0.3</x:v>
      </x:c>
      <x:c r="L32">
        <x:f t="shared" si="0"/>
        <x:v>1495</x:v>
      </x:c>
      <x:c r="M32" t="s">
        <x:v>38</x:v>
      </x:c>
      <x:c r="O32" t="s">
        <x:v>38</x:v>
      </x:c>
      <x:c r="P32" t="s">
        <x:v>39</x:v>
      </x:c>
      <x:c r="Q32" t="s">
        <x:v>213</x:v>
      </x:c>
      <x:c r="R32" t="s">
        <x:v>216</x:v>
      </x:c>
      <x:c r="S32" t="s">
        <x:v>211</x:v>
      </x:c>
      <x:c r="T32" s="2" t="n">
        <x:f>'SUPUESTOS PRECIOS'!$B$9</x:f>
        <x:v>0</x:v>
      </x:c>
      <x:c r="U32" s="3" t="n">
        <x:f>'SUPUESTOS PRECIOS'!$B$5/'SUPUESTOS PRECIOS'!$B$4</x:f>
        <x:v>1000</x:v>
      </x:c>
      <x:c r="V32" s="3" t="n">
        <x:f>('SUPUESTOS PRECIOS'!$B$6-'SUPUESTOS PRECIOS'!$B$7)/'SUPUESTOS PRECIOS'!$B$4</x:f>
        <x:v>377.5</x:v>
      </x:c>
      <x:c r="W32" s="4" t="n">
        <x:f>'SUPUESTOS PRECIOS'!$B$8</x:f>
        <x:v>0.00968</x:v>
      </x:c>
      <x:c r="X32" s="4" t="n">
        <x:f>'SUPUESTOS PRECIOS'!$B$2</x:f>
        <x:v>0.4</x:v>
      </x:c>
      <x:c r="Y32" s="3">
        <x:f t="shared" si="1"/>
        <x:v>4280</x:v>
      </x:c>
      <x:c r="Z32" s="3">
        <x:f t="shared" si="2"/>
        <x:v>1711.0696</x:v>
      </x:c>
      <x:c r="AA32" s="11">
        <x:f t="shared" si="3"/>
        <x:v>0.39978261682242994</x:v>
      </x:c>
    </x:row>
    <x:row r="33">
      <x:c r="A33" s="10" t="s">
        <x:v>217</x:v>
      </x:c>
      <x:c r="B33" t="s">
        <x:v>218</x:v>
      </x:c>
      <x:c r="C33" t="s">
        <x:v>133</x:v>
      </x:c>
      <x:c r="D33" t="s">
        <x:v>207</x:v>
      </x:c>
      <x:c r="E33" t="s">
        <x:v>219</x:v>
      </x:c>
      <x:c r="F33" t="s">
        <x:v>220</x:v>
      </x:c>
      <x:c r="H33" t="s">
        <x:v>136</x:v>
      </x:c>
      <x:c r="I33" t="s">
        <x:v>221</x:v>
      </x:c>
      <x:c r="J33">
        <x:v>1000</x:v>
      </x:c>
      <x:c r="K33">
        <x:v>0.3</x:v>
      </x:c>
      <x:c r="L33">
        <x:f t="shared" si="0"/>
        <x:v>1300</x:v>
      </x:c>
      <x:c r="M33" t="s">
        <x:v>38</x:v>
      </x:c>
      <x:c r="O33" t="s">
        <x:v>38</x:v>
      </x:c>
      <x:c r="P33" t="s">
        <x:v>39</x:v>
      </x:c>
      <x:c r="Q33" t="s">
        <x:v>218</x:v>
      </x:c>
      <x:c r="R33" t="s">
        <x:v>222</x:v>
      </x:c>
      <x:c r="S33" t="s">
        <x:v>211</x:v>
      </x:c>
      <x:c r="T33" s="2" t="n">
        <x:f>'SUPUESTOS PRECIOS'!$B$9</x:f>
        <x:v>0</x:v>
      </x:c>
      <x:c r="U33" s="3" t="n">
        <x:f>'SUPUESTOS PRECIOS'!$B$5/'SUPUESTOS PRECIOS'!$B$4</x:f>
        <x:v>1000</x:v>
      </x:c>
      <x:c r="V33" s="3" t="n">
        <x:f>('SUPUESTOS PRECIOS'!$B$6-'SUPUESTOS PRECIOS'!$B$7)/'SUPUESTOS PRECIOS'!$B$4</x:f>
        <x:v>377.5</x:v>
      </x:c>
      <x:c r="W33" s="4" t="n">
        <x:f>'SUPUESTOS PRECIOS'!$B$8</x:f>
        <x:v>0.00968</x:v>
      </x:c>
      <x:c r="X33" s="4" t="n">
        <x:f>'SUPUESTOS PRECIOS'!$B$2</x:f>
        <x:v>0.4</x:v>
      </x:c>
      <x:c r="Y33" s="3">
        <x:f t="shared" si="1"/>
        <x:v>4030</x:v>
      </x:c>
      <x:c r="Z33" s="3">
        <x:f t="shared" si="2"/>
        <x:v>1613.4896000000001</x:v>
      </x:c>
      <x:c r="AA33" s="11">
        <x:f t="shared" si="3"/>
        <x:v>0.40036962779156332</x:v>
      </x:c>
      <x:c r="AB33" t="s">
        <x:v>223</x:v>
      </x:c>
      <x:c r="AC33" t="s">
        <x:v>165</x:v>
      </x:c>
    </x:row>
    <x:row r="34">
      <x:c r="A34" s="10" t="s">
        <x:v>224</x:v>
      </x:c>
      <x:c r="B34" t="s">
        <x:v>225</x:v>
      </x:c>
      <x:c r="C34" t="s">
        <x:v>133</x:v>
      </x:c>
      <x:c r="D34" t="s">
        <x:v>207</x:v>
      </x:c>
      <x:c r="E34" t="s">
        <x:v>226</x:v>
      </x:c>
      <x:c r="F34" t="s">
        <x:v>220</x:v>
      </x:c>
      <x:c r="H34" t="s">
        <x:v>136</x:v>
      </x:c>
      <x:c r="I34" t="s">
        <x:v>227</x:v>
      </x:c>
      <x:c r="J34">
        <x:v>650</x:v>
      </x:c>
      <x:c r="K34">
        <x:v>0.3</x:v>
      </x:c>
      <x:c r="L34">
        <x:f t="shared" si="0"/>
        <x:v>845</x:v>
      </x:c>
      <x:c r="M34" t="s">
        <x:v>38</x:v>
      </x:c>
      <x:c r="O34" t="s">
        <x:v>38</x:v>
      </x:c>
      <x:c r="P34" t="s">
        <x:v>39</x:v>
      </x:c>
      <x:c r="Q34" t="s">
        <x:v>225</x:v>
      </x:c>
      <x:c r="R34" t="s">
        <x:v>228</x:v>
      </x:c>
      <x:c r="S34" t="s">
        <x:v>211</x:v>
      </x:c>
      <x:c r="T34" s="2" t="n">
        <x:f>'SUPUESTOS PRECIOS'!$B$9</x:f>
        <x:v>0</x:v>
      </x:c>
      <x:c r="U34" s="3" t="n">
        <x:f>'SUPUESTOS PRECIOS'!$B$5/'SUPUESTOS PRECIOS'!$B$4</x:f>
        <x:v>1000</x:v>
      </x:c>
      <x:c r="V34" s="3" t="n">
        <x:f>('SUPUESTOS PRECIOS'!$B$6-'SUPUESTOS PRECIOS'!$B$7)/'SUPUESTOS PRECIOS'!$B$4</x:f>
        <x:v>377.5</x:v>
      </x:c>
      <x:c r="W34" s="4" t="n">
        <x:f>'SUPUESTOS PRECIOS'!$B$8</x:f>
        <x:v>0.00968</x:v>
      </x:c>
      <x:c r="X34" s="4" t="n">
        <x:f>'SUPUESTOS PRECIOS'!$B$2</x:f>
        <x:v>0.4</x:v>
      </x:c>
      <x:c r="Y34" s="3">
        <x:f t="shared" si="1"/>
        <x:v>3430</x:v>
      </x:c>
      <x:c r="Z34" s="3">
        <x:f t="shared" si="2"/>
        <x:v>1369.2976000000001</x:v>
      </x:c>
      <x:c r="AA34" s="11">
        <x:f t="shared" si="3"/>
        <x:v>0.39921212827988339</x:v>
      </x:c>
      <x:c r="AB34" t="s">
        <x:v>223</x:v>
      </x:c>
      <x:c r="AC34" t="s">
        <x:v>156</x:v>
      </x:c>
    </x:row>
    <x:row r="35">
      <x:c r="A35" s="10" t="s">
        <x:v>229</x:v>
      </x:c>
      <x:c r="B35" t="s">
        <x:v>230</x:v>
      </x:c>
      <x:c r="C35" t="s">
        <x:v>133</x:v>
      </x:c>
      <x:c r="D35" t="s">
        <x:v>207</x:v>
      </x:c>
      <x:c r="E35" t="s">
        <x:v>33</x:v>
      </x:c>
      <x:c r="F35" t="s">
        <x:v>231</x:v>
      </x:c>
      <x:c r="H35" t="s">
        <x:v>136</x:v>
      </x:c>
      <x:c r="I35" t="s">
        <x:v>232</x:v>
      </x:c>
      <x:c r="J35">
        <x:v>1300</x:v>
      </x:c>
      <x:c r="K35">
        <x:v>0.3</x:v>
      </x:c>
      <x:c r="L35">
        <x:f t="shared" si="0"/>
        <x:v>1690</x:v>
      </x:c>
      <x:c r="M35" t="s">
        <x:v>38</x:v>
      </x:c>
      <x:c r="O35" t="s">
        <x:v>38</x:v>
      </x:c>
      <x:c r="P35" t="s">
        <x:v>39</x:v>
      </x:c>
      <x:c r="Q35" t="s">
        <x:v>230</x:v>
      </x:c>
      <x:c r="R35" t="s">
        <x:v>233</x:v>
      </x:c>
      <x:c r="S35" t="s">
        <x:v>211</x:v>
      </x:c>
      <x:c r="T35" s="2" t="n">
        <x:f>'SUPUESTOS PRECIOS'!$B$9</x:f>
        <x:v>0</x:v>
      </x:c>
      <x:c r="U35" s="3" t="n">
        <x:f>'SUPUESTOS PRECIOS'!$B$5/'SUPUESTOS PRECIOS'!$B$4</x:f>
        <x:v>1000</x:v>
      </x:c>
      <x:c r="V35" s="3" t="n">
        <x:f>('SUPUESTOS PRECIOS'!$B$6-'SUPUESTOS PRECIOS'!$B$7)/'SUPUESTOS PRECIOS'!$B$4</x:f>
        <x:v>377.5</x:v>
      </x:c>
      <x:c r="W35" s="4" t="n">
        <x:f>'SUPUESTOS PRECIOS'!$B$8</x:f>
        <x:v>0.00968</x:v>
      </x:c>
      <x:c r="X35" s="4" t="n">
        <x:f>'SUPUESTOS PRECIOS'!$B$2</x:f>
        <x:v>0.4</x:v>
      </x:c>
      <x:c r="Y35" s="3">
        <x:f t="shared" si="1"/>
        <x:v>4540</x:v>
      </x:c>
      <x:c r="Z35" s="3">
        <x:f t="shared" si="2"/>
        <x:v>1818.5527999999999</x:v>
      </x:c>
      <x:c r="AA35" s="11">
        <x:f t="shared" si="3"/>
        <x:v>0.40056229074889865</x:v>
      </x:c>
    </x:row>
    <x:row r="36">
      <x:c r="A36" s="10" t="s">
        <x:v>234</x:v>
      </x:c>
      <x:c r="B36" t="s">
        <x:v>235</x:v>
      </x:c>
      <x:c r="C36" t="s">
        <x:v>133</x:v>
      </x:c>
      <x:c r="D36" t="s">
        <x:v>207</x:v>
      </x:c>
      <x:c r="E36" t="s">
        <x:v>33</x:v>
      </x:c>
      <x:c r="F36" t="s">
        <x:v>236</x:v>
      </x:c>
      <x:c r="H36" t="s">
        <x:v>136</x:v>
      </x:c>
      <x:c r="I36" t="s">
        <x:v>237</x:v>
      </x:c>
      <x:c r="K36">
        <x:v>0.3</x:v>
      </x:c>
      <x:c r="L36" t="str">
        <x:f t="shared" si="0"/>
      </x:c>
      <x:c r="M36" t="s">
        <x:v>38</x:v>
      </x:c>
      <x:c r="O36" t="s">
        <x:v>238</x:v>
      </x:c>
      <x:c r="P36" t="s">
        <x:v>39</x:v>
      </x:c>
      <x:c r="Q36" t="s">
        <x:v>235</x:v>
      </x:c>
      <x:c r="R36" t="s">
        <x:v>239</x:v>
      </x:c>
      <x:c r="S36" t="s">
        <x:v>211</x:v>
      </x:c>
      <x:c r="T36" s="2" t="n">
        <x:f>'SUPUESTOS PRECIOS'!$B$9</x:f>
        <x:v>0</x:v>
      </x:c>
      <x:c r="U36" s="3" t="n">
        <x:f>'SUPUESTOS PRECIOS'!$B$5/'SUPUESTOS PRECIOS'!$B$4</x:f>
        <x:v>1000</x:v>
      </x:c>
      <x:c r="V36" s="3" t="n">
        <x:f>('SUPUESTOS PRECIOS'!$B$6-'SUPUESTOS PRECIOS'!$B$7)/'SUPUESTOS PRECIOS'!$B$4</x:f>
        <x:v>377.5</x:v>
      </x:c>
      <x:c r="W36" s="4" t="n">
        <x:f>'SUPUESTOS PRECIOS'!$B$8</x:f>
        <x:v>0.00968</x:v>
      </x:c>
      <x:c r="X36" s="4" t="n">
        <x:f>'SUPUESTOS PRECIOS'!$B$2</x:f>
        <x:v>0.4</x:v>
      </x:c>
      <x:c r="Y36" s="3" t="str">
        <x:f t="shared" si="1"/>
      </x:c>
      <x:c r="Z36" s="3" t="str">
        <x:f t="shared" si="2"/>
      </x:c>
      <x:c r="AA36" s="11" t="str">
        <x:f t="shared" si="3"/>
      </x:c>
    </x:row>
    <x:row r="37">
      <x:c r="A37" s="10" t="s">
        <x:v>240</x:v>
      </x:c>
      <x:c r="B37" t="s">
        <x:v>241</x:v>
      </x:c>
      <x:c r="C37" t="s">
        <x:v>133</x:v>
      </x:c>
      <x:c r="D37" t="s">
        <x:v>207</x:v>
      </x:c>
      <x:c r="E37" t="s">
        <x:v>242</x:v>
      </x:c>
      <x:c r="F37" t="s">
        <x:v>243</x:v>
      </x:c>
      <x:c r="H37" t="s">
        <x:v>136</x:v>
      </x:c>
      <x:c r="I37" t="s">
        <x:v>244</x:v>
      </x:c>
      <x:c r="J37">
        <x:v>1100</x:v>
      </x:c>
      <x:c r="K37">
        <x:v>0.3</x:v>
      </x:c>
      <x:c r="L37">
        <x:f t="shared" si="0"/>
        <x:v>1430</x:v>
      </x:c>
      <x:c r="M37" t="s">
        <x:v>38</x:v>
      </x:c>
      <x:c r="O37" t="s">
        <x:v>38</x:v>
      </x:c>
      <x:c r="P37" t="s">
        <x:v>39</x:v>
      </x:c>
      <x:c r="Q37" t="s">
        <x:v>241</x:v>
      </x:c>
      <x:c r="R37" t="s">
        <x:v>245</x:v>
      </x:c>
      <x:c r="S37" t="s">
        <x:v>211</x:v>
      </x:c>
      <x:c r="T37" s="2" t="n">
        <x:f>'SUPUESTOS PRECIOS'!$B$9</x:f>
        <x:v>0</x:v>
      </x:c>
      <x:c r="U37" s="3" t="n">
        <x:f>'SUPUESTOS PRECIOS'!$B$5/'SUPUESTOS PRECIOS'!$B$4</x:f>
        <x:v>1000</x:v>
      </x:c>
      <x:c r="V37" s="3" t="n">
        <x:f>('SUPUESTOS PRECIOS'!$B$6-'SUPUESTOS PRECIOS'!$B$7)/'SUPUESTOS PRECIOS'!$B$4</x:f>
        <x:v>377.5</x:v>
      </x:c>
      <x:c r="W37" s="4" t="n">
        <x:f>'SUPUESTOS PRECIOS'!$B$8</x:f>
        <x:v>0.00968</x:v>
      </x:c>
      <x:c r="X37" s="4" t="n">
        <x:f>'SUPUESTOS PRECIOS'!$B$2</x:f>
        <x:v>0.4</x:v>
      </x:c>
      <x:c r="Y37" s="3">
        <x:f t="shared" si="1"/>
        <x:v>4200</x:v>
      </x:c>
      <x:c r="Z37" s="3">
        <x:f t="shared" si="2"/>
        <x:v>1681.8440000000001</x:v>
      </x:c>
      <x:c r="AA37" s="11">
        <x:f t="shared" si="3"/>
        <x:v>0.40043904761904764</x:v>
      </x:c>
    </x:row>
    <x:row r="38">
      <x:c r="A38" s="10" t="s">
        <x:v>246</x:v>
      </x:c>
      <x:c r="B38" t="s">
        <x:v>247</x:v>
      </x:c>
      <x:c r="C38" t="s">
        <x:v>133</x:v>
      </x:c>
      <x:c r="D38" t="s">
        <x:v>207</x:v>
      </x:c>
      <x:c r="E38" t="s">
        <x:v>33</x:v>
      </x:c>
      <x:c r="F38" t="s">
        <x:v>243</x:v>
      </x:c>
      <x:c r="H38" t="s">
        <x:v>136</x:v>
      </x:c>
      <x:c r="I38" t="s">
        <x:v>248</x:v>
      </x:c>
      <x:c r="J38">
        <x:v>1150</x:v>
      </x:c>
      <x:c r="K38">
        <x:v>0.3</x:v>
      </x:c>
      <x:c r="L38">
        <x:f t="shared" si="0"/>
        <x:v>1495</x:v>
      </x:c>
      <x:c r="M38" t="s">
        <x:v>38</x:v>
      </x:c>
      <x:c r="O38" t="s">
        <x:v>38</x:v>
      </x:c>
      <x:c r="P38" t="s">
        <x:v>39</x:v>
      </x:c>
      <x:c r="Q38" t="s">
        <x:v>247</x:v>
      </x:c>
      <x:c r="R38" t="s">
        <x:v>249</x:v>
      </x:c>
      <x:c r="S38" t="s">
        <x:v>211</x:v>
      </x:c>
      <x:c r="T38" s="2" t="n">
        <x:f>'SUPUESTOS PRECIOS'!$B$9</x:f>
        <x:v>0</x:v>
      </x:c>
      <x:c r="U38" s="3" t="n">
        <x:f>'SUPUESTOS PRECIOS'!$B$5/'SUPUESTOS PRECIOS'!$B$4</x:f>
        <x:v>1000</x:v>
      </x:c>
      <x:c r="V38" s="3" t="n">
        <x:f>('SUPUESTOS PRECIOS'!$B$6-'SUPUESTOS PRECIOS'!$B$7)/'SUPUESTOS PRECIOS'!$B$4</x:f>
        <x:v>377.5</x:v>
      </x:c>
      <x:c r="W38" s="4" t="n">
        <x:f>'SUPUESTOS PRECIOS'!$B$8</x:f>
        <x:v>0.00968</x:v>
      </x:c>
      <x:c r="X38" s="4" t="n">
        <x:f>'SUPUESTOS PRECIOS'!$B$2</x:f>
        <x:v>0.4</x:v>
      </x:c>
      <x:c r="Y38" s="3">
        <x:f t="shared" si="1"/>
        <x:v>4280</x:v>
      </x:c>
      <x:c r="Z38" s="3">
        <x:f t="shared" si="2"/>
        <x:v>1711.0696</x:v>
      </x:c>
      <x:c r="AA38" s="11">
        <x:f t="shared" si="3"/>
        <x:v>0.39978261682242994</x:v>
      </x:c>
    </x:row>
    <x:row r="39">
      <x:c r="A39" s="10" t="s">
        <x:v>250</x:v>
      </x:c>
      <x:c r="B39" t="s">
        <x:v>251</x:v>
      </x:c>
      <x:c r="C39" t="s">
        <x:v>133</x:v>
      </x:c>
      <x:c r="D39" t="s">
        <x:v>252</x:v>
      </x:c>
      <x:c r="E39" t="s">
        <x:v>33</x:v>
      </x:c>
      <x:c r="F39" t="s">
        <x:v>253</x:v>
      </x:c>
      <x:c r="H39" t="s">
        <x:v>136</x:v>
      </x:c>
      <x:c r="I39" t="s">
        <x:v>254</x:v>
      </x:c>
      <x:c r="J39">
        <x:v>5100</x:v>
      </x:c>
      <x:c r="K39">
        <x:v>0.3</x:v>
      </x:c>
      <x:c r="L39">
        <x:f t="shared" si="0"/>
        <x:v>6630</x:v>
      </x:c>
      <x:c r="M39" t="s">
        <x:v>38</x:v>
      </x:c>
      <x:c r="O39" t="s">
        <x:v>38</x:v>
      </x:c>
      <x:c r="P39" t="s">
        <x:v>39</x:v>
      </x:c>
      <x:c r="Q39" t="s">
        <x:v>251</x:v>
      </x:c>
      <x:c r="R39" t="s">
        <x:v>255</x:v>
      </x:c>
      <x:c r="S39" t="s">
        <x:v>256</x:v>
      </x:c>
      <x:c r="T39" s="2" t="n">
        <x:f>'SUPUESTOS PRECIOS'!$B$9</x:f>
        <x:v>0</x:v>
      </x:c>
      <x:c r="U39" s="3" t="n">
        <x:f>'SUPUESTOS PRECIOS'!$B$5/'SUPUESTOS PRECIOS'!$B$4</x:f>
        <x:v>1000</x:v>
      </x:c>
      <x:c r="V39" s="3" t="n">
        <x:f>('SUPUESTOS PRECIOS'!$B$6-'SUPUESTOS PRECIOS'!$B$7)/'SUPUESTOS PRECIOS'!$B$4</x:f>
        <x:v>377.5</x:v>
      </x:c>
      <x:c r="W39" s="4" t="n">
        <x:f>'SUPUESTOS PRECIOS'!$B$8</x:f>
        <x:v>0.00968</x:v>
      </x:c>
      <x:c r="X39" s="4" t="n">
        <x:f>'SUPUESTOS PRECIOS'!$B$2</x:f>
        <x:v>0.4</x:v>
      </x:c>
      <x:c r="Y39" s="3">
        <x:f t="shared" si="1"/>
        <x:v>10970</x:v>
      </x:c>
      <x:c r="Z39" s="3">
        <x:f t="shared" si="2"/>
        <x:v>4386.3104000000003</x:v>
      </x:c>
      <x:c r="AA39" s="11">
        <x:f t="shared" si="3"/>
        <x:v>0.39984597994530541</x:v>
      </x:c>
      <x:c r="AB39" t="s">
        <x:v>257</x:v>
      </x:c>
      <x:c r="AC39" t="s">
        <x:v>258</x:v>
      </x:c>
    </x:row>
    <x:row r="40">
      <x:c r="A40" s="10" t="s">
        <x:v>259</x:v>
      </x:c>
      <x:c r="B40" t="s">
        <x:v>260</x:v>
      </x:c>
      <x:c r="C40" t="s">
        <x:v>133</x:v>
      </x:c>
      <x:c r="D40" t="s">
        <x:v>252</x:v>
      </x:c>
      <x:c r="E40" t="s">
        <x:v>33</x:v>
      </x:c>
      <x:c r="F40" t="s">
        <x:v>261</x:v>
      </x:c>
      <x:c r="H40" t="s">
        <x:v>136</x:v>
      </x:c>
      <x:c r="I40" t="s">
        <x:v>262</x:v>
      </x:c>
      <x:c r="J40">
        <x:v>7200</x:v>
      </x:c>
      <x:c r="K40">
        <x:v>0.3</x:v>
      </x:c>
      <x:c r="L40">
        <x:f t="shared" si="0"/>
        <x:v>9360</x:v>
      </x:c>
      <x:c r="M40" t="s">
        <x:v>38</x:v>
      </x:c>
      <x:c r="O40" t="s">
        <x:v>38</x:v>
      </x:c>
      <x:c r="P40" t="s">
        <x:v>39</x:v>
      </x:c>
      <x:c r="Q40" t="s">
        <x:v>260</x:v>
      </x:c>
      <x:c r="R40" t="s">
        <x:v>263</x:v>
      </x:c>
      <x:c r="S40" t="s">
        <x:v>256</x:v>
      </x:c>
      <x:c r="T40" s="2" t="n">
        <x:f>'SUPUESTOS PRECIOS'!$B$9</x:f>
        <x:v>0</x:v>
      </x:c>
      <x:c r="U40" s="3" t="n">
        <x:f>'SUPUESTOS PRECIOS'!$B$5/'SUPUESTOS PRECIOS'!$B$4</x:f>
        <x:v>1000</x:v>
      </x:c>
      <x:c r="V40" s="3" t="n">
        <x:f>('SUPUESTOS PRECIOS'!$B$6-'SUPUESTOS PRECIOS'!$B$7)/'SUPUESTOS PRECIOS'!$B$4</x:f>
        <x:v>377.5</x:v>
      </x:c>
      <x:c r="W40" s="4" t="n">
        <x:f>'SUPUESTOS PRECIOS'!$B$8</x:f>
        <x:v>0.00968</x:v>
      </x:c>
      <x:c r="X40" s="4" t="n">
        <x:f>'SUPUESTOS PRECIOS'!$B$2</x:f>
        <x:v>0.4</x:v>
      </x:c>
      <x:c r="Y40" s="3">
        <x:f t="shared" si="1"/>
        <x:v>14530</x:v>
      </x:c>
      <x:c r="Z40" s="3">
        <x:f t="shared" si="2"/>
        <x:v>5811.8495999999996</x:v>
      </x:c>
      <x:c r="AA40" s="11">
        <x:f t="shared" si="3"/>
        <x:v>0.39998964900206468</x:v>
      </x:c>
      <x:c r="AB40" t="s">
        <x:v>257</x:v>
      </x:c>
      <x:c r="AC40" t="s">
        <x:v>264</x:v>
      </x:c>
    </x:row>
    <x:row r="41">
      <x:c r="A41" s="10" t="s">
        <x:v>265</x:v>
      </x:c>
      <x:c r="B41" t="s">
        <x:v>266</x:v>
      </x:c>
      <x:c r="C41" t="s">
        <x:v>133</x:v>
      </x:c>
      <x:c r="D41" t="s">
        <x:v>252</x:v>
      </x:c>
      <x:c r="E41" t="s">
        <x:v>33</x:v>
      </x:c>
      <x:c r="F41" t="s">
        <x:v>267</x:v>
      </x:c>
      <x:c r="H41" t="s">
        <x:v>136</x:v>
      </x:c>
      <x:c r="I41" t="s">
        <x:v>268</x:v>
      </x:c>
      <x:c r="J41">
        <x:v>8900</x:v>
      </x:c>
      <x:c r="K41">
        <x:v>0.3</x:v>
      </x:c>
      <x:c r="L41">
        <x:f t="shared" si="0"/>
        <x:v>11570</x:v>
      </x:c>
      <x:c r="M41" t="s">
        <x:v>38</x:v>
      </x:c>
      <x:c r="O41" t="s">
        <x:v>38</x:v>
      </x:c>
      <x:c r="P41" t="s">
        <x:v>39</x:v>
      </x:c>
      <x:c r="Q41" t="s">
        <x:v>266</x:v>
      </x:c>
      <x:c r="R41" t="s">
        <x:v>269</x:v>
      </x:c>
      <x:c r="S41" t="s">
        <x:v>256</x:v>
      </x:c>
      <x:c r="T41" s="2" t="n">
        <x:f>'SUPUESTOS PRECIOS'!$B$9</x:f>
        <x:v>0</x:v>
      </x:c>
      <x:c r="U41" s="3" t="n">
        <x:f>'SUPUESTOS PRECIOS'!$B$5/'SUPUESTOS PRECIOS'!$B$4</x:f>
        <x:v>1000</x:v>
      </x:c>
      <x:c r="V41" s="3" t="n">
        <x:f>('SUPUESTOS PRECIOS'!$B$6-'SUPUESTOS PRECIOS'!$B$7)/'SUPUESTOS PRECIOS'!$B$4</x:f>
        <x:v>377.5</x:v>
      </x:c>
      <x:c r="W41" s="4" t="n">
        <x:f>'SUPUESTOS PRECIOS'!$B$8</x:f>
        <x:v>0.00968</x:v>
      </x:c>
      <x:c r="X41" s="4" t="n">
        <x:f>'SUPUESTOS PRECIOS'!$B$2</x:f>
        <x:v>0.4</x:v>
      </x:c>
      <x:c r="Y41" s="3">
        <x:f t="shared" si="1"/>
        <x:v>17410</x:v>
      </x:c>
      <x:c r="Z41" s="3">
        <x:f t="shared" si="2"/>
        <x:v>6963.9712</x:v>
      </x:c>
      <x:c r="AA41" s="11">
        <x:f t="shared" si="3"/>
        <x:v>0.39999834577828836</x:v>
      </x:c>
      <x:c r="AB41" t="s">
        <x:v>257</x:v>
      </x:c>
      <x:c r="AC41" t="s">
        <x:v>270</x:v>
      </x:c>
    </x:row>
    <x:row r="42">
      <x:c r="A42" s="10" t="s">
        <x:v>271</x:v>
      </x:c>
      <x:c r="B42" t="s">
        <x:v>272</x:v>
      </x:c>
      <x:c r="C42" t="s">
        <x:v>133</x:v>
      </x:c>
      <x:c r="D42" t="s">
        <x:v>252</x:v>
      </x:c>
      <x:c r="E42" t="s">
        <x:v>33</x:v>
      </x:c>
      <x:c r="F42" t="s">
        <x:v>273</x:v>
      </x:c>
      <x:c r="H42" t="s">
        <x:v>136</x:v>
      </x:c>
      <x:c r="I42" t="s">
        <x:v>274</x:v>
      </x:c>
      <x:c r="J42">
        <x:v>11500</x:v>
      </x:c>
      <x:c r="K42">
        <x:v>0.3</x:v>
      </x:c>
      <x:c r="L42">
        <x:f t="shared" si="0"/>
        <x:v>14950</x:v>
      </x:c>
      <x:c r="M42" t="s">
        <x:v>38</x:v>
      </x:c>
      <x:c r="O42" t="s">
        <x:v>38</x:v>
      </x:c>
      <x:c r="P42" t="s">
        <x:v>39</x:v>
      </x:c>
      <x:c r="Q42" t="s">
        <x:v>272</x:v>
      </x:c>
      <x:c r="R42" t="s">
        <x:v>275</x:v>
      </x:c>
      <x:c r="S42" t="s">
        <x:v>256</x:v>
      </x:c>
      <x:c r="T42" s="2" t="n">
        <x:f>'SUPUESTOS PRECIOS'!$B$9</x:f>
        <x:v>0</x:v>
      </x:c>
      <x:c r="U42" s="3" t="n">
        <x:f>'SUPUESTOS PRECIOS'!$B$5/'SUPUESTOS PRECIOS'!$B$4</x:f>
        <x:v>1000</x:v>
      </x:c>
      <x:c r="V42" s="3" t="n">
        <x:f>('SUPUESTOS PRECIOS'!$B$6-'SUPUESTOS PRECIOS'!$B$7)/'SUPUESTOS PRECIOS'!$B$4</x:f>
        <x:v>377.5</x:v>
      </x:c>
      <x:c r="W42" s="4" t="n">
        <x:f>'SUPUESTOS PRECIOS'!$B$8</x:f>
        <x:v>0.00968</x:v>
      </x:c>
      <x:c r="X42" s="4" t="n">
        <x:f>'SUPUESTOS PRECIOS'!$B$2</x:f>
        <x:v>0.4</x:v>
      </x:c>
      <x:c r="Y42" s="3">
        <x:f t="shared" si="1"/>
        <x:v>21810</x:v>
      </x:c>
      <x:c r="Z42" s="3">
        <x:f t="shared" si="2"/>
        <x:v>8721.3791999999994</x:v>
      </x:c>
      <x:c r="AA42" s="11">
        <x:f t="shared" si="3"/>
        <x:v>0.39987983493810175</x:v>
      </x:c>
      <x:c r="AB42" t="s">
        <x:v>257</x:v>
      </x:c>
      <x:c r="AC42" t="s">
        <x:v>276</x:v>
      </x:c>
    </x:row>
    <x:row r="43">
      <x:c r="A43" s="10" t="s">
        <x:v>277</x:v>
      </x:c>
      <x:c r="B43" t="s">
        <x:v>278</x:v>
      </x:c>
      <x:c r="C43" t="s">
        <x:v>133</x:v>
      </x:c>
      <x:c r="D43" t="s">
        <x:v>252</x:v>
      </x:c>
      <x:c r="E43" t="s">
        <x:v>33</x:v>
      </x:c>
      <x:c r="F43" t="s">
        <x:v>279</x:v>
      </x:c>
      <x:c r="H43" t="s">
        <x:v>136</x:v>
      </x:c>
      <x:c r="I43" t="s">
        <x:v>280</x:v>
      </x:c>
      <x:c r="J43">
        <x:v>6200</x:v>
      </x:c>
      <x:c r="K43">
        <x:v>0.3</x:v>
      </x:c>
      <x:c r="L43">
        <x:f t="shared" si="0"/>
        <x:v>8060</x:v>
      </x:c>
      <x:c r="M43" t="s">
        <x:v>38</x:v>
      </x:c>
      <x:c r="O43" t="s">
        <x:v>38</x:v>
      </x:c>
      <x:c r="P43" t="s">
        <x:v>39</x:v>
      </x:c>
      <x:c r="Q43" t="s">
        <x:v>278</x:v>
      </x:c>
      <x:c r="R43" t="s">
        <x:v>281</x:v>
      </x:c>
      <x:c r="S43" t="s">
        <x:v>256</x:v>
      </x:c>
      <x:c r="T43" s="2" t="n">
        <x:f>'SUPUESTOS PRECIOS'!$B$9</x:f>
        <x:v>0</x:v>
      </x:c>
      <x:c r="U43" s="3" t="n">
        <x:f>'SUPUESTOS PRECIOS'!$B$5/'SUPUESTOS PRECIOS'!$B$4</x:f>
        <x:v>1000</x:v>
      </x:c>
      <x:c r="V43" s="3" t="n">
        <x:f>('SUPUESTOS PRECIOS'!$B$6-'SUPUESTOS PRECIOS'!$B$7)/'SUPUESTOS PRECIOS'!$B$4</x:f>
        <x:v>377.5</x:v>
      </x:c>
      <x:c r="W43" s="4" t="n">
        <x:f>'SUPUESTOS PRECIOS'!$B$8</x:f>
        <x:v>0.00968</x:v>
      </x:c>
      <x:c r="X43" s="4" t="n">
        <x:f>'SUPUESTOS PRECIOS'!$B$2</x:f>
        <x:v>0.4</x:v>
      </x:c>
      <x:c r="Y43" s="3">
        <x:f t="shared" si="1"/>
        <x:v>12840</x:v>
      </x:c>
      <x:c r="Z43" s="3">
        <x:f t="shared" si="2"/>
        <x:v>5138.2088000000003</x:v>
      </x:c>
      <x:c r="AA43" s="11">
        <x:f t="shared" si="3"/>
        <x:v>0.4001720249221184</x:v>
      </x:c>
    </x:row>
    <x:row r="44">
      <x:c r="A44" s="10" t="s">
        <x:v>282</x:v>
      </x:c>
      <x:c r="B44" t="s">
        <x:v>283</x:v>
      </x:c>
      <x:c r="C44" t="s">
        <x:v>133</x:v>
      </x:c>
      <x:c r="D44" t="s">
        <x:v>252</x:v>
      </x:c>
      <x:c r="E44" t="s">
        <x:v>33</x:v>
      </x:c>
      <x:c r="F44" t="s">
        <x:v>284</x:v>
      </x:c>
      <x:c r="H44" t="s">
        <x:v>136</x:v>
      </x:c>
      <x:c r="I44" t="s">
        <x:v>285</x:v>
      </x:c>
      <x:c r="J44">
        <x:v>7100</x:v>
      </x:c>
      <x:c r="K44">
        <x:v>0.3</x:v>
      </x:c>
      <x:c r="L44">
        <x:f t="shared" si="0"/>
        <x:v>9230</x:v>
      </x:c>
      <x:c r="M44" t="s">
        <x:v>38</x:v>
      </x:c>
      <x:c r="O44" t="s">
        <x:v>38</x:v>
      </x:c>
      <x:c r="P44" t="s">
        <x:v>39</x:v>
      </x:c>
      <x:c r="Q44" t="s">
        <x:v>283</x:v>
      </x:c>
      <x:c r="R44" t="s">
        <x:v>286</x:v>
      </x:c>
      <x:c r="S44" t="s">
        <x:v>256</x:v>
      </x:c>
      <x:c r="T44" s="2" t="n">
        <x:f>'SUPUESTOS PRECIOS'!$B$9</x:f>
        <x:v>0</x:v>
      </x:c>
      <x:c r="U44" s="3" t="n">
        <x:f>'SUPUESTOS PRECIOS'!$B$5/'SUPUESTOS PRECIOS'!$B$4</x:f>
        <x:v>1000</x:v>
      </x:c>
      <x:c r="V44" s="3" t="n">
        <x:f>('SUPUESTOS PRECIOS'!$B$6-'SUPUESTOS PRECIOS'!$B$7)/'SUPUESTOS PRECIOS'!$B$4</x:f>
        <x:v>377.5</x:v>
      </x:c>
      <x:c r="W44" s="4" t="n">
        <x:f>'SUPUESTOS PRECIOS'!$B$8</x:f>
        <x:v>0.00968</x:v>
      </x:c>
      <x:c r="X44" s="4" t="n">
        <x:f>'SUPUESTOS PRECIOS'!$B$2</x:f>
        <x:v>0.4</x:v>
      </x:c>
      <x:c r="Y44" s="3">
        <x:f t="shared" si="1"/>
        <x:v>14360</x:v>
      </x:c>
      <x:c r="Z44" s="3">
        <x:f t="shared" si="2"/>
        <x:v>5743.4952000000003</x:v>
      </x:c>
      <x:c r="AA44" s="11">
        <x:f t="shared" si="3"/>
        <x:v>0.39996484679665739</x:v>
      </x:c>
    </x:row>
    <x:row r="45">
      <x:c r="A45" s="10" t="s">
        <x:v>287</x:v>
      </x:c>
      <x:c r="B45" t="s">
        <x:v>288</x:v>
      </x:c>
      <x:c r="C45" t="s">
        <x:v>133</x:v>
      </x:c>
      <x:c r="D45" t="s">
        <x:v>252</x:v>
      </x:c>
      <x:c r="E45" t="s">
        <x:v>33</x:v>
      </x:c>
      <x:c r="F45" t="s">
        <x:v>289</x:v>
      </x:c>
      <x:c r="H45" t="s">
        <x:v>136</x:v>
      </x:c>
      <x:c r="I45" t="s">
        <x:v>290</x:v>
      </x:c>
      <x:c r="J45">
        <x:v>5500</x:v>
      </x:c>
      <x:c r="K45">
        <x:v>0.3</x:v>
      </x:c>
      <x:c r="L45">
        <x:f t="shared" si="0"/>
        <x:v>7150</x:v>
      </x:c>
      <x:c r="M45" t="s">
        <x:v>38</x:v>
      </x:c>
      <x:c r="O45" t="s">
        <x:v>38</x:v>
      </x:c>
      <x:c r="P45" t="s">
        <x:v>39</x:v>
      </x:c>
      <x:c r="Q45" t="s">
        <x:v>288</x:v>
      </x:c>
      <x:c r="R45" t="s">
        <x:v>291</x:v>
      </x:c>
      <x:c r="S45" t="s">
        <x:v>256</x:v>
      </x:c>
      <x:c r="T45" s="2" t="n">
        <x:f>'SUPUESTOS PRECIOS'!$B$9</x:f>
        <x:v>0</x:v>
      </x:c>
      <x:c r="U45" s="3" t="n">
        <x:f>'SUPUESTOS PRECIOS'!$B$5/'SUPUESTOS PRECIOS'!$B$4</x:f>
        <x:v>1000</x:v>
      </x:c>
      <x:c r="V45" s="3" t="n">
        <x:f>('SUPUESTOS PRECIOS'!$B$6-'SUPUESTOS PRECIOS'!$B$7)/'SUPUESTOS PRECIOS'!$B$4</x:f>
        <x:v>377.5</x:v>
      </x:c>
      <x:c r="W45" s="4" t="n">
        <x:f>'SUPUESTOS PRECIOS'!$B$8</x:f>
        <x:v>0.00968</x:v>
      </x:c>
      <x:c r="X45" s="4" t="n">
        <x:f>'SUPUESTOS PRECIOS'!$B$2</x:f>
        <x:v>0.4</x:v>
      </x:c>
      <x:c r="Y45" s="3">
        <x:f t="shared" si="1"/>
        <x:v>11650</x:v>
      </x:c>
      <x:c r="Z45" s="3">
        <x:f t="shared" si="2"/>
        <x:v>4659.7280000000001</x:v>
      </x:c>
      <x:c r="AA45" s="11">
        <x:f t="shared" si="3"/>
        <x:v>0.39997665236051505</x:v>
      </x:c>
      <x:c r="AB45" t="s">
        <x:v>292</x:v>
      </x:c>
      <x:c r="AC45" t="s">
        <x:v>293</x:v>
      </x:c>
    </x:row>
    <x:row r="46">
      <x:c r="A46" s="10" t="s">
        <x:v>294</x:v>
      </x:c>
      <x:c r="B46" t="s">
        <x:v>295</x:v>
      </x:c>
      <x:c r="C46" t="s">
        <x:v>133</x:v>
      </x:c>
      <x:c r="D46" t="s">
        <x:v>252</x:v>
      </x:c>
      <x:c r="E46" t="s">
        <x:v>33</x:v>
      </x:c>
      <x:c r="F46" t="s">
        <x:v>296</x:v>
      </x:c>
      <x:c r="H46" t="s">
        <x:v>136</x:v>
      </x:c>
      <x:c r="I46" t="s">
        <x:v>297</x:v>
      </x:c>
      <x:c r="J46">
        <x:v>7000</x:v>
      </x:c>
      <x:c r="K46">
        <x:v>0.3</x:v>
      </x:c>
      <x:c r="L46">
        <x:f t="shared" si="0"/>
        <x:v>9100</x:v>
      </x:c>
      <x:c r="M46" t="s">
        <x:v>38</x:v>
      </x:c>
      <x:c r="O46" t="s">
        <x:v>38</x:v>
      </x:c>
      <x:c r="P46" t="s">
        <x:v>39</x:v>
      </x:c>
      <x:c r="Q46" t="s">
        <x:v>295</x:v>
      </x:c>
      <x:c r="R46" t="s">
        <x:v>298</x:v>
      </x:c>
      <x:c r="S46" t="s">
        <x:v>256</x:v>
      </x:c>
      <x:c r="T46" s="2" t="n">
        <x:f>'SUPUESTOS PRECIOS'!$B$9</x:f>
        <x:v>0</x:v>
      </x:c>
      <x:c r="U46" s="3" t="n">
        <x:f>'SUPUESTOS PRECIOS'!$B$5/'SUPUESTOS PRECIOS'!$B$4</x:f>
        <x:v>1000</x:v>
      </x:c>
      <x:c r="V46" s="3" t="n">
        <x:f>('SUPUESTOS PRECIOS'!$B$6-'SUPUESTOS PRECIOS'!$B$7)/'SUPUESTOS PRECIOS'!$B$4</x:f>
        <x:v>377.5</x:v>
      </x:c>
      <x:c r="W46" s="4" t="n">
        <x:f>'SUPUESTOS PRECIOS'!$B$8</x:f>
        <x:v>0.00968</x:v>
      </x:c>
      <x:c r="X46" s="4" t="n">
        <x:f>'SUPUESTOS PRECIOS'!$B$2</x:f>
        <x:v>0.4</x:v>
      </x:c>
      <x:c r="Y46" s="3">
        <x:f t="shared" si="1"/>
        <x:v>14190</x:v>
      </x:c>
      <x:c r="Z46" s="3">
        <x:f t="shared" si="2"/>
        <x:v>5675.1408000000001</x:v>
      </x:c>
      <x:c r="AA46" s="11">
        <x:f t="shared" si="3"/>
        <x:v>0.39993945031712475</x:v>
      </x:c>
      <x:c r="AB46" t="s">
        <x:v>292</x:v>
      </x:c>
      <x:c r="AC46" t="s">
        <x:v>264</x:v>
      </x:c>
    </x:row>
    <x:row r="47">
      <x:c r="A47" s="10" t="s">
        <x:v>299</x:v>
      </x:c>
      <x:c r="B47" t="s">
        <x:v>300</x:v>
      </x:c>
      <x:c r="C47" t="s">
        <x:v>133</x:v>
      </x:c>
      <x:c r="D47" t="s">
        <x:v>252</x:v>
      </x:c>
      <x:c r="E47" t="s">
        <x:v>33</x:v>
      </x:c>
      <x:c r="F47" t="s">
        <x:v>301</x:v>
      </x:c>
      <x:c r="H47" t="s">
        <x:v>136</x:v>
      </x:c>
      <x:c r="I47" t="s">
        <x:v>302</x:v>
      </x:c>
      <x:c r="J47">
        <x:v>8000</x:v>
      </x:c>
      <x:c r="K47">
        <x:v>0.3</x:v>
      </x:c>
      <x:c r="L47">
        <x:f t="shared" si="0"/>
        <x:v>10400</x:v>
      </x:c>
      <x:c r="M47" t="s">
        <x:v>38</x:v>
      </x:c>
      <x:c r="O47" t="s">
        <x:v>38</x:v>
      </x:c>
      <x:c r="P47" t="s">
        <x:v>39</x:v>
      </x:c>
      <x:c r="Q47" t="s">
        <x:v>300</x:v>
      </x:c>
      <x:c r="R47" t="s">
        <x:v>303</x:v>
      </x:c>
      <x:c r="S47" t="s">
        <x:v>256</x:v>
      </x:c>
      <x:c r="T47" s="2" t="n">
        <x:f>'SUPUESTOS PRECIOS'!$B$9</x:f>
        <x:v>0</x:v>
      </x:c>
      <x:c r="U47" s="3" t="n">
        <x:f>'SUPUESTOS PRECIOS'!$B$5/'SUPUESTOS PRECIOS'!$B$4</x:f>
        <x:v>1000</x:v>
      </x:c>
      <x:c r="V47" s="3" t="n">
        <x:f>('SUPUESTOS PRECIOS'!$B$6-'SUPUESTOS PRECIOS'!$B$7)/'SUPUESTOS PRECIOS'!$B$4</x:f>
        <x:v>377.5</x:v>
      </x:c>
      <x:c r="W47" s="4" t="n">
        <x:f>'SUPUESTOS PRECIOS'!$B$8</x:f>
        <x:v>0.00968</x:v>
      </x:c>
      <x:c r="X47" s="4" t="n">
        <x:f>'SUPUESTOS PRECIOS'!$B$2</x:f>
        <x:v>0.4</x:v>
      </x:c>
      <x:c r="Y47" s="3">
        <x:f t="shared" si="1"/>
        <x:v>15890</x:v>
      </x:c>
      <x:c r="Z47" s="3">
        <x:f t="shared" si="2"/>
        <x:v>6358.6848</x:v>
      </x:c>
      <x:c r="AA47" s="11">
        <x:f t="shared" si="3"/>
        <x:v>0.40016896161107612</x:v>
      </x:c>
      <x:c r="AB47" t="s">
        <x:v>292</x:v>
      </x:c>
      <x:c r="AC47" t="s">
        <x:v>270</x:v>
      </x:c>
    </x:row>
    <x:row r="48">
      <x:c r="A48" s="10" t="s">
        <x:v>304</x:v>
      </x:c>
      <x:c r="B48" t="s">
        <x:v>305</x:v>
      </x:c>
      <x:c r="C48" t="s">
        <x:v>133</x:v>
      </x:c>
      <x:c r="D48" t="s">
        <x:v>252</x:v>
      </x:c>
      <x:c r="E48" t="s">
        <x:v>33</x:v>
      </x:c>
      <x:c r="F48" t="s">
        <x:v>306</x:v>
      </x:c>
      <x:c r="H48" t="s">
        <x:v>136</x:v>
      </x:c>
      <x:c r="I48" t="s">
        <x:v>307</x:v>
      </x:c>
      <x:c r="J48">
        <x:v>9900</x:v>
      </x:c>
      <x:c r="K48">
        <x:v>0.3</x:v>
      </x:c>
      <x:c r="L48">
        <x:f t="shared" si="0"/>
        <x:v>12870</x:v>
      </x:c>
      <x:c r="M48" t="s">
        <x:v>38</x:v>
      </x:c>
      <x:c r="O48" t="s">
        <x:v>38</x:v>
      </x:c>
      <x:c r="P48" t="s">
        <x:v>39</x:v>
      </x:c>
      <x:c r="Q48" t="s">
        <x:v>305</x:v>
      </x:c>
      <x:c r="R48" t="s">
        <x:v>308</x:v>
      </x:c>
      <x:c r="S48" t="s">
        <x:v>256</x:v>
      </x:c>
      <x:c r="T48" s="2" t="n">
        <x:f>'SUPUESTOS PRECIOS'!$B$9</x:f>
        <x:v>0</x:v>
      </x:c>
      <x:c r="U48" s="3" t="n">
        <x:f>'SUPUESTOS PRECIOS'!$B$5/'SUPUESTOS PRECIOS'!$B$4</x:f>
        <x:v>1000</x:v>
      </x:c>
      <x:c r="V48" s="3" t="n">
        <x:f>('SUPUESTOS PRECIOS'!$B$6-'SUPUESTOS PRECIOS'!$B$7)/'SUPUESTOS PRECIOS'!$B$4</x:f>
        <x:v>377.5</x:v>
      </x:c>
      <x:c r="W48" s="4" t="n">
        <x:f>'SUPUESTOS PRECIOS'!$B$8</x:f>
        <x:v>0.00968</x:v>
      </x:c>
      <x:c r="X48" s="4" t="n">
        <x:f>'SUPUESTOS PRECIOS'!$B$2</x:f>
        <x:v>0.4</x:v>
      </x:c>
      <x:c r="Y48" s="3">
        <x:f t="shared" si="1"/>
        <x:v>19100</x:v>
      </x:c>
      <x:c r="Z48" s="3">
        <x:f t="shared" si="2"/>
        <x:v>7637.6120000000001</x:v>
      </x:c>
      <x:c r="AA48" s="11">
        <x:f t="shared" si="3"/>
        <x:v>0.39987497382198955</x:v>
      </x:c>
      <x:c r="AB48" t="s">
        <x:v>292</x:v>
      </x:c>
      <x:c r="AC48" t="s">
        <x:v>276</x:v>
      </x:c>
    </x:row>
    <x:row r="49">
      <x:c r="A49" s="10" t="s">
        <x:v>309</x:v>
      </x:c>
      <x:c r="B49" t="s">
        <x:v>310</x:v>
      </x:c>
      <x:c r="C49" t="s">
        <x:v>133</x:v>
      </x:c>
      <x:c r="D49" t="s">
        <x:v>252</x:v>
      </x:c>
      <x:c r="E49" t="s">
        <x:v>33</x:v>
      </x:c>
      <x:c r="F49" t="s">
        <x:v>311</x:v>
      </x:c>
      <x:c r="H49" t="s">
        <x:v>136</x:v>
      </x:c>
      <x:c r="I49" t="s">
        <x:v>312</x:v>
      </x:c>
      <x:c r="J49">
        <x:v>1800</x:v>
      </x:c>
      <x:c r="K49">
        <x:v>0.3</x:v>
      </x:c>
      <x:c r="L49">
        <x:f t="shared" si="0"/>
        <x:v>2340</x:v>
      </x:c>
      <x:c r="M49" t="s">
        <x:v>38</x:v>
      </x:c>
      <x:c r="O49" t="s">
        <x:v>38</x:v>
      </x:c>
      <x:c r="P49" t="s">
        <x:v>39</x:v>
      </x:c>
      <x:c r="Q49" t="s">
        <x:v>310</x:v>
      </x:c>
      <x:c r="R49" t="s">
        <x:v>313</x:v>
      </x:c>
      <x:c r="S49" t="s">
        <x:v>256</x:v>
      </x:c>
      <x:c r="T49" s="2" t="n">
        <x:f>'SUPUESTOS PRECIOS'!$B$9</x:f>
        <x:v>0</x:v>
      </x:c>
      <x:c r="U49" s="3" t="n">
        <x:f>'SUPUESTOS PRECIOS'!$B$5/'SUPUESTOS PRECIOS'!$B$4</x:f>
        <x:v>1000</x:v>
      </x:c>
      <x:c r="V49" s="3" t="n">
        <x:f>('SUPUESTOS PRECIOS'!$B$6-'SUPUESTOS PRECIOS'!$B$7)/'SUPUESTOS PRECIOS'!$B$4</x:f>
        <x:v>377.5</x:v>
      </x:c>
      <x:c r="W49" s="4" t="n">
        <x:f>'SUPUESTOS PRECIOS'!$B$8</x:f>
        <x:v>0.00968</x:v>
      </x:c>
      <x:c r="X49" s="4" t="n">
        <x:f>'SUPUESTOS PRECIOS'!$B$2</x:f>
        <x:v>0.4</x:v>
      </x:c>
      <x:c r="Y49" s="3">
        <x:f t="shared" si="1"/>
        <x:v>5380</x:v>
      </x:c>
      <x:c r="Z49" s="3">
        <x:f t="shared" si="2"/>
        <x:v>2150.4216000000001</x:v>
      </x:c>
      <x:c r="AA49" s="11">
        <x:f t="shared" si="3"/>
        <x:v>0.39970661710037175</x:v>
      </x:c>
    </x:row>
    <x:row r="50">
      <x:c r="A50" s="10" t="s">
        <x:v>314</x:v>
      </x:c>
      <x:c r="B50" t="s">
        <x:v>315</x:v>
      </x:c>
      <x:c r="C50" t="s">
        <x:v>133</x:v>
      </x:c>
      <x:c r="D50" t="s">
        <x:v>252</x:v>
      </x:c>
      <x:c r="E50" t="s">
        <x:v>33</x:v>
      </x:c>
      <x:c r="F50" t="s">
        <x:v>316</x:v>
      </x:c>
      <x:c r="H50" t="s">
        <x:v>136</x:v>
      </x:c>
      <x:c r="I50" t="s">
        <x:v>317</x:v>
      </x:c>
      <x:c r="J50">
        <x:v>2900</x:v>
      </x:c>
      <x:c r="K50">
        <x:v>0.3</x:v>
      </x:c>
      <x:c r="L50">
        <x:f t="shared" si="0"/>
        <x:v>3770</x:v>
      </x:c>
      <x:c r="M50" t="s">
        <x:v>38</x:v>
      </x:c>
      <x:c r="O50" t="s">
        <x:v>38</x:v>
      </x:c>
      <x:c r="P50" t="s">
        <x:v>39</x:v>
      </x:c>
      <x:c r="Q50" t="s">
        <x:v>315</x:v>
      </x:c>
      <x:c r="R50" t="s">
        <x:v>318</x:v>
      </x:c>
      <x:c r="S50" t="s">
        <x:v>256</x:v>
      </x:c>
      <x:c r="T50" s="2" t="n">
        <x:f>'SUPUESTOS PRECIOS'!$B$9</x:f>
        <x:v>0</x:v>
      </x:c>
      <x:c r="U50" s="3" t="n">
        <x:f>'SUPUESTOS PRECIOS'!$B$5/'SUPUESTOS PRECIOS'!$B$4</x:f>
        <x:v>1000</x:v>
      </x:c>
      <x:c r="V50" s="3" t="n">
        <x:f>('SUPUESTOS PRECIOS'!$B$6-'SUPUESTOS PRECIOS'!$B$7)/'SUPUESTOS PRECIOS'!$B$4</x:f>
        <x:v>377.5</x:v>
      </x:c>
      <x:c r="W50" s="4" t="n">
        <x:f>'SUPUESTOS PRECIOS'!$B$8</x:f>
        <x:v>0.00968</x:v>
      </x:c>
      <x:c r="X50" s="4" t="n">
        <x:f>'SUPUESTOS PRECIOS'!$B$2</x:f>
        <x:v>0.4</x:v>
      </x:c>
      <x:c r="Y50" s="3">
        <x:f t="shared" si="1"/>
        <x:v>7250</x:v>
      </x:c>
      <x:c r="Z50" s="3">
        <x:f t="shared" si="2"/>
        <x:v>2902.32</x:v>
      </x:c>
      <x:c r="AA50" s="11">
        <x:f t="shared" si="3"/>
        <x:v>0.40032000000000001</x:v>
      </x:c>
    </x:row>
    <x:row r="51">
      <x:c r="A51" s="10" t="s">
        <x:v>319</x:v>
      </x:c>
      <x:c r="B51" t="s">
        <x:v>320</x:v>
      </x:c>
      <x:c r="C51" t="s">
        <x:v>133</x:v>
      </x:c>
      <x:c r="D51" t="s">
        <x:v>252</x:v>
      </x:c>
      <x:c r="E51" t="s">
        <x:v>33</x:v>
      </x:c>
      <x:c r="F51" t="s">
        <x:v>321</x:v>
      </x:c>
      <x:c r="H51" t="s">
        <x:v>136</x:v>
      </x:c>
      <x:c r="I51" t="s">
        <x:v>322</x:v>
      </x:c>
      <x:c r="J51">
        <x:v>6500</x:v>
      </x:c>
      <x:c r="K51">
        <x:v>0.3</x:v>
      </x:c>
      <x:c r="L51">
        <x:f t="shared" si="0"/>
        <x:v>8450</x:v>
      </x:c>
      <x:c r="M51" t="s">
        <x:v>38</x:v>
      </x:c>
      <x:c r="O51" t="s">
        <x:v>38</x:v>
      </x:c>
      <x:c r="P51" t="s">
        <x:v>39</x:v>
      </x:c>
      <x:c r="Q51" t="s">
        <x:v>320</x:v>
      </x:c>
      <x:c r="R51" t="s">
        <x:v>323</x:v>
      </x:c>
      <x:c r="S51" t="s">
        <x:v>256</x:v>
      </x:c>
      <x:c r="T51" s="2" t="n">
        <x:f>'SUPUESTOS PRECIOS'!$B$9</x:f>
        <x:v>0</x:v>
      </x:c>
      <x:c r="U51" s="3" t="n">
        <x:f>'SUPUESTOS PRECIOS'!$B$5/'SUPUESTOS PRECIOS'!$B$4</x:f>
        <x:v>1000</x:v>
      </x:c>
      <x:c r="V51" s="3" t="n">
        <x:f>('SUPUESTOS PRECIOS'!$B$6-'SUPUESTOS PRECIOS'!$B$7)/'SUPUESTOS PRECIOS'!$B$4</x:f>
        <x:v>377.5</x:v>
      </x:c>
      <x:c r="W51" s="4" t="n">
        <x:f>'SUPUESTOS PRECIOS'!$B$8</x:f>
        <x:v>0.00968</x:v>
      </x:c>
      <x:c r="X51" s="4" t="n">
        <x:f>'SUPUESTOS PRECIOS'!$B$2</x:f>
        <x:v>0.4</x:v>
      </x:c>
      <x:c r="Y51" s="3">
        <x:f t="shared" si="1"/>
        <x:v>13340</x:v>
      </x:c>
      <x:c r="Z51" s="3">
        <x:f t="shared" si="2"/>
        <x:v>5333.3688000000002</x:v>
      </x:c>
      <x:c r="AA51" s="11">
        <x:f t="shared" si="3"/>
        <x:v>0.39980275862068965</x:v>
      </x:c>
    </x:row>
    <x:row r="52">
      <x:c r="A52" s="10" t="s">
        <x:v>324</x:v>
      </x:c>
      <x:c r="B52" t="s">
        <x:v>325</x:v>
      </x:c>
      <x:c r="C52" t="s">
        <x:v>133</x:v>
      </x:c>
      <x:c r="D52" t="s">
        <x:v>252</x:v>
      </x:c>
      <x:c r="E52" t="s">
        <x:v>33</x:v>
      </x:c>
      <x:c r="F52" t="s">
        <x:v>326</x:v>
      </x:c>
      <x:c r="H52" t="s">
        <x:v>136</x:v>
      </x:c>
      <x:c r="I52" t="s">
        <x:v>327</x:v>
      </x:c>
      <x:c r="J52">
        <x:v>2000</x:v>
      </x:c>
      <x:c r="K52">
        <x:v>0.3</x:v>
      </x:c>
      <x:c r="L52">
        <x:f t="shared" si="0"/>
        <x:v>2600</x:v>
      </x:c>
      <x:c r="M52" t="s">
        <x:v>38</x:v>
      </x:c>
      <x:c r="O52" t="s">
        <x:v>38</x:v>
      </x:c>
      <x:c r="P52" t="s">
        <x:v>39</x:v>
      </x:c>
      <x:c r="Q52" t="s">
        <x:v>325</x:v>
      </x:c>
      <x:c r="R52" t="s">
        <x:v>328</x:v>
      </x:c>
      <x:c r="S52" t="s">
        <x:v>256</x:v>
      </x:c>
      <x:c r="T52" s="2" t="n">
        <x:f>'SUPUESTOS PRECIOS'!$B$9</x:f>
        <x:v>0</x:v>
      </x:c>
      <x:c r="U52" s="3" t="n">
        <x:f>'SUPUESTOS PRECIOS'!$B$5/'SUPUESTOS PRECIOS'!$B$4</x:f>
        <x:v>1000</x:v>
      </x:c>
      <x:c r="V52" s="3" t="n">
        <x:f>('SUPUESTOS PRECIOS'!$B$6-'SUPUESTOS PRECIOS'!$B$7)/'SUPUESTOS PRECIOS'!$B$4</x:f>
        <x:v>377.5</x:v>
      </x:c>
      <x:c r="W52" s="4" t="n">
        <x:f>'SUPUESTOS PRECIOS'!$B$8</x:f>
        <x:v>0.00968</x:v>
      </x:c>
      <x:c r="X52" s="4" t="n">
        <x:f>'SUPUESTOS PRECIOS'!$B$2</x:f>
        <x:v>0.4</x:v>
      </x:c>
      <x:c r="Y52" s="3">
        <x:f t="shared" si="1"/>
        <x:v>5720</x:v>
      </x:c>
      <x:c r="Z52" s="3">
        <x:f t="shared" si="2"/>
        <x:v>2287.1304</x:v>
      </x:c>
      <x:c r="AA52" s="11">
        <x:f t="shared" si="3"/>
        <x:v>0.39984797202797201</x:v>
      </x:c>
    </x:row>
    <x:row r="53">
      <x:c r="A53" s="10" t="s">
        <x:v>329</x:v>
      </x:c>
      <x:c r="B53" t="s">
        <x:v>330</x:v>
      </x:c>
      <x:c r="C53" t="s">
        <x:v>133</x:v>
      </x:c>
      <x:c r="D53" t="s">
        <x:v>252</x:v>
      </x:c>
      <x:c r="E53" t="s">
        <x:v>33</x:v>
      </x:c>
      <x:c r="F53" t="s">
        <x:v>331</x:v>
      </x:c>
      <x:c r="H53" t="s">
        <x:v>136</x:v>
      </x:c>
      <x:c r="I53" t="s">
        <x:v>332</x:v>
      </x:c>
      <x:c r="J53">
        <x:v>2600</x:v>
      </x:c>
      <x:c r="K53">
        <x:v>0.3</x:v>
      </x:c>
      <x:c r="L53">
        <x:f t="shared" si="0"/>
        <x:v>3380</x:v>
      </x:c>
      <x:c r="M53" t="s">
        <x:v>38</x:v>
      </x:c>
      <x:c r="O53" t="s">
        <x:v>38</x:v>
      </x:c>
      <x:c r="P53" t="s">
        <x:v>39</x:v>
      </x:c>
      <x:c r="Q53" t="s">
        <x:v>330</x:v>
      </x:c>
      <x:c r="R53" t="s">
        <x:v>333</x:v>
      </x:c>
      <x:c r="S53" t="s">
        <x:v>256</x:v>
      </x:c>
      <x:c r="T53" s="2" t="n">
        <x:f>'SUPUESTOS PRECIOS'!$B$9</x:f>
        <x:v>0</x:v>
      </x:c>
      <x:c r="U53" s="3" t="n">
        <x:f>'SUPUESTOS PRECIOS'!$B$5/'SUPUESTOS PRECIOS'!$B$4</x:f>
        <x:v>1000</x:v>
      </x:c>
      <x:c r="V53" s="3" t="n">
        <x:f>('SUPUESTOS PRECIOS'!$B$6-'SUPUESTOS PRECIOS'!$B$7)/'SUPUESTOS PRECIOS'!$B$4</x:f>
        <x:v>377.5</x:v>
      </x:c>
      <x:c r="W53" s="4" t="n">
        <x:f>'SUPUESTOS PRECIOS'!$B$8</x:f>
        <x:v>0.00968</x:v>
      </x:c>
      <x:c r="X53" s="4" t="n">
        <x:f>'SUPUESTOS PRECIOS'!$B$2</x:f>
        <x:v>0.4</x:v>
      </x:c>
      <x:c r="Y53" s="3">
        <x:f t="shared" si="1"/>
        <x:v>6740</x:v>
      </x:c>
      <x:c r="Z53" s="3">
        <x:f t="shared" si="2"/>
        <x:v>2697.2568000000001</x:v>
      </x:c>
      <x:c r="AA53" s="11">
        <x:f t="shared" si="3"/>
        <x:v>0.40018646884273001</x:v>
      </x:c>
    </x:row>
    <x:row r="54">
      <x:c r="A54" s="10" t="s">
        <x:v>334</x:v>
      </x:c>
      <x:c r="B54" t="s">
        <x:v>335</x:v>
      </x:c>
      <x:c r="C54" t="s">
        <x:v>133</x:v>
      </x:c>
      <x:c r="D54" t="s">
        <x:v>252</x:v>
      </x:c>
      <x:c r="E54" t="s">
        <x:v>33</x:v>
      </x:c>
      <x:c r="F54" t="s">
        <x:v>336</x:v>
      </x:c>
      <x:c r="H54" t="s">
        <x:v>136</x:v>
      </x:c>
      <x:c r="I54" t="s">
        <x:v>337</x:v>
      </x:c>
      <x:c r="J54">
        <x:v>2000</x:v>
      </x:c>
      <x:c r="K54">
        <x:v>0.3</x:v>
      </x:c>
      <x:c r="L54">
        <x:f t="shared" si="0"/>
        <x:v>2600</x:v>
      </x:c>
      <x:c r="M54" t="s">
        <x:v>38</x:v>
      </x:c>
      <x:c r="O54" t="s">
        <x:v>38</x:v>
      </x:c>
      <x:c r="P54" t="s">
        <x:v>39</x:v>
      </x:c>
      <x:c r="Q54" t="s">
        <x:v>335</x:v>
      </x:c>
      <x:c r="R54" t="s">
        <x:v>338</x:v>
      </x:c>
      <x:c r="S54" t="s">
        <x:v>256</x:v>
      </x:c>
      <x:c r="T54" s="2" t="n">
        <x:f>'SUPUESTOS PRECIOS'!$B$9</x:f>
        <x:v>0</x:v>
      </x:c>
      <x:c r="U54" s="3" t="n">
        <x:f>'SUPUESTOS PRECIOS'!$B$5/'SUPUESTOS PRECIOS'!$B$4</x:f>
        <x:v>1000</x:v>
      </x:c>
      <x:c r="V54" s="3" t="n">
        <x:f>('SUPUESTOS PRECIOS'!$B$6-'SUPUESTOS PRECIOS'!$B$7)/'SUPUESTOS PRECIOS'!$B$4</x:f>
        <x:v>377.5</x:v>
      </x:c>
      <x:c r="W54" s="4" t="n">
        <x:f>'SUPUESTOS PRECIOS'!$B$8</x:f>
        <x:v>0.00968</x:v>
      </x:c>
      <x:c r="X54" s="4" t="n">
        <x:f>'SUPUESTOS PRECIOS'!$B$2</x:f>
        <x:v>0.4</x:v>
      </x:c>
      <x:c r="Y54" s="3">
        <x:f t="shared" si="1"/>
        <x:v>5720</x:v>
      </x:c>
      <x:c r="Z54" s="3">
        <x:f t="shared" si="2"/>
        <x:v>2287.1304</x:v>
      </x:c>
      <x:c r="AA54" s="11">
        <x:f t="shared" si="3"/>
        <x:v>0.39984797202797201</x:v>
      </x:c>
    </x:row>
    <x:row r="55">
      <x:c r="A55" s="10" t="s">
        <x:v>339</x:v>
      </x:c>
      <x:c r="B55" t="s">
        <x:v>340</x:v>
      </x:c>
      <x:c r="C55" t="s">
        <x:v>133</x:v>
      </x:c>
      <x:c r="D55" t="s">
        <x:v>252</x:v>
      </x:c>
      <x:c r="E55" t="s">
        <x:v>33</x:v>
      </x:c>
      <x:c r="F55" t="s">
        <x:v>341</x:v>
      </x:c>
      <x:c r="H55" t="s">
        <x:v>136</x:v>
      </x:c>
      <x:c r="I55" t="s">
        <x:v>342</x:v>
      </x:c>
      <x:c r="J55">
        <x:v>9100</x:v>
      </x:c>
      <x:c r="K55">
        <x:v>0.3</x:v>
      </x:c>
      <x:c r="L55">
        <x:f t="shared" si="0"/>
        <x:v>11830</x:v>
      </x:c>
      <x:c r="M55" t="s">
        <x:v>38</x:v>
      </x:c>
      <x:c r="O55" t="s">
        <x:v>38</x:v>
      </x:c>
      <x:c r="P55" t="s">
        <x:v>39</x:v>
      </x:c>
      <x:c r="Q55" t="s">
        <x:v>340</x:v>
      </x:c>
      <x:c r="R55" t="s">
        <x:v>343</x:v>
      </x:c>
      <x:c r="S55" t="s">
        <x:v>256</x:v>
      </x:c>
      <x:c r="T55" s="2" t="n">
        <x:f>'SUPUESTOS PRECIOS'!$B$9</x:f>
        <x:v>0</x:v>
      </x:c>
      <x:c r="U55" s="3" t="n">
        <x:f>'SUPUESTOS PRECIOS'!$B$5/'SUPUESTOS PRECIOS'!$B$4</x:f>
        <x:v>1000</x:v>
      </x:c>
      <x:c r="V55" s="3" t="n">
        <x:f>('SUPUESTOS PRECIOS'!$B$6-'SUPUESTOS PRECIOS'!$B$7)/'SUPUESTOS PRECIOS'!$B$4</x:f>
        <x:v>377.5</x:v>
      </x:c>
      <x:c r="W55" s="4" t="n">
        <x:f>'SUPUESTOS PRECIOS'!$B$8</x:f>
        <x:v>0.00968</x:v>
      </x:c>
      <x:c r="X55" s="4" t="n">
        <x:f>'SUPUESTOS PRECIOS'!$B$2</x:f>
        <x:v>0.4</x:v>
      </x:c>
      <x:c r="Y55" s="3">
        <x:f t="shared" si="1"/>
        <x:v>17750</x:v>
      </x:c>
      <x:c r="Z55" s="3">
        <x:f t="shared" si="2"/>
        <x:v>7100.68</x:v>
      </x:c>
      <x:c r="AA55" s="11">
        <x:f t="shared" si="3"/>
        <x:v>0.40003830985915495</x:v>
      </x:c>
    </x:row>
    <x:row r="56">
      <x:c r="A56" s="10" t="s">
        <x:v>344</x:v>
      </x:c>
      <x:c r="B56" t="s">
        <x:v>345</x:v>
      </x:c>
      <x:c r="C56" t="s">
        <x:v>133</x:v>
      </x:c>
      <x:c r="D56" t="s">
        <x:v>252</x:v>
      </x:c>
      <x:c r="E56" t="s">
        <x:v>33</x:v>
      </x:c>
      <x:c r="F56" t="s">
        <x:v>346</x:v>
      </x:c>
      <x:c r="H56" t="s">
        <x:v>136</x:v>
      </x:c>
      <x:c r="I56" t="s">
        <x:v>347</x:v>
      </x:c>
      <x:c r="J56">
        <x:v>3000</x:v>
      </x:c>
      <x:c r="K56">
        <x:v>0.3</x:v>
      </x:c>
      <x:c r="L56">
        <x:f t="shared" si="0"/>
        <x:v>3900</x:v>
      </x:c>
      <x:c r="M56" t="s">
        <x:v>38</x:v>
      </x:c>
      <x:c r="O56" t="s">
        <x:v>38</x:v>
      </x:c>
      <x:c r="P56" t="s">
        <x:v>39</x:v>
      </x:c>
      <x:c r="Q56" t="s">
        <x:v>345</x:v>
      </x:c>
      <x:c r="R56" t="s">
        <x:v>348</x:v>
      </x:c>
      <x:c r="S56" t="s">
        <x:v>256</x:v>
      </x:c>
      <x:c r="T56" s="2" t="n">
        <x:f>'SUPUESTOS PRECIOS'!$B$9</x:f>
        <x:v>0</x:v>
      </x:c>
      <x:c r="U56" s="3" t="n">
        <x:f>'SUPUESTOS PRECIOS'!$B$5/'SUPUESTOS PRECIOS'!$B$4</x:f>
        <x:v>1000</x:v>
      </x:c>
      <x:c r="V56" s="3" t="n">
        <x:f>('SUPUESTOS PRECIOS'!$B$6-'SUPUESTOS PRECIOS'!$B$7)/'SUPUESTOS PRECIOS'!$B$4</x:f>
        <x:v>377.5</x:v>
      </x:c>
      <x:c r="W56" s="4" t="n">
        <x:f>'SUPUESTOS PRECIOS'!$B$8</x:f>
        <x:v>0.00968</x:v>
      </x:c>
      <x:c r="X56" s="4" t="n">
        <x:f>'SUPUESTOS PRECIOS'!$B$2</x:f>
        <x:v>0.4</x:v>
      </x:c>
      <x:c r="Y56" s="3">
        <x:f t="shared" si="1"/>
        <x:v>7420</x:v>
      </x:c>
      <x:c r="Z56" s="3">
        <x:f t="shared" si="2"/>
        <x:v>2970.6743999999999</x:v>
      </x:c>
      <x:c r="AA56" s="11">
        <x:f t="shared" si="3"/>
        <x:v>0.40036043126684634</x:v>
      </x:c>
    </x:row>
    <x:row r="57">
      <x:c r="A57" s="10" t="s">
        <x:v>349</x:v>
      </x:c>
      <x:c r="B57" t="s">
        <x:v>350</x:v>
      </x:c>
      <x:c r="C57" t="s">
        <x:v>133</x:v>
      </x:c>
      <x:c r="D57" t="s">
        <x:v>252</x:v>
      </x:c>
      <x:c r="E57" t="s">
        <x:v>351</x:v>
      </x:c>
      <x:c r="F57" t="s">
        <x:v>352</x:v>
      </x:c>
      <x:c r="H57" t="s">
        <x:v>136</x:v>
      </x:c>
      <x:c r="I57" t="s">
        <x:v>353</x:v>
      </x:c>
      <x:c r="J57">
        <x:v>3000</x:v>
      </x:c>
      <x:c r="K57">
        <x:v>0.3</x:v>
      </x:c>
      <x:c r="L57">
        <x:f t="shared" si="0"/>
        <x:v>3900</x:v>
      </x:c>
      <x:c r="M57" t="s">
        <x:v>38</x:v>
      </x:c>
      <x:c r="O57" t="s">
        <x:v>38</x:v>
      </x:c>
      <x:c r="P57" t="s">
        <x:v>39</x:v>
      </x:c>
      <x:c r="Q57" t="s">
        <x:v>350</x:v>
      </x:c>
      <x:c r="R57" t="s">
        <x:v>354</x:v>
      </x:c>
      <x:c r="S57" t="s">
        <x:v>256</x:v>
      </x:c>
      <x:c r="T57" s="2" t="n">
        <x:f>'SUPUESTOS PRECIOS'!$B$9</x:f>
        <x:v>0</x:v>
      </x:c>
      <x:c r="U57" s="3" t="n">
        <x:f>'SUPUESTOS PRECIOS'!$B$5/'SUPUESTOS PRECIOS'!$B$4</x:f>
        <x:v>1000</x:v>
      </x:c>
      <x:c r="V57" s="3" t="n">
        <x:f>('SUPUESTOS PRECIOS'!$B$6-'SUPUESTOS PRECIOS'!$B$7)/'SUPUESTOS PRECIOS'!$B$4</x:f>
        <x:v>377.5</x:v>
      </x:c>
      <x:c r="W57" s="4" t="n">
        <x:f>'SUPUESTOS PRECIOS'!$B$8</x:f>
        <x:v>0.00968</x:v>
      </x:c>
      <x:c r="X57" s="4" t="n">
        <x:f>'SUPUESTOS PRECIOS'!$B$2</x:f>
        <x:v>0.4</x:v>
      </x:c>
      <x:c r="Y57" s="3">
        <x:f t="shared" si="1"/>
        <x:v>7420</x:v>
      </x:c>
      <x:c r="Z57" s="3">
        <x:f t="shared" si="2"/>
        <x:v>2970.6743999999999</x:v>
      </x:c>
      <x:c r="AA57" s="11">
        <x:f t="shared" si="3"/>
        <x:v>0.40036043126684634</x:v>
      </x:c>
    </x:row>
    <x:row r="58">
      <x:c r="A58" s="10" t="s">
        <x:v>355</x:v>
      </x:c>
      <x:c r="B58" t="s">
        <x:v>356</x:v>
      </x:c>
      <x:c r="C58" t="s">
        <x:v>133</x:v>
      </x:c>
      <x:c r="D58" t="s">
        <x:v>252</x:v>
      </x:c>
      <x:c r="E58" t="s">
        <x:v>33</x:v>
      </x:c>
      <x:c r="F58" t="s">
        <x:v>357</x:v>
      </x:c>
      <x:c r="H58" t="s">
        <x:v>136</x:v>
      </x:c>
      <x:c r="I58" t="s">
        <x:v>358</x:v>
      </x:c>
      <x:c r="J58">
        <x:v>4200</x:v>
      </x:c>
      <x:c r="K58">
        <x:v>0.3</x:v>
      </x:c>
      <x:c r="L58">
        <x:f t="shared" si="0"/>
        <x:v>5460</x:v>
      </x:c>
      <x:c r="M58" t="s">
        <x:v>38</x:v>
      </x:c>
      <x:c r="O58" t="s">
        <x:v>38</x:v>
      </x:c>
      <x:c r="P58" t="s">
        <x:v>39</x:v>
      </x:c>
      <x:c r="Q58" t="s">
        <x:v>356</x:v>
      </x:c>
      <x:c r="R58" t="s">
        <x:v>359</x:v>
      </x:c>
      <x:c r="S58" t="s">
        <x:v>256</x:v>
      </x:c>
      <x:c r="T58" s="2" t="n">
        <x:f>'SUPUESTOS PRECIOS'!$B$9</x:f>
        <x:v>0</x:v>
      </x:c>
      <x:c r="U58" s="3" t="n">
        <x:f>'SUPUESTOS PRECIOS'!$B$5/'SUPUESTOS PRECIOS'!$B$4</x:f>
        <x:v>1000</x:v>
      </x:c>
      <x:c r="V58" s="3" t="n">
        <x:f>('SUPUESTOS PRECIOS'!$B$6-'SUPUESTOS PRECIOS'!$B$7)/'SUPUESTOS PRECIOS'!$B$4</x:f>
        <x:v>377.5</x:v>
      </x:c>
      <x:c r="W58" s="4" t="n">
        <x:f>'SUPUESTOS PRECIOS'!$B$8</x:f>
        <x:v>0.00968</x:v>
      </x:c>
      <x:c r="X58" s="4" t="n">
        <x:f>'SUPUESTOS PRECIOS'!$B$2</x:f>
        <x:v>0.4</x:v>
      </x:c>
      <x:c r="Y58" s="3">
        <x:f t="shared" si="1"/>
        <x:v>9450</x:v>
      </x:c>
      <x:c r="Z58" s="3">
        <x:f t="shared" si="2"/>
        <x:v>3781.0239999999999</x:v>
      </x:c>
      <x:c r="AA58" s="11">
        <x:f t="shared" si="3"/>
        <x:v>0.40010835978835979</x:v>
      </x:c>
    </x:row>
    <x:row r="59">
      <x:c r="A59" s="10" t="s">
        <x:v>360</x:v>
      </x:c>
      <x:c r="B59" t="s">
        <x:v>361</x:v>
      </x:c>
      <x:c r="C59" t="s">
        <x:v>133</x:v>
      </x:c>
      <x:c r="D59" t="s">
        <x:v>252</x:v>
      </x:c>
      <x:c r="E59" t="s">
        <x:v>33</x:v>
      </x:c>
      <x:c r="F59" t="s">
        <x:v>362</x:v>
      </x:c>
      <x:c r="H59" t="s">
        <x:v>136</x:v>
      </x:c>
      <x:c r="I59" t="s">
        <x:v>363</x:v>
      </x:c>
      <x:c r="J59">
        <x:v>3100</x:v>
      </x:c>
      <x:c r="K59">
        <x:v>0.3</x:v>
      </x:c>
      <x:c r="L59">
        <x:f t="shared" si="0"/>
        <x:v>4030</x:v>
      </x:c>
      <x:c r="M59" t="s">
        <x:v>38</x:v>
      </x:c>
      <x:c r="O59" t="s">
        <x:v>38</x:v>
      </x:c>
      <x:c r="P59" t="s">
        <x:v>39</x:v>
      </x:c>
      <x:c r="Q59" t="s">
        <x:v>361</x:v>
      </x:c>
      <x:c r="R59" t="s">
        <x:v>364</x:v>
      </x:c>
      <x:c r="S59" t="s">
        <x:v>256</x:v>
      </x:c>
      <x:c r="T59" s="2" t="n">
        <x:f>'SUPUESTOS PRECIOS'!$B$9</x:f>
        <x:v>0</x:v>
      </x:c>
      <x:c r="U59" s="3" t="n">
        <x:f>'SUPUESTOS PRECIOS'!$B$5/'SUPUESTOS PRECIOS'!$B$4</x:f>
        <x:v>1000</x:v>
      </x:c>
      <x:c r="V59" s="3" t="n">
        <x:f>('SUPUESTOS PRECIOS'!$B$6-'SUPUESTOS PRECIOS'!$B$7)/'SUPUESTOS PRECIOS'!$B$4</x:f>
        <x:v>377.5</x:v>
      </x:c>
      <x:c r="W59" s="4" t="n">
        <x:f>'SUPUESTOS PRECIOS'!$B$8</x:f>
        <x:v>0.00968</x:v>
      </x:c>
      <x:c r="X59" s="4" t="n">
        <x:f>'SUPUESTOS PRECIOS'!$B$2</x:f>
        <x:v>0.4</x:v>
      </x:c>
      <x:c r="Y59" s="3">
        <x:f t="shared" si="1"/>
        <x:v>7580</x:v>
      </x:c>
      <x:c r="Z59" s="3">
        <x:f t="shared" si="2"/>
        <x:v>3029.1255999999998</x:v>
      </x:c>
      <x:c r="AA59" s="11">
        <x:f t="shared" si="3"/>
        <x:v>0.39962079155672819</x:v>
      </x:c>
    </x:row>
    <x:row r="60">
      <x:c r="A60" s="10" t="s">
        <x:v>365</x:v>
      </x:c>
      <x:c r="B60" t="s">
        <x:v>366</x:v>
      </x:c>
      <x:c r="C60" t="s">
        <x:v>133</x:v>
      </x:c>
      <x:c r="D60" t="s">
        <x:v>252</x:v>
      </x:c>
      <x:c r="E60" t="s">
        <x:v>33</x:v>
      </x:c>
      <x:c r="F60" t="s">
        <x:v>367</x:v>
      </x:c>
      <x:c r="H60" t="s">
        <x:v>136</x:v>
      </x:c>
      <x:c r="I60" t="s">
        <x:v>368</x:v>
      </x:c>
      <x:c r="J60">
        <x:v>4000</x:v>
      </x:c>
      <x:c r="K60">
        <x:v>0.3</x:v>
      </x:c>
      <x:c r="L60">
        <x:f t="shared" si="0"/>
        <x:v>5200</x:v>
      </x:c>
      <x:c r="M60" t="s">
        <x:v>38</x:v>
      </x:c>
      <x:c r="O60" t="s">
        <x:v>38</x:v>
      </x:c>
      <x:c r="P60" t="s">
        <x:v>39</x:v>
      </x:c>
      <x:c r="Q60" t="s">
        <x:v>366</x:v>
      </x:c>
      <x:c r="R60" t="s">
        <x:v>369</x:v>
      </x:c>
      <x:c r="S60" t="s">
        <x:v>256</x:v>
      </x:c>
      <x:c r="T60" s="2" t="n">
        <x:f>'SUPUESTOS PRECIOS'!$B$9</x:f>
        <x:v>0</x:v>
      </x:c>
      <x:c r="U60" s="3" t="n">
        <x:f>'SUPUESTOS PRECIOS'!$B$5/'SUPUESTOS PRECIOS'!$B$4</x:f>
        <x:v>1000</x:v>
      </x:c>
      <x:c r="V60" s="3" t="n">
        <x:f>('SUPUESTOS PRECIOS'!$B$6-'SUPUESTOS PRECIOS'!$B$7)/'SUPUESTOS PRECIOS'!$B$4</x:f>
        <x:v>377.5</x:v>
      </x:c>
      <x:c r="W60" s="4" t="n">
        <x:f>'SUPUESTOS PRECIOS'!$B$8</x:f>
        <x:v>0.00968</x:v>
      </x:c>
      <x:c r="X60" s="4" t="n">
        <x:f>'SUPUESTOS PRECIOS'!$B$2</x:f>
        <x:v>0.4</x:v>
      </x:c>
      <x:c r="Y60" s="3">
        <x:f t="shared" si="1"/>
        <x:v>9110</x:v>
      </x:c>
      <x:c r="Z60" s="3">
        <x:f t="shared" si="2"/>
        <x:v>3644.3152</x:v>
      </x:c>
      <x:c r="AA60" s="11">
        <x:f t="shared" si="3"/>
        <x:v>0.40003459934138308</x:v>
      </x:c>
    </x:row>
    <x:row r="61">
      <x:c r="A61" s="10" t="s">
        <x:v>370</x:v>
      </x:c>
      <x:c r="B61" t="s">
        <x:v>371</x:v>
      </x:c>
      <x:c r="C61" t="s">
        <x:v>133</x:v>
      </x:c>
      <x:c r="D61" t="s">
        <x:v>252</x:v>
      </x:c>
      <x:c r="E61" t="s">
        <x:v>33</x:v>
      </x:c>
      <x:c r="F61" t="s">
        <x:v>372</x:v>
      </x:c>
      <x:c r="H61" t="s">
        <x:v>136</x:v>
      </x:c>
      <x:c r="I61" t="s">
        <x:v>373</x:v>
      </x:c>
      <x:c r="J61">
        <x:v>2000</x:v>
      </x:c>
      <x:c r="K61">
        <x:v>0.3</x:v>
      </x:c>
      <x:c r="L61">
        <x:f t="shared" si="0"/>
        <x:v>2600</x:v>
      </x:c>
      <x:c r="M61" t="s">
        <x:v>38</x:v>
      </x:c>
      <x:c r="O61" t="s">
        <x:v>38</x:v>
      </x:c>
      <x:c r="P61" t="s">
        <x:v>39</x:v>
      </x:c>
      <x:c r="Q61" t="s">
        <x:v>371</x:v>
      </x:c>
      <x:c r="R61" t="s">
        <x:v>374</x:v>
      </x:c>
      <x:c r="S61" t="s">
        <x:v>256</x:v>
      </x:c>
      <x:c r="T61" s="2" t="n">
        <x:f>'SUPUESTOS PRECIOS'!$B$9</x:f>
        <x:v>0</x:v>
      </x:c>
      <x:c r="U61" s="3" t="n">
        <x:f>'SUPUESTOS PRECIOS'!$B$5/'SUPUESTOS PRECIOS'!$B$4</x:f>
        <x:v>1000</x:v>
      </x:c>
      <x:c r="V61" s="3" t="n">
        <x:f>('SUPUESTOS PRECIOS'!$B$6-'SUPUESTOS PRECIOS'!$B$7)/'SUPUESTOS PRECIOS'!$B$4</x:f>
        <x:v>377.5</x:v>
      </x:c>
      <x:c r="W61" s="4" t="n">
        <x:f>'SUPUESTOS PRECIOS'!$B$8</x:f>
        <x:v>0.00968</x:v>
      </x:c>
      <x:c r="X61" s="4" t="n">
        <x:f>'SUPUESTOS PRECIOS'!$B$2</x:f>
        <x:v>0.4</x:v>
      </x:c>
      <x:c r="Y61" s="3">
        <x:f t="shared" si="1"/>
        <x:v>5720</x:v>
      </x:c>
      <x:c r="Z61" s="3">
        <x:f t="shared" si="2"/>
        <x:v>2287.1304</x:v>
      </x:c>
      <x:c r="AA61" s="11">
        <x:f t="shared" si="3"/>
        <x:v>0.39984797202797201</x:v>
      </x:c>
    </x:row>
    <x:row r="62">
      <x:c r="A62" s="10" t="s">
        <x:v>375</x:v>
      </x:c>
      <x:c r="B62" t="s">
        <x:v>376</x:v>
      </x:c>
      <x:c r="C62" t="s">
        <x:v>133</x:v>
      </x:c>
      <x:c r="D62" t="s">
        <x:v>252</x:v>
      </x:c>
      <x:c r="E62" t="s">
        <x:v>33</x:v>
      </x:c>
      <x:c r="F62" t="s">
        <x:v>377</x:v>
      </x:c>
      <x:c r="H62" t="s">
        <x:v>136</x:v>
      </x:c>
      <x:c r="I62" t="s">
        <x:v>378</x:v>
      </x:c>
      <x:c r="J62">
        <x:v>7500</x:v>
      </x:c>
      <x:c r="K62">
        <x:v>0.3</x:v>
      </x:c>
      <x:c r="L62">
        <x:f t="shared" si="0"/>
        <x:v>9750</x:v>
      </x:c>
      <x:c r="M62" t="s">
        <x:v>38</x:v>
      </x:c>
      <x:c r="O62" t="s">
        <x:v>38</x:v>
      </x:c>
      <x:c r="P62" t="s">
        <x:v>39</x:v>
      </x:c>
      <x:c r="Q62" t="s">
        <x:v>376</x:v>
      </x:c>
      <x:c r="R62" t="s">
        <x:v>379</x:v>
      </x:c>
      <x:c r="S62" t="s">
        <x:v>256</x:v>
      </x:c>
      <x:c r="T62" s="2" t="n">
        <x:f>'SUPUESTOS PRECIOS'!$B$9</x:f>
        <x:v>0</x:v>
      </x:c>
      <x:c r="U62" s="3" t="n">
        <x:f>'SUPUESTOS PRECIOS'!$B$5/'SUPUESTOS PRECIOS'!$B$4</x:f>
        <x:v>1000</x:v>
      </x:c>
      <x:c r="V62" s="3" t="n">
        <x:f>('SUPUESTOS PRECIOS'!$B$6-'SUPUESTOS PRECIOS'!$B$7)/'SUPUESTOS PRECIOS'!$B$4</x:f>
        <x:v>377.5</x:v>
      </x:c>
      <x:c r="W62" s="4" t="n">
        <x:f>'SUPUESTOS PRECIOS'!$B$8</x:f>
        <x:v>0.00968</x:v>
      </x:c>
      <x:c r="X62" s="4" t="n">
        <x:f>'SUPUESTOS PRECIOS'!$B$2</x:f>
        <x:v>0.4</x:v>
      </x:c>
      <x:c r="Y62" s="3">
        <x:f t="shared" si="1"/>
        <x:v>15040</x:v>
      </x:c>
      <x:c r="Z62" s="3">
        <x:f t="shared" si="2"/>
        <x:v>6016.9128000000001</x:v>
      </x:c>
      <x:c r="AA62" s="11">
        <x:f t="shared" si="3"/>
        <x:v>0.40006069148936169</x:v>
      </x:c>
    </x:row>
    <x:row r="63">
      <x:c r="A63" s="10" t="s">
        <x:v>380</x:v>
      </x:c>
      <x:c r="B63" t="s">
        <x:v>381</x:v>
      </x:c>
      <x:c r="C63" t="s">
        <x:v>133</x:v>
      </x:c>
      <x:c r="D63" t="s">
        <x:v>252</x:v>
      </x:c>
      <x:c r="E63" t="s">
        <x:v>33</x:v>
      </x:c>
      <x:c r="F63" t="s">
        <x:v>382</x:v>
      </x:c>
      <x:c r="H63" t="s">
        <x:v>136</x:v>
      </x:c>
      <x:c r="I63" t="s">
        <x:v>383</x:v>
      </x:c>
      <x:c r="J63">
        <x:v>5700</x:v>
      </x:c>
      <x:c r="K63">
        <x:v>0.3</x:v>
      </x:c>
      <x:c r="L63">
        <x:f t="shared" si="0"/>
        <x:v>7410</x:v>
      </x:c>
      <x:c r="M63" t="s">
        <x:v>38</x:v>
      </x:c>
      <x:c r="O63" t="s">
        <x:v>38</x:v>
      </x:c>
      <x:c r="P63" t="s">
        <x:v>39</x:v>
      </x:c>
      <x:c r="Q63" t="s">
        <x:v>381</x:v>
      </x:c>
      <x:c r="R63" t="s">
        <x:v>384</x:v>
      </x:c>
      <x:c r="S63" t="s">
        <x:v>256</x:v>
      </x:c>
      <x:c r="T63" s="2" t="n">
        <x:f>'SUPUESTOS PRECIOS'!$B$9</x:f>
        <x:v>0</x:v>
      </x:c>
      <x:c r="U63" s="3" t="n">
        <x:f>'SUPUESTOS PRECIOS'!$B$5/'SUPUESTOS PRECIOS'!$B$4</x:f>
        <x:v>1000</x:v>
      </x:c>
      <x:c r="V63" s="3" t="n">
        <x:f>('SUPUESTOS PRECIOS'!$B$6-'SUPUESTOS PRECIOS'!$B$7)/'SUPUESTOS PRECIOS'!$B$4</x:f>
        <x:v>377.5</x:v>
      </x:c>
      <x:c r="W63" s="4" t="n">
        <x:f>'SUPUESTOS PRECIOS'!$B$8</x:f>
        <x:v>0.00968</x:v>
      </x:c>
      <x:c r="X63" s="4" t="n">
        <x:f>'SUPUESTOS PRECIOS'!$B$2</x:f>
        <x:v>0.4</x:v>
      </x:c>
      <x:c r="Y63" s="3">
        <x:f t="shared" si="1"/>
        <x:v>11990</x:v>
      </x:c>
      <x:c r="Z63" s="3">
        <x:f t="shared" si="2"/>
        <x:v>4796.4368000000004</x:v>
      </x:c>
      <x:c r="AA63" s="11">
        <x:f t="shared" si="3"/>
        <x:v>0.40003643035863223</x:v>
      </x:c>
    </x:row>
    <x:row r="64">
      <x:c r="A64" s="10" t="s">
        <x:v>385</x:v>
      </x:c>
      <x:c r="B64" t="s">
        <x:v>386</x:v>
      </x:c>
      <x:c r="C64" t="s">
        <x:v>133</x:v>
      </x:c>
      <x:c r="D64" t="s">
        <x:v>252</x:v>
      </x:c>
      <x:c r="E64" t="s">
        <x:v>33</x:v>
      </x:c>
      <x:c r="F64" t="s">
        <x:v>387</x:v>
      </x:c>
      <x:c r="H64" t="s">
        <x:v>136</x:v>
      </x:c>
      <x:c r="I64" t="s">
        <x:v>388</x:v>
      </x:c>
      <x:c r="J64">
        <x:v>5000</x:v>
      </x:c>
      <x:c r="K64">
        <x:v>0.3</x:v>
      </x:c>
      <x:c r="L64">
        <x:f t="shared" si="0"/>
        <x:v>6500</x:v>
      </x:c>
      <x:c r="M64" t="s">
        <x:v>38</x:v>
      </x:c>
      <x:c r="O64" t="s">
        <x:v>38</x:v>
      </x:c>
      <x:c r="P64" t="s">
        <x:v>39</x:v>
      </x:c>
      <x:c r="Q64" t="s">
        <x:v>386</x:v>
      </x:c>
      <x:c r="R64" t="s">
        <x:v>389</x:v>
      </x:c>
      <x:c r="S64" t="s">
        <x:v>256</x:v>
      </x:c>
      <x:c r="T64" s="2" t="n">
        <x:f>'SUPUESTOS PRECIOS'!$B$9</x:f>
        <x:v>0</x:v>
      </x:c>
      <x:c r="U64" s="3" t="n">
        <x:f>'SUPUESTOS PRECIOS'!$B$5/'SUPUESTOS PRECIOS'!$B$4</x:f>
        <x:v>1000</x:v>
      </x:c>
      <x:c r="V64" s="3" t="n">
        <x:f>('SUPUESTOS PRECIOS'!$B$6-'SUPUESTOS PRECIOS'!$B$7)/'SUPUESTOS PRECIOS'!$B$4</x:f>
        <x:v>377.5</x:v>
      </x:c>
      <x:c r="W64" s="4" t="n">
        <x:f>'SUPUESTOS PRECIOS'!$B$8</x:f>
        <x:v>0.00968</x:v>
      </x:c>
      <x:c r="X64" s="4" t="n">
        <x:f>'SUPUESTOS PRECIOS'!$B$2</x:f>
        <x:v>0.4</x:v>
      </x:c>
      <x:c r="Y64" s="3">
        <x:f t="shared" si="1"/>
        <x:v>10800</x:v>
      </x:c>
      <x:c r="Z64" s="3">
        <x:f t="shared" si="2"/>
        <x:v>4317.9560000000001</x:v>
      </x:c>
      <x:c r="AA64" s="11">
        <x:f t="shared" si="3"/>
        <x:v>0.39981074074074074</x:v>
      </x:c>
    </x:row>
    <x:row r="65">
      <x:c r="A65" s="10" t="s">
        <x:v>390</x:v>
      </x:c>
      <x:c r="B65" t="s">
        <x:v>391</x:v>
      </x:c>
      <x:c r="C65" t="s">
        <x:v>133</x:v>
      </x:c>
      <x:c r="D65" t="s">
        <x:v>252</x:v>
      </x:c>
      <x:c r="E65" t="s">
        <x:v>33</x:v>
      </x:c>
      <x:c r="F65" t="s">
        <x:v>392</x:v>
      </x:c>
      <x:c r="H65" t="s">
        <x:v>136</x:v>
      </x:c>
      <x:c r="I65" t="s">
        <x:v>393</x:v>
      </x:c>
      <x:c r="J65">
        <x:v>1600</x:v>
      </x:c>
      <x:c r="K65">
        <x:v>0.3</x:v>
      </x:c>
      <x:c r="L65">
        <x:f t="shared" si="0"/>
        <x:v>2080</x:v>
      </x:c>
      <x:c r="M65" t="s">
        <x:v>38</x:v>
      </x:c>
      <x:c r="O65" t="s">
        <x:v>38</x:v>
      </x:c>
      <x:c r="P65" t="s">
        <x:v>39</x:v>
      </x:c>
      <x:c r="Q65" t="s">
        <x:v>391</x:v>
      </x:c>
      <x:c r="R65" t="s">
        <x:v>394</x:v>
      </x:c>
      <x:c r="S65" t="s">
        <x:v>256</x:v>
      </x:c>
      <x:c r="T65" s="2" t="n">
        <x:f>'SUPUESTOS PRECIOS'!$B$9</x:f>
        <x:v>0</x:v>
      </x:c>
      <x:c r="U65" s="3" t="n">
        <x:f>'SUPUESTOS PRECIOS'!$B$5/'SUPUESTOS PRECIOS'!$B$4</x:f>
        <x:v>1000</x:v>
      </x:c>
      <x:c r="V65" s="3" t="n">
        <x:f>('SUPUESTOS PRECIOS'!$B$6-'SUPUESTOS PRECIOS'!$B$7)/'SUPUESTOS PRECIOS'!$B$4</x:f>
        <x:v>377.5</x:v>
      </x:c>
      <x:c r="W65" s="4" t="n">
        <x:f>'SUPUESTOS PRECIOS'!$B$8</x:f>
        <x:v>0.00968</x:v>
      </x:c>
      <x:c r="X65" s="4" t="n">
        <x:f>'SUPUESTOS PRECIOS'!$B$2</x:f>
        <x:v>0.4</x:v>
      </x:c>
      <x:c r="Y65" s="3">
        <x:f t="shared" si="1"/>
        <x:v>5040</x:v>
      </x:c>
      <x:c r="Z65" s="3">
        <x:f t="shared" si="2"/>
        <x:v>2013.7128</x:v>
      </x:c>
      <x:c r="AA65" s="11">
        <x:f t="shared" si="3"/>
        <x:v>0.3995461904761905</x:v>
      </x:c>
    </x:row>
    <x:row r="66">
      <x:c r="A66" s="10" t="s">
        <x:v>395</x:v>
      </x:c>
      <x:c r="B66" t="s">
        <x:v>396</x:v>
      </x:c>
      <x:c r="C66" t="s">
        <x:v>133</x:v>
      </x:c>
      <x:c r="D66" t="s">
        <x:v>252</x:v>
      </x:c>
      <x:c r="E66" t="s">
        <x:v>33</x:v>
      </x:c>
      <x:c r="F66" t="s">
        <x:v>397</x:v>
      </x:c>
      <x:c r="H66" t="s">
        <x:v>136</x:v>
      </x:c>
      <x:c r="I66" t="s">
        <x:v>398</x:v>
      </x:c>
      <x:c r="J66">
        <x:v>4400</x:v>
      </x:c>
      <x:c r="K66">
        <x:v>0.3</x:v>
      </x:c>
      <x:c r="L66" t="n">
        <x:f t="shared" ref="L66:L129" si="4">IF(J66="","",J66*(1+K66))</x:f>
        <x:v>5720</x:v>
      </x:c>
      <x:c r="M66" t="s">
        <x:v>38</x:v>
      </x:c>
      <x:c r="O66" t="s">
        <x:v>38</x:v>
      </x:c>
      <x:c r="P66" t="s">
        <x:v>39</x:v>
      </x:c>
      <x:c r="Q66" t="s">
        <x:v>396</x:v>
      </x:c>
      <x:c r="R66" t="s">
        <x:v>399</x:v>
      </x:c>
      <x:c r="S66" t="s">
        <x:v>256</x:v>
      </x:c>
      <x:c r="T66" s="2" t="n">
        <x:f>'SUPUESTOS PRECIOS'!$B$9</x:f>
        <x:v>0</x:v>
      </x:c>
      <x:c r="U66" s="3" t="n">
        <x:f>'SUPUESTOS PRECIOS'!$B$5/'SUPUESTOS PRECIOS'!$B$4</x:f>
        <x:v>1000</x:v>
      </x:c>
      <x:c r="V66" s="3" t="n">
        <x:f>('SUPUESTOS PRECIOS'!$B$6-'SUPUESTOS PRECIOS'!$B$7)/'SUPUESTOS PRECIOS'!$B$4</x:f>
        <x:v>377.5</x:v>
      </x:c>
      <x:c r="W66" s="4" t="n">
        <x:f>'SUPUESTOS PRECIOS'!$B$8</x:f>
        <x:v>0.00968</x:v>
      </x:c>
      <x:c r="X66" s="4" t="n">
        <x:f>'SUPUESTOS PRECIOS'!$B$2</x:f>
        <x:v>0.4</x:v>
      </x:c>
      <x:c r="Y66" s="3" t="n">
        <x:f t="shared" ref="Y66:Y129" si="5">IF(OR($B66="",$J66=""),"",ROUND(($J66+$T66+$U66+$V66)/(1-$W66-$X66),-1))</x:f>
        <x:v>9790</x:v>
      </x:c>
      <x:c r="Z66" s="3" t="n">
        <x:f t="shared" ref="Z66:Z129" si="6">IF($Y66="","",$Y66-$J66-$T66-$U66-$V66-($Y66*$W66))</x:f>
        <x:v>3917.7328</x:v>
      </x:c>
      <x:c r="AA66" s="11" t="n">
        <x:f t="shared" ref="AA66:AA129" si="7">IF($Y66="","",$Z66/$Y66)</x:f>
        <x:v>0.4001769969356486</x:v>
      </x:c>
    </x:row>
    <x:row r="67">
      <x:c r="A67" s="10" t="s">
        <x:v>400</x:v>
      </x:c>
      <x:c r="B67" t="s">
        <x:v>401</x:v>
      </x:c>
      <x:c r="C67" t="s">
        <x:v>133</x:v>
      </x:c>
      <x:c r="D67" t="s">
        <x:v>252</x:v>
      </x:c>
      <x:c r="E67" t="s">
        <x:v>33</x:v>
      </x:c>
      <x:c r="F67" t="s">
        <x:v>402</x:v>
      </x:c>
      <x:c r="H67" t="s">
        <x:v>136</x:v>
      </x:c>
      <x:c r="I67" t="s">
        <x:v>403</x:v>
      </x:c>
      <x:c r="J67">
        <x:v>4300</x:v>
      </x:c>
      <x:c r="K67">
        <x:v>0.3</x:v>
      </x:c>
      <x:c r="L67">
        <x:f t="shared" si="4"/>
        <x:v>5590</x:v>
      </x:c>
      <x:c r="M67" t="s">
        <x:v>38</x:v>
      </x:c>
      <x:c r="O67" t="s">
        <x:v>38</x:v>
      </x:c>
      <x:c r="P67" t="s">
        <x:v>39</x:v>
      </x:c>
      <x:c r="Q67" t="s">
        <x:v>401</x:v>
      </x:c>
      <x:c r="R67" t="s">
        <x:v>404</x:v>
      </x:c>
      <x:c r="S67" t="s">
        <x:v>256</x:v>
      </x:c>
      <x:c r="T67" s="2" t="n">
        <x:f>'SUPUESTOS PRECIOS'!$B$9</x:f>
        <x:v>0</x:v>
      </x:c>
      <x:c r="U67" s="3" t="n">
        <x:f>'SUPUESTOS PRECIOS'!$B$5/'SUPUESTOS PRECIOS'!$B$4</x:f>
        <x:v>1000</x:v>
      </x:c>
      <x:c r="V67" s="3" t="n">
        <x:f>('SUPUESTOS PRECIOS'!$B$6-'SUPUESTOS PRECIOS'!$B$7)/'SUPUESTOS PRECIOS'!$B$4</x:f>
        <x:v>377.5</x:v>
      </x:c>
      <x:c r="W67" s="4" t="n">
        <x:f>'SUPUESTOS PRECIOS'!$B$8</x:f>
        <x:v>0.00968</x:v>
      </x:c>
      <x:c r="X67" s="4" t="n">
        <x:f>'SUPUESTOS PRECIOS'!$B$2</x:f>
        <x:v>0.4</x:v>
      </x:c>
      <x:c r="Y67" s="3">
        <x:f t="shared" si="5"/>
        <x:v>9620</x:v>
      </x:c>
      <x:c r="Z67" s="3">
        <x:f t="shared" si="6"/>
        <x:v>3849.3784000000001</x:v>
      </x:c>
      <x:c r="AA67" s="11">
        <x:f t="shared" si="7"/>
        <x:v>0.40014328482328482</x:v>
      </x:c>
    </x:row>
    <x:row r="68">
      <x:c r="A68" s="10" t="s">
        <x:v>405</x:v>
      </x:c>
      <x:c r="B68" t="s">
        <x:v>406</x:v>
      </x:c>
      <x:c r="C68" t="s">
        <x:v>133</x:v>
      </x:c>
      <x:c r="D68" t="s">
        <x:v>252</x:v>
      </x:c>
      <x:c r="E68" t="s">
        <x:v>33</x:v>
      </x:c>
      <x:c r="F68" t="s">
        <x:v>407</x:v>
      </x:c>
      <x:c r="H68" t="s">
        <x:v>136</x:v>
      </x:c>
      <x:c r="I68" t="s">
        <x:v>408</x:v>
      </x:c>
      <x:c r="J68">
        <x:v>2200</x:v>
      </x:c>
      <x:c r="K68">
        <x:v>0.3</x:v>
      </x:c>
      <x:c r="L68">
        <x:f t="shared" si="4"/>
        <x:v>2860</x:v>
      </x:c>
      <x:c r="M68" t="s">
        <x:v>38</x:v>
      </x:c>
      <x:c r="O68" t="s">
        <x:v>38</x:v>
      </x:c>
      <x:c r="P68" t="s">
        <x:v>39</x:v>
      </x:c>
      <x:c r="Q68" t="s">
        <x:v>406</x:v>
      </x:c>
      <x:c r="R68" t="s">
        <x:v>409</x:v>
      </x:c>
      <x:c r="S68" t="s">
        <x:v>256</x:v>
      </x:c>
      <x:c r="T68" s="2" t="n">
        <x:f>'SUPUESTOS PRECIOS'!$B$9</x:f>
        <x:v>0</x:v>
      </x:c>
      <x:c r="U68" s="3" t="n">
        <x:f>'SUPUESTOS PRECIOS'!$B$5/'SUPUESTOS PRECIOS'!$B$4</x:f>
        <x:v>1000</x:v>
      </x:c>
      <x:c r="V68" s="3" t="n">
        <x:f>('SUPUESTOS PRECIOS'!$B$6-'SUPUESTOS PRECIOS'!$B$7)/'SUPUESTOS PRECIOS'!$B$4</x:f>
        <x:v>377.5</x:v>
      </x:c>
      <x:c r="W68" s="4" t="n">
        <x:f>'SUPUESTOS PRECIOS'!$B$8</x:f>
        <x:v>0.00968</x:v>
      </x:c>
      <x:c r="X68" s="4" t="n">
        <x:f>'SUPUESTOS PRECIOS'!$B$2</x:f>
        <x:v>0.4</x:v>
      </x:c>
      <x:c r="Y68" s="3">
        <x:f t="shared" si="5"/>
        <x:v>6060</x:v>
      </x:c>
      <x:c r="Z68" s="3">
        <x:f t="shared" si="6"/>
        <x:v>2423.8391999999999</x:v>
      </x:c>
      <x:c r="AA68" s="11">
        <x:f t="shared" si="7"/>
        <x:v>0.39997346534653466</x:v>
      </x:c>
    </x:row>
    <x:row r="69">
      <x:c r="A69" s="10" t="s">
        <x:v>410</x:v>
      </x:c>
      <x:c r="B69" t="s">
        <x:v>411</x:v>
      </x:c>
      <x:c r="C69" t="s">
        <x:v>133</x:v>
      </x:c>
      <x:c r="D69" t="s">
        <x:v>252</x:v>
      </x:c>
      <x:c r="E69" t="s">
        <x:v>33</x:v>
      </x:c>
      <x:c r="F69" t="s">
        <x:v>412</x:v>
      </x:c>
      <x:c r="H69" t="s">
        <x:v>136</x:v>
      </x:c>
      <x:c r="I69" t="s">
        <x:v>413</x:v>
      </x:c>
      <x:c r="J69">
        <x:v>1900</x:v>
      </x:c>
      <x:c r="K69">
        <x:v>0.3</x:v>
      </x:c>
      <x:c r="L69">
        <x:f t="shared" si="4"/>
        <x:v>2470</x:v>
      </x:c>
      <x:c r="M69" t="s">
        <x:v>38</x:v>
      </x:c>
      <x:c r="O69" t="s">
        <x:v>38</x:v>
      </x:c>
      <x:c r="P69" t="s">
        <x:v>39</x:v>
      </x:c>
      <x:c r="Q69" t="s">
        <x:v>411</x:v>
      </x:c>
      <x:c r="R69" t="s">
        <x:v>414</x:v>
      </x:c>
      <x:c r="S69" t="s">
        <x:v>256</x:v>
      </x:c>
      <x:c r="T69" s="2" t="n">
        <x:f>'SUPUESTOS PRECIOS'!$B$9</x:f>
        <x:v>0</x:v>
      </x:c>
      <x:c r="U69" s="3" t="n">
        <x:f>'SUPUESTOS PRECIOS'!$B$5/'SUPUESTOS PRECIOS'!$B$4</x:f>
        <x:v>1000</x:v>
      </x:c>
      <x:c r="V69" s="3" t="n">
        <x:f>('SUPUESTOS PRECIOS'!$B$6-'SUPUESTOS PRECIOS'!$B$7)/'SUPUESTOS PRECIOS'!$B$4</x:f>
        <x:v>377.5</x:v>
      </x:c>
      <x:c r="W69" s="4" t="n">
        <x:f>'SUPUESTOS PRECIOS'!$B$8</x:f>
        <x:v>0.00968</x:v>
      </x:c>
      <x:c r="X69" s="4" t="n">
        <x:f>'SUPUESTOS PRECIOS'!$B$2</x:f>
        <x:v>0.4</x:v>
      </x:c>
      <x:c r="Y69" s="3">
        <x:f t="shared" si="5"/>
        <x:v>5550</x:v>
      </x:c>
      <x:c r="Z69" s="3">
        <x:f t="shared" si="6"/>
        <x:v>2218.7759999999998</x:v>
      </x:c>
      <x:c r="AA69" s="11">
        <x:f t="shared" si="7"/>
        <x:v>0.39977945945945942</x:v>
      </x:c>
    </x:row>
    <x:row r="70">
      <x:c r="A70" s="10" t="s">
        <x:v>415</x:v>
      </x:c>
      <x:c r="B70" t="s">
        <x:v>416</x:v>
      </x:c>
      <x:c r="C70" t="s">
        <x:v>133</x:v>
      </x:c>
      <x:c r="D70" t="s">
        <x:v>252</x:v>
      </x:c>
      <x:c r="E70" t="s">
        <x:v>33</x:v>
      </x:c>
      <x:c r="F70" t="s">
        <x:v>417</x:v>
      </x:c>
      <x:c r="H70" t="s">
        <x:v>136</x:v>
      </x:c>
      <x:c r="I70" t="s">
        <x:v>418</x:v>
      </x:c>
      <x:c r="J70">
        <x:v>4500</x:v>
      </x:c>
      <x:c r="K70">
        <x:v>0.3</x:v>
      </x:c>
      <x:c r="L70">
        <x:f t="shared" si="4"/>
        <x:v>5850</x:v>
      </x:c>
      <x:c r="M70" t="s">
        <x:v>38</x:v>
      </x:c>
      <x:c r="O70" t="s">
        <x:v>38</x:v>
      </x:c>
      <x:c r="P70" t="s">
        <x:v>39</x:v>
      </x:c>
      <x:c r="Q70" t="s">
        <x:v>416</x:v>
      </x:c>
      <x:c r="R70" t="s">
        <x:v>419</x:v>
      </x:c>
      <x:c r="S70" t="s">
        <x:v>256</x:v>
      </x:c>
      <x:c r="T70" s="2" t="n">
        <x:f>'SUPUESTOS PRECIOS'!$B$9</x:f>
        <x:v>0</x:v>
      </x:c>
      <x:c r="U70" s="3" t="n">
        <x:f>'SUPUESTOS PRECIOS'!$B$5/'SUPUESTOS PRECIOS'!$B$4</x:f>
        <x:v>1000</x:v>
      </x:c>
      <x:c r="V70" s="3" t="n">
        <x:f>('SUPUESTOS PRECIOS'!$B$6-'SUPUESTOS PRECIOS'!$B$7)/'SUPUESTOS PRECIOS'!$B$4</x:f>
        <x:v>377.5</x:v>
      </x:c>
      <x:c r="W70" s="4" t="n">
        <x:f>'SUPUESTOS PRECIOS'!$B$8</x:f>
        <x:v>0.00968</x:v>
      </x:c>
      <x:c r="X70" s="4" t="n">
        <x:f>'SUPUESTOS PRECIOS'!$B$2</x:f>
        <x:v>0.4</x:v>
      </x:c>
      <x:c r="Y70" s="3">
        <x:f t="shared" si="5"/>
        <x:v>9960</x:v>
      </x:c>
      <x:c r="Z70" s="3">
        <x:f t="shared" si="6"/>
        <x:v>3986.0871999999999</x:v>
      </x:c>
      <x:c r="AA70" s="11">
        <x:f t="shared" si="7"/>
        <x:v>0.40020955823293169</x:v>
      </x:c>
    </x:row>
    <x:row r="71">
      <x:c r="A71" s="10" t="s">
        <x:v>420</x:v>
      </x:c>
      <x:c r="B71" t="s">
        <x:v>421</x:v>
      </x:c>
      <x:c r="C71" t="s">
        <x:v>133</x:v>
      </x:c>
      <x:c r="D71" t="s">
        <x:v>252</x:v>
      </x:c>
      <x:c r="E71" t="s">
        <x:v>33</x:v>
      </x:c>
      <x:c r="F71" t="s">
        <x:v>422</x:v>
      </x:c>
      <x:c r="H71" t="s">
        <x:v>136</x:v>
      </x:c>
      <x:c r="I71" t="s">
        <x:v>423</x:v>
      </x:c>
      <x:c r="J71">
        <x:v>2700</x:v>
      </x:c>
      <x:c r="K71">
        <x:v>0.3</x:v>
      </x:c>
      <x:c r="L71">
        <x:f t="shared" si="4"/>
        <x:v>3510</x:v>
      </x:c>
      <x:c r="M71" t="s">
        <x:v>38</x:v>
      </x:c>
      <x:c r="O71" t="s">
        <x:v>38</x:v>
      </x:c>
      <x:c r="P71" t="s">
        <x:v>39</x:v>
      </x:c>
      <x:c r="Q71" t="s">
        <x:v>421</x:v>
      </x:c>
      <x:c r="R71" t="s">
        <x:v>424</x:v>
      </x:c>
      <x:c r="S71" t="s">
        <x:v>256</x:v>
      </x:c>
      <x:c r="T71" s="2" t="n">
        <x:f>'SUPUESTOS PRECIOS'!$B$9</x:f>
        <x:v>0</x:v>
      </x:c>
      <x:c r="U71" s="3" t="n">
        <x:f>'SUPUESTOS PRECIOS'!$B$5/'SUPUESTOS PRECIOS'!$B$4</x:f>
        <x:v>1000</x:v>
      </x:c>
      <x:c r="V71" s="3" t="n">
        <x:f>('SUPUESTOS PRECIOS'!$B$6-'SUPUESTOS PRECIOS'!$B$7)/'SUPUESTOS PRECIOS'!$B$4</x:f>
        <x:v>377.5</x:v>
      </x:c>
      <x:c r="W71" s="4" t="n">
        <x:f>'SUPUESTOS PRECIOS'!$B$8</x:f>
        <x:v>0.00968</x:v>
      </x:c>
      <x:c r="X71" s="4" t="n">
        <x:f>'SUPUESTOS PRECIOS'!$B$2</x:f>
        <x:v>0.4</x:v>
      </x:c>
      <x:c r="Y71" s="3">
        <x:f t="shared" si="5"/>
        <x:v>6910</x:v>
      </x:c>
      <x:c r="Z71" s="3">
        <x:f t="shared" si="6"/>
        <x:v>2765.6111999999998</x:v>
      </x:c>
      <x:c r="AA71" s="11">
        <x:f t="shared" si="7"/>
        <x:v>0.40023316931982633</x:v>
      </x:c>
    </x:row>
    <x:row r="72">
      <x:c r="A72" s="10" t="s">
        <x:v>425</x:v>
      </x:c>
      <x:c r="B72" t="s">
        <x:v>426</x:v>
      </x:c>
      <x:c r="C72" t="s">
        <x:v>133</x:v>
      </x:c>
      <x:c r="D72" t="s">
        <x:v>252</x:v>
      </x:c>
      <x:c r="E72" t="s">
        <x:v>33</x:v>
      </x:c>
      <x:c r="F72" t="s">
        <x:v>427</x:v>
      </x:c>
      <x:c r="H72" t="s">
        <x:v>136</x:v>
      </x:c>
      <x:c r="I72" t="s">
        <x:v>428</x:v>
      </x:c>
      <x:c r="J72">
        <x:v>2600</x:v>
      </x:c>
      <x:c r="K72">
        <x:v>0.3</x:v>
      </x:c>
      <x:c r="L72">
        <x:f t="shared" si="4"/>
        <x:v>3380</x:v>
      </x:c>
      <x:c r="M72" t="s">
        <x:v>38</x:v>
      </x:c>
      <x:c r="O72" t="s">
        <x:v>38</x:v>
      </x:c>
      <x:c r="P72" t="s">
        <x:v>39</x:v>
      </x:c>
      <x:c r="Q72" t="s">
        <x:v>426</x:v>
      </x:c>
      <x:c r="R72" t="s">
        <x:v>429</x:v>
      </x:c>
      <x:c r="S72" t="s">
        <x:v>256</x:v>
      </x:c>
      <x:c r="T72" s="2" t="n">
        <x:f>'SUPUESTOS PRECIOS'!$B$9</x:f>
        <x:v>0</x:v>
      </x:c>
      <x:c r="U72" s="3" t="n">
        <x:f>'SUPUESTOS PRECIOS'!$B$5/'SUPUESTOS PRECIOS'!$B$4</x:f>
        <x:v>1000</x:v>
      </x:c>
      <x:c r="V72" s="3" t="n">
        <x:f>('SUPUESTOS PRECIOS'!$B$6-'SUPUESTOS PRECIOS'!$B$7)/'SUPUESTOS PRECIOS'!$B$4</x:f>
        <x:v>377.5</x:v>
      </x:c>
      <x:c r="W72" s="4" t="n">
        <x:f>'SUPUESTOS PRECIOS'!$B$8</x:f>
        <x:v>0.00968</x:v>
      </x:c>
      <x:c r="X72" s="4" t="n">
        <x:f>'SUPUESTOS PRECIOS'!$B$2</x:f>
        <x:v>0.4</x:v>
      </x:c>
      <x:c r="Y72" s="3">
        <x:f t="shared" si="5"/>
        <x:v>6740</x:v>
      </x:c>
      <x:c r="Z72" s="3">
        <x:f t="shared" si="6"/>
        <x:v>2697.2568000000001</x:v>
      </x:c>
      <x:c r="AA72" s="11">
        <x:f t="shared" si="7"/>
        <x:v>0.40018646884273001</x:v>
      </x:c>
      <x:c r="AB72" t="s">
        <x:v>292</x:v>
      </x:c>
      <x:c r="AC72" t="s">
        <x:v>293</x:v>
      </x:c>
    </x:row>
    <x:row r="73">
      <x:c r="A73" s="10" t="s">
        <x:v>430</x:v>
      </x:c>
      <x:c r="B73" t="s">
        <x:v>431</x:v>
      </x:c>
      <x:c r="C73" t="s">
        <x:v>133</x:v>
      </x:c>
      <x:c r="D73" t="s">
        <x:v>252</x:v>
      </x:c>
      <x:c r="E73" t="s">
        <x:v>33</x:v>
      </x:c>
      <x:c r="F73" t="s">
        <x:v>427</x:v>
      </x:c>
      <x:c r="H73" t="s">
        <x:v>136</x:v>
      </x:c>
      <x:c r="I73" t="s">
        <x:v>432</x:v>
      </x:c>
      <x:c r="J73">
        <x:v>3700</x:v>
      </x:c>
      <x:c r="K73">
        <x:v>0.3</x:v>
      </x:c>
      <x:c r="L73">
        <x:f t="shared" si="4"/>
        <x:v>4810</x:v>
      </x:c>
      <x:c r="M73" t="s">
        <x:v>38</x:v>
      </x:c>
      <x:c r="O73" t="s">
        <x:v>38</x:v>
      </x:c>
      <x:c r="P73" t="s">
        <x:v>39</x:v>
      </x:c>
      <x:c r="Q73" t="s">
        <x:v>431</x:v>
      </x:c>
      <x:c r="R73" t="s">
        <x:v>429</x:v>
      </x:c>
      <x:c r="S73" t="s">
        <x:v>256</x:v>
      </x:c>
      <x:c r="T73" s="2" t="n">
        <x:f>'SUPUESTOS PRECIOS'!$B$9</x:f>
        <x:v>0</x:v>
      </x:c>
      <x:c r="U73" s="3" t="n">
        <x:f>'SUPUESTOS PRECIOS'!$B$5/'SUPUESTOS PRECIOS'!$B$4</x:f>
        <x:v>1000</x:v>
      </x:c>
      <x:c r="V73" s="3" t="n">
        <x:f>('SUPUESTOS PRECIOS'!$B$6-'SUPUESTOS PRECIOS'!$B$7)/'SUPUESTOS PRECIOS'!$B$4</x:f>
        <x:v>377.5</x:v>
      </x:c>
      <x:c r="W73" s="4" t="n">
        <x:f>'SUPUESTOS PRECIOS'!$B$8</x:f>
        <x:v>0.00968</x:v>
      </x:c>
      <x:c r="X73" s="4" t="n">
        <x:f>'SUPUESTOS PRECIOS'!$B$2</x:f>
        <x:v>0.4</x:v>
      </x:c>
      <x:c r="Y73" s="3">
        <x:f t="shared" si="5"/>
        <x:v>8600</x:v>
      </x:c>
      <x:c r="Z73" s="3">
        <x:f t="shared" si="6"/>
        <x:v>3439.252</x:v>
      </x:c>
      <x:c r="AA73" s="11">
        <x:f t="shared" si="7"/>
        <x:v>0.39991302325581396</x:v>
      </x:c>
      <x:c r="AB73" t="s">
        <x:v>292</x:v>
      </x:c>
      <x:c r="AC73" t="s">
        <x:v>264</x:v>
      </x:c>
    </x:row>
    <x:row r="74">
      <x:c r="A74" s="10" t="s">
        <x:v>433</x:v>
      </x:c>
      <x:c r="B74" t="s">
        <x:v>434</x:v>
      </x:c>
      <x:c r="C74" t="s">
        <x:v>133</x:v>
      </x:c>
      <x:c r="D74" t="s">
        <x:v>252</x:v>
      </x:c>
      <x:c r="E74" t="s">
        <x:v>33</x:v>
      </x:c>
      <x:c r="F74" t="s">
        <x:v>427</x:v>
      </x:c>
      <x:c r="H74" t="s">
        <x:v>136</x:v>
      </x:c>
      <x:c r="I74" t="s">
        <x:v>435</x:v>
      </x:c>
      <x:c r="J74">
        <x:v>4000</x:v>
      </x:c>
      <x:c r="K74">
        <x:v>0.3</x:v>
      </x:c>
      <x:c r="L74">
        <x:f t="shared" si="4"/>
        <x:v>5200</x:v>
      </x:c>
      <x:c r="M74" t="s">
        <x:v>38</x:v>
      </x:c>
      <x:c r="O74" t="s">
        <x:v>38</x:v>
      </x:c>
      <x:c r="P74" t="s">
        <x:v>39</x:v>
      </x:c>
      <x:c r="Q74" t="s">
        <x:v>434</x:v>
      </x:c>
      <x:c r="R74" t="s">
        <x:v>429</x:v>
      </x:c>
      <x:c r="S74" t="s">
        <x:v>256</x:v>
      </x:c>
      <x:c r="T74" s="2" t="n">
        <x:f>'SUPUESTOS PRECIOS'!$B$9</x:f>
        <x:v>0</x:v>
      </x:c>
      <x:c r="U74" s="3" t="n">
        <x:f>'SUPUESTOS PRECIOS'!$B$5/'SUPUESTOS PRECIOS'!$B$4</x:f>
        <x:v>1000</x:v>
      </x:c>
      <x:c r="V74" s="3" t="n">
        <x:f>('SUPUESTOS PRECIOS'!$B$6-'SUPUESTOS PRECIOS'!$B$7)/'SUPUESTOS PRECIOS'!$B$4</x:f>
        <x:v>377.5</x:v>
      </x:c>
      <x:c r="W74" s="4" t="n">
        <x:f>'SUPUESTOS PRECIOS'!$B$8</x:f>
        <x:v>0.00968</x:v>
      </x:c>
      <x:c r="X74" s="4" t="n">
        <x:f>'SUPUESTOS PRECIOS'!$B$2</x:f>
        <x:v>0.4</x:v>
      </x:c>
      <x:c r="Y74" s="3">
        <x:f t="shared" si="5"/>
        <x:v>9110</x:v>
      </x:c>
      <x:c r="Z74" s="3">
        <x:f t="shared" si="6"/>
        <x:v>3644.3152</x:v>
      </x:c>
      <x:c r="AA74" s="11">
        <x:f t="shared" si="7"/>
        <x:v>0.40003459934138308</x:v>
      </x:c>
      <x:c r="AB74" t="s">
        <x:v>292</x:v>
      </x:c>
      <x:c r="AC74" t="s">
        <x:v>270</x:v>
      </x:c>
    </x:row>
    <x:row r="75">
      <x:c r="A75" s="10" t="s">
        <x:v>436</x:v>
      </x:c>
      <x:c r="B75" t="s">
        <x:v>437</x:v>
      </x:c>
      <x:c r="C75" t="s">
        <x:v>133</x:v>
      </x:c>
      <x:c r="D75" t="s">
        <x:v>252</x:v>
      </x:c>
      <x:c r="E75" t="s">
        <x:v>33</x:v>
      </x:c>
      <x:c r="F75" t="s">
        <x:v>427</x:v>
      </x:c>
      <x:c r="H75" t="s">
        <x:v>136</x:v>
      </x:c>
      <x:c r="I75" t="s">
        <x:v>438</x:v>
      </x:c>
      <x:c r="J75">
        <x:v>4900</x:v>
      </x:c>
      <x:c r="K75">
        <x:v>0.3</x:v>
      </x:c>
      <x:c r="L75">
        <x:f t="shared" si="4"/>
        <x:v>6370</x:v>
      </x:c>
      <x:c r="M75" t="s">
        <x:v>38</x:v>
      </x:c>
      <x:c r="O75" t="s">
        <x:v>38</x:v>
      </x:c>
      <x:c r="P75" t="s">
        <x:v>39</x:v>
      </x:c>
      <x:c r="Q75" t="s">
        <x:v>437</x:v>
      </x:c>
      <x:c r="R75" t="s">
        <x:v>429</x:v>
      </x:c>
      <x:c r="S75" t="s">
        <x:v>256</x:v>
      </x:c>
      <x:c r="T75" s="2" t="n">
        <x:f>'SUPUESTOS PRECIOS'!$B$9</x:f>
        <x:v>0</x:v>
      </x:c>
      <x:c r="U75" s="3" t="n">
        <x:f>'SUPUESTOS PRECIOS'!$B$5/'SUPUESTOS PRECIOS'!$B$4</x:f>
        <x:v>1000</x:v>
      </x:c>
      <x:c r="V75" s="3" t="n">
        <x:f>('SUPUESTOS PRECIOS'!$B$6-'SUPUESTOS PRECIOS'!$B$7)/'SUPUESTOS PRECIOS'!$B$4</x:f>
        <x:v>377.5</x:v>
      </x:c>
      <x:c r="W75" s="4" t="n">
        <x:f>'SUPUESTOS PRECIOS'!$B$8</x:f>
        <x:v>0.00968</x:v>
      </x:c>
      <x:c r="X75" s="4" t="n">
        <x:f>'SUPUESTOS PRECIOS'!$B$2</x:f>
        <x:v>0.4</x:v>
      </x:c>
      <x:c r="Y75" s="3">
        <x:f t="shared" si="5"/>
        <x:v>10630</x:v>
      </x:c>
      <x:c r="Z75" s="3">
        <x:f t="shared" si="6"/>
        <x:v>4249.6016</x:v>
      </x:c>
      <x:c r="AA75" s="11">
        <x:f t="shared" si="7"/>
        <x:v>0.39977437441204139</x:v>
      </x:c>
      <x:c r="AB75" t="s">
        <x:v>292</x:v>
      </x:c>
      <x:c r="AC75" t="s">
        <x:v>276</x:v>
      </x:c>
    </x:row>
    <x:row r="76">
      <x:c r="A76" s="10" t="s">
        <x:v>439</x:v>
      </x:c>
      <x:c r="B76" t="s">
        <x:v>440</x:v>
      </x:c>
      <x:c r="C76" t="s">
        <x:v>133</x:v>
      </x:c>
      <x:c r="D76" t="s">
        <x:v>252</x:v>
      </x:c>
      <x:c r="E76" t="s">
        <x:v>33</x:v>
      </x:c>
      <x:c r="F76" t="s">
        <x:v>441</x:v>
      </x:c>
      <x:c r="H76" t="s">
        <x:v>136</x:v>
      </x:c>
      <x:c r="I76" t="s">
        <x:v>442</x:v>
      </x:c>
      <x:c r="J76">
        <x:v>2200</x:v>
      </x:c>
      <x:c r="K76">
        <x:v>0.3</x:v>
      </x:c>
      <x:c r="L76">
        <x:f t="shared" si="4"/>
        <x:v>2860</x:v>
      </x:c>
      <x:c r="M76" t="s">
        <x:v>38</x:v>
      </x:c>
      <x:c r="O76" t="s">
        <x:v>38</x:v>
      </x:c>
      <x:c r="P76" t="s">
        <x:v>39</x:v>
      </x:c>
      <x:c r="Q76" t="s">
        <x:v>440</x:v>
      </x:c>
      <x:c r="R76" t="s">
        <x:v>443</x:v>
      </x:c>
      <x:c r="S76" t="s">
        <x:v>256</x:v>
      </x:c>
      <x:c r="T76" s="2" t="n">
        <x:f>'SUPUESTOS PRECIOS'!$B$9</x:f>
        <x:v>0</x:v>
      </x:c>
      <x:c r="U76" s="3" t="n">
        <x:f>'SUPUESTOS PRECIOS'!$B$5/'SUPUESTOS PRECIOS'!$B$4</x:f>
        <x:v>1000</x:v>
      </x:c>
      <x:c r="V76" s="3" t="n">
        <x:f>('SUPUESTOS PRECIOS'!$B$6-'SUPUESTOS PRECIOS'!$B$7)/'SUPUESTOS PRECIOS'!$B$4</x:f>
        <x:v>377.5</x:v>
      </x:c>
      <x:c r="W76" s="4" t="n">
        <x:f>'SUPUESTOS PRECIOS'!$B$8</x:f>
        <x:v>0.00968</x:v>
      </x:c>
      <x:c r="X76" s="4" t="n">
        <x:f>'SUPUESTOS PRECIOS'!$B$2</x:f>
        <x:v>0.4</x:v>
      </x:c>
      <x:c r="Y76" s="3">
        <x:f t="shared" si="5"/>
        <x:v>6060</x:v>
      </x:c>
      <x:c r="Z76" s="3">
        <x:f t="shared" si="6"/>
        <x:v>2423.8391999999999</x:v>
      </x:c>
      <x:c r="AA76" s="11">
        <x:f t="shared" si="7"/>
        <x:v>0.39997346534653466</x:v>
      </x:c>
    </x:row>
    <x:row r="77">
      <x:c r="A77" s="10" t="s">
        <x:v>444</x:v>
      </x:c>
      <x:c r="B77" t="s">
        <x:v>445</x:v>
      </x:c>
      <x:c r="C77" t="s">
        <x:v>446</x:v>
      </x:c>
      <x:c r="D77" t="s">
        <x:v>447</x:v>
      </x:c>
      <x:c r="E77" t="s">
        <x:v>33</x:v>
      </x:c>
      <x:c r="F77" t="s">
        <x:v>448</x:v>
      </x:c>
      <x:c r="H77" t="s">
        <x:v>136</x:v>
      </x:c>
      <x:c r="I77" t="s">
        <x:v>449</x:v>
      </x:c>
      <x:c r="J77">
        <x:v>1900</x:v>
      </x:c>
      <x:c r="K77">
        <x:v>0.3</x:v>
      </x:c>
      <x:c r="L77">
        <x:f t="shared" si="4"/>
        <x:v>2470</x:v>
      </x:c>
      <x:c r="M77" t="s">
        <x:v>38</x:v>
      </x:c>
      <x:c r="O77" t="s">
        <x:v>38</x:v>
      </x:c>
      <x:c r="P77" t="s">
        <x:v>39</x:v>
      </x:c>
      <x:c r="Q77" t="s">
        <x:v>445</x:v>
      </x:c>
      <x:c r="R77" t="s">
        <x:v>450</x:v>
      </x:c>
      <x:c r="S77" t="s">
        <x:v>451</x:v>
      </x:c>
      <x:c r="T77" s="2" t="n">
        <x:f>'SUPUESTOS PRECIOS'!$B$9</x:f>
        <x:v>0</x:v>
      </x:c>
      <x:c r="U77" s="3" t="n">
        <x:f>'SUPUESTOS PRECIOS'!$B$5/'SUPUESTOS PRECIOS'!$B$4</x:f>
        <x:v>1000</x:v>
      </x:c>
      <x:c r="V77" s="3" t="n">
        <x:f>('SUPUESTOS PRECIOS'!$B$6-'SUPUESTOS PRECIOS'!$B$7)/'SUPUESTOS PRECIOS'!$B$4</x:f>
        <x:v>377.5</x:v>
      </x:c>
      <x:c r="W77" s="4" t="n">
        <x:f>'SUPUESTOS PRECIOS'!$B$8</x:f>
        <x:v>0.00968</x:v>
      </x:c>
      <x:c r="X77" s="4" t="n">
        <x:f>'SUPUESTOS PRECIOS'!$B$2</x:f>
        <x:v>0.4</x:v>
      </x:c>
      <x:c r="Y77" s="3">
        <x:f t="shared" si="5"/>
        <x:v>5550</x:v>
      </x:c>
      <x:c r="Z77" s="3">
        <x:f t="shared" si="6"/>
        <x:v>2218.7759999999998</x:v>
      </x:c>
      <x:c r="AA77" s="11">
        <x:f t="shared" si="7"/>
        <x:v>0.39977945945945942</x:v>
      </x:c>
    </x:row>
    <x:row r="78">
      <x:c r="A78" s="10" t="s">
        <x:v>452</x:v>
      </x:c>
      <x:c r="B78" t="s">
        <x:v>453</x:v>
      </x:c>
      <x:c r="C78" t="s">
        <x:v>446</x:v>
      </x:c>
      <x:c r="D78" t="s">
        <x:v>454</x:v>
      </x:c>
      <x:c r="E78" t="s">
        <x:v>33</x:v>
      </x:c>
      <x:c r="F78" t="s">
        <x:v>455</x:v>
      </x:c>
      <x:c r="H78" t="s">
        <x:v>136</x:v>
      </x:c>
      <x:c r="I78" t="s">
        <x:v>456</x:v>
      </x:c>
      <x:c r="J78">
        <x:v>800</x:v>
      </x:c>
      <x:c r="K78">
        <x:v>0.3</x:v>
      </x:c>
      <x:c r="L78">
        <x:f t="shared" si="4"/>
        <x:v>1040</x:v>
      </x:c>
      <x:c r="M78" t="s">
        <x:v>38</x:v>
      </x:c>
      <x:c r="O78" t="s">
        <x:v>38</x:v>
      </x:c>
      <x:c r="P78" t="s">
        <x:v>39</x:v>
      </x:c>
      <x:c r="Q78" t="s">
        <x:v>453</x:v>
      </x:c>
      <x:c r="R78" t="s">
        <x:v>457</x:v>
      </x:c>
      <x:c r="S78" t="s">
        <x:v>458</x:v>
      </x:c>
      <x:c r="T78" s="2" t="n">
        <x:f>'SUPUESTOS PRECIOS'!$B$9</x:f>
        <x:v>0</x:v>
      </x:c>
      <x:c r="U78" s="3" t="n">
        <x:f>'SUPUESTOS PRECIOS'!$B$5/'SUPUESTOS PRECIOS'!$B$4</x:f>
        <x:v>1000</x:v>
      </x:c>
      <x:c r="V78" s="3" t="n">
        <x:f>('SUPUESTOS PRECIOS'!$B$6-'SUPUESTOS PRECIOS'!$B$7)/'SUPUESTOS PRECIOS'!$B$4</x:f>
        <x:v>377.5</x:v>
      </x:c>
      <x:c r="W78" s="4" t="n">
        <x:f>'SUPUESTOS PRECIOS'!$B$8</x:f>
        <x:v>0.00968</x:v>
      </x:c>
      <x:c r="X78" s="4" t="n">
        <x:f>'SUPUESTOS PRECIOS'!$B$2</x:f>
        <x:v>0.4</x:v>
      </x:c>
      <x:c r="Y78" s="3">
        <x:f t="shared" si="5"/>
        <x:v>3690</x:v>
      </x:c>
      <x:c r="Z78" s="3">
        <x:f t="shared" si="6"/>
        <x:v>1476.7808</x:v>
      </x:c>
      <x:c r="AA78" s="11">
        <x:f t="shared" si="7"/>
        <x:v>0.40021159891598918</x:v>
      </x:c>
    </x:row>
    <x:row r="79">
      <x:c r="A79" s="10" t="s">
        <x:v>459</x:v>
      </x:c>
      <x:c r="B79" t="s">
        <x:v>460</x:v>
      </x:c>
      <x:c r="C79" t="s">
        <x:v>446</x:v>
      </x:c>
      <x:c r="D79" t="s">
        <x:v>461</x:v>
      </x:c>
      <x:c r="E79" t="s">
        <x:v>33</x:v>
      </x:c>
      <x:c r="F79" t="s">
        <x:v>462</x:v>
      </x:c>
      <x:c r="H79" t="s">
        <x:v>136</x:v>
      </x:c>
      <x:c r="I79" t="s">
        <x:v>463</x:v>
      </x:c>
      <x:c r="J79">
        <x:v>5000</x:v>
      </x:c>
      <x:c r="K79">
        <x:v>0.3</x:v>
      </x:c>
      <x:c r="L79">
        <x:f t="shared" si="4"/>
        <x:v>6500</x:v>
      </x:c>
      <x:c r="M79" t="s">
        <x:v>38</x:v>
      </x:c>
      <x:c r="O79" t="s">
        <x:v>38</x:v>
      </x:c>
      <x:c r="P79" t="s">
        <x:v>39</x:v>
      </x:c>
      <x:c r="Q79" t="s">
        <x:v>460</x:v>
      </x:c>
      <x:c r="R79" t="s">
        <x:v>464</x:v>
      </x:c>
      <x:c r="S79" t="s">
        <x:v>465</x:v>
      </x:c>
      <x:c r="T79" s="2" t="n">
        <x:f>'SUPUESTOS PRECIOS'!$B$9</x:f>
        <x:v>0</x:v>
      </x:c>
      <x:c r="U79" s="3" t="n">
        <x:f>'SUPUESTOS PRECIOS'!$B$5/'SUPUESTOS PRECIOS'!$B$4</x:f>
        <x:v>1000</x:v>
      </x:c>
      <x:c r="V79" s="3" t="n">
        <x:f>('SUPUESTOS PRECIOS'!$B$6-'SUPUESTOS PRECIOS'!$B$7)/'SUPUESTOS PRECIOS'!$B$4</x:f>
        <x:v>377.5</x:v>
      </x:c>
      <x:c r="W79" s="4" t="n">
        <x:f>'SUPUESTOS PRECIOS'!$B$8</x:f>
        <x:v>0.00968</x:v>
      </x:c>
      <x:c r="X79" s="4" t="n">
        <x:f>'SUPUESTOS PRECIOS'!$B$2</x:f>
        <x:v>0.4</x:v>
      </x:c>
      <x:c r="Y79" s="3">
        <x:f t="shared" si="5"/>
        <x:v>10800</x:v>
      </x:c>
      <x:c r="Z79" s="3">
        <x:f t="shared" si="6"/>
        <x:v>4317.9560000000001</x:v>
      </x:c>
      <x:c r="AA79" s="11">
        <x:f t="shared" si="7"/>
        <x:v>0.39981074074074074</x:v>
      </x:c>
    </x:row>
    <x:row r="80">
      <x:c r="A80" s="10" t="s">
        <x:v>466</x:v>
      </x:c>
      <x:c r="B80" t="s">
        <x:v>467</x:v>
      </x:c>
      <x:c r="C80" t="s">
        <x:v>446</x:v>
      </x:c>
      <x:c r="D80" t="s">
        <x:v>468</x:v>
      </x:c>
      <x:c r="E80" t="s">
        <x:v>469</x:v>
      </x:c>
      <x:c r="F80" t="s">
        <x:v>468</x:v>
      </x:c>
      <x:c r="G80" t="s">
        <x:v>470</x:v>
      </x:c>
      <x:c r="H80" t="s">
        <x:v>136</x:v>
      </x:c>
      <x:c r="I80" t="s">
        <x:v>471</x:v>
      </x:c>
      <x:c r="J80">
        <x:v>4100</x:v>
      </x:c>
      <x:c r="K80">
        <x:v>0.3</x:v>
      </x:c>
      <x:c r="L80">
        <x:f t="shared" si="4"/>
        <x:v>5330</x:v>
      </x:c>
      <x:c r="M80" t="s">
        <x:v>38</x:v>
      </x:c>
      <x:c r="O80" t="s">
        <x:v>38</x:v>
      </x:c>
      <x:c r="P80" t="s">
        <x:v>39</x:v>
      </x:c>
      <x:c r="Q80" t="s">
        <x:v>467</x:v>
      </x:c>
      <x:c r="R80" t="s">
        <x:v>472</x:v>
      </x:c>
      <x:c r="S80" t="s">
        <x:v>473</x:v>
      </x:c>
      <x:c r="T80" s="2" t="n">
        <x:f>'SUPUESTOS PRECIOS'!$B$9</x:f>
        <x:v>0</x:v>
      </x:c>
      <x:c r="U80" s="3" t="n">
        <x:f>'SUPUESTOS PRECIOS'!$B$5/'SUPUESTOS PRECIOS'!$B$4</x:f>
        <x:v>1000</x:v>
      </x:c>
      <x:c r="V80" s="3" t="n">
        <x:f>('SUPUESTOS PRECIOS'!$B$6-'SUPUESTOS PRECIOS'!$B$7)/'SUPUESTOS PRECIOS'!$B$4</x:f>
        <x:v>377.5</x:v>
      </x:c>
      <x:c r="W80" s="4" t="n">
        <x:f>'SUPUESTOS PRECIOS'!$B$8</x:f>
        <x:v>0.00968</x:v>
      </x:c>
      <x:c r="X80" s="4" t="n">
        <x:f>'SUPUESTOS PRECIOS'!$B$2</x:f>
        <x:v>0.4</x:v>
      </x:c>
      <x:c r="Y80" s="3">
        <x:f t="shared" si="5"/>
        <x:v>9280</x:v>
      </x:c>
      <x:c r="Z80" s="3">
        <x:f t="shared" si="6"/>
        <x:v>3712.6696000000002</x:v>
      </x:c>
      <x:c r="AA80" s="11">
        <x:f t="shared" si="7"/>
        <x:v>0.40007215517241379</x:v>
      </x:c>
      <x:c r="AB80" t="s">
        <x:v>474</x:v>
      </x:c>
      <x:c r="AC80" t="s">
        <x:v>470</x:v>
      </x:c>
    </x:row>
    <x:row r="81">
      <x:c r="A81" s="10" t="s">
        <x:v>475</x:v>
      </x:c>
      <x:c r="B81" t="s">
        <x:v>476</x:v>
      </x:c>
      <x:c r="C81" t="s">
        <x:v>446</x:v>
      </x:c>
      <x:c r="D81" t="s">
        <x:v>468</x:v>
      </x:c>
      <x:c r="E81" t="s">
        <x:v>469</x:v>
      </x:c>
      <x:c r="F81" t="s">
        <x:v>468</x:v>
      </x:c>
      <x:c r="G81" t="s">
        <x:v>477</x:v>
      </x:c>
      <x:c r="H81" t="s">
        <x:v>136</x:v>
      </x:c>
      <x:c r="I81" t="s">
        <x:v>478</x:v>
      </x:c>
      <x:c r="J81">
        <x:v>4100</x:v>
      </x:c>
      <x:c r="K81">
        <x:v>0.3</x:v>
      </x:c>
      <x:c r="L81">
        <x:f t="shared" si="4"/>
        <x:v>5330</x:v>
      </x:c>
      <x:c r="M81" t="s">
        <x:v>38</x:v>
      </x:c>
      <x:c r="O81" t="s">
        <x:v>38</x:v>
      </x:c>
      <x:c r="P81" t="s">
        <x:v>39</x:v>
      </x:c>
      <x:c r="Q81" t="s">
        <x:v>476</x:v>
      </x:c>
      <x:c r="R81" t="s">
        <x:v>479</x:v>
      </x:c>
      <x:c r="S81" t="s">
        <x:v>473</x:v>
      </x:c>
      <x:c r="T81" s="2" t="n">
        <x:f>'SUPUESTOS PRECIOS'!$B$9</x:f>
        <x:v>0</x:v>
      </x:c>
      <x:c r="U81" s="3" t="n">
        <x:f>'SUPUESTOS PRECIOS'!$B$5/'SUPUESTOS PRECIOS'!$B$4</x:f>
        <x:v>1000</x:v>
      </x:c>
      <x:c r="V81" s="3" t="n">
        <x:f>('SUPUESTOS PRECIOS'!$B$6-'SUPUESTOS PRECIOS'!$B$7)/'SUPUESTOS PRECIOS'!$B$4</x:f>
        <x:v>377.5</x:v>
      </x:c>
      <x:c r="W81" s="4" t="n">
        <x:f>'SUPUESTOS PRECIOS'!$B$8</x:f>
        <x:v>0.00968</x:v>
      </x:c>
      <x:c r="X81" s="4" t="n">
        <x:f>'SUPUESTOS PRECIOS'!$B$2</x:f>
        <x:v>0.4</x:v>
      </x:c>
      <x:c r="Y81" s="3">
        <x:f t="shared" si="5"/>
        <x:v>9280</x:v>
      </x:c>
      <x:c r="Z81" s="3">
        <x:f t="shared" si="6"/>
        <x:v>3712.6696000000002</x:v>
      </x:c>
      <x:c r="AA81" s="11">
        <x:f t="shared" si="7"/>
        <x:v>0.40007215517241379</x:v>
      </x:c>
      <x:c r="AB81" t="s">
        <x:v>474</x:v>
      </x:c>
      <x:c r="AC81" t="s">
        <x:v>477</x:v>
      </x:c>
    </x:row>
    <x:row r="82">
      <x:c r="A82" s="10" t="s">
        <x:v>480</x:v>
      </x:c>
      <x:c r="B82" t="s">
        <x:v>481</x:v>
      </x:c>
      <x:c r="C82" t="s">
        <x:v>446</x:v>
      </x:c>
      <x:c r="D82" t="s">
        <x:v>468</x:v>
      </x:c>
      <x:c r="E82" t="s">
        <x:v>469</x:v>
      </x:c>
      <x:c r="F82" t="s">
        <x:v>468</x:v>
      </x:c>
      <x:c r="G82" t="s">
        <x:v>482</x:v>
      </x:c>
      <x:c r="H82" t="s">
        <x:v>136</x:v>
      </x:c>
      <x:c r="I82" t="s">
        <x:v>483</x:v>
      </x:c>
      <x:c r="J82">
        <x:v>4100</x:v>
      </x:c>
      <x:c r="K82">
        <x:v>0.3</x:v>
      </x:c>
      <x:c r="L82">
        <x:f t="shared" si="4"/>
        <x:v>5330</x:v>
      </x:c>
      <x:c r="M82" t="s">
        <x:v>38</x:v>
      </x:c>
      <x:c r="O82" t="s">
        <x:v>38</x:v>
      </x:c>
      <x:c r="P82" t="s">
        <x:v>39</x:v>
      </x:c>
      <x:c r="Q82" t="s">
        <x:v>481</x:v>
      </x:c>
      <x:c r="R82" t="s">
        <x:v>484</x:v>
      </x:c>
      <x:c r="S82" t="s">
        <x:v>473</x:v>
      </x:c>
      <x:c r="T82" s="2" t="n">
        <x:f>'SUPUESTOS PRECIOS'!$B$9</x:f>
        <x:v>0</x:v>
      </x:c>
      <x:c r="U82" s="3" t="n">
        <x:f>'SUPUESTOS PRECIOS'!$B$5/'SUPUESTOS PRECIOS'!$B$4</x:f>
        <x:v>1000</x:v>
      </x:c>
      <x:c r="V82" s="3" t="n">
        <x:f>('SUPUESTOS PRECIOS'!$B$6-'SUPUESTOS PRECIOS'!$B$7)/'SUPUESTOS PRECIOS'!$B$4</x:f>
        <x:v>377.5</x:v>
      </x:c>
      <x:c r="W82" s="4" t="n">
        <x:f>'SUPUESTOS PRECIOS'!$B$8</x:f>
        <x:v>0.00968</x:v>
      </x:c>
      <x:c r="X82" s="4" t="n">
        <x:f>'SUPUESTOS PRECIOS'!$B$2</x:f>
        <x:v>0.4</x:v>
      </x:c>
      <x:c r="Y82" s="3">
        <x:f t="shared" si="5"/>
        <x:v>9280</x:v>
      </x:c>
      <x:c r="Z82" s="3">
        <x:f t="shared" si="6"/>
        <x:v>3712.6696000000002</x:v>
      </x:c>
      <x:c r="AA82" s="11">
        <x:f t="shared" si="7"/>
        <x:v>0.40007215517241379</x:v>
      </x:c>
      <x:c r="AB82" t="s">
        <x:v>474</x:v>
      </x:c>
      <x:c r="AC82" t="s">
        <x:v>482</x:v>
      </x:c>
    </x:row>
    <x:row r="83">
      <x:c r="A83" s="10" t="s">
        <x:v>485</x:v>
      </x:c>
      <x:c r="B83" t="s">
        <x:v>486</x:v>
      </x:c>
      <x:c r="C83" t="s">
        <x:v>446</x:v>
      </x:c>
      <x:c r="D83" t="s">
        <x:v>468</x:v>
      </x:c>
      <x:c r="E83" t="s">
        <x:v>469</x:v>
      </x:c>
      <x:c r="F83" t="s">
        <x:v>468</x:v>
      </x:c>
      <x:c r="G83" t="s">
        <x:v>487</x:v>
      </x:c>
      <x:c r="H83" t="s">
        <x:v>136</x:v>
      </x:c>
      <x:c r="I83" t="s">
        <x:v>488</x:v>
      </x:c>
      <x:c r="J83">
        <x:v>4100</x:v>
      </x:c>
      <x:c r="K83">
        <x:v>0.3</x:v>
      </x:c>
      <x:c r="L83">
        <x:f t="shared" si="4"/>
        <x:v>5330</x:v>
      </x:c>
      <x:c r="M83" t="s">
        <x:v>38</x:v>
      </x:c>
      <x:c r="O83" t="s">
        <x:v>38</x:v>
      </x:c>
      <x:c r="P83" t="s">
        <x:v>39</x:v>
      </x:c>
      <x:c r="Q83" t="s">
        <x:v>486</x:v>
      </x:c>
      <x:c r="R83" t="s">
        <x:v>489</x:v>
      </x:c>
      <x:c r="S83" t="s">
        <x:v>473</x:v>
      </x:c>
      <x:c r="T83" s="2" t="n">
        <x:f>'SUPUESTOS PRECIOS'!$B$9</x:f>
        <x:v>0</x:v>
      </x:c>
      <x:c r="U83" s="3" t="n">
        <x:f>'SUPUESTOS PRECIOS'!$B$5/'SUPUESTOS PRECIOS'!$B$4</x:f>
        <x:v>1000</x:v>
      </x:c>
      <x:c r="V83" s="3" t="n">
        <x:f>('SUPUESTOS PRECIOS'!$B$6-'SUPUESTOS PRECIOS'!$B$7)/'SUPUESTOS PRECIOS'!$B$4</x:f>
        <x:v>377.5</x:v>
      </x:c>
      <x:c r="W83" s="4" t="n">
        <x:f>'SUPUESTOS PRECIOS'!$B$8</x:f>
        <x:v>0.00968</x:v>
      </x:c>
      <x:c r="X83" s="4" t="n">
        <x:f>'SUPUESTOS PRECIOS'!$B$2</x:f>
        <x:v>0.4</x:v>
      </x:c>
      <x:c r="Y83" s="3">
        <x:f t="shared" si="5"/>
        <x:v>9280</x:v>
      </x:c>
      <x:c r="Z83" s="3">
        <x:f t="shared" si="6"/>
        <x:v>3712.6696000000002</x:v>
      </x:c>
      <x:c r="AA83" s="11">
        <x:f t="shared" si="7"/>
        <x:v>0.40007215517241379</x:v>
      </x:c>
      <x:c r="AB83" t="s">
        <x:v>474</x:v>
      </x:c>
      <x:c r="AC83" t="s">
        <x:v>487</x:v>
      </x:c>
    </x:row>
    <x:row r="84">
      <x:c r="A84" s="10" t="s">
        <x:v>490</x:v>
      </x:c>
      <x:c r="B84" t="s">
        <x:v>491</x:v>
      </x:c>
      <x:c r="C84" t="s">
        <x:v>446</x:v>
      </x:c>
      <x:c r="D84" t="s">
        <x:v>468</x:v>
      </x:c>
      <x:c r="E84" t="s">
        <x:v>469</x:v>
      </x:c>
      <x:c r="F84" t="s">
        <x:v>468</x:v>
      </x:c>
      <x:c r="G84" t="s">
        <x:v>492</x:v>
      </x:c>
      <x:c r="H84" t="s">
        <x:v>136</x:v>
      </x:c>
      <x:c r="I84" t="s">
        <x:v>493</x:v>
      </x:c>
      <x:c r="J84">
        <x:v>4100</x:v>
      </x:c>
      <x:c r="K84">
        <x:v>0.3</x:v>
      </x:c>
      <x:c r="L84">
        <x:f t="shared" si="4"/>
        <x:v>5330</x:v>
      </x:c>
      <x:c r="M84" t="s">
        <x:v>38</x:v>
      </x:c>
      <x:c r="O84" t="s">
        <x:v>38</x:v>
      </x:c>
      <x:c r="P84" t="s">
        <x:v>39</x:v>
      </x:c>
      <x:c r="Q84" t="s">
        <x:v>491</x:v>
      </x:c>
      <x:c r="R84" t="s">
        <x:v>494</x:v>
      </x:c>
      <x:c r="S84" t="s">
        <x:v>473</x:v>
      </x:c>
      <x:c r="T84" s="2" t="n">
        <x:f>'SUPUESTOS PRECIOS'!$B$9</x:f>
        <x:v>0</x:v>
      </x:c>
      <x:c r="U84" s="3" t="n">
        <x:f>'SUPUESTOS PRECIOS'!$B$5/'SUPUESTOS PRECIOS'!$B$4</x:f>
        <x:v>1000</x:v>
      </x:c>
      <x:c r="V84" s="3" t="n">
        <x:f>('SUPUESTOS PRECIOS'!$B$6-'SUPUESTOS PRECIOS'!$B$7)/'SUPUESTOS PRECIOS'!$B$4</x:f>
        <x:v>377.5</x:v>
      </x:c>
      <x:c r="W84" s="4" t="n">
        <x:f>'SUPUESTOS PRECIOS'!$B$8</x:f>
        <x:v>0.00968</x:v>
      </x:c>
      <x:c r="X84" s="4" t="n">
        <x:f>'SUPUESTOS PRECIOS'!$B$2</x:f>
        <x:v>0.4</x:v>
      </x:c>
      <x:c r="Y84" s="3">
        <x:f t="shared" si="5"/>
        <x:v>9280</x:v>
      </x:c>
      <x:c r="Z84" s="3">
        <x:f t="shared" si="6"/>
        <x:v>3712.6696000000002</x:v>
      </x:c>
      <x:c r="AA84" s="11">
        <x:f t="shared" si="7"/>
        <x:v>0.40007215517241379</x:v>
      </x:c>
      <x:c r="AB84" t="s">
        <x:v>474</x:v>
      </x:c>
      <x:c r="AC84" t="s">
        <x:v>492</x:v>
      </x:c>
    </x:row>
    <x:row r="85">
      <x:c r="A85" s="10" t="s">
        <x:v>495</x:v>
      </x:c>
      <x:c r="B85" t="s">
        <x:v>496</x:v>
      </x:c>
      <x:c r="C85" t="s">
        <x:v>446</x:v>
      </x:c>
      <x:c r="D85" t="s">
        <x:v>468</x:v>
      </x:c>
      <x:c r="E85" t="s">
        <x:v>469</x:v>
      </x:c>
      <x:c r="F85" t="s">
        <x:v>468</x:v>
      </x:c>
      <x:c r="G85" t="s">
        <x:v>497</x:v>
      </x:c>
      <x:c r="H85" t="s">
        <x:v>136</x:v>
      </x:c>
      <x:c r="I85" t="s">
        <x:v>498</x:v>
      </x:c>
      <x:c r="J85">
        <x:v>4100</x:v>
      </x:c>
      <x:c r="K85">
        <x:v>0.3</x:v>
      </x:c>
      <x:c r="L85">
        <x:f t="shared" si="4"/>
        <x:v>5330</x:v>
      </x:c>
      <x:c r="M85" t="s">
        <x:v>38</x:v>
      </x:c>
      <x:c r="O85" t="s">
        <x:v>38</x:v>
      </x:c>
      <x:c r="P85" t="s">
        <x:v>39</x:v>
      </x:c>
      <x:c r="Q85" t="s">
        <x:v>496</x:v>
      </x:c>
      <x:c r="R85" t="s">
        <x:v>499</x:v>
      </x:c>
      <x:c r="S85" t="s">
        <x:v>473</x:v>
      </x:c>
      <x:c r="T85" s="2" t="n">
        <x:f>'SUPUESTOS PRECIOS'!$B$9</x:f>
        <x:v>0</x:v>
      </x:c>
      <x:c r="U85" s="3" t="n">
        <x:f>'SUPUESTOS PRECIOS'!$B$5/'SUPUESTOS PRECIOS'!$B$4</x:f>
        <x:v>1000</x:v>
      </x:c>
      <x:c r="V85" s="3" t="n">
        <x:f>('SUPUESTOS PRECIOS'!$B$6-'SUPUESTOS PRECIOS'!$B$7)/'SUPUESTOS PRECIOS'!$B$4</x:f>
        <x:v>377.5</x:v>
      </x:c>
      <x:c r="W85" s="4" t="n">
        <x:f>'SUPUESTOS PRECIOS'!$B$8</x:f>
        <x:v>0.00968</x:v>
      </x:c>
      <x:c r="X85" s="4" t="n">
        <x:f>'SUPUESTOS PRECIOS'!$B$2</x:f>
        <x:v>0.4</x:v>
      </x:c>
      <x:c r="Y85" s="3">
        <x:f t="shared" si="5"/>
        <x:v>9280</x:v>
      </x:c>
      <x:c r="Z85" s="3">
        <x:f t="shared" si="6"/>
        <x:v>3712.6696000000002</x:v>
      </x:c>
      <x:c r="AA85" s="11">
        <x:f t="shared" si="7"/>
        <x:v>0.40007215517241379</x:v>
      </x:c>
      <x:c r="AB85" t="s">
        <x:v>474</x:v>
      </x:c>
      <x:c r="AC85" t="s">
        <x:v>497</x:v>
      </x:c>
    </x:row>
    <x:row r="86">
      <x:c r="A86" s="10" t="s">
        <x:v>500</x:v>
      </x:c>
      <x:c r="B86" t="s">
        <x:v>501</x:v>
      </x:c>
      <x:c r="C86" t="s">
        <x:v>446</x:v>
      </x:c>
      <x:c r="D86" t="s">
        <x:v>468</x:v>
      </x:c>
      <x:c r="E86" t="s">
        <x:v>469</x:v>
      </x:c>
      <x:c r="F86" t="s">
        <x:v>468</x:v>
      </x:c>
      <x:c r="G86" t="s">
        <x:v>502</x:v>
      </x:c>
      <x:c r="H86" t="s">
        <x:v>136</x:v>
      </x:c>
      <x:c r="I86" t="s">
        <x:v>503</x:v>
      </x:c>
      <x:c r="J86">
        <x:v>4100</x:v>
      </x:c>
      <x:c r="K86">
        <x:v>0.3</x:v>
      </x:c>
      <x:c r="L86">
        <x:f t="shared" si="4"/>
        <x:v>5330</x:v>
      </x:c>
      <x:c r="M86" t="s">
        <x:v>38</x:v>
      </x:c>
      <x:c r="O86" t="s">
        <x:v>38</x:v>
      </x:c>
      <x:c r="P86" t="s">
        <x:v>39</x:v>
      </x:c>
      <x:c r="Q86" t="s">
        <x:v>501</x:v>
      </x:c>
      <x:c r="R86" t="s">
        <x:v>504</x:v>
      </x:c>
      <x:c r="S86" t="s">
        <x:v>473</x:v>
      </x:c>
      <x:c r="T86" s="2" t="n">
        <x:f>'SUPUESTOS PRECIOS'!$B$9</x:f>
        <x:v>0</x:v>
      </x:c>
      <x:c r="U86" s="3" t="n">
        <x:f>'SUPUESTOS PRECIOS'!$B$5/'SUPUESTOS PRECIOS'!$B$4</x:f>
        <x:v>1000</x:v>
      </x:c>
      <x:c r="V86" s="3" t="n">
        <x:f>('SUPUESTOS PRECIOS'!$B$6-'SUPUESTOS PRECIOS'!$B$7)/'SUPUESTOS PRECIOS'!$B$4</x:f>
        <x:v>377.5</x:v>
      </x:c>
      <x:c r="W86" s="4" t="n">
        <x:f>'SUPUESTOS PRECIOS'!$B$8</x:f>
        <x:v>0.00968</x:v>
      </x:c>
      <x:c r="X86" s="4" t="n">
        <x:f>'SUPUESTOS PRECIOS'!$B$2</x:f>
        <x:v>0.4</x:v>
      </x:c>
      <x:c r="Y86" s="3">
        <x:f t="shared" si="5"/>
        <x:v>9280</x:v>
      </x:c>
      <x:c r="Z86" s="3">
        <x:f t="shared" si="6"/>
        <x:v>3712.6696000000002</x:v>
      </x:c>
      <x:c r="AA86" s="11">
        <x:f t="shared" si="7"/>
        <x:v>0.40007215517241379</x:v>
      </x:c>
      <x:c r="AB86" t="s">
        <x:v>474</x:v>
      </x:c>
      <x:c r="AC86" t="s">
        <x:v>502</x:v>
      </x:c>
    </x:row>
    <x:row r="87">
      <x:c r="A87" s="10" t="s">
        <x:v>505</x:v>
      </x:c>
      <x:c r="B87" t="s">
        <x:v>506</x:v>
      </x:c>
      <x:c r="C87" t="s">
        <x:v>446</x:v>
      </x:c>
      <x:c r="D87" t="s">
        <x:v>468</x:v>
      </x:c>
      <x:c r="E87" t="s">
        <x:v>469</x:v>
      </x:c>
      <x:c r="F87" t="s">
        <x:v>468</x:v>
      </x:c>
      <x:c r="G87" t="s">
        <x:v>507</x:v>
      </x:c>
      <x:c r="H87" t="s">
        <x:v>136</x:v>
      </x:c>
      <x:c r="I87" t="s">
        <x:v>508</x:v>
      </x:c>
      <x:c r="J87">
        <x:v>4100</x:v>
      </x:c>
      <x:c r="K87">
        <x:v>0.3</x:v>
      </x:c>
      <x:c r="L87">
        <x:f t="shared" si="4"/>
        <x:v>5330</x:v>
      </x:c>
      <x:c r="M87" t="s">
        <x:v>38</x:v>
      </x:c>
      <x:c r="O87" t="s">
        <x:v>38</x:v>
      </x:c>
      <x:c r="P87" t="s">
        <x:v>39</x:v>
      </x:c>
      <x:c r="Q87" t="s">
        <x:v>506</x:v>
      </x:c>
      <x:c r="R87" t="s">
        <x:v>509</x:v>
      </x:c>
      <x:c r="S87" t="s">
        <x:v>473</x:v>
      </x:c>
      <x:c r="T87" s="2" t="n">
        <x:f>'SUPUESTOS PRECIOS'!$B$9</x:f>
        <x:v>0</x:v>
      </x:c>
      <x:c r="U87" s="3" t="n">
        <x:f>'SUPUESTOS PRECIOS'!$B$5/'SUPUESTOS PRECIOS'!$B$4</x:f>
        <x:v>1000</x:v>
      </x:c>
      <x:c r="V87" s="3" t="n">
        <x:f>('SUPUESTOS PRECIOS'!$B$6-'SUPUESTOS PRECIOS'!$B$7)/'SUPUESTOS PRECIOS'!$B$4</x:f>
        <x:v>377.5</x:v>
      </x:c>
      <x:c r="W87" s="4" t="n">
        <x:f>'SUPUESTOS PRECIOS'!$B$8</x:f>
        <x:v>0.00968</x:v>
      </x:c>
      <x:c r="X87" s="4" t="n">
        <x:f>'SUPUESTOS PRECIOS'!$B$2</x:f>
        <x:v>0.4</x:v>
      </x:c>
      <x:c r="Y87" s="3">
        <x:f t="shared" si="5"/>
        <x:v>9280</x:v>
      </x:c>
      <x:c r="Z87" s="3">
        <x:f t="shared" si="6"/>
        <x:v>3712.6696000000002</x:v>
      </x:c>
      <x:c r="AA87" s="11">
        <x:f t="shared" si="7"/>
        <x:v>0.40007215517241379</x:v>
      </x:c>
      <x:c r="AB87" t="s">
        <x:v>474</x:v>
      </x:c>
      <x:c r="AC87" t="s">
        <x:v>507</x:v>
      </x:c>
    </x:row>
    <x:row r="88">
      <x:c r="A88" s="10" t="s">
        <x:v>510</x:v>
      </x:c>
      <x:c r="B88" t="s">
        <x:v>511</x:v>
      </x:c>
      <x:c r="C88" t="s">
        <x:v>446</x:v>
      </x:c>
      <x:c r="D88" t="s">
        <x:v>468</x:v>
      </x:c>
      <x:c r="E88" t="s">
        <x:v>469</x:v>
      </x:c>
      <x:c r="F88" t="s">
        <x:v>468</x:v>
      </x:c>
      <x:c r="G88" t="s">
        <x:v>512</x:v>
      </x:c>
      <x:c r="H88" t="s">
        <x:v>136</x:v>
      </x:c>
      <x:c r="I88" t="s">
        <x:v>513</x:v>
      </x:c>
      <x:c r="J88">
        <x:v>4100</x:v>
      </x:c>
      <x:c r="K88">
        <x:v>0.3</x:v>
      </x:c>
      <x:c r="L88">
        <x:f t="shared" si="4"/>
        <x:v>5330</x:v>
      </x:c>
      <x:c r="M88" t="s">
        <x:v>38</x:v>
      </x:c>
      <x:c r="O88" t="s">
        <x:v>38</x:v>
      </x:c>
      <x:c r="P88" t="s">
        <x:v>39</x:v>
      </x:c>
      <x:c r="Q88" t="s">
        <x:v>511</x:v>
      </x:c>
      <x:c r="R88" t="s">
        <x:v>514</x:v>
      </x:c>
      <x:c r="S88" t="s">
        <x:v>473</x:v>
      </x:c>
      <x:c r="T88" s="2" t="n">
        <x:f>'SUPUESTOS PRECIOS'!$B$9</x:f>
        <x:v>0</x:v>
      </x:c>
      <x:c r="U88" s="3" t="n">
        <x:f>'SUPUESTOS PRECIOS'!$B$5/'SUPUESTOS PRECIOS'!$B$4</x:f>
        <x:v>1000</x:v>
      </x:c>
      <x:c r="V88" s="3" t="n">
        <x:f>('SUPUESTOS PRECIOS'!$B$6-'SUPUESTOS PRECIOS'!$B$7)/'SUPUESTOS PRECIOS'!$B$4</x:f>
        <x:v>377.5</x:v>
      </x:c>
      <x:c r="W88" s="4" t="n">
        <x:f>'SUPUESTOS PRECIOS'!$B$8</x:f>
        <x:v>0.00968</x:v>
      </x:c>
      <x:c r="X88" s="4" t="n">
        <x:f>'SUPUESTOS PRECIOS'!$B$2</x:f>
        <x:v>0.4</x:v>
      </x:c>
      <x:c r="Y88" s="3">
        <x:f t="shared" si="5"/>
        <x:v>9280</x:v>
      </x:c>
      <x:c r="Z88" s="3">
        <x:f t="shared" si="6"/>
        <x:v>3712.6696000000002</x:v>
      </x:c>
      <x:c r="AA88" s="11">
        <x:f t="shared" si="7"/>
        <x:v>0.40007215517241379</x:v>
      </x:c>
      <x:c r="AB88" t="s">
        <x:v>474</x:v>
      </x:c>
      <x:c r="AC88" t="s">
        <x:v>512</x:v>
      </x:c>
    </x:row>
    <x:row r="89">
      <x:c r="A89" s="10" t="s">
        <x:v>515</x:v>
      </x:c>
      <x:c r="B89" t="s">
        <x:v>516</x:v>
      </x:c>
      <x:c r="C89" t="s">
        <x:v>446</x:v>
      </x:c>
      <x:c r="D89" t="s">
        <x:v>517</x:v>
      </x:c>
      <x:c r="E89" t="s">
        <x:v>33</x:v>
      </x:c>
      <x:c r="F89" t="s">
        <x:v>518</x:v>
      </x:c>
      <x:c r="H89" t="s">
        <x:v>136</x:v>
      </x:c>
      <x:c r="I89" t="s">
        <x:v>519</x:v>
      </x:c>
      <x:c r="J89">
        <x:v>3000</x:v>
      </x:c>
      <x:c r="K89">
        <x:v>0.3</x:v>
      </x:c>
      <x:c r="L89">
        <x:f t="shared" si="4"/>
        <x:v>3900</x:v>
      </x:c>
      <x:c r="M89" t="s">
        <x:v>38</x:v>
      </x:c>
      <x:c r="O89" t="s">
        <x:v>38</x:v>
      </x:c>
      <x:c r="P89" t="s">
        <x:v>39</x:v>
      </x:c>
      <x:c r="Q89" t="s">
        <x:v>516</x:v>
      </x:c>
      <x:c r="R89" t="s">
        <x:v>520</x:v>
      </x:c>
      <x:c r="S89" t="s">
        <x:v>521</x:v>
      </x:c>
      <x:c r="T89" s="2" t="n">
        <x:f>'SUPUESTOS PRECIOS'!$B$9</x:f>
        <x:v>0</x:v>
      </x:c>
      <x:c r="U89" s="3" t="n">
        <x:f>'SUPUESTOS PRECIOS'!$B$5/'SUPUESTOS PRECIOS'!$B$4</x:f>
        <x:v>1000</x:v>
      </x:c>
      <x:c r="V89" s="3" t="n">
        <x:f>('SUPUESTOS PRECIOS'!$B$6-'SUPUESTOS PRECIOS'!$B$7)/'SUPUESTOS PRECIOS'!$B$4</x:f>
        <x:v>377.5</x:v>
      </x:c>
      <x:c r="W89" s="4" t="n">
        <x:f>'SUPUESTOS PRECIOS'!$B$8</x:f>
        <x:v>0.00968</x:v>
      </x:c>
      <x:c r="X89" s="4" t="n">
        <x:f>'SUPUESTOS PRECIOS'!$B$2</x:f>
        <x:v>0.4</x:v>
      </x:c>
      <x:c r="Y89" s="3">
        <x:f t="shared" si="5"/>
        <x:v>7420</x:v>
      </x:c>
      <x:c r="Z89" s="3">
        <x:f t="shared" si="6"/>
        <x:v>2970.6743999999999</x:v>
      </x:c>
      <x:c r="AA89" s="11">
        <x:f t="shared" si="7"/>
        <x:v>0.40036043126684634</x:v>
      </x:c>
    </x:row>
    <x:row r="90">
      <x:c r="A90" s="10" t="s">
        <x:v>522</x:v>
      </x:c>
      <x:c r="B90" t="s">
        <x:v>523</x:v>
      </x:c>
      <x:c r="C90" t="s">
        <x:v>446</x:v>
      </x:c>
      <x:c r="D90" t="s">
        <x:v>524</x:v>
      </x:c>
      <x:c r="E90" t="s">
        <x:v>469</x:v>
      </x:c>
      <x:c r="F90" t="s">
        <x:v>525</x:v>
      </x:c>
      <x:c r="G90" t="s">
        <x:v>526</x:v>
      </x:c>
      <x:c r="H90" t="s">
        <x:v>136</x:v>
      </x:c>
      <x:c r="I90" t="s">
        <x:v>527</x:v>
      </x:c>
      <x:c r="J90">
        <x:v>4300</x:v>
      </x:c>
      <x:c r="K90">
        <x:v>0.3</x:v>
      </x:c>
      <x:c r="L90">
        <x:f t="shared" si="4"/>
        <x:v>5590</x:v>
      </x:c>
      <x:c r="M90" t="s">
        <x:v>38</x:v>
      </x:c>
      <x:c r="O90" t="s">
        <x:v>38</x:v>
      </x:c>
      <x:c r="P90" t="s">
        <x:v>39</x:v>
      </x:c>
      <x:c r="Q90" t="s">
        <x:v>523</x:v>
      </x:c>
      <x:c r="R90" t="s">
        <x:v>528</x:v>
      </x:c>
      <x:c r="S90" t="s">
        <x:v>529</x:v>
      </x:c>
      <x:c r="T90" s="2" t="n">
        <x:f>'SUPUESTOS PRECIOS'!$B$9</x:f>
        <x:v>0</x:v>
      </x:c>
      <x:c r="U90" s="3" t="n">
        <x:f>'SUPUESTOS PRECIOS'!$B$5/'SUPUESTOS PRECIOS'!$B$4</x:f>
        <x:v>1000</x:v>
      </x:c>
      <x:c r="V90" s="3" t="n">
        <x:f>('SUPUESTOS PRECIOS'!$B$6-'SUPUESTOS PRECIOS'!$B$7)/'SUPUESTOS PRECIOS'!$B$4</x:f>
        <x:v>377.5</x:v>
      </x:c>
      <x:c r="W90" s="4" t="n">
        <x:f>'SUPUESTOS PRECIOS'!$B$8</x:f>
        <x:v>0.00968</x:v>
      </x:c>
      <x:c r="X90" s="4" t="n">
        <x:f>'SUPUESTOS PRECIOS'!$B$2</x:f>
        <x:v>0.4</x:v>
      </x:c>
      <x:c r="Y90" s="3">
        <x:f t="shared" si="5"/>
        <x:v>9620</x:v>
      </x:c>
      <x:c r="Z90" s="3">
        <x:f t="shared" si="6"/>
        <x:v>3849.3784000000001</x:v>
      </x:c>
      <x:c r="AA90" s="11">
        <x:f t="shared" si="7"/>
        <x:v>0.40014328482328482</x:v>
      </x:c>
    </x:row>
    <x:row r="91">
      <x:c r="A91" s="10" t="s">
        <x:v>530</x:v>
      </x:c>
      <x:c r="B91" t="s">
        <x:v>531</x:v>
      </x:c>
      <x:c r="C91" t="s">
        <x:v>446</x:v>
      </x:c>
      <x:c r="D91" t="s">
        <x:v>532</x:v>
      </x:c>
      <x:c r="E91" t="s">
        <x:v>469</x:v>
      </x:c>
      <x:c r="F91" t="s">
        <x:v>532</x:v>
      </x:c>
      <x:c r="G91" t="s">
        <x:v>470</x:v>
      </x:c>
      <x:c r="H91" t="s">
        <x:v>136</x:v>
      </x:c>
      <x:c r="I91" t="s">
        <x:v>533</x:v>
      </x:c>
      <x:c r="J91">
        <x:v>6500</x:v>
      </x:c>
      <x:c r="K91">
        <x:v>0.3</x:v>
      </x:c>
      <x:c r="L91">
        <x:f t="shared" si="4"/>
        <x:v>8450</x:v>
      </x:c>
      <x:c r="M91" t="s">
        <x:v>38</x:v>
      </x:c>
      <x:c r="O91" t="s">
        <x:v>38</x:v>
      </x:c>
      <x:c r="P91" t="s">
        <x:v>39</x:v>
      </x:c>
      <x:c r="Q91" t="s">
        <x:v>531</x:v>
      </x:c>
      <x:c r="R91" t="s">
        <x:v>534</x:v>
      </x:c>
      <x:c r="S91" t="s">
        <x:v>535</x:v>
      </x:c>
      <x:c r="T91" s="2" t="n">
        <x:f>'SUPUESTOS PRECIOS'!$B$9</x:f>
        <x:v>0</x:v>
      </x:c>
      <x:c r="U91" s="3" t="n">
        <x:f>'SUPUESTOS PRECIOS'!$B$5/'SUPUESTOS PRECIOS'!$B$4</x:f>
        <x:v>1000</x:v>
      </x:c>
      <x:c r="V91" s="3" t="n">
        <x:f>('SUPUESTOS PRECIOS'!$B$6-'SUPUESTOS PRECIOS'!$B$7)/'SUPUESTOS PRECIOS'!$B$4</x:f>
        <x:v>377.5</x:v>
      </x:c>
      <x:c r="W91" s="4" t="n">
        <x:f>'SUPUESTOS PRECIOS'!$B$8</x:f>
        <x:v>0.00968</x:v>
      </x:c>
      <x:c r="X91" s="4" t="n">
        <x:f>'SUPUESTOS PRECIOS'!$B$2</x:f>
        <x:v>0.4</x:v>
      </x:c>
      <x:c r="Y91" s="3">
        <x:f t="shared" si="5"/>
        <x:v>13340</x:v>
      </x:c>
      <x:c r="Z91" s="3">
        <x:f t="shared" si="6"/>
        <x:v>5333.3688000000002</x:v>
      </x:c>
      <x:c r="AA91" s="11">
        <x:f t="shared" si="7"/>
        <x:v>0.39980275862068965</x:v>
      </x:c>
      <x:c r="AB91" t="s">
        <x:v>536</x:v>
      </x:c>
      <x:c r="AC91" t="s">
        <x:v>470</x:v>
      </x:c>
    </x:row>
    <x:row r="92">
      <x:c r="A92" s="10" t="s">
        <x:v>537</x:v>
      </x:c>
      <x:c r="B92" t="s">
        <x:v>538</x:v>
      </x:c>
      <x:c r="C92" t="s">
        <x:v>446</x:v>
      </x:c>
      <x:c r="D92" t="s">
        <x:v>532</x:v>
      </x:c>
      <x:c r="E92" t="s">
        <x:v>469</x:v>
      </x:c>
      <x:c r="F92" t="s">
        <x:v>532</x:v>
      </x:c>
      <x:c r="G92" t="s">
        <x:v>482</x:v>
      </x:c>
      <x:c r="H92" t="s">
        <x:v>136</x:v>
      </x:c>
      <x:c r="I92" t="s">
        <x:v>539</x:v>
      </x:c>
      <x:c r="J92">
        <x:v>6500</x:v>
      </x:c>
      <x:c r="K92">
        <x:v>0.3</x:v>
      </x:c>
      <x:c r="L92">
        <x:f t="shared" si="4"/>
        <x:v>8450</x:v>
      </x:c>
      <x:c r="M92" t="s">
        <x:v>38</x:v>
      </x:c>
      <x:c r="O92" t="s">
        <x:v>38</x:v>
      </x:c>
      <x:c r="P92" t="s">
        <x:v>39</x:v>
      </x:c>
      <x:c r="Q92" t="s">
        <x:v>538</x:v>
      </x:c>
      <x:c r="R92" t="s">
        <x:v>540</x:v>
      </x:c>
      <x:c r="S92" t="s">
        <x:v>535</x:v>
      </x:c>
      <x:c r="T92" s="2" t="n">
        <x:f>'SUPUESTOS PRECIOS'!$B$9</x:f>
        <x:v>0</x:v>
      </x:c>
      <x:c r="U92" s="3" t="n">
        <x:f>'SUPUESTOS PRECIOS'!$B$5/'SUPUESTOS PRECIOS'!$B$4</x:f>
        <x:v>1000</x:v>
      </x:c>
      <x:c r="V92" s="3" t="n">
        <x:f>('SUPUESTOS PRECIOS'!$B$6-'SUPUESTOS PRECIOS'!$B$7)/'SUPUESTOS PRECIOS'!$B$4</x:f>
        <x:v>377.5</x:v>
      </x:c>
      <x:c r="W92" s="4" t="n">
        <x:f>'SUPUESTOS PRECIOS'!$B$8</x:f>
        <x:v>0.00968</x:v>
      </x:c>
      <x:c r="X92" s="4" t="n">
        <x:f>'SUPUESTOS PRECIOS'!$B$2</x:f>
        <x:v>0.4</x:v>
      </x:c>
      <x:c r="Y92" s="3">
        <x:f t="shared" si="5"/>
        <x:v>13340</x:v>
      </x:c>
      <x:c r="Z92" s="3">
        <x:f t="shared" si="6"/>
        <x:v>5333.3688000000002</x:v>
      </x:c>
      <x:c r="AA92" s="11">
        <x:f t="shared" si="7"/>
        <x:v>0.39980275862068965</x:v>
      </x:c>
      <x:c r="AB92" t="s">
        <x:v>536</x:v>
      </x:c>
      <x:c r="AC92" t="s">
        <x:v>482</x:v>
      </x:c>
    </x:row>
    <x:row r="93">
      <x:c r="A93" s="10" t="s">
        <x:v>541</x:v>
      </x:c>
      <x:c r="B93" t="s">
        <x:v>542</x:v>
      </x:c>
      <x:c r="C93" t="s">
        <x:v>446</x:v>
      </x:c>
      <x:c r="D93" t="s">
        <x:v>532</x:v>
      </x:c>
      <x:c r="E93" t="s">
        <x:v>469</x:v>
      </x:c>
      <x:c r="F93" t="s">
        <x:v>532</x:v>
      </x:c>
      <x:c r="G93" t="s">
        <x:v>543</x:v>
      </x:c>
      <x:c r="H93" t="s">
        <x:v>136</x:v>
      </x:c>
      <x:c r="I93" t="s">
        <x:v>544</x:v>
      </x:c>
      <x:c r="J93">
        <x:v>6500</x:v>
      </x:c>
      <x:c r="K93">
        <x:v>0.3</x:v>
      </x:c>
      <x:c r="L93">
        <x:f t="shared" si="4"/>
        <x:v>8450</x:v>
      </x:c>
      <x:c r="M93" t="s">
        <x:v>38</x:v>
      </x:c>
      <x:c r="O93" t="s">
        <x:v>38</x:v>
      </x:c>
      <x:c r="P93" t="s">
        <x:v>39</x:v>
      </x:c>
      <x:c r="Q93" t="s">
        <x:v>542</x:v>
      </x:c>
      <x:c r="R93" t="s">
        <x:v>545</x:v>
      </x:c>
      <x:c r="S93" t="s">
        <x:v>535</x:v>
      </x:c>
      <x:c r="T93" s="2" t="n">
        <x:f>'SUPUESTOS PRECIOS'!$B$9</x:f>
        <x:v>0</x:v>
      </x:c>
      <x:c r="U93" s="3" t="n">
        <x:f>'SUPUESTOS PRECIOS'!$B$5/'SUPUESTOS PRECIOS'!$B$4</x:f>
        <x:v>1000</x:v>
      </x:c>
      <x:c r="V93" s="3" t="n">
        <x:f>('SUPUESTOS PRECIOS'!$B$6-'SUPUESTOS PRECIOS'!$B$7)/'SUPUESTOS PRECIOS'!$B$4</x:f>
        <x:v>377.5</x:v>
      </x:c>
      <x:c r="W93" s="4" t="n">
        <x:f>'SUPUESTOS PRECIOS'!$B$8</x:f>
        <x:v>0.00968</x:v>
      </x:c>
      <x:c r="X93" s="4" t="n">
        <x:f>'SUPUESTOS PRECIOS'!$B$2</x:f>
        <x:v>0.4</x:v>
      </x:c>
      <x:c r="Y93" s="3">
        <x:f t="shared" si="5"/>
        <x:v>13340</x:v>
      </x:c>
      <x:c r="Z93" s="3">
        <x:f t="shared" si="6"/>
        <x:v>5333.3688000000002</x:v>
      </x:c>
      <x:c r="AA93" s="11">
        <x:f t="shared" si="7"/>
        <x:v>0.39980275862068965</x:v>
      </x:c>
      <x:c r="AB93" t="s">
        <x:v>536</x:v>
      </x:c>
      <x:c r="AC93" t="s">
        <x:v>543</x:v>
      </x:c>
    </x:row>
    <x:row r="94">
      <x:c r="A94" s="10" t="s">
        <x:v>546</x:v>
      </x:c>
      <x:c r="B94" t="s">
        <x:v>547</x:v>
      </x:c>
      <x:c r="C94" t="s">
        <x:v>446</x:v>
      </x:c>
      <x:c r="D94" t="s">
        <x:v>532</x:v>
      </x:c>
      <x:c r="E94" t="s">
        <x:v>469</x:v>
      </x:c>
      <x:c r="F94" t="s">
        <x:v>532</x:v>
      </x:c>
      <x:c r="G94" t="s">
        <x:v>512</x:v>
      </x:c>
      <x:c r="H94" t="s">
        <x:v>136</x:v>
      </x:c>
      <x:c r="I94" t="s">
        <x:v>548</x:v>
      </x:c>
      <x:c r="J94">
        <x:v>6500</x:v>
      </x:c>
      <x:c r="K94">
        <x:v>0.3</x:v>
      </x:c>
      <x:c r="L94">
        <x:f t="shared" si="4"/>
        <x:v>8450</x:v>
      </x:c>
      <x:c r="M94" t="s">
        <x:v>38</x:v>
      </x:c>
      <x:c r="O94" t="s">
        <x:v>38</x:v>
      </x:c>
      <x:c r="P94" t="s">
        <x:v>39</x:v>
      </x:c>
      <x:c r="Q94" t="s">
        <x:v>547</x:v>
      </x:c>
      <x:c r="R94" t="s">
        <x:v>549</x:v>
      </x:c>
      <x:c r="S94" t="s">
        <x:v>535</x:v>
      </x:c>
      <x:c r="T94" s="2" t="n">
        <x:f>'SUPUESTOS PRECIOS'!$B$9</x:f>
        <x:v>0</x:v>
      </x:c>
      <x:c r="U94" s="3" t="n">
        <x:f>'SUPUESTOS PRECIOS'!$B$5/'SUPUESTOS PRECIOS'!$B$4</x:f>
        <x:v>1000</x:v>
      </x:c>
      <x:c r="V94" s="3" t="n">
        <x:f>('SUPUESTOS PRECIOS'!$B$6-'SUPUESTOS PRECIOS'!$B$7)/'SUPUESTOS PRECIOS'!$B$4</x:f>
        <x:v>377.5</x:v>
      </x:c>
      <x:c r="W94" s="4" t="n">
        <x:f>'SUPUESTOS PRECIOS'!$B$8</x:f>
        <x:v>0.00968</x:v>
      </x:c>
      <x:c r="X94" s="4" t="n">
        <x:f>'SUPUESTOS PRECIOS'!$B$2</x:f>
        <x:v>0.4</x:v>
      </x:c>
      <x:c r="Y94" s="3">
        <x:f t="shared" si="5"/>
        <x:v>13340</x:v>
      </x:c>
      <x:c r="Z94" s="3">
        <x:f t="shared" si="6"/>
        <x:v>5333.3688000000002</x:v>
      </x:c>
      <x:c r="AA94" s="11">
        <x:f t="shared" si="7"/>
        <x:v>0.39980275862068965</x:v>
      </x:c>
      <x:c r="AB94" t="s">
        <x:v>536</x:v>
      </x:c>
      <x:c r="AC94" t="s">
        <x:v>512</x:v>
      </x:c>
    </x:row>
    <x:row r="95">
      <x:c r="A95" s="10" t="s">
        <x:v>550</x:v>
      </x:c>
      <x:c r="B95" t="s">
        <x:v>551</x:v>
      </x:c>
      <x:c r="C95" t="s">
        <x:v>446</x:v>
      </x:c>
      <x:c r="D95" t="s">
        <x:v>532</x:v>
      </x:c>
      <x:c r="E95" t="s">
        <x:v>469</x:v>
      </x:c>
      <x:c r="F95" t="s">
        <x:v>532</x:v>
      </x:c>
      <x:c r="G95" t="s">
        <x:v>552</x:v>
      </x:c>
      <x:c r="H95" t="s">
        <x:v>136</x:v>
      </x:c>
      <x:c r="I95" t="s">
        <x:v>553</x:v>
      </x:c>
      <x:c r="J95">
        <x:v>6500</x:v>
      </x:c>
      <x:c r="K95">
        <x:v>0.3</x:v>
      </x:c>
      <x:c r="L95">
        <x:f t="shared" si="4"/>
        <x:v>8450</x:v>
      </x:c>
      <x:c r="M95" t="s">
        <x:v>38</x:v>
      </x:c>
      <x:c r="O95" t="s">
        <x:v>38</x:v>
      </x:c>
      <x:c r="P95" t="s">
        <x:v>39</x:v>
      </x:c>
      <x:c r="Q95" t="s">
        <x:v>551</x:v>
      </x:c>
      <x:c r="R95" t="s">
        <x:v>554</x:v>
      </x:c>
      <x:c r="S95" t="s">
        <x:v>535</x:v>
      </x:c>
      <x:c r="T95" s="2" t="n">
        <x:f>'SUPUESTOS PRECIOS'!$B$9</x:f>
        <x:v>0</x:v>
      </x:c>
      <x:c r="U95" s="3" t="n">
        <x:f>'SUPUESTOS PRECIOS'!$B$5/'SUPUESTOS PRECIOS'!$B$4</x:f>
        <x:v>1000</x:v>
      </x:c>
      <x:c r="V95" s="3" t="n">
        <x:f>('SUPUESTOS PRECIOS'!$B$6-'SUPUESTOS PRECIOS'!$B$7)/'SUPUESTOS PRECIOS'!$B$4</x:f>
        <x:v>377.5</x:v>
      </x:c>
      <x:c r="W95" s="4" t="n">
        <x:f>'SUPUESTOS PRECIOS'!$B$8</x:f>
        <x:v>0.00968</x:v>
      </x:c>
      <x:c r="X95" s="4" t="n">
        <x:f>'SUPUESTOS PRECIOS'!$B$2</x:f>
        <x:v>0.4</x:v>
      </x:c>
      <x:c r="Y95" s="3">
        <x:f t="shared" si="5"/>
        <x:v>13340</x:v>
      </x:c>
      <x:c r="Z95" s="3">
        <x:f t="shared" si="6"/>
        <x:v>5333.3688000000002</x:v>
      </x:c>
      <x:c r="AA95" s="11">
        <x:f t="shared" si="7"/>
        <x:v>0.39980275862068965</x:v>
      </x:c>
      <x:c r="AB95" t="s">
        <x:v>536</x:v>
      </x:c>
      <x:c r="AC95" t="s">
        <x:v>552</x:v>
      </x:c>
    </x:row>
    <x:row r="96">
      <x:c r="A96" s="10" t="s">
        <x:v>555</x:v>
      </x:c>
      <x:c r="B96" t="s">
        <x:v>556</x:v>
      </x:c>
      <x:c r="C96" t="s">
        <x:v>446</x:v>
      </x:c>
      <x:c r="D96" t="s">
        <x:v>557</x:v>
      </x:c>
      <x:c r="E96" t="s">
        <x:v>33</x:v>
      </x:c>
      <x:c r="F96" t="s">
        <x:v>558</x:v>
      </x:c>
      <x:c r="H96" t="s">
        <x:v>136</x:v>
      </x:c>
      <x:c r="I96" t="s">
        <x:v>559</x:v>
      </x:c>
      <x:c r="J96">
        <x:v>2500</x:v>
      </x:c>
      <x:c r="K96">
        <x:v>0.3</x:v>
      </x:c>
      <x:c r="L96">
        <x:f t="shared" si="4"/>
        <x:v>3250</x:v>
      </x:c>
      <x:c r="M96" t="s">
        <x:v>38</x:v>
      </x:c>
      <x:c r="O96" t="s">
        <x:v>38</x:v>
      </x:c>
      <x:c r="P96" t="s">
        <x:v>39</x:v>
      </x:c>
      <x:c r="Q96" t="s">
        <x:v>556</x:v>
      </x:c>
      <x:c r="R96" t="s">
        <x:v>560</x:v>
      </x:c>
      <x:c r="S96" t="s">
        <x:v>561</x:v>
      </x:c>
      <x:c r="T96" s="2" t="n">
        <x:f>'SUPUESTOS PRECIOS'!$B$9</x:f>
        <x:v>0</x:v>
      </x:c>
      <x:c r="U96" s="3" t="n">
        <x:f>'SUPUESTOS PRECIOS'!$B$5/'SUPUESTOS PRECIOS'!$B$4</x:f>
        <x:v>1000</x:v>
      </x:c>
      <x:c r="V96" s="3" t="n">
        <x:f>('SUPUESTOS PRECIOS'!$B$6-'SUPUESTOS PRECIOS'!$B$7)/'SUPUESTOS PRECIOS'!$B$4</x:f>
        <x:v>377.5</x:v>
      </x:c>
      <x:c r="W96" s="4" t="n">
        <x:f>'SUPUESTOS PRECIOS'!$B$8</x:f>
        <x:v>0.00968</x:v>
      </x:c>
      <x:c r="X96" s="4" t="n">
        <x:f>'SUPUESTOS PRECIOS'!$B$2</x:f>
        <x:v>0.4</x:v>
      </x:c>
      <x:c r="Y96" s="3">
        <x:f t="shared" si="5"/>
        <x:v>6570</x:v>
      </x:c>
      <x:c r="Z96" s="3">
        <x:f t="shared" si="6"/>
        <x:v>2628.9023999999999</x:v>
      </x:c>
      <x:c r="AA96" s="11">
        <x:f t="shared" si="7"/>
        <x:v>0.40013735159817349</x:v>
      </x:c>
    </x:row>
    <x:row r="97">
      <x:c r="A97" s="10" t="s">
        <x:v>562</x:v>
      </x:c>
      <x:c r="B97" t="s">
        <x:v>563</x:v>
      </x:c>
      <x:c r="C97" t="s">
        <x:v>446</x:v>
      </x:c>
      <x:c r="D97" t="s">
        <x:v>564</x:v>
      </x:c>
      <x:c r="E97" t="s">
        <x:v>469</x:v>
      </x:c>
      <x:c r="F97" t="s">
        <x:v>564</x:v>
      </x:c>
      <x:c r="H97" t="s">
        <x:v>136</x:v>
      </x:c>
      <x:c r="I97" t="s">
        <x:v>565</x:v>
      </x:c>
      <x:c r="J97">
        <x:v>3400</x:v>
      </x:c>
      <x:c r="K97">
        <x:v>0.3</x:v>
      </x:c>
      <x:c r="L97">
        <x:f t="shared" si="4"/>
        <x:v>4420</x:v>
      </x:c>
      <x:c r="M97" t="s">
        <x:v>38</x:v>
      </x:c>
      <x:c r="O97" t="s">
        <x:v>38</x:v>
      </x:c>
      <x:c r="P97" t="s">
        <x:v>39</x:v>
      </x:c>
      <x:c r="Q97" t="s">
        <x:v>563</x:v>
      </x:c>
      <x:c r="R97" t="s">
        <x:v>566</x:v>
      </x:c>
      <x:c r="S97" t="s">
        <x:v>567</x:v>
      </x:c>
      <x:c r="T97" s="2" t="n">
        <x:f>'SUPUESTOS PRECIOS'!$B$9</x:f>
        <x:v>0</x:v>
      </x:c>
      <x:c r="U97" s="3" t="n">
        <x:f>'SUPUESTOS PRECIOS'!$B$5/'SUPUESTOS PRECIOS'!$B$4</x:f>
        <x:v>1000</x:v>
      </x:c>
      <x:c r="V97" s="3" t="n">
        <x:f>('SUPUESTOS PRECIOS'!$B$6-'SUPUESTOS PRECIOS'!$B$7)/'SUPUESTOS PRECIOS'!$B$4</x:f>
        <x:v>377.5</x:v>
      </x:c>
      <x:c r="W97" s="4" t="n">
        <x:f>'SUPUESTOS PRECIOS'!$B$8</x:f>
        <x:v>0.00968</x:v>
      </x:c>
      <x:c r="X97" s="4" t="n">
        <x:f>'SUPUESTOS PRECIOS'!$B$2</x:f>
        <x:v>0.4</x:v>
      </x:c>
      <x:c r="Y97" s="3">
        <x:f t="shared" si="5"/>
        <x:v>8090</x:v>
      </x:c>
      <x:c r="Z97" s="3">
        <x:f t="shared" si="6"/>
        <x:v>3234.1887999999999</x:v>
      </x:c>
      <x:c r="AA97" s="11">
        <x:f t="shared" si="7"/>
        <x:v>0.39977611866501855</x:v>
      </x:c>
    </x:row>
    <x:row r="98">
      <x:c r="A98" s="10" t="s">
        <x:v>568</x:v>
      </x:c>
      <x:c r="B98" t="s">
        <x:v>569</x:v>
      </x:c>
      <x:c r="C98" t="s">
        <x:v>31</x:v>
      </x:c>
      <x:c r="D98" t="s">
        <x:v>570</x:v>
      </x:c>
      <x:c r="E98" t="s">
        <x:v>33</x:v>
      </x:c>
      <x:c r="F98" t="s">
        <x:v>571</x:v>
      </x:c>
      <x:c r="G98" t="s">
        <x:v>482</x:v>
      </x:c>
      <x:c r="H98" t="s">
        <x:v>136</x:v>
      </x:c>
      <x:c r="I98" t="s">
        <x:v>572</x:v>
      </x:c>
      <x:c r="J98">
        <x:v>4300</x:v>
      </x:c>
      <x:c r="K98">
        <x:v>0.3</x:v>
      </x:c>
      <x:c r="L98">
        <x:f t="shared" si="4"/>
        <x:v>5590</x:v>
      </x:c>
      <x:c r="M98" t="s">
        <x:v>38</x:v>
      </x:c>
      <x:c r="O98" t="s">
        <x:v>38</x:v>
      </x:c>
      <x:c r="P98" t="s">
        <x:v>39</x:v>
      </x:c>
      <x:c r="Q98" t="s">
        <x:v>569</x:v>
      </x:c>
      <x:c r="R98" t="s">
        <x:v>573</x:v>
      </x:c>
      <x:c r="S98" t="s">
        <x:v>574</x:v>
      </x:c>
      <x:c r="T98" s="2" t="n">
        <x:f>'SUPUESTOS PRECIOS'!$B$9</x:f>
        <x:v>0</x:v>
      </x:c>
      <x:c r="U98" s="3" t="n">
        <x:f>'SUPUESTOS PRECIOS'!$B$5/'SUPUESTOS PRECIOS'!$B$4</x:f>
        <x:v>1000</x:v>
      </x:c>
      <x:c r="V98" s="3" t="n">
        <x:f>('SUPUESTOS PRECIOS'!$B$6-'SUPUESTOS PRECIOS'!$B$7)/'SUPUESTOS PRECIOS'!$B$4</x:f>
        <x:v>377.5</x:v>
      </x:c>
      <x:c r="W98" s="4" t="n">
        <x:f>'SUPUESTOS PRECIOS'!$B$8</x:f>
        <x:v>0.00968</x:v>
      </x:c>
      <x:c r="X98" s="4" t="n">
        <x:f>'SUPUESTOS PRECIOS'!$B$2</x:f>
        <x:v>0.4</x:v>
      </x:c>
      <x:c r="Y98" s="3">
        <x:f t="shared" si="5"/>
        <x:v>9620</x:v>
      </x:c>
      <x:c r="Z98" s="3">
        <x:f t="shared" si="6"/>
        <x:v>3849.3784000000001</x:v>
      </x:c>
      <x:c r="AA98" s="11">
        <x:f t="shared" si="7"/>
        <x:v>0.40014328482328482</x:v>
      </x:c>
    </x:row>
    <x:row r="99">
      <x:c r="A99" s="10" t="s">
        <x:v>575</x:v>
      </x:c>
      <x:c r="B99" t="s">
        <x:v>576</x:v>
      </x:c>
      <x:c r="C99" t="s">
        <x:v>31</x:v>
      </x:c>
      <x:c r="D99" t="s">
        <x:v>570</x:v>
      </x:c>
      <x:c r="E99" t="s">
        <x:v>33</x:v>
      </x:c>
      <x:c r="F99" t="s">
        <x:v>577</x:v>
      </x:c>
      <x:c r="G99" t="s">
        <x:v>578</x:v>
      </x:c>
      <x:c r="H99" t="s">
        <x:v>136</x:v>
      </x:c>
      <x:c r="I99" t="s">
        <x:v>579</x:v>
      </x:c>
      <x:c r="J99">
        <x:v>4300</x:v>
      </x:c>
      <x:c r="K99">
        <x:v>0.3</x:v>
      </x:c>
      <x:c r="L99">
        <x:f t="shared" si="4"/>
        <x:v>5590</x:v>
      </x:c>
      <x:c r="M99" t="s">
        <x:v>38</x:v>
      </x:c>
      <x:c r="O99" t="s">
        <x:v>38</x:v>
      </x:c>
      <x:c r="P99" t="s">
        <x:v>39</x:v>
      </x:c>
      <x:c r="Q99" t="s">
        <x:v>576</x:v>
      </x:c>
      <x:c r="R99" t="s">
        <x:v>580</x:v>
      </x:c>
      <x:c r="S99" t="s">
        <x:v>574</x:v>
      </x:c>
      <x:c r="T99" s="2" t="n">
        <x:f>'SUPUESTOS PRECIOS'!$B$9</x:f>
        <x:v>0</x:v>
      </x:c>
      <x:c r="U99" s="3" t="n">
        <x:f>'SUPUESTOS PRECIOS'!$B$5/'SUPUESTOS PRECIOS'!$B$4</x:f>
        <x:v>1000</x:v>
      </x:c>
      <x:c r="V99" s="3" t="n">
        <x:f>('SUPUESTOS PRECIOS'!$B$6-'SUPUESTOS PRECIOS'!$B$7)/'SUPUESTOS PRECIOS'!$B$4</x:f>
        <x:v>377.5</x:v>
      </x:c>
      <x:c r="W99" s="4" t="n">
        <x:f>'SUPUESTOS PRECIOS'!$B$8</x:f>
        <x:v>0.00968</x:v>
      </x:c>
      <x:c r="X99" s="4" t="n">
        <x:f>'SUPUESTOS PRECIOS'!$B$2</x:f>
        <x:v>0.4</x:v>
      </x:c>
      <x:c r="Y99" s="3">
        <x:f t="shared" si="5"/>
        <x:v>9620</x:v>
      </x:c>
      <x:c r="Z99" s="3">
        <x:f t="shared" si="6"/>
        <x:v>3849.3784000000001</x:v>
      </x:c>
      <x:c r="AA99" s="11">
        <x:f t="shared" si="7"/>
        <x:v>0.40014328482328482</x:v>
      </x:c>
    </x:row>
    <x:row r="100">
      <x:c r="A100" s="10" t="s">
        <x:v>581</x:v>
      </x:c>
      <x:c r="B100" t="s">
        <x:v>582</x:v>
      </x:c>
      <x:c r="C100" t="s">
        <x:v>31</x:v>
      </x:c>
      <x:c r="D100" t="s">
        <x:v>570</x:v>
      </x:c>
      <x:c r="E100" t="s">
        <x:v>33</x:v>
      </x:c>
      <x:c r="F100" t="s">
        <x:v>577</x:v>
      </x:c>
      <x:c r="G100" t="s">
        <x:v>583</x:v>
      </x:c>
      <x:c r="H100" t="s">
        <x:v>136</x:v>
      </x:c>
      <x:c r="I100" t="s">
        <x:v>584</x:v>
      </x:c>
      <x:c r="J100">
        <x:v>4300</x:v>
      </x:c>
      <x:c r="K100">
        <x:v>0.3</x:v>
      </x:c>
      <x:c r="L100">
        <x:f t="shared" si="4"/>
        <x:v>5590</x:v>
      </x:c>
      <x:c r="M100" t="s">
        <x:v>38</x:v>
      </x:c>
      <x:c r="O100" t="s">
        <x:v>38</x:v>
      </x:c>
      <x:c r="P100" t="s">
        <x:v>39</x:v>
      </x:c>
      <x:c r="Q100" t="s">
        <x:v>582</x:v>
      </x:c>
      <x:c r="R100" t="s">
        <x:v>585</x:v>
      </x:c>
      <x:c r="S100" t="s">
        <x:v>574</x:v>
      </x:c>
      <x:c r="T100" s="2" t="n">
        <x:f>'SUPUESTOS PRECIOS'!$B$9</x:f>
        <x:v>0</x:v>
      </x:c>
      <x:c r="U100" s="3" t="n">
        <x:f>'SUPUESTOS PRECIOS'!$B$5/'SUPUESTOS PRECIOS'!$B$4</x:f>
        <x:v>1000</x:v>
      </x:c>
      <x:c r="V100" s="3" t="n">
        <x:f>('SUPUESTOS PRECIOS'!$B$6-'SUPUESTOS PRECIOS'!$B$7)/'SUPUESTOS PRECIOS'!$B$4</x:f>
        <x:v>377.5</x:v>
      </x:c>
      <x:c r="W100" s="4" t="n">
        <x:f>'SUPUESTOS PRECIOS'!$B$8</x:f>
        <x:v>0.00968</x:v>
      </x:c>
      <x:c r="X100" s="4" t="n">
        <x:f>'SUPUESTOS PRECIOS'!$B$2</x:f>
        <x:v>0.4</x:v>
      </x:c>
      <x:c r="Y100" s="3">
        <x:f t="shared" si="5"/>
        <x:v>9620</x:v>
      </x:c>
      <x:c r="Z100" s="3">
        <x:f t="shared" si="6"/>
        <x:v>3849.3784000000001</x:v>
      </x:c>
      <x:c r="AA100" s="11">
        <x:f t="shared" si="7"/>
        <x:v>0.40014328482328482</x:v>
      </x:c>
    </x:row>
    <x:row r="101">
      <x:c r="A101" s="10" t="s">
        <x:v>586</x:v>
      </x:c>
      <x:c r="B101" t="s">
        <x:v>587</x:v>
      </x:c>
      <x:c r="C101" t="s">
        <x:v>31</x:v>
      </x:c>
      <x:c r="D101" t="s">
        <x:v>570</x:v>
      </x:c>
      <x:c r="E101" t="s">
        <x:v>33</x:v>
      </x:c>
      <x:c r="F101" t="s">
        <x:v>577</x:v>
      </x:c>
      <x:c r="G101" t="s">
        <x:v>588</x:v>
      </x:c>
      <x:c r="H101" t="s">
        <x:v>136</x:v>
      </x:c>
      <x:c r="I101" t="s">
        <x:v>589</x:v>
      </x:c>
      <x:c r="J101">
        <x:v>4300</x:v>
      </x:c>
      <x:c r="K101">
        <x:v>0.3</x:v>
      </x:c>
      <x:c r="L101">
        <x:f t="shared" si="4"/>
        <x:v>5590</x:v>
      </x:c>
      <x:c r="M101" t="s">
        <x:v>38</x:v>
      </x:c>
      <x:c r="O101" t="s">
        <x:v>38</x:v>
      </x:c>
      <x:c r="P101" t="s">
        <x:v>39</x:v>
      </x:c>
      <x:c r="Q101" t="s">
        <x:v>587</x:v>
      </x:c>
      <x:c r="R101" t="s">
        <x:v>590</x:v>
      </x:c>
      <x:c r="S101" t="s">
        <x:v>574</x:v>
      </x:c>
      <x:c r="T101" s="2" t="n">
        <x:f>'SUPUESTOS PRECIOS'!$B$9</x:f>
        <x:v>0</x:v>
      </x:c>
      <x:c r="U101" s="3" t="n">
        <x:f>'SUPUESTOS PRECIOS'!$B$5/'SUPUESTOS PRECIOS'!$B$4</x:f>
        <x:v>1000</x:v>
      </x:c>
      <x:c r="V101" s="3" t="n">
        <x:f>('SUPUESTOS PRECIOS'!$B$6-'SUPUESTOS PRECIOS'!$B$7)/'SUPUESTOS PRECIOS'!$B$4</x:f>
        <x:v>377.5</x:v>
      </x:c>
      <x:c r="W101" s="4" t="n">
        <x:f>'SUPUESTOS PRECIOS'!$B$8</x:f>
        <x:v>0.00968</x:v>
      </x:c>
      <x:c r="X101" s="4" t="n">
        <x:f>'SUPUESTOS PRECIOS'!$B$2</x:f>
        <x:v>0.4</x:v>
      </x:c>
      <x:c r="Y101" s="3">
        <x:f t="shared" si="5"/>
        <x:v>9620</x:v>
      </x:c>
      <x:c r="Z101" s="3">
        <x:f t="shared" si="6"/>
        <x:v>3849.3784000000001</x:v>
      </x:c>
      <x:c r="AA101" s="11">
        <x:f t="shared" si="7"/>
        <x:v>0.40014328482328482</x:v>
      </x:c>
    </x:row>
    <x:row r="102">
      <x:c r="A102" s="10" t="s">
        <x:v>591</x:v>
      </x:c>
      <x:c r="B102" t="s">
        <x:v>592</x:v>
      </x:c>
      <x:c r="C102" t="s">
        <x:v>31</x:v>
      </x:c>
      <x:c r="D102" t="s">
        <x:v>570</x:v>
      </x:c>
      <x:c r="E102" t="s">
        <x:v>33</x:v>
      </x:c>
      <x:c r="F102" t="s">
        <x:v>577</x:v>
      </x:c>
      <x:c r="G102" t="s">
        <x:v>593</x:v>
      </x:c>
      <x:c r="H102" t="s">
        <x:v>136</x:v>
      </x:c>
      <x:c r="I102" t="s">
        <x:v>594</x:v>
      </x:c>
      <x:c r="J102">
        <x:v>4300</x:v>
      </x:c>
      <x:c r="K102">
        <x:v>0.3</x:v>
      </x:c>
      <x:c r="L102">
        <x:f t="shared" si="4"/>
        <x:v>5590</x:v>
      </x:c>
      <x:c r="M102" t="s">
        <x:v>38</x:v>
      </x:c>
      <x:c r="O102" t="s">
        <x:v>38</x:v>
      </x:c>
      <x:c r="P102" t="s">
        <x:v>39</x:v>
      </x:c>
      <x:c r="Q102" t="s">
        <x:v>592</x:v>
      </x:c>
      <x:c r="R102" t="s">
        <x:v>595</x:v>
      </x:c>
      <x:c r="S102" t="s">
        <x:v>574</x:v>
      </x:c>
      <x:c r="T102" s="2" t="n">
        <x:f>'SUPUESTOS PRECIOS'!$B$9</x:f>
        <x:v>0</x:v>
      </x:c>
      <x:c r="U102" s="3" t="n">
        <x:f>'SUPUESTOS PRECIOS'!$B$5/'SUPUESTOS PRECIOS'!$B$4</x:f>
        <x:v>1000</x:v>
      </x:c>
      <x:c r="V102" s="3" t="n">
        <x:f>('SUPUESTOS PRECIOS'!$B$6-'SUPUESTOS PRECIOS'!$B$7)/'SUPUESTOS PRECIOS'!$B$4</x:f>
        <x:v>377.5</x:v>
      </x:c>
      <x:c r="W102" s="4" t="n">
        <x:f>'SUPUESTOS PRECIOS'!$B$8</x:f>
        <x:v>0.00968</x:v>
      </x:c>
      <x:c r="X102" s="4" t="n">
        <x:f>'SUPUESTOS PRECIOS'!$B$2</x:f>
        <x:v>0.4</x:v>
      </x:c>
      <x:c r="Y102" s="3">
        <x:f t="shared" si="5"/>
        <x:v>9620</x:v>
      </x:c>
      <x:c r="Z102" s="3">
        <x:f t="shared" si="6"/>
        <x:v>3849.3784000000001</x:v>
      </x:c>
      <x:c r="AA102" s="11">
        <x:f t="shared" si="7"/>
        <x:v>0.40014328482328482</x:v>
      </x:c>
    </x:row>
    <x:row r="103">
      <x:c r="A103" s="10" t="s">
        <x:v>596</x:v>
      </x:c>
      <x:c r="B103" t="s">
        <x:v>597</x:v>
      </x:c>
      <x:c r="C103" t="s">
        <x:v>31</x:v>
      </x:c>
      <x:c r="D103" t="s">
        <x:v>570</x:v>
      </x:c>
      <x:c r="E103" t="s">
        <x:v>33</x:v>
      </x:c>
      <x:c r="F103" t="s">
        <x:v>577</x:v>
      </x:c>
      <x:c r="G103" t="s">
        <x:v>598</x:v>
      </x:c>
      <x:c r="H103" t="s">
        <x:v>136</x:v>
      </x:c>
      <x:c r="I103" t="s">
        <x:v>599</x:v>
      </x:c>
      <x:c r="J103">
        <x:v>4300</x:v>
      </x:c>
      <x:c r="K103">
        <x:v>0.3</x:v>
      </x:c>
      <x:c r="L103">
        <x:f t="shared" si="4"/>
        <x:v>5590</x:v>
      </x:c>
      <x:c r="M103" t="s">
        <x:v>38</x:v>
      </x:c>
      <x:c r="O103" t="s">
        <x:v>38</x:v>
      </x:c>
      <x:c r="P103" t="s">
        <x:v>39</x:v>
      </x:c>
      <x:c r="Q103" t="s">
        <x:v>597</x:v>
      </x:c>
      <x:c r="R103" t="s">
        <x:v>600</x:v>
      </x:c>
      <x:c r="S103" t="s">
        <x:v>574</x:v>
      </x:c>
      <x:c r="T103" s="2" t="n">
        <x:f>'SUPUESTOS PRECIOS'!$B$9</x:f>
        <x:v>0</x:v>
      </x:c>
      <x:c r="U103" s="3" t="n">
        <x:f>'SUPUESTOS PRECIOS'!$B$5/'SUPUESTOS PRECIOS'!$B$4</x:f>
        <x:v>1000</x:v>
      </x:c>
      <x:c r="V103" s="3" t="n">
        <x:f>('SUPUESTOS PRECIOS'!$B$6-'SUPUESTOS PRECIOS'!$B$7)/'SUPUESTOS PRECIOS'!$B$4</x:f>
        <x:v>377.5</x:v>
      </x:c>
      <x:c r="W103" s="4" t="n">
        <x:f>'SUPUESTOS PRECIOS'!$B$8</x:f>
        <x:v>0.00968</x:v>
      </x:c>
      <x:c r="X103" s="4" t="n">
        <x:f>'SUPUESTOS PRECIOS'!$B$2</x:f>
        <x:v>0.4</x:v>
      </x:c>
      <x:c r="Y103" s="3">
        <x:f t="shared" si="5"/>
        <x:v>9620</x:v>
      </x:c>
      <x:c r="Z103" s="3">
        <x:f t="shared" si="6"/>
        <x:v>3849.3784000000001</x:v>
      </x:c>
      <x:c r="AA103" s="11">
        <x:f t="shared" si="7"/>
        <x:v>0.40014328482328482</x:v>
      </x:c>
    </x:row>
    <x:row r="104">
      <x:c r="A104" s="10" t="s">
        <x:v>601</x:v>
      </x:c>
      <x:c r="B104" t="s">
        <x:v>602</x:v>
      </x:c>
      <x:c r="C104" t="s">
        <x:v>90</x:v>
      </x:c>
      <x:c r="D104" t="s">
        <x:v>603</x:v>
      </x:c>
      <x:c r="E104" t="s">
        <x:v>604</x:v>
      </x:c>
      <x:c r="F104" t="s">
        <x:v>605</x:v>
      </x:c>
      <x:c r="G104" t="s">
        <x:v>606</x:v>
      </x:c>
      <x:c r="H104" t="s">
        <x:v>136</x:v>
      </x:c>
      <x:c r="I104" t="s">
        <x:v>607</x:v>
      </x:c>
      <x:c r="J104">
        <x:v>1600</x:v>
      </x:c>
      <x:c r="K104">
        <x:v>0.3</x:v>
      </x:c>
      <x:c r="L104">
        <x:f t="shared" si="4"/>
        <x:v>2080</x:v>
      </x:c>
      <x:c r="M104" t="s">
        <x:v>38</x:v>
      </x:c>
      <x:c r="O104" t="s">
        <x:v>38</x:v>
      </x:c>
      <x:c r="P104" t="s">
        <x:v>39</x:v>
      </x:c>
      <x:c r="Q104" t="s">
        <x:v>602</x:v>
      </x:c>
      <x:c r="R104" t="s">
        <x:v>608</x:v>
      </x:c>
      <x:c r="S104" t="s">
        <x:v>609</x:v>
      </x:c>
      <x:c r="T104" s="2" t="n">
        <x:f>'SUPUESTOS PRECIOS'!$B$9</x:f>
        <x:v>0</x:v>
      </x:c>
      <x:c r="U104" s="3" t="n">
        <x:f>'SUPUESTOS PRECIOS'!$B$5/'SUPUESTOS PRECIOS'!$B$4</x:f>
        <x:v>1000</x:v>
      </x:c>
      <x:c r="V104" s="3" t="n">
        <x:f>('SUPUESTOS PRECIOS'!$B$6-'SUPUESTOS PRECIOS'!$B$7)/'SUPUESTOS PRECIOS'!$B$4</x:f>
        <x:v>377.5</x:v>
      </x:c>
      <x:c r="W104" s="4" t="n">
        <x:f>'SUPUESTOS PRECIOS'!$B$8</x:f>
        <x:v>0.00968</x:v>
      </x:c>
      <x:c r="X104" s="4" t="n">
        <x:f>'SUPUESTOS PRECIOS'!$B$2</x:f>
        <x:v>0.4</x:v>
      </x:c>
      <x:c r="Y104" s="3">
        <x:f t="shared" si="5"/>
        <x:v>5040</x:v>
      </x:c>
      <x:c r="Z104" s="3">
        <x:f t="shared" si="6"/>
        <x:v>2013.7128</x:v>
      </x:c>
      <x:c r="AA104" s="11">
        <x:f t="shared" si="7"/>
        <x:v>0.3995461904761905</x:v>
      </x:c>
      <x:c r="AB104" t="s">
        <x:v>610</x:v>
      </x:c>
      <x:c r="AC104" t="s">
        <x:v>606</x:v>
      </x:c>
    </x:row>
    <x:row r="105">
      <x:c r="A105" s="10" t="s">
        <x:v>611</x:v>
      </x:c>
      <x:c r="B105" t="s">
        <x:v>612</x:v>
      </x:c>
      <x:c r="C105" t="s">
        <x:v>90</x:v>
      </x:c>
      <x:c r="D105" t="s">
        <x:v>603</x:v>
      </x:c>
      <x:c r="E105" t="s">
        <x:v>604</x:v>
      </x:c>
      <x:c r="F105" t="s">
        <x:v>605</x:v>
      </x:c>
      <x:c r="G105" t="s">
        <x:v>613</x:v>
      </x:c>
      <x:c r="H105" t="s">
        <x:v>136</x:v>
      </x:c>
      <x:c r="I105" t="s">
        <x:v>614</x:v>
      </x:c>
      <x:c r="J105">
        <x:v>1600</x:v>
      </x:c>
      <x:c r="K105">
        <x:v>0.3</x:v>
      </x:c>
      <x:c r="L105">
        <x:f t="shared" si="4"/>
        <x:v>2080</x:v>
      </x:c>
      <x:c r="M105" t="s">
        <x:v>38</x:v>
      </x:c>
      <x:c r="O105" t="s">
        <x:v>38</x:v>
      </x:c>
      <x:c r="P105" t="s">
        <x:v>39</x:v>
      </x:c>
      <x:c r="Q105" t="s">
        <x:v>612</x:v>
      </x:c>
      <x:c r="R105" t="s">
        <x:v>615</x:v>
      </x:c>
      <x:c r="S105" t="s">
        <x:v>609</x:v>
      </x:c>
      <x:c r="T105" s="2" t="n">
        <x:f>'SUPUESTOS PRECIOS'!$B$9</x:f>
        <x:v>0</x:v>
      </x:c>
      <x:c r="U105" s="3" t="n">
        <x:f>'SUPUESTOS PRECIOS'!$B$5/'SUPUESTOS PRECIOS'!$B$4</x:f>
        <x:v>1000</x:v>
      </x:c>
      <x:c r="V105" s="3" t="n">
        <x:f>('SUPUESTOS PRECIOS'!$B$6-'SUPUESTOS PRECIOS'!$B$7)/'SUPUESTOS PRECIOS'!$B$4</x:f>
        <x:v>377.5</x:v>
      </x:c>
      <x:c r="W105" s="4" t="n">
        <x:f>'SUPUESTOS PRECIOS'!$B$8</x:f>
        <x:v>0.00968</x:v>
      </x:c>
      <x:c r="X105" s="4" t="n">
        <x:f>'SUPUESTOS PRECIOS'!$B$2</x:f>
        <x:v>0.4</x:v>
      </x:c>
      <x:c r="Y105" s="3">
        <x:f t="shared" si="5"/>
        <x:v>5040</x:v>
      </x:c>
      <x:c r="Z105" s="3">
        <x:f t="shared" si="6"/>
        <x:v>2013.7128</x:v>
      </x:c>
      <x:c r="AA105" s="11">
        <x:f t="shared" si="7"/>
        <x:v>0.3995461904761905</x:v>
      </x:c>
      <x:c r="AB105" t="s">
        <x:v>610</x:v>
      </x:c>
      <x:c r="AC105" t="s">
        <x:v>613</x:v>
      </x:c>
    </x:row>
    <x:row r="106">
      <x:c r="A106" s="10" t="s">
        <x:v>616</x:v>
      </x:c>
      <x:c r="B106" t="s">
        <x:v>617</x:v>
      </x:c>
      <x:c r="C106" t="s">
        <x:v>90</x:v>
      </x:c>
      <x:c r="D106" t="s">
        <x:v>603</x:v>
      </x:c>
      <x:c r="E106" t="s">
        <x:v>604</x:v>
      </x:c>
      <x:c r="F106" t="s">
        <x:v>605</x:v>
      </x:c>
      <x:c r="G106" t="s">
        <x:v>593</x:v>
      </x:c>
      <x:c r="H106" t="s">
        <x:v>136</x:v>
      </x:c>
      <x:c r="I106" t="s">
        <x:v>618</x:v>
      </x:c>
      <x:c r="J106">
        <x:v>1600</x:v>
      </x:c>
      <x:c r="K106">
        <x:v>0.3</x:v>
      </x:c>
      <x:c r="L106">
        <x:f t="shared" si="4"/>
        <x:v>2080</x:v>
      </x:c>
      <x:c r="M106" t="s">
        <x:v>38</x:v>
      </x:c>
      <x:c r="O106" t="s">
        <x:v>38</x:v>
      </x:c>
      <x:c r="P106" t="s">
        <x:v>39</x:v>
      </x:c>
      <x:c r="Q106" t="s">
        <x:v>617</x:v>
      </x:c>
      <x:c r="R106" t="s">
        <x:v>619</x:v>
      </x:c>
      <x:c r="S106" t="s">
        <x:v>609</x:v>
      </x:c>
      <x:c r="T106" s="2" t="n">
        <x:f>'SUPUESTOS PRECIOS'!$B$9</x:f>
        <x:v>0</x:v>
      </x:c>
      <x:c r="U106" s="3" t="n">
        <x:f>'SUPUESTOS PRECIOS'!$B$5/'SUPUESTOS PRECIOS'!$B$4</x:f>
        <x:v>1000</x:v>
      </x:c>
      <x:c r="V106" s="3" t="n">
        <x:f>('SUPUESTOS PRECIOS'!$B$6-'SUPUESTOS PRECIOS'!$B$7)/'SUPUESTOS PRECIOS'!$B$4</x:f>
        <x:v>377.5</x:v>
      </x:c>
      <x:c r="W106" s="4" t="n">
        <x:f>'SUPUESTOS PRECIOS'!$B$8</x:f>
        <x:v>0.00968</x:v>
      </x:c>
      <x:c r="X106" s="4" t="n">
        <x:f>'SUPUESTOS PRECIOS'!$B$2</x:f>
        <x:v>0.4</x:v>
      </x:c>
      <x:c r="Y106" s="3">
        <x:f t="shared" si="5"/>
        <x:v>5040</x:v>
      </x:c>
      <x:c r="Z106" s="3">
        <x:f t="shared" si="6"/>
        <x:v>2013.7128</x:v>
      </x:c>
      <x:c r="AA106" s="11">
        <x:f t="shared" si="7"/>
        <x:v>0.3995461904761905</x:v>
      </x:c>
      <x:c r="AB106" t="s">
        <x:v>610</x:v>
      </x:c>
      <x:c r="AC106" t="s">
        <x:v>593</x:v>
      </x:c>
    </x:row>
    <x:row r="107">
      <x:c r="A107" s="10" t="s">
        <x:v>620</x:v>
      </x:c>
      <x:c r="B107" t="s">
        <x:v>621</x:v>
      </x:c>
      <x:c r="C107" t="s">
        <x:v>90</x:v>
      </x:c>
      <x:c r="D107" t="s">
        <x:v>603</x:v>
      </x:c>
      <x:c r="E107" t="s">
        <x:v>604</x:v>
      </x:c>
      <x:c r="F107" t="s">
        <x:v>605</x:v>
      </x:c>
      <x:c r="G107" t="s">
        <x:v>622</x:v>
      </x:c>
      <x:c r="H107" t="s">
        <x:v>136</x:v>
      </x:c>
      <x:c r="I107" t="s">
        <x:v>623</x:v>
      </x:c>
      <x:c r="J107">
        <x:v>1600</x:v>
      </x:c>
      <x:c r="K107">
        <x:v>0.3</x:v>
      </x:c>
      <x:c r="L107">
        <x:f t="shared" si="4"/>
        <x:v>2080</x:v>
      </x:c>
      <x:c r="M107" t="s">
        <x:v>38</x:v>
      </x:c>
      <x:c r="O107" t="s">
        <x:v>38</x:v>
      </x:c>
      <x:c r="P107" t="s">
        <x:v>39</x:v>
      </x:c>
      <x:c r="Q107" t="s">
        <x:v>621</x:v>
      </x:c>
      <x:c r="R107" t="s">
        <x:v>624</x:v>
      </x:c>
      <x:c r="S107" t="s">
        <x:v>609</x:v>
      </x:c>
      <x:c r="T107" s="2" t="n">
        <x:f>'SUPUESTOS PRECIOS'!$B$9</x:f>
        <x:v>0</x:v>
      </x:c>
      <x:c r="U107" s="3" t="n">
        <x:f>'SUPUESTOS PRECIOS'!$B$5/'SUPUESTOS PRECIOS'!$B$4</x:f>
        <x:v>1000</x:v>
      </x:c>
      <x:c r="V107" s="3" t="n">
        <x:f>('SUPUESTOS PRECIOS'!$B$6-'SUPUESTOS PRECIOS'!$B$7)/'SUPUESTOS PRECIOS'!$B$4</x:f>
        <x:v>377.5</x:v>
      </x:c>
      <x:c r="W107" s="4" t="n">
        <x:f>'SUPUESTOS PRECIOS'!$B$8</x:f>
        <x:v>0.00968</x:v>
      </x:c>
      <x:c r="X107" s="4" t="n">
        <x:f>'SUPUESTOS PRECIOS'!$B$2</x:f>
        <x:v>0.4</x:v>
      </x:c>
      <x:c r="Y107" s="3">
        <x:f t="shared" si="5"/>
        <x:v>5040</x:v>
      </x:c>
      <x:c r="Z107" s="3">
        <x:f t="shared" si="6"/>
        <x:v>2013.7128</x:v>
      </x:c>
      <x:c r="AA107" s="11">
        <x:f t="shared" si="7"/>
        <x:v>0.3995461904761905</x:v>
      </x:c>
      <x:c r="AB107" t="s">
        <x:v>610</x:v>
      </x:c>
      <x:c r="AC107" t="s">
        <x:v>622</x:v>
      </x:c>
    </x:row>
    <x:row r="108">
      <x:c r="A108" s="10" t="s">
        <x:v>625</x:v>
      </x:c>
      <x:c r="B108" t="s">
        <x:v>626</x:v>
      </x:c>
      <x:c r="C108" t="s">
        <x:v>90</x:v>
      </x:c>
      <x:c r="D108" t="s">
        <x:v>603</x:v>
      </x:c>
      <x:c r="E108" t="s">
        <x:v>604</x:v>
      </x:c>
      <x:c r="F108" t="s">
        <x:v>605</x:v>
      </x:c>
      <x:c r="G108" t="s">
        <x:v>583</x:v>
      </x:c>
      <x:c r="H108" t="s">
        <x:v>136</x:v>
      </x:c>
      <x:c r="I108" t="s">
        <x:v>627</x:v>
      </x:c>
      <x:c r="J108">
        <x:v>1600</x:v>
      </x:c>
      <x:c r="K108">
        <x:v>0.3</x:v>
      </x:c>
      <x:c r="L108">
        <x:f t="shared" si="4"/>
        <x:v>2080</x:v>
      </x:c>
      <x:c r="M108" t="s">
        <x:v>38</x:v>
      </x:c>
      <x:c r="O108" t="s">
        <x:v>38</x:v>
      </x:c>
      <x:c r="P108" t="s">
        <x:v>39</x:v>
      </x:c>
      <x:c r="Q108" t="s">
        <x:v>626</x:v>
      </x:c>
      <x:c r="R108" t="s">
        <x:v>628</x:v>
      </x:c>
      <x:c r="S108" t="s">
        <x:v>609</x:v>
      </x:c>
      <x:c r="T108" s="2" t="n">
        <x:f>'SUPUESTOS PRECIOS'!$B$9</x:f>
        <x:v>0</x:v>
      </x:c>
      <x:c r="U108" s="3" t="n">
        <x:f>'SUPUESTOS PRECIOS'!$B$5/'SUPUESTOS PRECIOS'!$B$4</x:f>
        <x:v>1000</x:v>
      </x:c>
      <x:c r="V108" s="3" t="n">
        <x:f>('SUPUESTOS PRECIOS'!$B$6-'SUPUESTOS PRECIOS'!$B$7)/'SUPUESTOS PRECIOS'!$B$4</x:f>
        <x:v>377.5</x:v>
      </x:c>
      <x:c r="W108" s="4" t="n">
        <x:f>'SUPUESTOS PRECIOS'!$B$8</x:f>
        <x:v>0.00968</x:v>
      </x:c>
      <x:c r="X108" s="4" t="n">
        <x:f>'SUPUESTOS PRECIOS'!$B$2</x:f>
        <x:v>0.4</x:v>
      </x:c>
      <x:c r="Y108" s="3">
        <x:f t="shared" si="5"/>
        <x:v>5040</x:v>
      </x:c>
      <x:c r="Z108" s="3">
        <x:f t="shared" si="6"/>
        <x:v>2013.7128</x:v>
      </x:c>
      <x:c r="AA108" s="11">
        <x:f t="shared" si="7"/>
        <x:v>0.3995461904761905</x:v>
      </x:c>
      <x:c r="AB108" t="s">
        <x:v>610</x:v>
      </x:c>
      <x:c r="AC108" t="s">
        <x:v>583</x:v>
      </x:c>
    </x:row>
    <x:row r="109">
      <x:c r="A109" s="10" t="s">
        <x:v>629</x:v>
      </x:c>
      <x:c r="B109" t="s">
        <x:v>630</x:v>
      </x:c>
      <x:c r="C109" t="s">
        <x:v>90</x:v>
      </x:c>
      <x:c r="D109" t="s">
        <x:v>603</x:v>
      </x:c>
      <x:c r="E109" t="s">
        <x:v>604</x:v>
      </x:c>
      <x:c r="F109" t="s">
        <x:v>605</x:v>
      </x:c>
      <x:c r="G109" t="s">
        <x:v>631</x:v>
      </x:c>
      <x:c r="H109" t="s">
        <x:v>136</x:v>
      </x:c>
      <x:c r="I109" t="s">
        <x:v>632</x:v>
      </x:c>
      <x:c r="J109">
        <x:v>1600</x:v>
      </x:c>
      <x:c r="K109">
        <x:v>0.3</x:v>
      </x:c>
      <x:c r="L109">
        <x:f t="shared" si="4"/>
        <x:v>2080</x:v>
      </x:c>
      <x:c r="M109" t="s">
        <x:v>38</x:v>
      </x:c>
      <x:c r="O109" t="s">
        <x:v>38</x:v>
      </x:c>
      <x:c r="P109" t="s">
        <x:v>39</x:v>
      </x:c>
      <x:c r="Q109" t="s">
        <x:v>630</x:v>
      </x:c>
      <x:c r="R109" t="s">
        <x:v>633</x:v>
      </x:c>
      <x:c r="S109" t="s">
        <x:v>609</x:v>
      </x:c>
      <x:c r="T109" s="2" t="n">
        <x:f>'SUPUESTOS PRECIOS'!$B$9</x:f>
        <x:v>0</x:v>
      </x:c>
      <x:c r="U109" s="3" t="n">
        <x:f>'SUPUESTOS PRECIOS'!$B$5/'SUPUESTOS PRECIOS'!$B$4</x:f>
        <x:v>1000</x:v>
      </x:c>
      <x:c r="V109" s="3" t="n">
        <x:f>('SUPUESTOS PRECIOS'!$B$6-'SUPUESTOS PRECIOS'!$B$7)/'SUPUESTOS PRECIOS'!$B$4</x:f>
        <x:v>377.5</x:v>
      </x:c>
      <x:c r="W109" s="4" t="n">
        <x:f>'SUPUESTOS PRECIOS'!$B$8</x:f>
        <x:v>0.00968</x:v>
      </x:c>
      <x:c r="X109" s="4" t="n">
        <x:f>'SUPUESTOS PRECIOS'!$B$2</x:f>
        <x:v>0.4</x:v>
      </x:c>
      <x:c r="Y109" s="3">
        <x:f t="shared" si="5"/>
        <x:v>5040</x:v>
      </x:c>
      <x:c r="Z109" s="3">
        <x:f t="shared" si="6"/>
        <x:v>2013.7128</x:v>
      </x:c>
      <x:c r="AA109" s="11">
        <x:f t="shared" si="7"/>
        <x:v>0.3995461904761905</x:v>
      </x:c>
      <x:c r="AB109" t="s">
        <x:v>610</x:v>
      </x:c>
      <x:c r="AC109" t="s">
        <x:v>631</x:v>
      </x:c>
    </x:row>
    <x:row r="110">
      <x:c r="A110" s="10" t="s">
        <x:v>634</x:v>
      </x:c>
      <x:c r="B110" t="s">
        <x:v>635</x:v>
      </x:c>
      <x:c r="C110" t="s">
        <x:v>90</x:v>
      </x:c>
      <x:c r="D110" t="s">
        <x:v>603</x:v>
      </x:c>
      <x:c r="E110" t="s">
        <x:v>604</x:v>
      </x:c>
      <x:c r="F110" t="s">
        <x:v>605</x:v>
      </x:c>
      <x:c r="G110" t="s">
        <x:v>636</x:v>
      </x:c>
      <x:c r="H110" t="s">
        <x:v>136</x:v>
      </x:c>
      <x:c r="I110" t="s">
        <x:v>637</x:v>
      </x:c>
      <x:c r="J110">
        <x:v>1600</x:v>
      </x:c>
      <x:c r="K110">
        <x:v>0.3</x:v>
      </x:c>
      <x:c r="L110">
        <x:f t="shared" si="4"/>
        <x:v>2080</x:v>
      </x:c>
      <x:c r="M110" t="s">
        <x:v>38</x:v>
      </x:c>
      <x:c r="O110" t="s">
        <x:v>38</x:v>
      </x:c>
      <x:c r="P110" t="s">
        <x:v>39</x:v>
      </x:c>
      <x:c r="Q110" t="s">
        <x:v>635</x:v>
      </x:c>
      <x:c r="R110" t="s">
        <x:v>638</x:v>
      </x:c>
      <x:c r="S110" t="s">
        <x:v>609</x:v>
      </x:c>
      <x:c r="T110" s="2" t="n">
        <x:f>'SUPUESTOS PRECIOS'!$B$9</x:f>
        <x:v>0</x:v>
      </x:c>
      <x:c r="U110" s="3" t="n">
        <x:f>'SUPUESTOS PRECIOS'!$B$5/'SUPUESTOS PRECIOS'!$B$4</x:f>
        <x:v>1000</x:v>
      </x:c>
      <x:c r="V110" s="3" t="n">
        <x:f>('SUPUESTOS PRECIOS'!$B$6-'SUPUESTOS PRECIOS'!$B$7)/'SUPUESTOS PRECIOS'!$B$4</x:f>
        <x:v>377.5</x:v>
      </x:c>
      <x:c r="W110" s="4" t="n">
        <x:f>'SUPUESTOS PRECIOS'!$B$8</x:f>
        <x:v>0.00968</x:v>
      </x:c>
      <x:c r="X110" s="4" t="n">
        <x:f>'SUPUESTOS PRECIOS'!$B$2</x:f>
        <x:v>0.4</x:v>
      </x:c>
      <x:c r="Y110" s="3">
        <x:f t="shared" si="5"/>
        <x:v>5040</x:v>
      </x:c>
      <x:c r="Z110" s="3">
        <x:f t="shared" si="6"/>
        <x:v>2013.7128</x:v>
      </x:c>
      <x:c r="AA110" s="11">
        <x:f t="shared" si="7"/>
        <x:v>0.3995461904761905</x:v>
      </x:c>
      <x:c r="AB110" t="s">
        <x:v>610</x:v>
      </x:c>
      <x:c r="AC110" t="s">
        <x:v>636</x:v>
      </x:c>
    </x:row>
    <x:row r="111">
      <x:c r="A111" s="10" t="s">
        <x:v>639</x:v>
      </x:c>
      <x:c r="B111" t="s">
        <x:v>640</x:v>
      </x:c>
      <x:c r="C111" t="s">
        <x:v>90</x:v>
      </x:c>
      <x:c r="D111" t="s">
        <x:v>603</x:v>
      </x:c>
      <x:c r="E111" t="s">
        <x:v>604</x:v>
      </x:c>
      <x:c r="F111" t="s">
        <x:v>605</x:v>
      </x:c>
      <x:c r="G111" t="s">
        <x:v>641</x:v>
      </x:c>
      <x:c r="H111" t="s">
        <x:v>136</x:v>
      </x:c>
      <x:c r="I111" t="s">
        <x:v>642</x:v>
      </x:c>
      <x:c r="J111">
        <x:v>1600</x:v>
      </x:c>
      <x:c r="K111">
        <x:v>0.3</x:v>
      </x:c>
      <x:c r="L111">
        <x:f t="shared" si="4"/>
        <x:v>2080</x:v>
      </x:c>
      <x:c r="M111" t="s">
        <x:v>38</x:v>
      </x:c>
      <x:c r="O111" t="s">
        <x:v>38</x:v>
      </x:c>
      <x:c r="P111" t="s">
        <x:v>39</x:v>
      </x:c>
      <x:c r="Q111" t="s">
        <x:v>640</x:v>
      </x:c>
      <x:c r="R111" t="s">
        <x:v>643</x:v>
      </x:c>
      <x:c r="S111" t="s">
        <x:v>609</x:v>
      </x:c>
      <x:c r="T111" s="2" t="n">
        <x:f>'SUPUESTOS PRECIOS'!$B$9</x:f>
        <x:v>0</x:v>
      </x:c>
      <x:c r="U111" s="3" t="n">
        <x:f>'SUPUESTOS PRECIOS'!$B$5/'SUPUESTOS PRECIOS'!$B$4</x:f>
        <x:v>1000</x:v>
      </x:c>
      <x:c r="V111" s="3" t="n">
        <x:f>('SUPUESTOS PRECIOS'!$B$6-'SUPUESTOS PRECIOS'!$B$7)/'SUPUESTOS PRECIOS'!$B$4</x:f>
        <x:v>377.5</x:v>
      </x:c>
      <x:c r="W111" s="4" t="n">
        <x:f>'SUPUESTOS PRECIOS'!$B$8</x:f>
        <x:v>0.00968</x:v>
      </x:c>
      <x:c r="X111" s="4" t="n">
        <x:f>'SUPUESTOS PRECIOS'!$B$2</x:f>
        <x:v>0.4</x:v>
      </x:c>
      <x:c r="Y111" s="3">
        <x:f t="shared" si="5"/>
        <x:v>5040</x:v>
      </x:c>
      <x:c r="Z111" s="3">
        <x:f t="shared" si="6"/>
        <x:v>2013.7128</x:v>
      </x:c>
      <x:c r="AA111" s="11">
        <x:f t="shared" si="7"/>
        <x:v>0.3995461904761905</x:v>
      </x:c>
      <x:c r="AB111" t="s">
        <x:v>610</x:v>
      </x:c>
      <x:c r="AC111" t="s">
        <x:v>641</x:v>
      </x:c>
    </x:row>
    <x:row r="112">
      <x:c r="A112" s="10" t="s">
        <x:v>644</x:v>
      </x:c>
      <x:c r="B112" t="s">
        <x:v>645</x:v>
      </x:c>
      <x:c r="C112" t="s">
        <x:v>90</x:v>
      </x:c>
      <x:c r="D112" t="s">
        <x:v>603</x:v>
      </x:c>
      <x:c r="E112" t="s">
        <x:v>604</x:v>
      </x:c>
      <x:c r="F112" t="s">
        <x:v>605</x:v>
      </x:c>
      <x:c r="G112" t="s">
        <x:v>646</x:v>
      </x:c>
      <x:c r="H112" t="s">
        <x:v>136</x:v>
      </x:c>
      <x:c r="I112" t="s">
        <x:v>647</x:v>
      </x:c>
      <x:c r="J112">
        <x:v>1600</x:v>
      </x:c>
      <x:c r="K112">
        <x:v>0.3</x:v>
      </x:c>
      <x:c r="L112">
        <x:f t="shared" si="4"/>
        <x:v>2080</x:v>
      </x:c>
      <x:c r="M112" t="s">
        <x:v>38</x:v>
      </x:c>
      <x:c r="O112" t="s">
        <x:v>38</x:v>
      </x:c>
      <x:c r="P112" t="s">
        <x:v>39</x:v>
      </x:c>
      <x:c r="Q112" t="s">
        <x:v>645</x:v>
      </x:c>
      <x:c r="R112" t="s">
        <x:v>648</x:v>
      </x:c>
      <x:c r="S112" t="s">
        <x:v>609</x:v>
      </x:c>
      <x:c r="T112" s="2" t="n">
        <x:f>'SUPUESTOS PRECIOS'!$B$9</x:f>
        <x:v>0</x:v>
      </x:c>
      <x:c r="U112" s="3" t="n">
        <x:f>'SUPUESTOS PRECIOS'!$B$5/'SUPUESTOS PRECIOS'!$B$4</x:f>
        <x:v>1000</x:v>
      </x:c>
      <x:c r="V112" s="3" t="n">
        <x:f>('SUPUESTOS PRECIOS'!$B$6-'SUPUESTOS PRECIOS'!$B$7)/'SUPUESTOS PRECIOS'!$B$4</x:f>
        <x:v>377.5</x:v>
      </x:c>
      <x:c r="W112" s="4" t="n">
        <x:f>'SUPUESTOS PRECIOS'!$B$8</x:f>
        <x:v>0.00968</x:v>
      </x:c>
      <x:c r="X112" s="4" t="n">
        <x:f>'SUPUESTOS PRECIOS'!$B$2</x:f>
        <x:v>0.4</x:v>
      </x:c>
      <x:c r="Y112" s="3">
        <x:f t="shared" si="5"/>
        <x:v>5040</x:v>
      </x:c>
      <x:c r="Z112" s="3">
        <x:f t="shared" si="6"/>
        <x:v>2013.7128</x:v>
      </x:c>
      <x:c r="AA112" s="11">
        <x:f t="shared" si="7"/>
        <x:v>0.3995461904761905</x:v>
      </x:c>
      <x:c r="AB112" t="s">
        <x:v>610</x:v>
      </x:c>
      <x:c r="AC112" t="s">
        <x:v>646</x:v>
      </x:c>
    </x:row>
    <x:row r="113">
      <x:c r="A113" s="10" t="s">
        <x:v>649</x:v>
      </x:c>
      <x:c r="B113" t="s">
        <x:v>650</x:v>
      </x:c>
      <x:c r="C113" t="s">
        <x:v>90</x:v>
      </x:c>
      <x:c r="D113" t="s">
        <x:v>603</x:v>
      </x:c>
      <x:c r="E113" t="s">
        <x:v>604</x:v>
      </x:c>
      <x:c r="F113" t="s">
        <x:v>605</x:v>
      </x:c>
      <x:c r="G113" t="s">
        <x:v>651</x:v>
      </x:c>
      <x:c r="H113" t="s">
        <x:v>136</x:v>
      </x:c>
      <x:c r="I113" t="s">
        <x:v>652</x:v>
      </x:c>
      <x:c r="J113">
        <x:v>1600</x:v>
      </x:c>
      <x:c r="K113">
        <x:v>0.3</x:v>
      </x:c>
      <x:c r="L113">
        <x:f t="shared" si="4"/>
        <x:v>2080</x:v>
      </x:c>
      <x:c r="M113" t="s">
        <x:v>38</x:v>
      </x:c>
      <x:c r="O113" t="s">
        <x:v>38</x:v>
      </x:c>
      <x:c r="P113" t="s">
        <x:v>39</x:v>
      </x:c>
      <x:c r="Q113" t="s">
        <x:v>650</x:v>
      </x:c>
      <x:c r="R113" t="s">
        <x:v>653</x:v>
      </x:c>
      <x:c r="S113" t="s">
        <x:v>609</x:v>
      </x:c>
      <x:c r="T113" s="2" t="n">
        <x:f>'SUPUESTOS PRECIOS'!$B$9</x:f>
        <x:v>0</x:v>
      </x:c>
      <x:c r="U113" s="3" t="n">
        <x:f>'SUPUESTOS PRECIOS'!$B$5/'SUPUESTOS PRECIOS'!$B$4</x:f>
        <x:v>1000</x:v>
      </x:c>
      <x:c r="V113" s="3" t="n">
        <x:f>('SUPUESTOS PRECIOS'!$B$6-'SUPUESTOS PRECIOS'!$B$7)/'SUPUESTOS PRECIOS'!$B$4</x:f>
        <x:v>377.5</x:v>
      </x:c>
      <x:c r="W113" s="4" t="n">
        <x:f>'SUPUESTOS PRECIOS'!$B$8</x:f>
        <x:v>0.00968</x:v>
      </x:c>
      <x:c r="X113" s="4" t="n">
        <x:f>'SUPUESTOS PRECIOS'!$B$2</x:f>
        <x:v>0.4</x:v>
      </x:c>
      <x:c r="Y113" s="3">
        <x:f t="shared" si="5"/>
        <x:v>5040</x:v>
      </x:c>
      <x:c r="Z113" s="3">
        <x:f t="shared" si="6"/>
        <x:v>2013.7128</x:v>
      </x:c>
      <x:c r="AA113" s="11">
        <x:f t="shared" si="7"/>
        <x:v>0.3995461904761905</x:v>
      </x:c>
      <x:c r="AB113" t="s">
        <x:v>610</x:v>
      </x:c>
      <x:c r="AC113" t="s">
        <x:v>651</x:v>
      </x:c>
    </x:row>
    <x:row r="114">
      <x:c r="A114" s="10" t="s">
        <x:v>654</x:v>
      </x:c>
      <x:c r="B114" t="s">
        <x:v>655</x:v>
      </x:c>
      <x:c r="C114" t="s">
        <x:v>90</x:v>
      </x:c>
      <x:c r="D114" t="s">
        <x:v>603</x:v>
      </x:c>
      <x:c r="E114" t="s">
        <x:v>604</x:v>
      </x:c>
      <x:c r="F114" t="s">
        <x:v>605</x:v>
      </x:c>
      <x:c r="G114" t="s">
        <x:v>656</x:v>
      </x:c>
      <x:c r="H114" t="s">
        <x:v>136</x:v>
      </x:c>
      <x:c r="I114" t="s">
        <x:v>657</x:v>
      </x:c>
      <x:c r="J114">
        <x:v>1600</x:v>
      </x:c>
      <x:c r="K114">
        <x:v>0.3</x:v>
      </x:c>
      <x:c r="L114">
        <x:f t="shared" si="4"/>
        <x:v>2080</x:v>
      </x:c>
      <x:c r="M114" t="s">
        <x:v>38</x:v>
      </x:c>
      <x:c r="O114" t="s">
        <x:v>38</x:v>
      </x:c>
      <x:c r="P114" t="s">
        <x:v>39</x:v>
      </x:c>
      <x:c r="Q114" t="s">
        <x:v>655</x:v>
      </x:c>
      <x:c r="R114" t="s">
        <x:v>658</x:v>
      </x:c>
      <x:c r="S114" t="s">
        <x:v>609</x:v>
      </x:c>
      <x:c r="T114" s="2" t="n">
        <x:f>'SUPUESTOS PRECIOS'!$B$9</x:f>
        <x:v>0</x:v>
      </x:c>
      <x:c r="U114" s="3" t="n">
        <x:f>'SUPUESTOS PRECIOS'!$B$5/'SUPUESTOS PRECIOS'!$B$4</x:f>
        <x:v>1000</x:v>
      </x:c>
      <x:c r="V114" s="3" t="n">
        <x:f>('SUPUESTOS PRECIOS'!$B$6-'SUPUESTOS PRECIOS'!$B$7)/'SUPUESTOS PRECIOS'!$B$4</x:f>
        <x:v>377.5</x:v>
      </x:c>
      <x:c r="W114" s="4" t="n">
        <x:f>'SUPUESTOS PRECIOS'!$B$8</x:f>
        <x:v>0.00968</x:v>
      </x:c>
      <x:c r="X114" s="4" t="n">
        <x:f>'SUPUESTOS PRECIOS'!$B$2</x:f>
        <x:v>0.4</x:v>
      </x:c>
      <x:c r="Y114" s="3">
        <x:f t="shared" si="5"/>
        <x:v>5040</x:v>
      </x:c>
      <x:c r="Z114" s="3">
        <x:f t="shared" si="6"/>
        <x:v>2013.7128</x:v>
      </x:c>
      <x:c r="AA114" s="11">
        <x:f t="shared" si="7"/>
        <x:v>0.3995461904761905</x:v>
      </x:c>
      <x:c r="AB114" t="s">
        <x:v>610</x:v>
      </x:c>
      <x:c r="AC114" t="s">
        <x:v>656</x:v>
      </x:c>
    </x:row>
    <x:row r="115">
      <x:c r="A115" s="10" t="s">
        <x:v>659</x:v>
      </x:c>
      <x:c r="B115" t="s">
        <x:v>660</x:v>
      </x:c>
      <x:c r="C115" t="s">
        <x:v>90</x:v>
      </x:c>
      <x:c r="D115" t="s">
        <x:v>603</x:v>
      </x:c>
      <x:c r="E115" t="s">
        <x:v>604</x:v>
      </x:c>
      <x:c r="F115" t="s">
        <x:v>605</x:v>
      </x:c>
      <x:c r="G115" t="s">
        <x:v>661</x:v>
      </x:c>
      <x:c r="H115" t="s">
        <x:v>136</x:v>
      </x:c>
      <x:c r="I115" t="s">
        <x:v>662</x:v>
      </x:c>
      <x:c r="J115">
        <x:v>1600</x:v>
      </x:c>
      <x:c r="K115">
        <x:v>0.3</x:v>
      </x:c>
      <x:c r="L115">
        <x:f t="shared" si="4"/>
        <x:v>2080</x:v>
      </x:c>
      <x:c r="M115" t="s">
        <x:v>38</x:v>
      </x:c>
      <x:c r="O115" t="s">
        <x:v>38</x:v>
      </x:c>
      <x:c r="P115" t="s">
        <x:v>39</x:v>
      </x:c>
      <x:c r="Q115" t="s">
        <x:v>660</x:v>
      </x:c>
      <x:c r="R115" t="s">
        <x:v>663</x:v>
      </x:c>
      <x:c r="S115" t="s">
        <x:v>609</x:v>
      </x:c>
      <x:c r="T115" s="2" t="n">
        <x:f>'SUPUESTOS PRECIOS'!$B$9</x:f>
        <x:v>0</x:v>
      </x:c>
      <x:c r="U115" s="3" t="n">
        <x:f>'SUPUESTOS PRECIOS'!$B$5/'SUPUESTOS PRECIOS'!$B$4</x:f>
        <x:v>1000</x:v>
      </x:c>
      <x:c r="V115" s="3" t="n">
        <x:f>('SUPUESTOS PRECIOS'!$B$6-'SUPUESTOS PRECIOS'!$B$7)/'SUPUESTOS PRECIOS'!$B$4</x:f>
        <x:v>377.5</x:v>
      </x:c>
      <x:c r="W115" s="4" t="n">
        <x:f>'SUPUESTOS PRECIOS'!$B$8</x:f>
        <x:v>0.00968</x:v>
      </x:c>
      <x:c r="X115" s="4" t="n">
        <x:f>'SUPUESTOS PRECIOS'!$B$2</x:f>
        <x:v>0.4</x:v>
      </x:c>
      <x:c r="Y115" s="3">
        <x:f t="shared" si="5"/>
        <x:v>5040</x:v>
      </x:c>
      <x:c r="Z115" s="3">
        <x:f t="shared" si="6"/>
        <x:v>2013.7128</x:v>
      </x:c>
      <x:c r="AA115" s="11">
        <x:f t="shared" si="7"/>
        <x:v>0.3995461904761905</x:v>
      </x:c>
      <x:c r="AB115" t="s">
        <x:v>610</x:v>
      </x:c>
      <x:c r="AC115" t="s">
        <x:v>661</x:v>
      </x:c>
    </x:row>
    <x:row r="116">
      <x:c r="A116" s="10" t="s">
        <x:v>664</x:v>
      </x:c>
      <x:c r="B116" t="s">
        <x:v>665</x:v>
      </x:c>
      <x:c r="C116" t="s">
        <x:v>90</x:v>
      </x:c>
      <x:c r="D116" t="s">
        <x:v>603</x:v>
      </x:c>
      <x:c r="E116" t="s">
        <x:v>604</x:v>
      </x:c>
      <x:c r="F116" t="s">
        <x:v>605</x:v>
      </x:c>
      <x:c r="G116" t="s">
        <x:v>666</x:v>
      </x:c>
      <x:c r="H116" t="s">
        <x:v>136</x:v>
      </x:c>
      <x:c r="I116" t="s">
        <x:v>667</x:v>
      </x:c>
      <x:c r="J116">
        <x:v>1600</x:v>
      </x:c>
      <x:c r="K116">
        <x:v>0.3</x:v>
      </x:c>
      <x:c r="L116">
        <x:f t="shared" si="4"/>
        <x:v>2080</x:v>
      </x:c>
      <x:c r="M116" t="s">
        <x:v>38</x:v>
      </x:c>
      <x:c r="O116" t="s">
        <x:v>38</x:v>
      </x:c>
      <x:c r="P116" t="s">
        <x:v>39</x:v>
      </x:c>
      <x:c r="Q116" t="s">
        <x:v>665</x:v>
      </x:c>
      <x:c r="R116" t="s">
        <x:v>668</x:v>
      </x:c>
      <x:c r="S116" t="s">
        <x:v>609</x:v>
      </x:c>
      <x:c r="T116" s="2" t="n">
        <x:f>'SUPUESTOS PRECIOS'!$B$9</x:f>
        <x:v>0</x:v>
      </x:c>
      <x:c r="U116" s="3" t="n">
        <x:f>'SUPUESTOS PRECIOS'!$B$5/'SUPUESTOS PRECIOS'!$B$4</x:f>
        <x:v>1000</x:v>
      </x:c>
      <x:c r="V116" s="3" t="n">
        <x:f>('SUPUESTOS PRECIOS'!$B$6-'SUPUESTOS PRECIOS'!$B$7)/'SUPUESTOS PRECIOS'!$B$4</x:f>
        <x:v>377.5</x:v>
      </x:c>
      <x:c r="W116" s="4" t="n">
        <x:f>'SUPUESTOS PRECIOS'!$B$8</x:f>
        <x:v>0.00968</x:v>
      </x:c>
      <x:c r="X116" s="4" t="n">
        <x:f>'SUPUESTOS PRECIOS'!$B$2</x:f>
        <x:v>0.4</x:v>
      </x:c>
      <x:c r="Y116" s="3">
        <x:f t="shared" si="5"/>
        <x:v>5040</x:v>
      </x:c>
      <x:c r="Z116" s="3">
        <x:f t="shared" si="6"/>
        <x:v>2013.7128</x:v>
      </x:c>
      <x:c r="AA116" s="11">
        <x:f t="shared" si="7"/>
        <x:v>0.3995461904761905</x:v>
      </x:c>
      <x:c r="AB116" t="s">
        <x:v>610</x:v>
      </x:c>
      <x:c r="AC116" t="s">
        <x:v>666</x:v>
      </x:c>
    </x:row>
    <x:row r="117">
      <x:c r="A117" s="10" t="s">
        <x:v>669</x:v>
      </x:c>
      <x:c r="B117" t="s">
        <x:v>670</x:v>
      </x:c>
      <x:c r="C117" t="s">
        <x:v>90</x:v>
      </x:c>
      <x:c r="D117" t="s">
        <x:v>603</x:v>
      </x:c>
      <x:c r="E117" t="s">
        <x:v>604</x:v>
      </x:c>
      <x:c r="F117" t="s">
        <x:v>605</x:v>
      </x:c>
      <x:c r="G117" t="s">
        <x:v>671</x:v>
      </x:c>
      <x:c r="H117" t="s">
        <x:v>136</x:v>
      </x:c>
      <x:c r="I117" t="s">
        <x:v>672</x:v>
      </x:c>
      <x:c r="J117">
        <x:v>1600</x:v>
      </x:c>
      <x:c r="K117">
        <x:v>0.3</x:v>
      </x:c>
      <x:c r="L117">
        <x:f t="shared" si="4"/>
        <x:v>2080</x:v>
      </x:c>
      <x:c r="M117" t="s">
        <x:v>38</x:v>
      </x:c>
      <x:c r="O117" t="s">
        <x:v>38</x:v>
      </x:c>
      <x:c r="P117" t="s">
        <x:v>39</x:v>
      </x:c>
      <x:c r="Q117" t="s">
        <x:v>670</x:v>
      </x:c>
      <x:c r="R117" t="s">
        <x:v>673</x:v>
      </x:c>
      <x:c r="S117" t="s">
        <x:v>609</x:v>
      </x:c>
      <x:c r="T117" s="2" t="n">
        <x:f>'SUPUESTOS PRECIOS'!$B$9</x:f>
        <x:v>0</x:v>
      </x:c>
      <x:c r="U117" s="3" t="n">
        <x:f>'SUPUESTOS PRECIOS'!$B$5/'SUPUESTOS PRECIOS'!$B$4</x:f>
        <x:v>1000</x:v>
      </x:c>
      <x:c r="V117" s="3" t="n">
        <x:f>('SUPUESTOS PRECIOS'!$B$6-'SUPUESTOS PRECIOS'!$B$7)/'SUPUESTOS PRECIOS'!$B$4</x:f>
        <x:v>377.5</x:v>
      </x:c>
      <x:c r="W117" s="4" t="n">
        <x:f>'SUPUESTOS PRECIOS'!$B$8</x:f>
        <x:v>0.00968</x:v>
      </x:c>
      <x:c r="X117" s="4" t="n">
        <x:f>'SUPUESTOS PRECIOS'!$B$2</x:f>
        <x:v>0.4</x:v>
      </x:c>
      <x:c r="Y117" s="3">
        <x:f t="shared" si="5"/>
        <x:v>5040</x:v>
      </x:c>
      <x:c r="Z117" s="3">
        <x:f t="shared" si="6"/>
        <x:v>2013.7128</x:v>
      </x:c>
      <x:c r="AA117" s="11">
        <x:f t="shared" si="7"/>
        <x:v>0.3995461904761905</x:v>
      </x:c>
      <x:c r="AB117" t="s">
        <x:v>610</x:v>
      </x:c>
      <x:c r="AC117" t="s">
        <x:v>671</x:v>
      </x:c>
    </x:row>
    <x:row r="118">
      <x:c r="A118" s="10" t="s">
        <x:v>674</x:v>
      </x:c>
      <x:c r="B118" t="s">
        <x:v>675</x:v>
      </x:c>
      <x:c r="C118" t="s">
        <x:v>90</x:v>
      </x:c>
      <x:c r="D118" t="s">
        <x:v>603</x:v>
      </x:c>
      <x:c r="E118" t="s">
        <x:v>604</x:v>
      </x:c>
      <x:c r="F118" t="s">
        <x:v>676</x:v>
      </x:c>
      <x:c r="G118" t="s">
        <x:v>606</x:v>
      </x:c>
      <x:c r="H118" t="s">
        <x:v>136</x:v>
      </x:c>
      <x:c r="I118" t="s">
        <x:v>677</x:v>
      </x:c>
      <x:c r="J118">
        <x:v>2000</x:v>
      </x:c>
      <x:c r="K118">
        <x:v>0.3</x:v>
      </x:c>
      <x:c r="L118">
        <x:f t="shared" si="4"/>
        <x:v>2600</x:v>
      </x:c>
      <x:c r="M118" t="s">
        <x:v>38</x:v>
      </x:c>
      <x:c r="O118" t="s">
        <x:v>38</x:v>
      </x:c>
      <x:c r="P118" t="s">
        <x:v>39</x:v>
      </x:c>
      <x:c r="Q118" t="s">
        <x:v>675</x:v>
      </x:c>
      <x:c r="R118" t="s">
        <x:v>678</x:v>
      </x:c>
      <x:c r="S118" t="s">
        <x:v>609</x:v>
      </x:c>
      <x:c r="T118" s="2" t="n">
        <x:f>'SUPUESTOS PRECIOS'!$B$9</x:f>
        <x:v>0</x:v>
      </x:c>
      <x:c r="U118" s="3" t="n">
        <x:f>'SUPUESTOS PRECIOS'!$B$5/'SUPUESTOS PRECIOS'!$B$4</x:f>
        <x:v>1000</x:v>
      </x:c>
      <x:c r="V118" s="3" t="n">
        <x:f>('SUPUESTOS PRECIOS'!$B$6-'SUPUESTOS PRECIOS'!$B$7)/'SUPUESTOS PRECIOS'!$B$4</x:f>
        <x:v>377.5</x:v>
      </x:c>
      <x:c r="W118" s="4" t="n">
        <x:f>'SUPUESTOS PRECIOS'!$B$8</x:f>
        <x:v>0.00968</x:v>
      </x:c>
      <x:c r="X118" s="4" t="n">
        <x:f>'SUPUESTOS PRECIOS'!$B$2</x:f>
        <x:v>0.4</x:v>
      </x:c>
      <x:c r="Y118" s="3">
        <x:f t="shared" si="5"/>
        <x:v>5720</x:v>
      </x:c>
      <x:c r="Z118" s="3">
        <x:f t="shared" si="6"/>
        <x:v>2287.1304</x:v>
      </x:c>
      <x:c r="AA118" s="11">
        <x:f t="shared" si="7"/>
        <x:v>0.39984797202797201</x:v>
      </x:c>
      <x:c r="AB118" t="s">
        <x:v>610</x:v>
      </x:c>
      <x:c r="AC118" t="s">
        <x:v>606</x:v>
      </x:c>
    </x:row>
    <x:row r="119">
      <x:c r="A119" s="10" t="s">
        <x:v>679</x:v>
      </x:c>
      <x:c r="B119" t="s">
        <x:v>680</x:v>
      </x:c>
      <x:c r="C119" t="s">
        <x:v>90</x:v>
      </x:c>
      <x:c r="D119" t="s">
        <x:v>603</x:v>
      </x:c>
      <x:c r="E119" t="s">
        <x:v>604</x:v>
      </x:c>
      <x:c r="F119" t="s">
        <x:v>676</x:v>
      </x:c>
      <x:c r="G119" t="s">
        <x:v>613</x:v>
      </x:c>
      <x:c r="H119" t="s">
        <x:v>136</x:v>
      </x:c>
      <x:c r="I119" t="s">
        <x:v>681</x:v>
      </x:c>
      <x:c r="J119">
        <x:v>2000</x:v>
      </x:c>
      <x:c r="K119">
        <x:v>0.3</x:v>
      </x:c>
      <x:c r="L119">
        <x:f t="shared" si="4"/>
        <x:v>2600</x:v>
      </x:c>
      <x:c r="M119" t="s">
        <x:v>38</x:v>
      </x:c>
      <x:c r="O119" t="s">
        <x:v>38</x:v>
      </x:c>
      <x:c r="P119" t="s">
        <x:v>39</x:v>
      </x:c>
      <x:c r="Q119" t="s">
        <x:v>680</x:v>
      </x:c>
      <x:c r="R119" t="s">
        <x:v>682</x:v>
      </x:c>
      <x:c r="S119" t="s">
        <x:v>609</x:v>
      </x:c>
      <x:c r="T119" s="2" t="n">
        <x:f>'SUPUESTOS PRECIOS'!$B$9</x:f>
        <x:v>0</x:v>
      </x:c>
      <x:c r="U119" s="3" t="n">
        <x:f>'SUPUESTOS PRECIOS'!$B$5/'SUPUESTOS PRECIOS'!$B$4</x:f>
        <x:v>1000</x:v>
      </x:c>
      <x:c r="V119" s="3" t="n">
        <x:f>('SUPUESTOS PRECIOS'!$B$6-'SUPUESTOS PRECIOS'!$B$7)/'SUPUESTOS PRECIOS'!$B$4</x:f>
        <x:v>377.5</x:v>
      </x:c>
      <x:c r="W119" s="4" t="n">
        <x:f>'SUPUESTOS PRECIOS'!$B$8</x:f>
        <x:v>0.00968</x:v>
      </x:c>
      <x:c r="X119" s="4" t="n">
        <x:f>'SUPUESTOS PRECIOS'!$B$2</x:f>
        <x:v>0.4</x:v>
      </x:c>
      <x:c r="Y119" s="3">
        <x:f t="shared" si="5"/>
        <x:v>5720</x:v>
      </x:c>
      <x:c r="Z119" s="3">
        <x:f t="shared" si="6"/>
        <x:v>2287.1304</x:v>
      </x:c>
      <x:c r="AA119" s="11">
        <x:f t="shared" si="7"/>
        <x:v>0.39984797202797201</x:v>
      </x:c>
      <x:c r="AB119" t="s">
        <x:v>610</x:v>
      </x:c>
      <x:c r="AC119" t="s">
        <x:v>613</x:v>
      </x:c>
    </x:row>
    <x:row r="120">
      <x:c r="A120" s="10" t="s">
        <x:v>683</x:v>
      </x:c>
      <x:c r="B120" t="s">
        <x:v>684</x:v>
      </x:c>
      <x:c r="C120" t="s">
        <x:v>90</x:v>
      </x:c>
      <x:c r="D120" t="s">
        <x:v>603</x:v>
      </x:c>
      <x:c r="E120" t="s">
        <x:v>604</x:v>
      </x:c>
      <x:c r="F120" t="s">
        <x:v>676</x:v>
      </x:c>
      <x:c r="G120" t="s">
        <x:v>636</x:v>
      </x:c>
      <x:c r="H120" t="s">
        <x:v>136</x:v>
      </x:c>
      <x:c r="I120" t="s">
        <x:v>685</x:v>
      </x:c>
      <x:c r="J120">
        <x:v>2000</x:v>
      </x:c>
      <x:c r="K120">
        <x:v>0.3</x:v>
      </x:c>
      <x:c r="L120">
        <x:f t="shared" si="4"/>
        <x:v>2600</x:v>
      </x:c>
      <x:c r="M120" t="s">
        <x:v>38</x:v>
      </x:c>
      <x:c r="O120" t="s">
        <x:v>38</x:v>
      </x:c>
      <x:c r="P120" t="s">
        <x:v>39</x:v>
      </x:c>
      <x:c r="Q120" t="s">
        <x:v>684</x:v>
      </x:c>
      <x:c r="R120" t="s">
        <x:v>686</x:v>
      </x:c>
      <x:c r="S120" t="s">
        <x:v>609</x:v>
      </x:c>
      <x:c r="T120" s="2" t="n">
        <x:f>'SUPUESTOS PRECIOS'!$B$9</x:f>
        <x:v>0</x:v>
      </x:c>
      <x:c r="U120" s="3" t="n">
        <x:f>'SUPUESTOS PRECIOS'!$B$5/'SUPUESTOS PRECIOS'!$B$4</x:f>
        <x:v>1000</x:v>
      </x:c>
      <x:c r="V120" s="3" t="n">
        <x:f>('SUPUESTOS PRECIOS'!$B$6-'SUPUESTOS PRECIOS'!$B$7)/'SUPUESTOS PRECIOS'!$B$4</x:f>
        <x:v>377.5</x:v>
      </x:c>
      <x:c r="W120" s="4" t="n">
        <x:f>'SUPUESTOS PRECIOS'!$B$8</x:f>
        <x:v>0.00968</x:v>
      </x:c>
      <x:c r="X120" s="4" t="n">
        <x:f>'SUPUESTOS PRECIOS'!$B$2</x:f>
        <x:v>0.4</x:v>
      </x:c>
      <x:c r="Y120" s="3">
        <x:f t="shared" si="5"/>
        <x:v>5720</x:v>
      </x:c>
      <x:c r="Z120" s="3">
        <x:f t="shared" si="6"/>
        <x:v>2287.1304</x:v>
      </x:c>
      <x:c r="AA120" s="11">
        <x:f t="shared" si="7"/>
        <x:v>0.39984797202797201</x:v>
      </x:c>
      <x:c r="AB120" t="s">
        <x:v>610</x:v>
      </x:c>
      <x:c r="AC120" t="s">
        <x:v>636</x:v>
      </x:c>
    </x:row>
    <x:row r="121">
      <x:c r="A121" s="10" t="s">
        <x:v>687</x:v>
      </x:c>
      <x:c r="B121" t="s">
        <x:v>688</x:v>
      </x:c>
      <x:c r="C121" t="s">
        <x:v>90</x:v>
      </x:c>
      <x:c r="D121" t="s">
        <x:v>603</x:v>
      </x:c>
      <x:c r="E121" t="s">
        <x:v>604</x:v>
      </x:c>
      <x:c r="F121" t="s">
        <x:v>676</x:v>
      </x:c>
      <x:c r="G121" t="s">
        <x:v>689</x:v>
      </x:c>
      <x:c r="H121" t="s">
        <x:v>136</x:v>
      </x:c>
      <x:c r="I121" t="s">
        <x:v>690</x:v>
      </x:c>
      <x:c r="J121">
        <x:v>2000</x:v>
      </x:c>
      <x:c r="K121">
        <x:v>0.3</x:v>
      </x:c>
      <x:c r="L121">
        <x:f t="shared" si="4"/>
        <x:v>2600</x:v>
      </x:c>
      <x:c r="M121" t="s">
        <x:v>38</x:v>
      </x:c>
      <x:c r="O121" t="s">
        <x:v>38</x:v>
      </x:c>
      <x:c r="P121" t="s">
        <x:v>39</x:v>
      </x:c>
      <x:c r="Q121" t="s">
        <x:v>688</x:v>
      </x:c>
      <x:c r="R121" t="s">
        <x:v>691</x:v>
      </x:c>
      <x:c r="S121" t="s">
        <x:v>609</x:v>
      </x:c>
      <x:c r="T121" s="2" t="n">
        <x:f>'SUPUESTOS PRECIOS'!$B$9</x:f>
        <x:v>0</x:v>
      </x:c>
      <x:c r="U121" s="3" t="n">
        <x:f>'SUPUESTOS PRECIOS'!$B$5/'SUPUESTOS PRECIOS'!$B$4</x:f>
        <x:v>1000</x:v>
      </x:c>
      <x:c r="V121" s="3" t="n">
        <x:f>('SUPUESTOS PRECIOS'!$B$6-'SUPUESTOS PRECIOS'!$B$7)/'SUPUESTOS PRECIOS'!$B$4</x:f>
        <x:v>377.5</x:v>
      </x:c>
      <x:c r="W121" s="4" t="n">
        <x:f>'SUPUESTOS PRECIOS'!$B$8</x:f>
        <x:v>0.00968</x:v>
      </x:c>
      <x:c r="X121" s="4" t="n">
        <x:f>'SUPUESTOS PRECIOS'!$B$2</x:f>
        <x:v>0.4</x:v>
      </x:c>
      <x:c r="Y121" s="3">
        <x:f t="shared" si="5"/>
        <x:v>5720</x:v>
      </x:c>
      <x:c r="Z121" s="3">
        <x:f t="shared" si="6"/>
        <x:v>2287.1304</x:v>
      </x:c>
      <x:c r="AA121" s="11">
        <x:f t="shared" si="7"/>
        <x:v>0.39984797202797201</x:v>
      </x:c>
      <x:c r="AB121" t="s">
        <x:v>610</x:v>
      </x:c>
      <x:c r="AC121" t="s">
        <x:v>689</x:v>
      </x:c>
    </x:row>
    <x:row r="122">
      <x:c r="A122" s="10" t="s">
        <x:v>692</x:v>
      </x:c>
      <x:c r="B122" t="s">
        <x:v>693</x:v>
      </x:c>
      <x:c r="C122" t="s">
        <x:v>90</x:v>
      </x:c>
      <x:c r="D122" t="s">
        <x:v>603</x:v>
      </x:c>
      <x:c r="E122" t="s">
        <x:v>604</x:v>
      </x:c>
      <x:c r="F122" t="s">
        <x:v>676</x:v>
      </x:c>
      <x:c r="G122" t="s">
        <x:v>694</x:v>
      </x:c>
      <x:c r="H122" t="s">
        <x:v>136</x:v>
      </x:c>
      <x:c r="I122" t="s">
        <x:v>695</x:v>
      </x:c>
      <x:c r="J122">
        <x:v>2000</x:v>
      </x:c>
      <x:c r="K122">
        <x:v>0.3</x:v>
      </x:c>
      <x:c r="L122">
        <x:f t="shared" si="4"/>
        <x:v>2600</x:v>
      </x:c>
      <x:c r="M122" t="s">
        <x:v>38</x:v>
      </x:c>
      <x:c r="O122" t="s">
        <x:v>38</x:v>
      </x:c>
      <x:c r="P122" t="s">
        <x:v>39</x:v>
      </x:c>
      <x:c r="Q122" t="s">
        <x:v>693</x:v>
      </x:c>
      <x:c r="R122" t="s">
        <x:v>696</x:v>
      </x:c>
      <x:c r="S122" t="s">
        <x:v>609</x:v>
      </x:c>
      <x:c r="T122" s="2" t="n">
        <x:f>'SUPUESTOS PRECIOS'!$B$9</x:f>
        <x:v>0</x:v>
      </x:c>
      <x:c r="U122" s="3" t="n">
        <x:f>'SUPUESTOS PRECIOS'!$B$5/'SUPUESTOS PRECIOS'!$B$4</x:f>
        <x:v>1000</x:v>
      </x:c>
      <x:c r="V122" s="3" t="n">
        <x:f>('SUPUESTOS PRECIOS'!$B$6-'SUPUESTOS PRECIOS'!$B$7)/'SUPUESTOS PRECIOS'!$B$4</x:f>
        <x:v>377.5</x:v>
      </x:c>
      <x:c r="W122" s="4" t="n">
        <x:f>'SUPUESTOS PRECIOS'!$B$8</x:f>
        <x:v>0.00968</x:v>
      </x:c>
      <x:c r="X122" s="4" t="n">
        <x:f>'SUPUESTOS PRECIOS'!$B$2</x:f>
        <x:v>0.4</x:v>
      </x:c>
      <x:c r="Y122" s="3">
        <x:f t="shared" si="5"/>
        <x:v>5720</x:v>
      </x:c>
      <x:c r="Z122" s="3">
        <x:f t="shared" si="6"/>
        <x:v>2287.1304</x:v>
      </x:c>
      <x:c r="AA122" s="11">
        <x:f t="shared" si="7"/>
        <x:v>0.39984797202797201</x:v>
      </x:c>
      <x:c r="AB122" t="s">
        <x:v>610</x:v>
      </x:c>
      <x:c r="AC122" t="s">
        <x:v>694</x:v>
      </x:c>
    </x:row>
    <x:row r="123">
      <x:c r="A123" s="10" t="s">
        <x:v>697</x:v>
      </x:c>
      <x:c r="B123" t="s">
        <x:v>698</x:v>
      </x:c>
      <x:c r="C123" t="s">
        <x:v>90</x:v>
      </x:c>
      <x:c r="D123" t="s">
        <x:v>603</x:v>
      </x:c>
      <x:c r="E123" t="s">
        <x:v>604</x:v>
      </x:c>
      <x:c r="F123" t="s">
        <x:v>676</x:v>
      </x:c>
      <x:c r="G123" t="s">
        <x:v>699</x:v>
      </x:c>
      <x:c r="H123" t="s">
        <x:v>136</x:v>
      </x:c>
      <x:c r="I123" t="s">
        <x:v>700</x:v>
      </x:c>
      <x:c r="J123">
        <x:v>2000</x:v>
      </x:c>
      <x:c r="K123">
        <x:v>0.3</x:v>
      </x:c>
      <x:c r="L123">
        <x:f t="shared" si="4"/>
        <x:v>2600</x:v>
      </x:c>
      <x:c r="M123" t="s">
        <x:v>38</x:v>
      </x:c>
      <x:c r="O123" t="s">
        <x:v>38</x:v>
      </x:c>
      <x:c r="P123" t="s">
        <x:v>39</x:v>
      </x:c>
      <x:c r="Q123" t="s">
        <x:v>698</x:v>
      </x:c>
      <x:c r="R123" t="s">
        <x:v>701</x:v>
      </x:c>
      <x:c r="S123" t="s">
        <x:v>609</x:v>
      </x:c>
      <x:c r="T123" s="2" t="n">
        <x:f>'SUPUESTOS PRECIOS'!$B$9</x:f>
        <x:v>0</x:v>
      </x:c>
      <x:c r="U123" s="3" t="n">
        <x:f>'SUPUESTOS PRECIOS'!$B$5/'SUPUESTOS PRECIOS'!$B$4</x:f>
        <x:v>1000</x:v>
      </x:c>
      <x:c r="V123" s="3" t="n">
        <x:f>('SUPUESTOS PRECIOS'!$B$6-'SUPUESTOS PRECIOS'!$B$7)/'SUPUESTOS PRECIOS'!$B$4</x:f>
        <x:v>377.5</x:v>
      </x:c>
      <x:c r="W123" s="4" t="n">
        <x:f>'SUPUESTOS PRECIOS'!$B$8</x:f>
        <x:v>0.00968</x:v>
      </x:c>
      <x:c r="X123" s="4" t="n">
        <x:f>'SUPUESTOS PRECIOS'!$B$2</x:f>
        <x:v>0.4</x:v>
      </x:c>
      <x:c r="Y123" s="3">
        <x:f t="shared" si="5"/>
        <x:v>5720</x:v>
      </x:c>
      <x:c r="Z123" s="3">
        <x:f t="shared" si="6"/>
        <x:v>2287.1304</x:v>
      </x:c>
      <x:c r="AA123" s="11">
        <x:f t="shared" si="7"/>
        <x:v>0.39984797202797201</x:v>
      </x:c>
      <x:c r="AB123" t="s">
        <x:v>610</x:v>
      </x:c>
      <x:c r="AC123" t="s">
        <x:v>699</x:v>
      </x:c>
    </x:row>
    <x:row r="124">
      <x:c r="A124" s="10" t="s">
        <x:v>702</x:v>
      </x:c>
      <x:c r="B124" t="s">
        <x:v>703</x:v>
      </x:c>
      <x:c r="C124" t="s">
        <x:v>90</x:v>
      </x:c>
      <x:c r="D124" t="s">
        <x:v>603</x:v>
      </x:c>
      <x:c r="E124" t="s">
        <x:v>604</x:v>
      </x:c>
      <x:c r="F124" t="s">
        <x:v>676</x:v>
      </x:c>
      <x:c r="G124" t="s">
        <x:v>622</x:v>
      </x:c>
      <x:c r="H124" t="s">
        <x:v>136</x:v>
      </x:c>
      <x:c r="I124" t="s">
        <x:v>704</x:v>
      </x:c>
      <x:c r="J124">
        <x:v>2000</x:v>
      </x:c>
      <x:c r="K124">
        <x:v>0.3</x:v>
      </x:c>
      <x:c r="L124">
        <x:f t="shared" si="4"/>
        <x:v>2600</x:v>
      </x:c>
      <x:c r="M124" t="s">
        <x:v>38</x:v>
      </x:c>
      <x:c r="O124" t="s">
        <x:v>38</x:v>
      </x:c>
      <x:c r="P124" t="s">
        <x:v>39</x:v>
      </x:c>
      <x:c r="Q124" t="s">
        <x:v>703</x:v>
      </x:c>
      <x:c r="R124" t="s">
        <x:v>705</x:v>
      </x:c>
      <x:c r="S124" t="s">
        <x:v>609</x:v>
      </x:c>
      <x:c r="T124" s="2" t="n">
        <x:f>'SUPUESTOS PRECIOS'!$B$9</x:f>
        <x:v>0</x:v>
      </x:c>
      <x:c r="U124" s="3" t="n">
        <x:f>'SUPUESTOS PRECIOS'!$B$5/'SUPUESTOS PRECIOS'!$B$4</x:f>
        <x:v>1000</x:v>
      </x:c>
      <x:c r="V124" s="3" t="n">
        <x:f>('SUPUESTOS PRECIOS'!$B$6-'SUPUESTOS PRECIOS'!$B$7)/'SUPUESTOS PRECIOS'!$B$4</x:f>
        <x:v>377.5</x:v>
      </x:c>
      <x:c r="W124" s="4" t="n">
        <x:f>'SUPUESTOS PRECIOS'!$B$8</x:f>
        <x:v>0.00968</x:v>
      </x:c>
      <x:c r="X124" s="4" t="n">
        <x:f>'SUPUESTOS PRECIOS'!$B$2</x:f>
        <x:v>0.4</x:v>
      </x:c>
      <x:c r="Y124" s="3">
        <x:f t="shared" si="5"/>
        <x:v>5720</x:v>
      </x:c>
      <x:c r="Z124" s="3">
        <x:f t="shared" si="6"/>
        <x:v>2287.1304</x:v>
      </x:c>
      <x:c r="AA124" s="11">
        <x:f t="shared" si="7"/>
        <x:v>0.39984797202797201</x:v>
      </x:c>
      <x:c r="AB124" t="s">
        <x:v>610</x:v>
      </x:c>
      <x:c r="AC124" t="s">
        <x:v>622</x:v>
      </x:c>
    </x:row>
    <x:row r="125">
      <x:c r="A125" s="10" t="s">
        <x:v>706</x:v>
      </x:c>
      <x:c r="B125" t="s">
        <x:v>707</x:v>
      </x:c>
      <x:c r="C125" t="s">
        <x:v>90</x:v>
      </x:c>
      <x:c r="D125" t="s">
        <x:v>603</x:v>
      </x:c>
      <x:c r="E125" t="s">
        <x:v>604</x:v>
      </x:c>
      <x:c r="F125" t="s">
        <x:v>676</x:v>
      </x:c>
      <x:c r="G125" t="s">
        <x:v>708</x:v>
      </x:c>
      <x:c r="H125" t="s">
        <x:v>136</x:v>
      </x:c>
      <x:c r="I125" t="s">
        <x:v>709</x:v>
      </x:c>
      <x:c r="J125">
        <x:v>2000</x:v>
      </x:c>
      <x:c r="K125">
        <x:v>0.3</x:v>
      </x:c>
      <x:c r="L125">
        <x:f t="shared" si="4"/>
        <x:v>2600</x:v>
      </x:c>
      <x:c r="M125" t="s">
        <x:v>38</x:v>
      </x:c>
      <x:c r="O125" t="s">
        <x:v>38</x:v>
      </x:c>
      <x:c r="P125" t="s">
        <x:v>39</x:v>
      </x:c>
      <x:c r="Q125" t="s">
        <x:v>707</x:v>
      </x:c>
      <x:c r="R125" t="s">
        <x:v>710</x:v>
      </x:c>
      <x:c r="S125" t="s">
        <x:v>609</x:v>
      </x:c>
      <x:c r="T125" s="2" t="n">
        <x:f>'SUPUESTOS PRECIOS'!$B$9</x:f>
        <x:v>0</x:v>
      </x:c>
      <x:c r="U125" s="3" t="n">
        <x:f>'SUPUESTOS PRECIOS'!$B$5/'SUPUESTOS PRECIOS'!$B$4</x:f>
        <x:v>1000</x:v>
      </x:c>
      <x:c r="V125" s="3" t="n">
        <x:f>('SUPUESTOS PRECIOS'!$B$6-'SUPUESTOS PRECIOS'!$B$7)/'SUPUESTOS PRECIOS'!$B$4</x:f>
        <x:v>377.5</x:v>
      </x:c>
      <x:c r="W125" s="4" t="n">
        <x:f>'SUPUESTOS PRECIOS'!$B$8</x:f>
        <x:v>0.00968</x:v>
      </x:c>
      <x:c r="X125" s="4" t="n">
        <x:f>'SUPUESTOS PRECIOS'!$B$2</x:f>
        <x:v>0.4</x:v>
      </x:c>
      <x:c r="Y125" s="3">
        <x:f t="shared" si="5"/>
        <x:v>5720</x:v>
      </x:c>
      <x:c r="Z125" s="3">
        <x:f t="shared" si="6"/>
        <x:v>2287.1304</x:v>
      </x:c>
      <x:c r="AA125" s="11">
        <x:f t="shared" si="7"/>
        <x:v>0.39984797202797201</x:v>
      </x:c>
      <x:c r="AB125" t="s">
        <x:v>610</x:v>
      </x:c>
      <x:c r="AC125" t="s">
        <x:v>708</x:v>
      </x:c>
    </x:row>
    <x:row r="126">
      <x:c r="A126" s="10" t="s">
        <x:v>711</x:v>
      </x:c>
      <x:c r="B126" t="s">
        <x:v>712</x:v>
      </x:c>
      <x:c r="C126" t="s">
        <x:v>90</x:v>
      </x:c>
      <x:c r="D126" t="s">
        <x:v>603</x:v>
      </x:c>
      <x:c r="E126" t="s">
        <x:v>604</x:v>
      </x:c>
      <x:c r="F126" t="s">
        <x:v>713</x:v>
      </x:c>
      <x:c r="G126" t="s">
        <x:v>714</x:v>
      </x:c>
      <x:c r="H126" t="s">
        <x:v>136</x:v>
      </x:c>
      <x:c r="I126" t="s">
        <x:v>715</x:v>
      </x:c>
      <x:c r="J126">
        <x:v>2000</x:v>
      </x:c>
      <x:c r="K126">
        <x:v>0.3</x:v>
      </x:c>
      <x:c r="L126">
        <x:f t="shared" si="4"/>
        <x:v>2600</x:v>
      </x:c>
      <x:c r="M126" t="s">
        <x:v>38</x:v>
      </x:c>
      <x:c r="O126" t="s">
        <x:v>38</x:v>
      </x:c>
      <x:c r="P126" t="s">
        <x:v>39</x:v>
      </x:c>
      <x:c r="Q126" t="s">
        <x:v>712</x:v>
      </x:c>
      <x:c r="R126" t="s">
        <x:v>716</x:v>
      </x:c>
      <x:c r="S126" t="s">
        <x:v>609</x:v>
      </x:c>
      <x:c r="T126" s="2" t="n">
        <x:f>'SUPUESTOS PRECIOS'!$B$9</x:f>
        <x:v>0</x:v>
      </x:c>
      <x:c r="U126" s="3" t="n">
        <x:f>'SUPUESTOS PRECIOS'!$B$5/'SUPUESTOS PRECIOS'!$B$4</x:f>
        <x:v>1000</x:v>
      </x:c>
      <x:c r="V126" s="3" t="n">
        <x:f>('SUPUESTOS PRECIOS'!$B$6-'SUPUESTOS PRECIOS'!$B$7)/'SUPUESTOS PRECIOS'!$B$4</x:f>
        <x:v>377.5</x:v>
      </x:c>
      <x:c r="W126" s="4" t="n">
        <x:f>'SUPUESTOS PRECIOS'!$B$8</x:f>
        <x:v>0.00968</x:v>
      </x:c>
      <x:c r="X126" s="4" t="n">
        <x:f>'SUPUESTOS PRECIOS'!$B$2</x:f>
        <x:v>0.4</x:v>
      </x:c>
      <x:c r="Y126" s="3">
        <x:f t="shared" si="5"/>
        <x:v>5720</x:v>
      </x:c>
      <x:c r="Z126" s="3">
        <x:f t="shared" si="6"/>
        <x:v>2287.1304</x:v>
      </x:c>
      <x:c r="AA126" s="11">
        <x:f t="shared" si="7"/>
        <x:v>0.39984797202797201</x:v>
      </x:c>
      <x:c r="AB126" t="s">
        <x:v>717</x:v>
      </x:c>
      <x:c r="AC126" t="s">
        <x:v>714</x:v>
      </x:c>
    </x:row>
    <x:row r="127">
      <x:c r="A127" s="10" t="s">
        <x:v>718</x:v>
      </x:c>
      <x:c r="B127" t="s">
        <x:v>719</x:v>
      </x:c>
      <x:c r="C127" t="s">
        <x:v>90</x:v>
      </x:c>
      <x:c r="D127" t="s">
        <x:v>603</x:v>
      </x:c>
      <x:c r="E127" t="s">
        <x:v>604</x:v>
      </x:c>
      <x:c r="F127" t="s">
        <x:v>713</x:v>
      </x:c>
      <x:c r="G127" t="s">
        <x:v>720</x:v>
      </x:c>
      <x:c r="H127" t="s">
        <x:v>136</x:v>
      </x:c>
      <x:c r="I127" t="s">
        <x:v>721</x:v>
      </x:c>
      <x:c r="J127">
        <x:v>2000</x:v>
      </x:c>
      <x:c r="K127">
        <x:v>0.3</x:v>
      </x:c>
      <x:c r="L127">
        <x:f t="shared" si="4"/>
        <x:v>2600</x:v>
      </x:c>
      <x:c r="M127" t="s">
        <x:v>38</x:v>
      </x:c>
      <x:c r="O127" t="s">
        <x:v>38</x:v>
      </x:c>
      <x:c r="P127" t="s">
        <x:v>39</x:v>
      </x:c>
      <x:c r="Q127" t="s">
        <x:v>719</x:v>
      </x:c>
      <x:c r="R127" t="s">
        <x:v>722</x:v>
      </x:c>
      <x:c r="S127" t="s">
        <x:v>609</x:v>
      </x:c>
      <x:c r="T127" s="2" t="n">
        <x:f>'SUPUESTOS PRECIOS'!$B$9</x:f>
        <x:v>0</x:v>
      </x:c>
      <x:c r="U127" s="3" t="n">
        <x:f>'SUPUESTOS PRECIOS'!$B$5/'SUPUESTOS PRECIOS'!$B$4</x:f>
        <x:v>1000</x:v>
      </x:c>
      <x:c r="V127" s="3" t="n">
        <x:f>('SUPUESTOS PRECIOS'!$B$6-'SUPUESTOS PRECIOS'!$B$7)/'SUPUESTOS PRECIOS'!$B$4</x:f>
        <x:v>377.5</x:v>
      </x:c>
      <x:c r="W127" s="4" t="n">
        <x:f>'SUPUESTOS PRECIOS'!$B$8</x:f>
        <x:v>0.00968</x:v>
      </x:c>
      <x:c r="X127" s="4" t="n">
        <x:f>'SUPUESTOS PRECIOS'!$B$2</x:f>
        <x:v>0.4</x:v>
      </x:c>
      <x:c r="Y127" s="3">
        <x:f t="shared" si="5"/>
        <x:v>5720</x:v>
      </x:c>
      <x:c r="Z127" s="3">
        <x:f t="shared" si="6"/>
        <x:v>2287.1304</x:v>
      </x:c>
      <x:c r="AA127" s="11">
        <x:f t="shared" si="7"/>
        <x:v>0.39984797202797201</x:v>
      </x:c>
      <x:c r="AB127" t="s">
        <x:v>717</x:v>
      </x:c>
      <x:c r="AC127" t="s">
        <x:v>720</x:v>
      </x:c>
    </x:row>
    <x:row r="128">
      <x:c r="A128" s="10" t="s">
        <x:v>723</x:v>
      </x:c>
      <x:c r="B128" t="s">
        <x:v>724</x:v>
      </x:c>
      <x:c r="C128" t="s">
        <x:v>90</x:v>
      </x:c>
      <x:c r="D128" t="s">
        <x:v>603</x:v>
      </x:c>
      <x:c r="E128" t="s">
        <x:v>604</x:v>
      </x:c>
      <x:c r="F128" t="s">
        <x:v>713</x:v>
      </x:c>
      <x:c r="G128" t="s">
        <x:v>725</x:v>
      </x:c>
      <x:c r="H128" t="s">
        <x:v>136</x:v>
      </x:c>
      <x:c r="I128" t="s">
        <x:v>726</x:v>
      </x:c>
      <x:c r="J128">
        <x:v>2000</x:v>
      </x:c>
      <x:c r="K128">
        <x:v>0.3</x:v>
      </x:c>
      <x:c r="L128">
        <x:f t="shared" si="4"/>
        <x:v>2600</x:v>
      </x:c>
      <x:c r="M128" t="s">
        <x:v>38</x:v>
      </x:c>
      <x:c r="O128" t="s">
        <x:v>38</x:v>
      </x:c>
      <x:c r="P128" t="s">
        <x:v>39</x:v>
      </x:c>
      <x:c r="Q128" t="s">
        <x:v>724</x:v>
      </x:c>
      <x:c r="R128" t="s">
        <x:v>727</x:v>
      </x:c>
      <x:c r="S128" t="s">
        <x:v>609</x:v>
      </x:c>
      <x:c r="T128" s="2" t="n">
        <x:f>'SUPUESTOS PRECIOS'!$B$9</x:f>
        <x:v>0</x:v>
      </x:c>
      <x:c r="U128" s="3" t="n">
        <x:f>'SUPUESTOS PRECIOS'!$B$5/'SUPUESTOS PRECIOS'!$B$4</x:f>
        <x:v>1000</x:v>
      </x:c>
      <x:c r="V128" s="3" t="n">
        <x:f>('SUPUESTOS PRECIOS'!$B$6-'SUPUESTOS PRECIOS'!$B$7)/'SUPUESTOS PRECIOS'!$B$4</x:f>
        <x:v>377.5</x:v>
      </x:c>
      <x:c r="W128" s="4" t="n">
        <x:f>'SUPUESTOS PRECIOS'!$B$8</x:f>
        <x:v>0.00968</x:v>
      </x:c>
      <x:c r="X128" s="4" t="n">
        <x:f>'SUPUESTOS PRECIOS'!$B$2</x:f>
        <x:v>0.4</x:v>
      </x:c>
      <x:c r="Y128" s="3">
        <x:f t="shared" si="5"/>
        <x:v>5720</x:v>
      </x:c>
      <x:c r="Z128" s="3">
        <x:f t="shared" si="6"/>
        <x:v>2287.1304</x:v>
      </x:c>
      <x:c r="AA128" s="11">
        <x:f t="shared" si="7"/>
        <x:v>0.39984797202797201</x:v>
      </x:c>
      <x:c r="AB128" t="s">
        <x:v>717</x:v>
      </x:c>
      <x:c r="AC128" t="s">
        <x:v>725</x:v>
      </x:c>
    </x:row>
    <x:row r="129">
      <x:c r="A129" s="10" t="s">
        <x:v>728</x:v>
      </x:c>
      <x:c r="B129" t="s">
        <x:v>729</x:v>
      </x:c>
      <x:c r="C129" t="s">
        <x:v>90</x:v>
      </x:c>
      <x:c r="D129" t="s">
        <x:v>603</x:v>
      </x:c>
      <x:c r="E129" t="s">
        <x:v>604</x:v>
      </x:c>
      <x:c r="F129" t="s">
        <x:v>713</x:v>
      </x:c>
      <x:c r="G129" t="s">
        <x:v>730</x:v>
      </x:c>
      <x:c r="H129" t="s">
        <x:v>136</x:v>
      </x:c>
      <x:c r="I129" t="s">
        <x:v>731</x:v>
      </x:c>
      <x:c r="J129">
        <x:v>2000</x:v>
      </x:c>
      <x:c r="K129">
        <x:v>0.3</x:v>
      </x:c>
      <x:c r="L129">
        <x:f t="shared" si="4"/>
        <x:v>2600</x:v>
      </x:c>
      <x:c r="M129" t="s">
        <x:v>38</x:v>
      </x:c>
      <x:c r="O129" t="s">
        <x:v>38</x:v>
      </x:c>
      <x:c r="P129" t="s">
        <x:v>39</x:v>
      </x:c>
      <x:c r="Q129" t="s">
        <x:v>729</x:v>
      </x:c>
      <x:c r="R129" t="s">
        <x:v>732</x:v>
      </x:c>
      <x:c r="S129" t="s">
        <x:v>609</x:v>
      </x:c>
      <x:c r="T129" s="2" t="n">
        <x:f>'SUPUESTOS PRECIOS'!$B$9</x:f>
        <x:v>0</x:v>
      </x:c>
      <x:c r="U129" s="3" t="n">
        <x:f>'SUPUESTOS PRECIOS'!$B$5/'SUPUESTOS PRECIOS'!$B$4</x:f>
        <x:v>1000</x:v>
      </x:c>
      <x:c r="V129" s="3" t="n">
        <x:f>('SUPUESTOS PRECIOS'!$B$6-'SUPUESTOS PRECIOS'!$B$7)/'SUPUESTOS PRECIOS'!$B$4</x:f>
        <x:v>377.5</x:v>
      </x:c>
      <x:c r="W129" s="4" t="n">
        <x:f>'SUPUESTOS PRECIOS'!$B$8</x:f>
        <x:v>0.00968</x:v>
      </x:c>
      <x:c r="X129" s="4" t="n">
        <x:f>'SUPUESTOS PRECIOS'!$B$2</x:f>
        <x:v>0.4</x:v>
      </x:c>
      <x:c r="Y129" s="3">
        <x:f t="shared" si="5"/>
        <x:v>5720</x:v>
      </x:c>
      <x:c r="Z129" s="3">
        <x:f t="shared" si="6"/>
        <x:v>2287.1304</x:v>
      </x:c>
      <x:c r="AA129" s="11">
        <x:f t="shared" si="7"/>
        <x:v>0.39984797202797201</x:v>
      </x:c>
      <x:c r="AB129" t="s">
        <x:v>717</x:v>
      </x:c>
      <x:c r="AC129" t="s">
        <x:v>730</x:v>
      </x:c>
    </x:row>
    <x:row r="130">
      <x:c r="A130" s="10" t="s">
        <x:v>733</x:v>
      </x:c>
      <x:c r="B130" t="s">
        <x:v>734</x:v>
      </x:c>
      <x:c r="C130" t="s">
        <x:v>90</x:v>
      </x:c>
      <x:c r="D130" t="s">
        <x:v>603</x:v>
      </x:c>
      <x:c r="E130" t="s">
        <x:v>604</x:v>
      </x:c>
      <x:c r="F130" t="s">
        <x:v>713</x:v>
      </x:c>
      <x:c r="G130" t="s">
        <x:v>735</x:v>
      </x:c>
      <x:c r="H130" t="s">
        <x:v>136</x:v>
      </x:c>
      <x:c r="I130" t="s">
        <x:v>736</x:v>
      </x:c>
      <x:c r="J130">
        <x:v>2000</x:v>
      </x:c>
      <x:c r="K130">
        <x:v>0.3</x:v>
      </x:c>
      <x:c r="L130" t="n">
        <x:f t="shared" ref="L130:L193" si="8">IF(J130="","",J130*(1+K130))</x:f>
        <x:v>2600</x:v>
      </x:c>
      <x:c r="M130" t="s">
        <x:v>38</x:v>
      </x:c>
      <x:c r="O130" t="s">
        <x:v>38</x:v>
      </x:c>
      <x:c r="P130" t="s">
        <x:v>39</x:v>
      </x:c>
      <x:c r="Q130" t="s">
        <x:v>734</x:v>
      </x:c>
      <x:c r="R130" t="s">
        <x:v>737</x:v>
      </x:c>
      <x:c r="S130" t="s">
        <x:v>609</x:v>
      </x:c>
      <x:c r="T130" s="2" t="n">
        <x:f>'SUPUESTOS PRECIOS'!$B$9</x:f>
        <x:v>0</x:v>
      </x:c>
      <x:c r="U130" s="3" t="n">
        <x:f>'SUPUESTOS PRECIOS'!$B$5/'SUPUESTOS PRECIOS'!$B$4</x:f>
        <x:v>1000</x:v>
      </x:c>
      <x:c r="V130" s="3" t="n">
        <x:f>('SUPUESTOS PRECIOS'!$B$6-'SUPUESTOS PRECIOS'!$B$7)/'SUPUESTOS PRECIOS'!$B$4</x:f>
        <x:v>377.5</x:v>
      </x:c>
      <x:c r="W130" s="4" t="n">
        <x:f>'SUPUESTOS PRECIOS'!$B$8</x:f>
        <x:v>0.00968</x:v>
      </x:c>
      <x:c r="X130" s="4" t="n">
        <x:f>'SUPUESTOS PRECIOS'!$B$2</x:f>
        <x:v>0.4</x:v>
      </x:c>
      <x:c r="Y130" s="3" t="n">
        <x:f t="shared" ref="Y130:Y193" si="9">IF(OR($B130="",$J130=""),"",ROUND(($J130+$T130+$U130+$V130)/(1-$W130-$X130),-1))</x:f>
        <x:v>5720</x:v>
      </x:c>
      <x:c r="Z130" s="3" t="n">
        <x:f t="shared" ref="Z130:Z193" si="10">IF($Y130="","",$Y130-$J130-$T130-$U130-$V130-($Y130*$W130))</x:f>
        <x:v>2287.1304</x:v>
      </x:c>
      <x:c r="AA130" s="11" t="n">
        <x:f t="shared" ref="AA130:AA193" si="11">IF($Y130="","",$Z130/$Y130)</x:f>
        <x:v>0.399847972027972</x:v>
      </x:c>
      <x:c r="AB130" t="s">
        <x:v>717</x:v>
      </x:c>
      <x:c r="AC130" t="s">
        <x:v>735</x:v>
      </x:c>
    </x:row>
    <x:row r="131">
      <x:c r="A131" s="10" t="s">
        <x:v>738</x:v>
      </x:c>
      <x:c r="B131" t="s">
        <x:v>739</x:v>
      </x:c>
      <x:c r="C131" t="s">
        <x:v>740</x:v>
      </x:c>
      <x:c r="D131" t="s">
        <x:v>741</x:v>
      </x:c>
      <x:c r="E131" t="s">
        <x:v>33</x:v>
      </x:c>
      <x:c r="F131" t="s">
        <x:v>741</x:v>
      </x:c>
      <x:c r="H131" t="s">
        <x:v>136</x:v>
      </x:c>
      <x:c r="I131" t="s">
        <x:v>742</x:v>
      </x:c>
      <x:c r="J131">
        <x:v>20000</x:v>
      </x:c>
      <x:c r="K131">
        <x:v>0.3</x:v>
      </x:c>
      <x:c r="L131">
        <x:f t="shared" si="8"/>
        <x:v>26000</x:v>
      </x:c>
      <x:c r="M131" t="s">
        <x:v>38</x:v>
      </x:c>
      <x:c r="O131" t="s">
        <x:v>38</x:v>
      </x:c>
      <x:c r="P131" t="s">
        <x:v>39</x:v>
      </x:c>
      <x:c r="Q131" t="s">
        <x:v>739</x:v>
      </x:c>
      <x:c r="R131" t="s">
        <x:v>743</x:v>
      </x:c>
      <x:c r="S131" t="s">
        <x:v>744</x:v>
      </x:c>
      <x:c r="T131" s="2" t="n">
        <x:f>'SUPUESTOS PRECIOS'!$B$9</x:f>
        <x:v>0</x:v>
      </x:c>
      <x:c r="U131" s="3" t="n">
        <x:f>'SUPUESTOS PRECIOS'!$B$5/'SUPUESTOS PRECIOS'!$B$4</x:f>
        <x:v>1000</x:v>
      </x:c>
      <x:c r="V131" s="3" t="n">
        <x:f>('SUPUESTOS PRECIOS'!$B$6-'SUPUESTOS PRECIOS'!$B$7)/'SUPUESTOS PRECIOS'!$B$4</x:f>
        <x:v>377.5</x:v>
      </x:c>
      <x:c r="W131" s="4" t="n">
        <x:f>'SUPUESTOS PRECIOS'!$B$8</x:f>
        <x:v>0.00968</x:v>
      </x:c>
      <x:c r="X131" s="4" t="n">
        <x:f>'SUPUESTOS PRECIOS'!$B$2</x:f>
        <x:v>0.4</x:v>
      </x:c>
      <x:c r="Y131" s="3">
        <x:f t="shared" si="9"/>
        <x:v>36210</x:v>
      </x:c>
      <x:c r="Z131" s="3">
        <x:f t="shared" si="10"/>
        <x:v>14481.9872</x:v>
      </x:c>
      <x:c r="AA131" s="11">
        <x:f t="shared" si="11"/>
        <x:v>0.39994441314553991</x:v>
      </x:c>
    </x:row>
    <x:row r="132">
      <x:c r="A132" s="10" t="s">
        <x:v>745</x:v>
      </x:c>
      <x:c r="B132" t="s">
        <x:v>746</x:v>
      </x:c>
      <x:c r="C132" t="s">
        <x:v>740</x:v>
      </x:c>
      <x:c r="D132" t="s">
        <x:v>747</x:v>
      </x:c>
      <x:c r="E132" t="s">
        <x:v>33</x:v>
      </x:c>
      <x:c r="F132" t="s">
        <x:v>748</x:v>
      </x:c>
      <x:c r="H132" t="s">
        <x:v>136</x:v>
      </x:c>
      <x:c r="I132" t="s">
        <x:v>749</x:v>
      </x:c>
      <x:c r="J132">
        <x:v>6500</x:v>
      </x:c>
      <x:c r="K132">
        <x:v>0.3</x:v>
      </x:c>
      <x:c r="L132">
        <x:f t="shared" si="8"/>
        <x:v>8450</x:v>
      </x:c>
      <x:c r="M132" t="s">
        <x:v>38</x:v>
      </x:c>
      <x:c r="O132" t="s">
        <x:v>38</x:v>
      </x:c>
      <x:c r="P132" t="s">
        <x:v>39</x:v>
      </x:c>
      <x:c r="Q132" t="s">
        <x:v>746</x:v>
      </x:c>
      <x:c r="R132" t="s">
        <x:v>750</x:v>
      </x:c>
      <x:c r="S132" t="s">
        <x:v>751</x:v>
      </x:c>
      <x:c r="T132" s="2" t="n">
        <x:f>'SUPUESTOS PRECIOS'!$B$9</x:f>
        <x:v>0</x:v>
      </x:c>
      <x:c r="U132" s="3" t="n">
        <x:f>'SUPUESTOS PRECIOS'!$B$5/'SUPUESTOS PRECIOS'!$B$4</x:f>
        <x:v>1000</x:v>
      </x:c>
      <x:c r="V132" s="3" t="n">
        <x:f>('SUPUESTOS PRECIOS'!$B$6-'SUPUESTOS PRECIOS'!$B$7)/'SUPUESTOS PRECIOS'!$B$4</x:f>
        <x:v>377.5</x:v>
      </x:c>
      <x:c r="W132" s="4" t="n">
        <x:f>'SUPUESTOS PRECIOS'!$B$8</x:f>
        <x:v>0.00968</x:v>
      </x:c>
      <x:c r="X132" s="4" t="n">
        <x:f>'SUPUESTOS PRECIOS'!$B$2</x:f>
        <x:v>0.4</x:v>
      </x:c>
      <x:c r="Y132" s="3">
        <x:f t="shared" si="9"/>
        <x:v>13340</x:v>
      </x:c>
      <x:c r="Z132" s="3">
        <x:f t="shared" si="10"/>
        <x:v>5333.3688000000002</x:v>
      </x:c>
      <x:c r="AA132" s="11">
        <x:f t="shared" si="11"/>
        <x:v>0.39980275862068965</x:v>
      </x:c>
    </x:row>
    <x:row r="133">
      <x:c r="A133" s="10" t="s">
        <x:v>752</x:v>
      </x:c>
      <x:c r="B133" t="s">
        <x:v>753</x:v>
      </x:c>
      <x:c r="C133" t="s">
        <x:v>740</x:v>
      </x:c>
      <x:c r="D133" t="s">
        <x:v>754</x:v>
      </x:c>
      <x:c r="E133" t="s">
        <x:v>33</x:v>
      </x:c>
      <x:c r="F133" t="s">
        <x:v>754</x:v>
      </x:c>
      <x:c r="H133" t="s">
        <x:v>136</x:v>
      </x:c>
      <x:c r="I133" t="s">
        <x:v>755</x:v>
      </x:c>
      <x:c r="J133">
        <x:v>9000</x:v>
      </x:c>
      <x:c r="K133">
        <x:v>0.3</x:v>
      </x:c>
      <x:c r="L133">
        <x:f t="shared" si="8"/>
        <x:v>11700</x:v>
      </x:c>
      <x:c r="M133" t="s">
        <x:v>38</x:v>
      </x:c>
      <x:c r="O133" t="s">
        <x:v>38</x:v>
      </x:c>
      <x:c r="P133" t="s">
        <x:v>39</x:v>
      </x:c>
      <x:c r="Q133" t="s">
        <x:v>753</x:v>
      </x:c>
      <x:c r="R133" t="s">
        <x:v>756</x:v>
      </x:c>
      <x:c r="S133" t="s">
        <x:v>757</x:v>
      </x:c>
      <x:c r="T133" s="2" t="n">
        <x:f>'SUPUESTOS PRECIOS'!$B$9</x:f>
        <x:v>0</x:v>
      </x:c>
      <x:c r="U133" s="3" t="n">
        <x:f>'SUPUESTOS PRECIOS'!$B$5/'SUPUESTOS PRECIOS'!$B$4</x:f>
        <x:v>1000</x:v>
      </x:c>
      <x:c r="V133" s="3" t="n">
        <x:f>('SUPUESTOS PRECIOS'!$B$6-'SUPUESTOS PRECIOS'!$B$7)/'SUPUESTOS PRECIOS'!$B$4</x:f>
        <x:v>377.5</x:v>
      </x:c>
      <x:c r="W133" s="4" t="n">
        <x:f>'SUPUESTOS PRECIOS'!$B$8</x:f>
        <x:v>0.00968</x:v>
      </x:c>
      <x:c r="X133" s="4" t="n">
        <x:f>'SUPUESTOS PRECIOS'!$B$2</x:f>
        <x:v>0.4</x:v>
      </x:c>
      <x:c r="Y133" s="3">
        <x:f t="shared" si="9"/>
        <x:v>17580</x:v>
      </x:c>
      <x:c r="Z133" s="3">
        <x:f t="shared" si="10"/>
        <x:v>7032.3256000000001</x:v>
      </x:c>
      <x:c r="AA133" s="11">
        <x:f t="shared" si="11"/>
        <x:v>0.40001852104664393</x:v>
      </x:c>
    </x:row>
    <x:row r="134">
      <x:c r="A134" s="10" t="s">
        <x:v>758</x:v>
      </x:c>
      <x:c r="B134" t="s">
        <x:v>759</x:v>
      </x:c>
      <x:c r="C134" t="s">
        <x:v>105</x:v>
      </x:c>
      <x:c r="D134" t="s">
        <x:v>760</x:v>
      </x:c>
      <x:c r="E134" t="s">
        <x:v>33</x:v>
      </x:c>
      <x:c r="F134" t="s">
        <x:v>761</x:v>
      </x:c>
      <x:c r="H134" t="s">
        <x:v>762</x:v>
      </x:c>
      <x:c r="I134" t="s">
        <x:v>763</x:v>
      </x:c>
      <x:c r="J134">
        <x:v>1660</x:v>
      </x:c>
      <x:c r="K134">
        <x:v>0.3</x:v>
      </x:c>
      <x:c r="L134">
        <x:f t="shared" si="8"/>
        <x:v>2158</x:v>
      </x:c>
      <x:c r="M134" t="s">
        <x:v>38</x:v>
      </x:c>
      <x:c r="O134" t="s">
        <x:v>38</x:v>
      </x:c>
      <x:c r="P134" t="s">
        <x:v>764</x:v>
      </x:c>
      <x:c r="Q134" t="s">
        <x:v>759</x:v>
      </x:c>
      <x:c r="R134" t="s">
        <x:v>765</x:v>
      </x:c>
      <x:c r="S134" t="s">
        <x:v>766</x:v>
      </x:c>
      <x:c r="T134" s="2" t="n">
        <x:f>'SUPUESTOS PRECIOS'!$B$9</x:f>
        <x:v>0</x:v>
      </x:c>
      <x:c r="U134" s="3" t="n">
        <x:f>'SUPUESTOS PRECIOS'!$B$5/'SUPUESTOS PRECIOS'!$B$4</x:f>
        <x:v>1000</x:v>
      </x:c>
      <x:c r="V134" s="3" t="n">
        <x:f>('SUPUESTOS PRECIOS'!$B$6-'SUPUESTOS PRECIOS'!$B$7)/'SUPUESTOS PRECIOS'!$B$4</x:f>
        <x:v>377.5</x:v>
      </x:c>
      <x:c r="W134" s="4" t="n">
        <x:f>'SUPUESTOS PRECIOS'!$B$8</x:f>
        <x:v>0.00968</x:v>
      </x:c>
      <x:c r="X134" s="4" t="n">
        <x:f>'SUPUESTOS PRECIOS'!$B$2</x:f>
        <x:v>0.4</x:v>
      </x:c>
      <x:c r="Y134" s="3">
        <x:f t="shared" si="9"/>
        <x:v>5150</x:v>
      </x:c>
      <x:c r="Z134" s="3">
        <x:f t="shared" si="10"/>
        <x:v>2062.6480000000001</x:v>
      </x:c>
      <x:c r="AA134" s="11">
        <x:f t="shared" si="11"/>
        <x:v>0.40051417475728157</x:v>
      </x:c>
    </x:row>
    <x:row r="135">
      <x:c r="A135" s="10" t="s">
        <x:v>767</x:v>
      </x:c>
      <x:c r="B135" t="s">
        <x:v>768</x:v>
      </x:c>
      <x:c r="C135" t="s">
        <x:v>105</x:v>
      </x:c>
      <x:c r="D135" t="s">
        <x:v>760</x:v>
      </x:c>
      <x:c r="E135" t="s">
        <x:v>33</x:v>
      </x:c>
      <x:c r="F135" t="s">
        <x:v>769</x:v>
      </x:c>
      <x:c r="H135" t="s">
        <x:v>770</x:v>
      </x:c>
      <x:c r="I135" t="s">
        <x:v>771</x:v>
      </x:c>
      <x:c r="J135">
        <x:v>9960</x:v>
      </x:c>
      <x:c r="K135">
        <x:v>0.3</x:v>
      </x:c>
      <x:c r="L135">
        <x:f t="shared" si="8"/>
        <x:v>12948</x:v>
      </x:c>
      <x:c r="M135" t="s">
        <x:v>38</x:v>
      </x:c>
      <x:c r="O135" t="s">
        <x:v>38</x:v>
      </x:c>
      <x:c r="P135" t="s">
        <x:v>764</x:v>
      </x:c>
      <x:c r="Q135" t="str">
        <x:v>CLO003</x:v>
      </x:c>
      <x:c r="R135" t="s">
        <x:v>772</x:v>
      </x:c>
      <x:c r="S135" t="s">
        <x:v>766</x:v>
      </x:c>
      <x:c r="T135" s="2" t="n">
        <x:f>'SUPUESTOS PRECIOS'!$B$9</x:f>
        <x:v>0</x:v>
      </x:c>
      <x:c r="U135" s="3" t="n">
        <x:f>'SUPUESTOS PRECIOS'!$B$5/'SUPUESTOS PRECIOS'!$B$4</x:f>
        <x:v>1000</x:v>
      </x:c>
      <x:c r="V135" s="3" t="n">
        <x:f>('SUPUESTOS PRECIOS'!$B$6-'SUPUESTOS PRECIOS'!$B$7)/'SUPUESTOS PRECIOS'!$B$4</x:f>
        <x:v>377.5</x:v>
      </x:c>
      <x:c r="W135" s="4" t="n">
        <x:f>'SUPUESTOS PRECIOS'!$B$8</x:f>
        <x:v>0.00968</x:v>
      </x:c>
      <x:c r="X135" s="4" t="n">
        <x:f>'SUPUESTOS PRECIOS'!$B$2</x:f>
        <x:v>0.4</x:v>
      </x:c>
      <x:c r="Y135" s="3">
        <x:f t="shared" si="9"/>
        <x:v>19210</x:v>
      </x:c>
      <x:c r="Z135" s="3">
        <x:f t="shared" si="10"/>
        <x:v>7686.5472</x:v>
      </x:c>
      <x:c r="AA135" s="11">
        <x:f t="shared" si="11"/>
        <x:v>0.40013259760541386</x:v>
      </x:c>
    </x:row>
    <x:row r="136">
      <x:c r="A136" s="10" t="s">
        <x:v>773</x:v>
      </x:c>
      <x:c r="B136" t="s">
        <x:v>774</x:v>
      </x:c>
      <x:c r="C136" t="s">
        <x:v>44</x:v>
      </x:c>
      <x:c r="D136" t="s">
        <x:v>45</x:v>
      </x:c>
      <x:c r="E136" t="s">
        <x:v>33</x:v>
      </x:c>
      <x:c r="F136" t="s">
        <x:v>775</x:v>
      </x:c>
      <x:c r="H136" t="s">
        <x:v>94</x:v>
      </x:c>
      <x:c r="I136" t="s">
        <x:v>776</x:v>
      </x:c>
      <x:c r="J136">
        <x:v>2800</x:v>
      </x:c>
      <x:c r="K136">
        <x:v>0.3</x:v>
      </x:c>
      <x:c r="L136">
        <x:f t="shared" si="8"/>
        <x:v>3640</x:v>
      </x:c>
      <x:c r="M136" t="s">
        <x:v>38</x:v>
      </x:c>
      <x:c r="O136" t="s">
        <x:v>38</x:v>
      </x:c>
      <x:c r="P136" t="s">
        <x:v>764</x:v>
      </x:c>
      <x:c r="Q136" t="s">
        <x:v>774</x:v>
      </x:c>
      <x:c r="R136" t="s">
        <x:v>777</x:v>
      </x:c>
      <x:c r="S136" t="s">
        <x:v>49</x:v>
      </x:c>
      <x:c r="T136" s="2" t="n">
        <x:f>'SUPUESTOS PRECIOS'!$B$9</x:f>
        <x:v>0</x:v>
      </x:c>
      <x:c r="U136" s="3" t="n">
        <x:f>'SUPUESTOS PRECIOS'!$B$5/'SUPUESTOS PRECIOS'!$B$4</x:f>
        <x:v>1000</x:v>
      </x:c>
      <x:c r="V136" s="3" t="n">
        <x:f>('SUPUESTOS PRECIOS'!$B$6-'SUPUESTOS PRECIOS'!$B$7)/'SUPUESTOS PRECIOS'!$B$4</x:f>
        <x:v>377.5</x:v>
      </x:c>
      <x:c r="W136" s="4" t="n">
        <x:f>'SUPUESTOS PRECIOS'!$B$8</x:f>
        <x:v>0.00968</x:v>
      </x:c>
      <x:c r="X136" s="4" t="n">
        <x:f>'SUPUESTOS PRECIOS'!$B$2</x:f>
        <x:v>0.4</x:v>
      </x:c>
      <x:c r="Y136" s="3">
        <x:f t="shared" si="9"/>
        <x:v>7080</x:v>
      </x:c>
      <x:c r="Z136" s="3">
        <x:f t="shared" si="10"/>
        <x:v>2833.9656</x:v>
      </x:c>
      <x:c r="AA136" s="11">
        <x:f t="shared" si="11"/>
        <x:v>0.40027762711864406</x:v>
      </x:c>
    </x:row>
    <x:row r="137">
      <x:c r="A137" s="10" t="s">
        <x:v>778</x:v>
      </x:c>
      <x:c r="B137" t="s">
        <x:v>779</x:v>
      </x:c>
      <x:c r="C137" t="s">
        <x:v>44</x:v>
      </x:c>
      <x:c r="D137" t="s">
        <x:v>45</x:v>
      </x:c>
      <x:c r="E137" t="s">
        <x:v>33</x:v>
      </x:c>
      <x:c r="F137" t="s">
        <x:v>780</x:v>
      </x:c>
      <x:c r="H137" t="s">
        <x:v>770</x:v>
      </x:c>
      <x:c r="I137" t="s">
        <x:v>781</x:v>
      </x:c>
      <x:c r="J137">
        <x:v>16800</x:v>
      </x:c>
      <x:c r="K137">
        <x:v>0.3</x:v>
      </x:c>
      <x:c r="L137">
        <x:f t="shared" si="8"/>
        <x:v>21840</x:v>
      </x:c>
      <x:c r="M137" t="s">
        <x:v>38</x:v>
      </x:c>
      <x:c r="O137" t="s">
        <x:v>38</x:v>
      </x:c>
      <x:c r="P137" t="s">
        <x:v>764</x:v>
      </x:c>
      <x:c r="Q137" t="s">
        <x:v>779</x:v>
      </x:c>
      <x:c r="R137" t="s">
        <x:v>782</x:v>
      </x:c>
      <x:c r="S137" t="s">
        <x:v>49</x:v>
      </x:c>
      <x:c r="T137" s="2" t="n">
        <x:f>'SUPUESTOS PRECIOS'!$B$9</x:f>
        <x:v>0</x:v>
      </x:c>
      <x:c r="U137" s="3" t="n">
        <x:f>'SUPUESTOS PRECIOS'!$B$5/'SUPUESTOS PRECIOS'!$B$4</x:f>
        <x:v>1000</x:v>
      </x:c>
      <x:c r="V137" s="3" t="n">
        <x:f>('SUPUESTOS PRECIOS'!$B$6-'SUPUESTOS PRECIOS'!$B$7)/'SUPUESTOS PRECIOS'!$B$4</x:f>
        <x:v>377.5</x:v>
      </x:c>
      <x:c r="W137" s="4" t="n">
        <x:f>'SUPUESTOS PRECIOS'!$B$8</x:f>
        <x:v>0.00968</x:v>
      </x:c>
      <x:c r="X137" s="4" t="n">
        <x:f>'SUPUESTOS PRECIOS'!$B$2</x:f>
        <x:v>0.4</x:v>
      </x:c>
      <x:c r="Y137" s="3">
        <x:f t="shared" si="9"/>
        <x:v>30790</x:v>
      </x:c>
      <x:c r="Z137" s="3">
        <x:f t="shared" si="10"/>
        <x:v>12314.452799999999</x:v>
      </x:c>
      <x:c r="AA137" s="11">
        <x:f t="shared" si="11"/>
        <x:v>0.39994974991880478</x:v>
      </x:c>
    </x:row>
    <x:row r="138">
      <x:c r="A138" s="10" t="s">
        <x:v>783</x:v>
      </x:c>
      <x:c r="B138" t="s">
        <x:v>784</x:v>
      </x:c>
      <x:c r="C138" t="s">
        <x:v>44</x:v>
      </x:c>
      <x:c r="D138" t="s">
        <x:v>785</x:v>
      </x:c>
      <x:c r="E138" t="s">
        <x:v>33</x:v>
      </x:c>
      <x:c r="F138" t="s">
        <x:v>786</x:v>
      </x:c>
      <x:c r="H138" t="s">
        <x:v>762</x:v>
      </x:c>
      <x:c r="I138" t="s">
        <x:v>787</x:v>
      </x:c>
      <x:c r="J138">
        <x:v>1550</x:v>
      </x:c>
      <x:c r="K138">
        <x:v>0.3</x:v>
      </x:c>
      <x:c r="L138">
        <x:f t="shared" si="8"/>
        <x:v>2015</x:v>
      </x:c>
      <x:c r="M138" t="s">
        <x:v>38</x:v>
      </x:c>
      <x:c r="O138" t="s">
        <x:v>38</x:v>
      </x:c>
      <x:c r="P138" t="s">
        <x:v>764</x:v>
      </x:c>
      <x:c r="Q138" t="s">
        <x:v>784</x:v>
      </x:c>
      <x:c r="R138" t="s">
        <x:v>788</x:v>
      </x:c>
      <x:c r="S138" t="s">
        <x:v>789</x:v>
      </x:c>
      <x:c r="T138" s="2" t="n">
        <x:f>'SUPUESTOS PRECIOS'!$B$9</x:f>
        <x:v>0</x:v>
      </x:c>
      <x:c r="U138" s="3" t="n">
        <x:f>'SUPUESTOS PRECIOS'!$B$5/'SUPUESTOS PRECIOS'!$B$4</x:f>
        <x:v>1000</x:v>
      </x:c>
      <x:c r="V138" s="3" t="n">
        <x:f>('SUPUESTOS PRECIOS'!$B$6-'SUPUESTOS PRECIOS'!$B$7)/'SUPUESTOS PRECIOS'!$B$4</x:f>
        <x:v>377.5</x:v>
      </x:c>
      <x:c r="W138" s="4" t="n">
        <x:f>'SUPUESTOS PRECIOS'!$B$8</x:f>
        <x:v>0.00968</x:v>
      </x:c>
      <x:c r="X138" s="4" t="n">
        <x:f>'SUPUESTOS PRECIOS'!$B$2</x:f>
        <x:v>0.4</x:v>
      </x:c>
      <x:c r="Y138" s="3">
        <x:f t="shared" si="9"/>
        <x:v>4960</x:v>
      </x:c>
      <x:c r="Z138" s="3">
        <x:f t="shared" si="10"/>
        <x:v>1984.4872</x:v>
      </x:c>
      <x:c r="AA138" s="11">
        <x:f t="shared" si="11"/>
        <x:v>0.4000982258064516</x:v>
      </x:c>
    </x:row>
    <x:row r="139">
      <x:c r="A139" s="10" t="s">
        <x:v>790</x:v>
      </x:c>
      <x:c r="B139" t="s">
        <x:v>791</x:v>
      </x:c>
      <x:c r="C139" t="s">
        <x:v>44</x:v>
      </x:c>
      <x:c r="D139" t="s">
        <x:v>785</x:v>
      </x:c>
      <x:c r="E139" t="s">
        <x:v>33</x:v>
      </x:c>
      <x:c r="F139" t="s">
        <x:v>792</x:v>
      </x:c>
      <x:c r="H139" t="s">
        <x:v>770</x:v>
      </x:c>
      <x:c r="I139" t="s">
        <x:v>793</x:v>
      </x:c>
      <x:c r="J139">
        <x:v>9300</x:v>
      </x:c>
      <x:c r="K139">
        <x:v>0.3</x:v>
      </x:c>
      <x:c r="L139">
        <x:f t="shared" si="8"/>
        <x:v>12090</x:v>
      </x:c>
      <x:c r="M139" t="s">
        <x:v>38</x:v>
      </x:c>
      <x:c r="O139" t="s">
        <x:v>38</x:v>
      </x:c>
      <x:c r="P139" t="s">
        <x:v>764</x:v>
      </x:c>
      <x:c r="Q139" t="s">
        <x:v>791</x:v>
      </x:c>
      <x:c r="R139" t="s">
        <x:v>794</x:v>
      </x:c>
      <x:c r="S139" t="s">
        <x:v>789</x:v>
      </x:c>
      <x:c r="T139" s="2" t="n">
        <x:f>'SUPUESTOS PRECIOS'!$B$9</x:f>
        <x:v>0</x:v>
      </x:c>
      <x:c r="U139" s="3" t="n">
        <x:f>'SUPUESTOS PRECIOS'!$B$5/'SUPUESTOS PRECIOS'!$B$4</x:f>
        <x:v>1000</x:v>
      </x:c>
      <x:c r="V139" s="3" t="n">
        <x:f>('SUPUESTOS PRECIOS'!$B$6-'SUPUESTOS PRECIOS'!$B$7)/'SUPUESTOS PRECIOS'!$B$4</x:f>
        <x:v>377.5</x:v>
      </x:c>
      <x:c r="W139" s="4" t="n">
        <x:f>'SUPUESTOS PRECIOS'!$B$8</x:f>
        <x:v>0.00968</x:v>
      </x:c>
      <x:c r="X139" s="4" t="n">
        <x:f>'SUPUESTOS PRECIOS'!$B$2</x:f>
        <x:v>0.4</x:v>
      </x:c>
      <x:c r="Y139" s="3">
        <x:f t="shared" si="9"/>
        <x:v>18090</x:v>
      </x:c>
      <x:c r="Z139" s="3">
        <x:f t="shared" si="10"/>
        <x:v>7237.3887999999997</x:v>
      </x:c>
      <x:c r="AA139" s="11">
        <x:f t="shared" si="11"/>
        <x:v>0.40007677169707018</x:v>
      </x:c>
    </x:row>
    <x:row r="140">
      <x:c r="A140" s="10" t="s">
        <x:v>795</x:v>
      </x:c>
      <x:c r="B140" t="s">
        <x:v>796</x:v>
      </x:c>
      <x:c r="C140" t="s">
        <x:v>44</x:v>
      </x:c>
      <x:c r="D140" t="s">
        <x:v>797</x:v>
      </x:c>
      <x:c r="E140" t="s">
        <x:v>33</x:v>
      </x:c>
      <x:c r="F140" t="s">
        <x:v>798</x:v>
      </x:c>
      <x:c r="H140" t="s">
        <x:v>762</x:v>
      </x:c>
      <x:c r="I140" t="s">
        <x:v>799</x:v>
      </x:c>
      <x:c r="J140">
        <x:v>1650</x:v>
      </x:c>
      <x:c r="K140">
        <x:v>0.3</x:v>
      </x:c>
      <x:c r="L140">
        <x:f t="shared" si="8"/>
        <x:v>2145</x:v>
      </x:c>
      <x:c r="M140" t="s">
        <x:v>38</x:v>
      </x:c>
      <x:c r="O140" t="s">
        <x:v>38</x:v>
      </x:c>
      <x:c r="P140" t="s">
        <x:v>764</x:v>
      </x:c>
      <x:c r="Q140" t="s">
        <x:v>796</x:v>
      </x:c>
      <x:c r="R140" t="s">
        <x:v>800</x:v>
      </x:c>
      <x:c r="S140" t="s">
        <x:v>801</x:v>
      </x:c>
      <x:c r="T140" s="2" t="n">
        <x:f>'SUPUESTOS PRECIOS'!$B$9</x:f>
        <x:v>0</x:v>
      </x:c>
      <x:c r="U140" s="3" t="n">
        <x:f>'SUPUESTOS PRECIOS'!$B$5/'SUPUESTOS PRECIOS'!$B$4</x:f>
        <x:v>1000</x:v>
      </x:c>
      <x:c r="V140" s="3" t="n">
        <x:f>('SUPUESTOS PRECIOS'!$B$6-'SUPUESTOS PRECIOS'!$B$7)/'SUPUESTOS PRECIOS'!$B$4</x:f>
        <x:v>377.5</x:v>
      </x:c>
      <x:c r="W140" s="4" t="n">
        <x:f>'SUPUESTOS PRECIOS'!$B$8</x:f>
        <x:v>0.00968</x:v>
      </x:c>
      <x:c r="X140" s="4" t="n">
        <x:f>'SUPUESTOS PRECIOS'!$B$2</x:f>
        <x:v>0.4</x:v>
      </x:c>
      <x:c r="Y140" s="3">
        <x:f t="shared" si="9"/>
        <x:v>5130</x:v>
      </x:c>
      <x:c r="Z140" s="3">
        <x:f t="shared" si="10"/>
        <x:v>2052.8416000000002</x:v>
      </x:c>
      <x:c r="AA140" s="11">
        <x:f t="shared" si="11"/>
        <x:v>0.40016405458089671</x:v>
      </x:c>
    </x:row>
    <x:row r="141">
      <x:c r="A141" s="10" t="s">
        <x:v>802</x:v>
      </x:c>
      <x:c r="B141" t="s">
        <x:v>803</x:v>
      </x:c>
      <x:c r="C141" t="s">
        <x:v>44</x:v>
      </x:c>
      <x:c r="D141" t="s">
        <x:v>797</x:v>
      </x:c>
      <x:c r="E141" t="s">
        <x:v>33</x:v>
      </x:c>
      <x:c r="F141" t="s">
        <x:v>804</x:v>
      </x:c>
      <x:c r="H141" t="s">
        <x:v>770</x:v>
      </x:c>
      <x:c r="I141" t="s">
        <x:v>805</x:v>
      </x:c>
      <x:c r="J141">
        <x:v>9900</x:v>
      </x:c>
      <x:c r="K141">
        <x:v>0.3</x:v>
      </x:c>
      <x:c r="L141">
        <x:f t="shared" si="8"/>
        <x:v>12870</x:v>
      </x:c>
      <x:c r="M141" t="s">
        <x:v>38</x:v>
      </x:c>
      <x:c r="O141" t="s">
        <x:v>38</x:v>
      </x:c>
      <x:c r="P141" t="s">
        <x:v>764</x:v>
      </x:c>
      <x:c r="Q141" t="s">
        <x:v>803</x:v>
      </x:c>
      <x:c r="R141" t="s">
        <x:v>806</x:v>
      </x:c>
      <x:c r="S141" t="s">
        <x:v>801</x:v>
      </x:c>
      <x:c r="T141" s="2" t="n">
        <x:f>'SUPUESTOS PRECIOS'!$B$9</x:f>
        <x:v>0</x:v>
      </x:c>
      <x:c r="U141" s="3" t="n">
        <x:f>'SUPUESTOS PRECIOS'!$B$5/'SUPUESTOS PRECIOS'!$B$4</x:f>
        <x:v>1000</x:v>
      </x:c>
      <x:c r="V141" s="3" t="n">
        <x:f>('SUPUESTOS PRECIOS'!$B$6-'SUPUESTOS PRECIOS'!$B$7)/'SUPUESTOS PRECIOS'!$B$4</x:f>
        <x:v>377.5</x:v>
      </x:c>
      <x:c r="W141" s="4" t="n">
        <x:f>'SUPUESTOS PRECIOS'!$B$8</x:f>
        <x:v>0.00968</x:v>
      </x:c>
      <x:c r="X141" s="4" t="n">
        <x:f>'SUPUESTOS PRECIOS'!$B$2</x:f>
        <x:v>0.4</x:v>
      </x:c>
      <x:c r="Y141" s="3">
        <x:f t="shared" si="9"/>
        <x:v>19100</x:v>
      </x:c>
      <x:c r="Z141" s="3">
        <x:f t="shared" si="10"/>
        <x:v>7637.6120000000001</x:v>
      </x:c>
      <x:c r="AA141" s="11">
        <x:f t="shared" si="11"/>
        <x:v>0.39987497382198955</x:v>
      </x:c>
    </x:row>
    <x:row r="142">
      <x:c r="A142" s="10" t="s">
        <x:v>807</x:v>
      </x:c>
      <x:c r="B142" t="s">
        <x:v>808</x:v>
      </x:c>
      <x:c r="C142" t="s">
        <x:v>66</x:v>
      </x:c>
      <x:c r="D142" t="s">
        <x:v>67</x:v>
      </x:c>
      <x:c r="E142" t="s">
        <x:v>33</x:v>
      </x:c>
      <x:c r="F142" t="s">
        <x:v>809</x:v>
      </x:c>
      <x:c r="G142" t="s">
        <x:v>69</x:v>
      </x:c>
      <x:c r="H142" t="s">
        <x:v>762</x:v>
      </x:c>
      <x:c r="I142" t="s">
        <x:v>810</x:v>
      </x:c>
      <x:c r="J142">
        <x:v>2000</x:v>
      </x:c>
      <x:c r="K142">
        <x:v>0.3</x:v>
      </x:c>
      <x:c r="L142">
        <x:f t="shared" si="8"/>
        <x:v>2600</x:v>
      </x:c>
      <x:c r="M142" t="s">
        <x:v>38</x:v>
      </x:c>
      <x:c r="O142" t="s">
        <x:v>38</x:v>
      </x:c>
      <x:c r="P142" t="s">
        <x:v>764</x:v>
      </x:c>
      <x:c r="Q142" t="s">
        <x:v>808</x:v>
      </x:c>
      <x:c r="R142" t="s">
        <x:v>811</x:v>
      </x:c>
      <x:c r="S142" t="s">
        <x:v>72</x:v>
      </x:c>
      <x:c r="T142" s="2" t="n">
        <x:f>'SUPUESTOS PRECIOS'!$B$9</x:f>
        <x:v>0</x:v>
      </x:c>
      <x:c r="U142" s="3" t="n">
        <x:f>'SUPUESTOS PRECIOS'!$B$5/'SUPUESTOS PRECIOS'!$B$4</x:f>
        <x:v>1000</x:v>
      </x:c>
      <x:c r="V142" s="3" t="n">
        <x:f>('SUPUESTOS PRECIOS'!$B$6-'SUPUESTOS PRECIOS'!$B$7)/'SUPUESTOS PRECIOS'!$B$4</x:f>
        <x:v>377.5</x:v>
      </x:c>
      <x:c r="W142" s="4" t="n">
        <x:f>'SUPUESTOS PRECIOS'!$B$8</x:f>
        <x:v>0.00968</x:v>
      </x:c>
      <x:c r="X142" s="4" t="n">
        <x:f>'SUPUESTOS PRECIOS'!$B$2</x:f>
        <x:v>0.4</x:v>
      </x:c>
      <x:c r="Y142" s="3">
        <x:f t="shared" si="9"/>
        <x:v>5720</x:v>
      </x:c>
      <x:c r="Z142" s="3">
        <x:f t="shared" si="10"/>
        <x:v>2287.1304</x:v>
      </x:c>
      <x:c r="AA142" s="11">
        <x:f t="shared" si="11"/>
        <x:v>0.39984797202797201</x:v>
      </x:c>
    </x:row>
    <x:row r="143">
      <x:c r="A143" s="10" t="s">
        <x:v>812</x:v>
      </x:c>
      <x:c r="B143" t="s">
        <x:v>813</x:v>
      </x:c>
      <x:c r="C143" t="s">
        <x:v>66</x:v>
      </x:c>
      <x:c r="D143" t="s">
        <x:v>67</x:v>
      </x:c>
      <x:c r="E143" t="s">
        <x:v>33</x:v>
      </x:c>
      <x:c r="F143" t="s">
        <x:v>814</x:v>
      </x:c>
      <x:c r="H143" t="s">
        <x:v>770</x:v>
      </x:c>
      <x:c r="I143" t="s">
        <x:v>815</x:v>
      </x:c>
      <x:c r="J143">
        <x:v>12000</x:v>
      </x:c>
      <x:c r="K143">
        <x:v>0.3</x:v>
      </x:c>
      <x:c r="L143">
        <x:f t="shared" si="8"/>
        <x:v>15600</x:v>
      </x:c>
      <x:c r="M143" t="s">
        <x:v>38</x:v>
      </x:c>
      <x:c r="O143" t="s">
        <x:v>38</x:v>
      </x:c>
      <x:c r="P143" t="s">
        <x:v>764</x:v>
      </x:c>
      <x:c r="Q143" t="s">
        <x:v>813</x:v>
      </x:c>
      <x:c r="R143" t="s">
        <x:v>816</x:v>
      </x:c>
      <x:c r="S143" t="s">
        <x:v>72</x:v>
      </x:c>
      <x:c r="T143" s="2" t="n">
        <x:f>'SUPUESTOS PRECIOS'!$B$9</x:f>
        <x:v>0</x:v>
      </x:c>
      <x:c r="U143" s="3" t="n">
        <x:f>'SUPUESTOS PRECIOS'!$B$5/'SUPUESTOS PRECIOS'!$B$4</x:f>
        <x:v>1000</x:v>
      </x:c>
      <x:c r="V143" s="3" t="n">
        <x:f>('SUPUESTOS PRECIOS'!$B$6-'SUPUESTOS PRECIOS'!$B$7)/'SUPUESTOS PRECIOS'!$B$4</x:f>
        <x:v>377.5</x:v>
      </x:c>
      <x:c r="W143" s="4" t="n">
        <x:f>'SUPUESTOS PRECIOS'!$B$8</x:f>
        <x:v>0.00968</x:v>
      </x:c>
      <x:c r="X143" s="4" t="n">
        <x:f>'SUPUESTOS PRECIOS'!$B$2</x:f>
        <x:v>0.4</x:v>
      </x:c>
      <x:c r="Y143" s="3">
        <x:f t="shared" si="9"/>
        <x:v>22660</x:v>
      </x:c>
      <x:c r="Z143" s="3">
        <x:f t="shared" si="10"/>
        <x:v>9063.1512000000002</x:v>
      </x:c>
      <x:c r="AA143" s="11">
        <x:f t="shared" si="11"/>
        <x:v>0.39996254192409536</x:v>
      </x:c>
    </x:row>
    <x:row r="144">
      <x:c r="A144" s="10" t="s">
        <x:v>817</x:v>
      </x:c>
      <x:c r="B144" t="s">
        <x:v>818</x:v>
      </x:c>
      <x:c r="C144" t="s">
        <x:v>66</x:v>
      </x:c>
      <x:c r="D144" t="s">
        <x:v>67</x:v>
      </x:c>
      <x:c r="E144" t="s">
        <x:v>33</x:v>
      </x:c>
      <x:c r="F144" t="s">
        <x:v>819</x:v>
      </x:c>
      <x:c r="G144" t="s">
        <x:v>77</x:v>
      </x:c>
      <x:c r="H144" t="s">
        <x:v>762</x:v>
      </x:c>
      <x:c r="I144" t="s">
        <x:v>820</x:v>
      </x:c>
      <x:c r="J144">
        <x:v>1800</x:v>
      </x:c>
      <x:c r="K144">
        <x:v>0.3</x:v>
      </x:c>
      <x:c r="L144">
        <x:f t="shared" si="8"/>
        <x:v>2340</x:v>
      </x:c>
      <x:c r="M144" t="s">
        <x:v>38</x:v>
      </x:c>
      <x:c r="O144" t="s">
        <x:v>38</x:v>
      </x:c>
      <x:c r="P144" t="s">
        <x:v>764</x:v>
      </x:c>
      <x:c r="Q144" t="s">
        <x:v>818</x:v>
      </x:c>
      <x:c r="R144" t="s">
        <x:v>821</x:v>
      </x:c>
      <x:c r="S144" t="s">
        <x:v>72</x:v>
      </x:c>
      <x:c r="T144" s="2" t="n">
        <x:f>'SUPUESTOS PRECIOS'!$B$9</x:f>
        <x:v>0</x:v>
      </x:c>
      <x:c r="U144" s="3" t="n">
        <x:f>'SUPUESTOS PRECIOS'!$B$5/'SUPUESTOS PRECIOS'!$B$4</x:f>
        <x:v>1000</x:v>
      </x:c>
      <x:c r="V144" s="3" t="n">
        <x:f>('SUPUESTOS PRECIOS'!$B$6-'SUPUESTOS PRECIOS'!$B$7)/'SUPUESTOS PRECIOS'!$B$4</x:f>
        <x:v>377.5</x:v>
      </x:c>
      <x:c r="W144" s="4" t="n">
        <x:f>'SUPUESTOS PRECIOS'!$B$8</x:f>
        <x:v>0.00968</x:v>
      </x:c>
      <x:c r="X144" s="4" t="n">
        <x:f>'SUPUESTOS PRECIOS'!$B$2</x:f>
        <x:v>0.4</x:v>
      </x:c>
      <x:c r="Y144" s="3">
        <x:f t="shared" si="9"/>
        <x:v>5380</x:v>
      </x:c>
      <x:c r="Z144" s="3">
        <x:f t="shared" si="10"/>
        <x:v>2150.4216000000001</x:v>
      </x:c>
      <x:c r="AA144" s="11">
        <x:f t="shared" si="11"/>
        <x:v>0.39970661710037175</x:v>
      </x:c>
    </x:row>
    <x:row r="145">
      <x:c r="A145" s="10" t="s">
        <x:v>822</x:v>
      </x:c>
      <x:c r="B145" t="s">
        <x:v>823</x:v>
      </x:c>
      <x:c r="C145" t="s">
        <x:v>66</x:v>
      </x:c>
      <x:c r="D145" t="s">
        <x:v>67</x:v>
      </x:c>
      <x:c r="E145" t="s">
        <x:v>33</x:v>
      </x:c>
      <x:c r="F145" t="s">
        <x:v>824</x:v>
      </x:c>
      <x:c r="G145" t="s">
        <x:v>77</x:v>
      </x:c>
      <x:c r="H145" t="s">
        <x:v>770</x:v>
      </x:c>
      <x:c r="I145" t="s">
        <x:v>825</x:v>
      </x:c>
      <x:c r="J145">
        <x:v>10800</x:v>
      </x:c>
      <x:c r="K145">
        <x:v>0.3</x:v>
      </x:c>
      <x:c r="L145">
        <x:f t="shared" si="8"/>
        <x:v>14040</x:v>
      </x:c>
      <x:c r="M145" t="s">
        <x:v>38</x:v>
      </x:c>
      <x:c r="O145" t="s">
        <x:v>38</x:v>
      </x:c>
      <x:c r="P145" t="s">
        <x:v>764</x:v>
      </x:c>
      <x:c r="Q145" t="s">
        <x:v>823</x:v>
      </x:c>
      <x:c r="R145" t="s">
        <x:v>826</x:v>
      </x:c>
      <x:c r="S145" t="s">
        <x:v>72</x:v>
      </x:c>
      <x:c r="T145" s="2" t="n">
        <x:f>'SUPUESTOS PRECIOS'!$B$9</x:f>
        <x:v>0</x:v>
      </x:c>
      <x:c r="U145" s="3" t="n">
        <x:f>'SUPUESTOS PRECIOS'!$B$5/'SUPUESTOS PRECIOS'!$B$4</x:f>
        <x:v>1000</x:v>
      </x:c>
      <x:c r="V145" s="3" t="n">
        <x:f>('SUPUESTOS PRECIOS'!$B$6-'SUPUESTOS PRECIOS'!$B$7)/'SUPUESTOS PRECIOS'!$B$4</x:f>
        <x:v>377.5</x:v>
      </x:c>
      <x:c r="W145" s="4" t="n">
        <x:f>'SUPUESTOS PRECIOS'!$B$8</x:f>
        <x:v>0.00968</x:v>
      </x:c>
      <x:c r="X145" s="4" t="n">
        <x:f>'SUPUESTOS PRECIOS'!$B$2</x:f>
        <x:v>0.4</x:v>
      </x:c>
      <x:c r="Y145" s="3">
        <x:f t="shared" si="9"/>
        <x:v>20630</x:v>
      </x:c>
      <x:c r="Z145" s="3">
        <x:f t="shared" si="10"/>
        <x:v>8252.8016000000007</x:v>
      </x:c>
      <x:c r="AA145" s="11">
        <x:f t="shared" si="11"/>
        <x:v>0.40003885603490064</x:v>
      </x:c>
    </x:row>
    <x:row r="146">
      <x:c r="A146" s="10" t="s">
        <x:v>827</x:v>
      </x:c>
      <x:c r="B146" t="s">
        <x:v>828</x:v>
      </x:c>
      <x:c r="C146" t="s">
        <x:v>829</x:v>
      </x:c>
      <x:c r="D146" t="s">
        <x:v>830</x:v>
      </x:c>
      <x:c r="E146" t="s">
        <x:v>33</x:v>
      </x:c>
      <x:c r="F146" t="s">
        <x:v>831</x:v>
      </x:c>
      <x:c r="G146">
        <x:v>1056</x:v>
      </x:c>
      <x:c r="H146" t="s">
        <x:v>36</x:v>
      </x:c>
      <x:c r="I146" t="s">
        <x:v>832</x:v>
      </x:c>
      <x:c r="J146">
        <x:v>2750</x:v>
      </x:c>
      <x:c r="K146">
        <x:v>0.3</x:v>
      </x:c>
      <x:c r="L146">
        <x:f t="shared" si="8"/>
        <x:v>3575</x:v>
      </x:c>
      <x:c r="M146" t="s">
        <x:v>38</x:v>
      </x:c>
      <x:c r="O146" t="s">
        <x:v>38</x:v>
      </x:c>
      <x:c r="P146" t="s">
        <x:v>39</x:v>
      </x:c>
      <x:c r="Q146" t="s">
        <x:v>828</x:v>
      </x:c>
      <x:c r="R146" t="s">
        <x:v>833</x:v>
      </x:c>
      <x:c r="S146" t="s">
        <x:v>834</x:v>
      </x:c>
      <x:c r="T146" s="2" t="n">
        <x:f>'SUPUESTOS PRECIOS'!$B$9</x:f>
        <x:v>0</x:v>
      </x:c>
      <x:c r="U146" s="3" t="n">
        <x:f>'SUPUESTOS PRECIOS'!$B$5/'SUPUESTOS PRECIOS'!$B$4</x:f>
        <x:v>1000</x:v>
      </x:c>
      <x:c r="V146" s="3" t="n">
        <x:f>('SUPUESTOS PRECIOS'!$B$6-'SUPUESTOS PRECIOS'!$B$7)/'SUPUESTOS PRECIOS'!$B$4</x:f>
        <x:v>377.5</x:v>
      </x:c>
      <x:c r="W146" s="4" t="n">
        <x:f>'SUPUESTOS PRECIOS'!$B$8</x:f>
        <x:v>0.00968</x:v>
      </x:c>
      <x:c r="X146" s="4" t="n">
        <x:f>'SUPUESTOS PRECIOS'!$B$2</x:f>
        <x:v>0.4</x:v>
      </x:c>
      <x:c r="Y146" s="3">
        <x:f t="shared" si="9"/>
        <x:v>6990</x:v>
      </x:c>
      <x:c r="Z146" s="3">
        <x:f t="shared" si="10"/>
        <x:v>2794.8368</x:v>
      </x:c>
      <x:c r="AA146" s="11">
        <x:f t="shared" si="11"/>
        <x:v>0.39983359084406295</x:v>
      </x:c>
      <x:c r="AB146" t="s">
        <x:v>835</x:v>
      </x:c>
      <x:c r="AC146" t="s">
        <x:v>836</x:v>
      </x:c>
    </x:row>
    <x:row r="147">
      <x:c r="A147" s="10" t="s">
        <x:v>837</x:v>
      </x:c>
      <x:c r="B147" t="s">
        <x:v>838</x:v>
      </x:c>
      <x:c r="C147" t="s">
        <x:v>829</x:v>
      </x:c>
      <x:c r="D147" t="s">
        <x:v>830</x:v>
      </x:c>
      <x:c r="E147" t="s">
        <x:v>33</x:v>
      </x:c>
      <x:c r="F147" t="s">
        <x:v>839</x:v>
      </x:c>
      <x:c r="G147">
        <x:v>1056</x:v>
      </x:c>
      <x:c r="H147" t="s">
        <x:v>762</x:v>
      </x:c>
      <x:c r="I147" t="s">
        <x:v>840</x:v>
      </x:c>
      <x:c r="J147">
        <x:v>1350</x:v>
      </x:c>
      <x:c r="K147">
        <x:v>0.3</x:v>
      </x:c>
      <x:c r="L147">
        <x:f t="shared" si="8"/>
        <x:v>1755</x:v>
      </x:c>
      <x:c r="M147" t="s">
        <x:v>38</x:v>
      </x:c>
      <x:c r="O147" t="s">
        <x:v>38</x:v>
      </x:c>
      <x:c r="P147" t="s">
        <x:v>39</x:v>
      </x:c>
      <x:c r="Q147" t="s">
        <x:v>838</x:v>
      </x:c>
      <x:c r="R147" t="s">
        <x:v>841</x:v>
      </x:c>
      <x:c r="S147" t="s">
        <x:v>834</x:v>
      </x:c>
      <x:c r="T147" s="2" t="n">
        <x:f>'SUPUESTOS PRECIOS'!$B$9</x:f>
        <x:v>0</x:v>
      </x:c>
      <x:c r="U147" s="3" t="n">
        <x:f>'SUPUESTOS PRECIOS'!$B$5/'SUPUESTOS PRECIOS'!$B$4</x:f>
        <x:v>1000</x:v>
      </x:c>
      <x:c r="V147" s="3" t="n">
        <x:f>('SUPUESTOS PRECIOS'!$B$6-'SUPUESTOS PRECIOS'!$B$7)/'SUPUESTOS PRECIOS'!$B$4</x:f>
        <x:v>377.5</x:v>
      </x:c>
      <x:c r="W147" s="4" t="n">
        <x:f>'SUPUESTOS PRECIOS'!$B$8</x:f>
        <x:v>0.00968</x:v>
      </x:c>
      <x:c r="X147" s="4" t="n">
        <x:f>'SUPUESTOS PRECIOS'!$B$2</x:f>
        <x:v>0.4</x:v>
      </x:c>
      <x:c r="Y147" s="3">
        <x:f t="shared" si="9"/>
        <x:v>4620</x:v>
      </x:c>
      <x:c r="Z147" s="3">
        <x:f t="shared" si="10"/>
        <x:v>1847.7783999999999</x:v>
      </x:c>
      <x:c r="AA147" s="11">
        <x:f t="shared" si="11"/>
        <x:v>0.3999520346320346</x:v>
      </x:c>
      <x:c r="AB147" t="s">
        <x:v>835</x:v>
      </x:c>
      <x:c r="AC147" t="s">
        <x:v>842</x:v>
      </x:c>
    </x:row>
    <x:row r="148">
      <x:c r="A148" s="10" t="s">
        <x:v>843</x:v>
      </x:c>
      <x:c r="B148" t="s">
        <x:v>844</x:v>
      </x:c>
      <x:c r="C148" t="s">
        <x:v>829</x:v>
      </x:c>
      <x:c r="D148" t="s">
        <x:v>830</x:v>
      </x:c>
      <x:c r="E148" t="s">
        <x:v>33</x:v>
      </x:c>
      <x:c r="F148" t="s">
        <x:v>845</x:v>
      </x:c>
      <x:c r="G148">
        <x:v>1056</x:v>
      </x:c>
      <x:c r="H148" t="s">
        <x:v>846</x:v>
      </x:c>
      <x:c r="I148" t="s">
        <x:v>847</x:v>
      </x:c>
      <x:c r="J148">
        <x:v>7100</x:v>
      </x:c>
      <x:c r="K148">
        <x:v>0.3</x:v>
      </x:c>
      <x:c r="L148">
        <x:f t="shared" si="8"/>
        <x:v>9230</x:v>
      </x:c>
      <x:c r="M148" t="s">
        <x:v>38</x:v>
      </x:c>
      <x:c r="O148" t="s">
        <x:v>38</x:v>
      </x:c>
      <x:c r="P148" t="s">
        <x:v>39</x:v>
      </x:c>
      <x:c r="Q148" t="s">
        <x:v>844</x:v>
      </x:c>
      <x:c r="R148" t="s">
        <x:v>848</x:v>
      </x:c>
      <x:c r="S148" t="s">
        <x:v>834</x:v>
      </x:c>
      <x:c r="T148" s="2" t="n">
        <x:f>'SUPUESTOS PRECIOS'!$B$9</x:f>
        <x:v>0</x:v>
      </x:c>
      <x:c r="U148" s="3" t="n">
        <x:f>'SUPUESTOS PRECIOS'!$B$5/'SUPUESTOS PRECIOS'!$B$4</x:f>
        <x:v>1000</x:v>
      </x:c>
      <x:c r="V148" s="3" t="n">
        <x:f>('SUPUESTOS PRECIOS'!$B$6-'SUPUESTOS PRECIOS'!$B$7)/'SUPUESTOS PRECIOS'!$B$4</x:f>
        <x:v>377.5</x:v>
      </x:c>
      <x:c r="W148" s="4" t="n">
        <x:f>'SUPUESTOS PRECIOS'!$B$8</x:f>
        <x:v>0.00968</x:v>
      </x:c>
      <x:c r="X148" s="4" t="n">
        <x:f>'SUPUESTOS PRECIOS'!$B$2</x:f>
        <x:v>0.4</x:v>
      </x:c>
      <x:c r="Y148" s="3">
        <x:f t="shared" si="9"/>
        <x:v>14360</x:v>
      </x:c>
      <x:c r="Z148" s="3">
        <x:f t="shared" si="10"/>
        <x:v>5743.4952000000003</x:v>
      </x:c>
      <x:c r="AA148" s="11">
        <x:f t="shared" si="11"/>
        <x:v>0.39996484679665739</x:v>
      </x:c>
      <x:c r="AB148" t="s">
        <x:v>835</x:v>
      </x:c>
      <x:c r="AC148" t="s">
        <x:v>849</x:v>
      </x:c>
    </x:row>
    <x:row r="149">
      <x:c r="A149" s="10" t="s">
        <x:v>850</x:v>
      </x:c>
      <x:c r="B149" t="s">
        <x:v>851</x:v>
      </x:c>
      <x:c r="C149" t="s">
        <x:v>829</x:v>
      </x:c>
      <x:c r="D149" t="s">
        <x:v>830</x:v>
      </x:c>
      <x:c r="E149" t="s">
        <x:v>33</x:v>
      </x:c>
      <x:c r="F149" t="s">
        <x:v>831</x:v>
      </x:c>
      <x:c r="G149" t="s">
        <x:v>852</x:v>
      </x:c>
      <x:c r="H149" t="s">
        <x:v>36</x:v>
      </x:c>
      <x:c r="I149" t="s">
        <x:v>853</x:v>
      </x:c>
      <x:c r="J149">
        <x:v>2750</x:v>
      </x:c>
      <x:c r="K149">
        <x:v>0.3</x:v>
      </x:c>
      <x:c r="L149">
        <x:f t="shared" si="8"/>
        <x:v>3575</x:v>
      </x:c>
      <x:c r="M149" t="s">
        <x:v>38</x:v>
      </x:c>
      <x:c r="O149" t="s">
        <x:v>38</x:v>
      </x:c>
      <x:c r="P149" t="s">
        <x:v>39</x:v>
      </x:c>
      <x:c r="Q149" t="s">
        <x:v>851</x:v>
      </x:c>
      <x:c r="R149" t="s">
        <x:v>854</x:v>
      </x:c>
      <x:c r="S149" t="s">
        <x:v>834</x:v>
      </x:c>
      <x:c r="T149" s="2" t="n">
        <x:f>'SUPUESTOS PRECIOS'!$B$9</x:f>
        <x:v>0</x:v>
      </x:c>
      <x:c r="U149" s="3" t="n">
        <x:f>'SUPUESTOS PRECIOS'!$B$5/'SUPUESTOS PRECIOS'!$B$4</x:f>
        <x:v>1000</x:v>
      </x:c>
      <x:c r="V149" s="3" t="n">
        <x:f>('SUPUESTOS PRECIOS'!$B$6-'SUPUESTOS PRECIOS'!$B$7)/'SUPUESTOS PRECIOS'!$B$4</x:f>
        <x:v>377.5</x:v>
      </x:c>
      <x:c r="W149" s="4" t="n">
        <x:f>'SUPUESTOS PRECIOS'!$B$8</x:f>
        <x:v>0.00968</x:v>
      </x:c>
      <x:c r="X149" s="4" t="n">
        <x:f>'SUPUESTOS PRECIOS'!$B$2</x:f>
        <x:v>0.4</x:v>
      </x:c>
      <x:c r="Y149" s="3">
        <x:f t="shared" si="9"/>
        <x:v>6990</x:v>
      </x:c>
      <x:c r="Z149" s="3">
        <x:f t="shared" si="10"/>
        <x:v>2794.8368</x:v>
      </x:c>
      <x:c r="AA149" s="11">
        <x:f t="shared" si="11"/>
        <x:v>0.39983359084406295</x:v>
      </x:c>
      <x:c r="AB149" t="s">
        <x:v>855</x:v>
      </x:c>
      <x:c r="AC149" t="s">
        <x:v>836</x:v>
      </x:c>
    </x:row>
    <x:row r="150">
      <x:c r="A150" s="10" t="s">
        <x:v>856</x:v>
      </x:c>
      <x:c r="B150" t="s">
        <x:v>857</x:v>
      </x:c>
      <x:c r="C150" t="s">
        <x:v>829</x:v>
      </x:c>
      <x:c r="D150" t="s">
        <x:v>830</x:v>
      </x:c>
      <x:c r="E150" t="s">
        <x:v>33</x:v>
      </x:c>
      <x:c r="F150" t="s">
        <x:v>839</x:v>
      </x:c>
      <x:c r="G150" t="s">
        <x:v>852</x:v>
      </x:c>
      <x:c r="H150" t="s">
        <x:v>762</x:v>
      </x:c>
      <x:c r="I150" t="s">
        <x:v>858</x:v>
      </x:c>
      <x:c r="J150">
        <x:v>1350</x:v>
      </x:c>
      <x:c r="K150">
        <x:v>0.3</x:v>
      </x:c>
      <x:c r="L150">
        <x:f t="shared" si="8"/>
        <x:v>1755</x:v>
      </x:c>
      <x:c r="M150" t="s">
        <x:v>38</x:v>
      </x:c>
      <x:c r="O150" t="s">
        <x:v>38</x:v>
      </x:c>
      <x:c r="P150" t="s">
        <x:v>39</x:v>
      </x:c>
      <x:c r="Q150" t="s">
        <x:v>857</x:v>
      </x:c>
      <x:c r="R150" t="s">
        <x:v>859</x:v>
      </x:c>
      <x:c r="S150" t="s">
        <x:v>834</x:v>
      </x:c>
      <x:c r="T150" s="2" t="n">
        <x:f>'SUPUESTOS PRECIOS'!$B$9</x:f>
        <x:v>0</x:v>
      </x:c>
      <x:c r="U150" s="3" t="n">
        <x:f>'SUPUESTOS PRECIOS'!$B$5/'SUPUESTOS PRECIOS'!$B$4</x:f>
        <x:v>1000</x:v>
      </x:c>
      <x:c r="V150" s="3" t="n">
        <x:f>('SUPUESTOS PRECIOS'!$B$6-'SUPUESTOS PRECIOS'!$B$7)/'SUPUESTOS PRECIOS'!$B$4</x:f>
        <x:v>377.5</x:v>
      </x:c>
      <x:c r="W150" s="4" t="n">
        <x:f>'SUPUESTOS PRECIOS'!$B$8</x:f>
        <x:v>0.00968</x:v>
      </x:c>
      <x:c r="X150" s="4" t="n">
        <x:f>'SUPUESTOS PRECIOS'!$B$2</x:f>
        <x:v>0.4</x:v>
      </x:c>
      <x:c r="Y150" s="3">
        <x:f t="shared" si="9"/>
        <x:v>4620</x:v>
      </x:c>
      <x:c r="Z150" s="3">
        <x:f t="shared" si="10"/>
        <x:v>1847.7783999999999</x:v>
      </x:c>
      <x:c r="AA150" s="11">
        <x:f t="shared" si="11"/>
        <x:v>0.3999520346320346</x:v>
      </x:c>
      <x:c r="AB150" t="s">
        <x:v>855</x:v>
      </x:c>
      <x:c r="AC150" t="s">
        <x:v>842</x:v>
      </x:c>
    </x:row>
    <x:row r="151">
      <x:c r="A151" s="10" t="s">
        <x:v>860</x:v>
      </x:c>
      <x:c r="B151" t="s">
        <x:v>861</x:v>
      </x:c>
      <x:c r="C151" t="s">
        <x:v>829</x:v>
      </x:c>
      <x:c r="D151" t="s">
        <x:v>830</x:v>
      </x:c>
      <x:c r="E151" t="s">
        <x:v>33</x:v>
      </x:c>
      <x:c r="F151" t="s">
        <x:v>845</x:v>
      </x:c>
      <x:c r="G151" t="s">
        <x:v>852</x:v>
      </x:c>
      <x:c r="H151" t="s">
        <x:v>846</x:v>
      </x:c>
      <x:c r="I151" t="s">
        <x:v>862</x:v>
      </x:c>
      <x:c r="J151">
        <x:v>7100</x:v>
      </x:c>
      <x:c r="K151">
        <x:v>0.3</x:v>
      </x:c>
      <x:c r="L151">
        <x:f t="shared" si="8"/>
        <x:v>9230</x:v>
      </x:c>
      <x:c r="M151" t="s">
        <x:v>38</x:v>
      </x:c>
      <x:c r="O151" t="s">
        <x:v>38</x:v>
      </x:c>
      <x:c r="P151" t="s">
        <x:v>39</x:v>
      </x:c>
      <x:c r="Q151" t="s">
        <x:v>861</x:v>
      </x:c>
      <x:c r="R151" t="s">
        <x:v>863</x:v>
      </x:c>
      <x:c r="S151" t="s">
        <x:v>834</x:v>
      </x:c>
      <x:c r="T151" s="2" t="n">
        <x:f>'SUPUESTOS PRECIOS'!$B$9</x:f>
        <x:v>0</x:v>
      </x:c>
      <x:c r="U151" s="3" t="n">
        <x:f>'SUPUESTOS PRECIOS'!$B$5/'SUPUESTOS PRECIOS'!$B$4</x:f>
        <x:v>1000</x:v>
      </x:c>
      <x:c r="V151" s="3" t="n">
        <x:f>('SUPUESTOS PRECIOS'!$B$6-'SUPUESTOS PRECIOS'!$B$7)/'SUPUESTOS PRECIOS'!$B$4</x:f>
        <x:v>377.5</x:v>
      </x:c>
      <x:c r="W151" s="4" t="n">
        <x:f>'SUPUESTOS PRECIOS'!$B$8</x:f>
        <x:v>0.00968</x:v>
      </x:c>
      <x:c r="X151" s="4" t="n">
        <x:f>'SUPUESTOS PRECIOS'!$B$2</x:f>
        <x:v>0.4</x:v>
      </x:c>
      <x:c r="Y151" s="3">
        <x:f t="shared" si="9"/>
        <x:v>14360</x:v>
      </x:c>
      <x:c r="Z151" s="3">
        <x:f t="shared" si="10"/>
        <x:v>5743.4952000000003</x:v>
      </x:c>
      <x:c r="AA151" s="11">
        <x:f t="shared" si="11"/>
        <x:v>0.39996484679665739</x:v>
      </x:c>
      <x:c r="AB151" t="s">
        <x:v>855</x:v>
      </x:c>
      <x:c r="AC151" t="s">
        <x:v>849</x:v>
      </x:c>
    </x:row>
    <x:row r="152">
      <x:c r="A152" s="10" t="s">
        <x:v>864</x:v>
      </x:c>
      <x:c r="B152" t="s">
        <x:v>865</x:v>
      </x:c>
      <x:c r="C152" t="s">
        <x:v>829</x:v>
      </x:c>
      <x:c r="D152" t="s">
        <x:v>830</x:v>
      </x:c>
      <x:c r="E152" t="s">
        <x:v>33</x:v>
      </x:c>
      <x:c r="F152" t="s">
        <x:v>831</x:v>
      </x:c>
      <x:c r="G152" t="s">
        <x:v>866</x:v>
      </x:c>
      <x:c r="H152" t="s">
        <x:v>36</x:v>
      </x:c>
      <x:c r="I152" t="s">
        <x:v>867</x:v>
      </x:c>
      <x:c r="J152">
        <x:v>2750</x:v>
      </x:c>
      <x:c r="K152">
        <x:v>0.3</x:v>
      </x:c>
      <x:c r="L152">
        <x:f t="shared" si="8"/>
        <x:v>3575</x:v>
      </x:c>
      <x:c r="M152" t="s">
        <x:v>38</x:v>
      </x:c>
      <x:c r="O152" t="s">
        <x:v>38</x:v>
      </x:c>
      <x:c r="P152" t="s">
        <x:v>39</x:v>
      </x:c>
      <x:c r="Q152" t="s">
        <x:v>865</x:v>
      </x:c>
      <x:c r="R152" t="s">
        <x:v>868</x:v>
      </x:c>
      <x:c r="S152" t="s">
        <x:v>834</x:v>
      </x:c>
      <x:c r="T152" s="2" t="n">
        <x:f>'SUPUESTOS PRECIOS'!$B$9</x:f>
        <x:v>0</x:v>
      </x:c>
      <x:c r="U152" s="3" t="n">
        <x:f>'SUPUESTOS PRECIOS'!$B$5/'SUPUESTOS PRECIOS'!$B$4</x:f>
        <x:v>1000</x:v>
      </x:c>
      <x:c r="V152" s="3" t="n">
        <x:f>('SUPUESTOS PRECIOS'!$B$6-'SUPUESTOS PRECIOS'!$B$7)/'SUPUESTOS PRECIOS'!$B$4</x:f>
        <x:v>377.5</x:v>
      </x:c>
      <x:c r="W152" s="4" t="n">
        <x:f>'SUPUESTOS PRECIOS'!$B$8</x:f>
        <x:v>0.00968</x:v>
      </x:c>
      <x:c r="X152" s="4" t="n">
        <x:f>'SUPUESTOS PRECIOS'!$B$2</x:f>
        <x:v>0.4</x:v>
      </x:c>
      <x:c r="Y152" s="3">
        <x:f t="shared" si="9"/>
        <x:v>6990</x:v>
      </x:c>
      <x:c r="Z152" s="3">
        <x:f t="shared" si="10"/>
        <x:v>2794.8368</x:v>
      </x:c>
      <x:c r="AA152" s="11">
        <x:f t="shared" si="11"/>
        <x:v>0.39983359084406295</x:v>
      </x:c>
      <x:c r="AB152" t="s">
        <x:v>869</x:v>
      </x:c>
      <x:c r="AC152" t="s">
        <x:v>836</x:v>
      </x:c>
    </x:row>
    <x:row r="153">
      <x:c r="A153" s="10" t="s">
        <x:v>870</x:v>
      </x:c>
      <x:c r="B153" t="s">
        <x:v>871</x:v>
      </x:c>
      <x:c r="C153" t="s">
        <x:v>829</x:v>
      </x:c>
      <x:c r="D153" t="s">
        <x:v>830</x:v>
      </x:c>
      <x:c r="E153" t="s">
        <x:v>33</x:v>
      </x:c>
      <x:c r="F153" t="s">
        <x:v>839</x:v>
      </x:c>
      <x:c r="G153" t="s">
        <x:v>866</x:v>
      </x:c>
      <x:c r="H153" t="s">
        <x:v>762</x:v>
      </x:c>
      <x:c r="I153" t="s">
        <x:v>872</x:v>
      </x:c>
      <x:c r="J153">
        <x:v>1350</x:v>
      </x:c>
      <x:c r="K153">
        <x:v>0.3</x:v>
      </x:c>
      <x:c r="L153">
        <x:f t="shared" si="8"/>
        <x:v>1755</x:v>
      </x:c>
      <x:c r="M153" t="s">
        <x:v>38</x:v>
      </x:c>
      <x:c r="O153" t="s">
        <x:v>38</x:v>
      </x:c>
      <x:c r="P153" t="s">
        <x:v>39</x:v>
      </x:c>
      <x:c r="Q153" t="s">
        <x:v>871</x:v>
      </x:c>
      <x:c r="R153" t="s">
        <x:v>873</x:v>
      </x:c>
      <x:c r="S153" t="s">
        <x:v>834</x:v>
      </x:c>
      <x:c r="T153" s="2" t="n">
        <x:f>'SUPUESTOS PRECIOS'!$B$9</x:f>
        <x:v>0</x:v>
      </x:c>
      <x:c r="U153" s="3" t="n">
        <x:f>'SUPUESTOS PRECIOS'!$B$5/'SUPUESTOS PRECIOS'!$B$4</x:f>
        <x:v>1000</x:v>
      </x:c>
      <x:c r="V153" s="3" t="n">
        <x:f>('SUPUESTOS PRECIOS'!$B$6-'SUPUESTOS PRECIOS'!$B$7)/'SUPUESTOS PRECIOS'!$B$4</x:f>
        <x:v>377.5</x:v>
      </x:c>
      <x:c r="W153" s="4" t="n">
        <x:f>'SUPUESTOS PRECIOS'!$B$8</x:f>
        <x:v>0.00968</x:v>
      </x:c>
      <x:c r="X153" s="4" t="n">
        <x:f>'SUPUESTOS PRECIOS'!$B$2</x:f>
        <x:v>0.4</x:v>
      </x:c>
      <x:c r="Y153" s="3">
        <x:f t="shared" si="9"/>
        <x:v>4620</x:v>
      </x:c>
      <x:c r="Z153" s="3">
        <x:f t="shared" si="10"/>
        <x:v>1847.7783999999999</x:v>
      </x:c>
      <x:c r="AA153" s="11">
        <x:f t="shared" si="11"/>
        <x:v>0.3999520346320346</x:v>
      </x:c>
      <x:c r="AB153" t="s">
        <x:v>869</x:v>
      </x:c>
      <x:c r="AC153" t="s">
        <x:v>842</x:v>
      </x:c>
    </x:row>
    <x:row r="154">
      <x:c r="A154" s="10" t="s">
        <x:v>874</x:v>
      </x:c>
      <x:c r="B154" t="s">
        <x:v>875</x:v>
      </x:c>
      <x:c r="C154" t="s">
        <x:v>829</x:v>
      </x:c>
      <x:c r="D154" t="s">
        <x:v>830</x:v>
      </x:c>
      <x:c r="E154" t="s">
        <x:v>33</x:v>
      </x:c>
      <x:c r="F154" t="s">
        <x:v>845</x:v>
      </x:c>
      <x:c r="G154" t="s">
        <x:v>866</x:v>
      </x:c>
      <x:c r="H154" t="s">
        <x:v>846</x:v>
      </x:c>
      <x:c r="I154" t="s">
        <x:v>876</x:v>
      </x:c>
      <x:c r="J154">
        <x:v>7100</x:v>
      </x:c>
      <x:c r="K154">
        <x:v>0.3</x:v>
      </x:c>
      <x:c r="L154">
        <x:f t="shared" si="8"/>
        <x:v>9230</x:v>
      </x:c>
      <x:c r="M154" t="s">
        <x:v>38</x:v>
      </x:c>
      <x:c r="O154" t="s">
        <x:v>38</x:v>
      </x:c>
      <x:c r="P154" t="s">
        <x:v>39</x:v>
      </x:c>
      <x:c r="Q154" t="s">
        <x:v>875</x:v>
      </x:c>
      <x:c r="R154" t="s">
        <x:v>877</x:v>
      </x:c>
      <x:c r="S154" t="s">
        <x:v>834</x:v>
      </x:c>
      <x:c r="T154" s="2" t="n">
        <x:f>'SUPUESTOS PRECIOS'!$B$9</x:f>
        <x:v>0</x:v>
      </x:c>
      <x:c r="U154" s="3" t="n">
        <x:f>'SUPUESTOS PRECIOS'!$B$5/'SUPUESTOS PRECIOS'!$B$4</x:f>
        <x:v>1000</x:v>
      </x:c>
      <x:c r="V154" s="3" t="n">
        <x:f>('SUPUESTOS PRECIOS'!$B$6-'SUPUESTOS PRECIOS'!$B$7)/'SUPUESTOS PRECIOS'!$B$4</x:f>
        <x:v>377.5</x:v>
      </x:c>
      <x:c r="W154" s="4" t="n">
        <x:f>'SUPUESTOS PRECIOS'!$B$8</x:f>
        <x:v>0.00968</x:v>
      </x:c>
      <x:c r="X154" s="4" t="n">
        <x:f>'SUPUESTOS PRECIOS'!$B$2</x:f>
        <x:v>0.4</x:v>
      </x:c>
      <x:c r="Y154" s="3">
        <x:f t="shared" si="9"/>
        <x:v>14360</x:v>
      </x:c>
      <x:c r="Z154" s="3">
        <x:f t="shared" si="10"/>
        <x:v>5743.4952000000003</x:v>
      </x:c>
      <x:c r="AA154" s="11">
        <x:f t="shared" si="11"/>
        <x:v>0.39996484679665739</x:v>
      </x:c>
      <x:c r="AB154" t="s">
        <x:v>869</x:v>
      </x:c>
      <x:c r="AC154" t="s">
        <x:v>849</x:v>
      </x:c>
    </x:row>
    <x:row r="155">
      <x:c r="A155" s="10" t="s">
        <x:v>878</x:v>
      </x:c>
      <x:c r="B155" t="s">
        <x:v>879</x:v>
      </x:c>
      <x:c r="C155" t="s">
        <x:v>829</x:v>
      </x:c>
      <x:c r="D155" t="s">
        <x:v>830</x:v>
      </x:c>
      <x:c r="E155" t="s">
        <x:v>33</x:v>
      </x:c>
      <x:c r="F155" t="s">
        <x:v>831</x:v>
      </x:c>
      <x:c r="G155" t="s">
        <x:v>613</x:v>
      </x:c>
      <x:c r="H155" t="s">
        <x:v>36</x:v>
      </x:c>
      <x:c r="I155" t="s">
        <x:v>880</x:v>
      </x:c>
      <x:c r="J155">
        <x:v>2750</x:v>
      </x:c>
      <x:c r="K155">
        <x:v>0.3</x:v>
      </x:c>
      <x:c r="L155">
        <x:f t="shared" si="8"/>
        <x:v>3575</x:v>
      </x:c>
      <x:c r="M155" t="s">
        <x:v>38</x:v>
      </x:c>
      <x:c r="O155" t="s">
        <x:v>38</x:v>
      </x:c>
      <x:c r="P155" t="s">
        <x:v>39</x:v>
      </x:c>
      <x:c r="Q155" t="s">
        <x:v>879</x:v>
      </x:c>
      <x:c r="R155" t="s">
        <x:v>881</x:v>
      </x:c>
      <x:c r="S155" t="s">
        <x:v>834</x:v>
      </x:c>
      <x:c r="T155" s="2" t="n">
        <x:f>'SUPUESTOS PRECIOS'!$B$9</x:f>
        <x:v>0</x:v>
      </x:c>
      <x:c r="U155" s="3" t="n">
        <x:f>'SUPUESTOS PRECIOS'!$B$5/'SUPUESTOS PRECIOS'!$B$4</x:f>
        <x:v>1000</x:v>
      </x:c>
      <x:c r="V155" s="3" t="n">
        <x:f>('SUPUESTOS PRECIOS'!$B$6-'SUPUESTOS PRECIOS'!$B$7)/'SUPUESTOS PRECIOS'!$B$4</x:f>
        <x:v>377.5</x:v>
      </x:c>
      <x:c r="W155" s="4" t="n">
        <x:f>'SUPUESTOS PRECIOS'!$B$8</x:f>
        <x:v>0.00968</x:v>
      </x:c>
      <x:c r="X155" s="4" t="n">
        <x:f>'SUPUESTOS PRECIOS'!$B$2</x:f>
        <x:v>0.4</x:v>
      </x:c>
      <x:c r="Y155" s="3">
        <x:f t="shared" si="9"/>
        <x:v>6990</x:v>
      </x:c>
      <x:c r="Z155" s="3">
        <x:f t="shared" si="10"/>
        <x:v>2794.8368</x:v>
      </x:c>
      <x:c r="AA155" s="11">
        <x:f t="shared" si="11"/>
        <x:v>0.39983359084406295</x:v>
      </x:c>
      <x:c r="AB155" t="s">
        <x:v>882</x:v>
      </x:c>
      <x:c r="AC155" t="s">
        <x:v>836</x:v>
      </x:c>
    </x:row>
    <x:row r="156">
      <x:c r="A156" s="10" t="s">
        <x:v>883</x:v>
      </x:c>
      <x:c r="B156" t="s">
        <x:v>884</x:v>
      </x:c>
      <x:c r="C156" t="s">
        <x:v>829</x:v>
      </x:c>
      <x:c r="D156" t="s">
        <x:v>830</x:v>
      </x:c>
      <x:c r="E156" t="s">
        <x:v>33</x:v>
      </x:c>
      <x:c r="F156" t="s">
        <x:v>839</x:v>
      </x:c>
      <x:c r="G156" t="s">
        <x:v>613</x:v>
      </x:c>
      <x:c r="H156" t="s">
        <x:v>762</x:v>
      </x:c>
      <x:c r="I156" t="s">
        <x:v>885</x:v>
      </x:c>
      <x:c r="J156">
        <x:v>1350</x:v>
      </x:c>
      <x:c r="K156">
        <x:v>0.3</x:v>
      </x:c>
      <x:c r="L156">
        <x:f t="shared" si="8"/>
        <x:v>1755</x:v>
      </x:c>
      <x:c r="M156" t="s">
        <x:v>38</x:v>
      </x:c>
      <x:c r="O156" t="s">
        <x:v>38</x:v>
      </x:c>
      <x:c r="P156" t="s">
        <x:v>39</x:v>
      </x:c>
      <x:c r="Q156" t="s">
        <x:v>884</x:v>
      </x:c>
      <x:c r="R156" t="s">
        <x:v>886</x:v>
      </x:c>
      <x:c r="S156" t="s">
        <x:v>834</x:v>
      </x:c>
      <x:c r="T156" s="2" t="n">
        <x:f>'SUPUESTOS PRECIOS'!$B$9</x:f>
        <x:v>0</x:v>
      </x:c>
      <x:c r="U156" s="3" t="n">
        <x:f>'SUPUESTOS PRECIOS'!$B$5/'SUPUESTOS PRECIOS'!$B$4</x:f>
        <x:v>1000</x:v>
      </x:c>
      <x:c r="V156" s="3" t="n">
        <x:f>('SUPUESTOS PRECIOS'!$B$6-'SUPUESTOS PRECIOS'!$B$7)/'SUPUESTOS PRECIOS'!$B$4</x:f>
        <x:v>377.5</x:v>
      </x:c>
      <x:c r="W156" s="4" t="n">
        <x:f>'SUPUESTOS PRECIOS'!$B$8</x:f>
        <x:v>0.00968</x:v>
      </x:c>
      <x:c r="X156" s="4" t="n">
        <x:f>'SUPUESTOS PRECIOS'!$B$2</x:f>
        <x:v>0.4</x:v>
      </x:c>
      <x:c r="Y156" s="3">
        <x:f t="shared" si="9"/>
        <x:v>4620</x:v>
      </x:c>
      <x:c r="Z156" s="3">
        <x:f t="shared" si="10"/>
        <x:v>1847.7783999999999</x:v>
      </x:c>
      <x:c r="AA156" s="11">
        <x:f t="shared" si="11"/>
        <x:v>0.3999520346320346</x:v>
      </x:c>
      <x:c r="AB156" t="s">
        <x:v>882</x:v>
      </x:c>
      <x:c r="AC156" t="s">
        <x:v>842</x:v>
      </x:c>
    </x:row>
    <x:row r="157">
      <x:c r="A157" s="10" t="s">
        <x:v>887</x:v>
      </x:c>
      <x:c r="B157" t="s">
        <x:v>888</x:v>
      </x:c>
      <x:c r="C157" t="s">
        <x:v>829</x:v>
      </x:c>
      <x:c r="D157" t="s">
        <x:v>830</x:v>
      </x:c>
      <x:c r="E157" t="s">
        <x:v>33</x:v>
      </x:c>
      <x:c r="F157" t="s">
        <x:v>845</x:v>
      </x:c>
      <x:c r="G157" t="s">
        <x:v>613</x:v>
      </x:c>
      <x:c r="H157" t="s">
        <x:v>846</x:v>
      </x:c>
      <x:c r="I157" t="s">
        <x:v>889</x:v>
      </x:c>
      <x:c r="J157">
        <x:v>7100</x:v>
      </x:c>
      <x:c r="K157">
        <x:v>0.3</x:v>
      </x:c>
      <x:c r="L157">
        <x:f t="shared" si="8"/>
        <x:v>9230</x:v>
      </x:c>
      <x:c r="M157" t="s">
        <x:v>38</x:v>
      </x:c>
      <x:c r="O157" t="s">
        <x:v>38</x:v>
      </x:c>
      <x:c r="P157" t="s">
        <x:v>39</x:v>
      </x:c>
      <x:c r="Q157" t="s">
        <x:v>888</x:v>
      </x:c>
      <x:c r="R157" t="s">
        <x:v>890</x:v>
      </x:c>
      <x:c r="S157" t="s">
        <x:v>834</x:v>
      </x:c>
      <x:c r="T157" s="2" t="n">
        <x:f>'SUPUESTOS PRECIOS'!$B$9</x:f>
        <x:v>0</x:v>
      </x:c>
      <x:c r="U157" s="3" t="n">
        <x:f>'SUPUESTOS PRECIOS'!$B$5/'SUPUESTOS PRECIOS'!$B$4</x:f>
        <x:v>1000</x:v>
      </x:c>
      <x:c r="V157" s="3" t="n">
        <x:f>('SUPUESTOS PRECIOS'!$B$6-'SUPUESTOS PRECIOS'!$B$7)/'SUPUESTOS PRECIOS'!$B$4</x:f>
        <x:v>377.5</x:v>
      </x:c>
      <x:c r="W157" s="4" t="n">
        <x:f>'SUPUESTOS PRECIOS'!$B$8</x:f>
        <x:v>0.00968</x:v>
      </x:c>
      <x:c r="X157" s="4" t="n">
        <x:f>'SUPUESTOS PRECIOS'!$B$2</x:f>
        <x:v>0.4</x:v>
      </x:c>
      <x:c r="Y157" s="3">
        <x:f t="shared" si="9"/>
        <x:v>14360</x:v>
      </x:c>
      <x:c r="Z157" s="3">
        <x:f t="shared" si="10"/>
        <x:v>5743.4952000000003</x:v>
      </x:c>
      <x:c r="AA157" s="11">
        <x:f t="shared" si="11"/>
        <x:v>0.39996484679665739</x:v>
      </x:c>
      <x:c r="AB157" t="s">
        <x:v>882</x:v>
      </x:c>
      <x:c r="AC157" t="s">
        <x:v>849</x:v>
      </x:c>
    </x:row>
    <x:row r="158">
      <x:c r="A158" s="10" t="s">
        <x:v>891</x:v>
      </x:c>
      <x:c r="B158" t="s">
        <x:v>892</x:v>
      </x:c>
      <x:c r="C158" t="s">
        <x:v>133</x:v>
      </x:c>
      <x:c r="D158" t="s">
        <x:v>893</x:v>
      </x:c>
      <x:c r="E158" t="s">
        <x:v>33</x:v>
      </x:c>
      <x:c r="F158" t="s">
        <x:v>894</x:v>
      </x:c>
      <x:c r="G158" t="s">
        <x:v>895</x:v>
      </x:c>
      <x:c r="H158" t="s">
        <x:v>136</x:v>
      </x:c>
      <x:c r="I158" t="s">
        <x:v>896</x:v>
      </x:c>
      <x:c r="J158">
        <x:v>1000</x:v>
      </x:c>
      <x:c r="K158">
        <x:v>0.3</x:v>
      </x:c>
      <x:c r="L158">
        <x:f t="shared" si="8"/>
        <x:v>1300</x:v>
      </x:c>
      <x:c r="M158" t="s">
        <x:v>38</x:v>
      </x:c>
      <x:c r="O158" t="s">
        <x:v>38</x:v>
      </x:c>
      <x:c r="P158" t="s">
        <x:v>39</x:v>
      </x:c>
      <x:c r="Q158" t="s">
        <x:v>892</x:v>
      </x:c>
      <x:c r="R158" t="s">
        <x:v>897</x:v>
      </x:c>
      <x:c r="S158" t="s">
        <x:v>898</x:v>
      </x:c>
      <x:c r="T158" s="2" t="n">
        <x:f>'SUPUESTOS PRECIOS'!$B$9</x:f>
        <x:v>0</x:v>
      </x:c>
      <x:c r="U158" s="3" t="n">
        <x:f>'SUPUESTOS PRECIOS'!$B$5/'SUPUESTOS PRECIOS'!$B$4</x:f>
        <x:v>1000</x:v>
      </x:c>
      <x:c r="V158" s="3" t="n">
        <x:f>('SUPUESTOS PRECIOS'!$B$6-'SUPUESTOS PRECIOS'!$B$7)/'SUPUESTOS PRECIOS'!$B$4</x:f>
        <x:v>377.5</x:v>
      </x:c>
      <x:c r="W158" s="4" t="n">
        <x:f>'SUPUESTOS PRECIOS'!$B$8</x:f>
        <x:v>0.00968</x:v>
      </x:c>
      <x:c r="X158" s="4" t="n">
        <x:f>'SUPUESTOS PRECIOS'!$B$2</x:f>
        <x:v>0.4</x:v>
      </x:c>
      <x:c r="Y158" s="3">
        <x:f t="shared" si="9"/>
        <x:v>4030</x:v>
      </x:c>
      <x:c r="Z158" s="3">
        <x:f t="shared" si="10"/>
        <x:v>1613.4896000000001</x:v>
      </x:c>
      <x:c r="AA158" s="11">
        <x:f t="shared" si="11"/>
        <x:v>0.40036962779156332</x:v>
      </x:c>
      <x:c r="AB158" t="s">
        <x:v>899</x:v>
      </x:c>
      <x:c r="AC158" t="s">
        <x:v>900</x:v>
      </x:c>
    </x:row>
    <x:row r="159">
      <x:c r="A159" s="10" t="s">
        <x:v>901</x:v>
      </x:c>
      <x:c r="B159" t="s">
        <x:v>902</x:v>
      </x:c>
      <x:c r="C159" t="s">
        <x:v>133</x:v>
      </x:c>
      <x:c r="D159" t="s">
        <x:v>893</x:v>
      </x:c>
      <x:c r="E159" t="s">
        <x:v>33</x:v>
      </x:c>
      <x:c r="F159" t="s">
        <x:v>903</x:v>
      </x:c>
      <x:c r="G159" t="s">
        <x:v>904</x:v>
      </x:c>
      <x:c r="H159" t="s">
        <x:v>136</x:v>
      </x:c>
      <x:c r="I159" t="s">
        <x:v>905</x:v>
      </x:c>
      <x:c r="J159">
        <x:v>1200</x:v>
      </x:c>
      <x:c r="K159">
        <x:v>0.3</x:v>
      </x:c>
      <x:c r="L159">
        <x:f t="shared" si="8"/>
        <x:v>1560</x:v>
      </x:c>
      <x:c r="M159" t="s">
        <x:v>38</x:v>
      </x:c>
      <x:c r="O159" t="s">
        <x:v>38</x:v>
      </x:c>
      <x:c r="P159" t="s">
        <x:v>39</x:v>
      </x:c>
      <x:c r="Q159" t="s">
        <x:v>902</x:v>
      </x:c>
      <x:c r="R159" t="s">
        <x:v>906</x:v>
      </x:c>
      <x:c r="S159" t="s">
        <x:v>898</x:v>
      </x:c>
      <x:c r="T159" s="2" t="n">
        <x:f>'SUPUESTOS PRECIOS'!$B$9</x:f>
        <x:v>0</x:v>
      </x:c>
      <x:c r="U159" s="3" t="n">
        <x:f>'SUPUESTOS PRECIOS'!$B$5/'SUPUESTOS PRECIOS'!$B$4</x:f>
        <x:v>1000</x:v>
      </x:c>
      <x:c r="V159" s="3" t="n">
        <x:f>('SUPUESTOS PRECIOS'!$B$6-'SUPUESTOS PRECIOS'!$B$7)/'SUPUESTOS PRECIOS'!$B$4</x:f>
        <x:v>377.5</x:v>
      </x:c>
      <x:c r="W159" s="4" t="n">
        <x:f>'SUPUESTOS PRECIOS'!$B$8</x:f>
        <x:v>0.00968</x:v>
      </x:c>
      <x:c r="X159" s="4" t="n">
        <x:f>'SUPUESTOS PRECIOS'!$B$2</x:f>
        <x:v>0.4</x:v>
      </x:c>
      <x:c r="Y159" s="3">
        <x:f t="shared" si="9"/>
        <x:v>4370</x:v>
      </x:c>
      <x:c r="Z159" s="3">
        <x:f t="shared" si="10"/>
        <x:v>1750.1984</x:v>
      </x:c>
      <x:c r="AA159" s="11">
        <x:f t="shared" si="11"/>
        <x:v>0.40050306636155608</x:v>
      </x:c>
      <x:c r="AB159" t="s">
        <x:v>899</x:v>
      </x:c>
      <x:c r="AC159" t="s">
        <x:v>907</x:v>
      </x:c>
    </x:row>
    <x:row r="160">
      <x:c r="A160" s="10" t="s">
        <x:v>908</x:v>
      </x:c>
      <x:c r="B160" t="s">
        <x:v>909</x:v>
      </x:c>
      <x:c r="C160" t="s">
        <x:v>133</x:v>
      </x:c>
      <x:c r="D160" t="s">
        <x:v>893</x:v>
      </x:c>
      <x:c r="E160" t="s">
        <x:v>33</x:v>
      </x:c>
      <x:c r="F160" t="s">
        <x:v>910</x:v>
      </x:c>
      <x:c r="G160" t="s">
        <x:v>911</x:v>
      </x:c>
      <x:c r="H160" t="s">
        <x:v>136</x:v>
      </x:c>
      <x:c r="I160" t="s">
        <x:v>912</x:v>
      </x:c>
      <x:c r="J160">
        <x:v>1400</x:v>
      </x:c>
      <x:c r="K160">
        <x:v>0.3</x:v>
      </x:c>
      <x:c r="L160">
        <x:f t="shared" si="8"/>
        <x:v>1820</x:v>
      </x:c>
      <x:c r="M160" t="s">
        <x:v>38</x:v>
      </x:c>
      <x:c r="O160" t="s">
        <x:v>38</x:v>
      </x:c>
      <x:c r="P160" t="s">
        <x:v>39</x:v>
      </x:c>
      <x:c r="Q160" t="s">
        <x:v>909</x:v>
      </x:c>
      <x:c r="R160" t="s">
        <x:v>913</x:v>
      </x:c>
      <x:c r="S160" t="s">
        <x:v>914</x:v>
      </x:c>
      <x:c r="T160" s="2" t="n">
        <x:f>'SUPUESTOS PRECIOS'!$B$9</x:f>
        <x:v>0</x:v>
      </x:c>
      <x:c r="U160" s="3" t="n">
        <x:f>'SUPUESTOS PRECIOS'!$B$5/'SUPUESTOS PRECIOS'!$B$4</x:f>
        <x:v>1000</x:v>
      </x:c>
      <x:c r="V160" s="3" t="n">
        <x:f>('SUPUESTOS PRECIOS'!$B$6-'SUPUESTOS PRECIOS'!$B$7)/'SUPUESTOS PRECIOS'!$B$4</x:f>
        <x:v>377.5</x:v>
      </x:c>
      <x:c r="W160" s="4" t="n">
        <x:f>'SUPUESTOS PRECIOS'!$B$8</x:f>
        <x:v>0.00968</x:v>
      </x:c>
      <x:c r="X160" s="4" t="n">
        <x:f>'SUPUESTOS PRECIOS'!$B$2</x:f>
        <x:v>0.4</x:v>
      </x:c>
      <x:c r="Y160" s="3">
        <x:f t="shared" si="9"/>
        <x:v>4710</x:v>
      </x:c>
      <x:c r="Z160" s="3">
        <x:f t="shared" si="10"/>
        <x:v>1886.9072000000001</x:v>
      </x:c>
      <x:c r="AA160" s="11">
        <x:f t="shared" si="11"/>
        <x:v>0.40061723991507431</x:v>
      </x:c>
      <x:c r="AB160" t="s">
        <x:v>899</x:v>
      </x:c>
      <x:c r="AC160" t="s">
        <x:v>915</x:v>
      </x:c>
    </x:row>
    <x:row r="161">
      <x:c r="A161" s="10" t="s">
        <x:v>916</x:v>
      </x:c>
      <x:c r="B161" t="s">
        <x:v>917</x:v>
      </x:c>
      <x:c r="C161" t="s">
        <x:v>133</x:v>
      </x:c>
      <x:c r="D161" t="s">
        <x:v>893</x:v>
      </x:c>
      <x:c r="E161" t="s">
        <x:v>33</x:v>
      </x:c>
      <x:c r="F161" t="s">
        <x:v>918</x:v>
      </x:c>
      <x:c r="H161" t="s">
        <x:v>136</x:v>
      </x:c>
      <x:c r="I161" t="s">
        <x:v>919</x:v>
      </x:c>
      <x:c r="J161">
        <x:v>2000</x:v>
      </x:c>
      <x:c r="K161">
        <x:v>0.3</x:v>
      </x:c>
      <x:c r="L161">
        <x:f t="shared" si="8"/>
        <x:v>2600</x:v>
      </x:c>
      <x:c r="M161" t="s">
        <x:v>38</x:v>
      </x:c>
      <x:c r="O161" t="s">
        <x:v>38</x:v>
      </x:c>
      <x:c r="P161" t="s">
        <x:v>39</x:v>
      </x:c>
      <x:c r="Q161" t="s">
        <x:v>917</x:v>
      </x:c>
      <x:c r="R161" t="s">
        <x:v>920</x:v>
      </x:c>
      <x:c r="S161" t="s">
        <x:v>914</x:v>
      </x:c>
      <x:c r="T161" s="2" t="n">
        <x:f>'SUPUESTOS PRECIOS'!$B$9</x:f>
        <x:v>0</x:v>
      </x:c>
      <x:c r="U161" s="3" t="n">
        <x:f>'SUPUESTOS PRECIOS'!$B$5/'SUPUESTOS PRECIOS'!$B$4</x:f>
        <x:v>1000</x:v>
      </x:c>
      <x:c r="V161" s="3" t="n">
        <x:f>('SUPUESTOS PRECIOS'!$B$6-'SUPUESTOS PRECIOS'!$B$7)/'SUPUESTOS PRECIOS'!$B$4</x:f>
        <x:v>377.5</x:v>
      </x:c>
      <x:c r="W161" s="4" t="n">
        <x:f>'SUPUESTOS PRECIOS'!$B$8</x:f>
        <x:v>0.00968</x:v>
      </x:c>
      <x:c r="X161" s="4" t="n">
        <x:f>'SUPUESTOS PRECIOS'!$B$2</x:f>
        <x:v>0.4</x:v>
      </x:c>
      <x:c r="Y161" s="3">
        <x:f t="shared" si="9"/>
        <x:v>5720</x:v>
      </x:c>
      <x:c r="Z161" s="3">
        <x:f t="shared" si="10"/>
        <x:v>2287.1304</x:v>
      </x:c>
      <x:c r="AA161" s="11">
        <x:f t="shared" si="11"/>
        <x:v>0.39984797202797201</x:v>
      </x:c>
    </x:row>
    <x:row r="162">
      <x:c r="A162" s="10" t="s">
        <x:v>921</x:v>
      </x:c>
      <x:c r="B162" t="s">
        <x:v>922</x:v>
      </x:c>
      <x:c r="C162" t="s">
        <x:v>133</x:v>
      </x:c>
      <x:c r="D162" t="s">
        <x:v>893</x:v>
      </x:c>
      <x:c r="E162" t="s">
        <x:v>33</x:v>
      </x:c>
      <x:c r="F162" t="s">
        <x:v>923</x:v>
      </x:c>
      <x:c r="H162" t="s">
        <x:v>136</x:v>
      </x:c>
      <x:c r="I162" t="s">
        <x:v>924</x:v>
      </x:c>
      <x:c r="J162">
        <x:v>4400</x:v>
      </x:c>
      <x:c r="K162">
        <x:v>0.3</x:v>
      </x:c>
      <x:c r="L162">
        <x:f t="shared" si="8"/>
        <x:v>5720</x:v>
      </x:c>
      <x:c r="M162" t="s">
        <x:v>38</x:v>
      </x:c>
      <x:c r="O162" t="s">
        <x:v>38</x:v>
      </x:c>
      <x:c r="P162" t="s">
        <x:v>39</x:v>
      </x:c>
      <x:c r="Q162" t="s">
        <x:v>922</x:v>
      </x:c>
      <x:c r="R162" t="s">
        <x:v>925</x:v>
      </x:c>
      <x:c r="S162" t="s">
        <x:v>914</x:v>
      </x:c>
      <x:c r="T162" s="2" t="n">
        <x:f>'SUPUESTOS PRECIOS'!$B$9</x:f>
        <x:v>0</x:v>
      </x:c>
      <x:c r="U162" s="3" t="n">
        <x:f>'SUPUESTOS PRECIOS'!$B$5/'SUPUESTOS PRECIOS'!$B$4</x:f>
        <x:v>1000</x:v>
      </x:c>
      <x:c r="V162" s="3" t="n">
        <x:f>('SUPUESTOS PRECIOS'!$B$6-'SUPUESTOS PRECIOS'!$B$7)/'SUPUESTOS PRECIOS'!$B$4</x:f>
        <x:v>377.5</x:v>
      </x:c>
      <x:c r="W162" s="4" t="n">
        <x:f>'SUPUESTOS PRECIOS'!$B$8</x:f>
        <x:v>0.00968</x:v>
      </x:c>
      <x:c r="X162" s="4" t="n">
        <x:f>'SUPUESTOS PRECIOS'!$B$2</x:f>
        <x:v>0.4</x:v>
      </x:c>
      <x:c r="Y162" s="3">
        <x:f t="shared" si="9"/>
        <x:v>9790</x:v>
      </x:c>
      <x:c r="Z162" s="3">
        <x:f t="shared" si="10"/>
        <x:v>3917.7328000000002</x:v>
      </x:c>
      <x:c r="AA162" s="11">
        <x:f t="shared" si="11"/>
        <x:v>0.40017699693564862</x:v>
      </x:c>
    </x:row>
    <x:row r="163">
      <x:c r="A163" s="10" t="s">
        <x:v>926</x:v>
      </x:c>
      <x:c r="B163" t="s">
        <x:v>927</x:v>
      </x:c>
      <x:c r="C163" t="s">
        <x:v>133</x:v>
      </x:c>
      <x:c r="D163" t="s">
        <x:v>893</x:v>
      </x:c>
      <x:c r="E163" t="s">
        <x:v>33</x:v>
      </x:c>
      <x:c r="F163" t="s">
        <x:v>928</x:v>
      </x:c>
      <x:c r="H163" t="s">
        <x:v>136</x:v>
      </x:c>
      <x:c r="I163" t="s">
        <x:v>929</x:v>
      </x:c>
      <x:c r="J163">
        <x:v>7000</x:v>
      </x:c>
      <x:c r="K163">
        <x:v>0.3</x:v>
      </x:c>
      <x:c r="L163">
        <x:f t="shared" si="8"/>
        <x:v>9100</x:v>
      </x:c>
      <x:c r="M163" t="s">
        <x:v>38</x:v>
      </x:c>
      <x:c r="O163" t="s">
        <x:v>38</x:v>
      </x:c>
      <x:c r="P163" t="s">
        <x:v>39</x:v>
      </x:c>
      <x:c r="Q163" t="s">
        <x:v>927</x:v>
      </x:c>
      <x:c r="R163" t="s">
        <x:v>930</x:v>
      </x:c>
      <x:c r="S163" t="s">
        <x:v>914</x:v>
      </x:c>
      <x:c r="T163" s="2" t="n">
        <x:f>'SUPUESTOS PRECIOS'!$B$9</x:f>
        <x:v>0</x:v>
      </x:c>
      <x:c r="U163" s="3" t="n">
        <x:f>'SUPUESTOS PRECIOS'!$B$5/'SUPUESTOS PRECIOS'!$B$4</x:f>
        <x:v>1000</x:v>
      </x:c>
      <x:c r="V163" s="3" t="n">
        <x:f>('SUPUESTOS PRECIOS'!$B$6-'SUPUESTOS PRECIOS'!$B$7)/'SUPUESTOS PRECIOS'!$B$4</x:f>
        <x:v>377.5</x:v>
      </x:c>
      <x:c r="W163" s="4" t="n">
        <x:f>'SUPUESTOS PRECIOS'!$B$8</x:f>
        <x:v>0.00968</x:v>
      </x:c>
      <x:c r="X163" s="4" t="n">
        <x:f>'SUPUESTOS PRECIOS'!$B$2</x:f>
        <x:v>0.4</x:v>
      </x:c>
      <x:c r="Y163" s="3">
        <x:f t="shared" si="9"/>
        <x:v>14190</x:v>
      </x:c>
      <x:c r="Z163" s="3">
        <x:f t="shared" si="10"/>
        <x:v>5675.1408000000001</x:v>
      </x:c>
      <x:c r="AA163" s="11">
        <x:f t="shared" si="11"/>
        <x:v>0.39993945031712475</x:v>
      </x:c>
    </x:row>
    <x:row r="164">
      <x:c r="A164" s="10" t="s">
        <x:v>931</x:v>
      </x:c>
      <x:c r="B164" t="s">
        <x:v>932</x:v>
      </x:c>
      <x:c r="C164" t="s">
        <x:v>133</x:v>
      </x:c>
      <x:c r="D164" t="s">
        <x:v>893</x:v>
      </x:c>
      <x:c r="E164" t="s">
        <x:v>33</x:v>
      </x:c>
      <x:c r="F164" t="s">
        <x:v>933</x:v>
      </x:c>
      <x:c r="H164" t="s">
        <x:v>136</x:v>
      </x:c>
      <x:c r="I164" t="s">
        <x:v>934</x:v>
      </x:c>
      <x:c r="J164">
        <x:v>8800</x:v>
      </x:c>
      <x:c r="K164">
        <x:v>0.3</x:v>
      </x:c>
      <x:c r="L164">
        <x:f t="shared" si="8"/>
        <x:v>11440</x:v>
      </x:c>
      <x:c r="M164" t="s">
        <x:v>38</x:v>
      </x:c>
      <x:c r="O164" t="s">
        <x:v>38</x:v>
      </x:c>
      <x:c r="P164" t="s">
        <x:v>39</x:v>
      </x:c>
      <x:c r="Q164" t="s">
        <x:v>932</x:v>
      </x:c>
      <x:c r="R164" t="s">
        <x:v>935</x:v>
      </x:c>
      <x:c r="S164" t="s">
        <x:v>914</x:v>
      </x:c>
      <x:c r="T164" s="2" t="n">
        <x:f>'SUPUESTOS PRECIOS'!$B$9</x:f>
        <x:v>0</x:v>
      </x:c>
      <x:c r="U164" s="3" t="n">
        <x:f>'SUPUESTOS PRECIOS'!$B$5/'SUPUESTOS PRECIOS'!$B$4</x:f>
        <x:v>1000</x:v>
      </x:c>
      <x:c r="V164" s="3" t="n">
        <x:f>('SUPUESTOS PRECIOS'!$B$6-'SUPUESTOS PRECIOS'!$B$7)/'SUPUESTOS PRECIOS'!$B$4</x:f>
        <x:v>377.5</x:v>
      </x:c>
      <x:c r="W164" s="4" t="n">
        <x:f>'SUPUESTOS PRECIOS'!$B$8</x:f>
        <x:v>0.00968</x:v>
      </x:c>
      <x:c r="X164" s="4" t="n">
        <x:f>'SUPUESTOS PRECIOS'!$B$2</x:f>
        <x:v>0.4</x:v>
      </x:c>
      <x:c r="Y164" s="3">
        <x:f t="shared" si="9"/>
        <x:v>17240</x:v>
      </x:c>
      <x:c r="Z164" s="3">
        <x:f t="shared" si="10"/>
        <x:v>6895.6167999999998</x:v>
      </x:c>
      <x:c r="AA164" s="11">
        <x:f t="shared" si="11"/>
        <x:v>0.39997777262180972</x:v>
      </x:c>
    </x:row>
    <x:row r="165">
      <x:c r="A165" s="10" t="s">
        <x:v>936</x:v>
      </x:c>
      <x:c r="B165" t="s">
        <x:v>937</x:v>
      </x:c>
      <x:c r="C165" t="s">
        <x:v>133</x:v>
      </x:c>
      <x:c r="D165" t="s">
        <x:v>938</x:v>
      </x:c>
      <x:c r="E165" t="s">
        <x:v>939</x:v>
      </x:c>
      <x:c r="F165" t="s">
        <x:v>940</x:v>
      </x:c>
      <x:c r="H165" t="s">
        <x:v>136</x:v>
      </x:c>
      <x:c r="I165" t="s">
        <x:v>941</x:v>
      </x:c>
      <x:c r="J165">
        <x:v>300</x:v>
      </x:c>
      <x:c r="K165">
        <x:v>0.3</x:v>
      </x:c>
      <x:c r="L165">
        <x:f t="shared" si="8"/>
        <x:v>390</x:v>
      </x:c>
      <x:c r="M165" t="s">
        <x:v>38</x:v>
      </x:c>
      <x:c r="O165" t="s">
        <x:v>38</x:v>
      </x:c>
      <x:c r="P165" t="s">
        <x:v>39</x:v>
      </x:c>
      <x:c r="Q165" t="s">
        <x:v>937</x:v>
      </x:c>
      <x:c r="R165" t="s">
        <x:v>942</x:v>
      </x:c>
      <x:c r="S165" t="s">
        <x:v>943</x:v>
      </x:c>
      <x:c r="T165" s="2" t="n">
        <x:f>'SUPUESTOS PRECIOS'!$B$9</x:f>
        <x:v>0</x:v>
      </x:c>
      <x:c r="U165" s="3" t="n">
        <x:f>'SUPUESTOS PRECIOS'!$B$5/'SUPUESTOS PRECIOS'!$B$4</x:f>
        <x:v>1000</x:v>
      </x:c>
      <x:c r="V165" s="3" t="n">
        <x:f>('SUPUESTOS PRECIOS'!$B$6-'SUPUESTOS PRECIOS'!$B$7)/'SUPUESTOS PRECIOS'!$B$4</x:f>
        <x:v>377.5</x:v>
      </x:c>
      <x:c r="W165" s="4" t="n">
        <x:f>'SUPUESTOS PRECIOS'!$B$8</x:f>
        <x:v>0.00968</x:v>
      </x:c>
      <x:c r="X165" s="4" t="n">
        <x:f>'SUPUESTOS PRECIOS'!$B$2</x:f>
        <x:v>0.4</x:v>
      </x:c>
      <x:c r="Y165" s="3">
        <x:f t="shared" si="9"/>
        <x:v>2840</x:v>
      </x:c>
      <x:c r="Z165" s="3">
        <x:f t="shared" si="10"/>
        <x:v>1135.0088000000001</x:v>
      </x:c>
      <x:c r="AA165" s="11">
        <x:f t="shared" si="11"/>
        <x:v>0.39965098591549297</x:v>
      </x:c>
    </x:row>
    <x:row r="166">
      <x:c r="A166" s="10" t="s">
        <x:v>944</x:v>
      </x:c>
      <x:c r="B166" t="s">
        <x:v>945</x:v>
      </x:c>
      <x:c r="C166" t="s">
        <x:v>133</x:v>
      </x:c>
      <x:c r="D166" t="s">
        <x:v>938</x:v>
      </x:c>
      <x:c r="E166" t="s">
        <x:v>939</x:v>
      </x:c>
      <x:c r="F166" t="s">
        <x:v>946</x:v>
      </x:c>
      <x:c r="H166" t="s">
        <x:v>136</x:v>
      </x:c>
      <x:c r="I166" t="s">
        <x:v>947</x:v>
      </x:c>
      <x:c r="J166">
        <x:v>1400</x:v>
      </x:c>
      <x:c r="K166">
        <x:v>0.3</x:v>
      </x:c>
      <x:c r="L166">
        <x:f t="shared" si="8"/>
        <x:v>1820</x:v>
      </x:c>
      <x:c r="M166" t="s">
        <x:v>38</x:v>
      </x:c>
      <x:c r="O166" t="s">
        <x:v>38</x:v>
      </x:c>
      <x:c r="P166" t="s">
        <x:v>39</x:v>
      </x:c>
      <x:c r="Q166" t="s">
        <x:v>945</x:v>
      </x:c>
      <x:c r="R166" t="s">
        <x:v>948</x:v>
      </x:c>
      <x:c r="S166" t="s">
        <x:v>943</x:v>
      </x:c>
      <x:c r="T166" s="2" t="n">
        <x:f>'SUPUESTOS PRECIOS'!$B$9</x:f>
        <x:v>0</x:v>
      </x:c>
      <x:c r="U166" s="3" t="n">
        <x:f>'SUPUESTOS PRECIOS'!$B$5/'SUPUESTOS PRECIOS'!$B$4</x:f>
        <x:v>1000</x:v>
      </x:c>
      <x:c r="V166" s="3" t="n">
        <x:f>('SUPUESTOS PRECIOS'!$B$6-'SUPUESTOS PRECIOS'!$B$7)/'SUPUESTOS PRECIOS'!$B$4</x:f>
        <x:v>377.5</x:v>
      </x:c>
      <x:c r="W166" s="4" t="n">
        <x:f>'SUPUESTOS PRECIOS'!$B$8</x:f>
        <x:v>0.00968</x:v>
      </x:c>
      <x:c r="X166" s="4" t="n">
        <x:f>'SUPUESTOS PRECIOS'!$B$2</x:f>
        <x:v>0.4</x:v>
      </x:c>
      <x:c r="Y166" s="3">
        <x:f t="shared" si="9"/>
        <x:v>4710</x:v>
      </x:c>
      <x:c r="Z166" s="3">
        <x:f t="shared" si="10"/>
        <x:v>1886.9072000000001</x:v>
      </x:c>
      <x:c r="AA166" s="11">
        <x:f t="shared" si="11"/>
        <x:v>0.40061723991507431</x:v>
      </x:c>
    </x:row>
    <x:row r="167">
      <x:c r="A167" s="10" t="s">
        <x:v>949</x:v>
      </x:c>
      <x:c r="B167" t="s">
        <x:v>950</x:v>
      </x:c>
      <x:c r="C167" t="s">
        <x:v>133</x:v>
      </x:c>
      <x:c r="D167" t="s">
        <x:v>938</x:v>
      </x:c>
      <x:c r="E167" t="s">
        <x:v>939</x:v>
      </x:c>
      <x:c r="F167" t="s">
        <x:v>951</x:v>
      </x:c>
      <x:c r="H167" t="s">
        <x:v>136</x:v>
      </x:c>
      <x:c r="I167" t="s">
        <x:v>952</x:v>
      </x:c>
      <x:c r="J167">
        <x:v>400</x:v>
      </x:c>
      <x:c r="K167">
        <x:v>0.3</x:v>
      </x:c>
      <x:c r="L167">
        <x:f t="shared" si="8"/>
        <x:v>520</x:v>
      </x:c>
      <x:c r="M167" t="s">
        <x:v>38</x:v>
      </x:c>
      <x:c r="O167" t="s">
        <x:v>38</x:v>
      </x:c>
      <x:c r="P167" t="s">
        <x:v>39</x:v>
      </x:c>
      <x:c r="Q167" t="s">
        <x:v>950</x:v>
      </x:c>
      <x:c r="R167" t="s">
        <x:v>953</x:v>
      </x:c>
      <x:c r="S167" t="s">
        <x:v>943</x:v>
      </x:c>
      <x:c r="T167" s="2" t="n">
        <x:f>'SUPUESTOS PRECIOS'!$B$9</x:f>
        <x:v>0</x:v>
      </x:c>
      <x:c r="U167" s="3" t="n">
        <x:f>'SUPUESTOS PRECIOS'!$B$5/'SUPUESTOS PRECIOS'!$B$4</x:f>
        <x:v>1000</x:v>
      </x:c>
      <x:c r="V167" s="3" t="n">
        <x:f>('SUPUESTOS PRECIOS'!$B$6-'SUPUESTOS PRECIOS'!$B$7)/'SUPUESTOS PRECIOS'!$B$4</x:f>
        <x:v>377.5</x:v>
      </x:c>
      <x:c r="W167" s="4" t="n">
        <x:f>'SUPUESTOS PRECIOS'!$B$8</x:f>
        <x:v>0.00968</x:v>
      </x:c>
      <x:c r="X167" s="4" t="n">
        <x:f>'SUPUESTOS PRECIOS'!$B$2</x:f>
        <x:v>0.4</x:v>
      </x:c>
      <x:c r="Y167" s="3">
        <x:f t="shared" si="9"/>
        <x:v>3010</x:v>
      </x:c>
      <x:c r="Z167" s="3">
        <x:f t="shared" si="10"/>
        <x:v>1203.3632</x:v>
      </x:c>
      <x:c r="AA167" s="11">
        <x:f t="shared" si="11"/>
        <x:v>0.399788438538206</x:v>
      </x:c>
    </x:row>
    <x:row r="168">
      <x:c r="A168" s="10" t="s">
        <x:v>954</x:v>
      </x:c>
      <x:c r="B168" t="s">
        <x:v>955</x:v>
      </x:c>
      <x:c r="C168" t="s">
        <x:v>133</x:v>
      </x:c>
      <x:c r="D168" t="s">
        <x:v>938</x:v>
      </x:c>
      <x:c r="E168" t="s">
        <x:v>939</x:v>
      </x:c>
      <x:c r="F168" t="s">
        <x:v>956</x:v>
      </x:c>
      <x:c r="H168" t="s">
        <x:v>846</x:v>
      </x:c>
      <x:c r="I168" t="s">
        <x:v>957</x:v>
      </x:c>
      <x:c r="J168">
        <x:v>2280</x:v>
      </x:c>
      <x:c r="K168">
        <x:v>0.3</x:v>
      </x:c>
      <x:c r="L168">
        <x:f t="shared" si="8"/>
        <x:v>2964</x:v>
      </x:c>
      <x:c r="M168" t="s">
        <x:v>38</x:v>
      </x:c>
      <x:c r="O168" t="s">
        <x:v>38</x:v>
      </x:c>
      <x:c r="P168" t="s">
        <x:v>39</x:v>
      </x:c>
      <x:c r="Q168" t="s">
        <x:v>955</x:v>
      </x:c>
      <x:c r="R168" t="s">
        <x:v>958</x:v>
      </x:c>
      <x:c r="S168" t="s">
        <x:v>943</x:v>
      </x:c>
      <x:c r="T168" s="2" t="n">
        <x:f>'SUPUESTOS PRECIOS'!$B$9</x:f>
        <x:v>0</x:v>
      </x:c>
      <x:c r="U168" s="3" t="n">
        <x:f>'SUPUESTOS PRECIOS'!$B$5/'SUPUESTOS PRECIOS'!$B$4</x:f>
        <x:v>1000</x:v>
      </x:c>
      <x:c r="V168" s="3" t="n">
        <x:f>('SUPUESTOS PRECIOS'!$B$6-'SUPUESTOS PRECIOS'!$B$7)/'SUPUESTOS PRECIOS'!$B$4</x:f>
        <x:v>377.5</x:v>
      </x:c>
      <x:c r="W168" s="4" t="n">
        <x:f>'SUPUESTOS PRECIOS'!$B$8</x:f>
        <x:v>0.00968</x:v>
      </x:c>
      <x:c r="X168" s="4" t="n">
        <x:f>'SUPUESTOS PRECIOS'!$B$2</x:f>
        <x:v>0.4</x:v>
      </x:c>
      <x:c r="Y168" s="3">
        <x:f t="shared" si="9"/>
        <x:v>6200</x:v>
      </x:c>
      <x:c r="Z168" s="3">
        <x:f t="shared" si="10"/>
        <x:v>2482.4839999999999</x:v>
      </x:c>
      <x:c r="AA168" s="11">
        <x:f t="shared" si="11"/>
        <x:v>0.40040064516129031</x:v>
      </x:c>
    </x:row>
    <x:row r="169">
      <x:c r="A169" s="10" t="s">
        <x:v>959</x:v>
      </x:c>
      <x:c r="B169" t="s">
        <x:v>960</x:v>
      </x:c>
      <x:c r="C169" t="s">
        <x:v>133</x:v>
      </x:c>
      <x:c r="D169" t="s">
        <x:v>938</x:v>
      </x:c>
      <x:c r="E169" t="s">
        <x:v>939</x:v>
      </x:c>
      <x:c r="F169" t="s">
        <x:v>961</x:v>
      </x:c>
      <x:c r="H169" t="s">
        <x:v>846</x:v>
      </x:c>
      <x:c r="I169" t="s">
        <x:v>962</x:v>
      </x:c>
      <x:c r="J169">
        <x:v>14000</x:v>
      </x:c>
      <x:c r="K169">
        <x:v>0.3</x:v>
      </x:c>
      <x:c r="L169">
        <x:f t="shared" si="8"/>
        <x:v>18200</x:v>
      </x:c>
      <x:c r="M169" t="s">
        <x:v>38</x:v>
      </x:c>
      <x:c r="O169" t="s">
        <x:v>38</x:v>
      </x:c>
      <x:c r="P169" t="s">
        <x:v>39</x:v>
      </x:c>
      <x:c r="Q169" t="s">
        <x:v>960</x:v>
      </x:c>
      <x:c r="R169" t="s">
        <x:v>963</x:v>
      </x:c>
      <x:c r="S169" t="s">
        <x:v>943</x:v>
      </x:c>
      <x:c r="T169" s="2" t="n">
        <x:f>'SUPUESTOS PRECIOS'!$B$9</x:f>
        <x:v>0</x:v>
      </x:c>
      <x:c r="U169" s="3" t="n">
        <x:f>'SUPUESTOS PRECIOS'!$B$5/'SUPUESTOS PRECIOS'!$B$4</x:f>
        <x:v>1000</x:v>
      </x:c>
      <x:c r="V169" s="3" t="n">
        <x:f>('SUPUESTOS PRECIOS'!$B$6-'SUPUESTOS PRECIOS'!$B$7)/'SUPUESTOS PRECIOS'!$B$4</x:f>
        <x:v>377.5</x:v>
      </x:c>
      <x:c r="W169" s="4" t="n">
        <x:f>'SUPUESTOS PRECIOS'!$B$8</x:f>
        <x:v>0.00968</x:v>
      </x:c>
      <x:c r="X169" s="4" t="n">
        <x:f>'SUPUESTOS PRECIOS'!$B$2</x:f>
        <x:v>0.4</x:v>
      </x:c>
      <x:c r="Y169" s="3">
        <x:f t="shared" si="9"/>
        <x:v>26050</x:v>
      </x:c>
      <x:c r="Z169" s="3">
        <x:f t="shared" si="10"/>
        <x:v>10420.335999999999</x:v>
      </x:c>
      <x:c r="AA169" s="11">
        <x:f t="shared" si="11"/>
        <x:v>0.40001289827255276</x:v>
      </x:c>
    </x:row>
    <x:row r="170">
      <x:c r="A170" s="10" t="s">
        <x:v>964</x:v>
      </x:c>
      <x:c r="B170" t="s">
        <x:v>965</x:v>
      </x:c>
      <x:c r="C170" t="s">
        <x:v>133</x:v>
      </x:c>
      <x:c r="D170" t="s">
        <x:v>938</x:v>
      </x:c>
      <x:c r="E170" t="s">
        <x:v>939</x:v>
      </x:c>
      <x:c r="F170" t="s">
        <x:v>966</x:v>
      </x:c>
      <x:c r="H170" t="s">
        <x:v>136</x:v>
      </x:c>
      <x:c r="I170" t="s">
        <x:v>967</x:v>
      </x:c>
      <x:c r="J170">
        <x:v>650</x:v>
      </x:c>
      <x:c r="K170">
        <x:v>0.3</x:v>
      </x:c>
      <x:c r="L170">
        <x:f t="shared" si="8"/>
        <x:v>845</x:v>
      </x:c>
      <x:c r="M170" t="s">
        <x:v>38</x:v>
      </x:c>
      <x:c r="O170" t="s">
        <x:v>38</x:v>
      </x:c>
      <x:c r="P170" t="s">
        <x:v>39</x:v>
      </x:c>
      <x:c r="Q170" t="s">
        <x:v>965</x:v>
      </x:c>
      <x:c r="R170" t="s">
        <x:v>968</x:v>
      </x:c>
      <x:c r="S170" t="s">
        <x:v>943</x:v>
      </x:c>
      <x:c r="T170" s="2" t="n">
        <x:f>'SUPUESTOS PRECIOS'!$B$9</x:f>
        <x:v>0</x:v>
      </x:c>
      <x:c r="U170" s="3" t="n">
        <x:f>'SUPUESTOS PRECIOS'!$B$5/'SUPUESTOS PRECIOS'!$B$4</x:f>
        <x:v>1000</x:v>
      </x:c>
      <x:c r="V170" s="3" t="n">
        <x:f>('SUPUESTOS PRECIOS'!$B$6-'SUPUESTOS PRECIOS'!$B$7)/'SUPUESTOS PRECIOS'!$B$4</x:f>
        <x:v>377.5</x:v>
      </x:c>
      <x:c r="W170" s="4" t="n">
        <x:f>'SUPUESTOS PRECIOS'!$B$8</x:f>
        <x:v>0.00968</x:v>
      </x:c>
      <x:c r="X170" s="4" t="n">
        <x:f>'SUPUESTOS PRECIOS'!$B$2</x:f>
        <x:v>0.4</x:v>
      </x:c>
      <x:c r="Y170" s="3">
        <x:f t="shared" si="9"/>
        <x:v>3430</x:v>
      </x:c>
      <x:c r="Z170" s="3">
        <x:f t="shared" si="10"/>
        <x:v>1369.2976000000001</x:v>
      </x:c>
      <x:c r="AA170" s="11">
        <x:f t="shared" si="11"/>
        <x:v>0.39921212827988339</x:v>
      </x:c>
    </x:row>
    <x:row r="171">
      <x:c r="A171" s="10" t="s">
        <x:v>969</x:v>
      </x:c>
      <x:c r="B171" t="s">
        <x:v>970</x:v>
      </x:c>
      <x:c r="C171" t="s">
        <x:v>133</x:v>
      </x:c>
      <x:c r="D171" t="s">
        <x:v>938</x:v>
      </x:c>
      <x:c r="E171" t="s">
        <x:v>33</x:v>
      </x:c>
      <x:c r="F171" t="s">
        <x:v>971</x:v>
      </x:c>
      <x:c r="H171" t="s">
        <x:v>136</x:v>
      </x:c>
      <x:c r="I171" t="s">
        <x:v>972</x:v>
      </x:c>
      <x:c r="J171">
        <x:v>1700</x:v>
      </x:c>
      <x:c r="K171">
        <x:v>0.3</x:v>
      </x:c>
      <x:c r="L171">
        <x:f t="shared" si="8"/>
        <x:v>2210</x:v>
      </x:c>
      <x:c r="M171" t="s">
        <x:v>38</x:v>
      </x:c>
      <x:c r="O171" t="s">
        <x:v>38</x:v>
      </x:c>
      <x:c r="P171" t="s">
        <x:v>39</x:v>
      </x:c>
      <x:c r="Q171" t="s">
        <x:v>970</x:v>
      </x:c>
      <x:c r="R171" t="s">
        <x:v>973</x:v>
      </x:c>
      <x:c r="S171" t="s">
        <x:v>943</x:v>
      </x:c>
      <x:c r="T171" s="2" t="n">
        <x:f>'SUPUESTOS PRECIOS'!$B$9</x:f>
        <x:v>0</x:v>
      </x:c>
      <x:c r="U171" s="3" t="n">
        <x:f>'SUPUESTOS PRECIOS'!$B$5/'SUPUESTOS PRECIOS'!$B$4</x:f>
        <x:v>1000</x:v>
      </x:c>
      <x:c r="V171" s="3" t="n">
        <x:f>('SUPUESTOS PRECIOS'!$B$6-'SUPUESTOS PRECIOS'!$B$7)/'SUPUESTOS PRECIOS'!$B$4</x:f>
        <x:v>377.5</x:v>
      </x:c>
      <x:c r="W171" s="4" t="n">
        <x:f>'SUPUESTOS PRECIOS'!$B$8</x:f>
        <x:v>0.00968</x:v>
      </x:c>
      <x:c r="X171" s="4" t="n">
        <x:f>'SUPUESTOS PRECIOS'!$B$2</x:f>
        <x:v>0.4</x:v>
      </x:c>
      <x:c r="Y171" s="3">
        <x:f t="shared" si="9"/>
        <x:v>5210</x:v>
      </x:c>
      <x:c r="Z171" s="3">
        <x:f t="shared" si="10"/>
        <x:v>2082.0672</x:v>
      </x:c>
      <x:c r="AA171" s="11">
        <x:f t="shared" si="11"/>
        <x:v>0.39962902111324378</x:v>
      </x:c>
    </x:row>
    <x:row r="172">
      <x:c r="A172" s="10" t="s">
        <x:v>974</x:v>
      </x:c>
      <x:c r="B172" t="s">
        <x:v>975</x:v>
      </x:c>
      <x:c r="C172" t="s">
        <x:v>133</x:v>
      </x:c>
      <x:c r="D172" t="s">
        <x:v>976</x:v>
      </x:c>
      <x:c r="E172" t="s">
        <x:v>33</x:v>
      </x:c>
      <x:c r="F172" t="s">
        <x:v>977</x:v>
      </x:c>
      <x:c r="H172" t="s">
        <x:v>136</x:v>
      </x:c>
      <x:c r="I172" t="s">
        <x:v>978</x:v>
      </x:c>
      <x:c r="J172">
        <x:v>20000</x:v>
      </x:c>
      <x:c r="K172">
        <x:v>0.5</x:v>
      </x:c>
      <x:c r="L172">
        <x:f t="shared" si="8"/>
        <x:v>30000</x:v>
      </x:c>
      <x:c r="M172" t="s">
        <x:v>38</x:v>
      </x:c>
      <x:c r="O172" t="s">
        <x:v>38</x:v>
      </x:c>
      <x:c r="P172" t="s">
        <x:v>39</x:v>
      </x:c>
      <x:c r="Q172" t="s">
        <x:v>975</x:v>
      </x:c>
      <x:c r="R172" t="s">
        <x:v>979</x:v>
      </x:c>
      <x:c r="S172" t="s">
        <x:v>980</x:v>
      </x:c>
      <x:c r="T172" s="2" t="n">
        <x:f>'SUPUESTOS PRECIOS'!$B$9</x:f>
        <x:v>0</x:v>
      </x:c>
      <x:c r="U172" s="3" t="n">
        <x:f>'SUPUESTOS PRECIOS'!$B$5/'SUPUESTOS PRECIOS'!$B$4</x:f>
        <x:v>1000</x:v>
      </x:c>
      <x:c r="V172" s="3" t="n">
        <x:f>('SUPUESTOS PRECIOS'!$B$6-'SUPUESTOS PRECIOS'!$B$7)/'SUPUESTOS PRECIOS'!$B$4</x:f>
        <x:v>377.5</x:v>
      </x:c>
      <x:c r="W172" s="4" t="n">
        <x:f>'SUPUESTOS PRECIOS'!$B$8</x:f>
        <x:v>0.00968</x:v>
      </x:c>
      <x:c r="X172" s="4" t="n">
        <x:f>'SUPUESTOS PRECIOS'!$B$2</x:f>
        <x:v>0.4</x:v>
      </x:c>
      <x:c r="Y172" s="3">
        <x:f t="shared" si="9"/>
        <x:v>36210</x:v>
      </x:c>
      <x:c r="Z172" s="3">
        <x:f t="shared" si="10"/>
        <x:v>14481.9872</x:v>
      </x:c>
      <x:c r="AA172" s="11">
        <x:f t="shared" si="11"/>
        <x:v>0.39994441314553991</x:v>
      </x:c>
    </x:row>
    <x:row r="173">
      <x:c r="A173" s="10" t="s">
        <x:v>981</x:v>
      </x:c>
      <x:c r="B173" t="s">
        <x:v>982</x:v>
      </x:c>
      <x:c r="C173" t="s">
        <x:v>133</x:v>
      </x:c>
      <x:c r="D173" t="s">
        <x:v>976</x:v>
      </x:c>
      <x:c r="E173" t="s">
        <x:v>33</x:v>
      </x:c>
      <x:c r="F173" t="s">
        <x:v>983</x:v>
      </x:c>
      <x:c r="H173" t="s">
        <x:v>136</x:v>
      </x:c>
      <x:c r="I173" t="s">
        <x:v>984</x:v>
      </x:c>
      <x:c r="J173">
        <x:v>4000</x:v>
      </x:c>
      <x:c r="K173">
        <x:v>0.5</x:v>
      </x:c>
      <x:c r="L173">
        <x:f t="shared" si="8"/>
        <x:v>6000</x:v>
      </x:c>
      <x:c r="M173" t="s">
        <x:v>38</x:v>
      </x:c>
      <x:c r="O173" t="s">
        <x:v>38</x:v>
      </x:c>
      <x:c r="P173" t="s">
        <x:v>39</x:v>
      </x:c>
      <x:c r="Q173" t="s">
        <x:v>982</x:v>
      </x:c>
      <x:c r="R173" t="s">
        <x:v>985</x:v>
      </x:c>
      <x:c r="S173" t="s">
        <x:v>980</x:v>
      </x:c>
      <x:c r="T173" s="2" t="n">
        <x:f>'SUPUESTOS PRECIOS'!$B$9</x:f>
        <x:v>0</x:v>
      </x:c>
      <x:c r="U173" s="3" t="n">
        <x:f>'SUPUESTOS PRECIOS'!$B$5/'SUPUESTOS PRECIOS'!$B$4</x:f>
        <x:v>1000</x:v>
      </x:c>
      <x:c r="V173" s="3" t="n">
        <x:f>('SUPUESTOS PRECIOS'!$B$6-'SUPUESTOS PRECIOS'!$B$7)/'SUPUESTOS PRECIOS'!$B$4</x:f>
        <x:v>377.5</x:v>
      </x:c>
      <x:c r="W173" s="4" t="n">
        <x:f>'SUPUESTOS PRECIOS'!$B$8</x:f>
        <x:v>0.00968</x:v>
      </x:c>
      <x:c r="X173" s="4" t="n">
        <x:f>'SUPUESTOS PRECIOS'!$B$2</x:f>
        <x:v>0.4</x:v>
      </x:c>
      <x:c r="Y173" s="3">
        <x:f t="shared" si="9"/>
        <x:v>9110</x:v>
      </x:c>
      <x:c r="Z173" s="3">
        <x:f t="shared" si="10"/>
        <x:v>3644.3152</x:v>
      </x:c>
      <x:c r="AA173" s="11">
        <x:f t="shared" si="11"/>
        <x:v>0.40003459934138308</x:v>
      </x:c>
    </x:row>
    <x:row r="174">
      <x:c r="A174" s="10" t="s">
        <x:v>986</x:v>
      </x:c>
      <x:c r="B174" t="s">
        <x:v>987</x:v>
      </x:c>
      <x:c r="C174" t="s">
        <x:v>133</x:v>
      </x:c>
      <x:c r="D174" t="s">
        <x:v>976</x:v>
      </x:c>
      <x:c r="E174" t="s">
        <x:v>33</x:v>
      </x:c>
      <x:c r="F174" t="s">
        <x:v>988</x:v>
      </x:c>
      <x:c r="H174" t="s">
        <x:v>136</x:v>
      </x:c>
      <x:c r="I174" t="s">
        <x:v>989</x:v>
      </x:c>
      <x:c r="J174">
        <x:v>27000</x:v>
      </x:c>
      <x:c r="K174">
        <x:v>0.5</x:v>
      </x:c>
      <x:c r="L174">
        <x:f t="shared" si="8"/>
        <x:v>40500</x:v>
      </x:c>
      <x:c r="M174" t="s">
        <x:v>38</x:v>
      </x:c>
      <x:c r="O174" t="s">
        <x:v>38</x:v>
      </x:c>
      <x:c r="P174" t="s">
        <x:v>39</x:v>
      </x:c>
      <x:c r="Q174" t="s">
        <x:v>987</x:v>
      </x:c>
      <x:c r="R174" t="s">
        <x:v>990</x:v>
      </x:c>
      <x:c r="S174" t="s">
        <x:v>980</x:v>
      </x:c>
      <x:c r="T174" s="2" t="n">
        <x:f>'SUPUESTOS PRECIOS'!$B$9</x:f>
        <x:v>0</x:v>
      </x:c>
      <x:c r="U174" s="3" t="n">
        <x:f>'SUPUESTOS PRECIOS'!$B$5/'SUPUESTOS PRECIOS'!$B$4</x:f>
        <x:v>1000</x:v>
      </x:c>
      <x:c r="V174" s="3" t="n">
        <x:f>('SUPUESTOS PRECIOS'!$B$6-'SUPUESTOS PRECIOS'!$B$7)/'SUPUESTOS PRECIOS'!$B$4</x:f>
        <x:v>377.5</x:v>
      </x:c>
      <x:c r="W174" s="4" t="n">
        <x:f>'SUPUESTOS PRECIOS'!$B$8</x:f>
        <x:v>0.00968</x:v>
      </x:c>
      <x:c r="X174" s="4" t="n">
        <x:f>'SUPUESTOS PRECIOS'!$B$2</x:f>
        <x:v>0.4</x:v>
      </x:c>
      <x:c r="Y174" s="3">
        <x:f t="shared" si="9"/>
        <x:v>48070</x:v>
      </x:c>
      <x:c r="Z174" s="3">
        <x:f t="shared" si="10"/>
        <x:v>19227.182400000002</x:v>
      </x:c>
      <x:c r="AA174" s="11">
        <x:f t="shared" si="11"/>
        <x:v>0.39998299147077182</x:v>
      </x:c>
    </x:row>
    <x:row r="175">
      <x:c r="A175" s="10" t="s">
        <x:v>991</x:v>
      </x:c>
      <x:c r="B175" t="s">
        <x:v>992</x:v>
      </x:c>
      <x:c r="C175" t="s">
        <x:v>133</x:v>
      </x:c>
      <x:c r="D175" t="s">
        <x:v>976</x:v>
      </x:c>
      <x:c r="E175" t="s">
        <x:v>33</x:v>
      </x:c>
      <x:c r="F175" t="s">
        <x:v>993</x:v>
      </x:c>
      <x:c r="H175" t="s">
        <x:v>846</x:v>
      </x:c>
      <x:c r="I175" t="s">
        <x:v>994</x:v>
      </x:c>
      <x:c r="J175">
        <x:v>700</x:v>
      </x:c>
      <x:c r="K175">
        <x:v>0.5</x:v>
      </x:c>
      <x:c r="L175">
        <x:f t="shared" si="8"/>
        <x:v>1050</x:v>
      </x:c>
      <x:c r="M175" t="s">
        <x:v>38</x:v>
      </x:c>
      <x:c r="O175" t="s">
        <x:v>38</x:v>
      </x:c>
      <x:c r="P175" t="s">
        <x:v>39</x:v>
      </x:c>
      <x:c r="Q175" t="s">
        <x:v>992</x:v>
      </x:c>
      <x:c r="R175" t="s">
        <x:v>995</x:v>
      </x:c>
      <x:c r="S175" t="s">
        <x:v>980</x:v>
      </x:c>
      <x:c r="T175" s="2" t="n">
        <x:f>'SUPUESTOS PRECIOS'!$B$9</x:f>
        <x:v>0</x:v>
      </x:c>
      <x:c r="U175" s="3" t="n">
        <x:f>'SUPUESTOS PRECIOS'!$B$5/'SUPUESTOS PRECIOS'!$B$4</x:f>
        <x:v>1000</x:v>
      </x:c>
      <x:c r="V175" s="3" t="n">
        <x:f>('SUPUESTOS PRECIOS'!$B$6-'SUPUESTOS PRECIOS'!$B$7)/'SUPUESTOS PRECIOS'!$B$4</x:f>
        <x:v>377.5</x:v>
      </x:c>
      <x:c r="W175" s="4" t="n">
        <x:f>'SUPUESTOS PRECIOS'!$B$8</x:f>
        <x:v>0.00968</x:v>
      </x:c>
      <x:c r="X175" s="4" t="n">
        <x:f>'SUPUESTOS PRECIOS'!$B$2</x:f>
        <x:v>0.4</x:v>
      </x:c>
      <x:c r="Y175" s="3">
        <x:f t="shared" si="9"/>
        <x:v>3520</x:v>
      </x:c>
      <x:c r="Z175" s="3">
        <x:f t="shared" si="10"/>
        <x:v>1408.4264000000001</x:v>
      </x:c>
      <x:c r="AA175" s="11">
        <x:f t="shared" si="11"/>
        <x:v>0.40012113636363639</x:v>
      </x:c>
    </x:row>
    <x:row r="176">
      <x:c r="A176" s="10" t="s">
        <x:v>996</x:v>
      </x:c>
      <x:c r="B176" t="s">
        <x:v>997</x:v>
      </x:c>
      <x:c r="C176" t="s">
        <x:v>133</x:v>
      </x:c>
      <x:c r="D176" t="s">
        <x:v>976</x:v>
      </x:c>
      <x:c r="E176" t="s">
        <x:v>33</x:v>
      </x:c>
      <x:c r="F176" t="s">
        <x:v>998</x:v>
      </x:c>
      <x:c r="H176" t="s">
        <x:v>846</x:v>
      </x:c>
      <x:c r="I176" t="s">
        <x:v>999</x:v>
      </x:c>
      <x:c r="J176">
        <x:v>800</x:v>
      </x:c>
      <x:c r="K176">
        <x:v>0.5</x:v>
      </x:c>
      <x:c r="L176">
        <x:f t="shared" si="8"/>
        <x:v>1200</x:v>
      </x:c>
      <x:c r="M176" t="s">
        <x:v>38</x:v>
      </x:c>
      <x:c r="O176" t="s">
        <x:v>38</x:v>
      </x:c>
      <x:c r="P176" t="s">
        <x:v>39</x:v>
      </x:c>
      <x:c r="Q176" t="s">
        <x:v>997</x:v>
      </x:c>
      <x:c r="R176" t="s">
        <x:v>1000</x:v>
      </x:c>
      <x:c r="S176" t="s">
        <x:v>980</x:v>
      </x:c>
      <x:c r="T176" s="2" t="n">
        <x:f>'SUPUESTOS PRECIOS'!$B$9</x:f>
        <x:v>0</x:v>
      </x:c>
      <x:c r="U176" s="3" t="n">
        <x:f>'SUPUESTOS PRECIOS'!$B$5/'SUPUESTOS PRECIOS'!$B$4</x:f>
        <x:v>1000</x:v>
      </x:c>
      <x:c r="V176" s="3" t="n">
        <x:f>('SUPUESTOS PRECIOS'!$B$6-'SUPUESTOS PRECIOS'!$B$7)/'SUPUESTOS PRECIOS'!$B$4</x:f>
        <x:v>377.5</x:v>
      </x:c>
      <x:c r="W176" s="4" t="n">
        <x:f>'SUPUESTOS PRECIOS'!$B$8</x:f>
        <x:v>0.00968</x:v>
      </x:c>
      <x:c r="X176" s="4" t="n">
        <x:f>'SUPUESTOS PRECIOS'!$B$2</x:f>
        <x:v>0.4</x:v>
      </x:c>
      <x:c r="Y176" s="3">
        <x:f t="shared" si="9"/>
        <x:v>3690</x:v>
      </x:c>
      <x:c r="Z176" s="3">
        <x:f t="shared" si="10"/>
        <x:v>1476.7808</x:v>
      </x:c>
      <x:c r="AA176" s="11">
        <x:f t="shared" si="11"/>
        <x:v>0.40021159891598918</x:v>
      </x:c>
    </x:row>
    <x:row r="177">
      <x:c r="A177" s="10" t="s">
        <x:v>1001</x:v>
      </x:c>
      <x:c r="B177" t="s">
        <x:v>1002</x:v>
      </x:c>
      <x:c r="C177" t="s">
        <x:v>31</x:v>
      </x:c>
      <x:c r="D177" t="s">
        <x:v>1003</x:v>
      </x:c>
      <x:c r="E177" t="s">
        <x:v>33</x:v>
      </x:c>
      <x:c r="F177" t="s">
        <x:v>1004</x:v>
      </x:c>
      <x:c r="H177" t="s">
        <x:v>136</x:v>
      </x:c>
      <x:c r="I177" t="s">
        <x:v>1005</x:v>
      </x:c>
      <x:c r="J177">
        <x:v>1400</x:v>
      </x:c>
      <x:c r="K177">
        <x:v>0.5</x:v>
      </x:c>
      <x:c r="L177">
        <x:f t="shared" si="8"/>
        <x:v>2100</x:v>
      </x:c>
      <x:c r="M177" t="s">
        <x:v>38</x:v>
      </x:c>
      <x:c r="O177" t="s">
        <x:v>38</x:v>
      </x:c>
      <x:c r="P177" t="s">
        <x:v>39</x:v>
      </x:c>
      <x:c r="Q177" t="s">
        <x:v>1002</x:v>
      </x:c>
      <x:c r="R177" t="s">
        <x:v>1006</x:v>
      </x:c>
      <x:c r="S177" t="s">
        <x:v>1007</x:v>
      </x:c>
      <x:c r="T177" s="2" t="n">
        <x:f>'SUPUESTOS PRECIOS'!$B$9</x:f>
        <x:v>0</x:v>
      </x:c>
      <x:c r="U177" s="3" t="n">
        <x:f>'SUPUESTOS PRECIOS'!$B$5/'SUPUESTOS PRECIOS'!$B$4</x:f>
        <x:v>1000</x:v>
      </x:c>
      <x:c r="V177" s="3" t="n">
        <x:f>('SUPUESTOS PRECIOS'!$B$6-'SUPUESTOS PRECIOS'!$B$7)/'SUPUESTOS PRECIOS'!$B$4</x:f>
        <x:v>377.5</x:v>
      </x:c>
      <x:c r="W177" s="4" t="n">
        <x:f>'SUPUESTOS PRECIOS'!$B$8</x:f>
        <x:v>0.00968</x:v>
      </x:c>
      <x:c r="X177" s="4" t="n">
        <x:f>'SUPUESTOS PRECIOS'!$B$2</x:f>
        <x:v>0.4</x:v>
      </x:c>
      <x:c r="Y177" s="3">
        <x:f t="shared" si="9"/>
        <x:v>4710</x:v>
      </x:c>
      <x:c r="Z177" s="3">
        <x:f t="shared" si="10"/>
        <x:v>1886.9072000000001</x:v>
      </x:c>
      <x:c r="AA177" s="11">
        <x:f t="shared" si="11"/>
        <x:v>0.40061723991507431</x:v>
      </x:c>
    </x:row>
    <x:row r="178">
      <x:c r="A178" s="10" t="s">
        <x:v>1008</x:v>
      </x:c>
      <x:c r="B178" t="s">
        <x:v>1009</x:v>
      </x:c>
      <x:c r="C178" t="s">
        <x:v>31</x:v>
      </x:c>
      <x:c r="D178" t="s">
        <x:v>1003</x:v>
      </x:c>
      <x:c r="E178" t="s">
        <x:v>33</x:v>
      </x:c>
      <x:c r="F178" t="s">
        <x:v>1010</x:v>
      </x:c>
      <x:c r="H178" t="s">
        <x:v>136</x:v>
      </x:c>
      <x:c r="I178" t="s">
        <x:v>1011</x:v>
      </x:c>
      <x:c r="J178">
        <x:v>700</x:v>
      </x:c>
      <x:c r="K178">
        <x:v>0.5</x:v>
      </x:c>
      <x:c r="L178">
        <x:f t="shared" si="8"/>
        <x:v>1050</x:v>
      </x:c>
      <x:c r="M178" t="s">
        <x:v>38</x:v>
      </x:c>
      <x:c r="O178" t="s">
        <x:v>38</x:v>
      </x:c>
      <x:c r="P178" t="s">
        <x:v>39</x:v>
      </x:c>
      <x:c r="Q178" t="s">
        <x:v>1009</x:v>
      </x:c>
      <x:c r="R178" t="s">
        <x:v>1012</x:v>
      </x:c>
      <x:c r="S178" t="s">
        <x:v>1007</x:v>
      </x:c>
      <x:c r="T178" s="2" t="n">
        <x:f>'SUPUESTOS PRECIOS'!$B$9</x:f>
        <x:v>0</x:v>
      </x:c>
      <x:c r="U178" s="3" t="n">
        <x:f>'SUPUESTOS PRECIOS'!$B$5/'SUPUESTOS PRECIOS'!$B$4</x:f>
        <x:v>1000</x:v>
      </x:c>
      <x:c r="V178" s="3" t="n">
        <x:f>('SUPUESTOS PRECIOS'!$B$6-'SUPUESTOS PRECIOS'!$B$7)/'SUPUESTOS PRECIOS'!$B$4</x:f>
        <x:v>377.5</x:v>
      </x:c>
      <x:c r="W178" s="4" t="n">
        <x:f>'SUPUESTOS PRECIOS'!$B$8</x:f>
        <x:v>0.00968</x:v>
      </x:c>
      <x:c r="X178" s="4" t="n">
        <x:f>'SUPUESTOS PRECIOS'!$B$2</x:f>
        <x:v>0.4</x:v>
      </x:c>
      <x:c r="Y178" s="3">
        <x:f t="shared" si="9"/>
        <x:v>3520</x:v>
      </x:c>
      <x:c r="Z178" s="3">
        <x:f t="shared" si="10"/>
        <x:v>1408.4264000000001</x:v>
      </x:c>
      <x:c r="AA178" s="11">
        <x:f t="shared" si="11"/>
        <x:v>0.40012113636363639</x:v>
      </x:c>
    </x:row>
    <x:row r="179">
      <x:c r="A179" s="10" t="s">
        <x:v>1013</x:v>
      </x:c>
      <x:c r="B179" t="s">
        <x:v>1014</x:v>
      </x:c>
      <x:c r="C179" t="s">
        <x:v>31</x:v>
      </x:c>
      <x:c r="D179" t="s">
        <x:v>1003</x:v>
      </x:c>
      <x:c r="E179" t="s">
        <x:v>1015</x:v>
      </x:c>
      <x:c r="F179" t="s">
        <x:v>1016</x:v>
      </x:c>
      <x:c r="H179" t="s">
        <x:v>136</x:v>
      </x:c>
      <x:c r="I179" t="s">
        <x:v>1017</x:v>
      </x:c>
      <x:c r="J179">
        <x:v>1800</x:v>
      </x:c>
      <x:c r="K179">
        <x:v>0.5</x:v>
      </x:c>
      <x:c r="L179">
        <x:f t="shared" si="8"/>
        <x:v>2700</x:v>
      </x:c>
      <x:c r="M179" t="s">
        <x:v>38</x:v>
      </x:c>
      <x:c r="O179" t="s">
        <x:v>38</x:v>
      </x:c>
      <x:c r="P179" t="s">
        <x:v>39</x:v>
      </x:c>
      <x:c r="Q179" t="s">
        <x:v>1014</x:v>
      </x:c>
      <x:c r="R179" t="s">
        <x:v>1018</x:v>
      </x:c>
      <x:c r="S179" t="s">
        <x:v>1007</x:v>
      </x:c>
      <x:c r="T179" s="2" t="n">
        <x:f>'SUPUESTOS PRECIOS'!$B$9</x:f>
        <x:v>0</x:v>
      </x:c>
      <x:c r="U179" s="3" t="n">
        <x:f>'SUPUESTOS PRECIOS'!$B$5/'SUPUESTOS PRECIOS'!$B$4</x:f>
        <x:v>1000</x:v>
      </x:c>
      <x:c r="V179" s="3" t="n">
        <x:f>('SUPUESTOS PRECIOS'!$B$6-'SUPUESTOS PRECIOS'!$B$7)/'SUPUESTOS PRECIOS'!$B$4</x:f>
        <x:v>377.5</x:v>
      </x:c>
      <x:c r="W179" s="4" t="n">
        <x:f>'SUPUESTOS PRECIOS'!$B$8</x:f>
        <x:v>0.00968</x:v>
      </x:c>
      <x:c r="X179" s="4" t="n">
        <x:f>'SUPUESTOS PRECIOS'!$B$2</x:f>
        <x:v>0.4</x:v>
      </x:c>
      <x:c r="Y179" s="3">
        <x:f t="shared" si="9"/>
        <x:v>5380</x:v>
      </x:c>
      <x:c r="Z179" s="3">
        <x:f t="shared" si="10"/>
        <x:v>2150.4216000000001</x:v>
      </x:c>
      <x:c r="AA179" s="11">
        <x:f t="shared" si="11"/>
        <x:v>0.39970661710037175</x:v>
      </x:c>
    </x:row>
    <x:row r="180">
      <x:c r="A180" s="10" t="s">
        <x:v>1019</x:v>
      </x:c>
      <x:c r="B180" t="s">
        <x:v>1020</x:v>
      </x:c>
      <x:c r="C180" t="s">
        <x:v>31</x:v>
      </x:c>
      <x:c r="D180" t="s">
        <x:v>1003</x:v>
      </x:c>
      <x:c r="E180" t="s">
        <x:v>1021</x:v>
      </x:c>
      <x:c r="F180" t="s">
        <x:v>1022</x:v>
      </x:c>
      <x:c r="H180" t="s">
        <x:v>136</x:v>
      </x:c>
      <x:c r="I180" t="s">
        <x:v>1023</x:v>
      </x:c>
      <x:c r="J180">
        <x:v>1400</x:v>
      </x:c>
      <x:c r="K180">
        <x:v>0.5</x:v>
      </x:c>
      <x:c r="L180">
        <x:f t="shared" si="8"/>
        <x:v>2100</x:v>
      </x:c>
      <x:c r="M180" t="s">
        <x:v>38</x:v>
      </x:c>
      <x:c r="O180" t="s">
        <x:v>38</x:v>
      </x:c>
      <x:c r="P180" t="s">
        <x:v>39</x:v>
      </x:c>
      <x:c r="Q180" t="s">
        <x:v>1020</x:v>
      </x:c>
      <x:c r="R180" t="s">
        <x:v>1024</x:v>
      </x:c>
      <x:c r="S180" t="s">
        <x:v>1007</x:v>
      </x:c>
      <x:c r="T180" s="2" t="n">
        <x:f>'SUPUESTOS PRECIOS'!$B$9</x:f>
        <x:v>0</x:v>
      </x:c>
      <x:c r="U180" s="3" t="n">
        <x:f>'SUPUESTOS PRECIOS'!$B$5/'SUPUESTOS PRECIOS'!$B$4</x:f>
        <x:v>1000</x:v>
      </x:c>
      <x:c r="V180" s="3" t="n">
        <x:f>('SUPUESTOS PRECIOS'!$B$6-'SUPUESTOS PRECIOS'!$B$7)/'SUPUESTOS PRECIOS'!$B$4</x:f>
        <x:v>377.5</x:v>
      </x:c>
      <x:c r="W180" s="4" t="n">
        <x:f>'SUPUESTOS PRECIOS'!$B$8</x:f>
        <x:v>0.00968</x:v>
      </x:c>
      <x:c r="X180" s="4" t="n">
        <x:f>'SUPUESTOS PRECIOS'!$B$2</x:f>
        <x:v>0.4</x:v>
      </x:c>
      <x:c r="Y180" s="3">
        <x:f t="shared" si="9"/>
        <x:v>4710</x:v>
      </x:c>
      <x:c r="Z180" s="3">
        <x:f t="shared" si="10"/>
        <x:v>1886.9072000000001</x:v>
      </x:c>
      <x:c r="AA180" s="11">
        <x:f t="shared" si="11"/>
        <x:v>0.40061723991507431</x:v>
      </x:c>
    </x:row>
    <x:row r="181">
      <x:c r="A181" s="10" t="s">
        <x:v>1025</x:v>
      </x:c>
      <x:c r="B181" t="s">
        <x:v>1026</x:v>
      </x:c>
      <x:c r="C181" t="s">
        <x:v>31</x:v>
      </x:c>
      <x:c r="D181" t="s">
        <x:v>1003</x:v>
      </x:c>
      <x:c r="E181" t="s">
        <x:v>33</x:v>
      </x:c>
      <x:c r="F181" t="s">
        <x:v>1027</x:v>
      </x:c>
      <x:c r="H181" t="s">
        <x:v>136</x:v>
      </x:c>
      <x:c r="I181" t="s">
        <x:v>1028</x:v>
      </x:c>
      <x:c r="J181">
        <x:v>2600</x:v>
      </x:c>
      <x:c r="K181">
        <x:v>0.5</x:v>
      </x:c>
      <x:c r="L181">
        <x:f t="shared" si="8"/>
        <x:v>3900</x:v>
      </x:c>
      <x:c r="M181" t="s">
        <x:v>38</x:v>
      </x:c>
      <x:c r="O181" t="s">
        <x:v>38</x:v>
      </x:c>
      <x:c r="P181" t="s">
        <x:v>39</x:v>
      </x:c>
      <x:c r="Q181" t="s">
        <x:v>1026</x:v>
      </x:c>
      <x:c r="R181" t="s">
        <x:v>1029</x:v>
      </x:c>
      <x:c r="S181" t="s">
        <x:v>1007</x:v>
      </x:c>
      <x:c r="T181" s="2" t="n">
        <x:f>'SUPUESTOS PRECIOS'!$B$9</x:f>
        <x:v>0</x:v>
      </x:c>
      <x:c r="U181" s="3" t="n">
        <x:f>'SUPUESTOS PRECIOS'!$B$5/'SUPUESTOS PRECIOS'!$B$4</x:f>
        <x:v>1000</x:v>
      </x:c>
      <x:c r="V181" s="3" t="n">
        <x:f>('SUPUESTOS PRECIOS'!$B$6-'SUPUESTOS PRECIOS'!$B$7)/'SUPUESTOS PRECIOS'!$B$4</x:f>
        <x:v>377.5</x:v>
      </x:c>
      <x:c r="W181" s="4" t="n">
        <x:f>'SUPUESTOS PRECIOS'!$B$8</x:f>
        <x:v>0.00968</x:v>
      </x:c>
      <x:c r="X181" s="4" t="n">
        <x:f>'SUPUESTOS PRECIOS'!$B$2</x:f>
        <x:v>0.4</x:v>
      </x:c>
      <x:c r="Y181" s="3">
        <x:f t="shared" si="9"/>
        <x:v>6740</x:v>
      </x:c>
      <x:c r="Z181" s="3">
        <x:f t="shared" si="10"/>
        <x:v>2697.2568000000001</x:v>
      </x:c>
      <x:c r="AA181" s="11">
        <x:f t="shared" si="11"/>
        <x:v>0.40018646884273001</x:v>
      </x:c>
    </x:row>
    <x:row r="182">
      <x:c r="A182" s="10" t="s">
        <x:v>1030</x:v>
      </x:c>
      <x:c r="B182" t="s">
        <x:v>1031</x:v>
      </x:c>
      <x:c r="C182" t="s">
        <x:v>90</x:v>
      </x:c>
      <x:c r="D182" t="s">
        <x:v>1032</x:v>
      </x:c>
      <x:c r="E182" t="s">
        <x:v>1033</x:v>
      </x:c>
      <x:c r="F182" t="s">
        <x:v>1034</x:v>
      </x:c>
      <x:c r="H182" t="s">
        <x:v>136</x:v>
      </x:c>
      <x:c r="I182" t="s">
        <x:v>1035</x:v>
      </x:c>
      <x:c r="J182">
        <x:v>2600</x:v>
      </x:c>
      <x:c r="K182">
        <x:v>0.5</x:v>
      </x:c>
      <x:c r="L182">
        <x:f t="shared" si="8"/>
        <x:v>3900</x:v>
      </x:c>
      <x:c r="M182" t="s">
        <x:v>38</x:v>
      </x:c>
      <x:c r="O182" t="s">
        <x:v>38</x:v>
      </x:c>
      <x:c r="P182" t="s">
        <x:v>39</x:v>
      </x:c>
      <x:c r="Q182" t="s">
        <x:v>1031</x:v>
      </x:c>
      <x:c r="R182" t="s">
        <x:v>1036</x:v>
      </x:c>
      <x:c r="S182" t="s">
        <x:v>1037</x:v>
      </x:c>
      <x:c r="T182" s="2" t="n">
        <x:f>'SUPUESTOS PRECIOS'!$B$9</x:f>
        <x:v>0</x:v>
      </x:c>
      <x:c r="U182" s="3" t="n">
        <x:f>'SUPUESTOS PRECIOS'!$B$5/'SUPUESTOS PRECIOS'!$B$4</x:f>
        <x:v>1000</x:v>
      </x:c>
      <x:c r="V182" s="3" t="n">
        <x:f>('SUPUESTOS PRECIOS'!$B$6-'SUPUESTOS PRECIOS'!$B$7)/'SUPUESTOS PRECIOS'!$B$4</x:f>
        <x:v>377.5</x:v>
      </x:c>
      <x:c r="W182" s="4" t="n">
        <x:f>'SUPUESTOS PRECIOS'!$B$8</x:f>
        <x:v>0.00968</x:v>
      </x:c>
      <x:c r="X182" s="4" t="n">
        <x:f>'SUPUESTOS PRECIOS'!$B$2</x:f>
        <x:v>0.4</x:v>
      </x:c>
      <x:c r="Y182" s="3">
        <x:f t="shared" si="9"/>
        <x:v>6740</x:v>
      </x:c>
      <x:c r="Z182" s="3">
        <x:f t="shared" si="10"/>
        <x:v>2697.2568000000001</x:v>
      </x:c>
      <x:c r="AA182" s="11">
        <x:f t="shared" si="11"/>
        <x:v>0.40018646884273001</x:v>
      </x:c>
    </x:row>
    <x:row r="183">
      <x:c r="A183" s="10" t="s">
        <x:v>1038</x:v>
      </x:c>
      <x:c r="B183" t="s">
        <x:v>1039</x:v>
      </x:c>
      <x:c r="C183" t="s">
        <x:v>105</x:v>
      </x:c>
      <x:c r="D183" t="s">
        <x:v>1040</x:v>
      </x:c>
      <x:c r="E183" t="s">
        <x:v>1041</x:v>
      </x:c>
      <x:c r="F183" t="s">
        <x:v>1042</x:v>
      </x:c>
      <x:c r="H183" t="s">
        <x:v>136</x:v>
      </x:c>
      <x:c r="I183" t="s">
        <x:v>1043</x:v>
      </x:c>
      <x:c r="J183">
        <x:v>3200</x:v>
      </x:c>
      <x:c r="K183">
        <x:v>0.5</x:v>
      </x:c>
      <x:c r="L183">
        <x:f t="shared" si="8"/>
        <x:v>4800</x:v>
      </x:c>
      <x:c r="M183" t="s">
        <x:v>38</x:v>
      </x:c>
      <x:c r="O183" t="s">
        <x:v>38</x:v>
      </x:c>
      <x:c r="P183" t="s">
        <x:v>39</x:v>
      </x:c>
      <x:c r="Q183" t="s">
        <x:v>1039</x:v>
      </x:c>
      <x:c r="R183" t="s">
        <x:v>1044</x:v>
      </x:c>
      <x:c r="S183" t="s">
        <x:v>1045</x:v>
      </x:c>
      <x:c r="T183" s="2" t="n">
        <x:f>'SUPUESTOS PRECIOS'!$B$9</x:f>
        <x:v>0</x:v>
      </x:c>
      <x:c r="U183" s="3" t="n">
        <x:f>'SUPUESTOS PRECIOS'!$B$5/'SUPUESTOS PRECIOS'!$B$4</x:f>
        <x:v>1000</x:v>
      </x:c>
      <x:c r="V183" s="3" t="n">
        <x:f>('SUPUESTOS PRECIOS'!$B$6-'SUPUESTOS PRECIOS'!$B$7)/'SUPUESTOS PRECIOS'!$B$4</x:f>
        <x:v>377.5</x:v>
      </x:c>
      <x:c r="W183" s="4" t="n">
        <x:f>'SUPUESTOS PRECIOS'!$B$8</x:f>
        <x:v>0.00968</x:v>
      </x:c>
      <x:c r="X183" s="4" t="n">
        <x:f>'SUPUESTOS PRECIOS'!$B$2</x:f>
        <x:v>0.4</x:v>
      </x:c>
      <x:c r="Y183" s="3">
        <x:f t="shared" si="9"/>
        <x:v>7750</x:v>
      </x:c>
      <x:c r="Z183" s="3">
        <x:f t="shared" si="10"/>
        <x:v>3097.48</x:v>
      </x:c>
      <x:c r="AA183" s="11">
        <x:f t="shared" si="11"/>
        <x:v>0.3996748387096774</x:v>
      </x:c>
    </x:row>
    <x:row r="184">
      <x:c r="A184" s="10" t="s">
        <x:v>1046</x:v>
      </x:c>
      <x:c r="B184" t="s">
        <x:v>1047</x:v>
      </x:c>
      <x:c r="C184" t="s">
        <x:v>1048</x:v>
      </x:c>
      <x:c r="D184" t="s">
        <x:v>1049</x:v>
      </x:c>
      <x:c r="E184" t="s">
        <x:v>1050</x:v>
      </x:c>
      <x:c r="F184" t="s">
        <x:v>1051</x:v>
      </x:c>
      <x:c r="H184" t="s">
        <x:v>136</x:v>
      </x:c>
      <x:c r="I184" t="s">
        <x:v>1052</x:v>
      </x:c>
      <x:c r="J184">
        <x:v>4600</x:v>
      </x:c>
      <x:c r="K184">
        <x:v>0.5</x:v>
      </x:c>
      <x:c r="L184">
        <x:f t="shared" si="8"/>
        <x:v>6900</x:v>
      </x:c>
      <x:c r="M184" t="s">
        <x:v>38</x:v>
      </x:c>
      <x:c r="O184" t="s">
        <x:v>38</x:v>
      </x:c>
      <x:c r="P184" t="s">
        <x:v>764</x:v>
      </x:c>
      <x:c r="Q184" t="s">
        <x:v>1047</x:v>
      </x:c>
      <x:c r="R184" t="s">
        <x:v>1053</x:v>
      </x:c>
      <x:c r="S184" t="s">
        <x:v>1054</x:v>
      </x:c>
      <x:c r="T184" s="2" t="n">
        <x:f>'SUPUESTOS PRECIOS'!$B$9</x:f>
        <x:v>0</x:v>
      </x:c>
      <x:c r="U184" s="3" t="n">
        <x:f>'SUPUESTOS PRECIOS'!$B$5/'SUPUESTOS PRECIOS'!$B$4</x:f>
        <x:v>1000</x:v>
      </x:c>
      <x:c r="V184" s="3" t="n">
        <x:f>('SUPUESTOS PRECIOS'!$B$6-'SUPUESTOS PRECIOS'!$B$7)/'SUPUESTOS PRECIOS'!$B$4</x:f>
        <x:v>377.5</x:v>
      </x:c>
      <x:c r="W184" s="4" t="n">
        <x:f>'SUPUESTOS PRECIOS'!$B$8</x:f>
        <x:v>0.00968</x:v>
      </x:c>
      <x:c r="X184" s="4" t="n">
        <x:f>'SUPUESTOS PRECIOS'!$B$2</x:f>
        <x:v>0.4</x:v>
      </x:c>
      <x:c r="Y184" s="3">
        <x:f t="shared" si="9"/>
        <x:v>10130</x:v>
      </x:c>
      <x:c r="Z184" s="3">
        <x:f t="shared" si="10"/>
        <x:v>4054.4416000000001</x:v>
      </x:c>
      <x:c r="AA184" s="11">
        <x:f t="shared" si="11"/>
        <x:v>0.40024102665350447</x:v>
      </x:c>
    </x:row>
    <x:row r="185">
      <x:c r="A185" s="10" t="s">
        <x:v>1055</x:v>
      </x:c>
      <x:c r="B185" t="s">
        <x:v>1056</x:v>
      </x:c>
      <x:c r="C185" t="s">
        <x:v>44</x:v>
      </x:c>
      <x:c r="D185" t="s">
        <x:v>1057</x:v>
      </x:c>
      <x:c r="E185" t="s">
        <x:v>1058</x:v>
      </x:c>
      <x:c r="F185" t="s">
        <x:v>1059</x:v>
      </x:c>
      <x:c r="H185" t="s">
        <x:v>136</x:v>
      </x:c>
      <x:c r="I185" t="s">
        <x:v>1060</x:v>
      </x:c>
      <x:c r="J185">
        <x:v>2600</x:v>
      </x:c>
      <x:c r="K185">
        <x:v>0.5</x:v>
      </x:c>
      <x:c r="L185">
        <x:f t="shared" si="8"/>
        <x:v>3900</x:v>
      </x:c>
      <x:c r="M185" t="s">
        <x:v>38</x:v>
      </x:c>
      <x:c r="O185" t="s">
        <x:v>38</x:v>
      </x:c>
      <x:c r="P185" t="s">
        <x:v>39</x:v>
      </x:c>
      <x:c r="Q185" t="s">
        <x:v>1056</x:v>
      </x:c>
      <x:c r="R185" t="s">
        <x:v>1061</x:v>
      </x:c>
      <x:c r="S185" t="s">
        <x:v>1062</x:v>
      </x:c>
      <x:c r="T185" s="2" t="n">
        <x:f>'SUPUESTOS PRECIOS'!$B$9</x:f>
        <x:v>0</x:v>
      </x:c>
      <x:c r="U185" s="3" t="n">
        <x:f>'SUPUESTOS PRECIOS'!$B$5/'SUPUESTOS PRECIOS'!$B$4</x:f>
        <x:v>1000</x:v>
      </x:c>
      <x:c r="V185" s="3" t="n">
        <x:f>('SUPUESTOS PRECIOS'!$B$6-'SUPUESTOS PRECIOS'!$B$7)/'SUPUESTOS PRECIOS'!$B$4</x:f>
        <x:v>377.5</x:v>
      </x:c>
      <x:c r="W185" s="4" t="n">
        <x:f>'SUPUESTOS PRECIOS'!$B$8</x:f>
        <x:v>0.00968</x:v>
      </x:c>
      <x:c r="X185" s="4" t="n">
        <x:f>'SUPUESTOS PRECIOS'!$B$2</x:f>
        <x:v>0.4</x:v>
      </x:c>
      <x:c r="Y185" s="3">
        <x:f t="shared" si="9"/>
        <x:v>6740</x:v>
      </x:c>
      <x:c r="Z185" s="3">
        <x:f t="shared" si="10"/>
        <x:v>2697.2568000000001</x:v>
      </x:c>
      <x:c r="AA185" s="11">
        <x:f t="shared" si="11"/>
        <x:v>0.40018646884273001</x:v>
      </x:c>
    </x:row>
    <x:row r="186">
      <x:c r="A186" s="10" t="s">
        <x:v>1063</x:v>
      </x:c>
      <x:c r="B186" t="s">
        <x:v>1064</x:v>
      </x:c>
      <x:c r="C186" t="s">
        <x:v>66</x:v>
      </x:c>
      <x:c r="D186" t="s">
        <x:v>1065</x:v>
      </x:c>
      <x:c r="E186" t="s">
        <x:v>1066</x:v>
      </x:c>
      <x:c r="F186" t="s">
        <x:v>1066</x:v>
      </x:c>
      <x:c r="H186" t="s">
        <x:v>136</x:v>
      </x:c>
      <x:c r="I186" t="s">
        <x:v>1067</x:v>
      </x:c>
      <x:c r="J186">
        <x:v>2900</x:v>
      </x:c>
      <x:c r="K186">
        <x:v>0.5</x:v>
      </x:c>
      <x:c r="L186">
        <x:f t="shared" si="8"/>
        <x:v>4350</x:v>
      </x:c>
      <x:c r="M186" t="s">
        <x:v>38</x:v>
      </x:c>
      <x:c r="O186" t="s">
        <x:v>38</x:v>
      </x:c>
      <x:c r="P186" t="s">
        <x:v>39</x:v>
      </x:c>
      <x:c r="Q186" t="s">
        <x:v>1064</x:v>
      </x:c>
      <x:c r="R186" t="s">
        <x:v>1068</x:v>
      </x:c>
      <x:c r="S186" t="s">
        <x:v>1069</x:v>
      </x:c>
      <x:c r="T186" s="2" t="n">
        <x:f>'SUPUESTOS PRECIOS'!$B$9</x:f>
        <x:v>0</x:v>
      </x:c>
      <x:c r="U186" s="3" t="n">
        <x:f>'SUPUESTOS PRECIOS'!$B$5/'SUPUESTOS PRECIOS'!$B$4</x:f>
        <x:v>1000</x:v>
      </x:c>
      <x:c r="V186" s="3" t="n">
        <x:f>('SUPUESTOS PRECIOS'!$B$6-'SUPUESTOS PRECIOS'!$B$7)/'SUPUESTOS PRECIOS'!$B$4</x:f>
        <x:v>377.5</x:v>
      </x:c>
      <x:c r="W186" s="4" t="n">
        <x:f>'SUPUESTOS PRECIOS'!$B$8</x:f>
        <x:v>0.00968</x:v>
      </x:c>
      <x:c r="X186" s="4" t="n">
        <x:f>'SUPUESTOS PRECIOS'!$B$2</x:f>
        <x:v>0.4</x:v>
      </x:c>
      <x:c r="Y186" s="3">
        <x:f t="shared" si="9"/>
        <x:v>7250</x:v>
      </x:c>
      <x:c r="Z186" s="3">
        <x:f t="shared" si="10"/>
        <x:v>2902.32</x:v>
      </x:c>
      <x:c r="AA186" s="11">
        <x:f t="shared" si="11"/>
        <x:v>0.40032000000000001</x:v>
      </x:c>
    </x:row>
    <x:row r="187">
      <x:c r="A187" s="10" t="s">
        <x:v>1070</x:v>
      </x:c>
      <x:c r="B187" t="s">
        <x:v>1071</x:v>
      </x:c>
      <x:c r="C187" t="s">
        <x:v>1048</x:v>
      </x:c>
      <x:c r="D187" t="s">
        <x:v>1072</x:v>
      </x:c>
      <x:c r="E187" t="s">
        <x:v>1073</x:v>
      </x:c>
      <x:c r="F187" t="s">
        <x:v>1074</x:v>
      </x:c>
      <x:c r="H187" t="s">
        <x:v>136</x:v>
      </x:c>
      <x:c r="I187" t="s">
        <x:v>1075</x:v>
      </x:c>
      <x:c r="J187">
        <x:v>4200</x:v>
      </x:c>
      <x:c r="K187">
        <x:v>0.5</x:v>
      </x:c>
      <x:c r="L187">
        <x:f t="shared" si="8"/>
        <x:v>6300</x:v>
      </x:c>
      <x:c r="M187" t="s">
        <x:v>38</x:v>
      </x:c>
      <x:c r="O187" t="s">
        <x:v>38</x:v>
      </x:c>
      <x:c r="P187" t="s">
        <x:v>39</x:v>
      </x:c>
      <x:c r="Q187" t="s">
        <x:v>1071</x:v>
      </x:c>
      <x:c r="R187" t="s">
        <x:v>1076</x:v>
      </x:c>
      <x:c r="S187" t="s">
        <x:v>1077</x:v>
      </x:c>
      <x:c r="T187" s="2" t="n">
        <x:f>'SUPUESTOS PRECIOS'!$B$9</x:f>
        <x:v>0</x:v>
      </x:c>
      <x:c r="U187" s="3" t="n">
        <x:f>'SUPUESTOS PRECIOS'!$B$5/'SUPUESTOS PRECIOS'!$B$4</x:f>
        <x:v>1000</x:v>
      </x:c>
      <x:c r="V187" s="3" t="n">
        <x:f>('SUPUESTOS PRECIOS'!$B$6-'SUPUESTOS PRECIOS'!$B$7)/'SUPUESTOS PRECIOS'!$B$4</x:f>
        <x:v>377.5</x:v>
      </x:c>
      <x:c r="W187" s="4" t="n">
        <x:f>'SUPUESTOS PRECIOS'!$B$8</x:f>
        <x:v>0.00968</x:v>
      </x:c>
      <x:c r="X187" s="4" t="n">
        <x:f>'SUPUESTOS PRECIOS'!$B$2</x:f>
        <x:v>0.4</x:v>
      </x:c>
      <x:c r="Y187" s="3">
        <x:f t="shared" si="9"/>
        <x:v>9450</x:v>
      </x:c>
      <x:c r="Z187" s="3">
        <x:f t="shared" si="10"/>
        <x:v>3781.0239999999999</x:v>
      </x:c>
      <x:c r="AA187" s="11">
        <x:f t="shared" si="11"/>
        <x:v>0.40010835978835979</x:v>
      </x:c>
    </x:row>
    <x:row r="188">
      <x:c r="A188" s="10" t="s">
        <x:v>1078</x:v>
      </x:c>
      <x:c r="B188" t="s">
        <x:v>1079</x:v>
      </x:c>
      <x:c r="C188" t="s">
        <x:v>1048</x:v>
      </x:c>
      <x:c r="D188" t="s">
        <x:v>1072</x:v>
      </x:c>
      <x:c r="E188" t="s">
        <x:v>1080</x:v>
      </x:c>
      <x:c r="F188" t="s">
        <x:v>1081</x:v>
      </x:c>
      <x:c r="H188" t="s">
        <x:v>136</x:v>
      </x:c>
      <x:c r="I188" t="s">
        <x:v>1082</x:v>
      </x:c>
      <x:c r="J188">
        <x:v>6000</x:v>
      </x:c>
      <x:c r="K188">
        <x:v>0.5</x:v>
      </x:c>
      <x:c r="L188">
        <x:f t="shared" si="8"/>
        <x:v>9000</x:v>
      </x:c>
      <x:c r="M188" t="s">
        <x:v>38</x:v>
      </x:c>
      <x:c r="O188" t="s">
        <x:v>38</x:v>
      </x:c>
      <x:c r="P188" t="s">
        <x:v>39</x:v>
      </x:c>
      <x:c r="Q188" t="s">
        <x:v>1079</x:v>
      </x:c>
      <x:c r="R188" t="s">
        <x:v>1083</x:v>
      </x:c>
      <x:c r="S188" t="s">
        <x:v>1077</x:v>
      </x:c>
      <x:c r="T188" s="2" t="n">
        <x:f>'SUPUESTOS PRECIOS'!$B$9</x:f>
        <x:v>0</x:v>
      </x:c>
      <x:c r="U188" s="3" t="n">
        <x:f>'SUPUESTOS PRECIOS'!$B$5/'SUPUESTOS PRECIOS'!$B$4</x:f>
        <x:v>1000</x:v>
      </x:c>
      <x:c r="V188" s="3" t="n">
        <x:f>('SUPUESTOS PRECIOS'!$B$6-'SUPUESTOS PRECIOS'!$B$7)/'SUPUESTOS PRECIOS'!$B$4</x:f>
        <x:v>377.5</x:v>
      </x:c>
      <x:c r="W188" s="4" t="n">
        <x:f>'SUPUESTOS PRECIOS'!$B$8</x:f>
        <x:v>0.00968</x:v>
      </x:c>
      <x:c r="X188" s="4" t="n">
        <x:f>'SUPUESTOS PRECIOS'!$B$2</x:f>
        <x:v>0.4</x:v>
      </x:c>
      <x:c r="Y188" s="3">
        <x:f t="shared" si="9"/>
        <x:v>12500</x:v>
      </x:c>
      <x:c r="Z188" s="3">
        <x:f t="shared" si="10"/>
        <x:v>5001.5</x:v>
      </x:c>
      <x:c r="AA188" s="11">
        <x:f t="shared" si="11"/>
        <x:v>0.40011999999999998</x:v>
      </x:c>
    </x:row>
    <x:row r="189">
      <x:c r="A189" s="10" t="s">
        <x:v>1084</x:v>
      </x:c>
      <x:c r="B189" t="s">
        <x:v>1085</x:v>
      </x:c>
      <x:c r="C189" t="s">
        <x:v>1048</x:v>
      </x:c>
      <x:c r="D189" t="s">
        <x:v>1072</x:v>
      </x:c>
      <x:c r="E189" t="s">
        <x:v>1080</x:v>
      </x:c>
      <x:c r="F189" t="s">
        <x:v>1086</x:v>
      </x:c>
      <x:c r="H189" t="s">
        <x:v>136</x:v>
      </x:c>
      <x:c r="I189" t="s">
        <x:v>1087</x:v>
      </x:c>
      <x:c r="J189">
        <x:v>5000</x:v>
      </x:c>
      <x:c r="K189">
        <x:v>0.5</x:v>
      </x:c>
      <x:c r="L189">
        <x:f t="shared" si="8"/>
        <x:v>7500</x:v>
      </x:c>
      <x:c r="M189" t="s">
        <x:v>38</x:v>
      </x:c>
      <x:c r="O189" t="s">
        <x:v>38</x:v>
      </x:c>
      <x:c r="P189" t="s">
        <x:v>39</x:v>
      </x:c>
      <x:c r="Q189" t="s">
        <x:v>1085</x:v>
      </x:c>
      <x:c r="R189" t="s">
        <x:v>1088</x:v>
      </x:c>
      <x:c r="S189" t="s">
        <x:v>1077</x:v>
      </x:c>
      <x:c r="T189" s="2" t="n">
        <x:f>'SUPUESTOS PRECIOS'!$B$9</x:f>
        <x:v>0</x:v>
      </x:c>
      <x:c r="U189" s="3" t="n">
        <x:f>'SUPUESTOS PRECIOS'!$B$5/'SUPUESTOS PRECIOS'!$B$4</x:f>
        <x:v>1000</x:v>
      </x:c>
      <x:c r="V189" s="3" t="n">
        <x:f>('SUPUESTOS PRECIOS'!$B$6-'SUPUESTOS PRECIOS'!$B$7)/'SUPUESTOS PRECIOS'!$B$4</x:f>
        <x:v>377.5</x:v>
      </x:c>
      <x:c r="W189" s="4" t="n">
        <x:f>'SUPUESTOS PRECIOS'!$B$8</x:f>
        <x:v>0.00968</x:v>
      </x:c>
      <x:c r="X189" s="4" t="n">
        <x:f>'SUPUESTOS PRECIOS'!$B$2</x:f>
        <x:v>0.4</x:v>
      </x:c>
      <x:c r="Y189" s="3">
        <x:f t="shared" si="9"/>
        <x:v>10800</x:v>
      </x:c>
      <x:c r="Z189" s="3">
        <x:f t="shared" si="10"/>
        <x:v>4317.9560000000001</x:v>
      </x:c>
      <x:c r="AA189" s="11">
        <x:f t="shared" si="11"/>
        <x:v>0.39981074074074074</x:v>
      </x:c>
    </x:row>
    <x:row r="190">
      <x:c r="A190" s="10" t="s">
        <x:v>1089</x:v>
      </x:c>
      <x:c r="B190" t="s">
        <x:v>1090</x:v>
      </x:c>
      <x:c r="C190" t="s">
        <x:v>133</x:v>
      </x:c>
      <x:c r="D190" t="s">
        <x:v>1091</x:v>
      </x:c>
      <x:c r="E190" t="s">
        <x:v>939</x:v>
      </x:c>
      <x:c r="F190" t="s">
        <x:v>1092</x:v>
      </x:c>
      <x:c r="G190" t="s">
        <x:v>1093</x:v>
      </x:c>
      <x:c r="H190" t="s">
        <x:v>136</x:v>
      </x:c>
      <x:c r="I190" t="s">
        <x:v>1094</x:v>
      </x:c>
      <x:c r="J190">
        <x:v>1300</x:v>
      </x:c>
      <x:c r="K190">
        <x:v>0.5</x:v>
      </x:c>
      <x:c r="L190">
        <x:f t="shared" si="8"/>
        <x:v>1950</x:v>
      </x:c>
      <x:c r="M190" t="s">
        <x:v>38</x:v>
      </x:c>
      <x:c r="O190" t="s">
        <x:v>38</x:v>
      </x:c>
      <x:c r="P190" t="s">
        <x:v>39</x:v>
      </x:c>
      <x:c r="Q190" t="s">
        <x:v>1090</x:v>
      </x:c>
      <x:c r="R190" t="s">
        <x:v>1095</x:v>
      </x:c>
      <x:c r="S190" t="s">
        <x:v>1096</x:v>
      </x:c>
      <x:c r="T190" s="2" t="n">
        <x:f>'SUPUESTOS PRECIOS'!$B$9</x:f>
        <x:v>0</x:v>
      </x:c>
      <x:c r="U190" s="3" t="n">
        <x:f>'SUPUESTOS PRECIOS'!$B$5/'SUPUESTOS PRECIOS'!$B$4</x:f>
        <x:v>1000</x:v>
      </x:c>
      <x:c r="V190" s="3" t="n">
        <x:f>('SUPUESTOS PRECIOS'!$B$6-'SUPUESTOS PRECIOS'!$B$7)/'SUPUESTOS PRECIOS'!$B$4</x:f>
        <x:v>377.5</x:v>
      </x:c>
      <x:c r="W190" s="4" t="n">
        <x:f>'SUPUESTOS PRECIOS'!$B$8</x:f>
        <x:v>0.00968</x:v>
      </x:c>
      <x:c r="X190" s="4" t="n">
        <x:f>'SUPUESTOS PRECIOS'!$B$2</x:f>
        <x:v>0.4</x:v>
      </x:c>
      <x:c r="Y190" s="3">
        <x:f t="shared" si="9"/>
        <x:v>4540</x:v>
      </x:c>
      <x:c r="Z190" s="3">
        <x:f t="shared" si="10"/>
        <x:v>1818.5527999999999</x:v>
      </x:c>
      <x:c r="AA190" s="11">
        <x:f t="shared" si="11"/>
        <x:v>0.40056229074889865</x:v>
      </x:c>
      <x:c r="AB190" t="s">
        <x:v>1097</x:v>
      </x:c>
      <x:c r="AC190" t="s">
        <x:v>1098</x:v>
      </x:c>
    </x:row>
    <x:row r="191">
      <x:c r="A191" s="10" t="s">
        <x:v>1099</x:v>
      </x:c>
      <x:c r="B191" t="s">
        <x:v>1100</x:v>
      </x:c>
      <x:c r="C191" t="s">
        <x:v>133</x:v>
      </x:c>
      <x:c r="D191" t="s">
        <x:v>1091</x:v>
      </x:c>
      <x:c r="E191" t="s">
        <x:v>939</x:v>
      </x:c>
      <x:c r="F191" t="s">
        <x:v>1092</x:v>
      </x:c>
      <x:c r="G191" t="s">
        <x:v>1101</x:v>
      </x:c>
      <x:c r="H191" t="s">
        <x:v>136</x:v>
      </x:c>
      <x:c r="I191" t="s">
        <x:v>1102</x:v>
      </x:c>
      <x:c r="J191">
        <x:v>1300</x:v>
      </x:c>
      <x:c r="K191">
        <x:v>0.5</x:v>
      </x:c>
      <x:c r="L191">
        <x:f t="shared" si="8"/>
        <x:v>1950</x:v>
      </x:c>
      <x:c r="M191" t="s">
        <x:v>38</x:v>
      </x:c>
      <x:c r="O191" t="s">
        <x:v>38</x:v>
      </x:c>
      <x:c r="P191" t="s">
        <x:v>39</x:v>
      </x:c>
      <x:c r="Q191" t="s">
        <x:v>1100</x:v>
      </x:c>
      <x:c r="R191" t="s">
        <x:v>1103</x:v>
      </x:c>
      <x:c r="S191" t="s">
        <x:v>1096</x:v>
      </x:c>
      <x:c r="T191" s="2" t="n">
        <x:f>'SUPUESTOS PRECIOS'!$B$9</x:f>
        <x:v>0</x:v>
      </x:c>
      <x:c r="U191" s="3" t="n">
        <x:f>'SUPUESTOS PRECIOS'!$B$5/'SUPUESTOS PRECIOS'!$B$4</x:f>
        <x:v>1000</x:v>
      </x:c>
      <x:c r="V191" s="3" t="n">
        <x:f>('SUPUESTOS PRECIOS'!$B$6-'SUPUESTOS PRECIOS'!$B$7)/'SUPUESTOS PRECIOS'!$B$4</x:f>
        <x:v>377.5</x:v>
      </x:c>
      <x:c r="W191" s="4" t="n">
        <x:f>'SUPUESTOS PRECIOS'!$B$8</x:f>
        <x:v>0.00968</x:v>
      </x:c>
      <x:c r="X191" s="4" t="n">
        <x:f>'SUPUESTOS PRECIOS'!$B$2</x:f>
        <x:v>0.4</x:v>
      </x:c>
      <x:c r="Y191" s="3">
        <x:f t="shared" si="9"/>
        <x:v>4540</x:v>
      </x:c>
      <x:c r="Z191" s="3">
        <x:f t="shared" si="10"/>
        <x:v>1818.5527999999999</x:v>
      </x:c>
      <x:c r="AA191" s="11">
        <x:f t="shared" si="11"/>
        <x:v>0.40056229074889865</x:v>
      </x:c>
      <x:c r="AB191" t="s">
        <x:v>1097</x:v>
      </x:c>
      <x:c r="AC191" t="s">
        <x:v>1104</x:v>
      </x:c>
    </x:row>
    <x:row r="192">
      <x:c r="A192" s="10" t="s">
        <x:v>1105</x:v>
      </x:c>
      <x:c r="B192" t="s">
        <x:v>1106</x:v>
      </x:c>
      <x:c r="C192" t="s">
        <x:v>133</x:v>
      </x:c>
      <x:c r="D192" t="s">
        <x:v>1091</x:v>
      </x:c>
      <x:c r="E192" t="s">
        <x:v>939</x:v>
      </x:c>
      <x:c r="F192" t="s">
        <x:v>1092</x:v>
      </x:c>
      <x:c r="G192" t="s">
        <x:v>1107</x:v>
      </x:c>
      <x:c r="H192" t="s">
        <x:v>136</x:v>
      </x:c>
      <x:c r="I192" t="s">
        <x:v>1108</x:v>
      </x:c>
      <x:c r="J192">
        <x:v>1300</x:v>
      </x:c>
      <x:c r="K192">
        <x:v>0.5</x:v>
      </x:c>
      <x:c r="L192">
        <x:f t="shared" si="8"/>
        <x:v>1950</x:v>
      </x:c>
      <x:c r="M192" t="s">
        <x:v>38</x:v>
      </x:c>
      <x:c r="O192" t="s">
        <x:v>38</x:v>
      </x:c>
      <x:c r="P192" t="s">
        <x:v>39</x:v>
      </x:c>
      <x:c r="Q192" t="s">
        <x:v>1106</x:v>
      </x:c>
      <x:c r="R192" t="s">
        <x:v>1109</x:v>
      </x:c>
      <x:c r="S192" t="s">
        <x:v>1096</x:v>
      </x:c>
      <x:c r="T192" s="2" t="n">
        <x:f>'SUPUESTOS PRECIOS'!$B$9</x:f>
        <x:v>0</x:v>
      </x:c>
      <x:c r="U192" s="3" t="n">
        <x:f>'SUPUESTOS PRECIOS'!$B$5/'SUPUESTOS PRECIOS'!$B$4</x:f>
        <x:v>1000</x:v>
      </x:c>
      <x:c r="V192" s="3" t="n">
        <x:f>('SUPUESTOS PRECIOS'!$B$6-'SUPUESTOS PRECIOS'!$B$7)/'SUPUESTOS PRECIOS'!$B$4</x:f>
        <x:v>377.5</x:v>
      </x:c>
      <x:c r="W192" s="4" t="n">
        <x:f>'SUPUESTOS PRECIOS'!$B$8</x:f>
        <x:v>0.00968</x:v>
      </x:c>
      <x:c r="X192" s="4" t="n">
        <x:f>'SUPUESTOS PRECIOS'!$B$2</x:f>
        <x:v>0.4</x:v>
      </x:c>
      <x:c r="Y192" s="3">
        <x:f t="shared" si="9"/>
        <x:v>4540</x:v>
      </x:c>
      <x:c r="Z192" s="3">
        <x:f t="shared" si="10"/>
        <x:v>1818.5527999999999</x:v>
      </x:c>
      <x:c r="AA192" s="11">
        <x:f t="shared" si="11"/>
        <x:v>0.40056229074889865</x:v>
      </x:c>
      <x:c r="AB192" t="s">
        <x:v>1097</x:v>
      </x:c>
      <x:c r="AC192" t="s">
        <x:v>1110</x:v>
      </x:c>
    </x:row>
    <x:row r="193">
      <x:c r="A193" s="10" t="s">
        <x:v>1111</x:v>
      </x:c>
      <x:c r="B193" t="s">
        <x:v>1112</x:v>
      </x:c>
      <x:c r="C193" t="s">
        <x:v>133</x:v>
      </x:c>
      <x:c r="D193" t="s">
        <x:v>1091</x:v>
      </x:c>
      <x:c r="E193" t="s">
        <x:v>939</x:v>
      </x:c>
      <x:c r="F193" t="s">
        <x:v>1092</x:v>
      </x:c>
      <x:c r="G193" t="s">
        <x:v>1113</x:v>
      </x:c>
      <x:c r="H193" t="s">
        <x:v>136</x:v>
      </x:c>
      <x:c r="I193" t="s">
        <x:v>1114</x:v>
      </x:c>
      <x:c r="J193">
        <x:v>1300</x:v>
      </x:c>
      <x:c r="K193">
        <x:v>0.5</x:v>
      </x:c>
      <x:c r="L193">
        <x:f t="shared" si="8"/>
        <x:v>1950</x:v>
      </x:c>
      <x:c r="M193" t="s">
        <x:v>38</x:v>
      </x:c>
      <x:c r="O193" t="s">
        <x:v>38</x:v>
      </x:c>
      <x:c r="P193" t="s">
        <x:v>39</x:v>
      </x:c>
      <x:c r="Q193" t="s">
        <x:v>1112</x:v>
      </x:c>
      <x:c r="R193" t="s">
        <x:v>1115</x:v>
      </x:c>
      <x:c r="S193" t="s">
        <x:v>1096</x:v>
      </x:c>
      <x:c r="T193" s="2" t="n">
        <x:f>'SUPUESTOS PRECIOS'!$B$9</x:f>
        <x:v>0</x:v>
      </x:c>
      <x:c r="U193" s="3" t="n">
        <x:f>'SUPUESTOS PRECIOS'!$B$5/'SUPUESTOS PRECIOS'!$B$4</x:f>
        <x:v>1000</x:v>
      </x:c>
      <x:c r="V193" s="3" t="n">
        <x:f>('SUPUESTOS PRECIOS'!$B$6-'SUPUESTOS PRECIOS'!$B$7)/'SUPUESTOS PRECIOS'!$B$4</x:f>
        <x:v>377.5</x:v>
      </x:c>
      <x:c r="W193" s="4" t="n">
        <x:f>'SUPUESTOS PRECIOS'!$B$8</x:f>
        <x:v>0.00968</x:v>
      </x:c>
      <x:c r="X193" s="4" t="n">
        <x:f>'SUPUESTOS PRECIOS'!$B$2</x:f>
        <x:v>0.4</x:v>
      </x:c>
      <x:c r="Y193" s="3">
        <x:f t="shared" si="9"/>
        <x:v>4540</x:v>
      </x:c>
      <x:c r="Z193" s="3">
        <x:f t="shared" si="10"/>
        <x:v>1818.5527999999999</x:v>
      </x:c>
      <x:c r="AA193" s="11">
        <x:f t="shared" si="11"/>
        <x:v>0.40056229074889865</x:v>
      </x:c>
      <x:c r="AB193" t="s">
        <x:v>1097</x:v>
      </x:c>
      <x:c r="AC193" t="s">
        <x:v>1116</x:v>
      </x:c>
    </x:row>
    <x:row r="194">
      <x:c r="A194" s="10" t="s">
        <x:v>1117</x:v>
      </x:c>
      <x:c r="B194" t="s">
        <x:v>1118</x:v>
      </x:c>
      <x:c r="C194" t="s">
        <x:v>133</x:v>
      </x:c>
      <x:c r="D194" t="s">
        <x:v>1091</x:v>
      </x:c>
      <x:c r="E194" t="s">
        <x:v>33</x:v>
      </x:c>
      <x:c r="F194" t="s">
        <x:v>1119</x:v>
      </x:c>
      <x:c r="H194" t="s">
        <x:v>846</x:v>
      </x:c>
      <x:c r="I194" t="s">
        <x:v>1120</x:v>
      </x:c>
      <x:c r="J194">
        <x:v>7000</x:v>
      </x:c>
      <x:c r="K194">
        <x:v>0.5</x:v>
      </x:c>
      <x:c r="L194" t="n">
        <x:f t="shared" ref="L194:L257" si="12">IF(J194="","",J194*(1+K194))</x:f>
        <x:v>10500</x:v>
      </x:c>
      <x:c r="M194" t="s">
        <x:v>38</x:v>
      </x:c>
      <x:c r="O194" t="s">
        <x:v>38</x:v>
      </x:c>
      <x:c r="P194" t="s">
        <x:v>39</x:v>
      </x:c>
      <x:c r="Q194" t="s">
        <x:v>1118</x:v>
      </x:c>
      <x:c r="R194" t="s">
        <x:v>1121</x:v>
      </x:c>
      <x:c r="S194" t="s">
        <x:v>1096</x:v>
      </x:c>
      <x:c r="T194" s="2" t="n">
        <x:f>'SUPUESTOS PRECIOS'!$B$9</x:f>
        <x:v>0</x:v>
      </x:c>
      <x:c r="U194" s="3" t="n">
        <x:f>'SUPUESTOS PRECIOS'!$B$5/'SUPUESTOS PRECIOS'!$B$4</x:f>
        <x:v>1000</x:v>
      </x:c>
      <x:c r="V194" s="3" t="n">
        <x:f>('SUPUESTOS PRECIOS'!$B$6-'SUPUESTOS PRECIOS'!$B$7)/'SUPUESTOS PRECIOS'!$B$4</x:f>
        <x:v>377.5</x:v>
      </x:c>
      <x:c r="W194" s="4" t="n">
        <x:f>'SUPUESTOS PRECIOS'!$B$8</x:f>
        <x:v>0.00968</x:v>
      </x:c>
      <x:c r="X194" s="4" t="n">
        <x:f>'SUPUESTOS PRECIOS'!$B$2</x:f>
        <x:v>0.4</x:v>
      </x:c>
      <x:c r="Y194" s="3" t="n">
        <x:f t="shared" ref="Y194:Y257" si="13">IF(OR($B194="",$J194=""),"",ROUND(($J194+$T194+$U194+$V194)/(1-$W194-$X194),-1))</x:f>
        <x:v>14190</x:v>
      </x:c>
      <x:c r="Z194" s="3" t="n">
        <x:f t="shared" ref="Z194:Z257" si="14">IF($Y194="","",$Y194-$J194-$T194-$U194-$V194-($Y194*$W194))</x:f>
        <x:v>5675.1408</x:v>
      </x:c>
      <x:c r="AA194" s="11" t="n">
        <x:f t="shared" ref="AA194:AA257" si="15">IF($Y194="","",$Z194/$Y194)</x:f>
        <x:v>0.39993945031712475</x:v>
      </x:c>
    </x:row>
    <x:row r="195">
      <x:c r="A195" s="10" t="s">
        <x:v>1122</x:v>
      </x:c>
      <x:c r="B195" t="s">
        <x:v>1123</x:v>
      </x:c>
      <x:c r="C195" t="s">
        <x:v>133</x:v>
      </x:c>
      <x:c r="D195" t="s">
        <x:v>1091</x:v>
      </x:c>
      <x:c r="E195" t="s">
        <x:v>33</x:v>
      </x:c>
      <x:c r="F195" t="s">
        <x:v>1124</x:v>
      </x:c>
      <x:c r="H195" t="s">
        <x:v>846</x:v>
      </x:c>
      <x:c r="I195" t="s">
        <x:v>1125</x:v>
      </x:c>
      <x:c r="J195">
        <x:v>8000</x:v>
      </x:c>
      <x:c r="K195">
        <x:v>0.5</x:v>
      </x:c>
      <x:c r="L195">
        <x:f t="shared" si="12"/>
        <x:v>12000</x:v>
      </x:c>
      <x:c r="M195" t="s">
        <x:v>38</x:v>
      </x:c>
      <x:c r="O195" t="s">
        <x:v>38</x:v>
      </x:c>
      <x:c r="P195" t="s">
        <x:v>39</x:v>
      </x:c>
      <x:c r="Q195" t="s">
        <x:v>1123</x:v>
      </x:c>
      <x:c r="R195" t="s">
        <x:v>1126</x:v>
      </x:c>
      <x:c r="S195" t="s">
        <x:v>1096</x:v>
      </x:c>
      <x:c r="T195" s="2" t="n">
        <x:f>'SUPUESTOS PRECIOS'!$B$9</x:f>
        <x:v>0</x:v>
      </x:c>
      <x:c r="U195" s="3" t="n">
        <x:f>'SUPUESTOS PRECIOS'!$B$5/'SUPUESTOS PRECIOS'!$B$4</x:f>
        <x:v>1000</x:v>
      </x:c>
      <x:c r="V195" s="3" t="n">
        <x:f>('SUPUESTOS PRECIOS'!$B$6-'SUPUESTOS PRECIOS'!$B$7)/'SUPUESTOS PRECIOS'!$B$4</x:f>
        <x:v>377.5</x:v>
      </x:c>
      <x:c r="W195" s="4" t="n">
        <x:f>'SUPUESTOS PRECIOS'!$B$8</x:f>
        <x:v>0.00968</x:v>
      </x:c>
      <x:c r="X195" s="4" t="n">
        <x:f>'SUPUESTOS PRECIOS'!$B$2</x:f>
        <x:v>0.4</x:v>
      </x:c>
      <x:c r="Y195" s="3">
        <x:f t="shared" si="13"/>
        <x:v>15890</x:v>
      </x:c>
      <x:c r="Z195" s="3">
        <x:f t="shared" si="14"/>
        <x:v>6358.6848</x:v>
      </x:c>
      <x:c r="AA195" s="11">
        <x:f t="shared" si="15"/>
        <x:v>0.40016896161107612</x:v>
      </x:c>
    </x:row>
    <x:row r="196">
      <x:c r="A196" s="10" t="s">
        <x:v>1127</x:v>
      </x:c>
      <x:c r="B196" t="s">
        <x:v>1128</x:v>
      </x:c>
      <x:c r="C196" t="s">
        <x:v>133</x:v>
      </x:c>
      <x:c r="D196" t="s">
        <x:v>1129</x:v>
      </x:c>
      <x:c r="E196" t="s">
        <x:v>1130</x:v>
      </x:c>
      <x:c r="F196" t="s">
        <x:v>1131</x:v>
      </x:c>
      <x:c r="H196" t="s">
        <x:v>136</x:v>
      </x:c>
      <x:c r="I196" t="s">
        <x:v>1132</x:v>
      </x:c>
      <x:c r="J196">
        <x:v>7000</x:v>
      </x:c>
      <x:c r="K196">
        <x:v>0.5</x:v>
      </x:c>
      <x:c r="L196">
        <x:f t="shared" si="12"/>
        <x:v>10500</x:v>
      </x:c>
      <x:c r="M196" t="s">
        <x:v>38</x:v>
      </x:c>
      <x:c r="O196" t="s">
        <x:v>38</x:v>
      </x:c>
      <x:c r="P196" t="s">
        <x:v>39</x:v>
      </x:c>
      <x:c r="Q196" t="s">
        <x:v>1128</x:v>
      </x:c>
      <x:c r="R196" t="s">
        <x:v>1133</x:v>
      </x:c>
      <x:c r="S196" t="s">
        <x:v>1134</x:v>
      </x:c>
      <x:c r="T196" s="2" t="n">
        <x:f>'SUPUESTOS PRECIOS'!$B$9</x:f>
        <x:v>0</x:v>
      </x:c>
      <x:c r="U196" s="3" t="n">
        <x:f>'SUPUESTOS PRECIOS'!$B$5/'SUPUESTOS PRECIOS'!$B$4</x:f>
        <x:v>1000</x:v>
      </x:c>
      <x:c r="V196" s="3" t="n">
        <x:f>('SUPUESTOS PRECIOS'!$B$6-'SUPUESTOS PRECIOS'!$B$7)/'SUPUESTOS PRECIOS'!$B$4</x:f>
        <x:v>377.5</x:v>
      </x:c>
      <x:c r="W196" s="4" t="n">
        <x:f>'SUPUESTOS PRECIOS'!$B$8</x:f>
        <x:v>0.00968</x:v>
      </x:c>
      <x:c r="X196" s="4" t="n">
        <x:f>'SUPUESTOS PRECIOS'!$B$2</x:f>
        <x:v>0.4</x:v>
      </x:c>
      <x:c r="Y196" s="3">
        <x:f t="shared" si="13"/>
        <x:v>14190</x:v>
      </x:c>
      <x:c r="Z196" s="3">
        <x:f t="shared" si="14"/>
        <x:v>5675.1408000000001</x:v>
      </x:c>
      <x:c r="AA196" s="11">
        <x:f t="shared" si="15"/>
        <x:v>0.39993945031712475</x:v>
      </x:c>
    </x:row>
    <x:row r="197">
      <x:c r="A197" s="10" t="s">
        <x:v>1135</x:v>
      </x:c>
      <x:c r="B197" t="s">
        <x:v>1136</x:v>
      </x:c>
      <x:c r="C197" t="s">
        <x:v>133</x:v>
      </x:c>
      <x:c r="D197" t="s">
        <x:v>1129</x:v>
      </x:c>
      <x:c r="E197" t="s">
        <x:v>1137</x:v>
      </x:c>
      <x:c r="F197" t="s">
        <x:v>1138</x:v>
      </x:c>
      <x:c r="H197" t="s">
        <x:v>136</x:v>
      </x:c>
      <x:c r="I197" t="s">
        <x:v>1139</x:v>
      </x:c>
      <x:c r="J197">
        <x:v>1300</x:v>
      </x:c>
      <x:c r="K197">
        <x:v>1</x:v>
      </x:c>
      <x:c r="L197">
        <x:f t="shared" si="12"/>
        <x:v>2600</x:v>
      </x:c>
      <x:c r="M197" t="s">
        <x:v>38</x:v>
      </x:c>
      <x:c r="O197" t="s">
        <x:v>38</x:v>
      </x:c>
      <x:c r="P197" t="s">
        <x:v>39</x:v>
      </x:c>
      <x:c r="Q197" t="s">
        <x:v>1136</x:v>
      </x:c>
      <x:c r="R197" t="s">
        <x:v>1140</x:v>
      </x:c>
      <x:c r="S197" t="s">
        <x:v>1134</x:v>
      </x:c>
      <x:c r="T197" s="2" t="n">
        <x:f>'SUPUESTOS PRECIOS'!$B$9</x:f>
        <x:v>0</x:v>
      </x:c>
      <x:c r="U197" s="3" t="n">
        <x:f>'SUPUESTOS PRECIOS'!$B$5/'SUPUESTOS PRECIOS'!$B$4</x:f>
        <x:v>1000</x:v>
      </x:c>
      <x:c r="V197" s="3" t="n">
        <x:f>('SUPUESTOS PRECIOS'!$B$6-'SUPUESTOS PRECIOS'!$B$7)/'SUPUESTOS PRECIOS'!$B$4</x:f>
        <x:v>377.5</x:v>
      </x:c>
      <x:c r="W197" s="4" t="n">
        <x:f>'SUPUESTOS PRECIOS'!$B$8</x:f>
        <x:v>0.00968</x:v>
      </x:c>
      <x:c r="X197" s="4" t="n">
        <x:f>'SUPUESTOS PRECIOS'!$B$2</x:f>
        <x:v>0.4</x:v>
      </x:c>
      <x:c r="Y197" s="3">
        <x:f t="shared" si="13"/>
        <x:v>4540</x:v>
      </x:c>
      <x:c r="Z197" s="3">
        <x:f t="shared" si="14"/>
        <x:v>1818.5527999999999</x:v>
      </x:c>
      <x:c r="AA197" s="11">
        <x:f t="shared" si="15"/>
        <x:v>0.40056229074889865</x:v>
      </x:c>
    </x:row>
    <x:row r="198">
      <x:c r="A198" s="10" t="s">
        <x:v>1141</x:v>
      </x:c>
      <x:c r="B198" t="s">
        <x:v>1142</x:v>
      </x:c>
      <x:c r="C198" t="s">
        <x:v>133</x:v>
      </x:c>
      <x:c r="D198" t="s">
        <x:v>1129</x:v>
      </x:c>
      <x:c r="E198" t="s">
        <x:v>1143</x:v>
      </x:c>
      <x:c r="F198" t="s">
        <x:v>1144</x:v>
      </x:c>
      <x:c r="H198" t="s">
        <x:v>136</x:v>
      </x:c>
      <x:c r="I198" t="s">
        <x:v>1145</x:v>
      </x:c>
      <x:c r="J198">
        <x:v>2100</x:v>
      </x:c>
      <x:c r="K198">
        <x:v>0.5</x:v>
      </x:c>
      <x:c r="L198">
        <x:f t="shared" si="12"/>
        <x:v>3150</x:v>
      </x:c>
      <x:c r="M198" t="s">
        <x:v>38</x:v>
      </x:c>
      <x:c r="O198" t="s">
        <x:v>38</x:v>
      </x:c>
      <x:c r="P198" t="s">
        <x:v>39</x:v>
      </x:c>
      <x:c r="Q198" t="s">
        <x:v>1142</x:v>
      </x:c>
      <x:c r="R198" t="s">
        <x:v>1146</x:v>
      </x:c>
      <x:c r="S198" t="s">
        <x:v>1134</x:v>
      </x:c>
      <x:c r="T198" s="2" t="n">
        <x:f>'SUPUESTOS PRECIOS'!$B$9</x:f>
        <x:v>0</x:v>
      </x:c>
      <x:c r="U198" s="3" t="n">
        <x:f>'SUPUESTOS PRECIOS'!$B$5/'SUPUESTOS PRECIOS'!$B$4</x:f>
        <x:v>1000</x:v>
      </x:c>
      <x:c r="V198" s="3" t="n">
        <x:f>('SUPUESTOS PRECIOS'!$B$6-'SUPUESTOS PRECIOS'!$B$7)/'SUPUESTOS PRECIOS'!$B$4</x:f>
        <x:v>377.5</x:v>
      </x:c>
      <x:c r="W198" s="4" t="n">
        <x:f>'SUPUESTOS PRECIOS'!$B$8</x:f>
        <x:v>0.00968</x:v>
      </x:c>
      <x:c r="X198" s="4" t="n">
        <x:f>'SUPUESTOS PRECIOS'!$B$2</x:f>
        <x:v>0.4</x:v>
      </x:c>
      <x:c r="Y198" s="3">
        <x:f t="shared" si="13"/>
        <x:v>5890</x:v>
      </x:c>
      <x:c r="Z198" s="3">
        <x:f t="shared" si="14"/>
        <x:v>2355.4848000000002</x:v>
      </x:c>
      <x:c r="AA198" s="11">
        <x:f t="shared" si="15"/>
        <x:v>0.39991252971137525</x:v>
      </x:c>
    </x:row>
    <x:row r="199">
      <x:c r="A199" s="10" t="s">
        <x:v>1147</x:v>
      </x:c>
      <x:c r="B199" t="s">
        <x:v>1148</x:v>
      </x:c>
      <x:c r="C199" t="s">
        <x:v>133</x:v>
      </x:c>
      <x:c r="D199" t="s">
        <x:v>1129</x:v>
      </x:c>
      <x:c r="E199" t="s">
        <x:v>1149</x:v>
      </x:c>
      <x:c r="F199" t="s">
        <x:v>1150</x:v>
      </x:c>
      <x:c r="H199" t="s">
        <x:v>136</x:v>
      </x:c>
      <x:c r="I199" t="s">
        <x:v>1151</x:v>
      </x:c>
      <x:c r="J199">
        <x:v>2000</x:v>
      </x:c>
      <x:c r="K199">
        <x:v>0.5</x:v>
      </x:c>
      <x:c r="L199">
        <x:f t="shared" si="12"/>
        <x:v>3000</x:v>
      </x:c>
      <x:c r="M199" t="s">
        <x:v>38</x:v>
      </x:c>
      <x:c r="O199" t="s">
        <x:v>38</x:v>
      </x:c>
      <x:c r="P199" t="s">
        <x:v>39</x:v>
      </x:c>
      <x:c r="Q199" t="s">
        <x:v>1148</x:v>
      </x:c>
      <x:c r="R199" t="s">
        <x:v>1152</x:v>
      </x:c>
      <x:c r="S199" t="s">
        <x:v>1134</x:v>
      </x:c>
      <x:c r="T199" s="2" t="n">
        <x:f>'SUPUESTOS PRECIOS'!$B$9</x:f>
        <x:v>0</x:v>
      </x:c>
      <x:c r="U199" s="3" t="n">
        <x:f>'SUPUESTOS PRECIOS'!$B$5/'SUPUESTOS PRECIOS'!$B$4</x:f>
        <x:v>1000</x:v>
      </x:c>
      <x:c r="V199" s="3" t="n">
        <x:f>('SUPUESTOS PRECIOS'!$B$6-'SUPUESTOS PRECIOS'!$B$7)/'SUPUESTOS PRECIOS'!$B$4</x:f>
        <x:v>377.5</x:v>
      </x:c>
      <x:c r="W199" s="4" t="n">
        <x:f>'SUPUESTOS PRECIOS'!$B$8</x:f>
        <x:v>0.00968</x:v>
      </x:c>
      <x:c r="X199" s="4" t="n">
        <x:f>'SUPUESTOS PRECIOS'!$B$2</x:f>
        <x:v>0.4</x:v>
      </x:c>
      <x:c r="Y199" s="3">
        <x:f t="shared" si="13"/>
        <x:v>5720</x:v>
      </x:c>
      <x:c r="Z199" s="3">
        <x:f t="shared" si="14"/>
        <x:v>2287.1304</x:v>
      </x:c>
      <x:c r="AA199" s="11">
        <x:f t="shared" si="15"/>
        <x:v>0.39984797202797201</x:v>
      </x:c>
    </x:row>
    <x:row r="200">
      <x:c r="A200" s="10" t="s">
        <x:v>1153</x:v>
      </x:c>
      <x:c r="B200" t="s">
        <x:v>1154</x:v>
      </x:c>
      <x:c r="C200" t="s">
        <x:v>133</x:v>
      </x:c>
      <x:c r="D200" t="s">
        <x:v>1129</x:v>
      </x:c>
      <x:c r="E200" t="s">
        <x:v>939</x:v>
      </x:c>
      <x:c r="F200" t="s">
        <x:v>1155</x:v>
      </x:c>
      <x:c r="H200" t="s">
        <x:v>136</x:v>
      </x:c>
      <x:c r="I200" t="s">
        <x:v>1156</x:v>
      </x:c>
      <x:c r="J200">
        <x:v>6600</x:v>
      </x:c>
      <x:c r="K200">
        <x:v>0.5</x:v>
      </x:c>
      <x:c r="L200">
        <x:f t="shared" si="12"/>
        <x:v>9900</x:v>
      </x:c>
      <x:c r="M200" t="s">
        <x:v>38</x:v>
      </x:c>
      <x:c r="O200" t="s">
        <x:v>38</x:v>
      </x:c>
      <x:c r="P200" t="s">
        <x:v>39</x:v>
      </x:c>
      <x:c r="Q200" t="s">
        <x:v>1154</x:v>
      </x:c>
      <x:c r="R200" t="s">
        <x:v>1157</x:v>
      </x:c>
      <x:c r="S200" t="s">
        <x:v>1134</x:v>
      </x:c>
      <x:c r="T200" s="2" t="n">
        <x:f>'SUPUESTOS PRECIOS'!$B$9</x:f>
        <x:v>0</x:v>
      </x:c>
      <x:c r="U200" s="3" t="n">
        <x:f>'SUPUESTOS PRECIOS'!$B$5/'SUPUESTOS PRECIOS'!$B$4</x:f>
        <x:v>1000</x:v>
      </x:c>
      <x:c r="V200" s="3" t="n">
        <x:f>('SUPUESTOS PRECIOS'!$B$6-'SUPUESTOS PRECIOS'!$B$7)/'SUPUESTOS PRECIOS'!$B$4</x:f>
        <x:v>377.5</x:v>
      </x:c>
      <x:c r="W200" s="4" t="n">
        <x:f>'SUPUESTOS PRECIOS'!$B$8</x:f>
        <x:v>0.00968</x:v>
      </x:c>
      <x:c r="X200" s="4" t="n">
        <x:f>'SUPUESTOS PRECIOS'!$B$2</x:f>
        <x:v>0.4</x:v>
      </x:c>
      <x:c r="Y200" s="3">
        <x:f t="shared" si="13"/>
        <x:v>13510</x:v>
      </x:c>
      <x:c r="Z200" s="3">
        <x:f t="shared" si="14"/>
        <x:v>5401.7232000000004</x:v>
      </x:c>
      <x:c r="AA200" s="11">
        <x:f t="shared" si="15"/>
        <x:v>0.39983147298297561</x:v>
      </x:c>
    </x:row>
    <x:row r="201">
      <x:c r="A201" s="10" t="s">
        <x:v>1158</x:v>
      </x:c>
      <x:c r="B201" t="s">
        <x:v>1159</x:v>
      </x:c>
      <x:c r="C201" t="s">
        <x:v>133</x:v>
      </x:c>
      <x:c r="D201" t="s">
        <x:v>1160</x:v>
      </x:c>
      <x:c r="E201" t="s">
        <x:v>1161</x:v>
      </x:c>
      <x:c r="F201" t="s">
        <x:v>1162</x:v>
      </x:c>
      <x:c r="H201" t="s">
        <x:v>136</x:v>
      </x:c>
      <x:c r="I201" t="s">
        <x:v>1163</x:v>
      </x:c>
      <x:c r="J201">
        <x:v>1000</x:v>
      </x:c>
      <x:c r="K201">
        <x:v>1</x:v>
      </x:c>
      <x:c r="L201">
        <x:f t="shared" si="12"/>
        <x:v>2000</x:v>
      </x:c>
      <x:c r="M201" t="s">
        <x:v>38</x:v>
      </x:c>
      <x:c r="O201" t="s">
        <x:v>38</x:v>
      </x:c>
      <x:c r="P201" t="s">
        <x:v>39</x:v>
      </x:c>
      <x:c r="Q201" t="s">
        <x:v>1159</x:v>
      </x:c>
      <x:c r="R201" t="s">
        <x:v>1164</x:v>
      </x:c>
      <x:c r="S201" t="s">
        <x:v>1165</x:v>
      </x:c>
      <x:c r="T201" s="2" t="n">
        <x:f>'SUPUESTOS PRECIOS'!$B$9</x:f>
        <x:v>0</x:v>
      </x:c>
      <x:c r="U201" s="3" t="n">
        <x:f>'SUPUESTOS PRECIOS'!$B$5/'SUPUESTOS PRECIOS'!$B$4</x:f>
        <x:v>1000</x:v>
      </x:c>
      <x:c r="V201" s="3" t="n">
        <x:f>('SUPUESTOS PRECIOS'!$B$6-'SUPUESTOS PRECIOS'!$B$7)/'SUPUESTOS PRECIOS'!$B$4</x:f>
        <x:v>377.5</x:v>
      </x:c>
      <x:c r="W201" s="4" t="n">
        <x:f>'SUPUESTOS PRECIOS'!$B$8</x:f>
        <x:v>0.00968</x:v>
      </x:c>
      <x:c r="X201" s="4" t="n">
        <x:f>'SUPUESTOS PRECIOS'!$B$2</x:f>
        <x:v>0.4</x:v>
      </x:c>
      <x:c r="Y201" s="3">
        <x:f t="shared" si="13"/>
        <x:v>4030</x:v>
      </x:c>
      <x:c r="Z201" s="3">
        <x:f t="shared" si="14"/>
        <x:v>1613.4896000000001</x:v>
      </x:c>
      <x:c r="AA201" s="11">
        <x:f t="shared" si="15"/>
        <x:v>0.40036962779156332</x:v>
      </x:c>
    </x:row>
    <x:row r="202">
      <x:c r="A202" s="10" t="s">
        <x:v>1166</x:v>
      </x:c>
      <x:c r="B202" t="s">
        <x:v>1167</x:v>
      </x:c>
      <x:c r="C202" t="s">
        <x:v>133</x:v>
      </x:c>
      <x:c r="D202" t="s">
        <x:v>1160</x:v>
      </x:c>
      <x:c r="E202" t="s">
        <x:v>1168</x:v>
      </x:c>
      <x:c r="F202" t="s">
        <x:v>1169</x:v>
      </x:c>
      <x:c r="H202" t="s">
        <x:v>136</x:v>
      </x:c>
      <x:c r="I202" t="s">
        <x:v>1170</x:v>
      </x:c>
      <x:c r="J202">
        <x:v>6600</x:v>
      </x:c>
      <x:c r="K202">
        <x:v>0.5</x:v>
      </x:c>
      <x:c r="L202">
        <x:f t="shared" si="12"/>
        <x:v>9900</x:v>
      </x:c>
      <x:c r="M202" t="s">
        <x:v>38</x:v>
      </x:c>
      <x:c r="O202" t="s">
        <x:v>38</x:v>
      </x:c>
      <x:c r="P202" t="s">
        <x:v>39</x:v>
      </x:c>
      <x:c r="Q202" t="s">
        <x:v>1167</x:v>
      </x:c>
      <x:c r="R202" t="s">
        <x:v>1171</x:v>
      </x:c>
      <x:c r="S202" t="s">
        <x:v>1165</x:v>
      </x:c>
      <x:c r="T202" s="2" t="n">
        <x:f>'SUPUESTOS PRECIOS'!$B$9</x:f>
        <x:v>0</x:v>
      </x:c>
      <x:c r="U202" s="3" t="n">
        <x:f>'SUPUESTOS PRECIOS'!$B$5/'SUPUESTOS PRECIOS'!$B$4</x:f>
        <x:v>1000</x:v>
      </x:c>
      <x:c r="V202" s="3" t="n">
        <x:f>('SUPUESTOS PRECIOS'!$B$6-'SUPUESTOS PRECIOS'!$B$7)/'SUPUESTOS PRECIOS'!$B$4</x:f>
        <x:v>377.5</x:v>
      </x:c>
      <x:c r="W202" s="4" t="n">
        <x:f>'SUPUESTOS PRECIOS'!$B$8</x:f>
        <x:v>0.00968</x:v>
      </x:c>
      <x:c r="X202" s="4" t="n">
        <x:f>'SUPUESTOS PRECIOS'!$B$2</x:f>
        <x:v>0.4</x:v>
      </x:c>
      <x:c r="Y202" s="3">
        <x:f t="shared" si="13"/>
        <x:v>13510</x:v>
      </x:c>
      <x:c r="Z202" s="3">
        <x:f t="shared" si="14"/>
        <x:v>5401.7232000000004</x:v>
      </x:c>
      <x:c r="AA202" s="11">
        <x:f t="shared" si="15"/>
        <x:v>0.39983147298297561</x:v>
      </x:c>
    </x:row>
    <x:row r="203">
      <x:c r="A203" s="10" t="s">
        <x:v>1172</x:v>
      </x:c>
      <x:c r="B203" t="s">
        <x:v>1173</x:v>
      </x:c>
      <x:c r="C203" t="s">
        <x:v>133</x:v>
      </x:c>
      <x:c r="D203" t="s">
        <x:v>1174</x:v>
      </x:c>
      <x:c r="E203" t="s">
        <x:v>1175</x:v>
      </x:c>
      <x:c r="F203" t="s">
        <x:v>1176</x:v>
      </x:c>
      <x:c r="H203" t="s">
        <x:v>136</x:v>
      </x:c>
      <x:c r="I203" t="s">
        <x:v>1177</x:v>
      </x:c>
      <x:c r="J203">
        <x:v>6400</x:v>
      </x:c>
      <x:c r="K203">
        <x:v>0.5</x:v>
      </x:c>
      <x:c r="L203">
        <x:f t="shared" si="12"/>
        <x:v>9600</x:v>
      </x:c>
      <x:c r="M203" t="s">
        <x:v>38</x:v>
      </x:c>
      <x:c r="O203" t="s">
        <x:v>38</x:v>
      </x:c>
      <x:c r="P203" t="s">
        <x:v>39</x:v>
      </x:c>
      <x:c r="Q203" t="s">
        <x:v>1173</x:v>
      </x:c>
      <x:c r="R203" t="s">
        <x:v>1178</x:v>
      </x:c>
      <x:c r="S203" t="s">
        <x:v>1179</x:v>
      </x:c>
      <x:c r="T203" s="2" t="n">
        <x:f>'SUPUESTOS PRECIOS'!$B$9</x:f>
        <x:v>0</x:v>
      </x:c>
      <x:c r="U203" s="3" t="n">
        <x:f>'SUPUESTOS PRECIOS'!$B$5/'SUPUESTOS PRECIOS'!$B$4</x:f>
        <x:v>1000</x:v>
      </x:c>
      <x:c r="V203" s="3" t="n">
        <x:f>('SUPUESTOS PRECIOS'!$B$6-'SUPUESTOS PRECIOS'!$B$7)/'SUPUESTOS PRECIOS'!$B$4</x:f>
        <x:v>377.5</x:v>
      </x:c>
      <x:c r="W203" s="4" t="n">
        <x:f>'SUPUESTOS PRECIOS'!$B$8</x:f>
        <x:v>0.00968</x:v>
      </x:c>
      <x:c r="X203" s="4" t="n">
        <x:f>'SUPUESTOS PRECIOS'!$B$2</x:f>
        <x:v>0.4</x:v>
      </x:c>
      <x:c r="Y203" s="3">
        <x:f t="shared" si="13"/>
        <x:v>13180</x:v>
      </x:c>
      <x:c r="Z203" s="3">
        <x:f t="shared" si="14"/>
        <x:v>5274.9175999999998</x:v>
      </x:c>
      <x:c r="AA203" s="11">
        <x:f t="shared" si="15"/>
        <x:v>0.40022136570561456</x:v>
      </x:c>
    </x:row>
    <x:row r="204">
      <x:c r="A204" s="10" t="s">
        <x:v>1180</x:v>
      </x:c>
      <x:c r="B204" t="s">
        <x:v>1181</x:v>
      </x:c>
      <x:c r="C204" t="s">
        <x:v>133</x:v>
      </x:c>
      <x:c r="D204" t="s">
        <x:v>1174</x:v>
      </x:c>
      <x:c r="E204" t="s">
        <x:v>1175</x:v>
      </x:c>
      <x:c r="F204" t="s">
        <x:v>1182</x:v>
      </x:c>
      <x:c r="H204" t="s">
        <x:v>136</x:v>
      </x:c>
      <x:c r="I204" t="s">
        <x:v>1183</x:v>
      </x:c>
      <x:c r="J204">
        <x:v>10000</x:v>
      </x:c>
      <x:c r="K204">
        <x:v>0.5</x:v>
      </x:c>
      <x:c r="L204">
        <x:f t="shared" si="12"/>
        <x:v>15000</x:v>
      </x:c>
      <x:c r="M204" t="s">
        <x:v>38</x:v>
      </x:c>
      <x:c r="O204" t="s">
        <x:v>38</x:v>
      </x:c>
      <x:c r="P204" t="s">
        <x:v>39</x:v>
      </x:c>
      <x:c r="Q204" t="s">
        <x:v>1181</x:v>
      </x:c>
      <x:c r="R204" t="s">
        <x:v>1184</x:v>
      </x:c>
      <x:c r="S204" t="s">
        <x:v>1179</x:v>
      </x:c>
      <x:c r="T204" s="2" t="n">
        <x:f>'SUPUESTOS PRECIOS'!$B$9</x:f>
        <x:v>0</x:v>
      </x:c>
      <x:c r="U204" s="3" t="n">
        <x:f>'SUPUESTOS PRECIOS'!$B$5/'SUPUESTOS PRECIOS'!$B$4</x:f>
        <x:v>1000</x:v>
      </x:c>
      <x:c r="V204" s="3" t="n">
        <x:f>('SUPUESTOS PRECIOS'!$B$6-'SUPUESTOS PRECIOS'!$B$7)/'SUPUESTOS PRECIOS'!$B$4</x:f>
        <x:v>377.5</x:v>
      </x:c>
      <x:c r="W204" s="4" t="n">
        <x:f>'SUPUESTOS PRECIOS'!$B$8</x:f>
        <x:v>0.00968</x:v>
      </x:c>
      <x:c r="X204" s="4" t="n">
        <x:f>'SUPUESTOS PRECIOS'!$B$2</x:f>
        <x:v>0.4</x:v>
      </x:c>
      <x:c r="Y204" s="3">
        <x:f t="shared" si="13"/>
        <x:v>19270</x:v>
      </x:c>
      <x:c r="Z204" s="3">
        <x:f t="shared" si="14"/>
        <x:v>7705.9664000000002</x:v>
      </x:c>
      <x:c r="AA204" s="11">
        <x:f t="shared" si="15"/>
        <x:v>0.39989446808510637</x:v>
      </x:c>
    </x:row>
    <x:row r="205">
      <x:c r="A205" s="10" t="s">
        <x:v>1185</x:v>
      </x:c>
      <x:c r="B205" t="s">
        <x:v>1186</x:v>
      </x:c>
      <x:c r="C205" t="s">
        <x:v>133</x:v>
      </x:c>
      <x:c r="D205" t="s">
        <x:v>1174</x:v>
      </x:c>
      <x:c r="E205" t="s">
        <x:v>33</x:v>
      </x:c>
      <x:c r="F205" t="s">
        <x:v>1187</x:v>
      </x:c>
      <x:c r="H205" t="s">
        <x:v>136</x:v>
      </x:c>
      <x:c r="I205" t="s">
        <x:v>1188</x:v>
      </x:c>
      <x:c r="J205">
        <x:v>2400</x:v>
      </x:c>
      <x:c r="K205">
        <x:v>0.5</x:v>
      </x:c>
      <x:c r="L205">
        <x:f t="shared" si="12"/>
        <x:v>3600</x:v>
      </x:c>
      <x:c r="M205" t="s">
        <x:v>38</x:v>
      </x:c>
      <x:c r="O205" t="s">
        <x:v>38</x:v>
      </x:c>
      <x:c r="P205" t="s">
        <x:v>39</x:v>
      </x:c>
      <x:c r="Q205" t="s">
        <x:v>1186</x:v>
      </x:c>
      <x:c r="R205" t="s">
        <x:v>1189</x:v>
      </x:c>
      <x:c r="S205" t="s">
        <x:v>1179</x:v>
      </x:c>
      <x:c r="T205" s="2" t="n">
        <x:f>'SUPUESTOS PRECIOS'!$B$9</x:f>
        <x:v>0</x:v>
      </x:c>
      <x:c r="U205" s="3" t="n">
        <x:f>'SUPUESTOS PRECIOS'!$B$5/'SUPUESTOS PRECIOS'!$B$4</x:f>
        <x:v>1000</x:v>
      </x:c>
      <x:c r="V205" s="3" t="n">
        <x:f>('SUPUESTOS PRECIOS'!$B$6-'SUPUESTOS PRECIOS'!$B$7)/'SUPUESTOS PRECIOS'!$B$4</x:f>
        <x:v>377.5</x:v>
      </x:c>
      <x:c r="W205" s="4" t="n">
        <x:f>'SUPUESTOS PRECIOS'!$B$8</x:f>
        <x:v>0.00968</x:v>
      </x:c>
      <x:c r="X205" s="4" t="n">
        <x:f>'SUPUESTOS PRECIOS'!$B$2</x:f>
        <x:v>0.4</x:v>
      </x:c>
      <x:c r="Y205" s="3">
        <x:f t="shared" si="13"/>
        <x:v>6400</x:v>
      </x:c>
      <x:c r="Z205" s="3">
        <x:f t="shared" si="14"/>
        <x:v>2560.5479999999998</x:v>
      </x:c>
      <x:c r="AA205" s="11">
        <x:f t="shared" si="15"/>
        <x:v>0.40008562499999994</x:v>
      </x:c>
    </x:row>
    <x:row r="206">
      <x:c r="A206" s="10" t="s">
        <x:v>1190</x:v>
      </x:c>
      <x:c r="B206" t="s">
        <x:v>1191</x:v>
      </x:c>
      <x:c r="C206" t="s">
        <x:v>133</x:v>
      </x:c>
      <x:c r="D206" t="s">
        <x:v>1174</x:v>
      </x:c>
      <x:c r="E206" t="s">
        <x:v>33</x:v>
      </x:c>
      <x:c r="F206" t="s">
        <x:v>1192</x:v>
      </x:c>
      <x:c r="H206" t="s">
        <x:v>136</x:v>
      </x:c>
      <x:c r="I206" t="s">
        <x:v>1193</x:v>
      </x:c>
      <x:c r="J206">
        <x:v>3200</x:v>
      </x:c>
      <x:c r="K206">
        <x:v>0.5</x:v>
      </x:c>
      <x:c r="L206">
        <x:f t="shared" si="12"/>
        <x:v>4800</x:v>
      </x:c>
      <x:c r="M206" t="s">
        <x:v>38</x:v>
      </x:c>
      <x:c r="O206" t="s">
        <x:v>38</x:v>
      </x:c>
      <x:c r="P206" t="s">
        <x:v>39</x:v>
      </x:c>
      <x:c r="Q206" t="s">
        <x:v>1191</x:v>
      </x:c>
      <x:c r="R206" t="s">
        <x:v>1194</x:v>
      </x:c>
      <x:c r="S206" t="s">
        <x:v>1179</x:v>
      </x:c>
      <x:c r="T206" s="2" t="n">
        <x:f>'SUPUESTOS PRECIOS'!$B$9</x:f>
        <x:v>0</x:v>
      </x:c>
      <x:c r="U206" s="3" t="n">
        <x:f>'SUPUESTOS PRECIOS'!$B$5/'SUPUESTOS PRECIOS'!$B$4</x:f>
        <x:v>1000</x:v>
      </x:c>
      <x:c r="V206" s="3" t="n">
        <x:f>('SUPUESTOS PRECIOS'!$B$6-'SUPUESTOS PRECIOS'!$B$7)/'SUPUESTOS PRECIOS'!$B$4</x:f>
        <x:v>377.5</x:v>
      </x:c>
      <x:c r="W206" s="4" t="n">
        <x:f>'SUPUESTOS PRECIOS'!$B$8</x:f>
        <x:v>0.00968</x:v>
      </x:c>
      <x:c r="X206" s="4" t="n">
        <x:f>'SUPUESTOS PRECIOS'!$B$2</x:f>
        <x:v>0.4</x:v>
      </x:c>
      <x:c r="Y206" s="3">
        <x:f t="shared" si="13"/>
        <x:v>7750</x:v>
      </x:c>
      <x:c r="Z206" s="3">
        <x:f t="shared" si="14"/>
        <x:v>3097.48</x:v>
      </x:c>
      <x:c r="AA206" s="11">
        <x:f t="shared" si="15"/>
        <x:v>0.3996748387096774</x:v>
      </x:c>
    </x:row>
    <x:row r="207">
      <x:c r="A207" s="10" t="s">
        <x:v>1195</x:v>
      </x:c>
      <x:c r="B207" t="s">
        <x:v>1196</x:v>
      </x:c>
      <x:c r="C207" t="s">
        <x:v>133</x:v>
      </x:c>
      <x:c r="D207" t="s">
        <x:v>1174</x:v>
      </x:c>
      <x:c r="E207" t="s">
        <x:v>1175</x:v>
      </x:c>
      <x:c r="F207" t="s">
        <x:v>1197</x:v>
      </x:c>
      <x:c r="H207" t="s">
        <x:v>136</x:v>
      </x:c>
      <x:c r="I207" t="s">
        <x:v>1198</x:v>
      </x:c>
      <x:c r="J207">
        <x:v>11800</x:v>
      </x:c>
      <x:c r="K207">
        <x:v>0.5</x:v>
      </x:c>
      <x:c r="L207">
        <x:f t="shared" si="12"/>
        <x:v>17700</x:v>
      </x:c>
      <x:c r="M207" t="s">
        <x:v>38</x:v>
      </x:c>
      <x:c r="O207" t="s">
        <x:v>38</x:v>
      </x:c>
      <x:c r="P207" t="s">
        <x:v>39</x:v>
      </x:c>
      <x:c r="Q207" t="s">
        <x:v>1196</x:v>
      </x:c>
      <x:c r="R207" t="s">
        <x:v>1199</x:v>
      </x:c>
      <x:c r="S207" t="s">
        <x:v>1179</x:v>
      </x:c>
      <x:c r="T207" s="2" t="n">
        <x:f>'SUPUESTOS PRECIOS'!$B$9</x:f>
        <x:v>0</x:v>
      </x:c>
      <x:c r="U207" s="3" t="n">
        <x:f>'SUPUESTOS PRECIOS'!$B$5/'SUPUESTOS PRECIOS'!$B$4</x:f>
        <x:v>1000</x:v>
      </x:c>
      <x:c r="V207" s="3" t="n">
        <x:f>('SUPUESTOS PRECIOS'!$B$6-'SUPUESTOS PRECIOS'!$B$7)/'SUPUESTOS PRECIOS'!$B$4</x:f>
        <x:v>377.5</x:v>
      </x:c>
      <x:c r="W207" s="4" t="n">
        <x:f>'SUPUESTOS PRECIOS'!$B$8</x:f>
        <x:v>0.00968</x:v>
      </x:c>
      <x:c r="X207" s="4" t="n">
        <x:f>'SUPUESTOS PRECIOS'!$B$2</x:f>
        <x:v>0.4</x:v>
      </x:c>
      <x:c r="Y207" s="3">
        <x:f t="shared" si="13"/>
        <x:v>22320</x:v>
      </x:c>
      <x:c r="Z207" s="3">
        <x:f t="shared" si="14"/>
        <x:v>8926.4423999999999</x:v>
      </x:c>
      <x:c r="AA207" s="11">
        <x:f t="shared" si="15"/>
        <x:v>0.39993021505376342</x:v>
      </x:c>
    </x:row>
    <x:row r="208">
      <x:c r="A208" s="10" t="s">
        <x:v>1200</x:v>
      </x:c>
      <x:c r="B208" t="s">
        <x:v>1201</x:v>
      </x:c>
      <x:c r="C208" t="s">
        <x:v>133</x:v>
      </x:c>
      <x:c r="D208" t="s">
        <x:v>1174</x:v>
      </x:c>
      <x:c r="E208" t="s">
        <x:v>33</x:v>
      </x:c>
      <x:c r="F208" t="s">
        <x:v>1202</x:v>
      </x:c>
      <x:c r="H208" t="s">
        <x:v>136</x:v>
      </x:c>
      <x:c r="I208" t="s">
        <x:v>1203</x:v>
      </x:c>
      <x:c r="J208">
        <x:v>11000</x:v>
      </x:c>
      <x:c r="K208">
        <x:v>0.5</x:v>
      </x:c>
      <x:c r="L208">
        <x:f t="shared" si="12"/>
        <x:v>16500</x:v>
      </x:c>
      <x:c r="M208" t="s">
        <x:v>38</x:v>
      </x:c>
      <x:c r="O208" t="s">
        <x:v>38</x:v>
      </x:c>
      <x:c r="P208" t="s">
        <x:v>39</x:v>
      </x:c>
      <x:c r="Q208" t="s">
        <x:v>1201</x:v>
      </x:c>
      <x:c r="R208" t="s">
        <x:v>1204</x:v>
      </x:c>
      <x:c r="S208" t="s">
        <x:v>1179</x:v>
      </x:c>
      <x:c r="T208" s="2" t="n">
        <x:f>'SUPUESTOS PRECIOS'!$B$9</x:f>
        <x:v>0</x:v>
      </x:c>
      <x:c r="U208" s="3" t="n">
        <x:f>'SUPUESTOS PRECIOS'!$B$5/'SUPUESTOS PRECIOS'!$B$4</x:f>
        <x:v>1000</x:v>
      </x:c>
      <x:c r="V208" s="3" t="n">
        <x:f>('SUPUESTOS PRECIOS'!$B$6-'SUPUESTOS PRECIOS'!$B$7)/'SUPUESTOS PRECIOS'!$B$4</x:f>
        <x:v>377.5</x:v>
      </x:c>
      <x:c r="W208" s="4" t="n">
        <x:f>'SUPUESTOS PRECIOS'!$B$8</x:f>
        <x:v>0.00968</x:v>
      </x:c>
      <x:c r="X208" s="4" t="n">
        <x:f>'SUPUESTOS PRECIOS'!$B$2</x:f>
        <x:v>0.4</x:v>
      </x:c>
      <x:c r="Y208" s="3">
        <x:f t="shared" si="13"/>
        <x:v>20970</x:v>
      </x:c>
      <x:c r="Z208" s="3">
        <x:f t="shared" si="14"/>
        <x:v>8389.5103999999992</x:v>
      </x:c>
      <x:c r="AA208" s="11">
        <x:f t="shared" si="15"/>
        <x:v>0.40007202670481634</x:v>
      </x:c>
    </x:row>
    <x:row r="209">
      <x:c r="A209" s="10" t="s">
        <x:v>1205</x:v>
      </x:c>
      <x:c r="B209" t="s">
        <x:v>1206</x:v>
      </x:c>
      <x:c r="C209" t="s">
        <x:v>1207</x:v>
      </x:c>
      <x:c r="D209" t="s">
        <x:v>1208</x:v>
      </x:c>
      <x:c r="E209" t="s">
        <x:v>1209</x:v>
      </x:c>
      <x:c r="F209" t="s">
        <x:v>1210</x:v>
      </x:c>
      <x:c r="H209" t="s">
        <x:v>762</x:v>
      </x:c>
      <x:c r="I209" t="s">
        <x:v>1211</x:v>
      </x:c>
      <x:c r="J209">
        <x:v>5000</x:v>
      </x:c>
      <x:c r="K209">
        <x:v>0.5</x:v>
      </x:c>
      <x:c r="L209">
        <x:f t="shared" si="12"/>
        <x:v>7500</x:v>
      </x:c>
      <x:c r="M209" t="s">
        <x:v>38</x:v>
      </x:c>
      <x:c r="O209" t="s">
        <x:v>38</x:v>
      </x:c>
      <x:c r="P209" t="s">
        <x:v>39</x:v>
      </x:c>
      <x:c r="Q209" t="s">
        <x:v>1206</x:v>
      </x:c>
      <x:c r="R209" t="s">
        <x:v>1212</x:v>
      </x:c>
      <x:c r="S209" t="s">
        <x:v>1213</x:v>
      </x:c>
      <x:c r="T209" s="2" t="n">
        <x:f>'SUPUESTOS PRECIOS'!$B$9</x:f>
        <x:v>0</x:v>
      </x:c>
      <x:c r="U209" s="3" t="n">
        <x:f>'SUPUESTOS PRECIOS'!$B$5/'SUPUESTOS PRECIOS'!$B$4</x:f>
        <x:v>1000</x:v>
      </x:c>
      <x:c r="V209" s="3" t="n">
        <x:f>('SUPUESTOS PRECIOS'!$B$6-'SUPUESTOS PRECIOS'!$B$7)/'SUPUESTOS PRECIOS'!$B$4</x:f>
        <x:v>377.5</x:v>
      </x:c>
      <x:c r="W209" s="4" t="n">
        <x:f>'SUPUESTOS PRECIOS'!$B$8</x:f>
        <x:v>0.00968</x:v>
      </x:c>
      <x:c r="X209" s="4" t="n">
        <x:f>'SUPUESTOS PRECIOS'!$B$2</x:f>
        <x:v>0.4</x:v>
      </x:c>
      <x:c r="Y209" s="3">
        <x:f t="shared" si="13"/>
        <x:v>10800</x:v>
      </x:c>
      <x:c r="Z209" s="3">
        <x:f t="shared" si="14"/>
        <x:v>4317.9560000000001</x:v>
      </x:c>
      <x:c r="AA209" s="11">
        <x:f t="shared" si="15"/>
        <x:v>0.39981074074074074</x:v>
      </x:c>
    </x:row>
    <x:row r="210">
      <x:c r="A210" s="10" t="s">
        <x:v>1214</x:v>
      </x:c>
      <x:c r="B210" t="s">
        <x:v>1215</x:v>
      </x:c>
      <x:c r="C210" t="s">
        <x:v>1207</x:v>
      </x:c>
      <x:c r="D210" t="s">
        <x:v>1208</x:v>
      </x:c>
      <x:c r="E210" t="s">
        <x:v>1209</x:v>
      </x:c>
      <x:c r="F210" t="s">
        <x:v>1216</x:v>
      </x:c>
      <x:c r="H210" t="s">
        <x:v>762</x:v>
      </x:c>
      <x:c r="I210" t="s">
        <x:v>1217</x:v>
      </x:c>
      <x:c r="J210">
        <x:v>4500</x:v>
      </x:c>
      <x:c r="K210">
        <x:v>0.5</x:v>
      </x:c>
      <x:c r="L210">
        <x:f t="shared" si="12"/>
        <x:v>6750</x:v>
      </x:c>
      <x:c r="M210" t="s">
        <x:v>38</x:v>
      </x:c>
      <x:c r="O210" t="s">
        <x:v>38</x:v>
      </x:c>
      <x:c r="P210" t="s">
        <x:v>39</x:v>
      </x:c>
      <x:c r="Q210" t="s">
        <x:v>1215</x:v>
      </x:c>
      <x:c r="R210" t="s">
        <x:v>1218</x:v>
      </x:c>
      <x:c r="S210" t="s">
        <x:v>1213</x:v>
      </x:c>
      <x:c r="T210" s="2" t="n">
        <x:f>'SUPUESTOS PRECIOS'!$B$9</x:f>
        <x:v>0</x:v>
      </x:c>
      <x:c r="U210" s="3" t="n">
        <x:f>'SUPUESTOS PRECIOS'!$B$5/'SUPUESTOS PRECIOS'!$B$4</x:f>
        <x:v>1000</x:v>
      </x:c>
      <x:c r="V210" s="3" t="n">
        <x:f>('SUPUESTOS PRECIOS'!$B$6-'SUPUESTOS PRECIOS'!$B$7)/'SUPUESTOS PRECIOS'!$B$4</x:f>
        <x:v>377.5</x:v>
      </x:c>
      <x:c r="W210" s="4" t="n">
        <x:f>'SUPUESTOS PRECIOS'!$B$8</x:f>
        <x:v>0.00968</x:v>
      </x:c>
      <x:c r="X210" s="4" t="n">
        <x:f>'SUPUESTOS PRECIOS'!$B$2</x:f>
        <x:v>0.4</x:v>
      </x:c>
      <x:c r="Y210" s="3">
        <x:f t="shared" si="13"/>
        <x:v>9960</x:v>
      </x:c>
      <x:c r="Z210" s="3">
        <x:f t="shared" si="14"/>
        <x:v>3986.0871999999999</x:v>
      </x:c>
      <x:c r="AA210" s="11">
        <x:f t="shared" si="15"/>
        <x:v>0.40020955823293169</x:v>
      </x:c>
    </x:row>
    <x:row r="211">
      <x:c r="A211" s="10" t="s">
        <x:v>1219</x:v>
      </x:c>
      <x:c r="B211" t="s">
        <x:v>1220</x:v>
      </x:c>
      <x:c r="C211" t="s">
        <x:v>1207</x:v>
      </x:c>
      <x:c r="D211" t="s">
        <x:v>1208</x:v>
      </x:c>
      <x:c r="E211" t="s">
        <x:v>33</x:v>
      </x:c>
      <x:c r="F211" t="s">
        <x:v>1221</x:v>
      </x:c>
      <x:c r="H211" t="s">
        <x:v>36</x:v>
      </x:c>
      <x:c r="I211" t="s">
        <x:v>1222</x:v>
      </x:c>
      <x:c r="J211">
        <x:v>5800</x:v>
      </x:c>
      <x:c r="K211">
        <x:v>0.5</x:v>
      </x:c>
      <x:c r="L211">
        <x:f t="shared" si="12"/>
        <x:v>8700</x:v>
      </x:c>
      <x:c r="M211" t="s">
        <x:v>38</x:v>
      </x:c>
      <x:c r="O211" t="s">
        <x:v>38</x:v>
      </x:c>
      <x:c r="P211" t="s">
        <x:v>39</x:v>
      </x:c>
      <x:c r="Q211" t="s">
        <x:v>1220</x:v>
      </x:c>
      <x:c r="R211" t="s">
        <x:v>1223</x:v>
      </x:c>
      <x:c r="S211" t="s">
        <x:v>1213</x:v>
      </x:c>
      <x:c r="T211" s="2" t="n">
        <x:f>'SUPUESTOS PRECIOS'!$B$9</x:f>
        <x:v>0</x:v>
      </x:c>
      <x:c r="U211" s="3" t="n">
        <x:f>'SUPUESTOS PRECIOS'!$B$5/'SUPUESTOS PRECIOS'!$B$4</x:f>
        <x:v>1000</x:v>
      </x:c>
      <x:c r="V211" s="3" t="n">
        <x:f>('SUPUESTOS PRECIOS'!$B$6-'SUPUESTOS PRECIOS'!$B$7)/'SUPUESTOS PRECIOS'!$B$4</x:f>
        <x:v>377.5</x:v>
      </x:c>
      <x:c r="W211" s="4" t="n">
        <x:f>'SUPUESTOS PRECIOS'!$B$8</x:f>
        <x:v>0.00968</x:v>
      </x:c>
      <x:c r="X211" s="4" t="n">
        <x:f>'SUPUESTOS PRECIOS'!$B$2</x:f>
        <x:v>0.4</x:v>
      </x:c>
      <x:c r="Y211" s="3">
        <x:f t="shared" si="13"/>
        <x:v>12160</x:v>
      </x:c>
      <x:c r="Z211" s="3">
        <x:f t="shared" si="14"/>
        <x:v>4864.7911999999997</x:v>
      </x:c>
      <x:c r="AA211" s="11">
        <x:f t="shared" si="15"/>
        <x:v>0.40006506578947365</x:v>
      </x:c>
    </x:row>
    <x:row r="212">
      <x:c r="A212" s="10" t="s">
        <x:v>1224</x:v>
      </x:c>
      <x:c r="B212" t="s">
        <x:v>1225</x:v>
      </x:c>
      <x:c r="C212" t="s">
        <x:v>1207</x:v>
      </x:c>
      <x:c r="D212" t="s">
        <x:v>1226</x:v>
      </x:c>
      <x:c r="E212" t="s">
        <x:v>33</x:v>
      </x:c>
      <x:c r="F212" t="s">
        <x:v>1227</x:v>
      </x:c>
      <x:c r="H212" t="s">
        <x:v>1228</x:v>
      </x:c>
      <x:c r="I212" t="s">
        <x:v>1229</x:v>
      </x:c>
      <x:c r="J212">
        <x:v>185000</x:v>
      </x:c>
      <x:c r="K212">
        <x:v>0.5</x:v>
      </x:c>
      <x:c r="L212">
        <x:f t="shared" si="12"/>
        <x:v>277500</x:v>
      </x:c>
      <x:c r="M212" t="s">
        <x:v>38</x:v>
      </x:c>
      <x:c r="O212" t="s">
        <x:v>38</x:v>
      </x:c>
      <x:c r="P212" t="s">
        <x:v>39</x:v>
      </x:c>
      <x:c r="Q212" t="s">
        <x:v>1225</x:v>
      </x:c>
      <x:c r="R212" t="s">
        <x:v>1230</x:v>
      </x:c>
      <x:c r="S212" t="s">
        <x:v>1231</x:v>
      </x:c>
      <x:c r="T212" s="2" t="n">
        <x:f>'SUPUESTOS PRECIOS'!$B$9</x:f>
        <x:v>0</x:v>
      </x:c>
      <x:c r="U212" s="3" t="n">
        <x:f>'SUPUESTOS PRECIOS'!$B$5/'SUPUESTOS PRECIOS'!$B$4</x:f>
        <x:v>1000</x:v>
      </x:c>
      <x:c r="V212" s="3" t="n">
        <x:f>('SUPUESTOS PRECIOS'!$B$6-'SUPUESTOS PRECIOS'!$B$7)/'SUPUESTOS PRECIOS'!$B$4</x:f>
        <x:v>377.5</x:v>
      </x:c>
      <x:c r="W212" s="4" t="n">
        <x:f>'SUPUESTOS PRECIOS'!$B$8</x:f>
        <x:v>0.00968</x:v>
      </x:c>
      <x:c r="X212" s="4" t="n">
        <x:f>'SUPUESTOS PRECIOS'!$B$2</x:f>
        <x:v>0.4</x:v>
      </x:c>
      <x:c r="Y212" s="3">
        <x:f t="shared" si="13"/>
        <x:v>315720</x:v>
      </x:c>
      <x:c r="Z212" s="3">
        <x:f t="shared" si="14"/>
        <x:v>126286.33040000001</x:v>
      </x:c>
      <x:c r="AA212" s="11">
        <x:f t="shared" si="15"/>
        <x:v>0.39999471176992274</x:v>
      </x:c>
    </x:row>
    <x:row r="213">
      <x:c r="A213" s="10" t="s">
        <x:v>1232</x:v>
      </x:c>
      <x:c r="B213" t="s">
        <x:v>1233</x:v>
      </x:c>
      <x:c r="C213" t="s">
        <x:v>1207</x:v>
      </x:c>
      <x:c r="D213" t="s">
        <x:v>1226</x:v>
      </x:c>
      <x:c r="E213" t="s">
        <x:v>33</x:v>
      </x:c>
      <x:c r="F213" t="s">
        <x:v>1234</x:v>
      </x:c>
      <x:c r="H213" t="s">
        <x:v>1235</x:v>
      </x:c>
      <x:c r="I213" t="s">
        <x:v>1236</x:v>
      </x:c>
      <x:c r="J213">
        <x:v>4800</x:v>
      </x:c>
      <x:c r="K213">
        <x:v>0.5</x:v>
      </x:c>
      <x:c r="L213">
        <x:f t="shared" si="12"/>
        <x:v>7200</x:v>
      </x:c>
      <x:c r="M213" t="s">
        <x:v>38</x:v>
      </x:c>
      <x:c r="O213" t="s">
        <x:v>38</x:v>
      </x:c>
      <x:c r="P213" t="s">
        <x:v>39</x:v>
      </x:c>
      <x:c r="Q213" t="s">
        <x:v>1233</x:v>
      </x:c>
      <x:c r="R213" t="s">
        <x:v>1237</x:v>
      </x:c>
      <x:c r="S213" t="s">
        <x:v>1231</x:v>
      </x:c>
      <x:c r="T213" s="2" t="n">
        <x:f>'SUPUESTOS PRECIOS'!$B$9</x:f>
        <x:v>0</x:v>
      </x:c>
      <x:c r="U213" s="3" t="n">
        <x:f>'SUPUESTOS PRECIOS'!$B$5/'SUPUESTOS PRECIOS'!$B$4</x:f>
        <x:v>1000</x:v>
      </x:c>
      <x:c r="V213" s="3" t="n">
        <x:f>('SUPUESTOS PRECIOS'!$B$6-'SUPUESTOS PRECIOS'!$B$7)/'SUPUESTOS PRECIOS'!$B$4</x:f>
        <x:v>377.5</x:v>
      </x:c>
      <x:c r="W213" s="4" t="n">
        <x:f>'SUPUESTOS PRECIOS'!$B$8</x:f>
        <x:v>0.00968</x:v>
      </x:c>
      <x:c r="X213" s="4" t="n">
        <x:f>'SUPUESTOS PRECIOS'!$B$2</x:f>
        <x:v>0.4</x:v>
      </x:c>
      <x:c r="Y213" s="3">
        <x:f t="shared" si="13"/>
        <x:v>10460</x:v>
      </x:c>
      <x:c r="Z213" s="3">
        <x:f t="shared" si="14"/>
        <x:v>4181.2471999999998</x:v>
      </x:c>
      <x:c r="AA213" s="11">
        <x:f t="shared" si="15"/>
        <x:v>0.3997368260038241</x:v>
      </x:c>
    </x:row>
    <x:row r="214">
      <x:c r="A214" s="10" t="s">
        <x:v>1238</x:v>
      </x:c>
      <x:c r="B214" t="s">
        <x:v>1239</x:v>
      </x:c>
      <x:c r="C214" t="s">
        <x:v>1207</x:v>
      </x:c>
      <x:c r="D214" t="s">
        <x:v>1226</x:v>
      </x:c>
      <x:c r="E214" t="s">
        <x:v>33</x:v>
      </x:c>
      <x:c r="F214" t="s">
        <x:v>1240</x:v>
      </x:c>
      <x:c r="H214" t="s">
        <x:v>136</x:v>
      </x:c>
      <x:c r="I214" t="s">
        <x:v>1241</x:v>
      </x:c>
      <x:c r="J214">
        <x:v>4400</x:v>
      </x:c>
      <x:c r="K214">
        <x:v>0.5</x:v>
      </x:c>
      <x:c r="L214">
        <x:f t="shared" si="12"/>
        <x:v>6600</x:v>
      </x:c>
      <x:c r="M214" t="s">
        <x:v>38</x:v>
      </x:c>
      <x:c r="O214" t="s">
        <x:v>38</x:v>
      </x:c>
      <x:c r="P214" t="s">
        <x:v>39</x:v>
      </x:c>
      <x:c r="Q214" t="s">
        <x:v>1239</x:v>
      </x:c>
      <x:c r="R214" t="s">
        <x:v>1242</x:v>
      </x:c>
      <x:c r="S214" t="s">
        <x:v>1231</x:v>
      </x:c>
      <x:c r="T214" s="2" t="n">
        <x:f>'SUPUESTOS PRECIOS'!$B$9</x:f>
        <x:v>0</x:v>
      </x:c>
      <x:c r="U214" s="3" t="n">
        <x:f>'SUPUESTOS PRECIOS'!$B$5/'SUPUESTOS PRECIOS'!$B$4</x:f>
        <x:v>1000</x:v>
      </x:c>
      <x:c r="V214" s="3" t="n">
        <x:f>('SUPUESTOS PRECIOS'!$B$6-'SUPUESTOS PRECIOS'!$B$7)/'SUPUESTOS PRECIOS'!$B$4</x:f>
        <x:v>377.5</x:v>
      </x:c>
      <x:c r="W214" s="4" t="n">
        <x:f>'SUPUESTOS PRECIOS'!$B$8</x:f>
        <x:v>0.00968</x:v>
      </x:c>
      <x:c r="X214" s="4" t="n">
        <x:f>'SUPUESTOS PRECIOS'!$B$2</x:f>
        <x:v>0.4</x:v>
      </x:c>
      <x:c r="Y214" s="3">
        <x:f t="shared" si="13"/>
        <x:v>9790</x:v>
      </x:c>
      <x:c r="Z214" s="3">
        <x:f t="shared" si="14"/>
        <x:v>3917.7328000000002</x:v>
      </x:c>
      <x:c r="AA214" s="11">
        <x:f t="shared" si="15"/>
        <x:v>0.40017699693564862</x:v>
      </x:c>
    </x:row>
    <x:row r="215">
      <x:c r="A215" s="10" t="s">
        <x:v>1243</x:v>
      </x:c>
      <x:c r="B215" t="s">
        <x:v>1244</x:v>
      </x:c>
      <x:c r="C215" t="s">
        <x:v>1207</x:v>
      </x:c>
      <x:c r="D215" t="s">
        <x:v>1226</x:v>
      </x:c>
      <x:c r="E215" t="s">
        <x:v>33</x:v>
      </x:c>
      <x:c r="F215" t="s">
        <x:v>1245</x:v>
      </x:c>
      <x:c r="H215" t="s">
        <x:v>846</x:v>
      </x:c>
      <x:c r="I215" t="s">
        <x:v>1246</x:v>
      </x:c>
      <x:c r="J215">
        <x:v>26000</x:v>
      </x:c>
      <x:c r="K215">
        <x:v>0.5</x:v>
      </x:c>
      <x:c r="L215">
        <x:f t="shared" si="12"/>
        <x:v>39000</x:v>
      </x:c>
      <x:c r="M215" t="s">
        <x:v>38</x:v>
      </x:c>
      <x:c r="O215" t="s">
        <x:v>38</x:v>
      </x:c>
      <x:c r="P215" t="s">
        <x:v>39</x:v>
      </x:c>
      <x:c r="Q215" t="s">
        <x:v>1244</x:v>
      </x:c>
      <x:c r="R215" t="s">
        <x:v>1247</x:v>
      </x:c>
      <x:c r="S215" t="s">
        <x:v>1231</x:v>
      </x:c>
      <x:c r="T215" s="2" t="n">
        <x:f>'SUPUESTOS PRECIOS'!$B$9</x:f>
        <x:v>0</x:v>
      </x:c>
      <x:c r="U215" s="3" t="n">
        <x:f>'SUPUESTOS PRECIOS'!$B$5/'SUPUESTOS PRECIOS'!$B$4</x:f>
        <x:v>1000</x:v>
      </x:c>
      <x:c r="V215" s="3" t="n">
        <x:f>('SUPUESTOS PRECIOS'!$B$6-'SUPUESTOS PRECIOS'!$B$7)/'SUPUESTOS PRECIOS'!$B$4</x:f>
        <x:v>377.5</x:v>
      </x:c>
      <x:c r="W215" s="4" t="n">
        <x:f>'SUPUESTOS PRECIOS'!$B$8</x:f>
        <x:v>0.00968</x:v>
      </x:c>
      <x:c r="X215" s="4" t="n">
        <x:f>'SUPUESTOS PRECIOS'!$B$2</x:f>
        <x:v>0.4</x:v>
      </x:c>
      <x:c r="Y215" s="3">
        <x:f t="shared" si="13"/>
        <x:v>46380</x:v>
      </x:c>
      <x:c r="Z215" s="3">
        <x:f t="shared" si="14"/>
        <x:v>18553.5416</x:v>
      </x:c>
      <x:c r="AA215" s="11">
        <x:f t="shared" si="15"/>
        <x:v>0.40003323846485556</x:v>
      </x:c>
    </x:row>
    <x:row r="216">
      <x:c r="A216" s="10" t="s">
        <x:v>1248</x:v>
      </x:c>
      <x:c r="B216" t="s">
        <x:v>1249</x:v>
      </x:c>
      <x:c r="C216" t="s">
        <x:v>1207</x:v>
      </x:c>
      <x:c r="D216" t="s">
        <x:v>1226</x:v>
      </x:c>
      <x:c r="E216" t="s">
        <x:v>33</x:v>
      </x:c>
      <x:c r="F216" t="s">
        <x:v>1250</x:v>
      </x:c>
      <x:c r="H216" t="s">
        <x:v>136</x:v>
      </x:c>
      <x:c r="I216" t="s">
        <x:v>1251</x:v>
      </x:c>
      <x:c r="J216">
        <x:v>7000</x:v>
      </x:c>
      <x:c r="K216">
        <x:v>0.5</x:v>
      </x:c>
      <x:c r="L216">
        <x:f t="shared" si="12"/>
        <x:v>10500</x:v>
      </x:c>
      <x:c r="M216" t="s">
        <x:v>38</x:v>
      </x:c>
      <x:c r="O216" t="s">
        <x:v>38</x:v>
      </x:c>
      <x:c r="P216" t="s">
        <x:v>39</x:v>
      </x:c>
      <x:c r="Q216" t="s">
        <x:v>1249</x:v>
      </x:c>
      <x:c r="R216" t="s">
        <x:v>1252</x:v>
      </x:c>
      <x:c r="S216" t="s">
        <x:v>1231</x:v>
      </x:c>
      <x:c r="T216" s="2" t="n">
        <x:f>'SUPUESTOS PRECIOS'!$B$9</x:f>
        <x:v>0</x:v>
      </x:c>
      <x:c r="U216" s="3" t="n">
        <x:f>'SUPUESTOS PRECIOS'!$B$5/'SUPUESTOS PRECIOS'!$B$4</x:f>
        <x:v>1000</x:v>
      </x:c>
      <x:c r="V216" s="3" t="n">
        <x:f>('SUPUESTOS PRECIOS'!$B$6-'SUPUESTOS PRECIOS'!$B$7)/'SUPUESTOS PRECIOS'!$B$4</x:f>
        <x:v>377.5</x:v>
      </x:c>
      <x:c r="W216" s="4" t="n">
        <x:f>'SUPUESTOS PRECIOS'!$B$8</x:f>
        <x:v>0.00968</x:v>
      </x:c>
      <x:c r="X216" s="4" t="n">
        <x:f>'SUPUESTOS PRECIOS'!$B$2</x:f>
        <x:v>0.4</x:v>
      </x:c>
      <x:c r="Y216" s="3">
        <x:f t="shared" si="13"/>
        <x:v>14190</x:v>
      </x:c>
      <x:c r="Z216" s="3">
        <x:f t="shared" si="14"/>
        <x:v>5675.1408000000001</x:v>
      </x:c>
      <x:c r="AA216" s="11">
        <x:f t="shared" si="15"/>
        <x:v>0.39993945031712475</x:v>
      </x:c>
    </x:row>
    <x:row r="217">
      <x:c r="A217" s="10" t="s">
        <x:v>1253</x:v>
      </x:c>
      <x:c r="B217" t="s">
        <x:v>1254</x:v>
      </x:c>
      <x:c r="C217" t="s">
        <x:v>1207</x:v>
      </x:c>
      <x:c r="D217" t="s">
        <x:v>1255</x:v>
      </x:c>
      <x:c r="E217" t="s">
        <x:v>33</x:v>
      </x:c>
      <x:c r="F217" t="s">
        <x:v>1256</x:v>
      </x:c>
      <x:c r="H217" t="s">
        <x:v>136</x:v>
      </x:c>
      <x:c r="I217" t="s">
        <x:v>1257</x:v>
      </x:c>
      <x:c r="J217">
        <x:v>12700</x:v>
      </x:c>
      <x:c r="K217">
        <x:v>0.5</x:v>
      </x:c>
      <x:c r="L217">
        <x:f t="shared" si="12"/>
        <x:v>19050</x:v>
      </x:c>
      <x:c r="M217" t="s">
        <x:v>38</x:v>
      </x:c>
      <x:c r="O217" t="s">
        <x:v>38</x:v>
      </x:c>
      <x:c r="P217" t="s">
        <x:v>39</x:v>
      </x:c>
      <x:c r="Q217" t="s">
        <x:v>1254</x:v>
      </x:c>
      <x:c r="R217" t="s">
        <x:v>1258</x:v>
      </x:c>
      <x:c r="S217" t="s">
        <x:v>1259</x:v>
      </x:c>
      <x:c r="T217" s="2" t="n">
        <x:f>'SUPUESTOS PRECIOS'!$B$9</x:f>
        <x:v>0</x:v>
      </x:c>
      <x:c r="U217" s="3" t="n">
        <x:f>'SUPUESTOS PRECIOS'!$B$5/'SUPUESTOS PRECIOS'!$B$4</x:f>
        <x:v>1000</x:v>
      </x:c>
      <x:c r="V217" s="3" t="n">
        <x:f>('SUPUESTOS PRECIOS'!$B$6-'SUPUESTOS PRECIOS'!$B$7)/'SUPUESTOS PRECIOS'!$B$4</x:f>
        <x:v>377.5</x:v>
      </x:c>
      <x:c r="W217" s="4" t="n">
        <x:f>'SUPUESTOS PRECIOS'!$B$8</x:f>
        <x:v>0.00968</x:v>
      </x:c>
      <x:c r="X217" s="4" t="n">
        <x:f>'SUPUESTOS PRECIOS'!$B$2</x:f>
        <x:v>0.4</x:v>
      </x:c>
      <x:c r="Y217" s="3">
        <x:f t="shared" si="13"/>
        <x:v>23850</x:v>
      </x:c>
      <x:c r="Z217" s="3">
        <x:f t="shared" si="14"/>
        <x:v>9541.6319999999996</x:v>
      </x:c>
      <x:c r="AA217" s="11">
        <x:f t="shared" si="15"/>
        <x:v>0.40006842767295597</x:v>
      </x:c>
    </x:row>
    <x:row r="218">
      <x:c r="A218" s="10" t="s">
        <x:v>1260</x:v>
      </x:c>
      <x:c r="B218" t="s">
        <x:v>1261</x:v>
      </x:c>
      <x:c r="C218" t="s">
        <x:v>1207</x:v>
      </x:c>
      <x:c r="D218" t="s">
        <x:v>1255</x:v>
      </x:c>
      <x:c r="E218" t="s">
        <x:v>33</x:v>
      </x:c>
      <x:c r="F218" t="s">
        <x:v>1262</x:v>
      </x:c>
      <x:c r="H218" t="s">
        <x:v>136</x:v>
      </x:c>
      <x:c r="I218" t="s">
        <x:v>1263</x:v>
      </x:c>
      <x:c r="J218">
        <x:v>9000</x:v>
      </x:c>
      <x:c r="K218">
        <x:v>0.5</x:v>
      </x:c>
      <x:c r="L218">
        <x:f t="shared" si="12"/>
        <x:v>13500</x:v>
      </x:c>
      <x:c r="M218" t="s">
        <x:v>38</x:v>
      </x:c>
      <x:c r="O218" t="s">
        <x:v>38</x:v>
      </x:c>
      <x:c r="P218" t="s">
        <x:v>39</x:v>
      </x:c>
      <x:c r="Q218" t="s">
        <x:v>1261</x:v>
      </x:c>
      <x:c r="R218" t="s">
        <x:v>1264</x:v>
      </x:c>
      <x:c r="S218" t="s">
        <x:v>1259</x:v>
      </x:c>
      <x:c r="T218" s="2" t="n">
        <x:f>'SUPUESTOS PRECIOS'!$B$9</x:f>
        <x:v>0</x:v>
      </x:c>
      <x:c r="U218" s="3" t="n">
        <x:f>'SUPUESTOS PRECIOS'!$B$5/'SUPUESTOS PRECIOS'!$B$4</x:f>
        <x:v>1000</x:v>
      </x:c>
      <x:c r="V218" s="3" t="n">
        <x:f>('SUPUESTOS PRECIOS'!$B$6-'SUPUESTOS PRECIOS'!$B$7)/'SUPUESTOS PRECIOS'!$B$4</x:f>
        <x:v>377.5</x:v>
      </x:c>
      <x:c r="W218" s="4" t="n">
        <x:f>'SUPUESTOS PRECIOS'!$B$8</x:f>
        <x:v>0.00968</x:v>
      </x:c>
      <x:c r="X218" s="4" t="n">
        <x:f>'SUPUESTOS PRECIOS'!$B$2</x:f>
        <x:v>0.4</x:v>
      </x:c>
      <x:c r="Y218" s="3">
        <x:f t="shared" si="13"/>
        <x:v>17580</x:v>
      </x:c>
      <x:c r="Z218" s="3">
        <x:f t="shared" si="14"/>
        <x:v>7032.3256000000001</x:v>
      </x:c>
      <x:c r="AA218" s="11">
        <x:f t="shared" si="15"/>
        <x:v>0.40001852104664393</x:v>
      </x:c>
    </x:row>
    <x:row r="219">
      <x:c r="A219" s="10" t="s">
        <x:v>1265</x:v>
      </x:c>
      <x:c r="B219" t="s">
        <x:v>1266</x:v>
      </x:c>
      <x:c r="C219" t="s">
        <x:v>1207</x:v>
      </x:c>
      <x:c r="D219" t="s">
        <x:v>1255</x:v>
      </x:c>
      <x:c r="E219" t="s">
        <x:v>33</x:v>
      </x:c>
      <x:c r="F219" t="s">
        <x:v>1267</x:v>
      </x:c>
      <x:c r="H219" t="s">
        <x:v>136</x:v>
      </x:c>
      <x:c r="I219" t="s">
        <x:v>1268</x:v>
      </x:c>
      <x:c r="J219">
        <x:v>4500</x:v>
      </x:c>
      <x:c r="K219">
        <x:v>0.5</x:v>
      </x:c>
      <x:c r="L219">
        <x:f t="shared" si="12"/>
        <x:v>6750</x:v>
      </x:c>
      <x:c r="M219" t="s">
        <x:v>38</x:v>
      </x:c>
      <x:c r="O219" t="s">
        <x:v>38</x:v>
      </x:c>
      <x:c r="P219" t="s">
        <x:v>39</x:v>
      </x:c>
      <x:c r="Q219" t="s">
        <x:v>1266</x:v>
      </x:c>
      <x:c r="R219" t="s">
        <x:v>1269</x:v>
      </x:c>
      <x:c r="S219" t="s">
        <x:v>1259</x:v>
      </x:c>
      <x:c r="T219" s="2" t="n">
        <x:f>'SUPUESTOS PRECIOS'!$B$9</x:f>
        <x:v>0</x:v>
      </x:c>
      <x:c r="U219" s="3" t="n">
        <x:f>'SUPUESTOS PRECIOS'!$B$5/'SUPUESTOS PRECIOS'!$B$4</x:f>
        <x:v>1000</x:v>
      </x:c>
      <x:c r="V219" s="3" t="n">
        <x:f>('SUPUESTOS PRECIOS'!$B$6-'SUPUESTOS PRECIOS'!$B$7)/'SUPUESTOS PRECIOS'!$B$4</x:f>
        <x:v>377.5</x:v>
      </x:c>
      <x:c r="W219" s="4" t="n">
        <x:f>'SUPUESTOS PRECIOS'!$B$8</x:f>
        <x:v>0.00968</x:v>
      </x:c>
      <x:c r="X219" s="4" t="n">
        <x:f>'SUPUESTOS PRECIOS'!$B$2</x:f>
        <x:v>0.4</x:v>
      </x:c>
      <x:c r="Y219" s="3">
        <x:f t="shared" si="13"/>
        <x:v>9960</x:v>
      </x:c>
      <x:c r="Z219" s="3">
        <x:f t="shared" si="14"/>
        <x:v>3986.0871999999999</x:v>
      </x:c>
      <x:c r="AA219" s="11">
        <x:f t="shared" si="15"/>
        <x:v>0.40020955823293169</x:v>
      </x:c>
    </x:row>
    <x:row r="220">
      <x:c r="A220" s="10" t="s">
        <x:v>1270</x:v>
      </x:c>
      <x:c r="B220" t="s">
        <x:v>1271</x:v>
      </x:c>
      <x:c r="C220" t="s">
        <x:v>1207</x:v>
      </x:c>
      <x:c r="D220" t="s">
        <x:v>1255</x:v>
      </x:c>
      <x:c r="E220" t="s">
        <x:v>33</x:v>
      </x:c>
      <x:c r="F220" t="s">
        <x:v>1272</x:v>
      </x:c>
      <x:c r="H220" t="s">
        <x:v>136</x:v>
      </x:c>
      <x:c r="I220" t="s">
        <x:v>1273</x:v>
      </x:c>
      <x:c r="J220">
        <x:v>19000</x:v>
      </x:c>
      <x:c r="K220">
        <x:v>0.5</x:v>
      </x:c>
      <x:c r="L220">
        <x:f t="shared" si="12"/>
        <x:v>28500</x:v>
      </x:c>
      <x:c r="M220" t="s">
        <x:v>38</x:v>
      </x:c>
      <x:c r="O220" t="s">
        <x:v>38</x:v>
      </x:c>
      <x:c r="P220" t="s">
        <x:v>39</x:v>
      </x:c>
      <x:c r="Q220" t="s">
        <x:v>1271</x:v>
      </x:c>
      <x:c r="R220" t="s">
        <x:v>1274</x:v>
      </x:c>
      <x:c r="S220" t="s">
        <x:v>1259</x:v>
      </x:c>
      <x:c r="T220" s="2" t="n">
        <x:f>'SUPUESTOS PRECIOS'!$B$9</x:f>
        <x:v>0</x:v>
      </x:c>
      <x:c r="U220" s="3" t="n">
        <x:f>'SUPUESTOS PRECIOS'!$B$5/'SUPUESTOS PRECIOS'!$B$4</x:f>
        <x:v>1000</x:v>
      </x:c>
      <x:c r="V220" s="3" t="n">
        <x:f>('SUPUESTOS PRECIOS'!$B$6-'SUPUESTOS PRECIOS'!$B$7)/'SUPUESTOS PRECIOS'!$B$4</x:f>
        <x:v>377.5</x:v>
      </x:c>
      <x:c r="W220" s="4" t="n">
        <x:f>'SUPUESTOS PRECIOS'!$B$8</x:f>
        <x:v>0.00968</x:v>
      </x:c>
      <x:c r="X220" s="4" t="n">
        <x:f>'SUPUESTOS PRECIOS'!$B$2</x:f>
        <x:v>0.4</x:v>
      </x:c>
      <x:c r="Y220" s="3">
        <x:f t="shared" si="13"/>
        <x:v>34520</x:v>
      </x:c>
      <x:c r="Z220" s="3">
        <x:f t="shared" si="14"/>
        <x:v>13808.3464</x:v>
      </x:c>
      <x:c r="AA220" s="11">
        <x:f t="shared" si="15"/>
        <x:v>0.40001003476245656</x:v>
      </x:c>
    </x:row>
    <x:row r="221">
      <x:c r="A221" s="10" t="s">
        <x:v>1275</x:v>
      </x:c>
      <x:c r="B221" t="s">
        <x:v>1276</x:v>
      </x:c>
      <x:c r="C221" t="s">
        <x:v>1207</x:v>
      </x:c>
      <x:c r="D221" t="s">
        <x:v>1277</x:v>
      </x:c>
      <x:c r="E221" t="s">
        <x:v>33</x:v>
      </x:c>
      <x:c r="F221" t="s">
        <x:v>1278</x:v>
      </x:c>
      <x:c r="H221" t="s">
        <x:v>136</x:v>
      </x:c>
      <x:c r="I221" t="s">
        <x:v>1279</x:v>
      </x:c>
      <x:c r="J221">
        <x:v>1000</x:v>
      </x:c>
      <x:c r="K221">
        <x:v>1</x:v>
      </x:c>
      <x:c r="L221">
        <x:f t="shared" si="12"/>
        <x:v>2000</x:v>
      </x:c>
      <x:c r="M221" t="s">
        <x:v>38</x:v>
      </x:c>
      <x:c r="O221" t="s">
        <x:v>38</x:v>
      </x:c>
      <x:c r="P221" t="s">
        <x:v>39</x:v>
      </x:c>
      <x:c r="Q221" t="s">
        <x:v>1276</x:v>
      </x:c>
      <x:c r="R221" t="s">
        <x:v>1280</x:v>
      </x:c>
      <x:c r="S221" t="s">
        <x:v>1281</x:v>
      </x:c>
      <x:c r="T221" s="2" t="n">
        <x:f>'SUPUESTOS PRECIOS'!$B$9</x:f>
        <x:v>0</x:v>
      </x:c>
      <x:c r="U221" s="3" t="n">
        <x:f>'SUPUESTOS PRECIOS'!$B$5/'SUPUESTOS PRECIOS'!$B$4</x:f>
        <x:v>1000</x:v>
      </x:c>
      <x:c r="V221" s="3" t="n">
        <x:f>('SUPUESTOS PRECIOS'!$B$6-'SUPUESTOS PRECIOS'!$B$7)/'SUPUESTOS PRECIOS'!$B$4</x:f>
        <x:v>377.5</x:v>
      </x:c>
      <x:c r="W221" s="4" t="n">
        <x:f>'SUPUESTOS PRECIOS'!$B$8</x:f>
        <x:v>0.00968</x:v>
      </x:c>
      <x:c r="X221" s="4" t="n">
        <x:f>'SUPUESTOS PRECIOS'!$B$2</x:f>
        <x:v>0.4</x:v>
      </x:c>
      <x:c r="Y221" s="3">
        <x:f t="shared" si="13"/>
        <x:v>4030</x:v>
      </x:c>
      <x:c r="Z221" s="3">
        <x:f t="shared" si="14"/>
        <x:v>1613.4896000000001</x:v>
      </x:c>
      <x:c r="AA221" s="11">
        <x:f t="shared" si="15"/>
        <x:v>0.40036962779156332</x:v>
      </x:c>
    </x:row>
    <x:row r="222">
      <x:c r="A222" s="10" t="s">
        <x:v>1282</x:v>
      </x:c>
      <x:c r="B222" t="s">
        <x:v>1283</x:v>
      </x:c>
      <x:c r="C222" t="s">
        <x:v>1207</x:v>
      </x:c>
      <x:c r="D222" t="s">
        <x:v>1277</x:v>
      </x:c>
      <x:c r="E222" t="s">
        <x:v>33</x:v>
      </x:c>
      <x:c r="F222" t="s">
        <x:v>1284</x:v>
      </x:c>
      <x:c r="H222" t="s">
        <x:v>136</x:v>
      </x:c>
      <x:c r="I222" t="s">
        <x:v>1285</x:v>
      </x:c>
      <x:c r="J222">
        <x:v>14000</x:v>
      </x:c>
      <x:c r="K222">
        <x:v>0.5</x:v>
      </x:c>
      <x:c r="L222">
        <x:f t="shared" si="12"/>
        <x:v>21000</x:v>
      </x:c>
      <x:c r="M222" t="s">
        <x:v>38</x:v>
      </x:c>
      <x:c r="O222" t="s">
        <x:v>38</x:v>
      </x:c>
      <x:c r="P222" t="s">
        <x:v>39</x:v>
      </x:c>
      <x:c r="Q222" t="s">
        <x:v>1283</x:v>
      </x:c>
      <x:c r="R222" t="s">
        <x:v>1286</x:v>
      </x:c>
      <x:c r="S222" t="s">
        <x:v>1281</x:v>
      </x:c>
      <x:c r="T222" s="2" t="n">
        <x:f>'SUPUESTOS PRECIOS'!$B$9</x:f>
        <x:v>0</x:v>
      </x:c>
      <x:c r="U222" s="3" t="n">
        <x:f>'SUPUESTOS PRECIOS'!$B$5/'SUPUESTOS PRECIOS'!$B$4</x:f>
        <x:v>1000</x:v>
      </x:c>
      <x:c r="V222" s="3" t="n">
        <x:f>('SUPUESTOS PRECIOS'!$B$6-'SUPUESTOS PRECIOS'!$B$7)/'SUPUESTOS PRECIOS'!$B$4</x:f>
        <x:v>377.5</x:v>
      </x:c>
      <x:c r="W222" s="4" t="n">
        <x:f>'SUPUESTOS PRECIOS'!$B$8</x:f>
        <x:v>0.00968</x:v>
      </x:c>
      <x:c r="X222" s="4" t="n">
        <x:f>'SUPUESTOS PRECIOS'!$B$2</x:f>
        <x:v>0.4</x:v>
      </x:c>
      <x:c r="Y222" s="3">
        <x:f t="shared" si="13"/>
        <x:v>26050</x:v>
      </x:c>
      <x:c r="Z222" s="3">
        <x:f t="shared" si="14"/>
        <x:v>10420.335999999999</x:v>
      </x:c>
      <x:c r="AA222" s="11">
        <x:f t="shared" si="15"/>
        <x:v>0.40001289827255276</x:v>
      </x:c>
    </x:row>
    <x:row r="223">
      <x:c r="A223" s="10" t="s">
        <x:v>1287</x:v>
      </x:c>
      <x:c r="B223" t="s">
        <x:v>1288</x:v>
      </x:c>
      <x:c r="C223" t="s">
        <x:v>1207</x:v>
      </x:c>
      <x:c r="D223" t="s">
        <x:v>1277</x:v>
      </x:c>
      <x:c r="E223" t="s">
        <x:v>33</x:v>
      </x:c>
      <x:c r="F223" t="s">
        <x:v>1289</x:v>
      </x:c>
      <x:c r="H223" t="s">
        <x:v>136</x:v>
      </x:c>
      <x:c r="I223" t="s">
        <x:v>1290</x:v>
      </x:c>
      <x:c r="J223">
        <x:v>11000</x:v>
      </x:c>
      <x:c r="K223">
        <x:v>0.5</x:v>
      </x:c>
      <x:c r="L223">
        <x:f t="shared" si="12"/>
        <x:v>16500</x:v>
      </x:c>
      <x:c r="M223" t="s">
        <x:v>38</x:v>
      </x:c>
      <x:c r="O223" t="s">
        <x:v>38</x:v>
      </x:c>
      <x:c r="P223" t="s">
        <x:v>39</x:v>
      </x:c>
      <x:c r="Q223" t="s">
        <x:v>1288</x:v>
      </x:c>
      <x:c r="R223" t="s">
        <x:v>1291</x:v>
      </x:c>
      <x:c r="S223" t="s">
        <x:v>1281</x:v>
      </x:c>
      <x:c r="T223" s="2" t="n">
        <x:f>'SUPUESTOS PRECIOS'!$B$9</x:f>
        <x:v>0</x:v>
      </x:c>
      <x:c r="U223" s="3" t="n">
        <x:f>'SUPUESTOS PRECIOS'!$B$5/'SUPUESTOS PRECIOS'!$B$4</x:f>
        <x:v>1000</x:v>
      </x:c>
      <x:c r="V223" s="3" t="n">
        <x:f>('SUPUESTOS PRECIOS'!$B$6-'SUPUESTOS PRECIOS'!$B$7)/'SUPUESTOS PRECIOS'!$B$4</x:f>
        <x:v>377.5</x:v>
      </x:c>
      <x:c r="W223" s="4" t="n">
        <x:f>'SUPUESTOS PRECIOS'!$B$8</x:f>
        <x:v>0.00968</x:v>
      </x:c>
      <x:c r="X223" s="4" t="n">
        <x:f>'SUPUESTOS PRECIOS'!$B$2</x:f>
        <x:v>0.4</x:v>
      </x:c>
      <x:c r="Y223" s="3">
        <x:f t="shared" si="13"/>
        <x:v>20970</x:v>
      </x:c>
      <x:c r="Z223" s="3">
        <x:f t="shared" si="14"/>
        <x:v>8389.5103999999992</x:v>
      </x:c>
      <x:c r="AA223" s="11">
        <x:f t="shared" si="15"/>
        <x:v>0.40007202670481634</x:v>
      </x:c>
    </x:row>
    <x:row r="224">
      <x:c r="A224" s="10" t="s">
        <x:v>1292</x:v>
      </x:c>
      <x:c r="B224" t="s">
        <x:v>1293</x:v>
      </x:c>
      <x:c r="C224" t="s">
        <x:v>1207</x:v>
      </x:c>
      <x:c r="D224" t="s">
        <x:v>1277</x:v>
      </x:c>
      <x:c r="E224" t="s">
        <x:v>33</x:v>
      </x:c>
      <x:c r="F224" t="s">
        <x:v>1294</x:v>
      </x:c>
      <x:c r="H224" t="s">
        <x:v>136</x:v>
      </x:c>
      <x:c r="I224" t="s">
        <x:v>1295</x:v>
      </x:c>
      <x:c r="J224">
        <x:v>2000</x:v>
      </x:c>
      <x:c r="K224">
        <x:v>0.5</x:v>
      </x:c>
      <x:c r="L224">
        <x:f t="shared" si="12"/>
        <x:v>3000</x:v>
      </x:c>
      <x:c r="M224" t="s">
        <x:v>38</x:v>
      </x:c>
      <x:c r="O224" t="s">
        <x:v>38</x:v>
      </x:c>
      <x:c r="P224" t="s">
        <x:v>39</x:v>
      </x:c>
      <x:c r="Q224" t="s">
        <x:v>1293</x:v>
      </x:c>
      <x:c r="R224" t="s">
        <x:v>1296</x:v>
      </x:c>
      <x:c r="S224" t="s">
        <x:v>1281</x:v>
      </x:c>
      <x:c r="T224" s="2" t="n">
        <x:f>'SUPUESTOS PRECIOS'!$B$9</x:f>
        <x:v>0</x:v>
      </x:c>
      <x:c r="U224" s="3" t="n">
        <x:f>'SUPUESTOS PRECIOS'!$B$5/'SUPUESTOS PRECIOS'!$B$4</x:f>
        <x:v>1000</x:v>
      </x:c>
      <x:c r="V224" s="3" t="n">
        <x:f>('SUPUESTOS PRECIOS'!$B$6-'SUPUESTOS PRECIOS'!$B$7)/'SUPUESTOS PRECIOS'!$B$4</x:f>
        <x:v>377.5</x:v>
      </x:c>
      <x:c r="W224" s="4" t="n">
        <x:f>'SUPUESTOS PRECIOS'!$B$8</x:f>
        <x:v>0.00968</x:v>
      </x:c>
      <x:c r="X224" s="4" t="n">
        <x:f>'SUPUESTOS PRECIOS'!$B$2</x:f>
        <x:v>0.4</x:v>
      </x:c>
      <x:c r="Y224" s="3">
        <x:f t="shared" si="13"/>
        <x:v>5720</x:v>
      </x:c>
      <x:c r="Z224" s="3">
        <x:f t="shared" si="14"/>
        <x:v>2287.1304</x:v>
      </x:c>
      <x:c r="AA224" s="11">
        <x:f t="shared" si="15"/>
        <x:v>0.39984797202797201</x:v>
      </x:c>
    </x:row>
    <x:row r="225">
      <x:c r="A225" s="10" t="s">
        <x:v>1297</x:v>
      </x:c>
      <x:c r="B225" t="s">
        <x:v>1298</x:v>
      </x:c>
      <x:c r="C225" t="s">
        <x:v>1207</x:v>
      </x:c>
      <x:c r="D225" t="s">
        <x:v>1277</x:v>
      </x:c>
      <x:c r="E225" t="s">
        <x:v>33</x:v>
      </x:c>
      <x:c r="F225" t="s">
        <x:v>1299</x:v>
      </x:c>
      <x:c r="H225" t="s">
        <x:v>136</x:v>
      </x:c>
      <x:c r="I225" t="s">
        <x:v>1300</x:v>
      </x:c>
      <x:c r="J225">
        <x:v>2400</x:v>
      </x:c>
      <x:c r="K225">
        <x:v>0.5</x:v>
      </x:c>
      <x:c r="L225">
        <x:f t="shared" si="12"/>
        <x:v>3600</x:v>
      </x:c>
      <x:c r="M225" t="s">
        <x:v>38</x:v>
      </x:c>
      <x:c r="O225" t="s">
        <x:v>38</x:v>
      </x:c>
      <x:c r="P225" t="s">
        <x:v>39</x:v>
      </x:c>
      <x:c r="Q225" t="s">
        <x:v>1298</x:v>
      </x:c>
      <x:c r="R225" t="s">
        <x:v>1301</x:v>
      </x:c>
      <x:c r="S225" t="s">
        <x:v>1281</x:v>
      </x:c>
      <x:c r="T225" s="2" t="n">
        <x:f>'SUPUESTOS PRECIOS'!$B$9</x:f>
        <x:v>0</x:v>
      </x:c>
      <x:c r="U225" s="3" t="n">
        <x:f>'SUPUESTOS PRECIOS'!$B$5/'SUPUESTOS PRECIOS'!$B$4</x:f>
        <x:v>1000</x:v>
      </x:c>
      <x:c r="V225" s="3" t="n">
        <x:f>('SUPUESTOS PRECIOS'!$B$6-'SUPUESTOS PRECIOS'!$B$7)/'SUPUESTOS PRECIOS'!$B$4</x:f>
        <x:v>377.5</x:v>
      </x:c>
      <x:c r="W225" s="4" t="n">
        <x:f>'SUPUESTOS PRECIOS'!$B$8</x:f>
        <x:v>0.00968</x:v>
      </x:c>
      <x:c r="X225" s="4" t="n">
        <x:f>'SUPUESTOS PRECIOS'!$B$2</x:f>
        <x:v>0.4</x:v>
      </x:c>
      <x:c r="Y225" s="3">
        <x:f t="shared" si="13"/>
        <x:v>6400</x:v>
      </x:c>
      <x:c r="Z225" s="3">
        <x:f t="shared" si="14"/>
        <x:v>2560.5479999999998</x:v>
      </x:c>
      <x:c r="AA225" s="11">
        <x:f t="shared" si="15"/>
        <x:v>0.40008562499999994</x:v>
      </x:c>
    </x:row>
    <x:row r="226">
      <x:c r="A226" s="10" t="s">
        <x:v>1302</x:v>
      </x:c>
      <x:c r="B226" t="s">
        <x:v>1303</x:v>
      </x:c>
      <x:c r="C226" t="s">
        <x:v>1048</x:v>
      </x:c>
      <x:c r="D226" t="s">
        <x:v>1304</x:v>
      </x:c>
      <x:c r="E226" t="s">
        <x:v>939</x:v>
      </x:c>
      <x:c r="F226" t="s">
        <x:v>1305</x:v>
      </x:c>
      <x:c r="H226" t="s">
        <x:v>136</x:v>
      </x:c>
      <x:c r="I226" t="s">
        <x:v>1306</x:v>
      </x:c>
      <x:c r="J226">
        <x:v>1050</x:v>
      </x:c>
      <x:c r="K226">
        <x:v>1</x:v>
      </x:c>
      <x:c r="L226">
        <x:f t="shared" si="12"/>
        <x:v>2100</x:v>
      </x:c>
      <x:c r="M226" t="s">
        <x:v>38</x:v>
      </x:c>
      <x:c r="O226" t="s">
        <x:v>38</x:v>
      </x:c>
      <x:c r="P226" t="s">
        <x:v>39</x:v>
      </x:c>
      <x:c r="Q226" t="s">
        <x:v>1303</x:v>
      </x:c>
      <x:c r="R226" t="s">
        <x:v>1307</x:v>
      </x:c>
      <x:c r="S226" t="s">
        <x:v>1308</x:v>
      </x:c>
      <x:c r="T226" s="2" t="n">
        <x:f>'SUPUESTOS PRECIOS'!$B$9</x:f>
        <x:v>0</x:v>
      </x:c>
      <x:c r="U226" s="3" t="n">
        <x:f>'SUPUESTOS PRECIOS'!$B$5/'SUPUESTOS PRECIOS'!$B$4</x:f>
        <x:v>1000</x:v>
      </x:c>
      <x:c r="V226" s="3" t="n">
        <x:f>('SUPUESTOS PRECIOS'!$B$6-'SUPUESTOS PRECIOS'!$B$7)/'SUPUESTOS PRECIOS'!$B$4</x:f>
        <x:v>377.5</x:v>
      </x:c>
      <x:c r="W226" s="4" t="n">
        <x:f>'SUPUESTOS PRECIOS'!$B$8</x:f>
        <x:v>0.00968</x:v>
      </x:c>
      <x:c r="X226" s="4" t="n">
        <x:f>'SUPUESTOS PRECIOS'!$B$2</x:f>
        <x:v>0.4</x:v>
      </x:c>
      <x:c r="Y226" s="3">
        <x:f t="shared" si="13"/>
        <x:v>4110</x:v>
      </x:c>
      <x:c r="Z226" s="3">
        <x:f t="shared" si="14"/>
        <x:v>1642.7152000000001</x:v>
      </x:c>
      <x:c r="AA226" s="11">
        <x:f t="shared" si="15"/>
        <x:v>0.39968739659367397</x:v>
      </x:c>
    </x:row>
    <x:row r="227">
      <x:c r="A227" s="10" t="s">
        <x:v>1309</x:v>
      </x:c>
      <x:c r="B227" t="s">
        <x:v>1310</x:v>
      </x:c>
      <x:c r="C227" t="s">
        <x:v>1048</x:v>
      </x:c>
      <x:c r="D227" t="s">
        <x:v>1304</x:v>
      </x:c>
      <x:c r="E227" t="s">
        <x:v>939</x:v>
      </x:c>
      <x:c r="F227" t="s">
        <x:v>1311</x:v>
      </x:c>
      <x:c r="H227" t="s">
        <x:v>136</x:v>
      </x:c>
      <x:c r="I227" t="s">
        <x:v>1312</x:v>
      </x:c>
      <x:c r="J227">
        <x:v>2500</x:v>
      </x:c>
      <x:c r="K227">
        <x:v>1</x:v>
      </x:c>
      <x:c r="L227">
        <x:f t="shared" si="12"/>
        <x:v>5000</x:v>
      </x:c>
      <x:c r="M227" t="s">
        <x:v>38</x:v>
      </x:c>
      <x:c r="O227" t="s">
        <x:v>38</x:v>
      </x:c>
      <x:c r="P227" t="s">
        <x:v>39</x:v>
      </x:c>
      <x:c r="Q227" t="s">
        <x:v>1310</x:v>
      </x:c>
      <x:c r="R227" t="s">
        <x:v>1313</x:v>
      </x:c>
      <x:c r="S227" t="s">
        <x:v>1308</x:v>
      </x:c>
      <x:c r="T227" s="2" t="n">
        <x:f>'SUPUESTOS PRECIOS'!$B$9</x:f>
        <x:v>0</x:v>
      </x:c>
      <x:c r="U227" s="3" t="n">
        <x:f>'SUPUESTOS PRECIOS'!$B$5/'SUPUESTOS PRECIOS'!$B$4</x:f>
        <x:v>1000</x:v>
      </x:c>
      <x:c r="V227" s="3" t="n">
        <x:f>('SUPUESTOS PRECIOS'!$B$6-'SUPUESTOS PRECIOS'!$B$7)/'SUPUESTOS PRECIOS'!$B$4</x:f>
        <x:v>377.5</x:v>
      </x:c>
      <x:c r="W227" s="4" t="n">
        <x:f>'SUPUESTOS PRECIOS'!$B$8</x:f>
        <x:v>0.00968</x:v>
      </x:c>
      <x:c r="X227" s="4" t="n">
        <x:f>'SUPUESTOS PRECIOS'!$B$2</x:f>
        <x:v>0.4</x:v>
      </x:c>
      <x:c r="Y227" s="3">
        <x:f t="shared" si="13"/>
        <x:v>6570</x:v>
      </x:c>
      <x:c r="Z227" s="3">
        <x:f t="shared" si="14"/>
        <x:v>2628.9023999999999</x:v>
      </x:c>
      <x:c r="AA227" s="11">
        <x:f t="shared" si="15"/>
        <x:v>0.40013735159817349</x:v>
      </x:c>
    </x:row>
    <x:row r="228">
      <x:c r="A228" s="10" t="s">
        <x:v>1314</x:v>
      </x:c>
      <x:c r="B228" t="s">
        <x:v>1315</x:v>
      </x:c>
      <x:c r="C228" t="s">
        <x:v>1048</x:v>
      </x:c>
      <x:c r="D228" t="s">
        <x:v>1316</x:v>
      </x:c>
      <x:c r="E228" t="s">
        <x:v>939</x:v>
      </x:c>
      <x:c r="F228" t="s">
        <x:v>1317</x:v>
      </x:c>
      <x:c r="H228" t="s">
        <x:v>136</x:v>
      </x:c>
      <x:c r="I228" t="s">
        <x:v>1318</x:v>
      </x:c>
      <x:c r="J228">
        <x:v>1250</x:v>
      </x:c>
      <x:c r="K228">
        <x:v>1</x:v>
      </x:c>
      <x:c r="L228">
        <x:f t="shared" si="12"/>
        <x:v>2500</x:v>
      </x:c>
      <x:c r="M228" t="s">
        <x:v>38</x:v>
      </x:c>
      <x:c r="O228" t="s">
        <x:v>38</x:v>
      </x:c>
      <x:c r="P228" t="s">
        <x:v>39</x:v>
      </x:c>
      <x:c r="Q228" t="s">
        <x:v>1315</x:v>
      </x:c>
      <x:c r="R228" t="s">
        <x:v>1319</x:v>
      </x:c>
      <x:c r="S228" t="s">
        <x:v>1320</x:v>
      </x:c>
      <x:c r="T228" s="2" t="n">
        <x:f>'SUPUESTOS PRECIOS'!$B$9</x:f>
        <x:v>0</x:v>
      </x:c>
      <x:c r="U228" s="3" t="n">
        <x:f>'SUPUESTOS PRECIOS'!$B$5/'SUPUESTOS PRECIOS'!$B$4</x:f>
        <x:v>1000</x:v>
      </x:c>
      <x:c r="V228" s="3" t="n">
        <x:f>('SUPUESTOS PRECIOS'!$B$6-'SUPUESTOS PRECIOS'!$B$7)/'SUPUESTOS PRECIOS'!$B$4</x:f>
        <x:v>377.5</x:v>
      </x:c>
      <x:c r="W228" s="4" t="n">
        <x:f>'SUPUESTOS PRECIOS'!$B$8</x:f>
        <x:v>0.00968</x:v>
      </x:c>
      <x:c r="X228" s="4" t="n">
        <x:f>'SUPUESTOS PRECIOS'!$B$2</x:f>
        <x:v>0.4</x:v>
      </x:c>
      <x:c r="Y228" s="3">
        <x:f t="shared" si="13"/>
        <x:v>4450</x:v>
      </x:c>
      <x:c r="Z228" s="3">
        <x:f t="shared" si="14"/>
        <x:v>1779.424</x:v>
      </x:c>
      <x:c r="AA228" s="11">
        <x:f t="shared" si="15"/>
        <x:v>0.39987056179775282</x:v>
      </x:c>
    </x:row>
    <x:row r="229">
      <x:c r="A229" s="10" t="s">
        <x:v>1321</x:v>
      </x:c>
      <x:c r="B229" t="s">
        <x:v>1322</x:v>
      </x:c>
      <x:c r="C229" t="s">
        <x:v>1048</x:v>
      </x:c>
      <x:c r="D229" t="s">
        <x:v>1316</x:v>
      </x:c>
      <x:c r="E229" t="s">
        <x:v>939</x:v>
      </x:c>
      <x:c r="F229" t="s">
        <x:v>1323</x:v>
      </x:c>
      <x:c r="H229" t="s">
        <x:v>136</x:v>
      </x:c>
      <x:c r="I229" t="s">
        <x:v>1324</x:v>
      </x:c>
      <x:c r="J229">
        <x:v>1200</x:v>
      </x:c>
      <x:c r="K229">
        <x:v>1</x:v>
      </x:c>
      <x:c r="L229">
        <x:f t="shared" si="12"/>
        <x:v>2400</x:v>
      </x:c>
      <x:c r="M229" t="s">
        <x:v>38</x:v>
      </x:c>
      <x:c r="O229" t="s">
        <x:v>38</x:v>
      </x:c>
      <x:c r="P229" t="s">
        <x:v>39</x:v>
      </x:c>
      <x:c r="Q229" t="s">
        <x:v>1322</x:v>
      </x:c>
      <x:c r="R229" t="s">
        <x:v>1325</x:v>
      </x:c>
      <x:c r="S229" t="s">
        <x:v>1320</x:v>
      </x:c>
      <x:c r="T229" s="2" t="n">
        <x:f>'SUPUESTOS PRECIOS'!$B$9</x:f>
        <x:v>0</x:v>
      </x:c>
      <x:c r="U229" s="3" t="n">
        <x:f>'SUPUESTOS PRECIOS'!$B$5/'SUPUESTOS PRECIOS'!$B$4</x:f>
        <x:v>1000</x:v>
      </x:c>
      <x:c r="V229" s="3" t="n">
        <x:f>('SUPUESTOS PRECIOS'!$B$6-'SUPUESTOS PRECIOS'!$B$7)/'SUPUESTOS PRECIOS'!$B$4</x:f>
        <x:v>377.5</x:v>
      </x:c>
      <x:c r="W229" s="4" t="n">
        <x:f>'SUPUESTOS PRECIOS'!$B$8</x:f>
        <x:v>0.00968</x:v>
      </x:c>
      <x:c r="X229" s="4" t="n">
        <x:f>'SUPUESTOS PRECIOS'!$B$2</x:f>
        <x:v>0.4</x:v>
      </x:c>
      <x:c r="Y229" s="3">
        <x:f t="shared" si="13"/>
        <x:v>4370</x:v>
      </x:c>
      <x:c r="Z229" s="3">
        <x:f t="shared" si="14"/>
        <x:v>1750.1984</x:v>
      </x:c>
      <x:c r="AA229" s="11">
        <x:f t="shared" si="15"/>
        <x:v>0.40050306636155608</x:v>
      </x:c>
    </x:row>
    <x:row r="230">
      <x:c r="A230" s="10" t="s">
        <x:v>1326</x:v>
      </x:c>
      <x:c r="B230" t="s">
        <x:v>1327</x:v>
      </x:c>
      <x:c r="C230" t="s">
        <x:v>1048</x:v>
      </x:c>
      <x:c r="D230" t="s">
        <x:v>1316</x:v>
      </x:c>
      <x:c r="E230" t="s">
        <x:v>939</x:v>
      </x:c>
      <x:c r="F230" t="s">
        <x:v>1328</x:v>
      </x:c>
      <x:c r="H230" t="s">
        <x:v>136</x:v>
      </x:c>
      <x:c r="I230" t="s">
        <x:v>1329</x:v>
      </x:c>
      <x:c r="J230">
        <x:v>1500</x:v>
      </x:c>
      <x:c r="K230">
        <x:v>1</x:v>
      </x:c>
      <x:c r="L230">
        <x:f t="shared" si="12"/>
        <x:v>3000</x:v>
      </x:c>
      <x:c r="M230" t="s">
        <x:v>38</x:v>
      </x:c>
      <x:c r="O230" t="s">
        <x:v>38</x:v>
      </x:c>
      <x:c r="P230" t="s">
        <x:v>39</x:v>
      </x:c>
      <x:c r="Q230" t="s">
        <x:v>1327</x:v>
      </x:c>
      <x:c r="R230" t="s">
        <x:v>1330</x:v>
      </x:c>
      <x:c r="S230" t="s">
        <x:v>1320</x:v>
      </x:c>
      <x:c r="T230" s="2" t="n">
        <x:f>'SUPUESTOS PRECIOS'!$B$9</x:f>
        <x:v>0</x:v>
      </x:c>
      <x:c r="U230" s="3" t="n">
        <x:f>'SUPUESTOS PRECIOS'!$B$5/'SUPUESTOS PRECIOS'!$B$4</x:f>
        <x:v>1000</x:v>
      </x:c>
      <x:c r="V230" s="3" t="n">
        <x:f>('SUPUESTOS PRECIOS'!$B$6-'SUPUESTOS PRECIOS'!$B$7)/'SUPUESTOS PRECIOS'!$B$4</x:f>
        <x:v>377.5</x:v>
      </x:c>
      <x:c r="W230" s="4" t="n">
        <x:f>'SUPUESTOS PRECIOS'!$B$8</x:f>
        <x:v>0.00968</x:v>
      </x:c>
      <x:c r="X230" s="4" t="n">
        <x:f>'SUPUESTOS PRECIOS'!$B$2</x:f>
        <x:v>0.4</x:v>
      </x:c>
      <x:c r="Y230" s="3">
        <x:f t="shared" si="13"/>
        <x:v>4870</x:v>
      </x:c>
      <x:c r="Z230" s="3">
        <x:f t="shared" si="14"/>
        <x:v>1945.3584000000001</x:v>
      </x:c>
      <x:c r="AA230" s="11">
        <x:f t="shared" si="15"/>
        <x:v>0.39945757700205342</x:v>
      </x:c>
    </x:row>
    <x:row r="231">
      <x:c r="A231" s="10" t="s">
        <x:v>1331</x:v>
      </x:c>
      <x:c r="B231" t="s">
        <x:v>1332</x:v>
      </x:c>
      <x:c r="C231" t="s">
        <x:v>1048</x:v>
      </x:c>
      <x:c r="D231" t="s">
        <x:v>1333</x:v>
      </x:c>
      <x:c r="E231" t="s">
        <x:v>939</x:v>
      </x:c>
      <x:c r="F231" t="s">
        <x:v>1334</x:v>
      </x:c>
      <x:c r="H231" t="s">
        <x:v>136</x:v>
      </x:c>
      <x:c r="I231" t="s">
        <x:v>1335</x:v>
      </x:c>
      <x:c r="J231">
        <x:v>2800</x:v>
      </x:c>
      <x:c r="K231">
        <x:v>1</x:v>
      </x:c>
      <x:c r="L231">
        <x:f t="shared" si="12"/>
        <x:v>5600</x:v>
      </x:c>
      <x:c r="M231" t="s">
        <x:v>38</x:v>
      </x:c>
      <x:c r="O231" t="s">
        <x:v>38</x:v>
      </x:c>
      <x:c r="P231" t="s">
        <x:v>39</x:v>
      </x:c>
      <x:c r="Q231" t="s">
        <x:v>1332</x:v>
      </x:c>
      <x:c r="R231" t="s">
        <x:v>1336</x:v>
      </x:c>
      <x:c r="S231" t="s">
        <x:v>1337</x:v>
      </x:c>
      <x:c r="T231" s="2" t="n">
        <x:f>'SUPUESTOS PRECIOS'!$B$9</x:f>
        <x:v>0</x:v>
      </x:c>
      <x:c r="U231" s="3" t="n">
        <x:f>'SUPUESTOS PRECIOS'!$B$5/'SUPUESTOS PRECIOS'!$B$4</x:f>
        <x:v>1000</x:v>
      </x:c>
      <x:c r="V231" s="3" t="n">
        <x:f>('SUPUESTOS PRECIOS'!$B$6-'SUPUESTOS PRECIOS'!$B$7)/'SUPUESTOS PRECIOS'!$B$4</x:f>
        <x:v>377.5</x:v>
      </x:c>
      <x:c r="W231" s="4" t="n">
        <x:f>'SUPUESTOS PRECIOS'!$B$8</x:f>
        <x:v>0.00968</x:v>
      </x:c>
      <x:c r="X231" s="4" t="n">
        <x:f>'SUPUESTOS PRECIOS'!$B$2</x:f>
        <x:v>0.4</x:v>
      </x:c>
      <x:c r="Y231" s="3">
        <x:f t="shared" si="13"/>
        <x:v>7080</x:v>
      </x:c>
      <x:c r="Z231" s="3">
        <x:f t="shared" si="14"/>
        <x:v>2833.9656</x:v>
      </x:c>
      <x:c r="AA231" s="11">
        <x:f t="shared" si="15"/>
        <x:v>0.40027762711864406</x:v>
      </x:c>
    </x:row>
    <x:row r="232">
      <x:c r="A232" s="10" t="s">
        <x:v>1338</x:v>
      </x:c>
      <x:c r="B232" t="s">
        <x:v>1339</x:v>
      </x:c>
      <x:c r="C232" t="s">
        <x:v>1048</x:v>
      </x:c>
      <x:c r="D232" t="s">
        <x:v>1333</x:v>
      </x:c>
      <x:c r="E232" t="s">
        <x:v>1340</x:v>
      </x:c>
      <x:c r="F232" t="s">
        <x:v>1341</x:v>
      </x:c>
      <x:c r="H232" t="s">
        <x:v>136</x:v>
      </x:c>
      <x:c r="I232" t="s">
        <x:v>1342</x:v>
      </x:c>
      <x:c r="J232">
        <x:v>2500</x:v>
      </x:c>
      <x:c r="K232">
        <x:v>1</x:v>
      </x:c>
      <x:c r="L232">
        <x:f t="shared" si="12"/>
        <x:v>5000</x:v>
      </x:c>
      <x:c r="M232" t="s">
        <x:v>38</x:v>
      </x:c>
      <x:c r="O232" t="s">
        <x:v>38</x:v>
      </x:c>
      <x:c r="P232" t="s">
        <x:v>39</x:v>
      </x:c>
      <x:c r="Q232" t="s">
        <x:v>1339</x:v>
      </x:c>
      <x:c r="R232" t="s">
        <x:v>1343</x:v>
      </x:c>
      <x:c r="S232" t="s">
        <x:v>1337</x:v>
      </x:c>
      <x:c r="T232" s="2" t="n">
        <x:f>'SUPUESTOS PRECIOS'!$B$9</x:f>
        <x:v>0</x:v>
      </x:c>
      <x:c r="U232" s="3" t="n">
        <x:f>'SUPUESTOS PRECIOS'!$B$5/'SUPUESTOS PRECIOS'!$B$4</x:f>
        <x:v>1000</x:v>
      </x:c>
      <x:c r="V232" s="3" t="n">
        <x:f>('SUPUESTOS PRECIOS'!$B$6-'SUPUESTOS PRECIOS'!$B$7)/'SUPUESTOS PRECIOS'!$B$4</x:f>
        <x:v>377.5</x:v>
      </x:c>
      <x:c r="W232" s="4" t="n">
        <x:f>'SUPUESTOS PRECIOS'!$B$8</x:f>
        <x:v>0.00968</x:v>
      </x:c>
      <x:c r="X232" s="4" t="n">
        <x:f>'SUPUESTOS PRECIOS'!$B$2</x:f>
        <x:v>0.4</x:v>
      </x:c>
      <x:c r="Y232" s="3">
        <x:f t="shared" si="13"/>
        <x:v>6570</x:v>
      </x:c>
      <x:c r="Z232" s="3">
        <x:f t="shared" si="14"/>
        <x:v>2628.9023999999999</x:v>
      </x:c>
      <x:c r="AA232" s="11">
        <x:f t="shared" si="15"/>
        <x:v>0.40013735159817349</x:v>
      </x:c>
    </x:row>
    <x:row r="233">
      <x:c r="A233" s="10" t="s">
        <x:v>1344</x:v>
      </x:c>
      <x:c r="B233" t="s">
        <x:v>1345</x:v>
      </x:c>
      <x:c r="C233" t="s">
        <x:v>1048</x:v>
      </x:c>
      <x:c r="D233" t="s">
        <x:v>1346</x:v>
      </x:c>
      <x:c r="E233" t="s">
        <x:v>33</x:v>
      </x:c>
      <x:c r="F233" t="s">
        <x:v>1347</x:v>
      </x:c>
      <x:c r="H233" t="s">
        <x:v>136</x:v>
      </x:c>
      <x:c r="I233" t="s">
        <x:v>1348</x:v>
      </x:c>
      <x:c r="J233">
        <x:v>500</x:v>
      </x:c>
      <x:c r="K233">
        <x:v>1</x:v>
      </x:c>
      <x:c r="L233">
        <x:f t="shared" si="12"/>
        <x:v>1000</x:v>
      </x:c>
      <x:c r="M233" t="s">
        <x:v>38</x:v>
      </x:c>
      <x:c r="O233" t="s">
        <x:v>38</x:v>
      </x:c>
      <x:c r="P233" t="s">
        <x:v>39</x:v>
      </x:c>
      <x:c r="Q233" t="s">
        <x:v>1345</x:v>
      </x:c>
      <x:c r="R233" t="s">
        <x:v>1349</x:v>
      </x:c>
      <x:c r="S233" t="s">
        <x:v>1350</x:v>
      </x:c>
      <x:c r="T233" s="2" t="n">
        <x:f>'SUPUESTOS PRECIOS'!$B$9</x:f>
        <x:v>0</x:v>
      </x:c>
      <x:c r="U233" s="3" t="n">
        <x:f>'SUPUESTOS PRECIOS'!$B$5/'SUPUESTOS PRECIOS'!$B$4</x:f>
        <x:v>1000</x:v>
      </x:c>
      <x:c r="V233" s="3" t="n">
        <x:f>('SUPUESTOS PRECIOS'!$B$6-'SUPUESTOS PRECIOS'!$B$7)/'SUPUESTOS PRECIOS'!$B$4</x:f>
        <x:v>377.5</x:v>
      </x:c>
      <x:c r="W233" s="4" t="n">
        <x:f>'SUPUESTOS PRECIOS'!$B$8</x:f>
        <x:v>0.00968</x:v>
      </x:c>
      <x:c r="X233" s="4" t="n">
        <x:f>'SUPUESTOS PRECIOS'!$B$2</x:f>
        <x:v>0.4</x:v>
      </x:c>
      <x:c r="Y233" s="3">
        <x:f t="shared" si="13"/>
        <x:v>3180</x:v>
      </x:c>
      <x:c r="Z233" s="3">
        <x:f t="shared" si="14"/>
        <x:v>1271.7175999999999</x:v>
      </x:c>
      <x:c r="AA233" s="11">
        <x:f t="shared" si="15"/>
        <x:v>0.39991119496855343</x:v>
      </x:c>
    </x:row>
    <x:row r="234">
      <x:c r="A234" s="10" t="s">
        <x:v>1351</x:v>
      </x:c>
      <x:c r="B234" t="s">
        <x:v>1352</x:v>
      </x:c>
      <x:c r="C234" t="s">
        <x:v>1048</x:v>
      </x:c>
      <x:c r="D234" t="s">
        <x:v>1072</x:v>
      </x:c>
      <x:c r="E234" t="s">
        <x:v>1353</x:v>
      </x:c>
      <x:c r="F234" t="s">
        <x:v>1354</x:v>
      </x:c>
      <x:c r="H234" t="s">
        <x:v>136</x:v>
      </x:c>
      <x:c r="I234" t="s">
        <x:v>1355</x:v>
      </x:c>
      <x:c r="J234">
        <x:v>5000</x:v>
      </x:c>
      <x:c r="K234">
        <x:v>0.5</x:v>
      </x:c>
      <x:c r="L234">
        <x:f t="shared" si="12"/>
        <x:v>7500</x:v>
      </x:c>
      <x:c r="M234" t="s">
        <x:v>38</x:v>
      </x:c>
      <x:c r="O234" t="s">
        <x:v>38</x:v>
      </x:c>
      <x:c r="P234" t="s">
        <x:v>39</x:v>
      </x:c>
      <x:c r="Q234" t="s">
        <x:v>1352</x:v>
      </x:c>
      <x:c r="R234" t="s">
        <x:v>1356</x:v>
      </x:c>
      <x:c r="S234" t="s">
        <x:v>1077</x:v>
      </x:c>
      <x:c r="T234" s="2" t="n">
        <x:f>'SUPUESTOS PRECIOS'!$B$9</x:f>
        <x:v>0</x:v>
      </x:c>
      <x:c r="U234" s="3" t="n">
        <x:f>'SUPUESTOS PRECIOS'!$B$5/'SUPUESTOS PRECIOS'!$B$4</x:f>
        <x:v>1000</x:v>
      </x:c>
      <x:c r="V234" s="3" t="n">
        <x:f>('SUPUESTOS PRECIOS'!$B$6-'SUPUESTOS PRECIOS'!$B$7)/'SUPUESTOS PRECIOS'!$B$4</x:f>
        <x:v>377.5</x:v>
      </x:c>
      <x:c r="W234" s="4" t="n">
        <x:f>'SUPUESTOS PRECIOS'!$B$8</x:f>
        <x:v>0.00968</x:v>
      </x:c>
      <x:c r="X234" s="4" t="n">
        <x:f>'SUPUESTOS PRECIOS'!$B$2</x:f>
        <x:v>0.4</x:v>
      </x:c>
      <x:c r="Y234" s="3">
        <x:f t="shared" si="13"/>
        <x:v>10800</x:v>
      </x:c>
      <x:c r="Z234" s="3">
        <x:f t="shared" si="14"/>
        <x:v>4317.9560000000001</x:v>
      </x:c>
      <x:c r="AA234" s="11">
        <x:f t="shared" si="15"/>
        <x:v>0.39981074074074074</x:v>
      </x:c>
    </x:row>
    <x:row r="235">
      <x:c r="A235" s="10" t="s">
        <x:v>1357</x:v>
      </x:c>
      <x:c r="F235" t="s">
        <x:v>1358</x:v>
      </x:c>
      <x:c r="K235">
        <x:v>1</x:v>
      </x:c>
      <x:c r="L235" t="str">
        <x:f t="shared" si="12"/>
      </x:c>
      <x:c r="O235" t="s">
        <x:v>38</x:v>
      </x:c>
      <x:c r="T235" s="2" t="n">
        <x:f>'SUPUESTOS PRECIOS'!$B$9</x:f>
        <x:v>0</x:v>
      </x:c>
      <x:c r="U235" s="3" t="n">
        <x:f>'SUPUESTOS PRECIOS'!$B$5/'SUPUESTOS PRECIOS'!$B$4</x:f>
        <x:v>1000</x:v>
      </x:c>
      <x:c r="V235" s="3" t="n">
        <x:f>('SUPUESTOS PRECIOS'!$B$6-'SUPUESTOS PRECIOS'!$B$7)/'SUPUESTOS PRECIOS'!$B$4</x:f>
        <x:v>377.5</x:v>
      </x:c>
      <x:c r="W235" s="4" t="n">
        <x:f>'SUPUESTOS PRECIOS'!$B$8</x:f>
        <x:v>0.00968</x:v>
      </x:c>
      <x:c r="X235" s="4" t="n">
        <x:f>'SUPUESTOS PRECIOS'!$B$2</x:f>
        <x:v>0.4</x:v>
      </x:c>
      <x:c r="Y235" s="3" t="str">
        <x:f t="shared" si="13"/>
      </x:c>
      <x:c r="Z235" s="3" t="str">
        <x:f t="shared" si="14"/>
      </x:c>
      <x:c r="AA235" s="11" t="str">
        <x:f t="shared" si="15"/>
      </x:c>
    </x:row>
    <x:row r="236">
      <x:c r="A236" s="10" t="s">
        <x:v>1359</x:v>
      </x:c>
      <x:c r="F236" t="s">
        <x:v>1358</x:v>
      </x:c>
      <x:c r="K236">
        <x:v>1</x:v>
      </x:c>
      <x:c r="L236" t="str">
        <x:f t="shared" si="12"/>
      </x:c>
      <x:c r="O236" t="s">
        <x:v>38</x:v>
      </x:c>
      <x:c r="T236" s="2" t="n">
        <x:f>'SUPUESTOS PRECIOS'!$B$9</x:f>
        <x:v>0</x:v>
      </x:c>
      <x:c r="U236" s="3" t="n">
        <x:f>'SUPUESTOS PRECIOS'!$B$5/'SUPUESTOS PRECIOS'!$B$4</x:f>
        <x:v>1000</x:v>
      </x:c>
      <x:c r="V236" s="3" t="n">
        <x:f>('SUPUESTOS PRECIOS'!$B$6-'SUPUESTOS PRECIOS'!$B$7)/'SUPUESTOS PRECIOS'!$B$4</x:f>
        <x:v>377.5</x:v>
      </x:c>
      <x:c r="W236" s="4" t="n">
        <x:f>'SUPUESTOS PRECIOS'!$B$8</x:f>
        <x:v>0.00968</x:v>
      </x:c>
      <x:c r="X236" s="4" t="n">
        <x:f>'SUPUESTOS PRECIOS'!$B$2</x:f>
        <x:v>0.4</x:v>
      </x:c>
      <x:c r="Y236" s="3" t="str">
        <x:f t="shared" si="13"/>
      </x:c>
      <x:c r="Z236" s="3" t="str">
        <x:f t="shared" si="14"/>
      </x:c>
      <x:c r="AA236" s="11" t="str">
        <x:f t="shared" si="15"/>
      </x:c>
    </x:row>
    <x:row r="237">
      <x:c r="A237" s="10" t="s">
        <x:v>1360</x:v>
      </x:c>
      <x:c r="F237" t="s">
        <x:v>1358</x:v>
      </x:c>
      <x:c r="K237">
        <x:v>1</x:v>
      </x:c>
      <x:c r="L237" t="str">
        <x:f t="shared" si="12"/>
      </x:c>
      <x:c r="O237" t="s">
        <x:v>38</x:v>
      </x:c>
      <x:c r="T237" s="2" t="n">
        <x:f>'SUPUESTOS PRECIOS'!$B$9</x:f>
        <x:v>0</x:v>
      </x:c>
      <x:c r="U237" s="3" t="n">
        <x:f>'SUPUESTOS PRECIOS'!$B$5/'SUPUESTOS PRECIOS'!$B$4</x:f>
        <x:v>1000</x:v>
      </x:c>
      <x:c r="V237" s="3" t="n">
        <x:f>('SUPUESTOS PRECIOS'!$B$6-'SUPUESTOS PRECIOS'!$B$7)/'SUPUESTOS PRECIOS'!$B$4</x:f>
        <x:v>377.5</x:v>
      </x:c>
      <x:c r="W237" s="4" t="n">
        <x:f>'SUPUESTOS PRECIOS'!$B$8</x:f>
        <x:v>0.00968</x:v>
      </x:c>
      <x:c r="X237" s="4" t="n">
        <x:f>'SUPUESTOS PRECIOS'!$B$2</x:f>
        <x:v>0.4</x:v>
      </x:c>
      <x:c r="Y237" s="3" t="str">
        <x:f t="shared" si="13"/>
      </x:c>
      <x:c r="Z237" s="3" t="str">
        <x:f t="shared" si="14"/>
      </x:c>
      <x:c r="AA237" s="11" t="str">
        <x:f t="shared" si="15"/>
      </x:c>
    </x:row>
    <x:row r="238">
      <x:c r="A238" s="10" t="s">
        <x:v>1361</x:v>
      </x:c>
      <x:c r="F238" t="s">
        <x:v>1358</x:v>
      </x:c>
      <x:c r="K238">
        <x:v>1</x:v>
      </x:c>
      <x:c r="L238" t="str">
        <x:f t="shared" si="12"/>
      </x:c>
      <x:c r="O238" t="s">
        <x:v>38</x:v>
      </x:c>
      <x:c r="T238" s="2" t="n">
        <x:f>'SUPUESTOS PRECIOS'!$B$9</x:f>
        <x:v>0</x:v>
      </x:c>
      <x:c r="U238" s="3" t="n">
        <x:f>'SUPUESTOS PRECIOS'!$B$5/'SUPUESTOS PRECIOS'!$B$4</x:f>
        <x:v>1000</x:v>
      </x:c>
      <x:c r="V238" s="3" t="n">
        <x:f>('SUPUESTOS PRECIOS'!$B$6-'SUPUESTOS PRECIOS'!$B$7)/'SUPUESTOS PRECIOS'!$B$4</x:f>
        <x:v>377.5</x:v>
      </x:c>
      <x:c r="W238" s="4" t="n">
        <x:f>'SUPUESTOS PRECIOS'!$B$8</x:f>
        <x:v>0.00968</x:v>
      </x:c>
      <x:c r="X238" s="4" t="n">
        <x:f>'SUPUESTOS PRECIOS'!$B$2</x:f>
        <x:v>0.4</x:v>
      </x:c>
      <x:c r="Y238" s="3" t="str">
        <x:f t="shared" si="13"/>
      </x:c>
      <x:c r="Z238" s="3" t="str">
        <x:f t="shared" si="14"/>
      </x:c>
      <x:c r="AA238" s="11" t="str">
        <x:f t="shared" si="15"/>
      </x:c>
    </x:row>
    <x:row r="239">
      <x:c r="A239" s="10" t="s">
        <x:v>1362</x:v>
      </x:c>
      <x:c r="F239" t="s">
        <x:v>1358</x:v>
      </x:c>
      <x:c r="K239">
        <x:v>1</x:v>
      </x:c>
      <x:c r="L239" t="str">
        <x:f t="shared" si="12"/>
      </x:c>
      <x:c r="O239" t="s">
        <x:v>38</x:v>
      </x:c>
      <x:c r="T239" s="2" t="n">
        <x:f>'SUPUESTOS PRECIOS'!$B$9</x:f>
        <x:v>0</x:v>
      </x:c>
      <x:c r="U239" s="3" t="n">
        <x:f>'SUPUESTOS PRECIOS'!$B$5/'SUPUESTOS PRECIOS'!$B$4</x:f>
        <x:v>1000</x:v>
      </x:c>
      <x:c r="V239" s="3" t="n">
        <x:f>('SUPUESTOS PRECIOS'!$B$6-'SUPUESTOS PRECIOS'!$B$7)/'SUPUESTOS PRECIOS'!$B$4</x:f>
        <x:v>377.5</x:v>
      </x:c>
      <x:c r="W239" s="4" t="n">
        <x:f>'SUPUESTOS PRECIOS'!$B$8</x:f>
        <x:v>0.00968</x:v>
      </x:c>
      <x:c r="X239" s="4" t="n">
        <x:f>'SUPUESTOS PRECIOS'!$B$2</x:f>
        <x:v>0.4</x:v>
      </x:c>
      <x:c r="Y239" s="3" t="str">
        <x:f t="shared" si="13"/>
      </x:c>
      <x:c r="Z239" s="3" t="str">
        <x:f t="shared" si="14"/>
      </x:c>
      <x:c r="AA239" s="11" t="str">
        <x:f t="shared" si="15"/>
      </x:c>
    </x:row>
    <x:row r="240">
      <x:c r="A240" s="10" t="s">
        <x:v>1363</x:v>
      </x:c>
      <x:c r="F240" t="s">
        <x:v>1358</x:v>
      </x:c>
      <x:c r="K240">
        <x:v>1</x:v>
      </x:c>
      <x:c r="L240" t="str">
        <x:f t="shared" si="12"/>
      </x:c>
      <x:c r="O240" t="s">
        <x:v>38</x:v>
      </x:c>
      <x:c r="T240" s="2" t="n">
        <x:f>'SUPUESTOS PRECIOS'!$B$9</x:f>
        <x:v>0</x:v>
      </x:c>
      <x:c r="U240" s="3" t="n">
        <x:f>'SUPUESTOS PRECIOS'!$B$5/'SUPUESTOS PRECIOS'!$B$4</x:f>
        <x:v>1000</x:v>
      </x:c>
      <x:c r="V240" s="3" t="n">
        <x:f>('SUPUESTOS PRECIOS'!$B$6-'SUPUESTOS PRECIOS'!$B$7)/'SUPUESTOS PRECIOS'!$B$4</x:f>
        <x:v>377.5</x:v>
      </x:c>
      <x:c r="W240" s="4" t="n">
        <x:f>'SUPUESTOS PRECIOS'!$B$8</x:f>
        <x:v>0.00968</x:v>
      </x:c>
      <x:c r="X240" s="4" t="n">
        <x:f>'SUPUESTOS PRECIOS'!$B$2</x:f>
        <x:v>0.4</x:v>
      </x:c>
      <x:c r="Y240" s="3" t="str">
        <x:f t="shared" si="13"/>
      </x:c>
      <x:c r="Z240" s="3" t="str">
        <x:f t="shared" si="14"/>
      </x:c>
      <x:c r="AA240" s="11" t="str">
        <x:f t="shared" si="15"/>
      </x:c>
    </x:row>
    <x:row r="241">
      <x:c r="A241" s="10" t="s">
        <x:v>1364</x:v>
      </x:c>
      <x:c r="F241" t="s">
        <x:v>1358</x:v>
      </x:c>
      <x:c r="K241">
        <x:v>1</x:v>
      </x:c>
      <x:c r="L241" t="str">
        <x:f t="shared" si="12"/>
      </x:c>
      <x:c r="O241" t="s">
        <x:v>38</x:v>
      </x:c>
      <x:c r="T241" s="2" t="n">
        <x:f>'SUPUESTOS PRECIOS'!$B$9</x:f>
        <x:v>0</x:v>
      </x:c>
      <x:c r="U241" s="3" t="n">
        <x:f>'SUPUESTOS PRECIOS'!$B$5/'SUPUESTOS PRECIOS'!$B$4</x:f>
        <x:v>1000</x:v>
      </x:c>
      <x:c r="V241" s="3" t="n">
        <x:f>('SUPUESTOS PRECIOS'!$B$6-'SUPUESTOS PRECIOS'!$B$7)/'SUPUESTOS PRECIOS'!$B$4</x:f>
        <x:v>377.5</x:v>
      </x:c>
      <x:c r="W241" s="4" t="n">
        <x:f>'SUPUESTOS PRECIOS'!$B$8</x:f>
        <x:v>0.00968</x:v>
      </x:c>
      <x:c r="X241" s="4" t="n">
        <x:f>'SUPUESTOS PRECIOS'!$B$2</x:f>
        <x:v>0.4</x:v>
      </x:c>
      <x:c r="Y241" s="3" t="str">
        <x:f t="shared" si="13"/>
      </x:c>
      <x:c r="Z241" s="3" t="str">
        <x:f t="shared" si="14"/>
      </x:c>
      <x:c r="AA241" s="11" t="str">
        <x:f t="shared" si="15"/>
      </x:c>
    </x:row>
    <x:row r="242">
      <x:c r="A242" s="10" t="s">
        <x:v>1365</x:v>
      </x:c>
      <x:c r="F242" t="s">
        <x:v>1358</x:v>
      </x:c>
      <x:c r="K242">
        <x:v>1</x:v>
      </x:c>
      <x:c r="L242" t="str">
        <x:f t="shared" si="12"/>
      </x:c>
      <x:c r="O242" t="s">
        <x:v>38</x:v>
      </x:c>
      <x:c r="T242" s="2" t="n">
        <x:f>'SUPUESTOS PRECIOS'!$B$9</x:f>
        <x:v>0</x:v>
      </x:c>
      <x:c r="U242" s="3" t="n">
        <x:f>'SUPUESTOS PRECIOS'!$B$5/'SUPUESTOS PRECIOS'!$B$4</x:f>
        <x:v>1000</x:v>
      </x:c>
      <x:c r="V242" s="3" t="n">
        <x:f>('SUPUESTOS PRECIOS'!$B$6-'SUPUESTOS PRECIOS'!$B$7)/'SUPUESTOS PRECIOS'!$B$4</x:f>
        <x:v>377.5</x:v>
      </x:c>
      <x:c r="W242" s="4" t="n">
        <x:f>'SUPUESTOS PRECIOS'!$B$8</x:f>
        <x:v>0.00968</x:v>
      </x:c>
      <x:c r="X242" s="4" t="n">
        <x:f>'SUPUESTOS PRECIOS'!$B$2</x:f>
        <x:v>0.4</x:v>
      </x:c>
      <x:c r="Y242" s="3" t="str">
        <x:f t="shared" si="13"/>
      </x:c>
      <x:c r="Z242" s="3" t="str">
        <x:f t="shared" si="14"/>
      </x:c>
      <x:c r="AA242" s="11" t="str">
        <x:f t="shared" si="15"/>
      </x:c>
    </x:row>
    <x:row r="243">
      <x:c r="A243" s="10" t="s">
        <x:v>1366</x:v>
      </x:c>
      <x:c r="F243" t="s">
        <x:v>1358</x:v>
      </x:c>
      <x:c r="K243">
        <x:v>1</x:v>
      </x:c>
      <x:c r="L243" t="str">
        <x:f t="shared" si="12"/>
      </x:c>
      <x:c r="O243" t="s">
        <x:v>38</x:v>
      </x:c>
      <x:c r="T243" s="2" t="n">
        <x:f>'SUPUESTOS PRECIOS'!$B$9</x:f>
        <x:v>0</x:v>
      </x:c>
      <x:c r="U243" s="3" t="n">
        <x:f>'SUPUESTOS PRECIOS'!$B$5/'SUPUESTOS PRECIOS'!$B$4</x:f>
        <x:v>1000</x:v>
      </x:c>
      <x:c r="V243" s="3" t="n">
        <x:f>('SUPUESTOS PRECIOS'!$B$6-'SUPUESTOS PRECIOS'!$B$7)/'SUPUESTOS PRECIOS'!$B$4</x:f>
        <x:v>377.5</x:v>
      </x:c>
      <x:c r="W243" s="4" t="n">
        <x:f>'SUPUESTOS PRECIOS'!$B$8</x:f>
        <x:v>0.00968</x:v>
      </x:c>
      <x:c r="X243" s="4" t="n">
        <x:f>'SUPUESTOS PRECIOS'!$B$2</x:f>
        <x:v>0.4</x:v>
      </x:c>
      <x:c r="Y243" s="3" t="str">
        <x:f t="shared" si="13"/>
      </x:c>
      <x:c r="Z243" s="3" t="str">
        <x:f t="shared" si="14"/>
      </x:c>
      <x:c r="AA243" s="11" t="str">
        <x:f t="shared" si="15"/>
      </x:c>
    </x:row>
    <x:row r="244">
      <x:c r="A244" s="10" t="s">
        <x:v>1367</x:v>
      </x:c>
      <x:c r="F244" t="s">
        <x:v>1358</x:v>
      </x:c>
      <x:c r="K244">
        <x:v>1</x:v>
      </x:c>
      <x:c r="L244" t="str">
        <x:f t="shared" si="12"/>
      </x:c>
      <x:c r="O244" t="s">
        <x:v>38</x:v>
      </x:c>
      <x:c r="T244" s="2" t="n">
        <x:f>'SUPUESTOS PRECIOS'!$B$9</x:f>
        <x:v>0</x:v>
      </x:c>
      <x:c r="U244" s="3" t="n">
        <x:f>'SUPUESTOS PRECIOS'!$B$5/'SUPUESTOS PRECIOS'!$B$4</x:f>
        <x:v>1000</x:v>
      </x:c>
      <x:c r="V244" s="3" t="n">
        <x:f>('SUPUESTOS PRECIOS'!$B$6-'SUPUESTOS PRECIOS'!$B$7)/'SUPUESTOS PRECIOS'!$B$4</x:f>
        <x:v>377.5</x:v>
      </x:c>
      <x:c r="W244" s="4" t="n">
        <x:f>'SUPUESTOS PRECIOS'!$B$8</x:f>
        <x:v>0.00968</x:v>
      </x:c>
      <x:c r="X244" s="4" t="n">
        <x:f>'SUPUESTOS PRECIOS'!$B$2</x:f>
        <x:v>0.4</x:v>
      </x:c>
      <x:c r="Y244" s="3" t="str">
        <x:f t="shared" si="13"/>
      </x:c>
      <x:c r="Z244" s="3" t="str">
        <x:f t="shared" si="14"/>
      </x:c>
      <x:c r="AA244" s="11" t="str">
        <x:f t="shared" si="15"/>
      </x:c>
    </x:row>
    <x:row r="245">
      <x:c r="A245" s="10" t="s">
        <x:v>1368</x:v>
      </x:c>
      <x:c r="F245" t="s">
        <x:v>1358</x:v>
      </x:c>
      <x:c r="K245">
        <x:v>1</x:v>
      </x:c>
      <x:c r="L245" t="str">
        <x:f t="shared" si="12"/>
      </x:c>
      <x:c r="O245" t="s">
        <x:v>38</x:v>
      </x:c>
      <x:c r="T245" s="2" t="n">
        <x:f>'SUPUESTOS PRECIOS'!$B$9</x:f>
        <x:v>0</x:v>
      </x:c>
      <x:c r="U245" s="3" t="n">
        <x:f>'SUPUESTOS PRECIOS'!$B$5/'SUPUESTOS PRECIOS'!$B$4</x:f>
        <x:v>1000</x:v>
      </x:c>
      <x:c r="V245" s="3" t="n">
        <x:f>('SUPUESTOS PRECIOS'!$B$6-'SUPUESTOS PRECIOS'!$B$7)/'SUPUESTOS PRECIOS'!$B$4</x:f>
        <x:v>377.5</x:v>
      </x:c>
      <x:c r="W245" s="4" t="n">
        <x:f>'SUPUESTOS PRECIOS'!$B$8</x:f>
        <x:v>0.00968</x:v>
      </x:c>
      <x:c r="X245" s="4" t="n">
        <x:f>'SUPUESTOS PRECIOS'!$B$2</x:f>
        <x:v>0.4</x:v>
      </x:c>
      <x:c r="Y245" s="3" t="str">
        <x:f t="shared" si="13"/>
      </x:c>
      <x:c r="Z245" s="3" t="str">
        <x:f t="shared" si="14"/>
      </x:c>
      <x:c r="AA245" s="11" t="str">
        <x:f t="shared" si="15"/>
      </x:c>
    </x:row>
    <x:row r="246">
      <x:c r="A246" s="10" t="s">
        <x:v>1369</x:v>
      </x:c>
      <x:c r="F246" t="s">
        <x:v>1358</x:v>
      </x:c>
      <x:c r="K246">
        <x:v>1</x:v>
      </x:c>
      <x:c r="L246" t="str">
        <x:f t="shared" si="12"/>
      </x:c>
      <x:c r="O246" t="s">
        <x:v>38</x:v>
      </x:c>
      <x:c r="T246" s="2" t="n">
        <x:f>'SUPUESTOS PRECIOS'!$B$9</x:f>
        <x:v>0</x:v>
      </x:c>
      <x:c r="U246" s="3" t="n">
        <x:f>'SUPUESTOS PRECIOS'!$B$5/'SUPUESTOS PRECIOS'!$B$4</x:f>
        <x:v>1000</x:v>
      </x:c>
      <x:c r="V246" s="3" t="n">
        <x:f>('SUPUESTOS PRECIOS'!$B$6-'SUPUESTOS PRECIOS'!$B$7)/'SUPUESTOS PRECIOS'!$B$4</x:f>
        <x:v>377.5</x:v>
      </x:c>
      <x:c r="W246" s="4" t="n">
        <x:f>'SUPUESTOS PRECIOS'!$B$8</x:f>
        <x:v>0.00968</x:v>
      </x:c>
      <x:c r="X246" s="4" t="n">
        <x:f>'SUPUESTOS PRECIOS'!$B$2</x:f>
        <x:v>0.4</x:v>
      </x:c>
      <x:c r="Y246" s="3" t="str">
        <x:f t="shared" si="13"/>
      </x:c>
      <x:c r="Z246" s="3" t="str">
        <x:f t="shared" si="14"/>
      </x:c>
      <x:c r="AA246" s="11" t="str">
        <x:f t="shared" si="15"/>
      </x:c>
    </x:row>
    <x:row r="247">
      <x:c r="A247" s="10" t="s">
        <x:v>1370</x:v>
      </x:c>
      <x:c r="F247" t="s">
        <x:v>1358</x:v>
      </x:c>
      <x:c r="K247">
        <x:v>1</x:v>
      </x:c>
      <x:c r="L247" t="str">
        <x:f t="shared" si="12"/>
      </x:c>
      <x:c r="O247" t="s">
        <x:v>38</x:v>
      </x:c>
      <x:c r="T247" s="2" t="n">
        <x:f>'SUPUESTOS PRECIOS'!$B$9</x:f>
        <x:v>0</x:v>
      </x:c>
      <x:c r="U247" s="3" t="n">
        <x:f>'SUPUESTOS PRECIOS'!$B$5/'SUPUESTOS PRECIOS'!$B$4</x:f>
        <x:v>1000</x:v>
      </x:c>
      <x:c r="V247" s="3" t="n">
        <x:f>('SUPUESTOS PRECIOS'!$B$6-'SUPUESTOS PRECIOS'!$B$7)/'SUPUESTOS PRECIOS'!$B$4</x:f>
        <x:v>377.5</x:v>
      </x:c>
      <x:c r="W247" s="4" t="n">
        <x:f>'SUPUESTOS PRECIOS'!$B$8</x:f>
        <x:v>0.00968</x:v>
      </x:c>
      <x:c r="X247" s="4" t="n">
        <x:f>'SUPUESTOS PRECIOS'!$B$2</x:f>
        <x:v>0.4</x:v>
      </x:c>
      <x:c r="Y247" s="3" t="str">
        <x:f t="shared" si="13"/>
      </x:c>
      <x:c r="Z247" s="3" t="str">
        <x:f t="shared" si="14"/>
      </x:c>
      <x:c r="AA247" s="11" t="str">
        <x:f t="shared" si="15"/>
      </x:c>
    </x:row>
    <x:row r="248">
      <x:c r="A248" s="10" t="s">
        <x:v>1371</x:v>
      </x:c>
      <x:c r="F248" t="s">
        <x:v>1358</x:v>
      </x:c>
      <x:c r="K248">
        <x:v>1</x:v>
      </x:c>
      <x:c r="L248" t="str">
        <x:f t="shared" si="12"/>
      </x:c>
      <x:c r="O248" t="s">
        <x:v>38</x:v>
      </x:c>
      <x:c r="T248" s="2" t="n">
        <x:f>'SUPUESTOS PRECIOS'!$B$9</x:f>
        <x:v>0</x:v>
      </x:c>
      <x:c r="U248" s="3" t="n">
        <x:f>'SUPUESTOS PRECIOS'!$B$5/'SUPUESTOS PRECIOS'!$B$4</x:f>
        <x:v>1000</x:v>
      </x:c>
      <x:c r="V248" s="3" t="n">
        <x:f>('SUPUESTOS PRECIOS'!$B$6-'SUPUESTOS PRECIOS'!$B$7)/'SUPUESTOS PRECIOS'!$B$4</x:f>
        <x:v>377.5</x:v>
      </x:c>
      <x:c r="W248" s="4" t="n">
        <x:f>'SUPUESTOS PRECIOS'!$B$8</x:f>
        <x:v>0.00968</x:v>
      </x:c>
      <x:c r="X248" s="4" t="n">
        <x:f>'SUPUESTOS PRECIOS'!$B$2</x:f>
        <x:v>0.4</x:v>
      </x:c>
      <x:c r="Y248" s="3" t="str">
        <x:f t="shared" si="13"/>
      </x:c>
      <x:c r="Z248" s="3" t="str">
        <x:f t="shared" si="14"/>
      </x:c>
      <x:c r="AA248" s="11" t="str">
        <x:f t="shared" si="15"/>
      </x:c>
    </x:row>
    <x:row r="249">
      <x:c r="A249" s="10" t="s">
        <x:v>1372</x:v>
      </x:c>
      <x:c r="F249" t="s">
        <x:v>1358</x:v>
      </x:c>
      <x:c r="K249">
        <x:v>1</x:v>
      </x:c>
      <x:c r="L249" t="str">
        <x:f t="shared" si="12"/>
      </x:c>
      <x:c r="O249" t="s">
        <x:v>38</x:v>
      </x:c>
      <x:c r="T249" s="2" t="n">
        <x:f>'SUPUESTOS PRECIOS'!$B$9</x:f>
        <x:v>0</x:v>
      </x:c>
      <x:c r="U249" s="3" t="n">
        <x:f>'SUPUESTOS PRECIOS'!$B$5/'SUPUESTOS PRECIOS'!$B$4</x:f>
        <x:v>1000</x:v>
      </x:c>
      <x:c r="V249" s="3" t="n">
        <x:f>('SUPUESTOS PRECIOS'!$B$6-'SUPUESTOS PRECIOS'!$B$7)/'SUPUESTOS PRECIOS'!$B$4</x:f>
        <x:v>377.5</x:v>
      </x:c>
      <x:c r="W249" s="4" t="n">
        <x:f>'SUPUESTOS PRECIOS'!$B$8</x:f>
        <x:v>0.00968</x:v>
      </x:c>
      <x:c r="X249" s="4" t="n">
        <x:f>'SUPUESTOS PRECIOS'!$B$2</x:f>
        <x:v>0.4</x:v>
      </x:c>
      <x:c r="Y249" s="3" t="str">
        <x:f t="shared" si="13"/>
      </x:c>
      <x:c r="Z249" s="3" t="str">
        <x:f t="shared" si="14"/>
      </x:c>
      <x:c r="AA249" s="11" t="str">
        <x:f t="shared" si="15"/>
      </x:c>
    </x:row>
    <x:row r="250">
      <x:c r="A250" s="10" t="s">
        <x:v>1373</x:v>
      </x:c>
      <x:c r="F250" t="s">
        <x:v>1358</x:v>
      </x:c>
      <x:c r="K250">
        <x:v>1</x:v>
      </x:c>
      <x:c r="L250" t="str">
        <x:f t="shared" si="12"/>
      </x:c>
      <x:c r="O250" t="s">
        <x:v>38</x:v>
      </x:c>
      <x:c r="T250" s="2" t="n">
        <x:f>'SUPUESTOS PRECIOS'!$B$9</x:f>
        <x:v>0</x:v>
      </x:c>
      <x:c r="U250" s="3" t="n">
        <x:f>'SUPUESTOS PRECIOS'!$B$5/'SUPUESTOS PRECIOS'!$B$4</x:f>
        <x:v>1000</x:v>
      </x:c>
      <x:c r="V250" s="3" t="n">
        <x:f>('SUPUESTOS PRECIOS'!$B$6-'SUPUESTOS PRECIOS'!$B$7)/'SUPUESTOS PRECIOS'!$B$4</x:f>
        <x:v>377.5</x:v>
      </x:c>
      <x:c r="W250" s="4" t="n">
        <x:f>'SUPUESTOS PRECIOS'!$B$8</x:f>
        <x:v>0.00968</x:v>
      </x:c>
      <x:c r="X250" s="4" t="n">
        <x:f>'SUPUESTOS PRECIOS'!$B$2</x:f>
        <x:v>0.4</x:v>
      </x:c>
      <x:c r="Y250" s="3" t="str">
        <x:f t="shared" si="13"/>
      </x:c>
      <x:c r="Z250" s="3" t="str">
        <x:f t="shared" si="14"/>
      </x:c>
      <x:c r="AA250" s="11" t="str">
        <x:f t="shared" si="15"/>
      </x:c>
    </x:row>
    <x:row r="251">
      <x:c r="A251" s="10" t="s">
        <x:v>1374</x:v>
      </x:c>
      <x:c r="F251" t="s">
        <x:v>1358</x:v>
      </x:c>
      <x:c r="K251">
        <x:v>1</x:v>
      </x:c>
      <x:c r="L251" t="str">
        <x:f t="shared" si="12"/>
      </x:c>
      <x:c r="O251" t="s">
        <x:v>38</x:v>
      </x:c>
      <x:c r="T251" s="2" t="n">
        <x:f>'SUPUESTOS PRECIOS'!$B$9</x:f>
        <x:v>0</x:v>
      </x:c>
      <x:c r="U251" s="3" t="n">
        <x:f>'SUPUESTOS PRECIOS'!$B$5/'SUPUESTOS PRECIOS'!$B$4</x:f>
        <x:v>1000</x:v>
      </x:c>
      <x:c r="V251" s="3" t="n">
        <x:f>('SUPUESTOS PRECIOS'!$B$6-'SUPUESTOS PRECIOS'!$B$7)/'SUPUESTOS PRECIOS'!$B$4</x:f>
        <x:v>377.5</x:v>
      </x:c>
      <x:c r="W251" s="4" t="n">
        <x:f>'SUPUESTOS PRECIOS'!$B$8</x:f>
        <x:v>0.00968</x:v>
      </x:c>
      <x:c r="X251" s="4" t="n">
        <x:f>'SUPUESTOS PRECIOS'!$B$2</x:f>
        <x:v>0.4</x:v>
      </x:c>
      <x:c r="Y251" s="3" t="str">
        <x:f t="shared" si="13"/>
      </x:c>
      <x:c r="Z251" s="3" t="str">
        <x:f t="shared" si="14"/>
      </x:c>
      <x:c r="AA251" s="11" t="str">
        <x:f t="shared" si="15"/>
      </x:c>
    </x:row>
    <x:row r="252">
      <x:c r="A252" s="10" t="s">
        <x:v>1375</x:v>
      </x:c>
      <x:c r="F252" t="s">
        <x:v>1358</x:v>
      </x:c>
      <x:c r="K252">
        <x:v>1</x:v>
      </x:c>
      <x:c r="L252" t="str">
        <x:f t="shared" si="12"/>
      </x:c>
      <x:c r="O252" t="s">
        <x:v>38</x:v>
      </x:c>
      <x:c r="T252" s="2" t="n">
        <x:f>'SUPUESTOS PRECIOS'!$B$9</x:f>
        <x:v>0</x:v>
      </x:c>
      <x:c r="U252" s="3" t="n">
        <x:f>'SUPUESTOS PRECIOS'!$B$5/'SUPUESTOS PRECIOS'!$B$4</x:f>
        <x:v>1000</x:v>
      </x:c>
      <x:c r="V252" s="3" t="n">
        <x:f>('SUPUESTOS PRECIOS'!$B$6-'SUPUESTOS PRECIOS'!$B$7)/'SUPUESTOS PRECIOS'!$B$4</x:f>
        <x:v>377.5</x:v>
      </x:c>
      <x:c r="W252" s="4" t="n">
        <x:f>'SUPUESTOS PRECIOS'!$B$8</x:f>
        <x:v>0.00968</x:v>
      </x:c>
      <x:c r="X252" s="4" t="n">
        <x:f>'SUPUESTOS PRECIOS'!$B$2</x:f>
        <x:v>0.4</x:v>
      </x:c>
      <x:c r="Y252" s="3" t="str">
        <x:f t="shared" si="13"/>
      </x:c>
      <x:c r="Z252" s="3" t="str">
        <x:f t="shared" si="14"/>
      </x:c>
      <x:c r="AA252" s="11" t="str">
        <x:f t="shared" si="15"/>
      </x:c>
    </x:row>
    <x:row r="253">
      <x:c r="A253" s="10" t="s">
        <x:v>1376</x:v>
      </x:c>
      <x:c r="F253" t="s">
        <x:v>1358</x:v>
      </x:c>
      <x:c r="K253">
        <x:v>1</x:v>
      </x:c>
      <x:c r="L253" t="str">
        <x:f t="shared" si="12"/>
      </x:c>
      <x:c r="O253" t="s">
        <x:v>38</x:v>
      </x:c>
      <x:c r="T253" s="2" t="n">
        <x:f>'SUPUESTOS PRECIOS'!$B$9</x:f>
        <x:v>0</x:v>
      </x:c>
      <x:c r="U253" s="3" t="n">
        <x:f>'SUPUESTOS PRECIOS'!$B$5/'SUPUESTOS PRECIOS'!$B$4</x:f>
        <x:v>1000</x:v>
      </x:c>
      <x:c r="V253" s="3" t="n">
        <x:f>('SUPUESTOS PRECIOS'!$B$6-'SUPUESTOS PRECIOS'!$B$7)/'SUPUESTOS PRECIOS'!$B$4</x:f>
        <x:v>377.5</x:v>
      </x:c>
      <x:c r="W253" s="4" t="n">
        <x:f>'SUPUESTOS PRECIOS'!$B$8</x:f>
        <x:v>0.00968</x:v>
      </x:c>
      <x:c r="X253" s="4" t="n">
        <x:f>'SUPUESTOS PRECIOS'!$B$2</x:f>
        <x:v>0.4</x:v>
      </x:c>
      <x:c r="Y253" s="3" t="str">
        <x:f t="shared" si="13"/>
      </x:c>
      <x:c r="Z253" s="3" t="str">
        <x:f t="shared" si="14"/>
      </x:c>
      <x:c r="AA253" s="11" t="str">
        <x:f t="shared" si="15"/>
      </x:c>
    </x:row>
    <x:row r="254">
      <x:c r="A254" s="10" t="s">
        <x:v>1377</x:v>
      </x:c>
      <x:c r="F254" t="s">
        <x:v>1358</x:v>
      </x:c>
      <x:c r="K254">
        <x:v>1</x:v>
      </x:c>
      <x:c r="L254" t="str">
        <x:f t="shared" si="12"/>
      </x:c>
      <x:c r="O254" t="s">
        <x:v>38</x:v>
      </x:c>
      <x:c r="T254" s="2" t="n">
        <x:f>'SUPUESTOS PRECIOS'!$B$9</x:f>
        <x:v>0</x:v>
      </x:c>
      <x:c r="U254" s="3" t="n">
        <x:f>'SUPUESTOS PRECIOS'!$B$5/'SUPUESTOS PRECIOS'!$B$4</x:f>
        <x:v>1000</x:v>
      </x:c>
      <x:c r="V254" s="3" t="n">
        <x:f>('SUPUESTOS PRECIOS'!$B$6-'SUPUESTOS PRECIOS'!$B$7)/'SUPUESTOS PRECIOS'!$B$4</x:f>
        <x:v>377.5</x:v>
      </x:c>
      <x:c r="W254" s="4" t="n">
        <x:f>'SUPUESTOS PRECIOS'!$B$8</x:f>
        <x:v>0.00968</x:v>
      </x:c>
      <x:c r="X254" s="4" t="n">
        <x:f>'SUPUESTOS PRECIOS'!$B$2</x:f>
        <x:v>0.4</x:v>
      </x:c>
      <x:c r="Y254" s="3" t="str">
        <x:f t="shared" si="13"/>
      </x:c>
      <x:c r="Z254" s="3" t="str">
        <x:f t="shared" si="14"/>
      </x:c>
      <x:c r="AA254" s="11" t="str">
        <x:f t="shared" si="15"/>
      </x:c>
    </x:row>
    <x:row r="255">
      <x:c r="A255" s="10" t="s">
        <x:v>1378</x:v>
      </x:c>
      <x:c r="F255" t="s">
        <x:v>1358</x:v>
      </x:c>
      <x:c r="K255">
        <x:v>1</x:v>
      </x:c>
      <x:c r="L255" t="str">
        <x:f t="shared" si="12"/>
      </x:c>
      <x:c r="O255" t="s">
        <x:v>38</x:v>
      </x:c>
      <x:c r="T255" s="2" t="n">
        <x:f>'SUPUESTOS PRECIOS'!$B$9</x:f>
        <x:v>0</x:v>
      </x:c>
      <x:c r="U255" s="3" t="n">
        <x:f>'SUPUESTOS PRECIOS'!$B$5/'SUPUESTOS PRECIOS'!$B$4</x:f>
        <x:v>1000</x:v>
      </x:c>
      <x:c r="V255" s="3" t="n">
        <x:f>('SUPUESTOS PRECIOS'!$B$6-'SUPUESTOS PRECIOS'!$B$7)/'SUPUESTOS PRECIOS'!$B$4</x:f>
        <x:v>377.5</x:v>
      </x:c>
      <x:c r="W255" s="4" t="n">
        <x:f>'SUPUESTOS PRECIOS'!$B$8</x:f>
        <x:v>0.00968</x:v>
      </x:c>
      <x:c r="X255" s="4" t="n">
        <x:f>'SUPUESTOS PRECIOS'!$B$2</x:f>
        <x:v>0.4</x:v>
      </x:c>
      <x:c r="Y255" s="3" t="str">
        <x:f t="shared" si="13"/>
      </x:c>
      <x:c r="Z255" s="3" t="str">
        <x:f t="shared" si="14"/>
      </x:c>
      <x:c r="AA255" s="11" t="str">
        <x:f t="shared" si="15"/>
      </x:c>
    </x:row>
    <x:row r="256">
      <x:c r="A256" s="10" t="s">
        <x:v>1379</x:v>
      </x:c>
      <x:c r="F256" t="s">
        <x:v>1358</x:v>
      </x:c>
      <x:c r="K256">
        <x:v>1</x:v>
      </x:c>
      <x:c r="L256" t="str">
        <x:f t="shared" si="12"/>
      </x:c>
      <x:c r="O256" t="s">
        <x:v>38</x:v>
      </x:c>
      <x:c r="T256" s="2" t="n">
        <x:f>'SUPUESTOS PRECIOS'!$B$9</x:f>
        <x:v>0</x:v>
      </x:c>
      <x:c r="U256" s="3" t="n">
        <x:f>'SUPUESTOS PRECIOS'!$B$5/'SUPUESTOS PRECIOS'!$B$4</x:f>
        <x:v>1000</x:v>
      </x:c>
      <x:c r="V256" s="3" t="n">
        <x:f>('SUPUESTOS PRECIOS'!$B$6-'SUPUESTOS PRECIOS'!$B$7)/'SUPUESTOS PRECIOS'!$B$4</x:f>
        <x:v>377.5</x:v>
      </x:c>
      <x:c r="W256" s="4" t="n">
        <x:f>'SUPUESTOS PRECIOS'!$B$8</x:f>
        <x:v>0.00968</x:v>
      </x:c>
      <x:c r="X256" s="4" t="n">
        <x:f>'SUPUESTOS PRECIOS'!$B$2</x:f>
        <x:v>0.4</x:v>
      </x:c>
      <x:c r="Y256" s="3" t="str">
        <x:f t="shared" si="13"/>
      </x:c>
      <x:c r="Z256" s="3" t="str">
        <x:f t="shared" si="14"/>
      </x:c>
      <x:c r="AA256" s="11" t="str">
        <x:f t="shared" si="15"/>
      </x:c>
    </x:row>
    <x:row r="257">
      <x:c r="A257" s="10" t="s">
        <x:v>1380</x:v>
      </x:c>
      <x:c r="F257" t="s">
        <x:v>1358</x:v>
      </x:c>
      <x:c r="K257">
        <x:v>1</x:v>
      </x:c>
      <x:c r="L257" t="str">
        <x:f t="shared" si="12"/>
      </x:c>
      <x:c r="O257" t="s">
        <x:v>38</x:v>
      </x:c>
      <x:c r="T257" s="2" t="n">
        <x:f>'SUPUESTOS PRECIOS'!$B$9</x:f>
        <x:v>0</x:v>
      </x:c>
      <x:c r="U257" s="3" t="n">
        <x:f>'SUPUESTOS PRECIOS'!$B$5/'SUPUESTOS PRECIOS'!$B$4</x:f>
        <x:v>1000</x:v>
      </x:c>
      <x:c r="V257" s="3" t="n">
        <x:f>('SUPUESTOS PRECIOS'!$B$6-'SUPUESTOS PRECIOS'!$B$7)/'SUPUESTOS PRECIOS'!$B$4</x:f>
        <x:v>377.5</x:v>
      </x:c>
      <x:c r="W257" s="4" t="n">
        <x:f>'SUPUESTOS PRECIOS'!$B$8</x:f>
        <x:v>0.00968</x:v>
      </x:c>
      <x:c r="X257" s="4" t="n">
        <x:f>'SUPUESTOS PRECIOS'!$B$2</x:f>
        <x:v>0.4</x:v>
      </x:c>
      <x:c r="Y257" s="3" t="str">
        <x:f t="shared" si="13"/>
      </x:c>
      <x:c r="Z257" s="3" t="str">
        <x:f t="shared" si="14"/>
      </x:c>
      <x:c r="AA257" s="11" t="str">
        <x:f t="shared" si="15"/>
      </x:c>
    </x:row>
    <x:row r="258">
      <x:c r="A258" s="10" t="s">
        <x:v>1381</x:v>
      </x:c>
      <x:c r="F258" t="s">
        <x:v>1358</x:v>
      </x:c>
      <x:c r="K258">
        <x:v>1</x:v>
      </x:c>
      <x:c r="L258" t="str">
        <x:f t="shared" ref="L258:L321" si="16">IF(J258="","",J258*(1+K258))</x:f>
      </x:c>
      <x:c r="O258" t="s">
        <x:v>38</x:v>
      </x:c>
      <x:c r="T258" s="2" t="n">
        <x:f>'SUPUESTOS PRECIOS'!$B$9</x:f>
        <x:v>0</x:v>
      </x:c>
      <x:c r="U258" s="3" t="n">
        <x:f>'SUPUESTOS PRECIOS'!$B$5/'SUPUESTOS PRECIOS'!$B$4</x:f>
        <x:v>1000</x:v>
      </x:c>
      <x:c r="V258" s="3" t="n">
        <x:f>('SUPUESTOS PRECIOS'!$B$6-'SUPUESTOS PRECIOS'!$B$7)/'SUPUESTOS PRECIOS'!$B$4</x:f>
        <x:v>377.5</x:v>
      </x:c>
      <x:c r="W258" s="4" t="n">
        <x:f>'SUPUESTOS PRECIOS'!$B$8</x:f>
        <x:v>0.00968</x:v>
      </x:c>
      <x:c r="X258" s="4" t="n">
        <x:f>'SUPUESTOS PRECIOS'!$B$2</x:f>
        <x:v>0.4</x:v>
      </x:c>
      <x:c r="Y258" s="3" t="str">
        <x:f t="shared" ref="Y258:Y321" si="17">IF(OR($B258="",$J258=""),"",ROUND(($J258+$T258+$U258+$V258)/(1-$W258-$X258),-1))</x:f>
      </x:c>
      <x:c r="Z258" s="3" t="str">
        <x:f t="shared" ref="Z258:Z321" si="18">IF($Y258="","",$Y258-$J258-$T258-$U258-$V258-($Y258*$W258))</x:f>
      </x:c>
      <x:c r="AA258" s="11" t="str">
        <x:f t="shared" ref="AA258:AA321" si="19">IF($Y258="","",$Z258/$Y258)</x:f>
      </x:c>
    </x:row>
    <x:row r="259">
      <x:c r="A259" s="10" t="s">
        <x:v>1382</x:v>
      </x:c>
      <x:c r="F259" t="s">
        <x:v>1358</x:v>
      </x:c>
      <x:c r="K259">
        <x:v>1</x:v>
      </x:c>
      <x:c r="L259" t="str">
        <x:f t="shared" si="16"/>
      </x:c>
      <x:c r="O259" t="s">
        <x:v>38</x:v>
      </x:c>
      <x:c r="T259" s="2" t="n">
        <x:f>'SUPUESTOS PRECIOS'!$B$9</x:f>
        <x:v>0</x:v>
      </x:c>
      <x:c r="U259" s="3" t="n">
        <x:f>'SUPUESTOS PRECIOS'!$B$5/'SUPUESTOS PRECIOS'!$B$4</x:f>
        <x:v>1000</x:v>
      </x:c>
      <x:c r="V259" s="3" t="n">
        <x:f>('SUPUESTOS PRECIOS'!$B$6-'SUPUESTOS PRECIOS'!$B$7)/'SUPUESTOS PRECIOS'!$B$4</x:f>
        <x:v>377.5</x:v>
      </x:c>
      <x:c r="W259" s="4" t="n">
        <x:f>'SUPUESTOS PRECIOS'!$B$8</x:f>
        <x:v>0.00968</x:v>
      </x:c>
      <x:c r="X259" s="4" t="n">
        <x:f>'SUPUESTOS PRECIOS'!$B$2</x:f>
        <x:v>0.4</x:v>
      </x:c>
      <x:c r="Y259" s="3" t="str">
        <x:f t="shared" si="17"/>
      </x:c>
      <x:c r="Z259" s="3" t="str">
        <x:f t="shared" si="18"/>
      </x:c>
      <x:c r="AA259" s="11" t="str">
        <x:f t="shared" si="19"/>
      </x:c>
    </x:row>
    <x:row r="260">
      <x:c r="A260" s="10" t="s">
        <x:v>1383</x:v>
      </x:c>
      <x:c r="F260" t="s">
        <x:v>1358</x:v>
      </x:c>
      <x:c r="K260">
        <x:v>1</x:v>
      </x:c>
      <x:c r="L260" t="str">
        <x:f t="shared" si="16"/>
      </x:c>
      <x:c r="O260" t="s">
        <x:v>38</x:v>
      </x:c>
      <x:c r="T260" s="2" t="n">
        <x:f>'SUPUESTOS PRECIOS'!$B$9</x:f>
        <x:v>0</x:v>
      </x:c>
      <x:c r="U260" s="3" t="n">
        <x:f>'SUPUESTOS PRECIOS'!$B$5/'SUPUESTOS PRECIOS'!$B$4</x:f>
        <x:v>1000</x:v>
      </x:c>
      <x:c r="V260" s="3" t="n">
        <x:f>('SUPUESTOS PRECIOS'!$B$6-'SUPUESTOS PRECIOS'!$B$7)/'SUPUESTOS PRECIOS'!$B$4</x:f>
        <x:v>377.5</x:v>
      </x:c>
      <x:c r="W260" s="4" t="n">
        <x:f>'SUPUESTOS PRECIOS'!$B$8</x:f>
        <x:v>0.00968</x:v>
      </x:c>
      <x:c r="X260" s="4" t="n">
        <x:f>'SUPUESTOS PRECIOS'!$B$2</x:f>
        <x:v>0.4</x:v>
      </x:c>
      <x:c r="Y260" s="3" t="str">
        <x:f t="shared" si="17"/>
      </x:c>
      <x:c r="Z260" s="3" t="str">
        <x:f t="shared" si="18"/>
      </x:c>
      <x:c r="AA260" s="11" t="str">
        <x:f t="shared" si="19"/>
      </x:c>
    </x:row>
    <x:row r="261">
      <x:c r="A261" s="10" t="s">
        <x:v>1384</x:v>
      </x:c>
      <x:c r="F261" t="s">
        <x:v>1358</x:v>
      </x:c>
      <x:c r="K261">
        <x:v>1</x:v>
      </x:c>
      <x:c r="L261" t="str">
        <x:f t="shared" si="16"/>
      </x:c>
      <x:c r="O261" t="s">
        <x:v>38</x:v>
      </x:c>
      <x:c r="T261" s="2" t="n">
        <x:f>'SUPUESTOS PRECIOS'!$B$9</x:f>
        <x:v>0</x:v>
      </x:c>
      <x:c r="U261" s="3" t="n">
        <x:f>'SUPUESTOS PRECIOS'!$B$5/'SUPUESTOS PRECIOS'!$B$4</x:f>
        <x:v>1000</x:v>
      </x:c>
      <x:c r="V261" s="3" t="n">
        <x:f>('SUPUESTOS PRECIOS'!$B$6-'SUPUESTOS PRECIOS'!$B$7)/'SUPUESTOS PRECIOS'!$B$4</x:f>
        <x:v>377.5</x:v>
      </x:c>
      <x:c r="W261" s="4" t="n">
        <x:f>'SUPUESTOS PRECIOS'!$B$8</x:f>
        <x:v>0.00968</x:v>
      </x:c>
      <x:c r="X261" s="4" t="n">
        <x:f>'SUPUESTOS PRECIOS'!$B$2</x:f>
        <x:v>0.4</x:v>
      </x:c>
      <x:c r="Y261" s="3" t="str">
        <x:f t="shared" si="17"/>
      </x:c>
      <x:c r="Z261" s="3" t="str">
        <x:f t="shared" si="18"/>
      </x:c>
      <x:c r="AA261" s="11" t="str">
        <x:f t="shared" si="19"/>
      </x:c>
    </x:row>
    <x:row r="262">
      <x:c r="A262" s="10" t="s">
        <x:v>1385</x:v>
      </x:c>
      <x:c r="F262" t="s">
        <x:v>1358</x:v>
      </x:c>
      <x:c r="K262">
        <x:v>1</x:v>
      </x:c>
      <x:c r="L262" t="str">
        <x:f t="shared" si="16"/>
      </x:c>
      <x:c r="O262" t="s">
        <x:v>38</x:v>
      </x:c>
      <x:c r="T262" s="2" t="n">
        <x:f>'SUPUESTOS PRECIOS'!$B$9</x:f>
        <x:v>0</x:v>
      </x:c>
      <x:c r="U262" s="3" t="n">
        <x:f>'SUPUESTOS PRECIOS'!$B$5/'SUPUESTOS PRECIOS'!$B$4</x:f>
        <x:v>1000</x:v>
      </x:c>
      <x:c r="V262" s="3" t="n">
        <x:f>('SUPUESTOS PRECIOS'!$B$6-'SUPUESTOS PRECIOS'!$B$7)/'SUPUESTOS PRECIOS'!$B$4</x:f>
        <x:v>377.5</x:v>
      </x:c>
      <x:c r="W262" s="4" t="n">
        <x:f>'SUPUESTOS PRECIOS'!$B$8</x:f>
        <x:v>0.00968</x:v>
      </x:c>
      <x:c r="X262" s="4" t="n">
        <x:f>'SUPUESTOS PRECIOS'!$B$2</x:f>
        <x:v>0.4</x:v>
      </x:c>
      <x:c r="Y262" s="3" t="str">
        <x:f t="shared" si="17"/>
      </x:c>
      <x:c r="Z262" s="3" t="str">
        <x:f t="shared" si="18"/>
      </x:c>
      <x:c r="AA262" s="11" t="str">
        <x:f t="shared" si="19"/>
      </x:c>
    </x:row>
    <x:row r="263">
      <x:c r="A263" s="10" t="s">
        <x:v>1386</x:v>
      </x:c>
      <x:c r="F263" t="s">
        <x:v>1358</x:v>
      </x:c>
      <x:c r="K263">
        <x:v>1</x:v>
      </x:c>
      <x:c r="L263" t="str">
        <x:f t="shared" si="16"/>
      </x:c>
      <x:c r="O263" t="s">
        <x:v>38</x:v>
      </x:c>
      <x:c r="T263" s="2" t="n">
        <x:f>'SUPUESTOS PRECIOS'!$B$9</x:f>
        <x:v>0</x:v>
      </x:c>
      <x:c r="U263" s="3" t="n">
        <x:f>'SUPUESTOS PRECIOS'!$B$5/'SUPUESTOS PRECIOS'!$B$4</x:f>
        <x:v>1000</x:v>
      </x:c>
      <x:c r="V263" s="3" t="n">
        <x:f>('SUPUESTOS PRECIOS'!$B$6-'SUPUESTOS PRECIOS'!$B$7)/'SUPUESTOS PRECIOS'!$B$4</x:f>
        <x:v>377.5</x:v>
      </x:c>
      <x:c r="W263" s="4" t="n">
        <x:f>'SUPUESTOS PRECIOS'!$B$8</x:f>
        <x:v>0.00968</x:v>
      </x:c>
      <x:c r="X263" s="4" t="n">
        <x:f>'SUPUESTOS PRECIOS'!$B$2</x:f>
        <x:v>0.4</x:v>
      </x:c>
      <x:c r="Y263" s="3" t="str">
        <x:f t="shared" si="17"/>
      </x:c>
      <x:c r="Z263" s="3" t="str">
        <x:f t="shared" si="18"/>
      </x:c>
      <x:c r="AA263" s="11" t="str">
        <x:f t="shared" si="19"/>
      </x:c>
    </x:row>
    <x:row r="264">
      <x:c r="A264" s="10" t="s">
        <x:v>1387</x:v>
      </x:c>
      <x:c r="F264" t="s">
        <x:v>1358</x:v>
      </x:c>
      <x:c r="K264">
        <x:v>1</x:v>
      </x:c>
      <x:c r="L264" t="str">
        <x:f t="shared" si="16"/>
      </x:c>
      <x:c r="O264" t="s">
        <x:v>38</x:v>
      </x:c>
      <x:c r="T264" s="2" t="n">
        <x:f>'SUPUESTOS PRECIOS'!$B$9</x:f>
        <x:v>0</x:v>
      </x:c>
      <x:c r="U264" s="3" t="n">
        <x:f>'SUPUESTOS PRECIOS'!$B$5/'SUPUESTOS PRECIOS'!$B$4</x:f>
        <x:v>1000</x:v>
      </x:c>
      <x:c r="V264" s="3" t="n">
        <x:f>('SUPUESTOS PRECIOS'!$B$6-'SUPUESTOS PRECIOS'!$B$7)/'SUPUESTOS PRECIOS'!$B$4</x:f>
        <x:v>377.5</x:v>
      </x:c>
      <x:c r="W264" s="4" t="n">
        <x:f>'SUPUESTOS PRECIOS'!$B$8</x:f>
        <x:v>0.00968</x:v>
      </x:c>
      <x:c r="X264" s="4" t="n">
        <x:f>'SUPUESTOS PRECIOS'!$B$2</x:f>
        <x:v>0.4</x:v>
      </x:c>
      <x:c r="Y264" s="3" t="str">
        <x:f t="shared" si="17"/>
      </x:c>
      <x:c r="Z264" s="3" t="str">
        <x:f t="shared" si="18"/>
      </x:c>
      <x:c r="AA264" s="11" t="str">
        <x:f t="shared" si="19"/>
      </x:c>
    </x:row>
    <x:row r="265">
      <x:c r="A265" s="10" t="s">
        <x:v>1388</x:v>
      </x:c>
      <x:c r="F265" t="s">
        <x:v>1358</x:v>
      </x:c>
      <x:c r="K265">
        <x:v>1</x:v>
      </x:c>
      <x:c r="L265" t="str">
        <x:f t="shared" si="16"/>
      </x:c>
      <x:c r="O265" t="s">
        <x:v>38</x:v>
      </x:c>
      <x:c r="T265" s="2" t="n">
        <x:f>'SUPUESTOS PRECIOS'!$B$9</x:f>
        <x:v>0</x:v>
      </x:c>
      <x:c r="U265" s="3" t="n">
        <x:f>'SUPUESTOS PRECIOS'!$B$5/'SUPUESTOS PRECIOS'!$B$4</x:f>
        <x:v>1000</x:v>
      </x:c>
      <x:c r="V265" s="3" t="n">
        <x:f>('SUPUESTOS PRECIOS'!$B$6-'SUPUESTOS PRECIOS'!$B$7)/'SUPUESTOS PRECIOS'!$B$4</x:f>
        <x:v>377.5</x:v>
      </x:c>
      <x:c r="W265" s="4" t="n">
        <x:f>'SUPUESTOS PRECIOS'!$B$8</x:f>
        <x:v>0.00968</x:v>
      </x:c>
      <x:c r="X265" s="4" t="n">
        <x:f>'SUPUESTOS PRECIOS'!$B$2</x:f>
        <x:v>0.4</x:v>
      </x:c>
      <x:c r="Y265" s="3" t="str">
        <x:f t="shared" si="17"/>
      </x:c>
      <x:c r="Z265" s="3" t="str">
        <x:f t="shared" si="18"/>
      </x:c>
      <x:c r="AA265" s="11" t="str">
        <x:f t="shared" si="19"/>
      </x:c>
    </x:row>
    <x:row r="266">
      <x:c r="A266" s="10" t="s">
        <x:v>1389</x:v>
      </x:c>
      <x:c r="F266" t="s">
        <x:v>1358</x:v>
      </x:c>
      <x:c r="K266">
        <x:v>1</x:v>
      </x:c>
      <x:c r="L266" t="str">
        <x:f t="shared" si="16"/>
      </x:c>
      <x:c r="O266" t="s">
        <x:v>38</x:v>
      </x:c>
      <x:c r="T266" s="2" t="n">
        <x:f>'SUPUESTOS PRECIOS'!$B$9</x:f>
        <x:v>0</x:v>
      </x:c>
      <x:c r="U266" s="3" t="n">
        <x:f>'SUPUESTOS PRECIOS'!$B$5/'SUPUESTOS PRECIOS'!$B$4</x:f>
        <x:v>1000</x:v>
      </x:c>
      <x:c r="V266" s="3" t="n">
        <x:f>('SUPUESTOS PRECIOS'!$B$6-'SUPUESTOS PRECIOS'!$B$7)/'SUPUESTOS PRECIOS'!$B$4</x:f>
        <x:v>377.5</x:v>
      </x:c>
      <x:c r="W266" s="4" t="n">
        <x:f>'SUPUESTOS PRECIOS'!$B$8</x:f>
        <x:v>0.00968</x:v>
      </x:c>
      <x:c r="X266" s="4" t="n">
        <x:f>'SUPUESTOS PRECIOS'!$B$2</x:f>
        <x:v>0.4</x:v>
      </x:c>
      <x:c r="Y266" s="3" t="str">
        <x:f t="shared" si="17"/>
      </x:c>
      <x:c r="Z266" s="3" t="str">
        <x:f t="shared" si="18"/>
      </x:c>
      <x:c r="AA266" s="11" t="str">
        <x:f t="shared" si="19"/>
      </x:c>
    </x:row>
    <x:row r="267">
      <x:c r="A267" s="10" t="s">
        <x:v>1390</x:v>
      </x:c>
      <x:c r="F267" t="s">
        <x:v>1358</x:v>
      </x:c>
      <x:c r="K267">
        <x:v>1</x:v>
      </x:c>
      <x:c r="L267" t="str">
        <x:f t="shared" si="16"/>
      </x:c>
      <x:c r="O267" t="s">
        <x:v>38</x:v>
      </x:c>
      <x:c r="T267" s="2" t="n">
        <x:f>'SUPUESTOS PRECIOS'!$B$9</x:f>
        <x:v>0</x:v>
      </x:c>
      <x:c r="U267" s="3" t="n">
        <x:f>'SUPUESTOS PRECIOS'!$B$5/'SUPUESTOS PRECIOS'!$B$4</x:f>
        <x:v>1000</x:v>
      </x:c>
      <x:c r="V267" s="3" t="n">
        <x:f>('SUPUESTOS PRECIOS'!$B$6-'SUPUESTOS PRECIOS'!$B$7)/'SUPUESTOS PRECIOS'!$B$4</x:f>
        <x:v>377.5</x:v>
      </x:c>
      <x:c r="W267" s="4" t="n">
        <x:f>'SUPUESTOS PRECIOS'!$B$8</x:f>
        <x:v>0.00968</x:v>
      </x:c>
      <x:c r="X267" s="4" t="n">
        <x:f>'SUPUESTOS PRECIOS'!$B$2</x:f>
        <x:v>0.4</x:v>
      </x:c>
      <x:c r="Y267" s="3" t="str">
        <x:f t="shared" si="17"/>
      </x:c>
      <x:c r="Z267" s="3" t="str">
        <x:f t="shared" si="18"/>
      </x:c>
      <x:c r="AA267" s="11" t="str">
        <x:f t="shared" si="19"/>
      </x:c>
    </x:row>
    <x:row r="268">
      <x:c r="A268" s="10" t="s">
        <x:v>1391</x:v>
      </x:c>
      <x:c r="F268" t="s">
        <x:v>1358</x:v>
      </x:c>
      <x:c r="K268">
        <x:v>1</x:v>
      </x:c>
      <x:c r="L268" t="str">
        <x:f t="shared" si="16"/>
      </x:c>
      <x:c r="O268" t="s">
        <x:v>38</x:v>
      </x:c>
      <x:c r="T268" s="2" t="n">
        <x:f>'SUPUESTOS PRECIOS'!$B$9</x:f>
        <x:v>0</x:v>
      </x:c>
      <x:c r="U268" s="3" t="n">
        <x:f>'SUPUESTOS PRECIOS'!$B$5/'SUPUESTOS PRECIOS'!$B$4</x:f>
        <x:v>1000</x:v>
      </x:c>
      <x:c r="V268" s="3" t="n">
        <x:f>('SUPUESTOS PRECIOS'!$B$6-'SUPUESTOS PRECIOS'!$B$7)/'SUPUESTOS PRECIOS'!$B$4</x:f>
        <x:v>377.5</x:v>
      </x:c>
      <x:c r="W268" s="4" t="n">
        <x:f>'SUPUESTOS PRECIOS'!$B$8</x:f>
        <x:v>0.00968</x:v>
      </x:c>
      <x:c r="X268" s="4" t="n">
        <x:f>'SUPUESTOS PRECIOS'!$B$2</x:f>
        <x:v>0.4</x:v>
      </x:c>
      <x:c r="Y268" s="3" t="str">
        <x:f t="shared" si="17"/>
      </x:c>
      <x:c r="Z268" s="3" t="str">
        <x:f t="shared" si="18"/>
      </x:c>
      <x:c r="AA268" s="11" t="str">
        <x:f t="shared" si="19"/>
      </x:c>
    </x:row>
    <x:row r="269">
      <x:c r="A269" s="10" t="s">
        <x:v>1392</x:v>
      </x:c>
      <x:c r="F269" t="s">
        <x:v>1358</x:v>
      </x:c>
      <x:c r="K269">
        <x:v>1</x:v>
      </x:c>
      <x:c r="L269" t="str">
        <x:f t="shared" si="16"/>
      </x:c>
      <x:c r="O269" t="s">
        <x:v>38</x:v>
      </x:c>
      <x:c r="T269" s="2" t="n">
        <x:f>'SUPUESTOS PRECIOS'!$B$9</x:f>
        <x:v>0</x:v>
      </x:c>
      <x:c r="U269" s="3" t="n">
        <x:f>'SUPUESTOS PRECIOS'!$B$5/'SUPUESTOS PRECIOS'!$B$4</x:f>
        <x:v>1000</x:v>
      </x:c>
      <x:c r="V269" s="3" t="n">
        <x:f>('SUPUESTOS PRECIOS'!$B$6-'SUPUESTOS PRECIOS'!$B$7)/'SUPUESTOS PRECIOS'!$B$4</x:f>
        <x:v>377.5</x:v>
      </x:c>
      <x:c r="W269" s="4" t="n">
        <x:f>'SUPUESTOS PRECIOS'!$B$8</x:f>
        <x:v>0.00968</x:v>
      </x:c>
      <x:c r="X269" s="4" t="n">
        <x:f>'SUPUESTOS PRECIOS'!$B$2</x:f>
        <x:v>0.4</x:v>
      </x:c>
      <x:c r="Y269" s="3" t="str">
        <x:f t="shared" si="17"/>
      </x:c>
      <x:c r="Z269" s="3" t="str">
        <x:f t="shared" si="18"/>
      </x:c>
      <x:c r="AA269" s="11" t="str">
        <x:f t="shared" si="19"/>
      </x:c>
    </x:row>
    <x:row r="270">
      <x:c r="A270" s="10" t="s">
        <x:v>1393</x:v>
      </x:c>
      <x:c r="F270" t="s">
        <x:v>1358</x:v>
      </x:c>
      <x:c r="K270">
        <x:v>1</x:v>
      </x:c>
      <x:c r="L270" t="str">
        <x:f t="shared" si="16"/>
      </x:c>
      <x:c r="O270" t="s">
        <x:v>38</x:v>
      </x:c>
      <x:c r="T270" s="2" t="n">
        <x:f>'SUPUESTOS PRECIOS'!$B$9</x:f>
        <x:v>0</x:v>
      </x:c>
      <x:c r="U270" s="3" t="n">
        <x:f>'SUPUESTOS PRECIOS'!$B$5/'SUPUESTOS PRECIOS'!$B$4</x:f>
        <x:v>1000</x:v>
      </x:c>
      <x:c r="V270" s="3" t="n">
        <x:f>('SUPUESTOS PRECIOS'!$B$6-'SUPUESTOS PRECIOS'!$B$7)/'SUPUESTOS PRECIOS'!$B$4</x:f>
        <x:v>377.5</x:v>
      </x:c>
      <x:c r="W270" s="4" t="n">
        <x:f>'SUPUESTOS PRECIOS'!$B$8</x:f>
        <x:v>0.00968</x:v>
      </x:c>
      <x:c r="X270" s="4" t="n">
        <x:f>'SUPUESTOS PRECIOS'!$B$2</x:f>
        <x:v>0.4</x:v>
      </x:c>
      <x:c r="Y270" s="3" t="str">
        <x:f t="shared" si="17"/>
      </x:c>
      <x:c r="Z270" s="3" t="str">
        <x:f t="shared" si="18"/>
      </x:c>
      <x:c r="AA270" s="11" t="str">
        <x:f t="shared" si="19"/>
      </x:c>
    </x:row>
    <x:row r="271">
      <x:c r="A271" s="10" t="s">
        <x:v>1394</x:v>
      </x:c>
      <x:c r="F271" t="s">
        <x:v>1358</x:v>
      </x:c>
      <x:c r="K271">
        <x:v>1</x:v>
      </x:c>
      <x:c r="L271" t="str">
        <x:f t="shared" si="16"/>
      </x:c>
      <x:c r="O271" t="s">
        <x:v>38</x:v>
      </x:c>
      <x:c r="T271" s="2" t="n">
        <x:f>'SUPUESTOS PRECIOS'!$B$9</x:f>
        <x:v>0</x:v>
      </x:c>
      <x:c r="U271" s="3" t="n">
        <x:f>'SUPUESTOS PRECIOS'!$B$5/'SUPUESTOS PRECIOS'!$B$4</x:f>
        <x:v>1000</x:v>
      </x:c>
      <x:c r="V271" s="3" t="n">
        <x:f>('SUPUESTOS PRECIOS'!$B$6-'SUPUESTOS PRECIOS'!$B$7)/'SUPUESTOS PRECIOS'!$B$4</x:f>
        <x:v>377.5</x:v>
      </x:c>
      <x:c r="W271" s="4" t="n">
        <x:f>'SUPUESTOS PRECIOS'!$B$8</x:f>
        <x:v>0.00968</x:v>
      </x:c>
      <x:c r="X271" s="4" t="n">
        <x:f>'SUPUESTOS PRECIOS'!$B$2</x:f>
        <x:v>0.4</x:v>
      </x:c>
      <x:c r="Y271" s="3" t="str">
        <x:f t="shared" si="17"/>
      </x:c>
      <x:c r="Z271" s="3" t="str">
        <x:f t="shared" si="18"/>
      </x:c>
      <x:c r="AA271" s="11" t="str">
        <x:f t="shared" si="19"/>
      </x:c>
    </x:row>
    <x:row r="272">
      <x:c r="A272" s="10" t="s">
        <x:v>1395</x:v>
      </x:c>
      <x:c r="F272" t="s">
        <x:v>1358</x:v>
      </x:c>
      <x:c r="K272">
        <x:v>1</x:v>
      </x:c>
      <x:c r="L272" t="str">
        <x:f t="shared" si="16"/>
      </x:c>
      <x:c r="O272" t="s">
        <x:v>38</x:v>
      </x:c>
      <x:c r="T272" s="2" t="n">
        <x:f>'SUPUESTOS PRECIOS'!$B$9</x:f>
        <x:v>0</x:v>
      </x:c>
      <x:c r="U272" s="3" t="n">
        <x:f>'SUPUESTOS PRECIOS'!$B$5/'SUPUESTOS PRECIOS'!$B$4</x:f>
        <x:v>1000</x:v>
      </x:c>
      <x:c r="V272" s="3" t="n">
        <x:f>('SUPUESTOS PRECIOS'!$B$6-'SUPUESTOS PRECIOS'!$B$7)/'SUPUESTOS PRECIOS'!$B$4</x:f>
        <x:v>377.5</x:v>
      </x:c>
      <x:c r="W272" s="4" t="n">
        <x:f>'SUPUESTOS PRECIOS'!$B$8</x:f>
        <x:v>0.00968</x:v>
      </x:c>
      <x:c r="X272" s="4" t="n">
        <x:f>'SUPUESTOS PRECIOS'!$B$2</x:f>
        <x:v>0.4</x:v>
      </x:c>
      <x:c r="Y272" s="3" t="str">
        <x:f t="shared" si="17"/>
      </x:c>
      <x:c r="Z272" s="3" t="str">
        <x:f t="shared" si="18"/>
      </x:c>
      <x:c r="AA272" s="11" t="str">
        <x:f t="shared" si="19"/>
      </x:c>
    </x:row>
    <x:row r="273">
      <x:c r="A273" s="10" t="s">
        <x:v>1396</x:v>
      </x:c>
      <x:c r="F273" t="s">
        <x:v>1358</x:v>
      </x:c>
      <x:c r="K273">
        <x:v>1</x:v>
      </x:c>
      <x:c r="L273" t="str">
        <x:f t="shared" si="16"/>
      </x:c>
      <x:c r="O273" t="s">
        <x:v>38</x:v>
      </x:c>
      <x:c r="T273" s="2" t="n">
        <x:f>'SUPUESTOS PRECIOS'!$B$9</x:f>
        <x:v>0</x:v>
      </x:c>
      <x:c r="U273" s="3" t="n">
        <x:f>'SUPUESTOS PRECIOS'!$B$5/'SUPUESTOS PRECIOS'!$B$4</x:f>
        <x:v>1000</x:v>
      </x:c>
      <x:c r="V273" s="3" t="n">
        <x:f>('SUPUESTOS PRECIOS'!$B$6-'SUPUESTOS PRECIOS'!$B$7)/'SUPUESTOS PRECIOS'!$B$4</x:f>
        <x:v>377.5</x:v>
      </x:c>
      <x:c r="W273" s="4" t="n">
        <x:f>'SUPUESTOS PRECIOS'!$B$8</x:f>
        <x:v>0.00968</x:v>
      </x:c>
      <x:c r="X273" s="4" t="n">
        <x:f>'SUPUESTOS PRECIOS'!$B$2</x:f>
        <x:v>0.4</x:v>
      </x:c>
      <x:c r="Y273" s="3" t="str">
        <x:f t="shared" si="17"/>
      </x:c>
      <x:c r="Z273" s="3" t="str">
        <x:f t="shared" si="18"/>
      </x:c>
      <x:c r="AA273" s="11" t="str">
        <x:f t="shared" si="19"/>
      </x:c>
    </x:row>
    <x:row r="274">
      <x:c r="A274" s="10" t="s">
        <x:v>1397</x:v>
      </x:c>
      <x:c r="F274" t="s">
        <x:v>1358</x:v>
      </x:c>
      <x:c r="K274">
        <x:v>1</x:v>
      </x:c>
      <x:c r="L274" t="str">
        <x:f t="shared" si="16"/>
      </x:c>
      <x:c r="O274" t="s">
        <x:v>38</x:v>
      </x:c>
      <x:c r="T274" s="2" t="n">
        <x:f>'SUPUESTOS PRECIOS'!$B$9</x:f>
        <x:v>0</x:v>
      </x:c>
      <x:c r="U274" s="3" t="n">
        <x:f>'SUPUESTOS PRECIOS'!$B$5/'SUPUESTOS PRECIOS'!$B$4</x:f>
        <x:v>1000</x:v>
      </x:c>
      <x:c r="V274" s="3" t="n">
        <x:f>('SUPUESTOS PRECIOS'!$B$6-'SUPUESTOS PRECIOS'!$B$7)/'SUPUESTOS PRECIOS'!$B$4</x:f>
        <x:v>377.5</x:v>
      </x:c>
      <x:c r="W274" s="4" t="n">
        <x:f>'SUPUESTOS PRECIOS'!$B$8</x:f>
        <x:v>0.00968</x:v>
      </x:c>
      <x:c r="X274" s="4" t="n">
        <x:f>'SUPUESTOS PRECIOS'!$B$2</x:f>
        <x:v>0.4</x:v>
      </x:c>
      <x:c r="Y274" s="3" t="str">
        <x:f t="shared" si="17"/>
      </x:c>
      <x:c r="Z274" s="3" t="str">
        <x:f t="shared" si="18"/>
      </x:c>
      <x:c r="AA274" s="11" t="str">
        <x:f t="shared" si="19"/>
      </x:c>
    </x:row>
    <x:row r="275">
      <x:c r="A275" s="10" t="s">
        <x:v>1398</x:v>
      </x:c>
      <x:c r="F275" t="s">
        <x:v>1358</x:v>
      </x:c>
      <x:c r="K275">
        <x:v>1</x:v>
      </x:c>
      <x:c r="L275" t="str">
        <x:f t="shared" si="16"/>
      </x:c>
      <x:c r="O275" t="s">
        <x:v>38</x:v>
      </x:c>
      <x:c r="T275" s="2" t="n">
        <x:f>'SUPUESTOS PRECIOS'!$B$9</x:f>
        <x:v>0</x:v>
      </x:c>
      <x:c r="U275" s="3" t="n">
        <x:f>'SUPUESTOS PRECIOS'!$B$5/'SUPUESTOS PRECIOS'!$B$4</x:f>
        <x:v>1000</x:v>
      </x:c>
      <x:c r="V275" s="3" t="n">
        <x:f>('SUPUESTOS PRECIOS'!$B$6-'SUPUESTOS PRECIOS'!$B$7)/'SUPUESTOS PRECIOS'!$B$4</x:f>
        <x:v>377.5</x:v>
      </x:c>
      <x:c r="W275" s="4" t="n">
        <x:f>'SUPUESTOS PRECIOS'!$B$8</x:f>
        <x:v>0.00968</x:v>
      </x:c>
      <x:c r="X275" s="4" t="n">
        <x:f>'SUPUESTOS PRECIOS'!$B$2</x:f>
        <x:v>0.4</x:v>
      </x:c>
      <x:c r="Y275" s="3" t="str">
        <x:f t="shared" si="17"/>
      </x:c>
      <x:c r="Z275" s="3" t="str">
        <x:f t="shared" si="18"/>
      </x:c>
      <x:c r="AA275" s="11" t="str">
        <x:f t="shared" si="19"/>
      </x:c>
    </x:row>
    <x:row r="276">
      <x:c r="A276" s="10" t="s">
        <x:v>1399</x:v>
      </x:c>
      <x:c r="F276" t="s">
        <x:v>1358</x:v>
      </x:c>
      <x:c r="K276">
        <x:v>1</x:v>
      </x:c>
      <x:c r="L276" t="str">
        <x:f t="shared" si="16"/>
      </x:c>
      <x:c r="O276" t="s">
        <x:v>38</x:v>
      </x:c>
      <x:c r="T276" s="2" t="n">
        <x:f>'SUPUESTOS PRECIOS'!$B$9</x:f>
        <x:v>0</x:v>
      </x:c>
      <x:c r="U276" s="3" t="n">
        <x:f>'SUPUESTOS PRECIOS'!$B$5/'SUPUESTOS PRECIOS'!$B$4</x:f>
        <x:v>1000</x:v>
      </x:c>
      <x:c r="V276" s="3" t="n">
        <x:f>('SUPUESTOS PRECIOS'!$B$6-'SUPUESTOS PRECIOS'!$B$7)/'SUPUESTOS PRECIOS'!$B$4</x:f>
        <x:v>377.5</x:v>
      </x:c>
      <x:c r="W276" s="4" t="n">
        <x:f>'SUPUESTOS PRECIOS'!$B$8</x:f>
        <x:v>0.00968</x:v>
      </x:c>
      <x:c r="X276" s="4" t="n">
        <x:f>'SUPUESTOS PRECIOS'!$B$2</x:f>
        <x:v>0.4</x:v>
      </x:c>
      <x:c r="Y276" s="3" t="str">
        <x:f t="shared" si="17"/>
      </x:c>
      <x:c r="Z276" s="3" t="str">
        <x:f t="shared" si="18"/>
      </x:c>
      <x:c r="AA276" s="11" t="str">
        <x:f t="shared" si="19"/>
      </x:c>
    </x:row>
    <x:row r="277">
      <x:c r="A277" s="10" t="s">
        <x:v>1400</x:v>
      </x:c>
      <x:c r="F277" t="s">
        <x:v>1358</x:v>
      </x:c>
      <x:c r="K277">
        <x:v>1</x:v>
      </x:c>
      <x:c r="L277" t="str">
        <x:f t="shared" si="16"/>
      </x:c>
      <x:c r="O277" t="s">
        <x:v>38</x:v>
      </x:c>
      <x:c r="T277" s="2" t="n">
        <x:f>'SUPUESTOS PRECIOS'!$B$9</x:f>
        <x:v>0</x:v>
      </x:c>
      <x:c r="U277" s="3" t="n">
        <x:f>'SUPUESTOS PRECIOS'!$B$5/'SUPUESTOS PRECIOS'!$B$4</x:f>
        <x:v>1000</x:v>
      </x:c>
      <x:c r="V277" s="3" t="n">
        <x:f>('SUPUESTOS PRECIOS'!$B$6-'SUPUESTOS PRECIOS'!$B$7)/'SUPUESTOS PRECIOS'!$B$4</x:f>
        <x:v>377.5</x:v>
      </x:c>
      <x:c r="W277" s="4" t="n">
        <x:f>'SUPUESTOS PRECIOS'!$B$8</x:f>
        <x:v>0.00968</x:v>
      </x:c>
      <x:c r="X277" s="4" t="n">
        <x:f>'SUPUESTOS PRECIOS'!$B$2</x:f>
        <x:v>0.4</x:v>
      </x:c>
      <x:c r="Y277" s="3" t="str">
        <x:f t="shared" si="17"/>
      </x:c>
      <x:c r="Z277" s="3" t="str">
        <x:f t="shared" si="18"/>
      </x:c>
      <x:c r="AA277" s="11" t="str">
        <x:f t="shared" si="19"/>
      </x:c>
    </x:row>
    <x:row r="278">
      <x:c r="A278" s="10" t="s">
        <x:v>1401</x:v>
      </x:c>
      <x:c r="F278" t="s">
        <x:v>1358</x:v>
      </x:c>
      <x:c r="K278">
        <x:v>1</x:v>
      </x:c>
      <x:c r="L278" t="str">
        <x:f t="shared" si="16"/>
      </x:c>
      <x:c r="O278" t="s">
        <x:v>38</x:v>
      </x:c>
      <x:c r="T278" s="2" t="n">
        <x:f>'SUPUESTOS PRECIOS'!$B$9</x:f>
        <x:v>0</x:v>
      </x:c>
      <x:c r="U278" s="3" t="n">
        <x:f>'SUPUESTOS PRECIOS'!$B$5/'SUPUESTOS PRECIOS'!$B$4</x:f>
        <x:v>1000</x:v>
      </x:c>
      <x:c r="V278" s="3" t="n">
        <x:f>('SUPUESTOS PRECIOS'!$B$6-'SUPUESTOS PRECIOS'!$B$7)/'SUPUESTOS PRECIOS'!$B$4</x:f>
        <x:v>377.5</x:v>
      </x:c>
      <x:c r="W278" s="4" t="n">
        <x:f>'SUPUESTOS PRECIOS'!$B$8</x:f>
        <x:v>0.00968</x:v>
      </x:c>
      <x:c r="X278" s="4" t="n">
        <x:f>'SUPUESTOS PRECIOS'!$B$2</x:f>
        <x:v>0.4</x:v>
      </x:c>
      <x:c r="Y278" s="3" t="str">
        <x:f t="shared" si="17"/>
      </x:c>
      <x:c r="Z278" s="3" t="str">
        <x:f t="shared" si="18"/>
      </x:c>
      <x:c r="AA278" s="11" t="str">
        <x:f t="shared" si="19"/>
      </x:c>
    </x:row>
    <x:row r="279">
      <x:c r="A279" s="10" t="s">
        <x:v>1402</x:v>
      </x:c>
      <x:c r="F279" t="s">
        <x:v>1358</x:v>
      </x:c>
      <x:c r="K279">
        <x:v>1</x:v>
      </x:c>
      <x:c r="L279" t="str">
        <x:f t="shared" si="16"/>
      </x:c>
      <x:c r="O279" t="s">
        <x:v>38</x:v>
      </x:c>
      <x:c r="T279" s="2" t="n">
        <x:f>'SUPUESTOS PRECIOS'!$B$9</x:f>
        <x:v>0</x:v>
      </x:c>
      <x:c r="U279" s="3" t="n">
        <x:f>'SUPUESTOS PRECIOS'!$B$5/'SUPUESTOS PRECIOS'!$B$4</x:f>
        <x:v>1000</x:v>
      </x:c>
      <x:c r="V279" s="3" t="n">
        <x:f>('SUPUESTOS PRECIOS'!$B$6-'SUPUESTOS PRECIOS'!$B$7)/'SUPUESTOS PRECIOS'!$B$4</x:f>
        <x:v>377.5</x:v>
      </x:c>
      <x:c r="W279" s="4" t="n">
        <x:f>'SUPUESTOS PRECIOS'!$B$8</x:f>
        <x:v>0.00968</x:v>
      </x:c>
      <x:c r="X279" s="4" t="n">
        <x:f>'SUPUESTOS PRECIOS'!$B$2</x:f>
        <x:v>0.4</x:v>
      </x:c>
      <x:c r="Y279" s="3" t="str">
        <x:f t="shared" si="17"/>
      </x:c>
      <x:c r="Z279" s="3" t="str">
        <x:f t="shared" si="18"/>
      </x:c>
      <x:c r="AA279" s="11" t="str">
        <x:f t="shared" si="19"/>
      </x:c>
    </x:row>
    <x:row r="280">
      <x:c r="A280" s="10" t="s">
        <x:v>1403</x:v>
      </x:c>
      <x:c r="F280" t="s">
        <x:v>1358</x:v>
      </x:c>
      <x:c r="K280">
        <x:v>1</x:v>
      </x:c>
      <x:c r="L280" t="str">
        <x:f t="shared" si="16"/>
      </x:c>
      <x:c r="O280" t="s">
        <x:v>38</x:v>
      </x:c>
      <x:c r="T280" s="2" t="n">
        <x:f>'SUPUESTOS PRECIOS'!$B$9</x:f>
        <x:v>0</x:v>
      </x:c>
      <x:c r="U280" s="3" t="n">
        <x:f>'SUPUESTOS PRECIOS'!$B$5/'SUPUESTOS PRECIOS'!$B$4</x:f>
        <x:v>1000</x:v>
      </x:c>
      <x:c r="V280" s="3" t="n">
        <x:f>('SUPUESTOS PRECIOS'!$B$6-'SUPUESTOS PRECIOS'!$B$7)/'SUPUESTOS PRECIOS'!$B$4</x:f>
        <x:v>377.5</x:v>
      </x:c>
      <x:c r="W280" s="4" t="n">
        <x:f>'SUPUESTOS PRECIOS'!$B$8</x:f>
        <x:v>0.00968</x:v>
      </x:c>
      <x:c r="X280" s="4" t="n">
        <x:f>'SUPUESTOS PRECIOS'!$B$2</x:f>
        <x:v>0.4</x:v>
      </x:c>
      <x:c r="Y280" s="3" t="str">
        <x:f t="shared" si="17"/>
      </x:c>
      <x:c r="Z280" s="3" t="str">
        <x:f t="shared" si="18"/>
      </x:c>
      <x:c r="AA280" s="11" t="str">
        <x:f t="shared" si="19"/>
      </x:c>
    </x:row>
    <x:row r="281">
      <x:c r="A281" s="10" t="s">
        <x:v>1404</x:v>
      </x:c>
      <x:c r="F281" t="s">
        <x:v>1358</x:v>
      </x:c>
      <x:c r="K281">
        <x:v>1</x:v>
      </x:c>
      <x:c r="L281" t="str">
        <x:f t="shared" si="16"/>
      </x:c>
      <x:c r="O281" t="s">
        <x:v>38</x:v>
      </x:c>
      <x:c r="T281" s="2" t="n">
        <x:f>'SUPUESTOS PRECIOS'!$B$9</x:f>
        <x:v>0</x:v>
      </x:c>
      <x:c r="U281" s="3" t="n">
        <x:f>'SUPUESTOS PRECIOS'!$B$5/'SUPUESTOS PRECIOS'!$B$4</x:f>
        <x:v>1000</x:v>
      </x:c>
      <x:c r="V281" s="3" t="n">
        <x:f>('SUPUESTOS PRECIOS'!$B$6-'SUPUESTOS PRECIOS'!$B$7)/'SUPUESTOS PRECIOS'!$B$4</x:f>
        <x:v>377.5</x:v>
      </x:c>
      <x:c r="W281" s="4" t="n">
        <x:f>'SUPUESTOS PRECIOS'!$B$8</x:f>
        <x:v>0.00968</x:v>
      </x:c>
      <x:c r="X281" s="4" t="n">
        <x:f>'SUPUESTOS PRECIOS'!$B$2</x:f>
        <x:v>0.4</x:v>
      </x:c>
      <x:c r="Y281" s="3" t="str">
        <x:f t="shared" si="17"/>
      </x:c>
      <x:c r="Z281" s="3" t="str">
        <x:f t="shared" si="18"/>
      </x:c>
      <x:c r="AA281" s="11" t="str">
        <x:f t="shared" si="19"/>
      </x:c>
    </x:row>
    <x:row r="282">
      <x:c r="A282" s="10" t="s">
        <x:v>1405</x:v>
      </x:c>
      <x:c r="F282" t="s">
        <x:v>1358</x:v>
      </x:c>
      <x:c r="K282">
        <x:v>1</x:v>
      </x:c>
      <x:c r="L282" t="str">
        <x:f t="shared" si="16"/>
      </x:c>
      <x:c r="O282" t="s">
        <x:v>38</x:v>
      </x:c>
      <x:c r="T282" s="2" t="n">
        <x:f>'SUPUESTOS PRECIOS'!$B$9</x:f>
        <x:v>0</x:v>
      </x:c>
      <x:c r="U282" s="3" t="n">
        <x:f>'SUPUESTOS PRECIOS'!$B$5/'SUPUESTOS PRECIOS'!$B$4</x:f>
        <x:v>1000</x:v>
      </x:c>
      <x:c r="V282" s="3" t="n">
        <x:f>('SUPUESTOS PRECIOS'!$B$6-'SUPUESTOS PRECIOS'!$B$7)/'SUPUESTOS PRECIOS'!$B$4</x:f>
        <x:v>377.5</x:v>
      </x:c>
      <x:c r="W282" s="4" t="n">
        <x:f>'SUPUESTOS PRECIOS'!$B$8</x:f>
        <x:v>0.00968</x:v>
      </x:c>
      <x:c r="X282" s="4" t="n">
        <x:f>'SUPUESTOS PRECIOS'!$B$2</x:f>
        <x:v>0.4</x:v>
      </x:c>
      <x:c r="Y282" s="3" t="str">
        <x:f t="shared" si="17"/>
      </x:c>
      <x:c r="Z282" s="3" t="str">
        <x:f t="shared" si="18"/>
      </x:c>
      <x:c r="AA282" s="11" t="str">
        <x:f t="shared" si="19"/>
      </x:c>
    </x:row>
    <x:row r="283">
      <x:c r="A283" s="10" t="s">
        <x:v>1406</x:v>
      </x:c>
      <x:c r="F283" t="s">
        <x:v>1358</x:v>
      </x:c>
      <x:c r="K283">
        <x:v>1</x:v>
      </x:c>
      <x:c r="L283" t="str">
        <x:f t="shared" si="16"/>
      </x:c>
      <x:c r="O283" t="s">
        <x:v>38</x:v>
      </x:c>
      <x:c r="T283" s="2" t="n">
        <x:f>'SUPUESTOS PRECIOS'!$B$9</x:f>
        <x:v>0</x:v>
      </x:c>
      <x:c r="U283" s="3" t="n">
        <x:f>'SUPUESTOS PRECIOS'!$B$5/'SUPUESTOS PRECIOS'!$B$4</x:f>
        <x:v>1000</x:v>
      </x:c>
      <x:c r="V283" s="3" t="n">
        <x:f>('SUPUESTOS PRECIOS'!$B$6-'SUPUESTOS PRECIOS'!$B$7)/'SUPUESTOS PRECIOS'!$B$4</x:f>
        <x:v>377.5</x:v>
      </x:c>
      <x:c r="W283" s="4" t="n">
        <x:f>'SUPUESTOS PRECIOS'!$B$8</x:f>
        <x:v>0.00968</x:v>
      </x:c>
      <x:c r="X283" s="4" t="n">
        <x:f>'SUPUESTOS PRECIOS'!$B$2</x:f>
        <x:v>0.4</x:v>
      </x:c>
      <x:c r="Y283" s="3" t="str">
        <x:f t="shared" si="17"/>
      </x:c>
      <x:c r="Z283" s="3" t="str">
        <x:f t="shared" si="18"/>
      </x:c>
      <x:c r="AA283" s="11" t="str">
        <x:f t="shared" si="19"/>
      </x:c>
    </x:row>
    <x:row r="284">
      <x:c r="A284" s="10" t="s">
        <x:v>1407</x:v>
      </x:c>
      <x:c r="F284" t="s">
        <x:v>1358</x:v>
      </x:c>
      <x:c r="K284">
        <x:v>1</x:v>
      </x:c>
      <x:c r="L284" t="str">
        <x:f t="shared" si="16"/>
      </x:c>
      <x:c r="O284" t="s">
        <x:v>38</x:v>
      </x:c>
      <x:c r="T284" s="2" t="n">
        <x:f>'SUPUESTOS PRECIOS'!$B$9</x:f>
        <x:v>0</x:v>
      </x:c>
      <x:c r="U284" s="3" t="n">
        <x:f>'SUPUESTOS PRECIOS'!$B$5/'SUPUESTOS PRECIOS'!$B$4</x:f>
        <x:v>1000</x:v>
      </x:c>
      <x:c r="V284" s="3" t="n">
        <x:f>('SUPUESTOS PRECIOS'!$B$6-'SUPUESTOS PRECIOS'!$B$7)/'SUPUESTOS PRECIOS'!$B$4</x:f>
        <x:v>377.5</x:v>
      </x:c>
      <x:c r="W284" s="4" t="n">
        <x:f>'SUPUESTOS PRECIOS'!$B$8</x:f>
        <x:v>0.00968</x:v>
      </x:c>
      <x:c r="X284" s="4" t="n">
        <x:f>'SUPUESTOS PRECIOS'!$B$2</x:f>
        <x:v>0.4</x:v>
      </x:c>
      <x:c r="Y284" s="3" t="str">
        <x:f t="shared" si="17"/>
      </x:c>
      <x:c r="Z284" s="3" t="str">
        <x:f t="shared" si="18"/>
      </x:c>
      <x:c r="AA284" s="11" t="str">
        <x:f t="shared" si="19"/>
      </x:c>
    </x:row>
    <x:row r="285">
      <x:c r="A285" s="10" t="s">
        <x:v>1408</x:v>
      </x:c>
      <x:c r="F285" t="s">
        <x:v>1358</x:v>
      </x:c>
      <x:c r="K285">
        <x:v>1</x:v>
      </x:c>
      <x:c r="L285" t="str">
        <x:f t="shared" si="16"/>
      </x:c>
      <x:c r="O285" t="s">
        <x:v>38</x:v>
      </x:c>
      <x:c r="T285" s="2" t="n">
        <x:f>'SUPUESTOS PRECIOS'!$B$9</x:f>
        <x:v>0</x:v>
      </x:c>
      <x:c r="U285" s="3" t="n">
        <x:f>'SUPUESTOS PRECIOS'!$B$5/'SUPUESTOS PRECIOS'!$B$4</x:f>
        <x:v>1000</x:v>
      </x:c>
      <x:c r="V285" s="3" t="n">
        <x:f>('SUPUESTOS PRECIOS'!$B$6-'SUPUESTOS PRECIOS'!$B$7)/'SUPUESTOS PRECIOS'!$B$4</x:f>
        <x:v>377.5</x:v>
      </x:c>
      <x:c r="W285" s="4" t="n">
        <x:f>'SUPUESTOS PRECIOS'!$B$8</x:f>
        <x:v>0.00968</x:v>
      </x:c>
      <x:c r="X285" s="4" t="n">
        <x:f>'SUPUESTOS PRECIOS'!$B$2</x:f>
        <x:v>0.4</x:v>
      </x:c>
      <x:c r="Y285" s="3" t="str">
        <x:f t="shared" si="17"/>
      </x:c>
      <x:c r="Z285" s="3" t="str">
        <x:f t="shared" si="18"/>
      </x:c>
      <x:c r="AA285" s="11" t="str">
        <x:f t="shared" si="19"/>
      </x:c>
    </x:row>
    <x:row r="286">
      <x:c r="A286" s="10" t="s">
        <x:v>1409</x:v>
      </x:c>
      <x:c r="F286" t="s">
        <x:v>1358</x:v>
      </x:c>
      <x:c r="K286">
        <x:v>1</x:v>
      </x:c>
      <x:c r="L286" t="str">
        <x:f t="shared" si="16"/>
      </x:c>
      <x:c r="O286" t="s">
        <x:v>38</x:v>
      </x:c>
      <x:c r="T286" s="2" t="n">
        <x:f>'SUPUESTOS PRECIOS'!$B$9</x:f>
        <x:v>0</x:v>
      </x:c>
      <x:c r="U286" s="3" t="n">
        <x:f>'SUPUESTOS PRECIOS'!$B$5/'SUPUESTOS PRECIOS'!$B$4</x:f>
        <x:v>1000</x:v>
      </x:c>
      <x:c r="V286" s="3" t="n">
        <x:f>('SUPUESTOS PRECIOS'!$B$6-'SUPUESTOS PRECIOS'!$B$7)/'SUPUESTOS PRECIOS'!$B$4</x:f>
        <x:v>377.5</x:v>
      </x:c>
      <x:c r="W286" s="4" t="n">
        <x:f>'SUPUESTOS PRECIOS'!$B$8</x:f>
        <x:v>0.00968</x:v>
      </x:c>
      <x:c r="X286" s="4" t="n">
        <x:f>'SUPUESTOS PRECIOS'!$B$2</x:f>
        <x:v>0.4</x:v>
      </x:c>
      <x:c r="Y286" s="3" t="str">
        <x:f t="shared" si="17"/>
      </x:c>
      <x:c r="Z286" s="3" t="str">
        <x:f t="shared" si="18"/>
      </x:c>
      <x:c r="AA286" s="11" t="str">
        <x:f t="shared" si="19"/>
      </x:c>
    </x:row>
    <x:row r="287">
      <x:c r="A287" s="10" t="s">
        <x:v>1410</x:v>
      </x:c>
      <x:c r="F287" t="s">
        <x:v>1358</x:v>
      </x:c>
      <x:c r="K287">
        <x:v>1</x:v>
      </x:c>
      <x:c r="L287" t="str">
        <x:f t="shared" si="16"/>
      </x:c>
      <x:c r="O287" t="s">
        <x:v>38</x:v>
      </x:c>
      <x:c r="T287" s="2" t="n">
        <x:f>'SUPUESTOS PRECIOS'!$B$9</x:f>
        <x:v>0</x:v>
      </x:c>
      <x:c r="U287" s="3" t="n">
        <x:f>'SUPUESTOS PRECIOS'!$B$5/'SUPUESTOS PRECIOS'!$B$4</x:f>
        <x:v>1000</x:v>
      </x:c>
      <x:c r="V287" s="3" t="n">
        <x:f>('SUPUESTOS PRECIOS'!$B$6-'SUPUESTOS PRECIOS'!$B$7)/'SUPUESTOS PRECIOS'!$B$4</x:f>
        <x:v>377.5</x:v>
      </x:c>
      <x:c r="W287" s="4" t="n">
        <x:f>'SUPUESTOS PRECIOS'!$B$8</x:f>
        <x:v>0.00968</x:v>
      </x:c>
      <x:c r="X287" s="4" t="n">
        <x:f>'SUPUESTOS PRECIOS'!$B$2</x:f>
        <x:v>0.4</x:v>
      </x:c>
      <x:c r="Y287" s="3" t="str">
        <x:f t="shared" si="17"/>
      </x:c>
      <x:c r="Z287" s="3" t="str">
        <x:f t="shared" si="18"/>
      </x:c>
      <x:c r="AA287" s="11" t="str">
        <x:f t="shared" si="19"/>
      </x:c>
    </x:row>
    <x:row r="288">
      <x:c r="A288" s="10" t="s">
        <x:v>1411</x:v>
      </x:c>
      <x:c r="F288" t="s">
        <x:v>1358</x:v>
      </x:c>
      <x:c r="K288">
        <x:v>1</x:v>
      </x:c>
      <x:c r="L288" t="str">
        <x:f t="shared" si="16"/>
      </x:c>
      <x:c r="O288" t="s">
        <x:v>38</x:v>
      </x:c>
      <x:c r="T288" s="2" t="n">
        <x:f>'SUPUESTOS PRECIOS'!$B$9</x:f>
        <x:v>0</x:v>
      </x:c>
      <x:c r="U288" s="3" t="n">
        <x:f>'SUPUESTOS PRECIOS'!$B$5/'SUPUESTOS PRECIOS'!$B$4</x:f>
        <x:v>1000</x:v>
      </x:c>
      <x:c r="V288" s="3" t="n">
        <x:f>('SUPUESTOS PRECIOS'!$B$6-'SUPUESTOS PRECIOS'!$B$7)/'SUPUESTOS PRECIOS'!$B$4</x:f>
        <x:v>377.5</x:v>
      </x:c>
      <x:c r="W288" s="4" t="n">
        <x:f>'SUPUESTOS PRECIOS'!$B$8</x:f>
        <x:v>0.00968</x:v>
      </x:c>
      <x:c r="X288" s="4" t="n">
        <x:f>'SUPUESTOS PRECIOS'!$B$2</x:f>
        <x:v>0.4</x:v>
      </x:c>
      <x:c r="Y288" s="3" t="str">
        <x:f t="shared" si="17"/>
      </x:c>
      <x:c r="Z288" s="3" t="str">
        <x:f t="shared" si="18"/>
      </x:c>
      <x:c r="AA288" s="11" t="str">
        <x:f t="shared" si="19"/>
      </x:c>
    </x:row>
    <x:row r="289">
      <x:c r="A289" s="10" t="s">
        <x:v>1412</x:v>
      </x:c>
      <x:c r="F289" t="s">
        <x:v>1358</x:v>
      </x:c>
      <x:c r="K289">
        <x:v>1</x:v>
      </x:c>
      <x:c r="L289" t="str">
        <x:f t="shared" si="16"/>
      </x:c>
      <x:c r="O289" t="s">
        <x:v>38</x:v>
      </x:c>
      <x:c r="T289" s="2" t="n">
        <x:f>'SUPUESTOS PRECIOS'!$B$9</x:f>
        <x:v>0</x:v>
      </x:c>
      <x:c r="U289" s="3" t="n">
        <x:f>'SUPUESTOS PRECIOS'!$B$5/'SUPUESTOS PRECIOS'!$B$4</x:f>
        <x:v>1000</x:v>
      </x:c>
      <x:c r="V289" s="3" t="n">
        <x:f>('SUPUESTOS PRECIOS'!$B$6-'SUPUESTOS PRECIOS'!$B$7)/'SUPUESTOS PRECIOS'!$B$4</x:f>
        <x:v>377.5</x:v>
      </x:c>
      <x:c r="W289" s="4" t="n">
        <x:f>'SUPUESTOS PRECIOS'!$B$8</x:f>
        <x:v>0.00968</x:v>
      </x:c>
      <x:c r="X289" s="4" t="n">
        <x:f>'SUPUESTOS PRECIOS'!$B$2</x:f>
        <x:v>0.4</x:v>
      </x:c>
      <x:c r="Y289" s="3" t="str">
        <x:f t="shared" si="17"/>
      </x:c>
      <x:c r="Z289" s="3" t="str">
        <x:f t="shared" si="18"/>
      </x:c>
      <x:c r="AA289" s="11" t="str">
        <x:f t="shared" si="19"/>
      </x:c>
    </x:row>
    <x:row r="290">
      <x:c r="A290" s="10" t="s">
        <x:v>1413</x:v>
      </x:c>
      <x:c r="F290" t="s">
        <x:v>1358</x:v>
      </x:c>
      <x:c r="K290">
        <x:v>1</x:v>
      </x:c>
      <x:c r="L290" t="str">
        <x:f t="shared" si="16"/>
      </x:c>
      <x:c r="O290" t="s">
        <x:v>38</x:v>
      </x:c>
      <x:c r="T290" s="2" t="n">
        <x:f>'SUPUESTOS PRECIOS'!$B$9</x:f>
        <x:v>0</x:v>
      </x:c>
      <x:c r="U290" s="3" t="n">
        <x:f>'SUPUESTOS PRECIOS'!$B$5/'SUPUESTOS PRECIOS'!$B$4</x:f>
        <x:v>1000</x:v>
      </x:c>
      <x:c r="V290" s="3" t="n">
        <x:f>('SUPUESTOS PRECIOS'!$B$6-'SUPUESTOS PRECIOS'!$B$7)/'SUPUESTOS PRECIOS'!$B$4</x:f>
        <x:v>377.5</x:v>
      </x:c>
      <x:c r="W290" s="4" t="n">
        <x:f>'SUPUESTOS PRECIOS'!$B$8</x:f>
        <x:v>0.00968</x:v>
      </x:c>
      <x:c r="X290" s="4" t="n">
        <x:f>'SUPUESTOS PRECIOS'!$B$2</x:f>
        <x:v>0.4</x:v>
      </x:c>
      <x:c r="Y290" s="3" t="str">
        <x:f t="shared" si="17"/>
      </x:c>
      <x:c r="Z290" s="3" t="str">
        <x:f t="shared" si="18"/>
      </x:c>
      <x:c r="AA290" s="11" t="str">
        <x:f t="shared" si="19"/>
      </x:c>
    </x:row>
    <x:row r="291">
      <x:c r="A291" s="10" t="s">
        <x:v>1414</x:v>
      </x:c>
      <x:c r="F291" t="s">
        <x:v>1358</x:v>
      </x:c>
      <x:c r="K291">
        <x:v>1</x:v>
      </x:c>
      <x:c r="L291" t="str">
        <x:f t="shared" si="16"/>
      </x:c>
      <x:c r="O291" t="s">
        <x:v>38</x:v>
      </x:c>
      <x:c r="T291" s="2" t="n">
        <x:f>'SUPUESTOS PRECIOS'!$B$9</x:f>
        <x:v>0</x:v>
      </x:c>
      <x:c r="U291" s="3" t="n">
        <x:f>'SUPUESTOS PRECIOS'!$B$5/'SUPUESTOS PRECIOS'!$B$4</x:f>
        <x:v>1000</x:v>
      </x:c>
      <x:c r="V291" s="3" t="n">
        <x:f>('SUPUESTOS PRECIOS'!$B$6-'SUPUESTOS PRECIOS'!$B$7)/'SUPUESTOS PRECIOS'!$B$4</x:f>
        <x:v>377.5</x:v>
      </x:c>
      <x:c r="W291" s="4" t="n">
        <x:f>'SUPUESTOS PRECIOS'!$B$8</x:f>
        <x:v>0.00968</x:v>
      </x:c>
      <x:c r="X291" s="4" t="n">
        <x:f>'SUPUESTOS PRECIOS'!$B$2</x:f>
        <x:v>0.4</x:v>
      </x:c>
      <x:c r="Y291" s="3" t="str">
        <x:f t="shared" si="17"/>
      </x:c>
      <x:c r="Z291" s="3" t="str">
        <x:f t="shared" si="18"/>
      </x:c>
      <x:c r="AA291" s="11" t="str">
        <x:f t="shared" si="19"/>
      </x:c>
    </x:row>
    <x:row r="292">
      <x:c r="A292" s="10" t="s">
        <x:v>1415</x:v>
      </x:c>
      <x:c r="F292" t="s">
        <x:v>1358</x:v>
      </x:c>
      <x:c r="K292">
        <x:v>1</x:v>
      </x:c>
      <x:c r="L292" t="str">
        <x:f t="shared" si="16"/>
      </x:c>
      <x:c r="O292" t="s">
        <x:v>38</x:v>
      </x:c>
      <x:c r="T292" s="2" t="n">
        <x:f>'SUPUESTOS PRECIOS'!$B$9</x:f>
        <x:v>0</x:v>
      </x:c>
      <x:c r="U292" s="3" t="n">
        <x:f>'SUPUESTOS PRECIOS'!$B$5/'SUPUESTOS PRECIOS'!$B$4</x:f>
        <x:v>1000</x:v>
      </x:c>
      <x:c r="V292" s="3" t="n">
        <x:f>('SUPUESTOS PRECIOS'!$B$6-'SUPUESTOS PRECIOS'!$B$7)/'SUPUESTOS PRECIOS'!$B$4</x:f>
        <x:v>377.5</x:v>
      </x:c>
      <x:c r="W292" s="4" t="n">
        <x:f>'SUPUESTOS PRECIOS'!$B$8</x:f>
        <x:v>0.00968</x:v>
      </x:c>
      <x:c r="X292" s="4" t="n">
        <x:f>'SUPUESTOS PRECIOS'!$B$2</x:f>
        <x:v>0.4</x:v>
      </x:c>
      <x:c r="Y292" s="3" t="str">
        <x:f t="shared" si="17"/>
      </x:c>
      <x:c r="Z292" s="3" t="str">
        <x:f t="shared" si="18"/>
      </x:c>
      <x:c r="AA292" s="11" t="str">
        <x:f t="shared" si="19"/>
      </x:c>
    </x:row>
    <x:row r="293">
      <x:c r="A293" s="10" t="s">
        <x:v>1416</x:v>
      </x:c>
      <x:c r="F293" t="s">
        <x:v>1358</x:v>
      </x:c>
      <x:c r="K293">
        <x:v>1</x:v>
      </x:c>
      <x:c r="L293" t="str">
        <x:f t="shared" si="16"/>
      </x:c>
      <x:c r="O293" t="s">
        <x:v>38</x:v>
      </x:c>
      <x:c r="T293" s="2" t="n">
        <x:f>'SUPUESTOS PRECIOS'!$B$9</x:f>
        <x:v>0</x:v>
      </x:c>
      <x:c r="U293" s="3" t="n">
        <x:f>'SUPUESTOS PRECIOS'!$B$5/'SUPUESTOS PRECIOS'!$B$4</x:f>
        <x:v>1000</x:v>
      </x:c>
      <x:c r="V293" s="3" t="n">
        <x:f>('SUPUESTOS PRECIOS'!$B$6-'SUPUESTOS PRECIOS'!$B$7)/'SUPUESTOS PRECIOS'!$B$4</x:f>
        <x:v>377.5</x:v>
      </x:c>
      <x:c r="W293" s="4" t="n">
        <x:f>'SUPUESTOS PRECIOS'!$B$8</x:f>
        <x:v>0.00968</x:v>
      </x:c>
      <x:c r="X293" s="4" t="n">
        <x:f>'SUPUESTOS PRECIOS'!$B$2</x:f>
        <x:v>0.4</x:v>
      </x:c>
      <x:c r="Y293" s="3" t="str">
        <x:f t="shared" si="17"/>
      </x:c>
      <x:c r="Z293" s="3" t="str">
        <x:f t="shared" si="18"/>
      </x:c>
      <x:c r="AA293" s="11" t="str">
        <x:f t="shared" si="19"/>
      </x:c>
    </x:row>
    <x:row r="294">
      <x:c r="A294" s="10" t="s">
        <x:v>1417</x:v>
      </x:c>
      <x:c r="F294" t="s">
        <x:v>1358</x:v>
      </x:c>
      <x:c r="K294">
        <x:v>1</x:v>
      </x:c>
      <x:c r="L294" t="str">
        <x:f t="shared" si="16"/>
      </x:c>
      <x:c r="O294" t="s">
        <x:v>38</x:v>
      </x:c>
      <x:c r="T294" s="2" t="n">
        <x:f>'SUPUESTOS PRECIOS'!$B$9</x:f>
        <x:v>0</x:v>
      </x:c>
      <x:c r="U294" s="3" t="n">
        <x:f>'SUPUESTOS PRECIOS'!$B$5/'SUPUESTOS PRECIOS'!$B$4</x:f>
        <x:v>1000</x:v>
      </x:c>
      <x:c r="V294" s="3" t="n">
        <x:f>('SUPUESTOS PRECIOS'!$B$6-'SUPUESTOS PRECIOS'!$B$7)/'SUPUESTOS PRECIOS'!$B$4</x:f>
        <x:v>377.5</x:v>
      </x:c>
      <x:c r="W294" s="4" t="n">
        <x:f>'SUPUESTOS PRECIOS'!$B$8</x:f>
        <x:v>0.00968</x:v>
      </x:c>
      <x:c r="X294" s="4" t="n">
        <x:f>'SUPUESTOS PRECIOS'!$B$2</x:f>
        <x:v>0.4</x:v>
      </x:c>
      <x:c r="Y294" s="3" t="str">
        <x:f t="shared" si="17"/>
      </x:c>
      <x:c r="Z294" s="3" t="str">
        <x:f t="shared" si="18"/>
      </x:c>
      <x:c r="AA294" s="11" t="str">
        <x:f t="shared" si="19"/>
      </x:c>
    </x:row>
    <x:row r="295">
      <x:c r="A295" s="10" t="s">
        <x:v>1418</x:v>
      </x:c>
      <x:c r="F295" t="s">
        <x:v>1358</x:v>
      </x:c>
      <x:c r="K295">
        <x:v>1</x:v>
      </x:c>
      <x:c r="L295" t="str">
        <x:f t="shared" si="16"/>
      </x:c>
      <x:c r="O295" t="s">
        <x:v>38</x:v>
      </x:c>
      <x:c r="T295" s="2" t="n">
        <x:f>'SUPUESTOS PRECIOS'!$B$9</x:f>
        <x:v>0</x:v>
      </x:c>
      <x:c r="U295" s="3" t="n">
        <x:f>'SUPUESTOS PRECIOS'!$B$5/'SUPUESTOS PRECIOS'!$B$4</x:f>
        <x:v>1000</x:v>
      </x:c>
      <x:c r="V295" s="3" t="n">
        <x:f>('SUPUESTOS PRECIOS'!$B$6-'SUPUESTOS PRECIOS'!$B$7)/'SUPUESTOS PRECIOS'!$B$4</x:f>
        <x:v>377.5</x:v>
      </x:c>
      <x:c r="W295" s="4" t="n">
        <x:f>'SUPUESTOS PRECIOS'!$B$8</x:f>
        <x:v>0.00968</x:v>
      </x:c>
      <x:c r="X295" s="4" t="n">
        <x:f>'SUPUESTOS PRECIOS'!$B$2</x:f>
        <x:v>0.4</x:v>
      </x:c>
      <x:c r="Y295" s="3" t="str">
        <x:f t="shared" si="17"/>
      </x:c>
      <x:c r="Z295" s="3" t="str">
        <x:f t="shared" si="18"/>
      </x:c>
      <x:c r="AA295" s="11" t="str">
        <x:f t="shared" si="19"/>
      </x:c>
    </x:row>
    <x:row r="296">
      <x:c r="A296" s="10" t="s">
        <x:v>1419</x:v>
      </x:c>
      <x:c r="F296" t="s">
        <x:v>1358</x:v>
      </x:c>
      <x:c r="K296">
        <x:v>1</x:v>
      </x:c>
      <x:c r="L296" t="str">
        <x:f t="shared" si="16"/>
      </x:c>
      <x:c r="O296" t="s">
        <x:v>38</x:v>
      </x:c>
      <x:c r="T296" s="2" t="n">
        <x:f>'SUPUESTOS PRECIOS'!$B$9</x:f>
        <x:v>0</x:v>
      </x:c>
      <x:c r="U296" s="3" t="n">
        <x:f>'SUPUESTOS PRECIOS'!$B$5/'SUPUESTOS PRECIOS'!$B$4</x:f>
        <x:v>1000</x:v>
      </x:c>
      <x:c r="V296" s="3" t="n">
        <x:f>('SUPUESTOS PRECIOS'!$B$6-'SUPUESTOS PRECIOS'!$B$7)/'SUPUESTOS PRECIOS'!$B$4</x:f>
        <x:v>377.5</x:v>
      </x:c>
      <x:c r="W296" s="4" t="n">
        <x:f>'SUPUESTOS PRECIOS'!$B$8</x:f>
        <x:v>0.00968</x:v>
      </x:c>
      <x:c r="X296" s="4" t="n">
        <x:f>'SUPUESTOS PRECIOS'!$B$2</x:f>
        <x:v>0.4</x:v>
      </x:c>
      <x:c r="Y296" s="3" t="str">
        <x:f t="shared" si="17"/>
      </x:c>
      <x:c r="Z296" s="3" t="str">
        <x:f t="shared" si="18"/>
      </x:c>
      <x:c r="AA296" s="11" t="str">
        <x:f t="shared" si="19"/>
      </x:c>
    </x:row>
    <x:row r="297">
      <x:c r="A297" s="10" t="s">
        <x:v>1420</x:v>
      </x:c>
      <x:c r="F297" t="s">
        <x:v>1358</x:v>
      </x:c>
      <x:c r="K297">
        <x:v>1</x:v>
      </x:c>
      <x:c r="L297" t="str">
        <x:f t="shared" si="16"/>
      </x:c>
      <x:c r="O297" t="s">
        <x:v>38</x:v>
      </x:c>
      <x:c r="T297" s="2" t="n">
        <x:f>'SUPUESTOS PRECIOS'!$B$9</x:f>
        <x:v>0</x:v>
      </x:c>
      <x:c r="U297" s="3" t="n">
        <x:f>'SUPUESTOS PRECIOS'!$B$5/'SUPUESTOS PRECIOS'!$B$4</x:f>
        <x:v>1000</x:v>
      </x:c>
      <x:c r="V297" s="3" t="n">
        <x:f>('SUPUESTOS PRECIOS'!$B$6-'SUPUESTOS PRECIOS'!$B$7)/'SUPUESTOS PRECIOS'!$B$4</x:f>
        <x:v>377.5</x:v>
      </x:c>
      <x:c r="W297" s="4" t="n">
        <x:f>'SUPUESTOS PRECIOS'!$B$8</x:f>
        <x:v>0.00968</x:v>
      </x:c>
      <x:c r="X297" s="4" t="n">
        <x:f>'SUPUESTOS PRECIOS'!$B$2</x:f>
        <x:v>0.4</x:v>
      </x:c>
      <x:c r="Y297" s="3" t="str">
        <x:f t="shared" si="17"/>
      </x:c>
      <x:c r="Z297" s="3" t="str">
        <x:f t="shared" si="18"/>
      </x:c>
      <x:c r="AA297" s="11" t="str">
        <x:f t="shared" si="19"/>
      </x:c>
    </x:row>
    <x:row r="298">
      <x:c r="A298" s="10" t="s">
        <x:v>1421</x:v>
      </x:c>
      <x:c r="F298" t="s">
        <x:v>1358</x:v>
      </x:c>
      <x:c r="K298">
        <x:v>1</x:v>
      </x:c>
      <x:c r="L298" t="str">
        <x:f t="shared" si="16"/>
      </x:c>
      <x:c r="O298" t="s">
        <x:v>38</x:v>
      </x:c>
      <x:c r="T298" s="2" t="n">
        <x:f>'SUPUESTOS PRECIOS'!$B$9</x:f>
        <x:v>0</x:v>
      </x:c>
      <x:c r="U298" s="3" t="n">
        <x:f>'SUPUESTOS PRECIOS'!$B$5/'SUPUESTOS PRECIOS'!$B$4</x:f>
        <x:v>1000</x:v>
      </x:c>
      <x:c r="V298" s="3" t="n">
        <x:f>('SUPUESTOS PRECIOS'!$B$6-'SUPUESTOS PRECIOS'!$B$7)/'SUPUESTOS PRECIOS'!$B$4</x:f>
        <x:v>377.5</x:v>
      </x:c>
      <x:c r="W298" s="4" t="n">
        <x:f>'SUPUESTOS PRECIOS'!$B$8</x:f>
        <x:v>0.00968</x:v>
      </x:c>
      <x:c r="X298" s="4" t="n">
        <x:f>'SUPUESTOS PRECIOS'!$B$2</x:f>
        <x:v>0.4</x:v>
      </x:c>
      <x:c r="Y298" s="3" t="str">
        <x:f t="shared" si="17"/>
      </x:c>
      <x:c r="Z298" s="3" t="str">
        <x:f t="shared" si="18"/>
      </x:c>
      <x:c r="AA298" s="11" t="str">
        <x:f t="shared" si="19"/>
      </x:c>
    </x:row>
    <x:row r="299">
      <x:c r="A299" s="10" t="s">
        <x:v>1422</x:v>
      </x:c>
      <x:c r="F299" t="s">
        <x:v>1358</x:v>
      </x:c>
      <x:c r="K299">
        <x:v>1</x:v>
      </x:c>
      <x:c r="L299" t="str">
        <x:f t="shared" si="16"/>
      </x:c>
      <x:c r="O299" t="s">
        <x:v>38</x:v>
      </x:c>
      <x:c r="T299" s="2" t="n">
        <x:f>'SUPUESTOS PRECIOS'!$B$9</x:f>
        <x:v>0</x:v>
      </x:c>
      <x:c r="U299" s="3" t="n">
        <x:f>'SUPUESTOS PRECIOS'!$B$5/'SUPUESTOS PRECIOS'!$B$4</x:f>
        <x:v>1000</x:v>
      </x:c>
      <x:c r="V299" s="3" t="n">
        <x:f>('SUPUESTOS PRECIOS'!$B$6-'SUPUESTOS PRECIOS'!$B$7)/'SUPUESTOS PRECIOS'!$B$4</x:f>
        <x:v>377.5</x:v>
      </x:c>
      <x:c r="W299" s="4" t="n">
        <x:f>'SUPUESTOS PRECIOS'!$B$8</x:f>
        <x:v>0.00968</x:v>
      </x:c>
      <x:c r="X299" s="4" t="n">
        <x:f>'SUPUESTOS PRECIOS'!$B$2</x:f>
        <x:v>0.4</x:v>
      </x:c>
      <x:c r="Y299" s="3" t="str">
        <x:f t="shared" si="17"/>
      </x:c>
      <x:c r="Z299" s="3" t="str">
        <x:f t="shared" si="18"/>
      </x:c>
      <x:c r="AA299" s="11" t="str">
        <x:f t="shared" si="19"/>
      </x:c>
    </x:row>
    <x:row r="300">
      <x:c r="A300" s="10" t="s">
        <x:v>1423</x:v>
      </x:c>
      <x:c r="F300" t="s">
        <x:v>1358</x:v>
      </x:c>
      <x:c r="K300">
        <x:v>1</x:v>
      </x:c>
      <x:c r="L300" t="str">
        <x:f t="shared" si="16"/>
      </x:c>
      <x:c r="O300" t="s">
        <x:v>38</x:v>
      </x:c>
      <x:c r="T300" s="2" t="n">
        <x:f>'SUPUESTOS PRECIOS'!$B$9</x:f>
        <x:v>0</x:v>
      </x:c>
      <x:c r="U300" s="3" t="n">
        <x:f>'SUPUESTOS PRECIOS'!$B$5/'SUPUESTOS PRECIOS'!$B$4</x:f>
        <x:v>1000</x:v>
      </x:c>
      <x:c r="V300" s="3" t="n">
        <x:f>('SUPUESTOS PRECIOS'!$B$6-'SUPUESTOS PRECIOS'!$B$7)/'SUPUESTOS PRECIOS'!$B$4</x:f>
        <x:v>377.5</x:v>
      </x:c>
      <x:c r="W300" s="4" t="n">
        <x:f>'SUPUESTOS PRECIOS'!$B$8</x:f>
        <x:v>0.00968</x:v>
      </x:c>
      <x:c r="X300" s="4" t="n">
        <x:f>'SUPUESTOS PRECIOS'!$B$2</x:f>
        <x:v>0.4</x:v>
      </x:c>
      <x:c r="Y300" s="3" t="str">
        <x:f t="shared" si="17"/>
      </x:c>
      <x:c r="Z300" s="3" t="str">
        <x:f t="shared" si="18"/>
      </x:c>
      <x:c r="AA300" s="11" t="str">
        <x:f t="shared" si="19"/>
      </x:c>
    </x:row>
    <x:row r="301">
      <x:c r="A301" s="10" t="s">
        <x:v>1424</x:v>
      </x:c>
      <x:c r="F301" t="s">
        <x:v>1358</x:v>
      </x:c>
      <x:c r="K301">
        <x:v>1</x:v>
      </x:c>
      <x:c r="L301" t="str">
        <x:f t="shared" si="16"/>
      </x:c>
      <x:c r="O301" t="s">
        <x:v>38</x:v>
      </x:c>
      <x:c r="T301" s="2" t="n">
        <x:f>'SUPUESTOS PRECIOS'!$B$9</x:f>
        <x:v>0</x:v>
      </x:c>
      <x:c r="U301" s="3" t="n">
        <x:f>'SUPUESTOS PRECIOS'!$B$5/'SUPUESTOS PRECIOS'!$B$4</x:f>
        <x:v>1000</x:v>
      </x:c>
      <x:c r="V301" s="3" t="n">
        <x:f>('SUPUESTOS PRECIOS'!$B$6-'SUPUESTOS PRECIOS'!$B$7)/'SUPUESTOS PRECIOS'!$B$4</x:f>
        <x:v>377.5</x:v>
      </x:c>
      <x:c r="W301" s="4" t="n">
        <x:f>'SUPUESTOS PRECIOS'!$B$8</x:f>
        <x:v>0.00968</x:v>
      </x:c>
      <x:c r="X301" s="4" t="n">
        <x:f>'SUPUESTOS PRECIOS'!$B$2</x:f>
        <x:v>0.4</x:v>
      </x:c>
      <x:c r="Y301" s="3" t="str">
        <x:f t="shared" si="17"/>
      </x:c>
      <x:c r="Z301" s="3" t="str">
        <x:f t="shared" si="18"/>
      </x:c>
      <x:c r="AA301" s="11" t="str">
        <x:f t="shared" si="19"/>
      </x:c>
    </x:row>
    <x:row r="302">
      <x:c r="A302" s="10" t="s">
        <x:v>1425</x:v>
      </x:c>
      <x:c r="F302" t="s">
        <x:v>1358</x:v>
      </x:c>
      <x:c r="K302">
        <x:v>1</x:v>
      </x:c>
      <x:c r="L302" t="str">
        <x:f t="shared" si="16"/>
      </x:c>
      <x:c r="O302" t="s">
        <x:v>38</x:v>
      </x:c>
      <x:c r="T302" s="2" t="n">
        <x:f>'SUPUESTOS PRECIOS'!$B$9</x:f>
        <x:v>0</x:v>
      </x:c>
      <x:c r="U302" s="3" t="n">
        <x:f>'SUPUESTOS PRECIOS'!$B$5/'SUPUESTOS PRECIOS'!$B$4</x:f>
        <x:v>1000</x:v>
      </x:c>
      <x:c r="V302" s="3" t="n">
        <x:f>('SUPUESTOS PRECIOS'!$B$6-'SUPUESTOS PRECIOS'!$B$7)/'SUPUESTOS PRECIOS'!$B$4</x:f>
        <x:v>377.5</x:v>
      </x:c>
      <x:c r="W302" s="4" t="n">
        <x:f>'SUPUESTOS PRECIOS'!$B$8</x:f>
        <x:v>0.00968</x:v>
      </x:c>
      <x:c r="X302" s="4" t="n">
        <x:f>'SUPUESTOS PRECIOS'!$B$2</x:f>
        <x:v>0.4</x:v>
      </x:c>
      <x:c r="Y302" s="3" t="str">
        <x:f t="shared" si="17"/>
      </x:c>
      <x:c r="Z302" s="3" t="str">
        <x:f t="shared" si="18"/>
      </x:c>
      <x:c r="AA302" s="11" t="str">
        <x:f t="shared" si="19"/>
      </x:c>
    </x:row>
    <x:row r="303">
      <x:c r="A303" s="10" t="s">
        <x:v>1426</x:v>
      </x:c>
      <x:c r="F303" t="s">
        <x:v>1358</x:v>
      </x:c>
      <x:c r="K303">
        <x:v>1</x:v>
      </x:c>
      <x:c r="L303" t="str">
        <x:f t="shared" si="16"/>
      </x:c>
      <x:c r="O303" t="s">
        <x:v>38</x:v>
      </x:c>
      <x:c r="T303" s="2" t="n">
        <x:f>'SUPUESTOS PRECIOS'!$B$9</x:f>
        <x:v>0</x:v>
      </x:c>
      <x:c r="U303" s="3" t="n">
        <x:f>'SUPUESTOS PRECIOS'!$B$5/'SUPUESTOS PRECIOS'!$B$4</x:f>
        <x:v>1000</x:v>
      </x:c>
      <x:c r="V303" s="3" t="n">
        <x:f>('SUPUESTOS PRECIOS'!$B$6-'SUPUESTOS PRECIOS'!$B$7)/'SUPUESTOS PRECIOS'!$B$4</x:f>
        <x:v>377.5</x:v>
      </x:c>
      <x:c r="W303" s="4" t="n">
        <x:f>'SUPUESTOS PRECIOS'!$B$8</x:f>
        <x:v>0.00968</x:v>
      </x:c>
      <x:c r="X303" s="4" t="n">
        <x:f>'SUPUESTOS PRECIOS'!$B$2</x:f>
        <x:v>0.4</x:v>
      </x:c>
      <x:c r="Y303" s="3" t="str">
        <x:f t="shared" si="17"/>
      </x:c>
      <x:c r="Z303" s="3" t="str">
        <x:f t="shared" si="18"/>
      </x:c>
      <x:c r="AA303" s="11" t="str">
        <x:f t="shared" si="19"/>
      </x:c>
    </x:row>
    <x:row r="304">
      <x:c r="A304" s="10" t="s">
        <x:v>1427</x:v>
      </x:c>
      <x:c r="F304" t="s">
        <x:v>1358</x:v>
      </x:c>
      <x:c r="K304">
        <x:v>1</x:v>
      </x:c>
      <x:c r="L304" t="str">
        <x:f t="shared" si="16"/>
      </x:c>
      <x:c r="O304" t="s">
        <x:v>38</x:v>
      </x:c>
      <x:c r="T304" s="2" t="n">
        <x:f>'SUPUESTOS PRECIOS'!$B$9</x:f>
        <x:v>0</x:v>
      </x:c>
      <x:c r="U304" s="3" t="n">
        <x:f>'SUPUESTOS PRECIOS'!$B$5/'SUPUESTOS PRECIOS'!$B$4</x:f>
        <x:v>1000</x:v>
      </x:c>
      <x:c r="V304" s="3" t="n">
        <x:f>('SUPUESTOS PRECIOS'!$B$6-'SUPUESTOS PRECIOS'!$B$7)/'SUPUESTOS PRECIOS'!$B$4</x:f>
        <x:v>377.5</x:v>
      </x:c>
      <x:c r="W304" s="4" t="n">
        <x:f>'SUPUESTOS PRECIOS'!$B$8</x:f>
        <x:v>0.00968</x:v>
      </x:c>
      <x:c r="X304" s="4" t="n">
        <x:f>'SUPUESTOS PRECIOS'!$B$2</x:f>
        <x:v>0.4</x:v>
      </x:c>
      <x:c r="Y304" s="3" t="str">
        <x:f t="shared" si="17"/>
      </x:c>
      <x:c r="Z304" s="3" t="str">
        <x:f t="shared" si="18"/>
      </x:c>
      <x:c r="AA304" s="11" t="str">
        <x:f t="shared" si="19"/>
      </x:c>
    </x:row>
    <x:row r="305">
      <x:c r="A305" s="10" t="s">
        <x:v>1428</x:v>
      </x:c>
      <x:c r="F305" t="s">
        <x:v>1358</x:v>
      </x:c>
      <x:c r="K305">
        <x:v>1</x:v>
      </x:c>
      <x:c r="L305" t="str">
        <x:f t="shared" si="16"/>
      </x:c>
      <x:c r="O305" t="s">
        <x:v>38</x:v>
      </x:c>
      <x:c r="T305" s="2" t="n">
        <x:f>'SUPUESTOS PRECIOS'!$B$9</x:f>
        <x:v>0</x:v>
      </x:c>
      <x:c r="U305" s="3" t="n">
        <x:f>'SUPUESTOS PRECIOS'!$B$5/'SUPUESTOS PRECIOS'!$B$4</x:f>
        <x:v>1000</x:v>
      </x:c>
      <x:c r="V305" s="3" t="n">
        <x:f>('SUPUESTOS PRECIOS'!$B$6-'SUPUESTOS PRECIOS'!$B$7)/'SUPUESTOS PRECIOS'!$B$4</x:f>
        <x:v>377.5</x:v>
      </x:c>
      <x:c r="W305" s="4" t="n">
        <x:f>'SUPUESTOS PRECIOS'!$B$8</x:f>
        <x:v>0.00968</x:v>
      </x:c>
      <x:c r="X305" s="4" t="n">
        <x:f>'SUPUESTOS PRECIOS'!$B$2</x:f>
        <x:v>0.4</x:v>
      </x:c>
      <x:c r="Y305" s="3" t="str">
        <x:f t="shared" si="17"/>
      </x:c>
      <x:c r="Z305" s="3" t="str">
        <x:f t="shared" si="18"/>
      </x:c>
      <x:c r="AA305" s="11" t="str">
        <x:f t="shared" si="19"/>
      </x:c>
    </x:row>
    <x:row r="306">
      <x:c r="A306" s="10" t="s">
        <x:v>1429</x:v>
      </x:c>
      <x:c r="F306" t="s">
        <x:v>1358</x:v>
      </x:c>
      <x:c r="K306">
        <x:v>1</x:v>
      </x:c>
      <x:c r="L306" t="str">
        <x:f t="shared" si="16"/>
      </x:c>
      <x:c r="O306" t="s">
        <x:v>38</x:v>
      </x:c>
      <x:c r="T306" s="2" t="n">
        <x:f>'SUPUESTOS PRECIOS'!$B$9</x:f>
        <x:v>0</x:v>
      </x:c>
      <x:c r="U306" s="3" t="n">
        <x:f>'SUPUESTOS PRECIOS'!$B$5/'SUPUESTOS PRECIOS'!$B$4</x:f>
        <x:v>1000</x:v>
      </x:c>
      <x:c r="V306" s="3" t="n">
        <x:f>('SUPUESTOS PRECIOS'!$B$6-'SUPUESTOS PRECIOS'!$B$7)/'SUPUESTOS PRECIOS'!$B$4</x:f>
        <x:v>377.5</x:v>
      </x:c>
      <x:c r="W306" s="4" t="n">
        <x:f>'SUPUESTOS PRECIOS'!$B$8</x:f>
        <x:v>0.00968</x:v>
      </x:c>
      <x:c r="X306" s="4" t="n">
        <x:f>'SUPUESTOS PRECIOS'!$B$2</x:f>
        <x:v>0.4</x:v>
      </x:c>
      <x:c r="Y306" s="3" t="str">
        <x:f t="shared" si="17"/>
      </x:c>
      <x:c r="Z306" s="3" t="str">
        <x:f t="shared" si="18"/>
      </x:c>
      <x:c r="AA306" s="11" t="str">
        <x:f t="shared" si="19"/>
      </x:c>
    </x:row>
    <x:row r="307">
      <x:c r="A307" s="10" t="s">
        <x:v>1430</x:v>
      </x:c>
      <x:c r="F307" t="s">
        <x:v>1358</x:v>
      </x:c>
      <x:c r="K307">
        <x:v>1</x:v>
      </x:c>
      <x:c r="L307" t="str">
        <x:f t="shared" si="16"/>
      </x:c>
      <x:c r="O307" t="s">
        <x:v>38</x:v>
      </x:c>
      <x:c r="T307" s="2" t="n">
        <x:f>'SUPUESTOS PRECIOS'!$B$9</x:f>
        <x:v>0</x:v>
      </x:c>
      <x:c r="U307" s="3" t="n">
        <x:f>'SUPUESTOS PRECIOS'!$B$5/'SUPUESTOS PRECIOS'!$B$4</x:f>
        <x:v>1000</x:v>
      </x:c>
      <x:c r="V307" s="3" t="n">
        <x:f>('SUPUESTOS PRECIOS'!$B$6-'SUPUESTOS PRECIOS'!$B$7)/'SUPUESTOS PRECIOS'!$B$4</x:f>
        <x:v>377.5</x:v>
      </x:c>
      <x:c r="W307" s="4" t="n">
        <x:f>'SUPUESTOS PRECIOS'!$B$8</x:f>
        <x:v>0.00968</x:v>
      </x:c>
      <x:c r="X307" s="4" t="n">
        <x:f>'SUPUESTOS PRECIOS'!$B$2</x:f>
        <x:v>0.4</x:v>
      </x:c>
      <x:c r="Y307" s="3" t="str">
        <x:f t="shared" si="17"/>
      </x:c>
      <x:c r="Z307" s="3" t="str">
        <x:f t="shared" si="18"/>
      </x:c>
      <x:c r="AA307" s="11" t="str">
        <x:f t="shared" si="19"/>
      </x:c>
    </x:row>
    <x:row r="308">
      <x:c r="A308" s="10" t="s">
        <x:v>1431</x:v>
      </x:c>
      <x:c r="F308" t="s">
        <x:v>1358</x:v>
      </x:c>
      <x:c r="K308">
        <x:v>1</x:v>
      </x:c>
      <x:c r="L308" t="str">
        <x:f t="shared" si="16"/>
      </x:c>
      <x:c r="O308" t="s">
        <x:v>38</x:v>
      </x:c>
      <x:c r="T308" s="2" t="n">
        <x:f>'SUPUESTOS PRECIOS'!$B$9</x:f>
        <x:v>0</x:v>
      </x:c>
      <x:c r="U308" s="3" t="n">
        <x:f>'SUPUESTOS PRECIOS'!$B$5/'SUPUESTOS PRECIOS'!$B$4</x:f>
        <x:v>1000</x:v>
      </x:c>
      <x:c r="V308" s="3" t="n">
        <x:f>('SUPUESTOS PRECIOS'!$B$6-'SUPUESTOS PRECIOS'!$B$7)/'SUPUESTOS PRECIOS'!$B$4</x:f>
        <x:v>377.5</x:v>
      </x:c>
      <x:c r="W308" s="4" t="n">
        <x:f>'SUPUESTOS PRECIOS'!$B$8</x:f>
        <x:v>0.00968</x:v>
      </x:c>
      <x:c r="X308" s="4" t="n">
        <x:f>'SUPUESTOS PRECIOS'!$B$2</x:f>
        <x:v>0.4</x:v>
      </x:c>
      <x:c r="Y308" s="3" t="str">
        <x:f t="shared" si="17"/>
      </x:c>
      <x:c r="Z308" s="3" t="str">
        <x:f t="shared" si="18"/>
      </x:c>
      <x:c r="AA308" s="11" t="str">
        <x:f t="shared" si="19"/>
      </x:c>
    </x:row>
    <x:row r="309">
      <x:c r="A309" s="10" t="s">
        <x:v>1432</x:v>
      </x:c>
      <x:c r="F309" t="s">
        <x:v>1358</x:v>
      </x:c>
      <x:c r="K309">
        <x:v>1</x:v>
      </x:c>
      <x:c r="L309" t="str">
        <x:f t="shared" si="16"/>
      </x:c>
      <x:c r="O309" t="s">
        <x:v>38</x:v>
      </x:c>
      <x:c r="T309" s="2" t="n">
        <x:f>'SUPUESTOS PRECIOS'!$B$9</x:f>
        <x:v>0</x:v>
      </x:c>
      <x:c r="U309" s="3" t="n">
        <x:f>'SUPUESTOS PRECIOS'!$B$5/'SUPUESTOS PRECIOS'!$B$4</x:f>
        <x:v>1000</x:v>
      </x:c>
      <x:c r="V309" s="3" t="n">
        <x:f>('SUPUESTOS PRECIOS'!$B$6-'SUPUESTOS PRECIOS'!$B$7)/'SUPUESTOS PRECIOS'!$B$4</x:f>
        <x:v>377.5</x:v>
      </x:c>
      <x:c r="W309" s="4" t="n">
        <x:f>'SUPUESTOS PRECIOS'!$B$8</x:f>
        <x:v>0.00968</x:v>
      </x:c>
      <x:c r="X309" s="4" t="n">
        <x:f>'SUPUESTOS PRECIOS'!$B$2</x:f>
        <x:v>0.4</x:v>
      </x:c>
      <x:c r="Y309" s="3" t="str">
        <x:f t="shared" si="17"/>
      </x:c>
      <x:c r="Z309" s="3" t="str">
        <x:f t="shared" si="18"/>
      </x:c>
      <x:c r="AA309" s="11" t="str">
        <x:f t="shared" si="19"/>
      </x:c>
    </x:row>
    <x:row r="310">
      <x:c r="A310" s="10" t="s">
        <x:v>1433</x:v>
      </x:c>
      <x:c r="F310" t="s">
        <x:v>1358</x:v>
      </x:c>
      <x:c r="K310">
        <x:v>1</x:v>
      </x:c>
      <x:c r="L310" t="str">
        <x:f t="shared" si="16"/>
      </x:c>
      <x:c r="O310" t="s">
        <x:v>38</x:v>
      </x:c>
      <x:c r="T310" s="2" t="n">
        <x:f>'SUPUESTOS PRECIOS'!$B$9</x:f>
        <x:v>0</x:v>
      </x:c>
      <x:c r="U310" s="3" t="n">
        <x:f>'SUPUESTOS PRECIOS'!$B$5/'SUPUESTOS PRECIOS'!$B$4</x:f>
        <x:v>1000</x:v>
      </x:c>
      <x:c r="V310" s="3" t="n">
        <x:f>('SUPUESTOS PRECIOS'!$B$6-'SUPUESTOS PRECIOS'!$B$7)/'SUPUESTOS PRECIOS'!$B$4</x:f>
        <x:v>377.5</x:v>
      </x:c>
      <x:c r="W310" s="4" t="n">
        <x:f>'SUPUESTOS PRECIOS'!$B$8</x:f>
        <x:v>0.00968</x:v>
      </x:c>
      <x:c r="X310" s="4" t="n">
        <x:f>'SUPUESTOS PRECIOS'!$B$2</x:f>
        <x:v>0.4</x:v>
      </x:c>
      <x:c r="Y310" s="3" t="str">
        <x:f t="shared" si="17"/>
      </x:c>
      <x:c r="Z310" s="3" t="str">
        <x:f t="shared" si="18"/>
      </x:c>
      <x:c r="AA310" s="11" t="str">
        <x:f t="shared" si="19"/>
      </x:c>
    </x:row>
    <x:row r="311">
      <x:c r="A311" s="10" t="s">
        <x:v>1434</x:v>
      </x:c>
      <x:c r="F311" t="s">
        <x:v>1358</x:v>
      </x:c>
      <x:c r="K311">
        <x:v>1</x:v>
      </x:c>
      <x:c r="L311" t="str">
        <x:f t="shared" si="16"/>
      </x:c>
      <x:c r="O311" t="s">
        <x:v>38</x:v>
      </x:c>
      <x:c r="T311" s="2" t="n">
        <x:f>'SUPUESTOS PRECIOS'!$B$9</x:f>
        <x:v>0</x:v>
      </x:c>
      <x:c r="U311" s="3" t="n">
        <x:f>'SUPUESTOS PRECIOS'!$B$5/'SUPUESTOS PRECIOS'!$B$4</x:f>
        <x:v>1000</x:v>
      </x:c>
      <x:c r="V311" s="3" t="n">
        <x:f>('SUPUESTOS PRECIOS'!$B$6-'SUPUESTOS PRECIOS'!$B$7)/'SUPUESTOS PRECIOS'!$B$4</x:f>
        <x:v>377.5</x:v>
      </x:c>
      <x:c r="W311" s="4" t="n">
        <x:f>'SUPUESTOS PRECIOS'!$B$8</x:f>
        <x:v>0.00968</x:v>
      </x:c>
      <x:c r="X311" s="4" t="n">
        <x:f>'SUPUESTOS PRECIOS'!$B$2</x:f>
        <x:v>0.4</x:v>
      </x:c>
      <x:c r="Y311" s="3" t="str">
        <x:f t="shared" si="17"/>
      </x:c>
      <x:c r="Z311" s="3" t="str">
        <x:f t="shared" si="18"/>
      </x:c>
      <x:c r="AA311" s="11" t="str">
        <x:f t="shared" si="19"/>
      </x:c>
    </x:row>
    <x:row r="312">
      <x:c r="A312" s="10" t="s">
        <x:v>1435</x:v>
      </x:c>
      <x:c r="F312" t="s">
        <x:v>1358</x:v>
      </x:c>
      <x:c r="K312">
        <x:v>1</x:v>
      </x:c>
      <x:c r="L312" t="str">
        <x:f t="shared" si="16"/>
      </x:c>
      <x:c r="O312" t="s">
        <x:v>38</x:v>
      </x:c>
      <x:c r="T312" s="2" t="n">
        <x:f>'SUPUESTOS PRECIOS'!$B$9</x:f>
        <x:v>0</x:v>
      </x:c>
      <x:c r="U312" s="3" t="n">
        <x:f>'SUPUESTOS PRECIOS'!$B$5/'SUPUESTOS PRECIOS'!$B$4</x:f>
        <x:v>1000</x:v>
      </x:c>
      <x:c r="V312" s="3" t="n">
        <x:f>('SUPUESTOS PRECIOS'!$B$6-'SUPUESTOS PRECIOS'!$B$7)/'SUPUESTOS PRECIOS'!$B$4</x:f>
        <x:v>377.5</x:v>
      </x:c>
      <x:c r="W312" s="4" t="n">
        <x:f>'SUPUESTOS PRECIOS'!$B$8</x:f>
        <x:v>0.00968</x:v>
      </x:c>
      <x:c r="X312" s="4" t="n">
        <x:f>'SUPUESTOS PRECIOS'!$B$2</x:f>
        <x:v>0.4</x:v>
      </x:c>
      <x:c r="Y312" s="3" t="str">
        <x:f t="shared" si="17"/>
      </x:c>
      <x:c r="Z312" s="3" t="str">
        <x:f t="shared" si="18"/>
      </x:c>
      <x:c r="AA312" s="11" t="str">
        <x:f t="shared" si="19"/>
      </x:c>
    </x:row>
    <x:row r="313">
      <x:c r="A313" s="10" t="s">
        <x:v>1436</x:v>
      </x:c>
      <x:c r="F313" t="s">
        <x:v>1358</x:v>
      </x:c>
      <x:c r="K313">
        <x:v>1</x:v>
      </x:c>
      <x:c r="L313" t="str">
        <x:f t="shared" si="16"/>
      </x:c>
      <x:c r="O313" t="s">
        <x:v>38</x:v>
      </x:c>
      <x:c r="T313" s="2" t="n">
        <x:f>'SUPUESTOS PRECIOS'!$B$9</x:f>
        <x:v>0</x:v>
      </x:c>
      <x:c r="U313" s="3" t="n">
        <x:f>'SUPUESTOS PRECIOS'!$B$5/'SUPUESTOS PRECIOS'!$B$4</x:f>
        <x:v>1000</x:v>
      </x:c>
      <x:c r="V313" s="3" t="n">
        <x:f>('SUPUESTOS PRECIOS'!$B$6-'SUPUESTOS PRECIOS'!$B$7)/'SUPUESTOS PRECIOS'!$B$4</x:f>
        <x:v>377.5</x:v>
      </x:c>
      <x:c r="W313" s="4" t="n">
        <x:f>'SUPUESTOS PRECIOS'!$B$8</x:f>
        <x:v>0.00968</x:v>
      </x:c>
      <x:c r="X313" s="4" t="n">
        <x:f>'SUPUESTOS PRECIOS'!$B$2</x:f>
        <x:v>0.4</x:v>
      </x:c>
      <x:c r="Y313" s="3" t="str">
        <x:f t="shared" si="17"/>
      </x:c>
      <x:c r="Z313" s="3" t="str">
        <x:f t="shared" si="18"/>
      </x:c>
      <x:c r="AA313" s="11" t="str">
        <x:f t="shared" si="19"/>
      </x:c>
    </x:row>
    <x:row r="314">
      <x:c r="A314" s="10" t="s">
        <x:v>1437</x:v>
      </x:c>
      <x:c r="F314" t="s">
        <x:v>1358</x:v>
      </x:c>
      <x:c r="K314">
        <x:v>1</x:v>
      </x:c>
      <x:c r="L314" t="str">
        <x:f t="shared" si="16"/>
      </x:c>
      <x:c r="O314" t="s">
        <x:v>38</x:v>
      </x:c>
      <x:c r="T314" s="2" t="n">
        <x:f>'SUPUESTOS PRECIOS'!$B$9</x:f>
        <x:v>0</x:v>
      </x:c>
      <x:c r="U314" s="3" t="n">
        <x:f>'SUPUESTOS PRECIOS'!$B$5/'SUPUESTOS PRECIOS'!$B$4</x:f>
        <x:v>1000</x:v>
      </x:c>
      <x:c r="V314" s="3" t="n">
        <x:f>('SUPUESTOS PRECIOS'!$B$6-'SUPUESTOS PRECIOS'!$B$7)/'SUPUESTOS PRECIOS'!$B$4</x:f>
        <x:v>377.5</x:v>
      </x:c>
      <x:c r="W314" s="4" t="n">
        <x:f>'SUPUESTOS PRECIOS'!$B$8</x:f>
        <x:v>0.00968</x:v>
      </x:c>
      <x:c r="X314" s="4" t="n">
        <x:f>'SUPUESTOS PRECIOS'!$B$2</x:f>
        <x:v>0.4</x:v>
      </x:c>
      <x:c r="Y314" s="3" t="str">
        <x:f t="shared" si="17"/>
      </x:c>
      <x:c r="Z314" s="3" t="str">
        <x:f t="shared" si="18"/>
      </x:c>
      <x:c r="AA314" s="11" t="str">
        <x:f t="shared" si="19"/>
      </x:c>
    </x:row>
    <x:row r="315">
      <x:c r="A315" s="10" t="s">
        <x:v>1438</x:v>
      </x:c>
      <x:c r="F315" t="s">
        <x:v>1358</x:v>
      </x:c>
      <x:c r="K315">
        <x:v>1</x:v>
      </x:c>
      <x:c r="L315" t="str">
        <x:f t="shared" si="16"/>
      </x:c>
      <x:c r="O315" t="s">
        <x:v>38</x:v>
      </x:c>
      <x:c r="T315" s="2" t="n">
        <x:f>'SUPUESTOS PRECIOS'!$B$9</x:f>
        <x:v>0</x:v>
      </x:c>
      <x:c r="U315" s="3" t="n">
        <x:f>'SUPUESTOS PRECIOS'!$B$5/'SUPUESTOS PRECIOS'!$B$4</x:f>
        <x:v>1000</x:v>
      </x:c>
      <x:c r="V315" s="3" t="n">
        <x:f>('SUPUESTOS PRECIOS'!$B$6-'SUPUESTOS PRECIOS'!$B$7)/'SUPUESTOS PRECIOS'!$B$4</x:f>
        <x:v>377.5</x:v>
      </x:c>
      <x:c r="W315" s="4" t="n">
        <x:f>'SUPUESTOS PRECIOS'!$B$8</x:f>
        <x:v>0.00968</x:v>
      </x:c>
      <x:c r="X315" s="4" t="n">
        <x:f>'SUPUESTOS PRECIOS'!$B$2</x:f>
        <x:v>0.4</x:v>
      </x:c>
      <x:c r="Y315" s="3" t="str">
        <x:f t="shared" si="17"/>
      </x:c>
      <x:c r="Z315" s="3" t="str">
        <x:f t="shared" si="18"/>
      </x:c>
      <x:c r="AA315" s="11" t="str">
        <x:f t="shared" si="19"/>
      </x:c>
    </x:row>
    <x:row r="316">
      <x:c r="A316" s="10" t="s">
        <x:v>1439</x:v>
      </x:c>
      <x:c r="F316" t="s">
        <x:v>1358</x:v>
      </x:c>
      <x:c r="K316">
        <x:v>1</x:v>
      </x:c>
      <x:c r="L316" t="str">
        <x:f t="shared" si="16"/>
      </x:c>
      <x:c r="O316" t="s">
        <x:v>38</x:v>
      </x:c>
      <x:c r="T316" s="2" t="n">
        <x:f>'SUPUESTOS PRECIOS'!$B$9</x:f>
        <x:v>0</x:v>
      </x:c>
      <x:c r="U316" s="3" t="n">
        <x:f>'SUPUESTOS PRECIOS'!$B$5/'SUPUESTOS PRECIOS'!$B$4</x:f>
        <x:v>1000</x:v>
      </x:c>
      <x:c r="V316" s="3" t="n">
        <x:f>('SUPUESTOS PRECIOS'!$B$6-'SUPUESTOS PRECIOS'!$B$7)/'SUPUESTOS PRECIOS'!$B$4</x:f>
        <x:v>377.5</x:v>
      </x:c>
      <x:c r="W316" s="4" t="n">
        <x:f>'SUPUESTOS PRECIOS'!$B$8</x:f>
        <x:v>0.00968</x:v>
      </x:c>
      <x:c r="X316" s="4" t="n">
        <x:f>'SUPUESTOS PRECIOS'!$B$2</x:f>
        <x:v>0.4</x:v>
      </x:c>
      <x:c r="Y316" s="3" t="str">
        <x:f t="shared" si="17"/>
      </x:c>
      <x:c r="Z316" s="3" t="str">
        <x:f t="shared" si="18"/>
      </x:c>
      <x:c r="AA316" s="11" t="str">
        <x:f t="shared" si="19"/>
      </x:c>
    </x:row>
    <x:row r="317">
      <x:c r="A317" s="10" t="s">
        <x:v>1440</x:v>
      </x:c>
      <x:c r="F317" t="s">
        <x:v>1358</x:v>
      </x:c>
      <x:c r="K317">
        <x:v>1</x:v>
      </x:c>
      <x:c r="L317" t="str">
        <x:f t="shared" si="16"/>
      </x:c>
      <x:c r="O317" t="s">
        <x:v>38</x:v>
      </x:c>
      <x:c r="T317" s="2" t="n">
        <x:f>'SUPUESTOS PRECIOS'!$B$9</x:f>
        <x:v>0</x:v>
      </x:c>
      <x:c r="U317" s="3" t="n">
        <x:f>'SUPUESTOS PRECIOS'!$B$5/'SUPUESTOS PRECIOS'!$B$4</x:f>
        <x:v>1000</x:v>
      </x:c>
      <x:c r="V317" s="3" t="n">
        <x:f>('SUPUESTOS PRECIOS'!$B$6-'SUPUESTOS PRECIOS'!$B$7)/'SUPUESTOS PRECIOS'!$B$4</x:f>
        <x:v>377.5</x:v>
      </x:c>
      <x:c r="W317" s="4" t="n">
        <x:f>'SUPUESTOS PRECIOS'!$B$8</x:f>
        <x:v>0.00968</x:v>
      </x:c>
      <x:c r="X317" s="4" t="n">
        <x:f>'SUPUESTOS PRECIOS'!$B$2</x:f>
        <x:v>0.4</x:v>
      </x:c>
      <x:c r="Y317" s="3" t="str">
        <x:f t="shared" si="17"/>
      </x:c>
      <x:c r="Z317" s="3" t="str">
        <x:f t="shared" si="18"/>
      </x:c>
      <x:c r="AA317" s="11" t="str">
        <x:f t="shared" si="19"/>
      </x:c>
    </x:row>
    <x:row r="318">
      <x:c r="A318" s="10" t="s">
        <x:v>1441</x:v>
      </x:c>
      <x:c r="F318" t="s">
        <x:v>1358</x:v>
      </x:c>
      <x:c r="K318">
        <x:v>1</x:v>
      </x:c>
      <x:c r="L318" t="str">
        <x:f t="shared" si="16"/>
      </x:c>
      <x:c r="O318" t="s">
        <x:v>38</x:v>
      </x:c>
      <x:c r="T318" s="2" t="n">
        <x:f>'SUPUESTOS PRECIOS'!$B$9</x:f>
        <x:v>0</x:v>
      </x:c>
      <x:c r="U318" s="3" t="n">
        <x:f>'SUPUESTOS PRECIOS'!$B$5/'SUPUESTOS PRECIOS'!$B$4</x:f>
        <x:v>1000</x:v>
      </x:c>
      <x:c r="V318" s="3" t="n">
        <x:f>('SUPUESTOS PRECIOS'!$B$6-'SUPUESTOS PRECIOS'!$B$7)/'SUPUESTOS PRECIOS'!$B$4</x:f>
        <x:v>377.5</x:v>
      </x:c>
      <x:c r="W318" s="4" t="n">
        <x:f>'SUPUESTOS PRECIOS'!$B$8</x:f>
        <x:v>0.00968</x:v>
      </x:c>
      <x:c r="X318" s="4" t="n">
        <x:f>'SUPUESTOS PRECIOS'!$B$2</x:f>
        <x:v>0.4</x:v>
      </x:c>
      <x:c r="Y318" s="3" t="str">
        <x:f t="shared" si="17"/>
      </x:c>
      <x:c r="Z318" s="3" t="str">
        <x:f t="shared" si="18"/>
      </x:c>
      <x:c r="AA318" s="11" t="str">
        <x:f t="shared" si="19"/>
      </x:c>
    </x:row>
    <x:row r="319">
      <x:c r="A319" s="10" t="s">
        <x:v>1442</x:v>
      </x:c>
      <x:c r="F319" t="s">
        <x:v>1358</x:v>
      </x:c>
      <x:c r="K319">
        <x:v>1</x:v>
      </x:c>
      <x:c r="L319" t="str">
        <x:f t="shared" si="16"/>
      </x:c>
      <x:c r="O319" t="s">
        <x:v>38</x:v>
      </x:c>
      <x:c r="T319" s="2" t="n">
        <x:f>'SUPUESTOS PRECIOS'!$B$9</x:f>
        <x:v>0</x:v>
      </x:c>
      <x:c r="U319" s="3" t="n">
        <x:f>'SUPUESTOS PRECIOS'!$B$5/'SUPUESTOS PRECIOS'!$B$4</x:f>
        <x:v>1000</x:v>
      </x:c>
      <x:c r="V319" s="3" t="n">
        <x:f>('SUPUESTOS PRECIOS'!$B$6-'SUPUESTOS PRECIOS'!$B$7)/'SUPUESTOS PRECIOS'!$B$4</x:f>
        <x:v>377.5</x:v>
      </x:c>
      <x:c r="W319" s="4" t="n">
        <x:f>'SUPUESTOS PRECIOS'!$B$8</x:f>
        <x:v>0.00968</x:v>
      </x:c>
      <x:c r="X319" s="4" t="n">
        <x:f>'SUPUESTOS PRECIOS'!$B$2</x:f>
        <x:v>0.4</x:v>
      </x:c>
      <x:c r="Y319" s="3" t="str">
        <x:f t="shared" si="17"/>
      </x:c>
      <x:c r="Z319" s="3" t="str">
        <x:f t="shared" si="18"/>
      </x:c>
      <x:c r="AA319" s="11" t="str">
        <x:f t="shared" si="19"/>
      </x:c>
    </x:row>
    <x:row r="320">
      <x:c r="A320" s="10" t="s">
        <x:v>1443</x:v>
      </x:c>
      <x:c r="F320" t="s">
        <x:v>1358</x:v>
      </x:c>
      <x:c r="K320">
        <x:v>1</x:v>
      </x:c>
      <x:c r="L320" t="str">
        <x:f t="shared" si="16"/>
      </x:c>
      <x:c r="O320" t="s">
        <x:v>38</x:v>
      </x:c>
      <x:c r="T320" s="2" t="n">
        <x:f>'SUPUESTOS PRECIOS'!$B$9</x:f>
        <x:v>0</x:v>
      </x:c>
      <x:c r="U320" s="3" t="n">
        <x:f>'SUPUESTOS PRECIOS'!$B$5/'SUPUESTOS PRECIOS'!$B$4</x:f>
        <x:v>1000</x:v>
      </x:c>
      <x:c r="V320" s="3" t="n">
        <x:f>('SUPUESTOS PRECIOS'!$B$6-'SUPUESTOS PRECIOS'!$B$7)/'SUPUESTOS PRECIOS'!$B$4</x:f>
        <x:v>377.5</x:v>
      </x:c>
      <x:c r="W320" s="4" t="n">
        <x:f>'SUPUESTOS PRECIOS'!$B$8</x:f>
        <x:v>0.00968</x:v>
      </x:c>
      <x:c r="X320" s="4" t="n">
        <x:f>'SUPUESTOS PRECIOS'!$B$2</x:f>
        <x:v>0.4</x:v>
      </x:c>
      <x:c r="Y320" s="3" t="str">
        <x:f t="shared" si="17"/>
      </x:c>
      <x:c r="Z320" s="3" t="str">
        <x:f t="shared" si="18"/>
      </x:c>
      <x:c r="AA320" s="11" t="str">
        <x:f t="shared" si="19"/>
      </x:c>
    </x:row>
    <x:row r="321">
      <x:c r="A321" s="10" t="s">
        <x:v>1444</x:v>
      </x:c>
      <x:c r="F321" t="s">
        <x:v>1358</x:v>
      </x:c>
      <x:c r="K321">
        <x:v>1</x:v>
      </x:c>
      <x:c r="L321" t="str">
        <x:f t="shared" si="16"/>
      </x:c>
      <x:c r="O321" t="s">
        <x:v>38</x:v>
      </x:c>
      <x:c r="T321" s="2" t="n">
        <x:f>'SUPUESTOS PRECIOS'!$B$9</x:f>
        <x:v>0</x:v>
      </x:c>
      <x:c r="U321" s="3" t="n">
        <x:f>'SUPUESTOS PRECIOS'!$B$5/'SUPUESTOS PRECIOS'!$B$4</x:f>
        <x:v>1000</x:v>
      </x:c>
      <x:c r="V321" s="3" t="n">
        <x:f>('SUPUESTOS PRECIOS'!$B$6-'SUPUESTOS PRECIOS'!$B$7)/'SUPUESTOS PRECIOS'!$B$4</x:f>
        <x:v>377.5</x:v>
      </x:c>
      <x:c r="W321" s="4" t="n">
        <x:f>'SUPUESTOS PRECIOS'!$B$8</x:f>
        <x:v>0.00968</x:v>
      </x:c>
      <x:c r="X321" s="4" t="n">
        <x:f>'SUPUESTOS PRECIOS'!$B$2</x:f>
        <x:v>0.4</x:v>
      </x:c>
      <x:c r="Y321" s="3" t="str">
        <x:f t="shared" si="17"/>
      </x:c>
      <x:c r="Z321" s="3" t="str">
        <x:f t="shared" si="18"/>
      </x:c>
      <x:c r="AA321" s="11" t="str">
        <x:f t="shared" si="19"/>
      </x:c>
    </x:row>
    <x:row r="322">
      <x:c r="A322" s="10" t="s">
        <x:v>1445</x:v>
      </x:c>
      <x:c r="F322" t="s">
        <x:v>1358</x:v>
      </x:c>
      <x:c r="K322">
        <x:v>1</x:v>
      </x:c>
      <x:c r="L322" t="str">
        <x:f t="shared" ref="L322:L385" si="20">IF(J322="","",J322*(1+K322))</x:f>
      </x:c>
      <x:c r="O322" t="s">
        <x:v>38</x:v>
      </x:c>
      <x:c r="T322" s="2" t="n">
        <x:f>'SUPUESTOS PRECIOS'!$B$9</x:f>
        <x:v>0</x:v>
      </x:c>
      <x:c r="U322" s="3" t="n">
        <x:f>'SUPUESTOS PRECIOS'!$B$5/'SUPUESTOS PRECIOS'!$B$4</x:f>
        <x:v>1000</x:v>
      </x:c>
      <x:c r="V322" s="3" t="n">
        <x:f>('SUPUESTOS PRECIOS'!$B$6-'SUPUESTOS PRECIOS'!$B$7)/'SUPUESTOS PRECIOS'!$B$4</x:f>
        <x:v>377.5</x:v>
      </x:c>
      <x:c r="W322" s="4" t="n">
        <x:f>'SUPUESTOS PRECIOS'!$B$8</x:f>
        <x:v>0.00968</x:v>
      </x:c>
      <x:c r="X322" s="4" t="n">
        <x:f>'SUPUESTOS PRECIOS'!$B$2</x:f>
        <x:v>0.4</x:v>
      </x:c>
      <x:c r="Y322" s="3" t="str">
        <x:f t="shared" ref="Y322:Y385" si="21">IF(OR($B322="",$J322=""),"",ROUND(($J322+$T322+$U322+$V322)/(1-$W322-$X322),-1))</x:f>
      </x:c>
      <x:c r="Z322" s="3" t="str">
        <x:f t="shared" ref="Z322:Z385" si="22">IF($Y322="","",$Y322-$J322-$T322-$U322-$V322-($Y322*$W322))</x:f>
      </x:c>
      <x:c r="AA322" s="11" t="str">
        <x:f t="shared" ref="AA322:AA385" si="23">IF($Y322="","",$Z322/$Y322)</x:f>
      </x:c>
    </x:row>
    <x:row r="323">
      <x:c r="A323" s="10" t="s">
        <x:v>1446</x:v>
      </x:c>
      <x:c r="F323" t="s">
        <x:v>1358</x:v>
      </x:c>
      <x:c r="K323">
        <x:v>1</x:v>
      </x:c>
      <x:c r="L323" t="str">
        <x:f t="shared" si="20"/>
      </x:c>
      <x:c r="O323" t="s">
        <x:v>38</x:v>
      </x:c>
      <x:c r="T323" s="2" t="n">
        <x:f>'SUPUESTOS PRECIOS'!$B$9</x:f>
        <x:v>0</x:v>
      </x:c>
      <x:c r="U323" s="3" t="n">
        <x:f>'SUPUESTOS PRECIOS'!$B$5/'SUPUESTOS PRECIOS'!$B$4</x:f>
        <x:v>1000</x:v>
      </x:c>
      <x:c r="V323" s="3" t="n">
        <x:f>('SUPUESTOS PRECIOS'!$B$6-'SUPUESTOS PRECIOS'!$B$7)/'SUPUESTOS PRECIOS'!$B$4</x:f>
        <x:v>377.5</x:v>
      </x:c>
      <x:c r="W323" s="4" t="n">
        <x:f>'SUPUESTOS PRECIOS'!$B$8</x:f>
        <x:v>0.00968</x:v>
      </x:c>
      <x:c r="X323" s="4" t="n">
        <x:f>'SUPUESTOS PRECIOS'!$B$2</x:f>
        <x:v>0.4</x:v>
      </x:c>
      <x:c r="Y323" s="3" t="str">
        <x:f t="shared" si="21"/>
      </x:c>
      <x:c r="Z323" s="3" t="str">
        <x:f t="shared" si="22"/>
      </x:c>
      <x:c r="AA323" s="11" t="str">
        <x:f t="shared" si="23"/>
      </x:c>
    </x:row>
    <x:row r="324">
      <x:c r="A324" s="10" t="s">
        <x:v>1447</x:v>
      </x:c>
      <x:c r="F324" t="s">
        <x:v>1358</x:v>
      </x:c>
      <x:c r="K324">
        <x:v>1</x:v>
      </x:c>
      <x:c r="L324" t="str">
        <x:f t="shared" si="20"/>
      </x:c>
      <x:c r="O324" t="s">
        <x:v>38</x:v>
      </x:c>
      <x:c r="T324" s="2" t="n">
        <x:f>'SUPUESTOS PRECIOS'!$B$9</x:f>
        <x:v>0</x:v>
      </x:c>
      <x:c r="U324" s="3" t="n">
        <x:f>'SUPUESTOS PRECIOS'!$B$5/'SUPUESTOS PRECIOS'!$B$4</x:f>
        <x:v>1000</x:v>
      </x:c>
      <x:c r="V324" s="3" t="n">
        <x:f>('SUPUESTOS PRECIOS'!$B$6-'SUPUESTOS PRECIOS'!$B$7)/'SUPUESTOS PRECIOS'!$B$4</x:f>
        <x:v>377.5</x:v>
      </x:c>
      <x:c r="W324" s="4" t="n">
        <x:f>'SUPUESTOS PRECIOS'!$B$8</x:f>
        <x:v>0.00968</x:v>
      </x:c>
      <x:c r="X324" s="4" t="n">
        <x:f>'SUPUESTOS PRECIOS'!$B$2</x:f>
        <x:v>0.4</x:v>
      </x:c>
      <x:c r="Y324" s="3" t="str">
        <x:f t="shared" si="21"/>
      </x:c>
      <x:c r="Z324" s="3" t="str">
        <x:f t="shared" si="22"/>
      </x:c>
      <x:c r="AA324" s="11" t="str">
        <x:f t="shared" si="23"/>
      </x:c>
    </x:row>
    <x:row r="325">
      <x:c r="A325" s="10" t="s">
        <x:v>1448</x:v>
      </x:c>
      <x:c r="F325" t="s">
        <x:v>1358</x:v>
      </x:c>
      <x:c r="K325">
        <x:v>1</x:v>
      </x:c>
      <x:c r="L325" t="str">
        <x:f t="shared" si="20"/>
      </x:c>
      <x:c r="O325" t="s">
        <x:v>38</x:v>
      </x:c>
      <x:c r="T325" s="2" t="n">
        <x:f>'SUPUESTOS PRECIOS'!$B$9</x:f>
        <x:v>0</x:v>
      </x:c>
      <x:c r="U325" s="3" t="n">
        <x:f>'SUPUESTOS PRECIOS'!$B$5/'SUPUESTOS PRECIOS'!$B$4</x:f>
        <x:v>1000</x:v>
      </x:c>
      <x:c r="V325" s="3" t="n">
        <x:f>('SUPUESTOS PRECIOS'!$B$6-'SUPUESTOS PRECIOS'!$B$7)/'SUPUESTOS PRECIOS'!$B$4</x:f>
        <x:v>377.5</x:v>
      </x:c>
      <x:c r="W325" s="4" t="n">
        <x:f>'SUPUESTOS PRECIOS'!$B$8</x:f>
        <x:v>0.00968</x:v>
      </x:c>
      <x:c r="X325" s="4" t="n">
        <x:f>'SUPUESTOS PRECIOS'!$B$2</x:f>
        <x:v>0.4</x:v>
      </x:c>
      <x:c r="Y325" s="3" t="str">
        <x:f t="shared" si="21"/>
      </x:c>
      <x:c r="Z325" s="3" t="str">
        <x:f t="shared" si="22"/>
      </x:c>
      <x:c r="AA325" s="11" t="str">
        <x:f t="shared" si="23"/>
      </x:c>
    </x:row>
    <x:row r="326">
      <x:c r="A326" s="10" t="s">
        <x:v>1449</x:v>
      </x:c>
      <x:c r="F326" t="s">
        <x:v>1358</x:v>
      </x:c>
      <x:c r="K326">
        <x:v>1</x:v>
      </x:c>
      <x:c r="L326" t="str">
        <x:f t="shared" si="20"/>
      </x:c>
      <x:c r="O326" t="s">
        <x:v>38</x:v>
      </x:c>
      <x:c r="T326" s="2" t="n">
        <x:f>'SUPUESTOS PRECIOS'!$B$9</x:f>
        <x:v>0</x:v>
      </x:c>
      <x:c r="U326" s="3" t="n">
        <x:f>'SUPUESTOS PRECIOS'!$B$5/'SUPUESTOS PRECIOS'!$B$4</x:f>
        <x:v>1000</x:v>
      </x:c>
      <x:c r="V326" s="3" t="n">
        <x:f>('SUPUESTOS PRECIOS'!$B$6-'SUPUESTOS PRECIOS'!$B$7)/'SUPUESTOS PRECIOS'!$B$4</x:f>
        <x:v>377.5</x:v>
      </x:c>
      <x:c r="W326" s="4" t="n">
        <x:f>'SUPUESTOS PRECIOS'!$B$8</x:f>
        <x:v>0.00968</x:v>
      </x:c>
      <x:c r="X326" s="4" t="n">
        <x:f>'SUPUESTOS PRECIOS'!$B$2</x:f>
        <x:v>0.4</x:v>
      </x:c>
      <x:c r="Y326" s="3" t="str">
        <x:f t="shared" si="21"/>
      </x:c>
      <x:c r="Z326" s="3" t="str">
        <x:f t="shared" si="22"/>
      </x:c>
      <x:c r="AA326" s="11" t="str">
        <x:f t="shared" si="23"/>
      </x:c>
    </x:row>
    <x:row r="327">
      <x:c r="A327" s="10" t="s">
        <x:v>1450</x:v>
      </x:c>
      <x:c r="F327" t="s">
        <x:v>1358</x:v>
      </x:c>
      <x:c r="K327">
        <x:v>1</x:v>
      </x:c>
      <x:c r="L327" t="str">
        <x:f t="shared" si="20"/>
      </x:c>
      <x:c r="O327" t="s">
        <x:v>38</x:v>
      </x:c>
      <x:c r="T327" s="2" t="n">
        <x:f>'SUPUESTOS PRECIOS'!$B$9</x:f>
        <x:v>0</x:v>
      </x:c>
      <x:c r="U327" s="3" t="n">
        <x:f>'SUPUESTOS PRECIOS'!$B$5/'SUPUESTOS PRECIOS'!$B$4</x:f>
        <x:v>1000</x:v>
      </x:c>
      <x:c r="V327" s="3" t="n">
        <x:f>('SUPUESTOS PRECIOS'!$B$6-'SUPUESTOS PRECIOS'!$B$7)/'SUPUESTOS PRECIOS'!$B$4</x:f>
        <x:v>377.5</x:v>
      </x:c>
      <x:c r="W327" s="4" t="n">
        <x:f>'SUPUESTOS PRECIOS'!$B$8</x:f>
        <x:v>0.00968</x:v>
      </x:c>
      <x:c r="X327" s="4" t="n">
        <x:f>'SUPUESTOS PRECIOS'!$B$2</x:f>
        <x:v>0.4</x:v>
      </x:c>
      <x:c r="Y327" s="3" t="str">
        <x:f t="shared" si="21"/>
      </x:c>
      <x:c r="Z327" s="3" t="str">
        <x:f t="shared" si="22"/>
      </x:c>
      <x:c r="AA327" s="11" t="str">
        <x:f t="shared" si="23"/>
      </x:c>
    </x:row>
    <x:row r="328">
      <x:c r="A328" s="10" t="s">
        <x:v>1451</x:v>
      </x:c>
      <x:c r="F328" t="s">
        <x:v>1358</x:v>
      </x:c>
      <x:c r="K328">
        <x:v>1</x:v>
      </x:c>
      <x:c r="L328" t="str">
        <x:f t="shared" si="20"/>
      </x:c>
      <x:c r="O328" t="s">
        <x:v>38</x:v>
      </x:c>
      <x:c r="T328" s="2" t="n">
        <x:f>'SUPUESTOS PRECIOS'!$B$9</x:f>
        <x:v>0</x:v>
      </x:c>
      <x:c r="U328" s="3" t="n">
        <x:f>'SUPUESTOS PRECIOS'!$B$5/'SUPUESTOS PRECIOS'!$B$4</x:f>
        <x:v>1000</x:v>
      </x:c>
      <x:c r="V328" s="3" t="n">
        <x:f>('SUPUESTOS PRECIOS'!$B$6-'SUPUESTOS PRECIOS'!$B$7)/'SUPUESTOS PRECIOS'!$B$4</x:f>
        <x:v>377.5</x:v>
      </x:c>
      <x:c r="W328" s="4" t="n">
        <x:f>'SUPUESTOS PRECIOS'!$B$8</x:f>
        <x:v>0.00968</x:v>
      </x:c>
      <x:c r="X328" s="4" t="n">
        <x:f>'SUPUESTOS PRECIOS'!$B$2</x:f>
        <x:v>0.4</x:v>
      </x:c>
      <x:c r="Y328" s="3" t="str">
        <x:f t="shared" si="21"/>
      </x:c>
      <x:c r="Z328" s="3" t="str">
        <x:f t="shared" si="22"/>
      </x:c>
      <x:c r="AA328" s="11" t="str">
        <x:f t="shared" si="23"/>
      </x:c>
    </x:row>
    <x:row r="329">
      <x:c r="A329" s="10" t="s">
        <x:v>1452</x:v>
      </x:c>
      <x:c r="F329" t="s">
        <x:v>1358</x:v>
      </x:c>
      <x:c r="K329">
        <x:v>1</x:v>
      </x:c>
      <x:c r="L329" t="str">
        <x:f t="shared" si="20"/>
      </x:c>
      <x:c r="O329" t="s">
        <x:v>38</x:v>
      </x:c>
      <x:c r="T329" s="2" t="n">
        <x:f>'SUPUESTOS PRECIOS'!$B$9</x:f>
        <x:v>0</x:v>
      </x:c>
      <x:c r="U329" s="3" t="n">
        <x:f>'SUPUESTOS PRECIOS'!$B$5/'SUPUESTOS PRECIOS'!$B$4</x:f>
        <x:v>1000</x:v>
      </x:c>
      <x:c r="V329" s="3" t="n">
        <x:f>('SUPUESTOS PRECIOS'!$B$6-'SUPUESTOS PRECIOS'!$B$7)/'SUPUESTOS PRECIOS'!$B$4</x:f>
        <x:v>377.5</x:v>
      </x:c>
      <x:c r="W329" s="4" t="n">
        <x:f>'SUPUESTOS PRECIOS'!$B$8</x:f>
        <x:v>0.00968</x:v>
      </x:c>
      <x:c r="X329" s="4" t="n">
        <x:f>'SUPUESTOS PRECIOS'!$B$2</x:f>
        <x:v>0.4</x:v>
      </x:c>
      <x:c r="Y329" s="3" t="str">
        <x:f t="shared" si="21"/>
      </x:c>
      <x:c r="Z329" s="3" t="str">
        <x:f t="shared" si="22"/>
      </x:c>
      <x:c r="AA329" s="11" t="str">
        <x:f t="shared" si="23"/>
      </x:c>
    </x:row>
    <x:row r="330">
      <x:c r="A330" s="10" t="s">
        <x:v>1453</x:v>
      </x:c>
      <x:c r="F330" t="s">
        <x:v>1358</x:v>
      </x:c>
      <x:c r="K330">
        <x:v>1</x:v>
      </x:c>
      <x:c r="L330" t="str">
        <x:f t="shared" si="20"/>
      </x:c>
      <x:c r="O330" t="s">
        <x:v>38</x:v>
      </x:c>
      <x:c r="T330" s="2" t="n">
        <x:f>'SUPUESTOS PRECIOS'!$B$9</x:f>
        <x:v>0</x:v>
      </x:c>
      <x:c r="U330" s="3" t="n">
        <x:f>'SUPUESTOS PRECIOS'!$B$5/'SUPUESTOS PRECIOS'!$B$4</x:f>
        <x:v>1000</x:v>
      </x:c>
      <x:c r="V330" s="3" t="n">
        <x:f>('SUPUESTOS PRECIOS'!$B$6-'SUPUESTOS PRECIOS'!$B$7)/'SUPUESTOS PRECIOS'!$B$4</x:f>
        <x:v>377.5</x:v>
      </x:c>
      <x:c r="W330" s="4" t="n">
        <x:f>'SUPUESTOS PRECIOS'!$B$8</x:f>
        <x:v>0.00968</x:v>
      </x:c>
      <x:c r="X330" s="4" t="n">
        <x:f>'SUPUESTOS PRECIOS'!$B$2</x:f>
        <x:v>0.4</x:v>
      </x:c>
      <x:c r="Y330" s="3" t="str">
        <x:f t="shared" si="21"/>
      </x:c>
      <x:c r="Z330" s="3" t="str">
        <x:f t="shared" si="22"/>
      </x:c>
      <x:c r="AA330" s="11" t="str">
        <x:f t="shared" si="23"/>
      </x:c>
    </x:row>
    <x:row r="331">
      <x:c r="A331" s="10" t="s">
        <x:v>1454</x:v>
      </x:c>
      <x:c r="F331" t="s">
        <x:v>1358</x:v>
      </x:c>
      <x:c r="K331">
        <x:v>1</x:v>
      </x:c>
      <x:c r="L331" t="str">
        <x:f t="shared" si="20"/>
      </x:c>
      <x:c r="O331" t="s">
        <x:v>38</x:v>
      </x:c>
      <x:c r="T331" s="2" t="n">
        <x:f>'SUPUESTOS PRECIOS'!$B$9</x:f>
        <x:v>0</x:v>
      </x:c>
      <x:c r="U331" s="3" t="n">
        <x:f>'SUPUESTOS PRECIOS'!$B$5/'SUPUESTOS PRECIOS'!$B$4</x:f>
        <x:v>1000</x:v>
      </x:c>
      <x:c r="V331" s="3" t="n">
        <x:f>('SUPUESTOS PRECIOS'!$B$6-'SUPUESTOS PRECIOS'!$B$7)/'SUPUESTOS PRECIOS'!$B$4</x:f>
        <x:v>377.5</x:v>
      </x:c>
      <x:c r="W331" s="4" t="n">
        <x:f>'SUPUESTOS PRECIOS'!$B$8</x:f>
        <x:v>0.00968</x:v>
      </x:c>
      <x:c r="X331" s="4" t="n">
        <x:f>'SUPUESTOS PRECIOS'!$B$2</x:f>
        <x:v>0.4</x:v>
      </x:c>
      <x:c r="Y331" s="3" t="str">
        <x:f t="shared" si="21"/>
      </x:c>
      <x:c r="Z331" s="3" t="str">
        <x:f t="shared" si="22"/>
      </x:c>
      <x:c r="AA331" s="11" t="str">
        <x:f t="shared" si="23"/>
      </x:c>
    </x:row>
    <x:row r="332">
      <x:c r="A332" s="10" t="s">
        <x:v>1455</x:v>
      </x:c>
      <x:c r="F332" t="s">
        <x:v>1358</x:v>
      </x:c>
      <x:c r="K332">
        <x:v>1</x:v>
      </x:c>
      <x:c r="L332" t="str">
        <x:f t="shared" si="20"/>
      </x:c>
      <x:c r="O332" t="s">
        <x:v>38</x:v>
      </x:c>
      <x:c r="T332" s="2" t="n">
        <x:f>'SUPUESTOS PRECIOS'!$B$9</x:f>
        <x:v>0</x:v>
      </x:c>
      <x:c r="U332" s="3" t="n">
        <x:f>'SUPUESTOS PRECIOS'!$B$5/'SUPUESTOS PRECIOS'!$B$4</x:f>
        <x:v>1000</x:v>
      </x:c>
      <x:c r="V332" s="3" t="n">
        <x:f>('SUPUESTOS PRECIOS'!$B$6-'SUPUESTOS PRECIOS'!$B$7)/'SUPUESTOS PRECIOS'!$B$4</x:f>
        <x:v>377.5</x:v>
      </x:c>
      <x:c r="W332" s="4" t="n">
        <x:f>'SUPUESTOS PRECIOS'!$B$8</x:f>
        <x:v>0.00968</x:v>
      </x:c>
      <x:c r="X332" s="4" t="n">
        <x:f>'SUPUESTOS PRECIOS'!$B$2</x:f>
        <x:v>0.4</x:v>
      </x:c>
      <x:c r="Y332" s="3" t="str">
        <x:f t="shared" si="21"/>
      </x:c>
      <x:c r="Z332" s="3" t="str">
        <x:f t="shared" si="22"/>
      </x:c>
      <x:c r="AA332" s="11" t="str">
        <x:f t="shared" si="23"/>
      </x:c>
    </x:row>
    <x:row r="333">
      <x:c r="A333" s="10" t="s">
        <x:v>1456</x:v>
      </x:c>
      <x:c r="F333" t="s">
        <x:v>1358</x:v>
      </x:c>
      <x:c r="K333">
        <x:v>1</x:v>
      </x:c>
      <x:c r="L333" t="str">
        <x:f t="shared" si="20"/>
      </x:c>
      <x:c r="O333" t="s">
        <x:v>38</x:v>
      </x:c>
      <x:c r="T333" s="2" t="n">
        <x:f>'SUPUESTOS PRECIOS'!$B$9</x:f>
        <x:v>0</x:v>
      </x:c>
      <x:c r="U333" s="3" t="n">
        <x:f>'SUPUESTOS PRECIOS'!$B$5/'SUPUESTOS PRECIOS'!$B$4</x:f>
        <x:v>1000</x:v>
      </x:c>
      <x:c r="V333" s="3" t="n">
        <x:f>('SUPUESTOS PRECIOS'!$B$6-'SUPUESTOS PRECIOS'!$B$7)/'SUPUESTOS PRECIOS'!$B$4</x:f>
        <x:v>377.5</x:v>
      </x:c>
      <x:c r="W333" s="4" t="n">
        <x:f>'SUPUESTOS PRECIOS'!$B$8</x:f>
        <x:v>0.00968</x:v>
      </x:c>
      <x:c r="X333" s="4" t="n">
        <x:f>'SUPUESTOS PRECIOS'!$B$2</x:f>
        <x:v>0.4</x:v>
      </x:c>
      <x:c r="Y333" s="3" t="str">
        <x:f t="shared" si="21"/>
      </x:c>
      <x:c r="Z333" s="3" t="str">
        <x:f t="shared" si="22"/>
      </x:c>
      <x:c r="AA333" s="11" t="str">
        <x:f t="shared" si="23"/>
      </x:c>
    </x:row>
    <x:row r="334">
      <x:c r="A334" s="10" t="s">
        <x:v>1457</x:v>
      </x:c>
      <x:c r="F334" t="s">
        <x:v>1358</x:v>
      </x:c>
      <x:c r="K334">
        <x:v>1</x:v>
      </x:c>
      <x:c r="L334" t="str">
        <x:f t="shared" si="20"/>
      </x:c>
      <x:c r="O334" t="s">
        <x:v>38</x:v>
      </x:c>
      <x:c r="T334" s="2" t="n">
        <x:f>'SUPUESTOS PRECIOS'!$B$9</x:f>
        <x:v>0</x:v>
      </x:c>
      <x:c r="U334" s="3" t="n">
        <x:f>'SUPUESTOS PRECIOS'!$B$5/'SUPUESTOS PRECIOS'!$B$4</x:f>
        <x:v>1000</x:v>
      </x:c>
      <x:c r="V334" s="3" t="n">
        <x:f>('SUPUESTOS PRECIOS'!$B$6-'SUPUESTOS PRECIOS'!$B$7)/'SUPUESTOS PRECIOS'!$B$4</x:f>
        <x:v>377.5</x:v>
      </x:c>
      <x:c r="W334" s="4" t="n">
        <x:f>'SUPUESTOS PRECIOS'!$B$8</x:f>
        <x:v>0.00968</x:v>
      </x:c>
      <x:c r="X334" s="4" t="n">
        <x:f>'SUPUESTOS PRECIOS'!$B$2</x:f>
        <x:v>0.4</x:v>
      </x:c>
      <x:c r="Y334" s="3" t="str">
        <x:f t="shared" si="21"/>
      </x:c>
      <x:c r="Z334" s="3" t="str">
        <x:f t="shared" si="22"/>
      </x:c>
      <x:c r="AA334" s="11" t="str">
        <x:f t="shared" si="23"/>
      </x:c>
    </x:row>
    <x:row r="335">
      <x:c r="A335" s="10" t="s">
        <x:v>1458</x:v>
      </x:c>
      <x:c r="F335" t="s">
        <x:v>1358</x:v>
      </x:c>
      <x:c r="K335">
        <x:v>1</x:v>
      </x:c>
      <x:c r="L335" t="str">
        <x:f t="shared" si="20"/>
      </x:c>
      <x:c r="O335" t="s">
        <x:v>38</x:v>
      </x:c>
      <x:c r="T335" s="2" t="n">
        <x:f>'SUPUESTOS PRECIOS'!$B$9</x:f>
        <x:v>0</x:v>
      </x:c>
      <x:c r="U335" s="3" t="n">
        <x:f>'SUPUESTOS PRECIOS'!$B$5/'SUPUESTOS PRECIOS'!$B$4</x:f>
        <x:v>1000</x:v>
      </x:c>
      <x:c r="V335" s="3" t="n">
        <x:f>('SUPUESTOS PRECIOS'!$B$6-'SUPUESTOS PRECIOS'!$B$7)/'SUPUESTOS PRECIOS'!$B$4</x:f>
        <x:v>377.5</x:v>
      </x:c>
      <x:c r="W335" s="4" t="n">
        <x:f>'SUPUESTOS PRECIOS'!$B$8</x:f>
        <x:v>0.00968</x:v>
      </x:c>
      <x:c r="X335" s="4" t="n">
        <x:f>'SUPUESTOS PRECIOS'!$B$2</x:f>
        <x:v>0.4</x:v>
      </x:c>
      <x:c r="Y335" s="3" t="str">
        <x:f t="shared" si="21"/>
      </x:c>
      <x:c r="Z335" s="3" t="str">
        <x:f t="shared" si="22"/>
      </x:c>
      <x:c r="AA335" s="11" t="str">
        <x:f t="shared" si="23"/>
      </x:c>
    </x:row>
    <x:row r="336">
      <x:c r="A336" s="10" t="s">
        <x:v>1459</x:v>
      </x:c>
      <x:c r="F336" t="s">
        <x:v>1358</x:v>
      </x:c>
      <x:c r="K336">
        <x:v>1</x:v>
      </x:c>
      <x:c r="L336" t="str">
        <x:f t="shared" si="20"/>
      </x:c>
      <x:c r="O336" t="s">
        <x:v>38</x:v>
      </x:c>
      <x:c r="T336" s="2" t="n">
        <x:f>'SUPUESTOS PRECIOS'!$B$9</x:f>
        <x:v>0</x:v>
      </x:c>
      <x:c r="U336" s="3" t="n">
        <x:f>'SUPUESTOS PRECIOS'!$B$5/'SUPUESTOS PRECIOS'!$B$4</x:f>
        <x:v>1000</x:v>
      </x:c>
      <x:c r="V336" s="3" t="n">
        <x:f>('SUPUESTOS PRECIOS'!$B$6-'SUPUESTOS PRECIOS'!$B$7)/'SUPUESTOS PRECIOS'!$B$4</x:f>
        <x:v>377.5</x:v>
      </x:c>
      <x:c r="W336" s="4" t="n">
        <x:f>'SUPUESTOS PRECIOS'!$B$8</x:f>
        <x:v>0.00968</x:v>
      </x:c>
      <x:c r="X336" s="4" t="n">
        <x:f>'SUPUESTOS PRECIOS'!$B$2</x:f>
        <x:v>0.4</x:v>
      </x:c>
      <x:c r="Y336" s="3" t="str">
        <x:f t="shared" si="21"/>
      </x:c>
      <x:c r="Z336" s="3" t="str">
        <x:f t="shared" si="22"/>
      </x:c>
      <x:c r="AA336" s="11" t="str">
        <x:f t="shared" si="23"/>
      </x:c>
    </x:row>
    <x:row r="337">
      <x:c r="A337" s="10" t="s">
        <x:v>1460</x:v>
      </x:c>
      <x:c r="F337" t="s">
        <x:v>1358</x:v>
      </x:c>
      <x:c r="K337">
        <x:v>1</x:v>
      </x:c>
      <x:c r="L337" t="str">
        <x:f t="shared" si="20"/>
      </x:c>
      <x:c r="O337" t="s">
        <x:v>38</x:v>
      </x:c>
      <x:c r="T337" s="2" t="n">
        <x:f>'SUPUESTOS PRECIOS'!$B$9</x:f>
        <x:v>0</x:v>
      </x:c>
      <x:c r="U337" s="3" t="n">
        <x:f>'SUPUESTOS PRECIOS'!$B$5/'SUPUESTOS PRECIOS'!$B$4</x:f>
        <x:v>1000</x:v>
      </x:c>
      <x:c r="V337" s="3" t="n">
        <x:f>('SUPUESTOS PRECIOS'!$B$6-'SUPUESTOS PRECIOS'!$B$7)/'SUPUESTOS PRECIOS'!$B$4</x:f>
        <x:v>377.5</x:v>
      </x:c>
      <x:c r="W337" s="4" t="n">
        <x:f>'SUPUESTOS PRECIOS'!$B$8</x:f>
        <x:v>0.00968</x:v>
      </x:c>
      <x:c r="X337" s="4" t="n">
        <x:f>'SUPUESTOS PRECIOS'!$B$2</x:f>
        <x:v>0.4</x:v>
      </x:c>
      <x:c r="Y337" s="3" t="str">
        <x:f t="shared" si="21"/>
      </x:c>
      <x:c r="Z337" s="3" t="str">
        <x:f t="shared" si="22"/>
      </x:c>
      <x:c r="AA337" s="11" t="str">
        <x:f t="shared" si="23"/>
      </x:c>
    </x:row>
    <x:row r="338">
      <x:c r="A338" s="10" t="s">
        <x:v>1461</x:v>
      </x:c>
      <x:c r="F338" t="s">
        <x:v>1358</x:v>
      </x:c>
      <x:c r="K338">
        <x:v>1</x:v>
      </x:c>
      <x:c r="L338" t="str">
        <x:f t="shared" si="20"/>
      </x:c>
      <x:c r="O338" t="s">
        <x:v>38</x:v>
      </x:c>
      <x:c r="T338" s="2" t="n">
        <x:f>'SUPUESTOS PRECIOS'!$B$9</x:f>
        <x:v>0</x:v>
      </x:c>
      <x:c r="U338" s="3" t="n">
        <x:f>'SUPUESTOS PRECIOS'!$B$5/'SUPUESTOS PRECIOS'!$B$4</x:f>
        <x:v>1000</x:v>
      </x:c>
      <x:c r="V338" s="3" t="n">
        <x:f>('SUPUESTOS PRECIOS'!$B$6-'SUPUESTOS PRECIOS'!$B$7)/'SUPUESTOS PRECIOS'!$B$4</x:f>
        <x:v>377.5</x:v>
      </x:c>
      <x:c r="W338" s="4" t="n">
        <x:f>'SUPUESTOS PRECIOS'!$B$8</x:f>
        <x:v>0.00968</x:v>
      </x:c>
      <x:c r="X338" s="4" t="n">
        <x:f>'SUPUESTOS PRECIOS'!$B$2</x:f>
        <x:v>0.4</x:v>
      </x:c>
      <x:c r="Y338" s="3" t="str">
        <x:f t="shared" si="21"/>
      </x:c>
      <x:c r="Z338" s="3" t="str">
        <x:f t="shared" si="22"/>
      </x:c>
      <x:c r="AA338" s="11" t="str">
        <x:f t="shared" si="23"/>
      </x:c>
    </x:row>
    <x:row r="339">
      <x:c r="A339" s="10" t="s">
        <x:v>1462</x:v>
      </x:c>
      <x:c r="F339" t="s">
        <x:v>1358</x:v>
      </x:c>
      <x:c r="K339">
        <x:v>1</x:v>
      </x:c>
      <x:c r="L339" t="str">
        <x:f t="shared" si="20"/>
      </x:c>
      <x:c r="O339" t="s">
        <x:v>38</x:v>
      </x:c>
      <x:c r="T339" s="2" t="n">
        <x:f>'SUPUESTOS PRECIOS'!$B$9</x:f>
        <x:v>0</x:v>
      </x:c>
      <x:c r="U339" s="3" t="n">
        <x:f>'SUPUESTOS PRECIOS'!$B$5/'SUPUESTOS PRECIOS'!$B$4</x:f>
        <x:v>1000</x:v>
      </x:c>
      <x:c r="V339" s="3" t="n">
        <x:f>('SUPUESTOS PRECIOS'!$B$6-'SUPUESTOS PRECIOS'!$B$7)/'SUPUESTOS PRECIOS'!$B$4</x:f>
        <x:v>377.5</x:v>
      </x:c>
      <x:c r="W339" s="4" t="n">
        <x:f>'SUPUESTOS PRECIOS'!$B$8</x:f>
        <x:v>0.00968</x:v>
      </x:c>
      <x:c r="X339" s="4" t="n">
        <x:f>'SUPUESTOS PRECIOS'!$B$2</x:f>
        <x:v>0.4</x:v>
      </x:c>
      <x:c r="Y339" s="3" t="str">
        <x:f t="shared" si="21"/>
      </x:c>
      <x:c r="Z339" s="3" t="str">
        <x:f t="shared" si="22"/>
      </x:c>
      <x:c r="AA339" s="11" t="str">
        <x:f t="shared" si="23"/>
      </x:c>
    </x:row>
    <x:row r="340">
      <x:c r="A340" s="10" t="s">
        <x:v>1463</x:v>
      </x:c>
      <x:c r="F340" t="s">
        <x:v>1358</x:v>
      </x:c>
      <x:c r="K340">
        <x:v>1</x:v>
      </x:c>
      <x:c r="L340" t="str">
        <x:f t="shared" si="20"/>
      </x:c>
      <x:c r="O340" t="s">
        <x:v>38</x:v>
      </x:c>
      <x:c r="T340" s="2" t="n">
        <x:f>'SUPUESTOS PRECIOS'!$B$9</x:f>
        <x:v>0</x:v>
      </x:c>
      <x:c r="U340" s="3" t="n">
        <x:f>'SUPUESTOS PRECIOS'!$B$5/'SUPUESTOS PRECIOS'!$B$4</x:f>
        <x:v>1000</x:v>
      </x:c>
      <x:c r="V340" s="3" t="n">
        <x:f>('SUPUESTOS PRECIOS'!$B$6-'SUPUESTOS PRECIOS'!$B$7)/'SUPUESTOS PRECIOS'!$B$4</x:f>
        <x:v>377.5</x:v>
      </x:c>
      <x:c r="W340" s="4" t="n">
        <x:f>'SUPUESTOS PRECIOS'!$B$8</x:f>
        <x:v>0.00968</x:v>
      </x:c>
      <x:c r="X340" s="4" t="n">
        <x:f>'SUPUESTOS PRECIOS'!$B$2</x:f>
        <x:v>0.4</x:v>
      </x:c>
      <x:c r="Y340" s="3" t="str">
        <x:f t="shared" si="21"/>
      </x:c>
      <x:c r="Z340" s="3" t="str">
        <x:f t="shared" si="22"/>
      </x:c>
      <x:c r="AA340" s="11" t="str">
        <x:f t="shared" si="23"/>
      </x:c>
    </x:row>
    <x:row r="341">
      <x:c r="A341" s="10" t="s">
        <x:v>1464</x:v>
      </x:c>
      <x:c r="F341" t="s">
        <x:v>1358</x:v>
      </x:c>
      <x:c r="K341">
        <x:v>1</x:v>
      </x:c>
      <x:c r="L341" t="str">
        <x:f t="shared" si="20"/>
      </x:c>
      <x:c r="O341" t="s">
        <x:v>38</x:v>
      </x:c>
      <x:c r="T341" s="2" t="n">
        <x:f>'SUPUESTOS PRECIOS'!$B$9</x:f>
        <x:v>0</x:v>
      </x:c>
      <x:c r="U341" s="3" t="n">
        <x:f>'SUPUESTOS PRECIOS'!$B$5/'SUPUESTOS PRECIOS'!$B$4</x:f>
        <x:v>1000</x:v>
      </x:c>
      <x:c r="V341" s="3" t="n">
        <x:f>('SUPUESTOS PRECIOS'!$B$6-'SUPUESTOS PRECIOS'!$B$7)/'SUPUESTOS PRECIOS'!$B$4</x:f>
        <x:v>377.5</x:v>
      </x:c>
      <x:c r="W341" s="4" t="n">
        <x:f>'SUPUESTOS PRECIOS'!$B$8</x:f>
        <x:v>0.00968</x:v>
      </x:c>
      <x:c r="X341" s="4" t="n">
        <x:f>'SUPUESTOS PRECIOS'!$B$2</x:f>
        <x:v>0.4</x:v>
      </x:c>
      <x:c r="Y341" s="3" t="str">
        <x:f t="shared" si="21"/>
      </x:c>
      <x:c r="Z341" s="3" t="str">
        <x:f t="shared" si="22"/>
      </x:c>
      <x:c r="AA341" s="11" t="str">
        <x:f t="shared" si="23"/>
      </x:c>
    </x:row>
    <x:row r="342">
      <x:c r="A342" s="10" t="s">
        <x:v>1465</x:v>
      </x:c>
      <x:c r="F342" t="s">
        <x:v>1358</x:v>
      </x:c>
      <x:c r="K342">
        <x:v>1</x:v>
      </x:c>
      <x:c r="L342" t="str">
        <x:f t="shared" si="20"/>
      </x:c>
      <x:c r="O342" t="s">
        <x:v>38</x:v>
      </x:c>
      <x:c r="T342" s="2" t="n">
        <x:f>'SUPUESTOS PRECIOS'!$B$9</x:f>
        <x:v>0</x:v>
      </x:c>
      <x:c r="U342" s="3" t="n">
        <x:f>'SUPUESTOS PRECIOS'!$B$5/'SUPUESTOS PRECIOS'!$B$4</x:f>
        <x:v>1000</x:v>
      </x:c>
      <x:c r="V342" s="3" t="n">
        <x:f>('SUPUESTOS PRECIOS'!$B$6-'SUPUESTOS PRECIOS'!$B$7)/'SUPUESTOS PRECIOS'!$B$4</x:f>
        <x:v>377.5</x:v>
      </x:c>
      <x:c r="W342" s="4" t="n">
        <x:f>'SUPUESTOS PRECIOS'!$B$8</x:f>
        <x:v>0.00968</x:v>
      </x:c>
      <x:c r="X342" s="4" t="n">
        <x:f>'SUPUESTOS PRECIOS'!$B$2</x:f>
        <x:v>0.4</x:v>
      </x:c>
      <x:c r="Y342" s="3" t="str">
        <x:f t="shared" si="21"/>
      </x:c>
      <x:c r="Z342" s="3" t="str">
        <x:f t="shared" si="22"/>
      </x:c>
      <x:c r="AA342" s="11" t="str">
        <x:f t="shared" si="23"/>
      </x:c>
    </x:row>
    <x:row r="343">
      <x:c r="A343" s="10" t="s">
        <x:v>1466</x:v>
      </x:c>
      <x:c r="F343" t="s">
        <x:v>1358</x:v>
      </x:c>
      <x:c r="K343">
        <x:v>1</x:v>
      </x:c>
      <x:c r="L343" t="str">
        <x:f t="shared" si="20"/>
      </x:c>
      <x:c r="O343" t="s">
        <x:v>38</x:v>
      </x:c>
      <x:c r="T343" s="2" t="n">
        <x:f>'SUPUESTOS PRECIOS'!$B$9</x:f>
        <x:v>0</x:v>
      </x:c>
      <x:c r="U343" s="3" t="n">
        <x:f>'SUPUESTOS PRECIOS'!$B$5/'SUPUESTOS PRECIOS'!$B$4</x:f>
        <x:v>1000</x:v>
      </x:c>
      <x:c r="V343" s="3" t="n">
        <x:f>('SUPUESTOS PRECIOS'!$B$6-'SUPUESTOS PRECIOS'!$B$7)/'SUPUESTOS PRECIOS'!$B$4</x:f>
        <x:v>377.5</x:v>
      </x:c>
      <x:c r="W343" s="4" t="n">
        <x:f>'SUPUESTOS PRECIOS'!$B$8</x:f>
        <x:v>0.00968</x:v>
      </x:c>
      <x:c r="X343" s="4" t="n">
        <x:f>'SUPUESTOS PRECIOS'!$B$2</x:f>
        <x:v>0.4</x:v>
      </x:c>
      <x:c r="Y343" s="3" t="str">
        <x:f t="shared" si="21"/>
      </x:c>
      <x:c r="Z343" s="3" t="str">
        <x:f t="shared" si="22"/>
      </x:c>
      <x:c r="AA343" s="11" t="str">
        <x:f t="shared" si="23"/>
      </x:c>
    </x:row>
    <x:row r="344">
      <x:c r="A344" s="10" t="s">
        <x:v>1467</x:v>
      </x:c>
      <x:c r="F344" t="s">
        <x:v>1358</x:v>
      </x:c>
      <x:c r="K344">
        <x:v>1</x:v>
      </x:c>
      <x:c r="L344" t="str">
        <x:f t="shared" si="20"/>
      </x:c>
      <x:c r="O344" t="s">
        <x:v>38</x:v>
      </x:c>
      <x:c r="T344" s="2" t="n">
        <x:f>'SUPUESTOS PRECIOS'!$B$9</x:f>
        <x:v>0</x:v>
      </x:c>
      <x:c r="U344" s="3" t="n">
        <x:f>'SUPUESTOS PRECIOS'!$B$5/'SUPUESTOS PRECIOS'!$B$4</x:f>
        <x:v>1000</x:v>
      </x:c>
      <x:c r="V344" s="3" t="n">
        <x:f>('SUPUESTOS PRECIOS'!$B$6-'SUPUESTOS PRECIOS'!$B$7)/'SUPUESTOS PRECIOS'!$B$4</x:f>
        <x:v>377.5</x:v>
      </x:c>
      <x:c r="W344" s="4" t="n">
        <x:f>'SUPUESTOS PRECIOS'!$B$8</x:f>
        <x:v>0.00968</x:v>
      </x:c>
      <x:c r="X344" s="4" t="n">
        <x:f>'SUPUESTOS PRECIOS'!$B$2</x:f>
        <x:v>0.4</x:v>
      </x:c>
      <x:c r="Y344" s="3" t="str">
        <x:f t="shared" si="21"/>
      </x:c>
      <x:c r="Z344" s="3" t="str">
        <x:f t="shared" si="22"/>
      </x:c>
      <x:c r="AA344" s="11" t="str">
        <x:f t="shared" si="23"/>
      </x:c>
    </x:row>
    <x:row r="345">
      <x:c r="A345" s="10" t="s">
        <x:v>1468</x:v>
      </x:c>
      <x:c r="F345" t="s">
        <x:v>1358</x:v>
      </x:c>
      <x:c r="K345">
        <x:v>1</x:v>
      </x:c>
      <x:c r="L345" t="str">
        <x:f t="shared" si="20"/>
      </x:c>
      <x:c r="O345" t="s">
        <x:v>38</x:v>
      </x:c>
      <x:c r="T345" s="2" t="n">
        <x:f>'SUPUESTOS PRECIOS'!$B$9</x:f>
        <x:v>0</x:v>
      </x:c>
      <x:c r="U345" s="3" t="n">
        <x:f>'SUPUESTOS PRECIOS'!$B$5/'SUPUESTOS PRECIOS'!$B$4</x:f>
        <x:v>1000</x:v>
      </x:c>
      <x:c r="V345" s="3" t="n">
        <x:f>('SUPUESTOS PRECIOS'!$B$6-'SUPUESTOS PRECIOS'!$B$7)/'SUPUESTOS PRECIOS'!$B$4</x:f>
        <x:v>377.5</x:v>
      </x:c>
      <x:c r="W345" s="4" t="n">
        <x:f>'SUPUESTOS PRECIOS'!$B$8</x:f>
        <x:v>0.00968</x:v>
      </x:c>
      <x:c r="X345" s="4" t="n">
        <x:f>'SUPUESTOS PRECIOS'!$B$2</x:f>
        <x:v>0.4</x:v>
      </x:c>
      <x:c r="Y345" s="3" t="str">
        <x:f t="shared" si="21"/>
      </x:c>
      <x:c r="Z345" s="3" t="str">
        <x:f t="shared" si="22"/>
      </x:c>
      <x:c r="AA345" s="11" t="str">
        <x:f t="shared" si="23"/>
      </x:c>
    </x:row>
    <x:row r="346">
      <x:c r="A346" s="10" t="s">
        <x:v>1469</x:v>
      </x:c>
      <x:c r="F346" t="s">
        <x:v>1358</x:v>
      </x:c>
      <x:c r="K346">
        <x:v>1</x:v>
      </x:c>
      <x:c r="L346" t="str">
        <x:f t="shared" si="20"/>
      </x:c>
      <x:c r="O346" t="s">
        <x:v>38</x:v>
      </x:c>
      <x:c r="T346" s="2" t="n">
        <x:f>'SUPUESTOS PRECIOS'!$B$9</x:f>
        <x:v>0</x:v>
      </x:c>
      <x:c r="U346" s="3" t="n">
        <x:f>'SUPUESTOS PRECIOS'!$B$5/'SUPUESTOS PRECIOS'!$B$4</x:f>
        <x:v>1000</x:v>
      </x:c>
      <x:c r="V346" s="3" t="n">
        <x:f>('SUPUESTOS PRECIOS'!$B$6-'SUPUESTOS PRECIOS'!$B$7)/'SUPUESTOS PRECIOS'!$B$4</x:f>
        <x:v>377.5</x:v>
      </x:c>
      <x:c r="W346" s="4" t="n">
        <x:f>'SUPUESTOS PRECIOS'!$B$8</x:f>
        <x:v>0.00968</x:v>
      </x:c>
      <x:c r="X346" s="4" t="n">
        <x:f>'SUPUESTOS PRECIOS'!$B$2</x:f>
        <x:v>0.4</x:v>
      </x:c>
      <x:c r="Y346" s="3" t="str">
        <x:f t="shared" si="21"/>
      </x:c>
      <x:c r="Z346" s="3" t="str">
        <x:f t="shared" si="22"/>
      </x:c>
      <x:c r="AA346" s="11" t="str">
        <x:f t="shared" si="23"/>
      </x:c>
    </x:row>
    <x:row r="347">
      <x:c r="A347" s="10" t="s">
        <x:v>1470</x:v>
      </x:c>
      <x:c r="F347" t="s">
        <x:v>1358</x:v>
      </x:c>
      <x:c r="K347">
        <x:v>1</x:v>
      </x:c>
      <x:c r="L347" t="str">
        <x:f t="shared" si="20"/>
      </x:c>
      <x:c r="O347" t="s">
        <x:v>38</x:v>
      </x:c>
      <x:c r="T347" s="2" t="n">
        <x:f>'SUPUESTOS PRECIOS'!$B$9</x:f>
        <x:v>0</x:v>
      </x:c>
      <x:c r="U347" s="3" t="n">
        <x:f>'SUPUESTOS PRECIOS'!$B$5/'SUPUESTOS PRECIOS'!$B$4</x:f>
        <x:v>1000</x:v>
      </x:c>
      <x:c r="V347" s="3" t="n">
        <x:f>('SUPUESTOS PRECIOS'!$B$6-'SUPUESTOS PRECIOS'!$B$7)/'SUPUESTOS PRECIOS'!$B$4</x:f>
        <x:v>377.5</x:v>
      </x:c>
      <x:c r="W347" s="4" t="n">
        <x:f>'SUPUESTOS PRECIOS'!$B$8</x:f>
        <x:v>0.00968</x:v>
      </x:c>
      <x:c r="X347" s="4" t="n">
        <x:f>'SUPUESTOS PRECIOS'!$B$2</x:f>
        <x:v>0.4</x:v>
      </x:c>
      <x:c r="Y347" s="3" t="str">
        <x:f t="shared" si="21"/>
      </x:c>
      <x:c r="Z347" s="3" t="str">
        <x:f t="shared" si="22"/>
      </x:c>
      <x:c r="AA347" s="11" t="str">
        <x:f t="shared" si="23"/>
      </x:c>
    </x:row>
    <x:row r="348">
      <x:c r="A348" s="10" t="s">
        <x:v>1471</x:v>
      </x:c>
      <x:c r="F348" t="s">
        <x:v>1358</x:v>
      </x:c>
      <x:c r="K348">
        <x:v>1</x:v>
      </x:c>
      <x:c r="L348" t="str">
        <x:f t="shared" si="20"/>
      </x:c>
      <x:c r="O348" t="s">
        <x:v>38</x:v>
      </x:c>
      <x:c r="T348" s="2" t="n">
        <x:f>'SUPUESTOS PRECIOS'!$B$9</x:f>
        <x:v>0</x:v>
      </x:c>
      <x:c r="U348" s="3" t="n">
        <x:f>'SUPUESTOS PRECIOS'!$B$5/'SUPUESTOS PRECIOS'!$B$4</x:f>
        <x:v>1000</x:v>
      </x:c>
      <x:c r="V348" s="3" t="n">
        <x:f>('SUPUESTOS PRECIOS'!$B$6-'SUPUESTOS PRECIOS'!$B$7)/'SUPUESTOS PRECIOS'!$B$4</x:f>
        <x:v>377.5</x:v>
      </x:c>
      <x:c r="W348" s="4" t="n">
        <x:f>'SUPUESTOS PRECIOS'!$B$8</x:f>
        <x:v>0.00968</x:v>
      </x:c>
      <x:c r="X348" s="4" t="n">
        <x:f>'SUPUESTOS PRECIOS'!$B$2</x:f>
        <x:v>0.4</x:v>
      </x:c>
      <x:c r="Y348" s="3" t="str">
        <x:f t="shared" si="21"/>
      </x:c>
      <x:c r="Z348" s="3" t="str">
        <x:f t="shared" si="22"/>
      </x:c>
      <x:c r="AA348" s="11" t="str">
        <x:f t="shared" si="23"/>
      </x:c>
    </x:row>
    <x:row r="349">
      <x:c r="A349" s="10" t="s">
        <x:v>1472</x:v>
      </x:c>
      <x:c r="F349" t="s">
        <x:v>1358</x:v>
      </x:c>
      <x:c r="K349">
        <x:v>1</x:v>
      </x:c>
      <x:c r="L349" t="str">
        <x:f t="shared" si="20"/>
      </x:c>
      <x:c r="O349" t="s">
        <x:v>38</x:v>
      </x:c>
      <x:c r="T349" s="2" t="n">
        <x:f>'SUPUESTOS PRECIOS'!$B$9</x:f>
        <x:v>0</x:v>
      </x:c>
      <x:c r="U349" s="3" t="n">
        <x:f>'SUPUESTOS PRECIOS'!$B$5/'SUPUESTOS PRECIOS'!$B$4</x:f>
        <x:v>1000</x:v>
      </x:c>
      <x:c r="V349" s="3" t="n">
        <x:f>('SUPUESTOS PRECIOS'!$B$6-'SUPUESTOS PRECIOS'!$B$7)/'SUPUESTOS PRECIOS'!$B$4</x:f>
        <x:v>377.5</x:v>
      </x:c>
      <x:c r="W349" s="4" t="n">
        <x:f>'SUPUESTOS PRECIOS'!$B$8</x:f>
        <x:v>0.00968</x:v>
      </x:c>
      <x:c r="X349" s="4" t="n">
        <x:f>'SUPUESTOS PRECIOS'!$B$2</x:f>
        <x:v>0.4</x:v>
      </x:c>
      <x:c r="Y349" s="3" t="str">
        <x:f t="shared" si="21"/>
      </x:c>
      <x:c r="Z349" s="3" t="str">
        <x:f t="shared" si="22"/>
      </x:c>
      <x:c r="AA349" s="11" t="str">
        <x:f t="shared" si="23"/>
      </x:c>
    </x:row>
    <x:row r="350">
      <x:c r="A350" s="10" t="s">
        <x:v>1473</x:v>
      </x:c>
      <x:c r="F350" t="s">
        <x:v>1358</x:v>
      </x:c>
      <x:c r="K350">
        <x:v>1</x:v>
      </x:c>
      <x:c r="L350" t="str">
        <x:f t="shared" si="20"/>
      </x:c>
      <x:c r="O350" t="s">
        <x:v>38</x:v>
      </x:c>
      <x:c r="T350" s="2" t="n">
        <x:f>'SUPUESTOS PRECIOS'!$B$9</x:f>
        <x:v>0</x:v>
      </x:c>
      <x:c r="U350" s="3" t="n">
        <x:f>'SUPUESTOS PRECIOS'!$B$5/'SUPUESTOS PRECIOS'!$B$4</x:f>
        <x:v>1000</x:v>
      </x:c>
      <x:c r="V350" s="3" t="n">
        <x:f>('SUPUESTOS PRECIOS'!$B$6-'SUPUESTOS PRECIOS'!$B$7)/'SUPUESTOS PRECIOS'!$B$4</x:f>
        <x:v>377.5</x:v>
      </x:c>
      <x:c r="W350" s="4" t="n">
        <x:f>'SUPUESTOS PRECIOS'!$B$8</x:f>
        <x:v>0.00968</x:v>
      </x:c>
      <x:c r="X350" s="4" t="n">
        <x:f>'SUPUESTOS PRECIOS'!$B$2</x:f>
        <x:v>0.4</x:v>
      </x:c>
      <x:c r="Y350" s="3" t="str">
        <x:f t="shared" si="21"/>
      </x:c>
      <x:c r="Z350" s="3" t="str">
        <x:f t="shared" si="22"/>
      </x:c>
      <x:c r="AA350" s="11" t="str">
        <x:f t="shared" si="23"/>
      </x:c>
    </x:row>
    <x:row r="351">
      <x:c r="A351" s="10" t="s">
        <x:v>1474</x:v>
      </x:c>
      <x:c r="F351" t="s">
        <x:v>1358</x:v>
      </x:c>
      <x:c r="K351">
        <x:v>1</x:v>
      </x:c>
      <x:c r="L351" t="str">
        <x:f t="shared" si="20"/>
      </x:c>
      <x:c r="O351" t="s">
        <x:v>38</x:v>
      </x:c>
      <x:c r="T351" s="2" t="n">
        <x:f>'SUPUESTOS PRECIOS'!$B$9</x:f>
        <x:v>0</x:v>
      </x:c>
      <x:c r="U351" s="3" t="n">
        <x:f>'SUPUESTOS PRECIOS'!$B$5/'SUPUESTOS PRECIOS'!$B$4</x:f>
        <x:v>1000</x:v>
      </x:c>
      <x:c r="V351" s="3" t="n">
        <x:f>('SUPUESTOS PRECIOS'!$B$6-'SUPUESTOS PRECIOS'!$B$7)/'SUPUESTOS PRECIOS'!$B$4</x:f>
        <x:v>377.5</x:v>
      </x:c>
      <x:c r="W351" s="4" t="n">
        <x:f>'SUPUESTOS PRECIOS'!$B$8</x:f>
        <x:v>0.00968</x:v>
      </x:c>
      <x:c r="X351" s="4" t="n">
        <x:f>'SUPUESTOS PRECIOS'!$B$2</x:f>
        <x:v>0.4</x:v>
      </x:c>
      <x:c r="Y351" s="3" t="str">
        <x:f t="shared" si="21"/>
      </x:c>
      <x:c r="Z351" s="3" t="str">
        <x:f t="shared" si="22"/>
      </x:c>
      <x:c r="AA351" s="11" t="str">
        <x:f t="shared" si="23"/>
      </x:c>
    </x:row>
    <x:row r="352">
      <x:c r="A352" s="10" t="s">
        <x:v>1475</x:v>
      </x:c>
      <x:c r="F352" t="s">
        <x:v>1358</x:v>
      </x:c>
      <x:c r="K352">
        <x:v>1</x:v>
      </x:c>
      <x:c r="L352" t="str">
        <x:f t="shared" si="20"/>
      </x:c>
      <x:c r="O352" t="s">
        <x:v>38</x:v>
      </x:c>
      <x:c r="T352" s="2" t="n">
        <x:f>'SUPUESTOS PRECIOS'!$B$9</x:f>
        <x:v>0</x:v>
      </x:c>
      <x:c r="U352" s="3" t="n">
        <x:f>'SUPUESTOS PRECIOS'!$B$5/'SUPUESTOS PRECIOS'!$B$4</x:f>
        <x:v>1000</x:v>
      </x:c>
      <x:c r="V352" s="3" t="n">
        <x:f>('SUPUESTOS PRECIOS'!$B$6-'SUPUESTOS PRECIOS'!$B$7)/'SUPUESTOS PRECIOS'!$B$4</x:f>
        <x:v>377.5</x:v>
      </x:c>
      <x:c r="W352" s="4" t="n">
        <x:f>'SUPUESTOS PRECIOS'!$B$8</x:f>
        <x:v>0.00968</x:v>
      </x:c>
      <x:c r="X352" s="4" t="n">
        <x:f>'SUPUESTOS PRECIOS'!$B$2</x:f>
        <x:v>0.4</x:v>
      </x:c>
      <x:c r="Y352" s="3" t="str">
        <x:f t="shared" si="21"/>
      </x:c>
      <x:c r="Z352" s="3" t="str">
        <x:f t="shared" si="22"/>
      </x:c>
      <x:c r="AA352" s="11" t="str">
        <x:f t="shared" si="23"/>
      </x:c>
    </x:row>
    <x:row r="353">
      <x:c r="A353" s="10" t="s">
        <x:v>1476</x:v>
      </x:c>
      <x:c r="F353" t="s">
        <x:v>1358</x:v>
      </x:c>
      <x:c r="K353">
        <x:v>1</x:v>
      </x:c>
      <x:c r="L353" t="str">
        <x:f t="shared" si="20"/>
      </x:c>
      <x:c r="O353" t="s">
        <x:v>38</x:v>
      </x:c>
      <x:c r="T353" s="2" t="n">
        <x:f>'SUPUESTOS PRECIOS'!$B$9</x:f>
        <x:v>0</x:v>
      </x:c>
      <x:c r="U353" s="3" t="n">
        <x:f>'SUPUESTOS PRECIOS'!$B$5/'SUPUESTOS PRECIOS'!$B$4</x:f>
        <x:v>1000</x:v>
      </x:c>
      <x:c r="V353" s="3" t="n">
        <x:f>('SUPUESTOS PRECIOS'!$B$6-'SUPUESTOS PRECIOS'!$B$7)/'SUPUESTOS PRECIOS'!$B$4</x:f>
        <x:v>377.5</x:v>
      </x:c>
      <x:c r="W353" s="4" t="n">
        <x:f>'SUPUESTOS PRECIOS'!$B$8</x:f>
        <x:v>0.00968</x:v>
      </x:c>
      <x:c r="X353" s="4" t="n">
        <x:f>'SUPUESTOS PRECIOS'!$B$2</x:f>
        <x:v>0.4</x:v>
      </x:c>
      <x:c r="Y353" s="3" t="str">
        <x:f t="shared" si="21"/>
      </x:c>
      <x:c r="Z353" s="3" t="str">
        <x:f t="shared" si="22"/>
      </x:c>
      <x:c r="AA353" s="11" t="str">
        <x:f t="shared" si="23"/>
      </x:c>
    </x:row>
    <x:row r="354">
      <x:c r="A354" s="10" t="s">
        <x:v>1477</x:v>
      </x:c>
      <x:c r="F354" t="s">
        <x:v>1358</x:v>
      </x:c>
      <x:c r="K354">
        <x:v>1</x:v>
      </x:c>
      <x:c r="L354" t="str">
        <x:f t="shared" si="20"/>
      </x:c>
      <x:c r="O354" t="s">
        <x:v>38</x:v>
      </x:c>
      <x:c r="T354" s="2" t="n">
        <x:f>'SUPUESTOS PRECIOS'!$B$9</x:f>
        <x:v>0</x:v>
      </x:c>
      <x:c r="U354" s="3" t="n">
        <x:f>'SUPUESTOS PRECIOS'!$B$5/'SUPUESTOS PRECIOS'!$B$4</x:f>
        <x:v>1000</x:v>
      </x:c>
      <x:c r="V354" s="3" t="n">
        <x:f>('SUPUESTOS PRECIOS'!$B$6-'SUPUESTOS PRECIOS'!$B$7)/'SUPUESTOS PRECIOS'!$B$4</x:f>
        <x:v>377.5</x:v>
      </x:c>
      <x:c r="W354" s="4" t="n">
        <x:f>'SUPUESTOS PRECIOS'!$B$8</x:f>
        <x:v>0.00968</x:v>
      </x:c>
      <x:c r="X354" s="4" t="n">
        <x:f>'SUPUESTOS PRECIOS'!$B$2</x:f>
        <x:v>0.4</x:v>
      </x:c>
      <x:c r="Y354" s="3" t="str">
        <x:f t="shared" si="21"/>
      </x:c>
      <x:c r="Z354" s="3" t="str">
        <x:f t="shared" si="22"/>
      </x:c>
      <x:c r="AA354" s="11" t="str">
        <x:f t="shared" si="23"/>
      </x:c>
    </x:row>
    <x:row r="355">
      <x:c r="A355" s="10" t="s">
        <x:v>1478</x:v>
      </x:c>
      <x:c r="F355" t="s">
        <x:v>1358</x:v>
      </x:c>
      <x:c r="K355">
        <x:v>1</x:v>
      </x:c>
      <x:c r="L355" t="str">
        <x:f t="shared" si="20"/>
      </x:c>
      <x:c r="O355" t="s">
        <x:v>38</x:v>
      </x:c>
      <x:c r="T355" s="2" t="n">
        <x:f>'SUPUESTOS PRECIOS'!$B$9</x:f>
        <x:v>0</x:v>
      </x:c>
      <x:c r="U355" s="3" t="n">
        <x:f>'SUPUESTOS PRECIOS'!$B$5/'SUPUESTOS PRECIOS'!$B$4</x:f>
        <x:v>1000</x:v>
      </x:c>
      <x:c r="V355" s="3" t="n">
        <x:f>('SUPUESTOS PRECIOS'!$B$6-'SUPUESTOS PRECIOS'!$B$7)/'SUPUESTOS PRECIOS'!$B$4</x:f>
        <x:v>377.5</x:v>
      </x:c>
      <x:c r="W355" s="4" t="n">
        <x:f>'SUPUESTOS PRECIOS'!$B$8</x:f>
        <x:v>0.00968</x:v>
      </x:c>
      <x:c r="X355" s="4" t="n">
        <x:f>'SUPUESTOS PRECIOS'!$B$2</x:f>
        <x:v>0.4</x:v>
      </x:c>
      <x:c r="Y355" s="3" t="str">
        <x:f t="shared" si="21"/>
      </x:c>
      <x:c r="Z355" s="3" t="str">
        <x:f t="shared" si="22"/>
      </x:c>
      <x:c r="AA355" s="11" t="str">
        <x:f t="shared" si="23"/>
      </x:c>
    </x:row>
    <x:row r="356">
      <x:c r="A356" s="10" t="s">
        <x:v>1479</x:v>
      </x:c>
      <x:c r="F356" t="s">
        <x:v>1358</x:v>
      </x:c>
      <x:c r="K356">
        <x:v>1</x:v>
      </x:c>
      <x:c r="L356" t="str">
        <x:f t="shared" si="20"/>
      </x:c>
      <x:c r="O356" t="s">
        <x:v>38</x:v>
      </x:c>
      <x:c r="T356" s="2" t="n">
        <x:f>'SUPUESTOS PRECIOS'!$B$9</x:f>
        <x:v>0</x:v>
      </x:c>
      <x:c r="U356" s="3" t="n">
        <x:f>'SUPUESTOS PRECIOS'!$B$5/'SUPUESTOS PRECIOS'!$B$4</x:f>
        <x:v>1000</x:v>
      </x:c>
      <x:c r="V356" s="3" t="n">
        <x:f>('SUPUESTOS PRECIOS'!$B$6-'SUPUESTOS PRECIOS'!$B$7)/'SUPUESTOS PRECIOS'!$B$4</x:f>
        <x:v>377.5</x:v>
      </x:c>
      <x:c r="W356" s="4" t="n">
        <x:f>'SUPUESTOS PRECIOS'!$B$8</x:f>
        <x:v>0.00968</x:v>
      </x:c>
      <x:c r="X356" s="4" t="n">
        <x:f>'SUPUESTOS PRECIOS'!$B$2</x:f>
        <x:v>0.4</x:v>
      </x:c>
      <x:c r="Y356" s="3" t="str">
        <x:f t="shared" si="21"/>
      </x:c>
      <x:c r="Z356" s="3" t="str">
        <x:f t="shared" si="22"/>
      </x:c>
      <x:c r="AA356" s="11" t="str">
        <x:f t="shared" si="23"/>
      </x:c>
    </x:row>
    <x:row r="357">
      <x:c r="A357" s="10" t="s">
        <x:v>1480</x:v>
      </x:c>
      <x:c r="F357" t="s">
        <x:v>1358</x:v>
      </x:c>
      <x:c r="K357">
        <x:v>1</x:v>
      </x:c>
      <x:c r="L357" t="str">
        <x:f t="shared" si="20"/>
      </x:c>
      <x:c r="O357" t="s">
        <x:v>38</x:v>
      </x:c>
      <x:c r="T357" s="2" t="n">
        <x:f>'SUPUESTOS PRECIOS'!$B$9</x:f>
        <x:v>0</x:v>
      </x:c>
      <x:c r="U357" s="3" t="n">
        <x:f>'SUPUESTOS PRECIOS'!$B$5/'SUPUESTOS PRECIOS'!$B$4</x:f>
        <x:v>1000</x:v>
      </x:c>
      <x:c r="V357" s="3" t="n">
        <x:f>('SUPUESTOS PRECIOS'!$B$6-'SUPUESTOS PRECIOS'!$B$7)/'SUPUESTOS PRECIOS'!$B$4</x:f>
        <x:v>377.5</x:v>
      </x:c>
      <x:c r="W357" s="4" t="n">
        <x:f>'SUPUESTOS PRECIOS'!$B$8</x:f>
        <x:v>0.00968</x:v>
      </x:c>
      <x:c r="X357" s="4" t="n">
        <x:f>'SUPUESTOS PRECIOS'!$B$2</x:f>
        <x:v>0.4</x:v>
      </x:c>
      <x:c r="Y357" s="3" t="str">
        <x:f t="shared" si="21"/>
      </x:c>
      <x:c r="Z357" s="3" t="str">
        <x:f t="shared" si="22"/>
      </x:c>
      <x:c r="AA357" s="11" t="str">
        <x:f t="shared" si="23"/>
      </x:c>
    </x:row>
    <x:row r="358">
      <x:c r="A358" s="10" t="s">
        <x:v>1481</x:v>
      </x:c>
      <x:c r="F358" t="s">
        <x:v>1358</x:v>
      </x:c>
      <x:c r="K358">
        <x:v>1</x:v>
      </x:c>
      <x:c r="L358" t="str">
        <x:f t="shared" si="20"/>
      </x:c>
      <x:c r="O358" t="s">
        <x:v>38</x:v>
      </x:c>
      <x:c r="T358" s="2" t="n">
        <x:f>'SUPUESTOS PRECIOS'!$B$9</x:f>
        <x:v>0</x:v>
      </x:c>
      <x:c r="U358" s="3" t="n">
        <x:f>'SUPUESTOS PRECIOS'!$B$5/'SUPUESTOS PRECIOS'!$B$4</x:f>
        <x:v>1000</x:v>
      </x:c>
      <x:c r="V358" s="3" t="n">
        <x:f>('SUPUESTOS PRECIOS'!$B$6-'SUPUESTOS PRECIOS'!$B$7)/'SUPUESTOS PRECIOS'!$B$4</x:f>
        <x:v>377.5</x:v>
      </x:c>
      <x:c r="W358" s="4" t="n">
        <x:f>'SUPUESTOS PRECIOS'!$B$8</x:f>
        <x:v>0.00968</x:v>
      </x:c>
      <x:c r="X358" s="4" t="n">
        <x:f>'SUPUESTOS PRECIOS'!$B$2</x:f>
        <x:v>0.4</x:v>
      </x:c>
      <x:c r="Y358" s="3" t="str">
        <x:f t="shared" si="21"/>
      </x:c>
      <x:c r="Z358" s="3" t="str">
        <x:f t="shared" si="22"/>
      </x:c>
      <x:c r="AA358" s="11" t="str">
        <x:f t="shared" si="23"/>
      </x:c>
    </x:row>
    <x:row r="359">
      <x:c r="A359" s="10" t="s">
        <x:v>1482</x:v>
      </x:c>
      <x:c r="F359" t="s">
        <x:v>1358</x:v>
      </x:c>
      <x:c r="K359">
        <x:v>1</x:v>
      </x:c>
      <x:c r="L359" t="str">
        <x:f t="shared" si="20"/>
      </x:c>
      <x:c r="O359" t="s">
        <x:v>38</x:v>
      </x:c>
      <x:c r="T359" s="2" t="n">
        <x:f>'SUPUESTOS PRECIOS'!$B$9</x:f>
        <x:v>0</x:v>
      </x:c>
      <x:c r="U359" s="3" t="n">
        <x:f>'SUPUESTOS PRECIOS'!$B$5/'SUPUESTOS PRECIOS'!$B$4</x:f>
        <x:v>1000</x:v>
      </x:c>
      <x:c r="V359" s="3" t="n">
        <x:f>('SUPUESTOS PRECIOS'!$B$6-'SUPUESTOS PRECIOS'!$B$7)/'SUPUESTOS PRECIOS'!$B$4</x:f>
        <x:v>377.5</x:v>
      </x:c>
      <x:c r="W359" s="4" t="n">
        <x:f>'SUPUESTOS PRECIOS'!$B$8</x:f>
        <x:v>0.00968</x:v>
      </x:c>
      <x:c r="X359" s="4" t="n">
        <x:f>'SUPUESTOS PRECIOS'!$B$2</x:f>
        <x:v>0.4</x:v>
      </x:c>
      <x:c r="Y359" s="3" t="str">
        <x:f t="shared" si="21"/>
      </x:c>
      <x:c r="Z359" s="3" t="str">
        <x:f t="shared" si="22"/>
      </x:c>
      <x:c r="AA359" s="11" t="str">
        <x:f t="shared" si="23"/>
      </x:c>
    </x:row>
    <x:row r="360">
      <x:c r="A360" s="10" t="s">
        <x:v>1483</x:v>
      </x:c>
      <x:c r="F360" t="s">
        <x:v>1358</x:v>
      </x:c>
      <x:c r="K360">
        <x:v>1</x:v>
      </x:c>
      <x:c r="L360" t="str">
        <x:f t="shared" si="20"/>
      </x:c>
      <x:c r="O360" t="s">
        <x:v>38</x:v>
      </x:c>
      <x:c r="T360" s="2" t="n">
        <x:f>'SUPUESTOS PRECIOS'!$B$9</x:f>
        <x:v>0</x:v>
      </x:c>
      <x:c r="U360" s="3" t="n">
        <x:f>'SUPUESTOS PRECIOS'!$B$5/'SUPUESTOS PRECIOS'!$B$4</x:f>
        <x:v>1000</x:v>
      </x:c>
      <x:c r="V360" s="3" t="n">
        <x:f>('SUPUESTOS PRECIOS'!$B$6-'SUPUESTOS PRECIOS'!$B$7)/'SUPUESTOS PRECIOS'!$B$4</x:f>
        <x:v>377.5</x:v>
      </x:c>
      <x:c r="W360" s="4" t="n">
        <x:f>'SUPUESTOS PRECIOS'!$B$8</x:f>
        <x:v>0.00968</x:v>
      </x:c>
      <x:c r="X360" s="4" t="n">
        <x:f>'SUPUESTOS PRECIOS'!$B$2</x:f>
        <x:v>0.4</x:v>
      </x:c>
      <x:c r="Y360" s="3" t="str">
        <x:f t="shared" si="21"/>
      </x:c>
      <x:c r="Z360" s="3" t="str">
        <x:f t="shared" si="22"/>
      </x:c>
      <x:c r="AA360" s="11" t="str">
        <x:f t="shared" si="23"/>
      </x:c>
    </x:row>
    <x:row r="361">
      <x:c r="A361" s="10" t="s">
        <x:v>1484</x:v>
      </x:c>
      <x:c r="F361" t="s">
        <x:v>1358</x:v>
      </x:c>
      <x:c r="K361">
        <x:v>1</x:v>
      </x:c>
      <x:c r="L361" t="str">
        <x:f t="shared" si="20"/>
      </x:c>
      <x:c r="O361" t="s">
        <x:v>38</x:v>
      </x:c>
      <x:c r="T361" s="2" t="n">
        <x:f>'SUPUESTOS PRECIOS'!$B$9</x:f>
        <x:v>0</x:v>
      </x:c>
      <x:c r="U361" s="3" t="n">
        <x:f>'SUPUESTOS PRECIOS'!$B$5/'SUPUESTOS PRECIOS'!$B$4</x:f>
        <x:v>1000</x:v>
      </x:c>
      <x:c r="V361" s="3" t="n">
        <x:f>('SUPUESTOS PRECIOS'!$B$6-'SUPUESTOS PRECIOS'!$B$7)/'SUPUESTOS PRECIOS'!$B$4</x:f>
        <x:v>377.5</x:v>
      </x:c>
      <x:c r="W361" s="4" t="n">
        <x:f>'SUPUESTOS PRECIOS'!$B$8</x:f>
        <x:v>0.00968</x:v>
      </x:c>
      <x:c r="X361" s="4" t="n">
        <x:f>'SUPUESTOS PRECIOS'!$B$2</x:f>
        <x:v>0.4</x:v>
      </x:c>
      <x:c r="Y361" s="3" t="str">
        <x:f t="shared" si="21"/>
      </x:c>
      <x:c r="Z361" s="3" t="str">
        <x:f t="shared" si="22"/>
      </x:c>
      <x:c r="AA361" s="11" t="str">
        <x:f t="shared" si="23"/>
      </x:c>
    </x:row>
    <x:row r="362">
      <x:c r="A362" s="10" t="s">
        <x:v>1485</x:v>
      </x:c>
      <x:c r="F362" t="s">
        <x:v>1358</x:v>
      </x:c>
      <x:c r="K362">
        <x:v>1</x:v>
      </x:c>
      <x:c r="L362" t="str">
        <x:f t="shared" si="20"/>
      </x:c>
      <x:c r="O362" t="s">
        <x:v>38</x:v>
      </x:c>
      <x:c r="T362" s="2" t="n">
        <x:f>'SUPUESTOS PRECIOS'!$B$9</x:f>
        <x:v>0</x:v>
      </x:c>
      <x:c r="U362" s="3" t="n">
        <x:f>'SUPUESTOS PRECIOS'!$B$5/'SUPUESTOS PRECIOS'!$B$4</x:f>
        <x:v>1000</x:v>
      </x:c>
      <x:c r="V362" s="3" t="n">
        <x:f>('SUPUESTOS PRECIOS'!$B$6-'SUPUESTOS PRECIOS'!$B$7)/'SUPUESTOS PRECIOS'!$B$4</x:f>
        <x:v>377.5</x:v>
      </x:c>
      <x:c r="W362" s="4" t="n">
        <x:f>'SUPUESTOS PRECIOS'!$B$8</x:f>
        <x:v>0.00968</x:v>
      </x:c>
      <x:c r="X362" s="4" t="n">
        <x:f>'SUPUESTOS PRECIOS'!$B$2</x:f>
        <x:v>0.4</x:v>
      </x:c>
      <x:c r="Y362" s="3" t="str">
        <x:f t="shared" si="21"/>
      </x:c>
      <x:c r="Z362" s="3" t="str">
        <x:f t="shared" si="22"/>
      </x:c>
      <x:c r="AA362" s="11" t="str">
        <x:f t="shared" si="23"/>
      </x:c>
    </x:row>
    <x:row r="363">
      <x:c r="A363" s="10" t="s">
        <x:v>1486</x:v>
      </x:c>
      <x:c r="F363" t="s">
        <x:v>1358</x:v>
      </x:c>
      <x:c r="K363">
        <x:v>1</x:v>
      </x:c>
      <x:c r="L363" t="str">
        <x:f t="shared" si="20"/>
      </x:c>
      <x:c r="O363" t="s">
        <x:v>38</x:v>
      </x:c>
      <x:c r="T363" s="2" t="n">
        <x:f>'SUPUESTOS PRECIOS'!$B$9</x:f>
        <x:v>0</x:v>
      </x:c>
      <x:c r="U363" s="3" t="n">
        <x:f>'SUPUESTOS PRECIOS'!$B$5/'SUPUESTOS PRECIOS'!$B$4</x:f>
        <x:v>1000</x:v>
      </x:c>
      <x:c r="V363" s="3" t="n">
        <x:f>('SUPUESTOS PRECIOS'!$B$6-'SUPUESTOS PRECIOS'!$B$7)/'SUPUESTOS PRECIOS'!$B$4</x:f>
        <x:v>377.5</x:v>
      </x:c>
      <x:c r="W363" s="4" t="n">
        <x:f>'SUPUESTOS PRECIOS'!$B$8</x:f>
        <x:v>0.00968</x:v>
      </x:c>
      <x:c r="X363" s="4" t="n">
        <x:f>'SUPUESTOS PRECIOS'!$B$2</x:f>
        <x:v>0.4</x:v>
      </x:c>
      <x:c r="Y363" s="3" t="str">
        <x:f t="shared" si="21"/>
      </x:c>
      <x:c r="Z363" s="3" t="str">
        <x:f t="shared" si="22"/>
      </x:c>
      <x:c r="AA363" s="11" t="str">
        <x:f t="shared" si="23"/>
      </x:c>
    </x:row>
    <x:row r="364">
      <x:c r="A364" s="10" t="s">
        <x:v>1487</x:v>
      </x:c>
      <x:c r="F364" t="s">
        <x:v>1358</x:v>
      </x:c>
      <x:c r="K364">
        <x:v>1</x:v>
      </x:c>
      <x:c r="L364" t="str">
        <x:f t="shared" si="20"/>
      </x:c>
      <x:c r="O364" t="s">
        <x:v>38</x:v>
      </x:c>
      <x:c r="T364" s="2" t="n">
        <x:f>'SUPUESTOS PRECIOS'!$B$9</x:f>
        <x:v>0</x:v>
      </x:c>
      <x:c r="U364" s="3" t="n">
        <x:f>'SUPUESTOS PRECIOS'!$B$5/'SUPUESTOS PRECIOS'!$B$4</x:f>
        <x:v>1000</x:v>
      </x:c>
      <x:c r="V364" s="3" t="n">
        <x:f>('SUPUESTOS PRECIOS'!$B$6-'SUPUESTOS PRECIOS'!$B$7)/'SUPUESTOS PRECIOS'!$B$4</x:f>
        <x:v>377.5</x:v>
      </x:c>
      <x:c r="W364" s="4" t="n">
        <x:f>'SUPUESTOS PRECIOS'!$B$8</x:f>
        <x:v>0.00968</x:v>
      </x:c>
      <x:c r="X364" s="4" t="n">
        <x:f>'SUPUESTOS PRECIOS'!$B$2</x:f>
        <x:v>0.4</x:v>
      </x:c>
      <x:c r="Y364" s="3" t="str">
        <x:f t="shared" si="21"/>
      </x:c>
      <x:c r="Z364" s="3" t="str">
        <x:f t="shared" si="22"/>
      </x:c>
      <x:c r="AA364" s="11" t="str">
        <x:f t="shared" si="23"/>
      </x:c>
    </x:row>
    <x:row r="365">
      <x:c r="A365" s="10" t="s">
        <x:v>1488</x:v>
      </x:c>
      <x:c r="F365" t="s">
        <x:v>1358</x:v>
      </x:c>
      <x:c r="K365">
        <x:v>1</x:v>
      </x:c>
      <x:c r="L365" t="str">
        <x:f t="shared" si="20"/>
      </x:c>
      <x:c r="O365" t="s">
        <x:v>38</x:v>
      </x:c>
      <x:c r="T365" s="2" t="n">
        <x:f>'SUPUESTOS PRECIOS'!$B$9</x:f>
        <x:v>0</x:v>
      </x:c>
      <x:c r="U365" s="3" t="n">
        <x:f>'SUPUESTOS PRECIOS'!$B$5/'SUPUESTOS PRECIOS'!$B$4</x:f>
        <x:v>1000</x:v>
      </x:c>
      <x:c r="V365" s="3" t="n">
        <x:f>('SUPUESTOS PRECIOS'!$B$6-'SUPUESTOS PRECIOS'!$B$7)/'SUPUESTOS PRECIOS'!$B$4</x:f>
        <x:v>377.5</x:v>
      </x:c>
      <x:c r="W365" s="4" t="n">
        <x:f>'SUPUESTOS PRECIOS'!$B$8</x:f>
        <x:v>0.00968</x:v>
      </x:c>
      <x:c r="X365" s="4" t="n">
        <x:f>'SUPUESTOS PRECIOS'!$B$2</x:f>
        <x:v>0.4</x:v>
      </x:c>
      <x:c r="Y365" s="3" t="str">
        <x:f t="shared" si="21"/>
      </x:c>
      <x:c r="Z365" s="3" t="str">
        <x:f t="shared" si="22"/>
      </x:c>
      <x:c r="AA365" s="11" t="str">
        <x:f t="shared" si="23"/>
      </x:c>
    </x:row>
    <x:row r="366">
      <x:c r="A366" s="10" t="s">
        <x:v>1489</x:v>
      </x:c>
      <x:c r="F366" t="s">
        <x:v>1358</x:v>
      </x:c>
      <x:c r="K366">
        <x:v>1</x:v>
      </x:c>
      <x:c r="L366" t="str">
        <x:f t="shared" si="20"/>
      </x:c>
      <x:c r="O366" t="s">
        <x:v>38</x:v>
      </x:c>
      <x:c r="T366" s="2" t="n">
        <x:f>'SUPUESTOS PRECIOS'!$B$9</x:f>
        <x:v>0</x:v>
      </x:c>
      <x:c r="U366" s="3" t="n">
        <x:f>'SUPUESTOS PRECIOS'!$B$5/'SUPUESTOS PRECIOS'!$B$4</x:f>
        <x:v>1000</x:v>
      </x:c>
      <x:c r="V366" s="3" t="n">
        <x:f>('SUPUESTOS PRECIOS'!$B$6-'SUPUESTOS PRECIOS'!$B$7)/'SUPUESTOS PRECIOS'!$B$4</x:f>
        <x:v>377.5</x:v>
      </x:c>
      <x:c r="W366" s="4" t="n">
        <x:f>'SUPUESTOS PRECIOS'!$B$8</x:f>
        <x:v>0.00968</x:v>
      </x:c>
      <x:c r="X366" s="4" t="n">
        <x:f>'SUPUESTOS PRECIOS'!$B$2</x:f>
        <x:v>0.4</x:v>
      </x:c>
      <x:c r="Y366" s="3" t="str">
        <x:f t="shared" si="21"/>
      </x:c>
      <x:c r="Z366" s="3" t="str">
        <x:f t="shared" si="22"/>
      </x:c>
      <x:c r="AA366" s="11" t="str">
        <x:f t="shared" si="23"/>
      </x:c>
    </x:row>
    <x:row r="367">
      <x:c r="A367" s="10" t="s">
        <x:v>1490</x:v>
      </x:c>
      <x:c r="F367" t="s">
        <x:v>1358</x:v>
      </x:c>
      <x:c r="K367">
        <x:v>1</x:v>
      </x:c>
      <x:c r="L367" t="str">
        <x:f t="shared" si="20"/>
      </x:c>
      <x:c r="O367" t="s">
        <x:v>38</x:v>
      </x:c>
      <x:c r="T367" s="2" t="n">
        <x:f>'SUPUESTOS PRECIOS'!$B$9</x:f>
        <x:v>0</x:v>
      </x:c>
      <x:c r="U367" s="3" t="n">
        <x:f>'SUPUESTOS PRECIOS'!$B$5/'SUPUESTOS PRECIOS'!$B$4</x:f>
        <x:v>1000</x:v>
      </x:c>
      <x:c r="V367" s="3" t="n">
        <x:f>('SUPUESTOS PRECIOS'!$B$6-'SUPUESTOS PRECIOS'!$B$7)/'SUPUESTOS PRECIOS'!$B$4</x:f>
        <x:v>377.5</x:v>
      </x:c>
      <x:c r="W367" s="4" t="n">
        <x:f>'SUPUESTOS PRECIOS'!$B$8</x:f>
        <x:v>0.00968</x:v>
      </x:c>
      <x:c r="X367" s="4" t="n">
        <x:f>'SUPUESTOS PRECIOS'!$B$2</x:f>
        <x:v>0.4</x:v>
      </x:c>
      <x:c r="Y367" s="3" t="str">
        <x:f t="shared" si="21"/>
      </x:c>
      <x:c r="Z367" s="3" t="str">
        <x:f t="shared" si="22"/>
      </x:c>
      <x:c r="AA367" s="11" t="str">
        <x:f t="shared" si="23"/>
      </x:c>
    </x:row>
    <x:row r="368">
      <x:c r="A368" s="10" t="s">
        <x:v>1491</x:v>
      </x:c>
      <x:c r="F368" t="s">
        <x:v>1358</x:v>
      </x:c>
      <x:c r="K368">
        <x:v>1</x:v>
      </x:c>
      <x:c r="L368" t="str">
        <x:f t="shared" si="20"/>
      </x:c>
      <x:c r="O368" t="s">
        <x:v>38</x:v>
      </x:c>
      <x:c r="T368" s="2" t="n">
        <x:f>'SUPUESTOS PRECIOS'!$B$9</x:f>
        <x:v>0</x:v>
      </x:c>
      <x:c r="U368" s="3" t="n">
        <x:f>'SUPUESTOS PRECIOS'!$B$5/'SUPUESTOS PRECIOS'!$B$4</x:f>
        <x:v>1000</x:v>
      </x:c>
      <x:c r="V368" s="3" t="n">
        <x:f>('SUPUESTOS PRECIOS'!$B$6-'SUPUESTOS PRECIOS'!$B$7)/'SUPUESTOS PRECIOS'!$B$4</x:f>
        <x:v>377.5</x:v>
      </x:c>
      <x:c r="W368" s="4" t="n">
        <x:f>'SUPUESTOS PRECIOS'!$B$8</x:f>
        <x:v>0.00968</x:v>
      </x:c>
      <x:c r="X368" s="4" t="n">
        <x:f>'SUPUESTOS PRECIOS'!$B$2</x:f>
        <x:v>0.4</x:v>
      </x:c>
      <x:c r="Y368" s="3" t="str">
        <x:f t="shared" si="21"/>
      </x:c>
      <x:c r="Z368" s="3" t="str">
        <x:f t="shared" si="22"/>
      </x:c>
      <x:c r="AA368" s="11" t="str">
        <x:f t="shared" si="23"/>
      </x:c>
    </x:row>
    <x:row r="369">
      <x:c r="A369" s="10" t="s">
        <x:v>1492</x:v>
      </x:c>
      <x:c r="F369" t="s">
        <x:v>1358</x:v>
      </x:c>
      <x:c r="K369">
        <x:v>1</x:v>
      </x:c>
      <x:c r="L369" t="str">
        <x:f t="shared" si="20"/>
      </x:c>
      <x:c r="O369" t="s">
        <x:v>38</x:v>
      </x:c>
      <x:c r="T369" s="2" t="n">
        <x:f>'SUPUESTOS PRECIOS'!$B$9</x:f>
        <x:v>0</x:v>
      </x:c>
      <x:c r="U369" s="3" t="n">
        <x:f>'SUPUESTOS PRECIOS'!$B$5/'SUPUESTOS PRECIOS'!$B$4</x:f>
        <x:v>1000</x:v>
      </x:c>
      <x:c r="V369" s="3" t="n">
        <x:f>('SUPUESTOS PRECIOS'!$B$6-'SUPUESTOS PRECIOS'!$B$7)/'SUPUESTOS PRECIOS'!$B$4</x:f>
        <x:v>377.5</x:v>
      </x:c>
      <x:c r="W369" s="4" t="n">
        <x:f>'SUPUESTOS PRECIOS'!$B$8</x:f>
        <x:v>0.00968</x:v>
      </x:c>
      <x:c r="X369" s="4" t="n">
        <x:f>'SUPUESTOS PRECIOS'!$B$2</x:f>
        <x:v>0.4</x:v>
      </x:c>
      <x:c r="Y369" s="3" t="str">
        <x:f t="shared" si="21"/>
      </x:c>
      <x:c r="Z369" s="3" t="str">
        <x:f t="shared" si="22"/>
      </x:c>
      <x:c r="AA369" s="11" t="str">
        <x:f t="shared" si="23"/>
      </x:c>
    </x:row>
    <x:row r="370">
      <x:c r="A370" s="10" t="s">
        <x:v>1493</x:v>
      </x:c>
      <x:c r="F370" t="s">
        <x:v>1358</x:v>
      </x:c>
      <x:c r="K370">
        <x:v>1</x:v>
      </x:c>
      <x:c r="L370" t="str">
        <x:f t="shared" si="20"/>
      </x:c>
      <x:c r="O370" t="s">
        <x:v>38</x:v>
      </x:c>
      <x:c r="T370" s="2" t="n">
        <x:f>'SUPUESTOS PRECIOS'!$B$9</x:f>
        <x:v>0</x:v>
      </x:c>
      <x:c r="U370" s="3" t="n">
        <x:f>'SUPUESTOS PRECIOS'!$B$5/'SUPUESTOS PRECIOS'!$B$4</x:f>
        <x:v>1000</x:v>
      </x:c>
      <x:c r="V370" s="3" t="n">
        <x:f>('SUPUESTOS PRECIOS'!$B$6-'SUPUESTOS PRECIOS'!$B$7)/'SUPUESTOS PRECIOS'!$B$4</x:f>
        <x:v>377.5</x:v>
      </x:c>
      <x:c r="W370" s="4" t="n">
        <x:f>'SUPUESTOS PRECIOS'!$B$8</x:f>
        <x:v>0.00968</x:v>
      </x:c>
      <x:c r="X370" s="4" t="n">
        <x:f>'SUPUESTOS PRECIOS'!$B$2</x:f>
        <x:v>0.4</x:v>
      </x:c>
      <x:c r="Y370" s="3" t="str">
        <x:f t="shared" si="21"/>
      </x:c>
      <x:c r="Z370" s="3" t="str">
        <x:f t="shared" si="22"/>
      </x:c>
      <x:c r="AA370" s="11" t="str">
        <x:f t="shared" si="23"/>
      </x:c>
    </x:row>
    <x:row r="371">
      <x:c r="A371" s="10" t="s">
        <x:v>1494</x:v>
      </x:c>
      <x:c r="F371" t="s">
        <x:v>1358</x:v>
      </x:c>
      <x:c r="K371">
        <x:v>1</x:v>
      </x:c>
      <x:c r="L371" t="str">
        <x:f t="shared" si="20"/>
      </x:c>
      <x:c r="O371" t="s">
        <x:v>38</x:v>
      </x:c>
      <x:c r="T371" s="2" t="n">
        <x:f>'SUPUESTOS PRECIOS'!$B$9</x:f>
        <x:v>0</x:v>
      </x:c>
      <x:c r="U371" s="3" t="n">
        <x:f>'SUPUESTOS PRECIOS'!$B$5/'SUPUESTOS PRECIOS'!$B$4</x:f>
        <x:v>1000</x:v>
      </x:c>
      <x:c r="V371" s="3" t="n">
        <x:f>('SUPUESTOS PRECIOS'!$B$6-'SUPUESTOS PRECIOS'!$B$7)/'SUPUESTOS PRECIOS'!$B$4</x:f>
        <x:v>377.5</x:v>
      </x:c>
      <x:c r="W371" s="4" t="n">
        <x:f>'SUPUESTOS PRECIOS'!$B$8</x:f>
        <x:v>0.00968</x:v>
      </x:c>
      <x:c r="X371" s="4" t="n">
        <x:f>'SUPUESTOS PRECIOS'!$B$2</x:f>
        <x:v>0.4</x:v>
      </x:c>
      <x:c r="Y371" s="3" t="str">
        <x:f t="shared" si="21"/>
      </x:c>
      <x:c r="Z371" s="3" t="str">
        <x:f t="shared" si="22"/>
      </x:c>
      <x:c r="AA371" s="11" t="str">
        <x:f t="shared" si="23"/>
      </x:c>
    </x:row>
    <x:row r="372">
      <x:c r="A372" s="10" t="s">
        <x:v>1495</x:v>
      </x:c>
      <x:c r="F372" t="s">
        <x:v>1358</x:v>
      </x:c>
      <x:c r="K372">
        <x:v>1</x:v>
      </x:c>
      <x:c r="L372" t="str">
        <x:f t="shared" si="20"/>
      </x:c>
      <x:c r="O372" t="s">
        <x:v>38</x:v>
      </x:c>
      <x:c r="T372" s="2" t="n">
        <x:f>'SUPUESTOS PRECIOS'!$B$9</x:f>
        <x:v>0</x:v>
      </x:c>
      <x:c r="U372" s="3" t="n">
        <x:f>'SUPUESTOS PRECIOS'!$B$5/'SUPUESTOS PRECIOS'!$B$4</x:f>
        <x:v>1000</x:v>
      </x:c>
      <x:c r="V372" s="3" t="n">
        <x:f>('SUPUESTOS PRECIOS'!$B$6-'SUPUESTOS PRECIOS'!$B$7)/'SUPUESTOS PRECIOS'!$B$4</x:f>
        <x:v>377.5</x:v>
      </x:c>
      <x:c r="W372" s="4" t="n">
        <x:f>'SUPUESTOS PRECIOS'!$B$8</x:f>
        <x:v>0.00968</x:v>
      </x:c>
      <x:c r="X372" s="4" t="n">
        <x:f>'SUPUESTOS PRECIOS'!$B$2</x:f>
        <x:v>0.4</x:v>
      </x:c>
      <x:c r="Y372" s="3" t="str">
        <x:f t="shared" si="21"/>
      </x:c>
      <x:c r="Z372" s="3" t="str">
        <x:f t="shared" si="22"/>
      </x:c>
      <x:c r="AA372" s="11" t="str">
        <x:f t="shared" si="23"/>
      </x:c>
    </x:row>
    <x:row r="373">
      <x:c r="A373" s="10" t="s">
        <x:v>1496</x:v>
      </x:c>
      <x:c r="F373" t="s">
        <x:v>1358</x:v>
      </x:c>
      <x:c r="K373">
        <x:v>1</x:v>
      </x:c>
      <x:c r="L373" t="str">
        <x:f t="shared" si="20"/>
      </x:c>
      <x:c r="O373" t="s">
        <x:v>38</x:v>
      </x:c>
      <x:c r="T373" s="2" t="n">
        <x:f>'SUPUESTOS PRECIOS'!$B$9</x:f>
        <x:v>0</x:v>
      </x:c>
      <x:c r="U373" s="3" t="n">
        <x:f>'SUPUESTOS PRECIOS'!$B$5/'SUPUESTOS PRECIOS'!$B$4</x:f>
        <x:v>1000</x:v>
      </x:c>
      <x:c r="V373" s="3" t="n">
        <x:f>('SUPUESTOS PRECIOS'!$B$6-'SUPUESTOS PRECIOS'!$B$7)/'SUPUESTOS PRECIOS'!$B$4</x:f>
        <x:v>377.5</x:v>
      </x:c>
      <x:c r="W373" s="4" t="n">
        <x:f>'SUPUESTOS PRECIOS'!$B$8</x:f>
        <x:v>0.00968</x:v>
      </x:c>
      <x:c r="X373" s="4" t="n">
        <x:f>'SUPUESTOS PRECIOS'!$B$2</x:f>
        <x:v>0.4</x:v>
      </x:c>
      <x:c r="Y373" s="3" t="str">
        <x:f t="shared" si="21"/>
      </x:c>
      <x:c r="Z373" s="3" t="str">
        <x:f t="shared" si="22"/>
      </x:c>
      <x:c r="AA373" s="11" t="str">
        <x:f t="shared" si="23"/>
      </x:c>
    </x:row>
    <x:row r="374">
      <x:c r="A374" s="10" t="s">
        <x:v>1497</x:v>
      </x:c>
      <x:c r="F374" t="s">
        <x:v>1358</x:v>
      </x:c>
      <x:c r="K374">
        <x:v>1</x:v>
      </x:c>
      <x:c r="L374" t="str">
        <x:f t="shared" si="20"/>
      </x:c>
      <x:c r="O374" t="s">
        <x:v>38</x:v>
      </x:c>
      <x:c r="T374" s="2" t="n">
        <x:f>'SUPUESTOS PRECIOS'!$B$9</x:f>
        <x:v>0</x:v>
      </x:c>
      <x:c r="U374" s="3" t="n">
        <x:f>'SUPUESTOS PRECIOS'!$B$5/'SUPUESTOS PRECIOS'!$B$4</x:f>
        <x:v>1000</x:v>
      </x:c>
      <x:c r="V374" s="3" t="n">
        <x:f>('SUPUESTOS PRECIOS'!$B$6-'SUPUESTOS PRECIOS'!$B$7)/'SUPUESTOS PRECIOS'!$B$4</x:f>
        <x:v>377.5</x:v>
      </x:c>
      <x:c r="W374" s="4" t="n">
        <x:f>'SUPUESTOS PRECIOS'!$B$8</x:f>
        <x:v>0.00968</x:v>
      </x:c>
      <x:c r="X374" s="4" t="n">
        <x:f>'SUPUESTOS PRECIOS'!$B$2</x:f>
        <x:v>0.4</x:v>
      </x:c>
      <x:c r="Y374" s="3" t="str">
        <x:f t="shared" si="21"/>
      </x:c>
      <x:c r="Z374" s="3" t="str">
        <x:f t="shared" si="22"/>
      </x:c>
      <x:c r="AA374" s="11" t="str">
        <x:f t="shared" si="23"/>
      </x:c>
    </x:row>
    <x:row r="375">
      <x:c r="A375" s="10" t="s">
        <x:v>1498</x:v>
      </x:c>
      <x:c r="F375" t="s">
        <x:v>1358</x:v>
      </x:c>
      <x:c r="K375">
        <x:v>1</x:v>
      </x:c>
      <x:c r="L375" t="str">
        <x:f t="shared" si="20"/>
      </x:c>
      <x:c r="O375" t="s">
        <x:v>38</x:v>
      </x:c>
      <x:c r="T375" s="2" t="n">
        <x:f>'SUPUESTOS PRECIOS'!$B$9</x:f>
        <x:v>0</x:v>
      </x:c>
      <x:c r="U375" s="3" t="n">
        <x:f>'SUPUESTOS PRECIOS'!$B$5/'SUPUESTOS PRECIOS'!$B$4</x:f>
        <x:v>1000</x:v>
      </x:c>
      <x:c r="V375" s="3" t="n">
        <x:f>('SUPUESTOS PRECIOS'!$B$6-'SUPUESTOS PRECIOS'!$B$7)/'SUPUESTOS PRECIOS'!$B$4</x:f>
        <x:v>377.5</x:v>
      </x:c>
      <x:c r="W375" s="4" t="n">
        <x:f>'SUPUESTOS PRECIOS'!$B$8</x:f>
        <x:v>0.00968</x:v>
      </x:c>
      <x:c r="X375" s="4" t="n">
        <x:f>'SUPUESTOS PRECIOS'!$B$2</x:f>
        <x:v>0.4</x:v>
      </x:c>
      <x:c r="Y375" s="3" t="str">
        <x:f t="shared" si="21"/>
      </x:c>
      <x:c r="Z375" s="3" t="str">
        <x:f t="shared" si="22"/>
      </x:c>
      <x:c r="AA375" s="11" t="str">
        <x:f t="shared" si="23"/>
      </x:c>
    </x:row>
    <x:row r="376">
      <x:c r="A376" s="10" t="s">
        <x:v>1499</x:v>
      </x:c>
      <x:c r="F376" t="s">
        <x:v>1358</x:v>
      </x:c>
      <x:c r="K376">
        <x:v>1</x:v>
      </x:c>
      <x:c r="L376" t="str">
        <x:f t="shared" si="20"/>
      </x:c>
      <x:c r="O376" t="s">
        <x:v>38</x:v>
      </x:c>
      <x:c r="T376" s="2" t="n">
        <x:f>'SUPUESTOS PRECIOS'!$B$9</x:f>
        <x:v>0</x:v>
      </x:c>
      <x:c r="U376" s="3" t="n">
        <x:f>'SUPUESTOS PRECIOS'!$B$5/'SUPUESTOS PRECIOS'!$B$4</x:f>
        <x:v>1000</x:v>
      </x:c>
      <x:c r="V376" s="3" t="n">
        <x:f>('SUPUESTOS PRECIOS'!$B$6-'SUPUESTOS PRECIOS'!$B$7)/'SUPUESTOS PRECIOS'!$B$4</x:f>
        <x:v>377.5</x:v>
      </x:c>
      <x:c r="W376" s="4" t="n">
        <x:f>'SUPUESTOS PRECIOS'!$B$8</x:f>
        <x:v>0.00968</x:v>
      </x:c>
      <x:c r="X376" s="4" t="n">
        <x:f>'SUPUESTOS PRECIOS'!$B$2</x:f>
        <x:v>0.4</x:v>
      </x:c>
      <x:c r="Y376" s="3" t="str">
        <x:f t="shared" si="21"/>
      </x:c>
      <x:c r="Z376" s="3" t="str">
        <x:f t="shared" si="22"/>
      </x:c>
      <x:c r="AA376" s="11" t="str">
        <x:f t="shared" si="23"/>
      </x:c>
    </x:row>
    <x:row r="377">
      <x:c r="A377" s="10" t="s">
        <x:v>1500</x:v>
      </x:c>
      <x:c r="F377" t="s">
        <x:v>1358</x:v>
      </x:c>
      <x:c r="K377">
        <x:v>1</x:v>
      </x:c>
      <x:c r="L377" t="str">
        <x:f t="shared" si="20"/>
      </x:c>
      <x:c r="O377" t="s">
        <x:v>38</x:v>
      </x:c>
      <x:c r="T377" s="2" t="n">
        <x:f>'SUPUESTOS PRECIOS'!$B$9</x:f>
        <x:v>0</x:v>
      </x:c>
      <x:c r="U377" s="3" t="n">
        <x:f>'SUPUESTOS PRECIOS'!$B$5/'SUPUESTOS PRECIOS'!$B$4</x:f>
        <x:v>1000</x:v>
      </x:c>
      <x:c r="V377" s="3" t="n">
        <x:f>('SUPUESTOS PRECIOS'!$B$6-'SUPUESTOS PRECIOS'!$B$7)/'SUPUESTOS PRECIOS'!$B$4</x:f>
        <x:v>377.5</x:v>
      </x:c>
      <x:c r="W377" s="4" t="n">
        <x:f>'SUPUESTOS PRECIOS'!$B$8</x:f>
        <x:v>0.00968</x:v>
      </x:c>
      <x:c r="X377" s="4" t="n">
        <x:f>'SUPUESTOS PRECIOS'!$B$2</x:f>
        <x:v>0.4</x:v>
      </x:c>
      <x:c r="Y377" s="3" t="str">
        <x:f t="shared" si="21"/>
      </x:c>
      <x:c r="Z377" s="3" t="str">
        <x:f t="shared" si="22"/>
      </x:c>
      <x:c r="AA377" s="11" t="str">
        <x:f t="shared" si="23"/>
      </x:c>
    </x:row>
    <x:row r="378">
      <x:c r="A378" s="10" t="s">
        <x:v>1501</x:v>
      </x:c>
      <x:c r="F378" t="s">
        <x:v>1358</x:v>
      </x:c>
      <x:c r="K378">
        <x:v>1</x:v>
      </x:c>
      <x:c r="L378" t="str">
        <x:f t="shared" si="20"/>
      </x:c>
      <x:c r="O378" t="s">
        <x:v>38</x:v>
      </x:c>
      <x:c r="T378" s="2" t="n">
        <x:f>'SUPUESTOS PRECIOS'!$B$9</x:f>
        <x:v>0</x:v>
      </x:c>
      <x:c r="U378" s="3" t="n">
        <x:f>'SUPUESTOS PRECIOS'!$B$5/'SUPUESTOS PRECIOS'!$B$4</x:f>
        <x:v>1000</x:v>
      </x:c>
      <x:c r="V378" s="3" t="n">
        <x:f>('SUPUESTOS PRECIOS'!$B$6-'SUPUESTOS PRECIOS'!$B$7)/'SUPUESTOS PRECIOS'!$B$4</x:f>
        <x:v>377.5</x:v>
      </x:c>
      <x:c r="W378" s="4" t="n">
        <x:f>'SUPUESTOS PRECIOS'!$B$8</x:f>
        <x:v>0.00968</x:v>
      </x:c>
      <x:c r="X378" s="4" t="n">
        <x:f>'SUPUESTOS PRECIOS'!$B$2</x:f>
        <x:v>0.4</x:v>
      </x:c>
      <x:c r="Y378" s="3" t="str">
        <x:f t="shared" si="21"/>
      </x:c>
      <x:c r="Z378" s="3" t="str">
        <x:f t="shared" si="22"/>
      </x:c>
      <x:c r="AA378" s="11" t="str">
        <x:f t="shared" si="23"/>
      </x:c>
    </x:row>
    <x:row r="379">
      <x:c r="A379" s="10" t="s">
        <x:v>1502</x:v>
      </x:c>
      <x:c r="F379" t="s">
        <x:v>1358</x:v>
      </x:c>
      <x:c r="K379">
        <x:v>1</x:v>
      </x:c>
      <x:c r="L379" t="str">
        <x:f t="shared" si="20"/>
      </x:c>
      <x:c r="O379" t="s">
        <x:v>38</x:v>
      </x:c>
      <x:c r="T379" s="2" t="n">
        <x:f>'SUPUESTOS PRECIOS'!$B$9</x:f>
        <x:v>0</x:v>
      </x:c>
      <x:c r="U379" s="3" t="n">
        <x:f>'SUPUESTOS PRECIOS'!$B$5/'SUPUESTOS PRECIOS'!$B$4</x:f>
        <x:v>1000</x:v>
      </x:c>
      <x:c r="V379" s="3" t="n">
        <x:f>('SUPUESTOS PRECIOS'!$B$6-'SUPUESTOS PRECIOS'!$B$7)/'SUPUESTOS PRECIOS'!$B$4</x:f>
        <x:v>377.5</x:v>
      </x:c>
      <x:c r="W379" s="4" t="n">
        <x:f>'SUPUESTOS PRECIOS'!$B$8</x:f>
        <x:v>0.00968</x:v>
      </x:c>
      <x:c r="X379" s="4" t="n">
        <x:f>'SUPUESTOS PRECIOS'!$B$2</x:f>
        <x:v>0.4</x:v>
      </x:c>
      <x:c r="Y379" s="3" t="str">
        <x:f t="shared" si="21"/>
      </x:c>
      <x:c r="Z379" s="3" t="str">
        <x:f t="shared" si="22"/>
      </x:c>
      <x:c r="AA379" s="11" t="str">
        <x:f t="shared" si="23"/>
      </x:c>
    </x:row>
    <x:row r="380">
      <x:c r="A380" s="10" t="s">
        <x:v>1503</x:v>
      </x:c>
      <x:c r="F380" t="s">
        <x:v>1358</x:v>
      </x:c>
      <x:c r="K380">
        <x:v>1</x:v>
      </x:c>
      <x:c r="L380" t="str">
        <x:f t="shared" si="20"/>
      </x:c>
      <x:c r="O380" t="s">
        <x:v>38</x:v>
      </x:c>
      <x:c r="T380" s="2" t="n">
        <x:f>'SUPUESTOS PRECIOS'!$B$9</x:f>
        <x:v>0</x:v>
      </x:c>
      <x:c r="U380" s="3" t="n">
        <x:f>'SUPUESTOS PRECIOS'!$B$5/'SUPUESTOS PRECIOS'!$B$4</x:f>
        <x:v>1000</x:v>
      </x:c>
      <x:c r="V380" s="3" t="n">
        <x:f>('SUPUESTOS PRECIOS'!$B$6-'SUPUESTOS PRECIOS'!$B$7)/'SUPUESTOS PRECIOS'!$B$4</x:f>
        <x:v>377.5</x:v>
      </x:c>
      <x:c r="W380" s="4" t="n">
        <x:f>'SUPUESTOS PRECIOS'!$B$8</x:f>
        <x:v>0.00968</x:v>
      </x:c>
      <x:c r="X380" s="4" t="n">
        <x:f>'SUPUESTOS PRECIOS'!$B$2</x:f>
        <x:v>0.4</x:v>
      </x:c>
      <x:c r="Y380" s="3" t="str">
        <x:f t="shared" si="21"/>
      </x:c>
      <x:c r="Z380" s="3" t="str">
        <x:f t="shared" si="22"/>
      </x:c>
      <x:c r="AA380" s="11" t="str">
        <x:f t="shared" si="23"/>
      </x:c>
    </x:row>
    <x:row r="381">
      <x:c r="A381" s="10" t="s">
        <x:v>1504</x:v>
      </x:c>
      <x:c r="F381" t="s">
        <x:v>1358</x:v>
      </x:c>
      <x:c r="K381">
        <x:v>1</x:v>
      </x:c>
      <x:c r="L381" t="str">
        <x:f t="shared" si="20"/>
      </x:c>
      <x:c r="O381" t="s">
        <x:v>38</x:v>
      </x:c>
      <x:c r="T381" s="2" t="n">
        <x:f>'SUPUESTOS PRECIOS'!$B$9</x:f>
        <x:v>0</x:v>
      </x:c>
      <x:c r="U381" s="3" t="n">
        <x:f>'SUPUESTOS PRECIOS'!$B$5/'SUPUESTOS PRECIOS'!$B$4</x:f>
        <x:v>1000</x:v>
      </x:c>
      <x:c r="V381" s="3" t="n">
        <x:f>('SUPUESTOS PRECIOS'!$B$6-'SUPUESTOS PRECIOS'!$B$7)/'SUPUESTOS PRECIOS'!$B$4</x:f>
        <x:v>377.5</x:v>
      </x:c>
      <x:c r="W381" s="4" t="n">
        <x:f>'SUPUESTOS PRECIOS'!$B$8</x:f>
        <x:v>0.00968</x:v>
      </x:c>
      <x:c r="X381" s="4" t="n">
        <x:f>'SUPUESTOS PRECIOS'!$B$2</x:f>
        <x:v>0.4</x:v>
      </x:c>
      <x:c r="Y381" s="3" t="str">
        <x:f t="shared" si="21"/>
      </x:c>
      <x:c r="Z381" s="3" t="str">
        <x:f t="shared" si="22"/>
      </x:c>
      <x:c r="AA381" s="11" t="str">
        <x:f t="shared" si="23"/>
      </x:c>
    </x:row>
    <x:row r="382">
      <x:c r="A382" s="10" t="s">
        <x:v>1505</x:v>
      </x:c>
      <x:c r="F382" t="s">
        <x:v>1358</x:v>
      </x:c>
      <x:c r="K382">
        <x:v>1</x:v>
      </x:c>
      <x:c r="L382" t="str">
        <x:f t="shared" si="20"/>
      </x:c>
      <x:c r="O382" t="s">
        <x:v>38</x:v>
      </x:c>
      <x:c r="T382" s="2" t="n">
        <x:f>'SUPUESTOS PRECIOS'!$B$9</x:f>
        <x:v>0</x:v>
      </x:c>
      <x:c r="U382" s="3" t="n">
        <x:f>'SUPUESTOS PRECIOS'!$B$5/'SUPUESTOS PRECIOS'!$B$4</x:f>
        <x:v>1000</x:v>
      </x:c>
      <x:c r="V382" s="3" t="n">
        <x:f>('SUPUESTOS PRECIOS'!$B$6-'SUPUESTOS PRECIOS'!$B$7)/'SUPUESTOS PRECIOS'!$B$4</x:f>
        <x:v>377.5</x:v>
      </x:c>
      <x:c r="W382" s="4" t="n">
        <x:f>'SUPUESTOS PRECIOS'!$B$8</x:f>
        <x:v>0.00968</x:v>
      </x:c>
      <x:c r="X382" s="4" t="n">
        <x:f>'SUPUESTOS PRECIOS'!$B$2</x:f>
        <x:v>0.4</x:v>
      </x:c>
      <x:c r="Y382" s="3" t="str">
        <x:f t="shared" si="21"/>
      </x:c>
      <x:c r="Z382" s="3" t="str">
        <x:f t="shared" si="22"/>
      </x:c>
      <x:c r="AA382" s="11" t="str">
        <x:f t="shared" si="23"/>
      </x:c>
    </x:row>
    <x:row r="383">
      <x:c r="A383" s="10" t="s">
        <x:v>1506</x:v>
      </x:c>
      <x:c r="F383" t="s">
        <x:v>1358</x:v>
      </x:c>
      <x:c r="K383">
        <x:v>1</x:v>
      </x:c>
      <x:c r="L383" t="str">
        <x:f t="shared" si="20"/>
      </x:c>
      <x:c r="O383" t="s">
        <x:v>38</x:v>
      </x:c>
      <x:c r="T383" s="2" t="n">
        <x:f>'SUPUESTOS PRECIOS'!$B$9</x:f>
        <x:v>0</x:v>
      </x:c>
      <x:c r="U383" s="3" t="n">
        <x:f>'SUPUESTOS PRECIOS'!$B$5/'SUPUESTOS PRECIOS'!$B$4</x:f>
        <x:v>1000</x:v>
      </x:c>
      <x:c r="V383" s="3" t="n">
        <x:f>('SUPUESTOS PRECIOS'!$B$6-'SUPUESTOS PRECIOS'!$B$7)/'SUPUESTOS PRECIOS'!$B$4</x:f>
        <x:v>377.5</x:v>
      </x:c>
      <x:c r="W383" s="4" t="n">
        <x:f>'SUPUESTOS PRECIOS'!$B$8</x:f>
        <x:v>0.00968</x:v>
      </x:c>
      <x:c r="X383" s="4" t="n">
        <x:f>'SUPUESTOS PRECIOS'!$B$2</x:f>
        <x:v>0.4</x:v>
      </x:c>
      <x:c r="Y383" s="3" t="str">
        <x:f t="shared" si="21"/>
      </x:c>
      <x:c r="Z383" s="3" t="str">
        <x:f t="shared" si="22"/>
      </x:c>
      <x:c r="AA383" s="11" t="str">
        <x:f t="shared" si="23"/>
      </x:c>
    </x:row>
    <x:row r="384">
      <x:c r="A384" s="10" t="s">
        <x:v>1507</x:v>
      </x:c>
      <x:c r="F384" t="s">
        <x:v>1358</x:v>
      </x:c>
      <x:c r="K384">
        <x:v>1</x:v>
      </x:c>
      <x:c r="L384" t="str">
        <x:f t="shared" si="20"/>
      </x:c>
      <x:c r="O384" t="s">
        <x:v>38</x:v>
      </x:c>
      <x:c r="T384" s="2" t="n">
        <x:f>'SUPUESTOS PRECIOS'!$B$9</x:f>
        <x:v>0</x:v>
      </x:c>
      <x:c r="U384" s="3" t="n">
        <x:f>'SUPUESTOS PRECIOS'!$B$5/'SUPUESTOS PRECIOS'!$B$4</x:f>
        <x:v>1000</x:v>
      </x:c>
      <x:c r="V384" s="3" t="n">
        <x:f>('SUPUESTOS PRECIOS'!$B$6-'SUPUESTOS PRECIOS'!$B$7)/'SUPUESTOS PRECIOS'!$B$4</x:f>
        <x:v>377.5</x:v>
      </x:c>
      <x:c r="W384" s="4" t="n">
        <x:f>'SUPUESTOS PRECIOS'!$B$8</x:f>
        <x:v>0.00968</x:v>
      </x:c>
      <x:c r="X384" s="4" t="n">
        <x:f>'SUPUESTOS PRECIOS'!$B$2</x:f>
        <x:v>0.4</x:v>
      </x:c>
      <x:c r="Y384" s="3" t="str">
        <x:f t="shared" si="21"/>
      </x:c>
      <x:c r="Z384" s="3" t="str">
        <x:f t="shared" si="22"/>
      </x:c>
      <x:c r="AA384" s="11" t="str">
        <x:f t="shared" si="23"/>
      </x:c>
    </x:row>
    <x:row r="385">
      <x:c r="A385" s="10" t="s">
        <x:v>1508</x:v>
      </x:c>
      <x:c r="F385" t="s">
        <x:v>1358</x:v>
      </x:c>
      <x:c r="K385">
        <x:v>1</x:v>
      </x:c>
      <x:c r="L385" t="str">
        <x:f t="shared" si="20"/>
      </x:c>
      <x:c r="O385" t="s">
        <x:v>38</x:v>
      </x:c>
      <x:c r="T385" s="2" t="n">
        <x:f>'SUPUESTOS PRECIOS'!$B$9</x:f>
        <x:v>0</x:v>
      </x:c>
      <x:c r="U385" s="3" t="n">
        <x:f>'SUPUESTOS PRECIOS'!$B$5/'SUPUESTOS PRECIOS'!$B$4</x:f>
        <x:v>1000</x:v>
      </x:c>
      <x:c r="V385" s="3" t="n">
        <x:f>('SUPUESTOS PRECIOS'!$B$6-'SUPUESTOS PRECIOS'!$B$7)/'SUPUESTOS PRECIOS'!$B$4</x:f>
        <x:v>377.5</x:v>
      </x:c>
      <x:c r="W385" s="4" t="n">
        <x:f>'SUPUESTOS PRECIOS'!$B$8</x:f>
        <x:v>0.00968</x:v>
      </x:c>
      <x:c r="X385" s="4" t="n">
        <x:f>'SUPUESTOS PRECIOS'!$B$2</x:f>
        <x:v>0.4</x:v>
      </x:c>
      <x:c r="Y385" s="3" t="str">
        <x:f t="shared" si="21"/>
      </x:c>
      <x:c r="Z385" s="3" t="str">
        <x:f t="shared" si="22"/>
      </x:c>
      <x:c r="AA385" s="11" t="str">
        <x:f t="shared" si="23"/>
      </x:c>
    </x:row>
    <x:row r="386">
      <x:c r="A386" s="10" t="s">
        <x:v>1509</x:v>
      </x:c>
      <x:c r="F386" t="s">
        <x:v>1358</x:v>
      </x:c>
      <x:c r="K386">
        <x:v>1</x:v>
      </x:c>
      <x:c r="L386" t="str">
        <x:f t="shared" ref="L386:L449" si="24">IF(J386="","",J386*(1+K386))</x:f>
      </x:c>
      <x:c r="O386" t="s">
        <x:v>38</x:v>
      </x:c>
      <x:c r="T386" s="2" t="n">
        <x:f>'SUPUESTOS PRECIOS'!$B$9</x:f>
        <x:v>0</x:v>
      </x:c>
      <x:c r="U386" s="3" t="n">
        <x:f>'SUPUESTOS PRECIOS'!$B$5/'SUPUESTOS PRECIOS'!$B$4</x:f>
        <x:v>1000</x:v>
      </x:c>
      <x:c r="V386" s="3" t="n">
        <x:f>('SUPUESTOS PRECIOS'!$B$6-'SUPUESTOS PRECIOS'!$B$7)/'SUPUESTOS PRECIOS'!$B$4</x:f>
        <x:v>377.5</x:v>
      </x:c>
      <x:c r="W386" s="4" t="n">
        <x:f>'SUPUESTOS PRECIOS'!$B$8</x:f>
        <x:v>0.00968</x:v>
      </x:c>
      <x:c r="X386" s="4" t="n">
        <x:f>'SUPUESTOS PRECIOS'!$B$2</x:f>
        <x:v>0.4</x:v>
      </x:c>
      <x:c r="Y386" s="3" t="str">
        <x:f t="shared" ref="Y386:Y449" si="25">IF(OR($B386="",$J386=""),"",ROUND(($J386+$T386+$U386+$V386)/(1-$W386-$X386),-1))</x:f>
      </x:c>
      <x:c r="Z386" s="3" t="str">
        <x:f t="shared" ref="Z386:Z449" si="26">IF($Y386="","",$Y386-$J386-$T386-$U386-$V386-($Y386*$W386))</x:f>
      </x:c>
      <x:c r="AA386" s="11" t="str">
        <x:f t="shared" ref="AA386:AA449" si="27">IF($Y386="","",$Z386/$Y386)</x:f>
      </x:c>
    </x:row>
    <x:row r="387">
      <x:c r="A387" s="10" t="s">
        <x:v>1510</x:v>
      </x:c>
      <x:c r="F387" t="s">
        <x:v>1358</x:v>
      </x:c>
      <x:c r="K387">
        <x:v>1</x:v>
      </x:c>
      <x:c r="L387" t="str">
        <x:f t="shared" si="24"/>
      </x:c>
      <x:c r="O387" t="s">
        <x:v>38</x:v>
      </x:c>
      <x:c r="T387" s="2" t="n">
        <x:f>'SUPUESTOS PRECIOS'!$B$9</x:f>
        <x:v>0</x:v>
      </x:c>
      <x:c r="U387" s="3" t="n">
        <x:f>'SUPUESTOS PRECIOS'!$B$5/'SUPUESTOS PRECIOS'!$B$4</x:f>
        <x:v>1000</x:v>
      </x:c>
      <x:c r="V387" s="3" t="n">
        <x:f>('SUPUESTOS PRECIOS'!$B$6-'SUPUESTOS PRECIOS'!$B$7)/'SUPUESTOS PRECIOS'!$B$4</x:f>
        <x:v>377.5</x:v>
      </x:c>
      <x:c r="W387" s="4" t="n">
        <x:f>'SUPUESTOS PRECIOS'!$B$8</x:f>
        <x:v>0.00968</x:v>
      </x:c>
      <x:c r="X387" s="4" t="n">
        <x:f>'SUPUESTOS PRECIOS'!$B$2</x:f>
        <x:v>0.4</x:v>
      </x:c>
      <x:c r="Y387" s="3" t="str">
        <x:f t="shared" si="25"/>
      </x:c>
      <x:c r="Z387" s="3" t="str">
        <x:f t="shared" si="26"/>
      </x:c>
      <x:c r="AA387" s="11" t="str">
        <x:f t="shared" si="27"/>
      </x:c>
    </x:row>
    <x:row r="388">
      <x:c r="A388" s="10" t="s">
        <x:v>1511</x:v>
      </x:c>
      <x:c r="F388" t="s">
        <x:v>1358</x:v>
      </x:c>
      <x:c r="K388">
        <x:v>1</x:v>
      </x:c>
      <x:c r="L388" t="str">
        <x:f t="shared" si="24"/>
      </x:c>
      <x:c r="O388" t="s">
        <x:v>38</x:v>
      </x:c>
      <x:c r="T388" s="2" t="n">
        <x:f>'SUPUESTOS PRECIOS'!$B$9</x:f>
        <x:v>0</x:v>
      </x:c>
      <x:c r="U388" s="3" t="n">
        <x:f>'SUPUESTOS PRECIOS'!$B$5/'SUPUESTOS PRECIOS'!$B$4</x:f>
        <x:v>1000</x:v>
      </x:c>
      <x:c r="V388" s="3" t="n">
        <x:f>('SUPUESTOS PRECIOS'!$B$6-'SUPUESTOS PRECIOS'!$B$7)/'SUPUESTOS PRECIOS'!$B$4</x:f>
        <x:v>377.5</x:v>
      </x:c>
      <x:c r="W388" s="4" t="n">
        <x:f>'SUPUESTOS PRECIOS'!$B$8</x:f>
        <x:v>0.00968</x:v>
      </x:c>
      <x:c r="X388" s="4" t="n">
        <x:f>'SUPUESTOS PRECIOS'!$B$2</x:f>
        <x:v>0.4</x:v>
      </x:c>
      <x:c r="Y388" s="3" t="str">
        <x:f t="shared" si="25"/>
      </x:c>
      <x:c r="Z388" s="3" t="str">
        <x:f t="shared" si="26"/>
      </x:c>
      <x:c r="AA388" s="11" t="str">
        <x:f t="shared" si="27"/>
      </x:c>
    </x:row>
    <x:row r="389">
      <x:c r="A389" s="10" t="s">
        <x:v>1512</x:v>
      </x:c>
      <x:c r="F389" t="s">
        <x:v>1358</x:v>
      </x:c>
      <x:c r="K389">
        <x:v>1</x:v>
      </x:c>
      <x:c r="L389" t="str">
        <x:f t="shared" si="24"/>
      </x:c>
      <x:c r="O389" t="s">
        <x:v>38</x:v>
      </x:c>
      <x:c r="T389" s="2" t="n">
        <x:f>'SUPUESTOS PRECIOS'!$B$9</x:f>
        <x:v>0</x:v>
      </x:c>
      <x:c r="U389" s="3" t="n">
        <x:f>'SUPUESTOS PRECIOS'!$B$5/'SUPUESTOS PRECIOS'!$B$4</x:f>
        <x:v>1000</x:v>
      </x:c>
      <x:c r="V389" s="3" t="n">
        <x:f>('SUPUESTOS PRECIOS'!$B$6-'SUPUESTOS PRECIOS'!$B$7)/'SUPUESTOS PRECIOS'!$B$4</x:f>
        <x:v>377.5</x:v>
      </x:c>
      <x:c r="W389" s="4" t="n">
        <x:f>'SUPUESTOS PRECIOS'!$B$8</x:f>
        <x:v>0.00968</x:v>
      </x:c>
      <x:c r="X389" s="4" t="n">
        <x:f>'SUPUESTOS PRECIOS'!$B$2</x:f>
        <x:v>0.4</x:v>
      </x:c>
      <x:c r="Y389" s="3" t="str">
        <x:f t="shared" si="25"/>
      </x:c>
      <x:c r="Z389" s="3" t="str">
        <x:f t="shared" si="26"/>
      </x:c>
      <x:c r="AA389" s="11" t="str">
        <x:f t="shared" si="27"/>
      </x:c>
    </x:row>
    <x:row r="390">
      <x:c r="A390" s="10" t="s">
        <x:v>1513</x:v>
      </x:c>
      <x:c r="F390" t="s">
        <x:v>1358</x:v>
      </x:c>
      <x:c r="K390">
        <x:v>1</x:v>
      </x:c>
      <x:c r="L390" t="str">
        <x:f t="shared" si="24"/>
      </x:c>
      <x:c r="O390" t="s">
        <x:v>38</x:v>
      </x:c>
      <x:c r="T390" s="2" t="n">
        <x:f>'SUPUESTOS PRECIOS'!$B$9</x:f>
        <x:v>0</x:v>
      </x:c>
      <x:c r="U390" s="3" t="n">
        <x:f>'SUPUESTOS PRECIOS'!$B$5/'SUPUESTOS PRECIOS'!$B$4</x:f>
        <x:v>1000</x:v>
      </x:c>
      <x:c r="V390" s="3" t="n">
        <x:f>('SUPUESTOS PRECIOS'!$B$6-'SUPUESTOS PRECIOS'!$B$7)/'SUPUESTOS PRECIOS'!$B$4</x:f>
        <x:v>377.5</x:v>
      </x:c>
      <x:c r="W390" s="4" t="n">
        <x:f>'SUPUESTOS PRECIOS'!$B$8</x:f>
        <x:v>0.00968</x:v>
      </x:c>
      <x:c r="X390" s="4" t="n">
        <x:f>'SUPUESTOS PRECIOS'!$B$2</x:f>
        <x:v>0.4</x:v>
      </x:c>
      <x:c r="Y390" s="3" t="str">
        <x:f t="shared" si="25"/>
      </x:c>
      <x:c r="Z390" s="3" t="str">
        <x:f t="shared" si="26"/>
      </x:c>
      <x:c r="AA390" s="11" t="str">
        <x:f t="shared" si="27"/>
      </x:c>
    </x:row>
    <x:row r="391">
      <x:c r="A391" s="10" t="s">
        <x:v>1514</x:v>
      </x:c>
      <x:c r="F391" t="s">
        <x:v>1358</x:v>
      </x:c>
      <x:c r="K391">
        <x:v>1</x:v>
      </x:c>
      <x:c r="L391" t="str">
        <x:f t="shared" si="24"/>
      </x:c>
      <x:c r="O391" t="s">
        <x:v>38</x:v>
      </x:c>
      <x:c r="T391" s="2" t="n">
        <x:f>'SUPUESTOS PRECIOS'!$B$9</x:f>
        <x:v>0</x:v>
      </x:c>
      <x:c r="U391" s="3" t="n">
        <x:f>'SUPUESTOS PRECIOS'!$B$5/'SUPUESTOS PRECIOS'!$B$4</x:f>
        <x:v>1000</x:v>
      </x:c>
      <x:c r="V391" s="3" t="n">
        <x:f>('SUPUESTOS PRECIOS'!$B$6-'SUPUESTOS PRECIOS'!$B$7)/'SUPUESTOS PRECIOS'!$B$4</x:f>
        <x:v>377.5</x:v>
      </x:c>
      <x:c r="W391" s="4" t="n">
        <x:f>'SUPUESTOS PRECIOS'!$B$8</x:f>
        <x:v>0.00968</x:v>
      </x:c>
      <x:c r="X391" s="4" t="n">
        <x:f>'SUPUESTOS PRECIOS'!$B$2</x:f>
        <x:v>0.4</x:v>
      </x:c>
      <x:c r="Y391" s="3" t="str">
        <x:f t="shared" si="25"/>
      </x:c>
      <x:c r="Z391" s="3" t="str">
        <x:f t="shared" si="26"/>
      </x:c>
      <x:c r="AA391" s="11" t="str">
        <x:f t="shared" si="27"/>
      </x:c>
    </x:row>
    <x:row r="392">
      <x:c r="A392" s="10" t="s">
        <x:v>1515</x:v>
      </x:c>
      <x:c r="F392" t="s">
        <x:v>1358</x:v>
      </x:c>
      <x:c r="K392">
        <x:v>1</x:v>
      </x:c>
      <x:c r="L392" t="str">
        <x:f t="shared" si="24"/>
      </x:c>
      <x:c r="O392" t="s">
        <x:v>38</x:v>
      </x:c>
      <x:c r="T392" s="2" t="n">
        <x:f>'SUPUESTOS PRECIOS'!$B$9</x:f>
        <x:v>0</x:v>
      </x:c>
      <x:c r="U392" s="3" t="n">
        <x:f>'SUPUESTOS PRECIOS'!$B$5/'SUPUESTOS PRECIOS'!$B$4</x:f>
        <x:v>1000</x:v>
      </x:c>
      <x:c r="V392" s="3" t="n">
        <x:f>('SUPUESTOS PRECIOS'!$B$6-'SUPUESTOS PRECIOS'!$B$7)/'SUPUESTOS PRECIOS'!$B$4</x:f>
        <x:v>377.5</x:v>
      </x:c>
      <x:c r="W392" s="4" t="n">
        <x:f>'SUPUESTOS PRECIOS'!$B$8</x:f>
        <x:v>0.00968</x:v>
      </x:c>
      <x:c r="X392" s="4" t="n">
        <x:f>'SUPUESTOS PRECIOS'!$B$2</x:f>
        <x:v>0.4</x:v>
      </x:c>
      <x:c r="Y392" s="3" t="str">
        <x:f t="shared" si="25"/>
      </x:c>
      <x:c r="Z392" s="3" t="str">
        <x:f t="shared" si="26"/>
      </x:c>
      <x:c r="AA392" s="11" t="str">
        <x:f t="shared" si="27"/>
      </x:c>
    </x:row>
    <x:row r="393">
      <x:c r="A393" s="10" t="s">
        <x:v>1516</x:v>
      </x:c>
      <x:c r="F393" t="s">
        <x:v>1358</x:v>
      </x:c>
      <x:c r="K393">
        <x:v>1</x:v>
      </x:c>
      <x:c r="L393" t="str">
        <x:f t="shared" si="24"/>
      </x:c>
      <x:c r="O393" t="s">
        <x:v>38</x:v>
      </x:c>
      <x:c r="T393" s="2" t="n">
        <x:f>'SUPUESTOS PRECIOS'!$B$9</x:f>
        <x:v>0</x:v>
      </x:c>
      <x:c r="U393" s="3" t="n">
        <x:f>'SUPUESTOS PRECIOS'!$B$5/'SUPUESTOS PRECIOS'!$B$4</x:f>
        <x:v>1000</x:v>
      </x:c>
      <x:c r="V393" s="3" t="n">
        <x:f>('SUPUESTOS PRECIOS'!$B$6-'SUPUESTOS PRECIOS'!$B$7)/'SUPUESTOS PRECIOS'!$B$4</x:f>
        <x:v>377.5</x:v>
      </x:c>
      <x:c r="W393" s="4" t="n">
        <x:f>'SUPUESTOS PRECIOS'!$B$8</x:f>
        <x:v>0.00968</x:v>
      </x:c>
      <x:c r="X393" s="4" t="n">
        <x:f>'SUPUESTOS PRECIOS'!$B$2</x:f>
        <x:v>0.4</x:v>
      </x:c>
      <x:c r="Y393" s="3" t="str">
        <x:f t="shared" si="25"/>
      </x:c>
      <x:c r="Z393" s="3" t="str">
        <x:f t="shared" si="26"/>
      </x:c>
      <x:c r="AA393" s="11" t="str">
        <x:f t="shared" si="27"/>
      </x:c>
    </x:row>
    <x:row r="394">
      <x:c r="A394" s="10" t="s">
        <x:v>1517</x:v>
      </x:c>
      <x:c r="F394" t="s">
        <x:v>1358</x:v>
      </x:c>
      <x:c r="K394">
        <x:v>1</x:v>
      </x:c>
      <x:c r="L394" t="str">
        <x:f t="shared" si="24"/>
      </x:c>
      <x:c r="O394" t="s">
        <x:v>38</x:v>
      </x:c>
      <x:c r="T394" s="2" t="n">
        <x:f>'SUPUESTOS PRECIOS'!$B$9</x:f>
        <x:v>0</x:v>
      </x:c>
      <x:c r="U394" s="3" t="n">
        <x:f>'SUPUESTOS PRECIOS'!$B$5/'SUPUESTOS PRECIOS'!$B$4</x:f>
        <x:v>1000</x:v>
      </x:c>
      <x:c r="V394" s="3" t="n">
        <x:f>('SUPUESTOS PRECIOS'!$B$6-'SUPUESTOS PRECIOS'!$B$7)/'SUPUESTOS PRECIOS'!$B$4</x:f>
        <x:v>377.5</x:v>
      </x:c>
      <x:c r="W394" s="4" t="n">
        <x:f>'SUPUESTOS PRECIOS'!$B$8</x:f>
        <x:v>0.00968</x:v>
      </x:c>
      <x:c r="X394" s="4" t="n">
        <x:f>'SUPUESTOS PRECIOS'!$B$2</x:f>
        <x:v>0.4</x:v>
      </x:c>
      <x:c r="Y394" s="3" t="str">
        <x:f t="shared" si="25"/>
      </x:c>
      <x:c r="Z394" s="3" t="str">
        <x:f t="shared" si="26"/>
      </x:c>
      <x:c r="AA394" s="11" t="str">
        <x:f t="shared" si="27"/>
      </x:c>
    </x:row>
    <x:row r="395">
      <x:c r="A395" s="10" t="s">
        <x:v>1518</x:v>
      </x:c>
      <x:c r="F395" t="s">
        <x:v>1358</x:v>
      </x:c>
      <x:c r="K395">
        <x:v>1</x:v>
      </x:c>
      <x:c r="L395" t="str">
        <x:f t="shared" si="24"/>
      </x:c>
      <x:c r="O395" t="s">
        <x:v>38</x:v>
      </x:c>
      <x:c r="T395" s="2" t="n">
        <x:f>'SUPUESTOS PRECIOS'!$B$9</x:f>
        <x:v>0</x:v>
      </x:c>
      <x:c r="U395" s="3" t="n">
        <x:f>'SUPUESTOS PRECIOS'!$B$5/'SUPUESTOS PRECIOS'!$B$4</x:f>
        <x:v>1000</x:v>
      </x:c>
      <x:c r="V395" s="3" t="n">
        <x:f>('SUPUESTOS PRECIOS'!$B$6-'SUPUESTOS PRECIOS'!$B$7)/'SUPUESTOS PRECIOS'!$B$4</x:f>
        <x:v>377.5</x:v>
      </x:c>
      <x:c r="W395" s="4" t="n">
        <x:f>'SUPUESTOS PRECIOS'!$B$8</x:f>
        <x:v>0.00968</x:v>
      </x:c>
      <x:c r="X395" s="4" t="n">
        <x:f>'SUPUESTOS PRECIOS'!$B$2</x:f>
        <x:v>0.4</x:v>
      </x:c>
      <x:c r="Y395" s="3" t="str">
        <x:f t="shared" si="25"/>
      </x:c>
      <x:c r="Z395" s="3" t="str">
        <x:f t="shared" si="26"/>
      </x:c>
      <x:c r="AA395" s="11" t="str">
        <x:f t="shared" si="27"/>
      </x:c>
    </x:row>
    <x:row r="396">
      <x:c r="A396" s="10" t="s">
        <x:v>1519</x:v>
      </x:c>
      <x:c r="F396" t="s">
        <x:v>1358</x:v>
      </x:c>
      <x:c r="K396">
        <x:v>1</x:v>
      </x:c>
      <x:c r="L396" t="str">
        <x:f t="shared" si="24"/>
      </x:c>
      <x:c r="O396" t="s">
        <x:v>38</x:v>
      </x:c>
      <x:c r="T396" s="2" t="n">
        <x:f>'SUPUESTOS PRECIOS'!$B$9</x:f>
        <x:v>0</x:v>
      </x:c>
      <x:c r="U396" s="3" t="n">
        <x:f>'SUPUESTOS PRECIOS'!$B$5/'SUPUESTOS PRECIOS'!$B$4</x:f>
        <x:v>1000</x:v>
      </x:c>
      <x:c r="V396" s="3" t="n">
        <x:f>('SUPUESTOS PRECIOS'!$B$6-'SUPUESTOS PRECIOS'!$B$7)/'SUPUESTOS PRECIOS'!$B$4</x:f>
        <x:v>377.5</x:v>
      </x:c>
      <x:c r="W396" s="4" t="n">
        <x:f>'SUPUESTOS PRECIOS'!$B$8</x:f>
        <x:v>0.00968</x:v>
      </x:c>
      <x:c r="X396" s="4" t="n">
        <x:f>'SUPUESTOS PRECIOS'!$B$2</x:f>
        <x:v>0.4</x:v>
      </x:c>
      <x:c r="Y396" s="3" t="str">
        <x:f t="shared" si="25"/>
      </x:c>
      <x:c r="Z396" s="3" t="str">
        <x:f t="shared" si="26"/>
      </x:c>
      <x:c r="AA396" s="11" t="str">
        <x:f t="shared" si="27"/>
      </x:c>
    </x:row>
    <x:row r="397">
      <x:c r="A397" s="10" t="s">
        <x:v>1520</x:v>
      </x:c>
      <x:c r="F397" t="s">
        <x:v>1358</x:v>
      </x:c>
      <x:c r="K397">
        <x:v>1</x:v>
      </x:c>
      <x:c r="L397" t="str">
        <x:f t="shared" si="24"/>
      </x:c>
      <x:c r="O397" t="s">
        <x:v>38</x:v>
      </x:c>
      <x:c r="T397" s="2" t="n">
        <x:f>'SUPUESTOS PRECIOS'!$B$9</x:f>
        <x:v>0</x:v>
      </x:c>
      <x:c r="U397" s="3" t="n">
        <x:f>'SUPUESTOS PRECIOS'!$B$5/'SUPUESTOS PRECIOS'!$B$4</x:f>
        <x:v>1000</x:v>
      </x:c>
      <x:c r="V397" s="3" t="n">
        <x:f>('SUPUESTOS PRECIOS'!$B$6-'SUPUESTOS PRECIOS'!$B$7)/'SUPUESTOS PRECIOS'!$B$4</x:f>
        <x:v>377.5</x:v>
      </x:c>
      <x:c r="W397" s="4" t="n">
        <x:f>'SUPUESTOS PRECIOS'!$B$8</x:f>
        <x:v>0.00968</x:v>
      </x:c>
      <x:c r="X397" s="4" t="n">
        <x:f>'SUPUESTOS PRECIOS'!$B$2</x:f>
        <x:v>0.4</x:v>
      </x:c>
      <x:c r="Y397" s="3" t="str">
        <x:f t="shared" si="25"/>
      </x:c>
      <x:c r="Z397" s="3" t="str">
        <x:f t="shared" si="26"/>
      </x:c>
      <x:c r="AA397" s="11" t="str">
        <x:f t="shared" si="27"/>
      </x:c>
    </x:row>
    <x:row r="398">
      <x:c r="A398" s="10" t="s">
        <x:v>1521</x:v>
      </x:c>
      <x:c r="F398" t="s">
        <x:v>1358</x:v>
      </x:c>
      <x:c r="K398">
        <x:v>1</x:v>
      </x:c>
      <x:c r="L398" t="str">
        <x:f t="shared" si="24"/>
      </x:c>
      <x:c r="O398" t="s">
        <x:v>38</x:v>
      </x:c>
      <x:c r="T398" s="2" t="n">
        <x:f>'SUPUESTOS PRECIOS'!$B$9</x:f>
        <x:v>0</x:v>
      </x:c>
      <x:c r="U398" s="3" t="n">
        <x:f>'SUPUESTOS PRECIOS'!$B$5/'SUPUESTOS PRECIOS'!$B$4</x:f>
        <x:v>1000</x:v>
      </x:c>
      <x:c r="V398" s="3" t="n">
        <x:f>('SUPUESTOS PRECIOS'!$B$6-'SUPUESTOS PRECIOS'!$B$7)/'SUPUESTOS PRECIOS'!$B$4</x:f>
        <x:v>377.5</x:v>
      </x:c>
      <x:c r="W398" s="4" t="n">
        <x:f>'SUPUESTOS PRECIOS'!$B$8</x:f>
        <x:v>0.00968</x:v>
      </x:c>
      <x:c r="X398" s="4" t="n">
        <x:f>'SUPUESTOS PRECIOS'!$B$2</x:f>
        <x:v>0.4</x:v>
      </x:c>
      <x:c r="Y398" s="3" t="str">
        <x:f t="shared" si="25"/>
      </x:c>
      <x:c r="Z398" s="3" t="str">
        <x:f t="shared" si="26"/>
      </x:c>
      <x:c r="AA398" s="11" t="str">
        <x:f t="shared" si="27"/>
      </x:c>
    </x:row>
    <x:row r="399">
      <x:c r="A399" s="10" t="s">
        <x:v>1522</x:v>
      </x:c>
      <x:c r="F399" t="s">
        <x:v>1358</x:v>
      </x:c>
      <x:c r="K399">
        <x:v>1</x:v>
      </x:c>
      <x:c r="L399" t="str">
        <x:f t="shared" si="24"/>
      </x:c>
      <x:c r="O399" t="s">
        <x:v>38</x:v>
      </x:c>
      <x:c r="T399" s="2" t="n">
        <x:f>'SUPUESTOS PRECIOS'!$B$9</x:f>
        <x:v>0</x:v>
      </x:c>
      <x:c r="U399" s="3" t="n">
        <x:f>'SUPUESTOS PRECIOS'!$B$5/'SUPUESTOS PRECIOS'!$B$4</x:f>
        <x:v>1000</x:v>
      </x:c>
      <x:c r="V399" s="3" t="n">
        <x:f>('SUPUESTOS PRECIOS'!$B$6-'SUPUESTOS PRECIOS'!$B$7)/'SUPUESTOS PRECIOS'!$B$4</x:f>
        <x:v>377.5</x:v>
      </x:c>
      <x:c r="W399" s="4" t="n">
        <x:f>'SUPUESTOS PRECIOS'!$B$8</x:f>
        <x:v>0.00968</x:v>
      </x:c>
      <x:c r="X399" s="4" t="n">
        <x:f>'SUPUESTOS PRECIOS'!$B$2</x:f>
        <x:v>0.4</x:v>
      </x:c>
      <x:c r="Y399" s="3" t="str">
        <x:f t="shared" si="25"/>
      </x:c>
      <x:c r="Z399" s="3" t="str">
        <x:f t="shared" si="26"/>
      </x:c>
      <x:c r="AA399" s="11" t="str">
        <x:f t="shared" si="27"/>
      </x:c>
    </x:row>
    <x:row r="400">
      <x:c r="A400" s="10" t="s">
        <x:v>1523</x:v>
      </x:c>
      <x:c r="F400" t="s">
        <x:v>1358</x:v>
      </x:c>
      <x:c r="K400">
        <x:v>1</x:v>
      </x:c>
      <x:c r="L400" t="str">
        <x:f t="shared" si="24"/>
      </x:c>
      <x:c r="O400" t="s">
        <x:v>38</x:v>
      </x:c>
      <x:c r="T400" s="2" t="n">
        <x:f>'SUPUESTOS PRECIOS'!$B$9</x:f>
        <x:v>0</x:v>
      </x:c>
      <x:c r="U400" s="3" t="n">
        <x:f>'SUPUESTOS PRECIOS'!$B$5/'SUPUESTOS PRECIOS'!$B$4</x:f>
        <x:v>1000</x:v>
      </x:c>
      <x:c r="V400" s="3" t="n">
        <x:f>('SUPUESTOS PRECIOS'!$B$6-'SUPUESTOS PRECIOS'!$B$7)/'SUPUESTOS PRECIOS'!$B$4</x:f>
        <x:v>377.5</x:v>
      </x:c>
      <x:c r="W400" s="4" t="n">
        <x:f>'SUPUESTOS PRECIOS'!$B$8</x:f>
        <x:v>0.00968</x:v>
      </x:c>
      <x:c r="X400" s="4" t="n">
        <x:f>'SUPUESTOS PRECIOS'!$B$2</x:f>
        <x:v>0.4</x:v>
      </x:c>
      <x:c r="Y400" s="3" t="str">
        <x:f t="shared" si="25"/>
      </x:c>
      <x:c r="Z400" s="3" t="str">
        <x:f t="shared" si="26"/>
      </x:c>
      <x:c r="AA400" s="11" t="str">
        <x:f t="shared" si="27"/>
      </x:c>
    </x:row>
    <x:row r="401">
      <x:c r="A401" s="10" t="s">
        <x:v>1524</x:v>
      </x:c>
      <x:c r="F401" t="s">
        <x:v>1358</x:v>
      </x:c>
      <x:c r="K401">
        <x:v>1</x:v>
      </x:c>
      <x:c r="L401" t="str">
        <x:f t="shared" si="24"/>
      </x:c>
      <x:c r="O401" t="s">
        <x:v>38</x:v>
      </x:c>
      <x:c r="T401" s="2" t="n">
        <x:f>'SUPUESTOS PRECIOS'!$B$9</x:f>
        <x:v>0</x:v>
      </x:c>
      <x:c r="U401" s="3" t="n">
        <x:f>'SUPUESTOS PRECIOS'!$B$5/'SUPUESTOS PRECIOS'!$B$4</x:f>
        <x:v>1000</x:v>
      </x:c>
      <x:c r="V401" s="3" t="n">
        <x:f>('SUPUESTOS PRECIOS'!$B$6-'SUPUESTOS PRECIOS'!$B$7)/'SUPUESTOS PRECIOS'!$B$4</x:f>
        <x:v>377.5</x:v>
      </x:c>
      <x:c r="W401" s="4" t="n">
        <x:f>'SUPUESTOS PRECIOS'!$B$8</x:f>
        <x:v>0.00968</x:v>
      </x:c>
      <x:c r="X401" s="4" t="n">
        <x:f>'SUPUESTOS PRECIOS'!$B$2</x:f>
        <x:v>0.4</x:v>
      </x:c>
      <x:c r="Y401" s="3" t="str">
        <x:f t="shared" si="25"/>
      </x:c>
      <x:c r="Z401" s="3" t="str">
        <x:f t="shared" si="26"/>
      </x:c>
      <x:c r="AA401" s="11" t="str">
        <x:f t="shared" si="27"/>
      </x:c>
    </x:row>
    <x:row r="402">
      <x:c r="A402" s="10" t="s">
        <x:v>1525</x:v>
      </x:c>
      <x:c r="F402" t="s">
        <x:v>1358</x:v>
      </x:c>
      <x:c r="K402">
        <x:v>1</x:v>
      </x:c>
      <x:c r="L402" t="str">
        <x:f t="shared" si="24"/>
      </x:c>
      <x:c r="O402" t="s">
        <x:v>38</x:v>
      </x:c>
      <x:c r="T402" s="2" t="n">
        <x:f>'SUPUESTOS PRECIOS'!$B$9</x:f>
        <x:v>0</x:v>
      </x:c>
      <x:c r="U402" s="3" t="n">
        <x:f>'SUPUESTOS PRECIOS'!$B$5/'SUPUESTOS PRECIOS'!$B$4</x:f>
        <x:v>1000</x:v>
      </x:c>
      <x:c r="V402" s="3" t="n">
        <x:f>('SUPUESTOS PRECIOS'!$B$6-'SUPUESTOS PRECIOS'!$B$7)/'SUPUESTOS PRECIOS'!$B$4</x:f>
        <x:v>377.5</x:v>
      </x:c>
      <x:c r="W402" s="4" t="n">
        <x:f>'SUPUESTOS PRECIOS'!$B$8</x:f>
        <x:v>0.00968</x:v>
      </x:c>
      <x:c r="X402" s="4" t="n">
        <x:f>'SUPUESTOS PRECIOS'!$B$2</x:f>
        <x:v>0.4</x:v>
      </x:c>
      <x:c r="Y402" s="3" t="str">
        <x:f t="shared" si="25"/>
      </x:c>
      <x:c r="Z402" s="3" t="str">
        <x:f t="shared" si="26"/>
      </x:c>
      <x:c r="AA402" s="11" t="str">
        <x:f t="shared" si="27"/>
      </x:c>
    </x:row>
    <x:row r="403">
      <x:c r="A403" s="10" t="s">
        <x:v>1526</x:v>
      </x:c>
      <x:c r="F403" t="s">
        <x:v>1358</x:v>
      </x:c>
      <x:c r="K403">
        <x:v>1</x:v>
      </x:c>
      <x:c r="L403" t="str">
        <x:f t="shared" si="24"/>
      </x:c>
      <x:c r="O403" t="s">
        <x:v>38</x:v>
      </x:c>
      <x:c r="T403" s="2" t="n">
        <x:f>'SUPUESTOS PRECIOS'!$B$9</x:f>
        <x:v>0</x:v>
      </x:c>
      <x:c r="U403" s="3" t="n">
        <x:f>'SUPUESTOS PRECIOS'!$B$5/'SUPUESTOS PRECIOS'!$B$4</x:f>
        <x:v>1000</x:v>
      </x:c>
      <x:c r="V403" s="3" t="n">
        <x:f>('SUPUESTOS PRECIOS'!$B$6-'SUPUESTOS PRECIOS'!$B$7)/'SUPUESTOS PRECIOS'!$B$4</x:f>
        <x:v>377.5</x:v>
      </x:c>
      <x:c r="W403" s="4" t="n">
        <x:f>'SUPUESTOS PRECIOS'!$B$8</x:f>
        <x:v>0.00968</x:v>
      </x:c>
      <x:c r="X403" s="4" t="n">
        <x:f>'SUPUESTOS PRECIOS'!$B$2</x:f>
        <x:v>0.4</x:v>
      </x:c>
      <x:c r="Y403" s="3" t="str">
        <x:f t="shared" si="25"/>
      </x:c>
      <x:c r="Z403" s="3" t="str">
        <x:f t="shared" si="26"/>
      </x:c>
      <x:c r="AA403" s="11" t="str">
        <x:f t="shared" si="27"/>
      </x:c>
    </x:row>
    <x:row r="404">
      <x:c r="A404" s="10" t="s">
        <x:v>1527</x:v>
      </x:c>
      <x:c r="F404" t="s">
        <x:v>1358</x:v>
      </x:c>
      <x:c r="K404">
        <x:v>1</x:v>
      </x:c>
      <x:c r="L404" t="str">
        <x:f t="shared" si="24"/>
      </x:c>
      <x:c r="O404" t="s">
        <x:v>38</x:v>
      </x:c>
      <x:c r="T404" s="2" t="n">
        <x:f>'SUPUESTOS PRECIOS'!$B$9</x:f>
        <x:v>0</x:v>
      </x:c>
      <x:c r="U404" s="3" t="n">
        <x:f>'SUPUESTOS PRECIOS'!$B$5/'SUPUESTOS PRECIOS'!$B$4</x:f>
        <x:v>1000</x:v>
      </x:c>
      <x:c r="V404" s="3" t="n">
        <x:f>('SUPUESTOS PRECIOS'!$B$6-'SUPUESTOS PRECIOS'!$B$7)/'SUPUESTOS PRECIOS'!$B$4</x:f>
        <x:v>377.5</x:v>
      </x:c>
      <x:c r="W404" s="4" t="n">
        <x:f>'SUPUESTOS PRECIOS'!$B$8</x:f>
        <x:v>0.00968</x:v>
      </x:c>
      <x:c r="X404" s="4" t="n">
        <x:f>'SUPUESTOS PRECIOS'!$B$2</x:f>
        <x:v>0.4</x:v>
      </x:c>
      <x:c r="Y404" s="3" t="str">
        <x:f t="shared" si="25"/>
      </x:c>
      <x:c r="Z404" s="3" t="str">
        <x:f t="shared" si="26"/>
      </x:c>
      <x:c r="AA404" s="11" t="str">
        <x:f t="shared" si="27"/>
      </x:c>
    </x:row>
    <x:row r="405">
      <x:c r="A405" s="10" t="s">
        <x:v>1528</x:v>
      </x:c>
      <x:c r="F405" t="s">
        <x:v>1358</x:v>
      </x:c>
      <x:c r="K405">
        <x:v>1</x:v>
      </x:c>
      <x:c r="L405" t="str">
        <x:f t="shared" si="24"/>
      </x:c>
      <x:c r="O405" t="s">
        <x:v>38</x:v>
      </x:c>
      <x:c r="T405" s="2" t="n">
        <x:f>'SUPUESTOS PRECIOS'!$B$9</x:f>
        <x:v>0</x:v>
      </x:c>
      <x:c r="U405" s="3" t="n">
        <x:f>'SUPUESTOS PRECIOS'!$B$5/'SUPUESTOS PRECIOS'!$B$4</x:f>
        <x:v>1000</x:v>
      </x:c>
      <x:c r="V405" s="3" t="n">
        <x:f>('SUPUESTOS PRECIOS'!$B$6-'SUPUESTOS PRECIOS'!$B$7)/'SUPUESTOS PRECIOS'!$B$4</x:f>
        <x:v>377.5</x:v>
      </x:c>
      <x:c r="W405" s="4" t="n">
        <x:f>'SUPUESTOS PRECIOS'!$B$8</x:f>
        <x:v>0.00968</x:v>
      </x:c>
      <x:c r="X405" s="4" t="n">
        <x:f>'SUPUESTOS PRECIOS'!$B$2</x:f>
        <x:v>0.4</x:v>
      </x:c>
      <x:c r="Y405" s="3" t="str">
        <x:f t="shared" si="25"/>
      </x:c>
      <x:c r="Z405" s="3" t="str">
        <x:f t="shared" si="26"/>
      </x:c>
      <x:c r="AA405" s="11" t="str">
        <x:f t="shared" si="27"/>
      </x:c>
    </x:row>
    <x:row r="406">
      <x:c r="A406" s="10" t="s">
        <x:v>1529</x:v>
      </x:c>
      <x:c r="F406" t="s">
        <x:v>1358</x:v>
      </x:c>
      <x:c r="K406">
        <x:v>1</x:v>
      </x:c>
      <x:c r="L406" t="str">
        <x:f t="shared" si="24"/>
      </x:c>
      <x:c r="O406" t="s">
        <x:v>38</x:v>
      </x:c>
      <x:c r="T406" s="2" t="n">
        <x:f>'SUPUESTOS PRECIOS'!$B$9</x:f>
        <x:v>0</x:v>
      </x:c>
      <x:c r="U406" s="3" t="n">
        <x:f>'SUPUESTOS PRECIOS'!$B$5/'SUPUESTOS PRECIOS'!$B$4</x:f>
        <x:v>1000</x:v>
      </x:c>
      <x:c r="V406" s="3" t="n">
        <x:f>('SUPUESTOS PRECIOS'!$B$6-'SUPUESTOS PRECIOS'!$B$7)/'SUPUESTOS PRECIOS'!$B$4</x:f>
        <x:v>377.5</x:v>
      </x:c>
      <x:c r="W406" s="4" t="n">
        <x:f>'SUPUESTOS PRECIOS'!$B$8</x:f>
        <x:v>0.00968</x:v>
      </x:c>
      <x:c r="X406" s="4" t="n">
        <x:f>'SUPUESTOS PRECIOS'!$B$2</x:f>
        <x:v>0.4</x:v>
      </x:c>
      <x:c r="Y406" s="3" t="str">
        <x:f t="shared" si="25"/>
      </x:c>
      <x:c r="Z406" s="3" t="str">
        <x:f t="shared" si="26"/>
      </x:c>
      <x:c r="AA406" s="11" t="str">
        <x:f t="shared" si="27"/>
      </x:c>
    </x:row>
    <x:row r="407">
      <x:c r="A407" s="10" t="s">
        <x:v>1530</x:v>
      </x:c>
      <x:c r="F407" t="s">
        <x:v>1358</x:v>
      </x:c>
      <x:c r="K407">
        <x:v>1</x:v>
      </x:c>
      <x:c r="L407" t="str">
        <x:f t="shared" si="24"/>
      </x:c>
      <x:c r="O407" t="s">
        <x:v>38</x:v>
      </x:c>
      <x:c r="T407" s="2" t="n">
        <x:f>'SUPUESTOS PRECIOS'!$B$9</x:f>
        <x:v>0</x:v>
      </x:c>
      <x:c r="U407" s="3" t="n">
        <x:f>'SUPUESTOS PRECIOS'!$B$5/'SUPUESTOS PRECIOS'!$B$4</x:f>
        <x:v>1000</x:v>
      </x:c>
      <x:c r="V407" s="3" t="n">
        <x:f>('SUPUESTOS PRECIOS'!$B$6-'SUPUESTOS PRECIOS'!$B$7)/'SUPUESTOS PRECIOS'!$B$4</x:f>
        <x:v>377.5</x:v>
      </x:c>
      <x:c r="W407" s="4" t="n">
        <x:f>'SUPUESTOS PRECIOS'!$B$8</x:f>
        <x:v>0.00968</x:v>
      </x:c>
      <x:c r="X407" s="4" t="n">
        <x:f>'SUPUESTOS PRECIOS'!$B$2</x:f>
        <x:v>0.4</x:v>
      </x:c>
      <x:c r="Y407" s="3" t="str">
        <x:f t="shared" si="25"/>
      </x:c>
      <x:c r="Z407" s="3" t="str">
        <x:f t="shared" si="26"/>
      </x:c>
      <x:c r="AA407" s="11" t="str">
        <x:f t="shared" si="27"/>
      </x:c>
    </x:row>
    <x:row r="408">
      <x:c r="A408" s="10" t="s">
        <x:v>1531</x:v>
      </x:c>
      <x:c r="F408" t="s">
        <x:v>1358</x:v>
      </x:c>
      <x:c r="K408">
        <x:v>1</x:v>
      </x:c>
      <x:c r="L408" t="str">
        <x:f t="shared" si="24"/>
      </x:c>
      <x:c r="O408" t="s">
        <x:v>38</x:v>
      </x:c>
      <x:c r="T408" s="2" t="n">
        <x:f>'SUPUESTOS PRECIOS'!$B$9</x:f>
        <x:v>0</x:v>
      </x:c>
      <x:c r="U408" s="3" t="n">
        <x:f>'SUPUESTOS PRECIOS'!$B$5/'SUPUESTOS PRECIOS'!$B$4</x:f>
        <x:v>1000</x:v>
      </x:c>
      <x:c r="V408" s="3" t="n">
        <x:f>('SUPUESTOS PRECIOS'!$B$6-'SUPUESTOS PRECIOS'!$B$7)/'SUPUESTOS PRECIOS'!$B$4</x:f>
        <x:v>377.5</x:v>
      </x:c>
      <x:c r="W408" s="4" t="n">
        <x:f>'SUPUESTOS PRECIOS'!$B$8</x:f>
        <x:v>0.00968</x:v>
      </x:c>
      <x:c r="X408" s="4" t="n">
        <x:f>'SUPUESTOS PRECIOS'!$B$2</x:f>
        <x:v>0.4</x:v>
      </x:c>
      <x:c r="Y408" s="3" t="str">
        <x:f t="shared" si="25"/>
      </x:c>
      <x:c r="Z408" s="3" t="str">
        <x:f t="shared" si="26"/>
      </x:c>
      <x:c r="AA408" s="11" t="str">
        <x:f t="shared" si="27"/>
      </x:c>
    </x:row>
    <x:row r="409">
      <x:c r="A409" s="10" t="s">
        <x:v>1532</x:v>
      </x:c>
      <x:c r="F409" t="s">
        <x:v>1358</x:v>
      </x:c>
      <x:c r="K409">
        <x:v>1</x:v>
      </x:c>
      <x:c r="L409" t="str">
        <x:f t="shared" si="24"/>
      </x:c>
      <x:c r="O409" t="s">
        <x:v>38</x:v>
      </x:c>
      <x:c r="T409" s="2" t="n">
        <x:f>'SUPUESTOS PRECIOS'!$B$9</x:f>
        <x:v>0</x:v>
      </x:c>
      <x:c r="U409" s="3" t="n">
        <x:f>'SUPUESTOS PRECIOS'!$B$5/'SUPUESTOS PRECIOS'!$B$4</x:f>
        <x:v>1000</x:v>
      </x:c>
      <x:c r="V409" s="3" t="n">
        <x:f>('SUPUESTOS PRECIOS'!$B$6-'SUPUESTOS PRECIOS'!$B$7)/'SUPUESTOS PRECIOS'!$B$4</x:f>
        <x:v>377.5</x:v>
      </x:c>
      <x:c r="W409" s="4" t="n">
        <x:f>'SUPUESTOS PRECIOS'!$B$8</x:f>
        <x:v>0.00968</x:v>
      </x:c>
      <x:c r="X409" s="4" t="n">
        <x:f>'SUPUESTOS PRECIOS'!$B$2</x:f>
        <x:v>0.4</x:v>
      </x:c>
      <x:c r="Y409" s="3" t="str">
        <x:f t="shared" si="25"/>
      </x:c>
      <x:c r="Z409" s="3" t="str">
        <x:f t="shared" si="26"/>
      </x:c>
      <x:c r="AA409" s="11" t="str">
        <x:f t="shared" si="27"/>
      </x:c>
    </x:row>
    <x:row r="410">
      <x:c r="A410" s="10" t="s">
        <x:v>1533</x:v>
      </x:c>
      <x:c r="F410" t="s">
        <x:v>1358</x:v>
      </x:c>
      <x:c r="K410">
        <x:v>1</x:v>
      </x:c>
      <x:c r="L410" t="str">
        <x:f t="shared" si="24"/>
      </x:c>
      <x:c r="O410" t="s">
        <x:v>38</x:v>
      </x:c>
      <x:c r="T410" s="2" t="n">
        <x:f>'SUPUESTOS PRECIOS'!$B$9</x:f>
        <x:v>0</x:v>
      </x:c>
      <x:c r="U410" s="3" t="n">
        <x:f>'SUPUESTOS PRECIOS'!$B$5/'SUPUESTOS PRECIOS'!$B$4</x:f>
        <x:v>1000</x:v>
      </x:c>
      <x:c r="V410" s="3" t="n">
        <x:f>('SUPUESTOS PRECIOS'!$B$6-'SUPUESTOS PRECIOS'!$B$7)/'SUPUESTOS PRECIOS'!$B$4</x:f>
        <x:v>377.5</x:v>
      </x:c>
      <x:c r="W410" s="4" t="n">
        <x:f>'SUPUESTOS PRECIOS'!$B$8</x:f>
        <x:v>0.00968</x:v>
      </x:c>
      <x:c r="X410" s="4" t="n">
        <x:f>'SUPUESTOS PRECIOS'!$B$2</x:f>
        <x:v>0.4</x:v>
      </x:c>
      <x:c r="Y410" s="3" t="str">
        <x:f t="shared" si="25"/>
      </x:c>
      <x:c r="Z410" s="3" t="str">
        <x:f t="shared" si="26"/>
      </x:c>
      <x:c r="AA410" s="11" t="str">
        <x:f t="shared" si="27"/>
      </x:c>
    </x:row>
    <x:row r="411">
      <x:c r="A411" s="10" t="s">
        <x:v>1534</x:v>
      </x:c>
      <x:c r="F411" t="s">
        <x:v>1358</x:v>
      </x:c>
      <x:c r="K411">
        <x:v>1</x:v>
      </x:c>
      <x:c r="L411" t="str">
        <x:f t="shared" si="24"/>
      </x:c>
      <x:c r="O411" t="s">
        <x:v>38</x:v>
      </x:c>
      <x:c r="T411" s="2" t="n">
        <x:f>'SUPUESTOS PRECIOS'!$B$9</x:f>
        <x:v>0</x:v>
      </x:c>
      <x:c r="U411" s="3" t="n">
        <x:f>'SUPUESTOS PRECIOS'!$B$5/'SUPUESTOS PRECIOS'!$B$4</x:f>
        <x:v>1000</x:v>
      </x:c>
      <x:c r="V411" s="3" t="n">
        <x:f>('SUPUESTOS PRECIOS'!$B$6-'SUPUESTOS PRECIOS'!$B$7)/'SUPUESTOS PRECIOS'!$B$4</x:f>
        <x:v>377.5</x:v>
      </x:c>
      <x:c r="W411" s="4" t="n">
        <x:f>'SUPUESTOS PRECIOS'!$B$8</x:f>
        <x:v>0.00968</x:v>
      </x:c>
      <x:c r="X411" s="4" t="n">
        <x:f>'SUPUESTOS PRECIOS'!$B$2</x:f>
        <x:v>0.4</x:v>
      </x:c>
      <x:c r="Y411" s="3" t="str">
        <x:f t="shared" si="25"/>
      </x:c>
      <x:c r="Z411" s="3" t="str">
        <x:f t="shared" si="26"/>
      </x:c>
      <x:c r="AA411" s="11" t="str">
        <x:f t="shared" si="27"/>
      </x:c>
    </x:row>
    <x:row r="412">
      <x:c r="A412" s="10" t="s">
        <x:v>1535</x:v>
      </x:c>
      <x:c r="F412" t="s">
        <x:v>1358</x:v>
      </x:c>
      <x:c r="K412">
        <x:v>1</x:v>
      </x:c>
      <x:c r="L412" t="str">
        <x:f t="shared" si="24"/>
      </x:c>
      <x:c r="O412" t="s">
        <x:v>38</x:v>
      </x:c>
      <x:c r="T412" s="2" t="n">
        <x:f>'SUPUESTOS PRECIOS'!$B$9</x:f>
        <x:v>0</x:v>
      </x:c>
      <x:c r="U412" s="3" t="n">
        <x:f>'SUPUESTOS PRECIOS'!$B$5/'SUPUESTOS PRECIOS'!$B$4</x:f>
        <x:v>1000</x:v>
      </x:c>
      <x:c r="V412" s="3" t="n">
        <x:f>('SUPUESTOS PRECIOS'!$B$6-'SUPUESTOS PRECIOS'!$B$7)/'SUPUESTOS PRECIOS'!$B$4</x:f>
        <x:v>377.5</x:v>
      </x:c>
      <x:c r="W412" s="4" t="n">
        <x:f>'SUPUESTOS PRECIOS'!$B$8</x:f>
        <x:v>0.00968</x:v>
      </x:c>
      <x:c r="X412" s="4" t="n">
        <x:f>'SUPUESTOS PRECIOS'!$B$2</x:f>
        <x:v>0.4</x:v>
      </x:c>
      <x:c r="Y412" s="3" t="str">
        <x:f t="shared" si="25"/>
      </x:c>
      <x:c r="Z412" s="3" t="str">
        <x:f t="shared" si="26"/>
      </x:c>
      <x:c r="AA412" s="11" t="str">
        <x:f t="shared" si="27"/>
      </x:c>
    </x:row>
    <x:row r="413">
      <x:c r="A413" s="10" t="s">
        <x:v>1536</x:v>
      </x:c>
      <x:c r="F413" t="s">
        <x:v>1358</x:v>
      </x:c>
      <x:c r="K413">
        <x:v>1</x:v>
      </x:c>
      <x:c r="L413" t="str">
        <x:f t="shared" si="24"/>
      </x:c>
      <x:c r="O413" t="s">
        <x:v>38</x:v>
      </x:c>
      <x:c r="T413" s="2" t="n">
        <x:f>'SUPUESTOS PRECIOS'!$B$9</x:f>
        <x:v>0</x:v>
      </x:c>
      <x:c r="U413" s="3" t="n">
        <x:f>'SUPUESTOS PRECIOS'!$B$5/'SUPUESTOS PRECIOS'!$B$4</x:f>
        <x:v>1000</x:v>
      </x:c>
      <x:c r="V413" s="3" t="n">
        <x:f>('SUPUESTOS PRECIOS'!$B$6-'SUPUESTOS PRECIOS'!$B$7)/'SUPUESTOS PRECIOS'!$B$4</x:f>
        <x:v>377.5</x:v>
      </x:c>
      <x:c r="W413" s="4" t="n">
        <x:f>'SUPUESTOS PRECIOS'!$B$8</x:f>
        <x:v>0.00968</x:v>
      </x:c>
      <x:c r="X413" s="4" t="n">
        <x:f>'SUPUESTOS PRECIOS'!$B$2</x:f>
        <x:v>0.4</x:v>
      </x:c>
      <x:c r="Y413" s="3" t="str">
        <x:f t="shared" si="25"/>
      </x:c>
      <x:c r="Z413" s="3" t="str">
        <x:f t="shared" si="26"/>
      </x:c>
      <x:c r="AA413" s="11" t="str">
        <x:f t="shared" si="27"/>
      </x:c>
    </x:row>
    <x:row r="414">
      <x:c r="A414" s="10" t="s">
        <x:v>1537</x:v>
      </x:c>
      <x:c r="F414" t="s">
        <x:v>1358</x:v>
      </x:c>
      <x:c r="K414">
        <x:v>1</x:v>
      </x:c>
      <x:c r="L414" t="str">
        <x:f t="shared" si="24"/>
      </x:c>
      <x:c r="O414" t="s">
        <x:v>38</x:v>
      </x:c>
      <x:c r="T414" s="2" t="n">
        <x:f>'SUPUESTOS PRECIOS'!$B$9</x:f>
        <x:v>0</x:v>
      </x:c>
      <x:c r="U414" s="3" t="n">
        <x:f>'SUPUESTOS PRECIOS'!$B$5/'SUPUESTOS PRECIOS'!$B$4</x:f>
        <x:v>1000</x:v>
      </x:c>
      <x:c r="V414" s="3" t="n">
        <x:f>('SUPUESTOS PRECIOS'!$B$6-'SUPUESTOS PRECIOS'!$B$7)/'SUPUESTOS PRECIOS'!$B$4</x:f>
        <x:v>377.5</x:v>
      </x:c>
      <x:c r="W414" s="4" t="n">
        <x:f>'SUPUESTOS PRECIOS'!$B$8</x:f>
        <x:v>0.00968</x:v>
      </x:c>
      <x:c r="X414" s="4" t="n">
        <x:f>'SUPUESTOS PRECIOS'!$B$2</x:f>
        <x:v>0.4</x:v>
      </x:c>
      <x:c r="Y414" s="3" t="str">
        <x:f t="shared" si="25"/>
      </x:c>
      <x:c r="Z414" s="3" t="str">
        <x:f t="shared" si="26"/>
      </x:c>
      <x:c r="AA414" s="11" t="str">
        <x:f t="shared" si="27"/>
      </x:c>
    </x:row>
    <x:row r="415">
      <x:c r="A415" s="10" t="s">
        <x:v>1538</x:v>
      </x:c>
      <x:c r="F415" t="s">
        <x:v>1358</x:v>
      </x:c>
      <x:c r="K415">
        <x:v>1</x:v>
      </x:c>
      <x:c r="L415" t="str">
        <x:f t="shared" si="24"/>
      </x:c>
      <x:c r="O415" t="s">
        <x:v>38</x:v>
      </x:c>
      <x:c r="T415" s="2" t="n">
        <x:f>'SUPUESTOS PRECIOS'!$B$9</x:f>
        <x:v>0</x:v>
      </x:c>
      <x:c r="U415" s="3" t="n">
        <x:f>'SUPUESTOS PRECIOS'!$B$5/'SUPUESTOS PRECIOS'!$B$4</x:f>
        <x:v>1000</x:v>
      </x:c>
      <x:c r="V415" s="3" t="n">
        <x:f>('SUPUESTOS PRECIOS'!$B$6-'SUPUESTOS PRECIOS'!$B$7)/'SUPUESTOS PRECIOS'!$B$4</x:f>
        <x:v>377.5</x:v>
      </x:c>
      <x:c r="W415" s="4" t="n">
        <x:f>'SUPUESTOS PRECIOS'!$B$8</x:f>
        <x:v>0.00968</x:v>
      </x:c>
      <x:c r="X415" s="4" t="n">
        <x:f>'SUPUESTOS PRECIOS'!$B$2</x:f>
        <x:v>0.4</x:v>
      </x:c>
      <x:c r="Y415" s="3" t="str">
        <x:f t="shared" si="25"/>
      </x:c>
      <x:c r="Z415" s="3" t="str">
        <x:f t="shared" si="26"/>
      </x:c>
      <x:c r="AA415" s="11" t="str">
        <x:f t="shared" si="27"/>
      </x:c>
    </x:row>
    <x:row r="416">
      <x:c r="A416" s="10" t="s">
        <x:v>1539</x:v>
      </x:c>
      <x:c r="F416" t="s">
        <x:v>1358</x:v>
      </x:c>
      <x:c r="K416">
        <x:v>1</x:v>
      </x:c>
      <x:c r="L416" t="str">
        <x:f t="shared" si="24"/>
      </x:c>
      <x:c r="O416" t="s">
        <x:v>38</x:v>
      </x:c>
      <x:c r="T416" s="2" t="n">
        <x:f>'SUPUESTOS PRECIOS'!$B$9</x:f>
        <x:v>0</x:v>
      </x:c>
      <x:c r="U416" s="3" t="n">
        <x:f>'SUPUESTOS PRECIOS'!$B$5/'SUPUESTOS PRECIOS'!$B$4</x:f>
        <x:v>1000</x:v>
      </x:c>
      <x:c r="V416" s="3" t="n">
        <x:f>('SUPUESTOS PRECIOS'!$B$6-'SUPUESTOS PRECIOS'!$B$7)/'SUPUESTOS PRECIOS'!$B$4</x:f>
        <x:v>377.5</x:v>
      </x:c>
      <x:c r="W416" s="4" t="n">
        <x:f>'SUPUESTOS PRECIOS'!$B$8</x:f>
        <x:v>0.00968</x:v>
      </x:c>
      <x:c r="X416" s="4" t="n">
        <x:f>'SUPUESTOS PRECIOS'!$B$2</x:f>
        <x:v>0.4</x:v>
      </x:c>
      <x:c r="Y416" s="3" t="str">
        <x:f t="shared" si="25"/>
      </x:c>
      <x:c r="Z416" s="3" t="str">
        <x:f t="shared" si="26"/>
      </x:c>
      <x:c r="AA416" s="11" t="str">
        <x:f t="shared" si="27"/>
      </x:c>
    </x:row>
    <x:row r="417">
      <x:c r="A417" s="10" t="s">
        <x:v>1540</x:v>
      </x:c>
      <x:c r="F417" t="s">
        <x:v>1358</x:v>
      </x:c>
      <x:c r="K417">
        <x:v>1</x:v>
      </x:c>
      <x:c r="L417" t="str">
        <x:f t="shared" si="24"/>
      </x:c>
      <x:c r="O417" t="s">
        <x:v>38</x:v>
      </x:c>
      <x:c r="T417" s="2" t="n">
        <x:f>'SUPUESTOS PRECIOS'!$B$9</x:f>
        <x:v>0</x:v>
      </x:c>
      <x:c r="U417" s="3" t="n">
        <x:f>'SUPUESTOS PRECIOS'!$B$5/'SUPUESTOS PRECIOS'!$B$4</x:f>
        <x:v>1000</x:v>
      </x:c>
      <x:c r="V417" s="3" t="n">
        <x:f>('SUPUESTOS PRECIOS'!$B$6-'SUPUESTOS PRECIOS'!$B$7)/'SUPUESTOS PRECIOS'!$B$4</x:f>
        <x:v>377.5</x:v>
      </x:c>
      <x:c r="W417" s="4" t="n">
        <x:f>'SUPUESTOS PRECIOS'!$B$8</x:f>
        <x:v>0.00968</x:v>
      </x:c>
      <x:c r="X417" s="4" t="n">
        <x:f>'SUPUESTOS PRECIOS'!$B$2</x:f>
        <x:v>0.4</x:v>
      </x:c>
      <x:c r="Y417" s="3" t="str">
        <x:f t="shared" si="25"/>
      </x:c>
      <x:c r="Z417" s="3" t="str">
        <x:f t="shared" si="26"/>
      </x:c>
      <x:c r="AA417" s="11" t="str">
        <x:f t="shared" si="27"/>
      </x:c>
    </x:row>
    <x:row r="418">
      <x:c r="A418" s="10" t="s">
        <x:v>1541</x:v>
      </x:c>
      <x:c r="F418" t="s">
        <x:v>1358</x:v>
      </x:c>
      <x:c r="K418">
        <x:v>1</x:v>
      </x:c>
      <x:c r="L418" t="str">
        <x:f t="shared" si="24"/>
      </x:c>
      <x:c r="O418" t="s">
        <x:v>38</x:v>
      </x:c>
      <x:c r="T418" s="2" t="n">
        <x:f>'SUPUESTOS PRECIOS'!$B$9</x:f>
        <x:v>0</x:v>
      </x:c>
      <x:c r="U418" s="3" t="n">
        <x:f>'SUPUESTOS PRECIOS'!$B$5/'SUPUESTOS PRECIOS'!$B$4</x:f>
        <x:v>1000</x:v>
      </x:c>
      <x:c r="V418" s="3" t="n">
        <x:f>('SUPUESTOS PRECIOS'!$B$6-'SUPUESTOS PRECIOS'!$B$7)/'SUPUESTOS PRECIOS'!$B$4</x:f>
        <x:v>377.5</x:v>
      </x:c>
      <x:c r="W418" s="4" t="n">
        <x:f>'SUPUESTOS PRECIOS'!$B$8</x:f>
        <x:v>0.00968</x:v>
      </x:c>
      <x:c r="X418" s="4" t="n">
        <x:f>'SUPUESTOS PRECIOS'!$B$2</x:f>
        <x:v>0.4</x:v>
      </x:c>
      <x:c r="Y418" s="3" t="str">
        <x:f t="shared" si="25"/>
      </x:c>
      <x:c r="Z418" s="3" t="str">
        <x:f t="shared" si="26"/>
      </x:c>
      <x:c r="AA418" s="11" t="str">
        <x:f t="shared" si="27"/>
      </x:c>
    </x:row>
    <x:row r="419">
      <x:c r="A419" s="10" t="s">
        <x:v>1542</x:v>
      </x:c>
      <x:c r="F419" t="s">
        <x:v>1358</x:v>
      </x:c>
      <x:c r="K419">
        <x:v>1</x:v>
      </x:c>
      <x:c r="L419" t="str">
        <x:f t="shared" si="24"/>
      </x:c>
      <x:c r="O419" t="s">
        <x:v>38</x:v>
      </x:c>
      <x:c r="T419" s="2" t="n">
        <x:f>'SUPUESTOS PRECIOS'!$B$9</x:f>
        <x:v>0</x:v>
      </x:c>
      <x:c r="U419" s="3" t="n">
        <x:f>'SUPUESTOS PRECIOS'!$B$5/'SUPUESTOS PRECIOS'!$B$4</x:f>
        <x:v>1000</x:v>
      </x:c>
      <x:c r="V419" s="3" t="n">
        <x:f>('SUPUESTOS PRECIOS'!$B$6-'SUPUESTOS PRECIOS'!$B$7)/'SUPUESTOS PRECIOS'!$B$4</x:f>
        <x:v>377.5</x:v>
      </x:c>
      <x:c r="W419" s="4" t="n">
        <x:f>'SUPUESTOS PRECIOS'!$B$8</x:f>
        <x:v>0.00968</x:v>
      </x:c>
      <x:c r="X419" s="4" t="n">
        <x:f>'SUPUESTOS PRECIOS'!$B$2</x:f>
        <x:v>0.4</x:v>
      </x:c>
      <x:c r="Y419" s="3" t="str">
        <x:f t="shared" si="25"/>
      </x:c>
      <x:c r="Z419" s="3" t="str">
        <x:f t="shared" si="26"/>
      </x:c>
      <x:c r="AA419" s="11" t="str">
        <x:f t="shared" si="27"/>
      </x:c>
    </x:row>
    <x:row r="420">
      <x:c r="A420" s="10" t="s">
        <x:v>1543</x:v>
      </x:c>
      <x:c r="F420" t="s">
        <x:v>1358</x:v>
      </x:c>
      <x:c r="K420">
        <x:v>1</x:v>
      </x:c>
      <x:c r="L420" t="str">
        <x:f t="shared" si="24"/>
      </x:c>
      <x:c r="O420" t="s">
        <x:v>38</x:v>
      </x:c>
      <x:c r="T420" s="2" t="n">
        <x:f>'SUPUESTOS PRECIOS'!$B$9</x:f>
        <x:v>0</x:v>
      </x:c>
      <x:c r="U420" s="3" t="n">
        <x:f>'SUPUESTOS PRECIOS'!$B$5/'SUPUESTOS PRECIOS'!$B$4</x:f>
        <x:v>1000</x:v>
      </x:c>
      <x:c r="V420" s="3" t="n">
        <x:f>('SUPUESTOS PRECIOS'!$B$6-'SUPUESTOS PRECIOS'!$B$7)/'SUPUESTOS PRECIOS'!$B$4</x:f>
        <x:v>377.5</x:v>
      </x:c>
      <x:c r="W420" s="4" t="n">
        <x:f>'SUPUESTOS PRECIOS'!$B$8</x:f>
        <x:v>0.00968</x:v>
      </x:c>
      <x:c r="X420" s="4" t="n">
        <x:f>'SUPUESTOS PRECIOS'!$B$2</x:f>
        <x:v>0.4</x:v>
      </x:c>
      <x:c r="Y420" s="3" t="str">
        <x:f t="shared" si="25"/>
      </x:c>
      <x:c r="Z420" s="3" t="str">
        <x:f t="shared" si="26"/>
      </x:c>
      <x:c r="AA420" s="11" t="str">
        <x:f t="shared" si="27"/>
      </x:c>
    </x:row>
    <x:row r="421">
      <x:c r="A421" s="10" t="s">
        <x:v>1544</x:v>
      </x:c>
      <x:c r="F421" t="s">
        <x:v>1358</x:v>
      </x:c>
      <x:c r="K421">
        <x:v>1</x:v>
      </x:c>
      <x:c r="L421" t="str">
        <x:f t="shared" si="24"/>
      </x:c>
      <x:c r="O421" t="s">
        <x:v>38</x:v>
      </x:c>
      <x:c r="T421" s="2" t="n">
        <x:f>'SUPUESTOS PRECIOS'!$B$9</x:f>
        <x:v>0</x:v>
      </x:c>
      <x:c r="U421" s="3" t="n">
        <x:f>'SUPUESTOS PRECIOS'!$B$5/'SUPUESTOS PRECIOS'!$B$4</x:f>
        <x:v>1000</x:v>
      </x:c>
      <x:c r="V421" s="3" t="n">
        <x:f>('SUPUESTOS PRECIOS'!$B$6-'SUPUESTOS PRECIOS'!$B$7)/'SUPUESTOS PRECIOS'!$B$4</x:f>
        <x:v>377.5</x:v>
      </x:c>
      <x:c r="W421" s="4" t="n">
        <x:f>'SUPUESTOS PRECIOS'!$B$8</x:f>
        <x:v>0.00968</x:v>
      </x:c>
      <x:c r="X421" s="4" t="n">
        <x:f>'SUPUESTOS PRECIOS'!$B$2</x:f>
        <x:v>0.4</x:v>
      </x:c>
      <x:c r="Y421" s="3" t="str">
        <x:f t="shared" si="25"/>
      </x:c>
      <x:c r="Z421" s="3" t="str">
        <x:f t="shared" si="26"/>
      </x:c>
      <x:c r="AA421" s="11" t="str">
        <x:f t="shared" si="27"/>
      </x:c>
    </x:row>
    <x:row r="422">
      <x:c r="A422" s="10" t="s">
        <x:v>1545</x:v>
      </x:c>
      <x:c r="F422" t="s">
        <x:v>1358</x:v>
      </x:c>
      <x:c r="K422">
        <x:v>1</x:v>
      </x:c>
      <x:c r="L422" t="str">
        <x:f t="shared" si="24"/>
      </x:c>
      <x:c r="O422" t="s">
        <x:v>38</x:v>
      </x:c>
      <x:c r="T422" s="2" t="n">
        <x:f>'SUPUESTOS PRECIOS'!$B$9</x:f>
        <x:v>0</x:v>
      </x:c>
      <x:c r="U422" s="3" t="n">
        <x:f>'SUPUESTOS PRECIOS'!$B$5/'SUPUESTOS PRECIOS'!$B$4</x:f>
        <x:v>1000</x:v>
      </x:c>
      <x:c r="V422" s="3" t="n">
        <x:f>('SUPUESTOS PRECIOS'!$B$6-'SUPUESTOS PRECIOS'!$B$7)/'SUPUESTOS PRECIOS'!$B$4</x:f>
        <x:v>377.5</x:v>
      </x:c>
      <x:c r="W422" s="4" t="n">
        <x:f>'SUPUESTOS PRECIOS'!$B$8</x:f>
        <x:v>0.00968</x:v>
      </x:c>
      <x:c r="X422" s="4" t="n">
        <x:f>'SUPUESTOS PRECIOS'!$B$2</x:f>
        <x:v>0.4</x:v>
      </x:c>
      <x:c r="Y422" s="3" t="str">
        <x:f t="shared" si="25"/>
      </x:c>
      <x:c r="Z422" s="3" t="str">
        <x:f t="shared" si="26"/>
      </x:c>
      <x:c r="AA422" s="11" t="str">
        <x:f t="shared" si="27"/>
      </x:c>
    </x:row>
    <x:row r="423">
      <x:c r="A423" s="10" t="s">
        <x:v>1546</x:v>
      </x:c>
      <x:c r="F423" t="s">
        <x:v>1358</x:v>
      </x:c>
      <x:c r="K423">
        <x:v>1</x:v>
      </x:c>
      <x:c r="L423" t="str">
        <x:f t="shared" si="24"/>
      </x:c>
      <x:c r="O423" t="s">
        <x:v>38</x:v>
      </x:c>
      <x:c r="T423" s="2" t="n">
        <x:f>'SUPUESTOS PRECIOS'!$B$9</x:f>
        <x:v>0</x:v>
      </x:c>
      <x:c r="U423" s="3" t="n">
        <x:f>'SUPUESTOS PRECIOS'!$B$5/'SUPUESTOS PRECIOS'!$B$4</x:f>
        <x:v>1000</x:v>
      </x:c>
      <x:c r="V423" s="3" t="n">
        <x:f>('SUPUESTOS PRECIOS'!$B$6-'SUPUESTOS PRECIOS'!$B$7)/'SUPUESTOS PRECIOS'!$B$4</x:f>
        <x:v>377.5</x:v>
      </x:c>
      <x:c r="W423" s="4" t="n">
        <x:f>'SUPUESTOS PRECIOS'!$B$8</x:f>
        <x:v>0.00968</x:v>
      </x:c>
      <x:c r="X423" s="4" t="n">
        <x:f>'SUPUESTOS PRECIOS'!$B$2</x:f>
        <x:v>0.4</x:v>
      </x:c>
      <x:c r="Y423" s="3" t="str">
        <x:f t="shared" si="25"/>
      </x:c>
      <x:c r="Z423" s="3" t="str">
        <x:f t="shared" si="26"/>
      </x:c>
      <x:c r="AA423" s="11" t="str">
        <x:f t="shared" si="27"/>
      </x:c>
    </x:row>
    <x:row r="424">
      <x:c r="A424" s="10" t="s">
        <x:v>1547</x:v>
      </x:c>
      <x:c r="F424" t="s">
        <x:v>1358</x:v>
      </x:c>
      <x:c r="K424">
        <x:v>1</x:v>
      </x:c>
      <x:c r="L424" t="str">
        <x:f t="shared" si="24"/>
      </x:c>
      <x:c r="O424" t="s">
        <x:v>38</x:v>
      </x:c>
      <x:c r="T424" s="2" t="n">
        <x:f>'SUPUESTOS PRECIOS'!$B$9</x:f>
        <x:v>0</x:v>
      </x:c>
      <x:c r="U424" s="3" t="n">
        <x:f>'SUPUESTOS PRECIOS'!$B$5/'SUPUESTOS PRECIOS'!$B$4</x:f>
        <x:v>1000</x:v>
      </x:c>
      <x:c r="V424" s="3" t="n">
        <x:f>('SUPUESTOS PRECIOS'!$B$6-'SUPUESTOS PRECIOS'!$B$7)/'SUPUESTOS PRECIOS'!$B$4</x:f>
        <x:v>377.5</x:v>
      </x:c>
      <x:c r="W424" s="4" t="n">
        <x:f>'SUPUESTOS PRECIOS'!$B$8</x:f>
        <x:v>0.00968</x:v>
      </x:c>
      <x:c r="X424" s="4" t="n">
        <x:f>'SUPUESTOS PRECIOS'!$B$2</x:f>
        <x:v>0.4</x:v>
      </x:c>
      <x:c r="Y424" s="3" t="str">
        <x:f t="shared" si="25"/>
      </x:c>
      <x:c r="Z424" s="3" t="str">
        <x:f t="shared" si="26"/>
      </x:c>
      <x:c r="AA424" s="11" t="str">
        <x:f t="shared" si="27"/>
      </x:c>
    </x:row>
    <x:row r="425">
      <x:c r="A425" s="10" t="s">
        <x:v>1548</x:v>
      </x:c>
      <x:c r="F425" t="s">
        <x:v>1358</x:v>
      </x:c>
      <x:c r="K425">
        <x:v>1</x:v>
      </x:c>
      <x:c r="L425" t="str">
        <x:f t="shared" si="24"/>
      </x:c>
      <x:c r="O425" t="s">
        <x:v>38</x:v>
      </x:c>
      <x:c r="T425" s="2" t="n">
        <x:f>'SUPUESTOS PRECIOS'!$B$9</x:f>
        <x:v>0</x:v>
      </x:c>
      <x:c r="U425" s="3" t="n">
        <x:f>'SUPUESTOS PRECIOS'!$B$5/'SUPUESTOS PRECIOS'!$B$4</x:f>
        <x:v>1000</x:v>
      </x:c>
      <x:c r="V425" s="3" t="n">
        <x:f>('SUPUESTOS PRECIOS'!$B$6-'SUPUESTOS PRECIOS'!$B$7)/'SUPUESTOS PRECIOS'!$B$4</x:f>
        <x:v>377.5</x:v>
      </x:c>
      <x:c r="W425" s="4" t="n">
        <x:f>'SUPUESTOS PRECIOS'!$B$8</x:f>
        <x:v>0.00968</x:v>
      </x:c>
      <x:c r="X425" s="4" t="n">
        <x:f>'SUPUESTOS PRECIOS'!$B$2</x:f>
        <x:v>0.4</x:v>
      </x:c>
      <x:c r="Y425" s="3" t="str">
        <x:f t="shared" si="25"/>
      </x:c>
      <x:c r="Z425" s="3" t="str">
        <x:f t="shared" si="26"/>
      </x:c>
      <x:c r="AA425" s="11" t="str">
        <x:f t="shared" si="27"/>
      </x:c>
    </x:row>
    <x:row r="426">
      <x:c r="A426" s="10" t="s">
        <x:v>1549</x:v>
      </x:c>
      <x:c r="F426" t="s">
        <x:v>1358</x:v>
      </x:c>
      <x:c r="K426">
        <x:v>1</x:v>
      </x:c>
      <x:c r="L426" t="str">
        <x:f t="shared" si="24"/>
      </x:c>
      <x:c r="O426" t="s">
        <x:v>38</x:v>
      </x:c>
      <x:c r="T426" s="2" t="n">
        <x:f>'SUPUESTOS PRECIOS'!$B$9</x:f>
        <x:v>0</x:v>
      </x:c>
      <x:c r="U426" s="3" t="n">
        <x:f>'SUPUESTOS PRECIOS'!$B$5/'SUPUESTOS PRECIOS'!$B$4</x:f>
        <x:v>1000</x:v>
      </x:c>
      <x:c r="V426" s="3" t="n">
        <x:f>('SUPUESTOS PRECIOS'!$B$6-'SUPUESTOS PRECIOS'!$B$7)/'SUPUESTOS PRECIOS'!$B$4</x:f>
        <x:v>377.5</x:v>
      </x:c>
      <x:c r="W426" s="4" t="n">
        <x:f>'SUPUESTOS PRECIOS'!$B$8</x:f>
        <x:v>0.00968</x:v>
      </x:c>
      <x:c r="X426" s="4" t="n">
        <x:f>'SUPUESTOS PRECIOS'!$B$2</x:f>
        <x:v>0.4</x:v>
      </x:c>
      <x:c r="Y426" s="3" t="str">
        <x:f t="shared" si="25"/>
      </x:c>
      <x:c r="Z426" s="3" t="str">
        <x:f t="shared" si="26"/>
      </x:c>
      <x:c r="AA426" s="11" t="str">
        <x:f t="shared" si="27"/>
      </x:c>
    </x:row>
    <x:row r="427">
      <x:c r="A427" s="10" t="s">
        <x:v>1550</x:v>
      </x:c>
      <x:c r="F427" t="s">
        <x:v>1358</x:v>
      </x:c>
      <x:c r="K427">
        <x:v>1</x:v>
      </x:c>
      <x:c r="L427" t="str">
        <x:f t="shared" si="24"/>
      </x:c>
      <x:c r="O427" t="s">
        <x:v>38</x:v>
      </x:c>
      <x:c r="T427" s="2" t="n">
        <x:f>'SUPUESTOS PRECIOS'!$B$9</x:f>
        <x:v>0</x:v>
      </x:c>
      <x:c r="U427" s="3" t="n">
        <x:f>'SUPUESTOS PRECIOS'!$B$5/'SUPUESTOS PRECIOS'!$B$4</x:f>
        <x:v>1000</x:v>
      </x:c>
      <x:c r="V427" s="3" t="n">
        <x:f>('SUPUESTOS PRECIOS'!$B$6-'SUPUESTOS PRECIOS'!$B$7)/'SUPUESTOS PRECIOS'!$B$4</x:f>
        <x:v>377.5</x:v>
      </x:c>
      <x:c r="W427" s="4" t="n">
        <x:f>'SUPUESTOS PRECIOS'!$B$8</x:f>
        <x:v>0.00968</x:v>
      </x:c>
      <x:c r="X427" s="4" t="n">
        <x:f>'SUPUESTOS PRECIOS'!$B$2</x:f>
        <x:v>0.4</x:v>
      </x:c>
      <x:c r="Y427" s="3" t="str">
        <x:f t="shared" si="25"/>
      </x:c>
      <x:c r="Z427" s="3" t="str">
        <x:f t="shared" si="26"/>
      </x:c>
      <x:c r="AA427" s="11" t="str">
        <x:f t="shared" si="27"/>
      </x:c>
    </x:row>
    <x:row r="428">
      <x:c r="A428" s="10" t="s">
        <x:v>1551</x:v>
      </x:c>
      <x:c r="F428" t="s">
        <x:v>1358</x:v>
      </x:c>
      <x:c r="K428">
        <x:v>1</x:v>
      </x:c>
      <x:c r="L428" t="str">
        <x:f t="shared" si="24"/>
      </x:c>
      <x:c r="O428" t="s">
        <x:v>38</x:v>
      </x:c>
      <x:c r="T428" s="2" t="n">
        <x:f>'SUPUESTOS PRECIOS'!$B$9</x:f>
        <x:v>0</x:v>
      </x:c>
      <x:c r="U428" s="3" t="n">
        <x:f>'SUPUESTOS PRECIOS'!$B$5/'SUPUESTOS PRECIOS'!$B$4</x:f>
        <x:v>1000</x:v>
      </x:c>
      <x:c r="V428" s="3" t="n">
        <x:f>('SUPUESTOS PRECIOS'!$B$6-'SUPUESTOS PRECIOS'!$B$7)/'SUPUESTOS PRECIOS'!$B$4</x:f>
        <x:v>377.5</x:v>
      </x:c>
      <x:c r="W428" s="4" t="n">
        <x:f>'SUPUESTOS PRECIOS'!$B$8</x:f>
        <x:v>0.00968</x:v>
      </x:c>
      <x:c r="X428" s="4" t="n">
        <x:f>'SUPUESTOS PRECIOS'!$B$2</x:f>
        <x:v>0.4</x:v>
      </x:c>
      <x:c r="Y428" s="3" t="str">
        <x:f t="shared" si="25"/>
      </x:c>
      <x:c r="Z428" s="3" t="str">
        <x:f t="shared" si="26"/>
      </x:c>
      <x:c r="AA428" s="11" t="str">
        <x:f t="shared" si="27"/>
      </x:c>
    </x:row>
    <x:row r="429">
      <x:c r="A429" s="10" t="s">
        <x:v>1552</x:v>
      </x:c>
      <x:c r="F429" t="s">
        <x:v>1358</x:v>
      </x:c>
      <x:c r="K429">
        <x:v>1</x:v>
      </x:c>
      <x:c r="L429" t="str">
        <x:f t="shared" si="24"/>
      </x:c>
      <x:c r="O429" t="s">
        <x:v>38</x:v>
      </x:c>
      <x:c r="T429" s="2" t="n">
        <x:f>'SUPUESTOS PRECIOS'!$B$9</x:f>
        <x:v>0</x:v>
      </x:c>
      <x:c r="U429" s="3" t="n">
        <x:f>'SUPUESTOS PRECIOS'!$B$5/'SUPUESTOS PRECIOS'!$B$4</x:f>
        <x:v>1000</x:v>
      </x:c>
      <x:c r="V429" s="3" t="n">
        <x:f>('SUPUESTOS PRECIOS'!$B$6-'SUPUESTOS PRECIOS'!$B$7)/'SUPUESTOS PRECIOS'!$B$4</x:f>
        <x:v>377.5</x:v>
      </x:c>
      <x:c r="W429" s="4" t="n">
        <x:f>'SUPUESTOS PRECIOS'!$B$8</x:f>
        <x:v>0.00968</x:v>
      </x:c>
      <x:c r="X429" s="4" t="n">
        <x:f>'SUPUESTOS PRECIOS'!$B$2</x:f>
        <x:v>0.4</x:v>
      </x:c>
      <x:c r="Y429" s="3" t="str">
        <x:f t="shared" si="25"/>
      </x:c>
      <x:c r="Z429" s="3" t="str">
        <x:f t="shared" si="26"/>
      </x:c>
      <x:c r="AA429" s="11" t="str">
        <x:f t="shared" si="27"/>
      </x:c>
    </x:row>
    <x:row r="430">
      <x:c r="A430" s="10" t="s">
        <x:v>1553</x:v>
      </x:c>
      <x:c r="F430" t="s">
        <x:v>1358</x:v>
      </x:c>
      <x:c r="K430">
        <x:v>1</x:v>
      </x:c>
      <x:c r="L430" t="str">
        <x:f t="shared" si="24"/>
      </x:c>
      <x:c r="O430" t="s">
        <x:v>38</x:v>
      </x:c>
      <x:c r="T430" s="2" t="n">
        <x:f>'SUPUESTOS PRECIOS'!$B$9</x:f>
        <x:v>0</x:v>
      </x:c>
      <x:c r="U430" s="3" t="n">
        <x:f>'SUPUESTOS PRECIOS'!$B$5/'SUPUESTOS PRECIOS'!$B$4</x:f>
        <x:v>1000</x:v>
      </x:c>
      <x:c r="V430" s="3" t="n">
        <x:f>('SUPUESTOS PRECIOS'!$B$6-'SUPUESTOS PRECIOS'!$B$7)/'SUPUESTOS PRECIOS'!$B$4</x:f>
        <x:v>377.5</x:v>
      </x:c>
      <x:c r="W430" s="4" t="n">
        <x:f>'SUPUESTOS PRECIOS'!$B$8</x:f>
        <x:v>0.00968</x:v>
      </x:c>
      <x:c r="X430" s="4" t="n">
        <x:f>'SUPUESTOS PRECIOS'!$B$2</x:f>
        <x:v>0.4</x:v>
      </x:c>
      <x:c r="Y430" s="3" t="str">
        <x:f t="shared" si="25"/>
      </x:c>
      <x:c r="Z430" s="3" t="str">
        <x:f t="shared" si="26"/>
      </x:c>
      <x:c r="AA430" s="11" t="str">
        <x:f t="shared" si="27"/>
      </x:c>
    </x:row>
    <x:row r="431">
      <x:c r="A431" s="10" t="s">
        <x:v>1554</x:v>
      </x:c>
      <x:c r="F431" t="s">
        <x:v>1358</x:v>
      </x:c>
      <x:c r="K431">
        <x:v>1</x:v>
      </x:c>
      <x:c r="L431" t="str">
        <x:f t="shared" si="24"/>
      </x:c>
      <x:c r="O431" t="s">
        <x:v>38</x:v>
      </x:c>
      <x:c r="T431" s="2" t="n">
        <x:f>'SUPUESTOS PRECIOS'!$B$9</x:f>
        <x:v>0</x:v>
      </x:c>
      <x:c r="U431" s="3" t="n">
        <x:f>'SUPUESTOS PRECIOS'!$B$5/'SUPUESTOS PRECIOS'!$B$4</x:f>
        <x:v>1000</x:v>
      </x:c>
      <x:c r="V431" s="3" t="n">
        <x:f>('SUPUESTOS PRECIOS'!$B$6-'SUPUESTOS PRECIOS'!$B$7)/'SUPUESTOS PRECIOS'!$B$4</x:f>
        <x:v>377.5</x:v>
      </x:c>
      <x:c r="W431" s="4" t="n">
        <x:f>'SUPUESTOS PRECIOS'!$B$8</x:f>
        <x:v>0.00968</x:v>
      </x:c>
      <x:c r="X431" s="4" t="n">
        <x:f>'SUPUESTOS PRECIOS'!$B$2</x:f>
        <x:v>0.4</x:v>
      </x:c>
      <x:c r="Y431" s="3" t="str">
        <x:f t="shared" si="25"/>
      </x:c>
      <x:c r="Z431" s="3" t="str">
        <x:f t="shared" si="26"/>
      </x:c>
      <x:c r="AA431" s="11" t="str">
        <x:f t="shared" si="27"/>
      </x:c>
    </x:row>
    <x:row r="432">
      <x:c r="A432" s="10" t="s">
        <x:v>1555</x:v>
      </x:c>
      <x:c r="F432" t="s">
        <x:v>1358</x:v>
      </x:c>
      <x:c r="K432">
        <x:v>1</x:v>
      </x:c>
      <x:c r="L432" t="str">
        <x:f t="shared" si="24"/>
      </x:c>
      <x:c r="O432" t="s">
        <x:v>38</x:v>
      </x:c>
      <x:c r="T432" s="2" t="n">
        <x:f>'SUPUESTOS PRECIOS'!$B$9</x:f>
        <x:v>0</x:v>
      </x:c>
      <x:c r="U432" s="3" t="n">
        <x:f>'SUPUESTOS PRECIOS'!$B$5/'SUPUESTOS PRECIOS'!$B$4</x:f>
        <x:v>1000</x:v>
      </x:c>
      <x:c r="V432" s="3" t="n">
        <x:f>('SUPUESTOS PRECIOS'!$B$6-'SUPUESTOS PRECIOS'!$B$7)/'SUPUESTOS PRECIOS'!$B$4</x:f>
        <x:v>377.5</x:v>
      </x:c>
      <x:c r="W432" s="4" t="n">
        <x:f>'SUPUESTOS PRECIOS'!$B$8</x:f>
        <x:v>0.00968</x:v>
      </x:c>
      <x:c r="X432" s="4" t="n">
        <x:f>'SUPUESTOS PRECIOS'!$B$2</x:f>
        <x:v>0.4</x:v>
      </x:c>
      <x:c r="Y432" s="3" t="str">
        <x:f t="shared" si="25"/>
      </x:c>
      <x:c r="Z432" s="3" t="str">
        <x:f t="shared" si="26"/>
      </x:c>
      <x:c r="AA432" s="11" t="str">
        <x:f t="shared" si="27"/>
      </x:c>
    </x:row>
    <x:row r="433">
      <x:c r="A433" s="10" t="s">
        <x:v>1556</x:v>
      </x:c>
      <x:c r="F433" t="s">
        <x:v>1358</x:v>
      </x:c>
      <x:c r="K433">
        <x:v>1</x:v>
      </x:c>
      <x:c r="L433" t="str">
        <x:f t="shared" si="24"/>
      </x:c>
      <x:c r="O433" t="s">
        <x:v>38</x:v>
      </x:c>
      <x:c r="T433" s="2" t="n">
        <x:f>'SUPUESTOS PRECIOS'!$B$9</x:f>
        <x:v>0</x:v>
      </x:c>
      <x:c r="U433" s="3" t="n">
        <x:f>'SUPUESTOS PRECIOS'!$B$5/'SUPUESTOS PRECIOS'!$B$4</x:f>
        <x:v>1000</x:v>
      </x:c>
      <x:c r="V433" s="3" t="n">
        <x:f>('SUPUESTOS PRECIOS'!$B$6-'SUPUESTOS PRECIOS'!$B$7)/'SUPUESTOS PRECIOS'!$B$4</x:f>
        <x:v>377.5</x:v>
      </x:c>
      <x:c r="W433" s="4" t="n">
        <x:f>'SUPUESTOS PRECIOS'!$B$8</x:f>
        <x:v>0.00968</x:v>
      </x:c>
      <x:c r="X433" s="4" t="n">
        <x:f>'SUPUESTOS PRECIOS'!$B$2</x:f>
        <x:v>0.4</x:v>
      </x:c>
      <x:c r="Y433" s="3" t="str">
        <x:f t="shared" si="25"/>
      </x:c>
      <x:c r="Z433" s="3" t="str">
        <x:f t="shared" si="26"/>
      </x:c>
      <x:c r="AA433" s="11" t="str">
        <x:f t="shared" si="27"/>
      </x:c>
    </x:row>
    <x:row r="434">
      <x:c r="A434" s="10" t="s">
        <x:v>1557</x:v>
      </x:c>
      <x:c r="F434" t="s">
        <x:v>1358</x:v>
      </x:c>
      <x:c r="K434">
        <x:v>1</x:v>
      </x:c>
      <x:c r="L434" t="str">
        <x:f t="shared" si="24"/>
      </x:c>
      <x:c r="O434" t="s">
        <x:v>38</x:v>
      </x:c>
      <x:c r="T434" s="2" t="n">
        <x:f>'SUPUESTOS PRECIOS'!$B$9</x:f>
        <x:v>0</x:v>
      </x:c>
      <x:c r="U434" s="3" t="n">
        <x:f>'SUPUESTOS PRECIOS'!$B$5/'SUPUESTOS PRECIOS'!$B$4</x:f>
        <x:v>1000</x:v>
      </x:c>
      <x:c r="V434" s="3" t="n">
        <x:f>('SUPUESTOS PRECIOS'!$B$6-'SUPUESTOS PRECIOS'!$B$7)/'SUPUESTOS PRECIOS'!$B$4</x:f>
        <x:v>377.5</x:v>
      </x:c>
      <x:c r="W434" s="4" t="n">
        <x:f>'SUPUESTOS PRECIOS'!$B$8</x:f>
        <x:v>0.00968</x:v>
      </x:c>
      <x:c r="X434" s="4" t="n">
        <x:f>'SUPUESTOS PRECIOS'!$B$2</x:f>
        <x:v>0.4</x:v>
      </x:c>
      <x:c r="Y434" s="3" t="str">
        <x:f t="shared" si="25"/>
      </x:c>
      <x:c r="Z434" s="3" t="str">
        <x:f t="shared" si="26"/>
      </x:c>
      <x:c r="AA434" s="11" t="str">
        <x:f t="shared" si="27"/>
      </x:c>
    </x:row>
    <x:row r="435">
      <x:c r="A435" s="10" t="s">
        <x:v>1558</x:v>
      </x:c>
      <x:c r="F435" t="s">
        <x:v>1358</x:v>
      </x:c>
      <x:c r="K435">
        <x:v>1</x:v>
      </x:c>
      <x:c r="L435" t="str">
        <x:f t="shared" si="24"/>
      </x:c>
      <x:c r="O435" t="s">
        <x:v>38</x:v>
      </x:c>
      <x:c r="T435" s="2" t="n">
        <x:f>'SUPUESTOS PRECIOS'!$B$9</x:f>
        <x:v>0</x:v>
      </x:c>
      <x:c r="U435" s="3" t="n">
        <x:f>'SUPUESTOS PRECIOS'!$B$5/'SUPUESTOS PRECIOS'!$B$4</x:f>
        <x:v>1000</x:v>
      </x:c>
      <x:c r="V435" s="3" t="n">
        <x:f>('SUPUESTOS PRECIOS'!$B$6-'SUPUESTOS PRECIOS'!$B$7)/'SUPUESTOS PRECIOS'!$B$4</x:f>
        <x:v>377.5</x:v>
      </x:c>
      <x:c r="W435" s="4" t="n">
        <x:f>'SUPUESTOS PRECIOS'!$B$8</x:f>
        <x:v>0.00968</x:v>
      </x:c>
      <x:c r="X435" s="4" t="n">
        <x:f>'SUPUESTOS PRECIOS'!$B$2</x:f>
        <x:v>0.4</x:v>
      </x:c>
      <x:c r="Y435" s="3" t="str">
        <x:f t="shared" si="25"/>
      </x:c>
      <x:c r="Z435" s="3" t="str">
        <x:f t="shared" si="26"/>
      </x:c>
      <x:c r="AA435" s="11" t="str">
        <x:f t="shared" si="27"/>
      </x:c>
    </x:row>
    <x:row r="436">
      <x:c r="A436" s="10" t="s">
        <x:v>1559</x:v>
      </x:c>
      <x:c r="F436" t="s">
        <x:v>1358</x:v>
      </x:c>
      <x:c r="K436">
        <x:v>1</x:v>
      </x:c>
      <x:c r="L436" t="str">
        <x:f t="shared" si="24"/>
      </x:c>
      <x:c r="O436" t="s">
        <x:v>38</x:v>
      </x:c>
      <x:c r="T436" s="2" t="n">
        <x:f>'SUPUESTOS PRECIOS'!$B$9</x:f>
        <x:v>0</x:v>
      </x:c>
      <x:c r="U436" s="3" t="n">
        <x:f>'SUPUESTOS PRECIOS'!$B$5/'SUPUESTOS PRECIOS'!$B$4</x:f>
        <x:v>1000</x:v>
      </x:c>
      <x:c r="V436" s="3" t="n">
        <x:f>('SUPUESTOS PRECIOS'!$B$6-'SUPUESTOS PRECIOS'!$B$7)/'SUPUESTOS PRECIOS'!$B$4</x:f>
        <x:v>377.5</x:v>
      </x:c>
      <x:c r="W436" s="4" t="n">
        <x:f>'SUPUESTOS PRECIOS'!$B$8</x:f>
        <x:v>0.00968</x:v>
      </x:c>
      <x:c r="X436" s="4" t="n">
        <x:f>'SUPUESTOS PRECIOS'!$B$2</x:f>
        <x:v>0.4</x:v>
      </x:c>
      <x:c r="Y436" s="3" t="str">
        <x:f t="shared" si="25"/>
      </x:c>
      <x:c r="Z436" s="3" t="str">
        <x:f t="shared" si="26"/>
      </x:c>
      <x:c r="AA436" s="11" t="str">
        <x:f t="shared" si="27"/>
      </x:c>
    </x:row>
    <x:row r="437">
      <x:c r="A437" s="10" t="s">
        <x:v>1560</x:v>
      </x:c>
      <x:c r="F437" t="s">
        <x:v>1358</x:v>
      </x:c>
      <x:c r="K437">
        <x:v>1</x:v>
      </x:c>
      <x:c r="L437" t="str">
        <x:f t="shared" si="24"/>
      </x:c>
      <x:c r="O437" t="s">
        <x:v>38</x:v>
      </x:c>
      <x:c r="T437" s="2" t="n">
        <x:f>'SUPUESTOS PRECIOS'!$B$9</x:f>
        <x:v>0</x:v>
      </x:c>
      <x:c r="U437" s="3" t="n">
        <x:f>'SUPUESTOS PRECIOS'!$B$5/'SUPUESTOS PRECIOS'!$B$4</x:f>
        <x:v>1000</x:v>
      </x:c>
      <x:c r="V437" s="3" t="n">
        <x:f>('SUPUESTOS PRECIOS'!$B$6-'SUPUESTOS PRECIOS'!$B$7)/'SUPUESTOS PRECIOS'!$B$4</x:f>
        <x:v>377.5</x:v>
      </x:c>
      <x:c r="W437" s="4" t="n">
        <x:f>'SUPUESTOS PRECIOS'!$B$8</x:f>
        <x:v>0.00968</x:v>
      </x:c>
      <x:c r="X437" s="4" t="n">
        <x:f>'SUPUESTOS PRECIOS'!$B$2</x:f>
        <x:v>0.4</x:v>
      </x:c>
      <x:c r="Y437" s="3" t="str">
        <x:f t="shared" si="25"/>
      </x:c>
      <x:c r="Z437" s="3" t="str">
        <x:f t="shared" si="26"/>
      </x:c>
      <x:c r="AA437" s="11" t="str">
        <x:f t="shared" si="27"/>
      </x:c>
    </x:row>
    <x:row r="438">
      <x:c r="A438" s="10" t="s">
        <x:v>1561</x:v>
      </x:c>
      <x:c r="F438" t="s">
        <x:v>1358</x:v>
      </x:c>
      <x:c r="K438">
        <x:v>1</x:v>
      </x:c>
      <x:c r="L438" t="str">
        <x:f t="shared" si="24"/>
      </x:c>
      <x:c r="O438" t="s">
        <x:v>38</x:v>
      </x:c>
      <x:c r="T438" s="2" t="n">
        <x:f>'SUPUESTOS PRECIOS'!$B$9</x:f>
        <x:v>0</x:v>
      </x:c>
      <x:c r="U438" s="3" t="n">
        <x:f>'SUPUESTOS PRECIOS'!$B$5/'SUPUESTOS PRECIOS'!$B$4</x:f>
        <x:v>1000</x:v>
      </x:c>
      <x:c r="V438" s="3" t="n">
        <x:f>('SUPUESTOS PRECIOS'!$B$6-'SUPUESTOS PRECIOS'!$B$7)/'SUPUESTOS PRECIOS'!$B$4</x:f>
        <x:v>377.5</x:v>
      </x:c>
      <x:c r="W438" s="4" t="n">
        <x:f>'SUPUESTOS PRECIOS'!$B$8</x:f>
        <x:v>0.00968</x:v>
      </x:c>
      <x:c r="X438" s="4" t="n">
        <x:f>'SUPUESTOS PRECIOS'!$B$2</x:f>
        <x:v>0.4</x:v>
      </x:c>
      <x:c r="Y438" s="3" t="str">
        <x:f t="shared" si="25"/>
      </x:c>
      <x:c r="Z438" s="3" t="str">
        <x:f t="shared" si="26"/>
      </x:c>
      <x:c r="AA438" s="11" t="str">
        <x:f t="shared" si="27"/>
      </x:c>
    </x:row>
    <x:row r="439">
      <x:c r="A439" s="10" t="s">
        <x:v>1562</x:v>
      </x:c>
      <x:c r="F439" t="s">
        <x:v>1358</x:v>
      </x:c>
      <x:c r="K439">
        <x:v>1</x:v>
      </x:c>
      <x:c r="L439" t="str">
        <x:f t="shared" si="24"/>
      </x:c>
      <x:c r="O439" t="s">
        <x:v>38</x:v>
      </x:c>
      <x:c r="T439" s="2" t="n">
        <x:f>'SUPUESTOS PRECIOS'!$B$9</x:f>
        <x:v>0</x:v>
      </x:c>
      <x:c r="U439" s="3" t="n">
        <x:f>'SUPUESTOS PRECIOS'!$B$5/'SUPUESTOS PRECIOS'!$B$4</x:f>
        <x:v>1000</x:v>
      </x:c>
      <x:c r="V439" s="3" t="n">
        <x:f>('SUPUESTOS PRECIOS'!$B$6-'SUPUESTOS PRECIOS'!$B$7)/'SUPUESTOS PRECIOS'!$B$4</x:f>
        <x:v>377.5</x:v>
      </x:c>
      <x:c r="W439" s="4" t="n">
        <x:f>'SUPUESTOS PRECIOS'!$B$8</x:f>
        <x:v>0.00968</x:v>
      </x:c>
      <x:c r="X439" s="4" t="n">
        <x:f>'SUPUESTOS PRECIOS'!$B$2</x:f>
        <x:v>0.4</x:v>
      </x:c>
      <x:c r="Y439" s="3" t="str">
        <x:f t="shared" si="25"/>
      </x:c>
      <x:c r="Z439" s="3" t="str">
        <x:f t="shared" si="26"/>
      </x:c>
      <x:c r="AA439" s="11" t="str">
        <x:f t="shared" si="27"/>
      </x:c>
    </x:row>
    <x:row r="440">
      <x:c r="A440" s="10" t="s">
        <x:v>1563</x:v>
      </x:c>
      <x:c r="F440" t="s">
        <x:v>1358</x:v>
      </x:c>
      <x:c r="K440">
        <x:v>1</x:v>
      </x:c>
      <x:c r="L440" t="str">
        <x:f t="shared" si="24"/>
      </x:c>
      <x:c r="O440" t="s">
        <x:v>38</x:v>
      </x:c>
      <x:c r="T440" s="2" t="n">
        <x:f>'SUPUESTOS PRECIOS'!$B$9</x:f>
        <x:v>0</x:v>
      </x:c>
      <x:c r="U440" s="3" t="n">
        <x:f>'SUPUESTOS PRECIOS'!$B$5/'SUPUESTOS PRECIOS'!$B$4</x:f>
        <x:v>1000</x:v>
      </x:c>
      <x:c r="V440" s="3" t="n">
        <x:f>('SUPUESTOS PRECIOS'!$B$6-'SUPUESTOS PRECIOS'!$B$7)/'SUPUESTOS PRECIOS'!$B$4</x:f>
        <x:v>377.5</x:v>
      </x:c>
      <x:c r="W440" s="4" t="n">
        <x:f>'SUPUESTOS PRECIOS'!$B$8</x:f>
        <x:v>0.00968</x:v>
      </x:c>
      <x:c r="X440" s="4" t="n">
        <x:f>'SUPUESTOS PRECIOS'!$B$2</x:f>
        <x:v>0.4</x:v>
      </x:c>
      <x:c r="Y440" s="3" t="str">
        <x:f t="shared" si="25"/>
      </x:c>
      <x:c r="Z440" s="3" t="str">
        <x:f t="shared" si="26"/>
      </x:c>
      <x:c r="AA440" s="11" t="str">
        <x:f t="shared" si="27"/>
      </x:c>
    </x:row>
    <x:row r="441">
      <x:c r="A441" s="10" t="s">
        <x:v>1564</x:v>
      </x:c>
      <x:c r="F441" t="s">
        <x:v>1358</x:v>
      </x:c>
      <x:c r="K441">
        <x:v>1</x:v>
      </x:c>
      <x:c r="L441" t="str">
        <x:f t="shared" si="24"/>
      </x:c>
      <x:c r="O441" t="s">
        <x:v>38</x:v>
      </x:c>
      <x:c r="T441" s="2" t="n">
        <x:f>'SUPUESTOS PRECIOS'!$B$9</x:f>
        <x:v>0</x:v>
      </x:c>
      <x:c r="U441" s="3" t="n">
        <x:f>'SUPUESTOS PRECIOS'!$B$5/'SUPUESTOS PRECIOS'!$B$4</x:f>
        <x:v>1000</x:v>
      </x:c>
      <x:c r="V441" s="3" t="n">
        <x:f>('SUPUESTOS PRECIOS'!$B$6-'SUPUESTOS PRECIOS'!$B$7)/'SUPUESTOS PRECIOS'!$B$4</x:f>
        <x:v>377.5</x:v>
      </x:c>
      <x:c r="W441" s="4" t="n">
        <x:f>'SUPUESTOS PRECIOS'!$B$8</x:f>
        <x:v>0.00968</x:v>
      </x:c>
      <x:c r="X441" s="4" t="n">
        <x:f>'SUPUESTOS PRECIOS'!$B$2</x:f>
        <x:v>0.4</x:v>
      </x:c>
      <x:c r="Y441" s="3" t="str">
        <x:f t="shared" si="25"/>
      </x:c>
      <x:c r="Z441" s="3" t="str">
        <x:f t="shared" si="26"/>
      </x:c>
      <x:c r="AA441" s="11" t="str">
        <x:f t="shared" si="27"/>
      </x:c>
    </x:row>
    <x:row r="442">
      <x:c r="A442" s="10" t="s">
        <x:v>1565</x:v>
      </x:c>
      <x:c r="F442" t="s">
        <x:v>1358</x:v>
      </x:c>
      <x:c r="K442">
        <x:v>1</x:v>
      </x:c>
      <x:c r="L442" t="str">
        <x:f t="shared" si="24"/>
      </x:c>
      <x:c r="O442" t="s">
        <x:v>38</x:v>
      </x:c>
      <x:c r="T442" s="2" t="n">
        <x:f>'SUPUESTOS PRECIOS'!$B$9</x:f>
        <x:v>0</x:v>
      </x:c>
      <x:c r="U442" s="3" t="n">
        <x:f>'SUPUESTOS PRECIOS'!$B$5/'SUPUESTOS PRECIOS'!$B$4</x:f>
        <x:v>1000</x:v>
      </x:c>
      <x:c r="V442" s="3" t="n">
        <x:f>('SUPUESTOS PRECIOS'!$B$6-'SUPUESTOS PRECIOS'!$B$7)/'SUPUESTOS PRECIOS'!$B$4</x:f>
        <x:v>377.5</x:v>
      </x:c>
      <x:c r="W442" s="4" t="n">
        <x:f>'SUPUESTOS PRECIOS'!$B$8</x:f>
        <x:v>0.00968</x:v>
      </x:c>
      <x:c r="X442" s="4" t="n">
        <x:f>'SUPUESTOS PRECIOS'!$B$2</x:f>
        <x:v>0.4</x:v>
      </x:c>
      <x:c r="Y442" s="3" t="str">
        <x:f t="shared" si="25"/>
      </x:c>
      <x:c r="Z442" s="3" t="str">
        <x:f t="shared" si="26"/>
      </x:c>
      <x:c r="AA442" s="11" t="str">
        <x:f t="shared" si="27"/>
      </x:c>
    </x:row>
    <x:row r="443">
      <x:c r="A443" s="10" t="s">
        <x:v>1566</x:v>
      </x:c>
      <x:c r="F443" t="s">
        <x:v>1358</x:v>
      </x:c>
      <x:c r="K443">
        <x:v>1</x:v>
      </x:c>
      <x:c r="L443" t="str">
        <x:f t="shared" si="24"/>
      </x:c>
      <x:c r="O443" t="s">
        <x:v>38</x:v>
      </x:c>
      <x:c r="T443" s="2" t="n">
        <x:f>'SUPUESTOS PRECIOS'!$B$9</x:f>
        <x:v>0</x:v>
      </x:c>
      <x:c r="U443" s="3" t="n">
        <x:f>'SUPUESTOS PRECIOS'!$B$5/'SUPUESTOS PRECIOS'!$B$4</x:f>
        <x:v>1000</x:v>
      </x:c>
      <x:c r="V443" s="3" t="n">
        <x:f>('SUPUESTOS PRECIOS'!$B$6-'SUPUESTOS PRECIOS'!$B$7)/'SUPUESTOS PRECIOS'!$B$4</x:f>
        <x:v>377.5</x:v>
      </x:c>
      <x:c r="W443" s="4" t="n">
        <x:f>'SUPUESTOS PRECIOS'!$B$8</x:f>
        <x:v>0.00968</x:v>
      </x:c>
      <x:c r="X443" s="4" t="n">
        <x:f>'SUPUESTOS PRECIOS'!$B$2</x:f>
        <x:v>0.4</x:v>
      </x:c>
      <x:c r="Y443" s="3" t="str">
        <x:f t="shared" si="25"/>
      </x:c>
      <x:c r="Z443" s="3" t="str">
        <x:f t="shared" si="26"/>
      </x:c>
      <x:c r="AA443" s="11" t="str">
        <x:f t="shared" si="27"/>
      </x:c>
    </x:row>
    <x:row r="444">
      <x:c r="A444" s="10" t="s">
        <x:v>1567</x:v>
      </x:c>
      <x:c r="F444" t="s">
        <x:v>1358</x:v>
      </x:c>
      <x:c r="K444">
        <x:v>1</x:v>
      </x:c>
      <x:c r="L444" t="str">
        <x:f t="shared" si="24"/>
      </x:c>
      <x:c r="O444" t="s">
        <x:v>38</x:v>
      </x:c>
      <x:c r="T444" s="2" t="n">
        <x:f>'SUPUESTOS PRECIOS'!$B$9</x:f>
        <x:v>0</x:v>
      </x:c>
      <x:c r="U444" s="3" t="n">
        <x:f>'SUPUESTOS PRECIOS'!$B$5/'SUPUESTOS PRECIOS'!$B$4</x:f>
        <x:v>1000</x:v>
      </x:c>
      <x:c r="V444" s="3" t="n">
        <x:f>('SUPUESTOS PRECIOS'!$B$6-'SUPUESTOS PRECIOS'!$B$7)/'SUPUESTOS PRECIOS'!$B$4</x:f>
        <x:v>377.5</x:v>
      </x:c>
      <x:c r="W444" s="4" t="n">
        <x:f>'SUPUESTOS PRECIOS'!$B$8</x:f>
        <x:v>0.00968</x:v>
      </x:c>
      <x:c r="X444" s="4" t="n">
        <x:f>'SUPUESTOS PRECIOS'!$B$2</x:f>
        <x:v>0.4</x:v>
      </x:c>
      <x:c r="Y444" s="3" t="str">
        <x:f t="shared" si="25"/>
      </x:c>
      <x:c r="Z444" s="3" t="str">
        <x:f t="shared" si="26"/>
      </x:c>
      <x:c r="AA444" s="11" t="str">
        <x:f t="shared" si="27"/>
      </x:c>
    </x:row>
    <x:row r="445">
      <x:c r="A445" s="10" t="s">
        <x:v>1568</x:v>
      </x:c>
      <x:c r="F445" t="s">
        <x:v>1358</x:v>
      </x:c>
      <x:c r="K445">
        <x:v>1</x:v>
      </x:c>
      <x:c r="L445" t="str">
        <x:f t="shared" si="24"/>
      </x:c>
      <x:c r="O445" t="s">
        <x:v>38</x:v>
      </x:c>
      <x:c r="T445" s="2" t="n">
        <x:f>'SUPUESTOS PRECIOS'!$B$9</x:f>
        <x:v>0</x:v>
      </x:c>
      <x:c r="U445" s="3" t="n">
        <x:f>'SUPUESTOS PRECIOS'!$B$5/'SUPUESTOS PRECIOS'!$B$4</x:f>
        <x:v>1000</x:v>
      </x:c>
      <x:c r="V445" s="3" t="n">
        <x:f>('SUPUESTOS PRECIOS'!$B$6-'SUPUESTOS PRECIOS'!$B$7)/'SUPUESTOS PRECIOS'!$B$4</x:f>
        <x:v>377.5</x:v>
      </x:c>
      <x:c r="W445" s="4" t="n">
        <x:f>'SUPUESTOS PRECIOS'!$B$8</x:f>
        <x:v>0.00968</x:v>
      </x:c>
      <x:c r="X445" s="4" t="n">
        <x:f>'SUPUESTOS PRECIOS'!$B$2</x:f>
        <x:v>0.4</x:v>
      </x:c>
      <x:c r="Y445" s="3" t="str">
        <x:f t="shared" si="25"/>
      </x:c>
      <x:c r="Z445" s="3" t="str">
        <x:f t="shared" si="26"/>
      </x:c>
      <x:c r="AA445" s="11" t="str">
        <x:f t="shared" si="27"/>
      </x:c>
    </x:row>
    <x:row r="446">
      <x:c r="A446" s="10" t="s">
        <x:v>1569</x:v>
      </x:c>
      <x:c r="F446" t="s">
        <x:v>1358</x:v>
      </x:c>
      <x:c r="K446">
        <x:v>1</x:v>
      </x:c>
      <x:c r="L446" t="str">
        <x:f t="shared" si="24"/>
      </x:c>
      <x:c r="O446" t="s">
        <x:v>38</x:v>
      </x:c>
      <x:c r="T446" s="2" t="n">
        <x:f>'SUPUESTOS PRECIOS'!$B$9</x:f>
        <x:v>0</x:v>
      </x:c>
      <x:c r="U446" s="3" t="n">
        <x:f>'SUPUESTOS PRECIOS'!$B$5/'SUPUESTOS PRECIOS'!$B$4</x:f>
        <x:v>1000</x:v>
      </x:c>
      <x:c r="V446" s="3" t="n">
        <x:f>('SUPUESTOS PRECIOS'!$B$6-'SUPUESTOS PRECIOS'!$B$7)/'SUPUESTOS PRECIOS'!$B$4</x:f>
        <x:v>377.5</x:v>
      </x:c>
      <x:c r="W446" s="4" t="n">
        <x:f>'SUPUESTOS PRECIOS'!$B$8</x:f>
        <x:v>0.00968</x:v>
      </x:c>
      <x:c r="X446" s="4" t="n">
        <x:f>'SUPUESTOS PRECIOS'!$B$2</x:f>
        <x:v>0.4</x:v>
      </x:c>
      <x:c r="Y446" s="3" t="str">
        <x:f t="shared" si="25"/>
      </x:c>
      <x:c r="Z446" s="3" t="str">
        <x:f t="shared" si="26"/>
      </x:c>
      <x:c r="AA446" s="11" t="str">
        <x:f t="shared" si="27"/>
      </x:c>
    </x:row>
    <x:row r="447">
      <x:c r="A447" s="10" t="s">
        <x:v>1570</x:v>
      </x:c>
      <x:c r="F447" t="s">
        <x:v>1358</x:v>
      </x:c>
      <x:c r="K447">
        <x:v>1</x:v>
      </x:c>
      <x:c r="L447" t="str">
        <x:f t="shared" si="24"/>
      </x:c>
      <x:c r="O447" t="s">
        <x:v>38</x:v>
      </x:c>
      <x:c r="T447" s="2" t="n">
        <x:f>'SUPUESTOS PRECIOS'!$B$9</x:f>
        <x:v>0</x:v>
      </x:c>
      <x:c r="U447" s="3" t="n">
        <x:f>'SUPUESTOS PRECIOS'!$B$5/'SUPUESTOS PRECIOS'!$B$4</x:f>
        <x:v>1000</x:v>
      </x:c>
      <x:c r="V447" s="3" t="n">
        <x:f>('SUPUESTOS PRECIOS'!$B$6-'SUPUESTOS PRECIOS'!$B$7)/'SUPUESTOS PRECIOS'!$B$4</x:f>
        <x:v>377.5</x:v>
      </x:c>
      <x:c r="W447" s="4" t="n">
        <x:f>'SUPUESTOS PRECIOS'!$B$8</x:f>
        <x:v>0.00968</x:v>
      </x:c>
      <x:c r="X447" s="4" t="n">
        <x:f>'SUPUESTOS PRECIOS'!$B$2</x:f>
        <x:v>0.4</x:v>
      </x:c>
      <x:c r="Y447" s="3" t="str">
        <x:f t="shared" si="25"/>
      </x:c>
      <x:c r="Z447" s="3" t="str">
        <x:f t="shared" si="26"/>
      </x:c>
      <x:c r="AA447" s="11" t="str">
        <x:f t="shared" si="27"/>
      </x:c>
    </x:row>
    <x:row r="448">
      <x:c r="A448" s="10" t="s">
        <x:v>1571</x:v>
      </x:c>
      <x:c r="F448" t="s">
        <x:v>1358</x:v>
      </x:c>
      <x:c r="K448">
        <x:v>1</x:v>
      </x:c>
      <x:c r="L448" t="str">
        <x:f t="shared" si="24"/>
      </x:c>
      <x:c r="O448" t="s">
        <x:v>38</x:v>
      </x:c>
      <x:c r="T448" s="2" t="n">
        <x:f>'SUPUESTOS PRECIOS'!$B$9</x:f>
        <x:v>0</x:v>
      </x:c>
      <x:c r="U448" s="3" t="n">
        <x:f>'SUPUESTOS PRECIOS'!$B$5/'SUPUESTOS PRECIOS'!$B$4</x:f>
        <x:v>1000</x:v>
      </x:c>
      <x:c r="V448" s="3" t="n">
        <x:f>('SUPUESTOS PRECIOS'!$B$6-'SUPUESTOS PRECIOS'!$B$7)/'SUPUESTOS PRECIOS'!$B$4</x:f>
        <x:v>377.5</x:v>
      </x:c>
      <x:c r="W448" s="4" t="n">
        <x:f>'SUPUESTOS PRECIOS'!$B$8</x:f>
        <x:v>0.00968</x:v>
      </x:c>
      <x:c r="X448" s="4" t="n">
        <x:f>'SUPUESTOS PRECIOS'!$B$2</x:f>
        <x:v>0.4</x:v>
      </x:c>
      <x:c r="Y448" s="3" t="str">
        <x:f t="shared" si="25"/>
      </x:c>
      <x:c r="Z448" s="3" t="str">
        <x:f t="shared" si="26"/>
      </x:c>
      <x:c r="AA448" s="11" t="str">
        <x:f t="shared" si="27"/>
      </x:c>
    </x:row>
    <x:row r="449">
      <x:c r="A449" s="10" t="s">
        <x:v>1572</x:v>
      </x:c>
      <x:c r="F449" t="s">
        <x:v>1358</x:v>
      </x:c>
      <x:c r="K449">
        <x:v>1</x:v>
      </x:c>
      <x:c r="L449" t="str">
        <x:f t="shared" si="24"/>
      </x:c>
      <x:c r="O449" t="s">
        <x:v>38</x:v>
      </x:c>
      <x:c r="T449" s="2" t="n">
        <x:f>'SUPUESTOS PRECIOS'!$B$9</x:f>
        <x:v>0</x:v>
      </x:c>
      <x:c r="U449" s="3" t="n">
        <x:f>'SUPUESTOS PRECIOS'!$B$5/'SUPUESTOS PRECIOS'!$B$4</x:f>
        <x:v>1000</x:v>
      </x:c>
      <x:c r="V449" s="3" t="n">
        <x:f>('SUPUESTOS PRECIOS'!$B$6-'SUPUESTOS PRECIOS'!$B$7)/'SUPUESTOS PRECIOS'!$B$4</x:f>
        <x:v>377.5</x:v>
      </x:c>
      <x:c r="W449" s="4" t="n">
        <x:f>'SUPUESTOS PRECIOS'!$B$8</x:f>
        <x:v>0.00968</x:v>
      </x:c>
      <x:c r="X449" s="4" t="n">
        <x:f>'SUPUESTOS PRECIOS'!$B$2</x:f>
        <x:v>0.4</x:v>
      </x:c>
      <x:c r="Y449" s="3" t="str">
        <x:f t="shared" si="25"/>
      </x:c>
      <x:c r="Z449" s="3" t="str">
        <x:f t="shared" si="26"/>
      </x:c>
      <x:c r="AA449" s="11" t="str">
        <x:f t="shared" si="27"/>
      </x:c>
    </x:row>
    <x:row r="450">
      <x:c r="A450" s="10" t="s">
        <x:v>1573</x:v>
      </x:c>
      <x:c r="F450" t="s">
        <x:v>1358</x:v>
      </x:c>
      <x:c r="K450">
        <x:v>1</x:v>
      </x:c>
      <x:c r="L450" t="str">
        <x:f t="shared" ref="L450:L513" si="28">IF(J450="","",J450*(1+K450))</x:f>
      </x:c>
      <x:c r="O450" t="s">
        <x:v>38</x:v>
      </x:c>
      <x:c r="T450" s="2" t="n">
        <x:f>'SUPUESTOS PRECIOS'!$B$9</x:f>
        <x:v>0</x:v>
      </x:c>
      <x:c r="U450" s="3" t="n">
        <x:f>'SUPUESTOS PRECIOS'!$B$5/'SUPUESTOS PRECIOS'!$B$4</x:f>
        <x:v>1000</x:v>
      </x:c>
      <x:c r="V450" s="3" t="n">
        <x:f>('SUPUESTOS PRECIOS'!$B$6-'SUPUESTOS PRECIOS'!$B$7)/'SUPUESTOS PRECIOS'!$B$4</x:f>
        <x:v>377.5</x:v>
      </x:c>
      <x:c r="W450" s="4" t="n">
        <x:f>'SUPUESTOS PRECIOS'!$B$8</x:f>
        <x:v>0.00968</x:v>
      </x:c>
      <x:c r="X450" s="4" t="n">
        <x:f>'SUPUESTOS PRECIOS'!$B$2</x:f>
        <x:v>0.4</x:v>
      </x:c>
      <x:c r="Y450" s="3" t="str">
        <x:f t="shared" ref="Y450:Y513" si="29">IF(OR($B450="",$J450=""),"",ROUND(($J450+$T450+$U450+$V450)/(1-$W450-$X450),-1))</x:f>
      </x:c>
      <x:c r="Z450" s="3" t="str">
        <x:f t="shared" ref="Z450:Z513" si="30">IF($Y450="","",$Y450-$J450-$T450-$U450-$V450-($Y450*$W450))</x:f>
      </x:c>
      <x:c r="AA450" s="11" t="str">
        <x:f t="shared" ref="AA450:AA513" si="31">IF($Y450="","",$Z450/$Y450)</x:f>
      </x:c>
    </x:row>
    <x:row r="451">
      <x:c r="A451" s="10" t="s">
        <x:v>1574</x:v>
      </x:c>
      <x:c r="F451" t="s">
        <x:v>1358</x:v>
      </x:c>
      <x:c r="K451">
        <x:v>1</x:v>
      </x:c>
      <x:c r="L451" t="str">
        <x:f t="shared" si="28"/>
      </x:c>
      <x:c r="O451" t="s">
        <x:v>38</x:v>
      </x:c>
      <x:c r="T451" s="2" t="n">
        <x:f>'SUPUESTOS PRECIOS'!$B$9</x:f>
        <x:v>0</x:v>
      </x:c>
      <x:c r="U451" s="3" t="n">
        <x:f>'SUPUESTOS PRECIOS'!$B$5/'SUPUESTOS PRECIOS'!$B$4</x:f>
        <x:v>1000</x:v>
      </x:c>
      <x:c r="V451" s="3" t="n">
        <x:f>('SUPUESTOS PRECIOS'!$B$6-'SUPUESTOS PRECIOS'!$B$7)/'SUPUESTOS PRECIOS'!$B$4</x:f>
        <x:v>377.5</x:v>
      </x:c>
      <x:c r="W451" s="4" t="n">
        <x:f>'SUPUESTOS PRECIOS'!$B$8</x:f>
        <x:v>0.00968</x:v>
      </x:c>
      <x:c r="X451" s="4" t="n">
        <x:f>'SUPUESTOS PRECIOS'!$B$2</x:f>
        <x:v>0.4</x:v>
      </x:c>
      <x:c r="Y451" s="3" t="str">
        <x:f t="shared" si="29"/>
      </x:c>
      <x:c r="Z451" s="3" t="str">
        <x:f t="shared" si="30"/>
      </x:c>
      <x:c r="AA451" s="11" t="str">
        <x:f t="shared" si="31"/>
      </x:c>
    </x:row>
    <x:row r="452">
      <x:c r="A452" s="10" t="s">
        <x:v>1575</x:v>
      </x:c>
      <x:c r="F452" t="s">
        <x:v>1358</x:v>
      </x:c>
      <x:c r="K452">
        <x:v>1</x:v>
      </x:c>
      <x:c r="L452" t="str">
        <x:f t="shared" si="28"/>
      </x:c>
      <x:c r="O452" t="s">
        <x:v>38</x:v>
      </x:c>
      <x:c r="T452" s="2" t="n">
        <x:f>'SUPUESTOS PRECIOS'!$B$9</x:f>
        <x:v>0</x:v>
      </x:c>
      <x:c r="U452" s="3" t="n">
        <x:f>'SUPUESTOS PRECIOS'!$B$5/'SUPUESTOS PRECIOS'!$B$4</x:f>
        <x:v>1000</x:v>
      </x:c>
      <x:c r="V452" s="3" t="n">
        <x:f>('SUPUESTOS PRECIOS'!$B$6-'SUPUESTOS PRECIOS'!$B$7)/'SUPUESTOS PRECIOS'!$B$4</x:f>
        <x:v>377.5</x:v>
      </x:c>
      <x:c r="W452" s="4" t="n">
        <x:f>'SUPUESTOS PRECIOS'!$B$8</x:f>
        <x:v>0.00968</x:v>
      </x:c>
      <x:c r="X452" s="4" t="n">
        <x:f>'SUPUESTOS PRECIOS'!$B$2</x:f>
        <x:v>0.4</x:v>
      </x:c>
      <x:c r="Y452" s="3" t="str">
        <x:f t="shared" si="29"/>
      </x:c>
      <x:c r="Z452" s="3" t="str">
        <x:f t="shared" si="30"/>
      </x:c>
      <x:c r="AA452" s="11" t="str">
        <x:f t="shared" si="31"/>
      </x:c>
    </x:row>
    <x:row r="453">
      <x:c r="A453" s="10" t="s">
        <x:v>1576</x:v>
      </x:c>
      <x:c r="F453" t="s">
        <x:v>1358</x:v>
      </x:c>
      <x:c r="K453">
        <x:v>1</x:v>
      </x:c>
      <x:c r="L453" t="str">
        <x:f t="shared" si="28"/>
      </x:c>
      <x:c r="O453" t="s">
        <x:v>38</x:v>
      </x:c>
      <x:c r="T453" s="2" t="n">
        <x:f>'SUPUESTOS PRECIOS'!$B$9</x:f>
        <x:v>0</x:v>
      </x:c>
      <x:c r="U453" s="3" t="n">
        <x:f>'SUPUESTOS PRECIOS'!$B$5/'SUPUESTOS PRECIOS'!$B$4</x:f>
        <x:v>1000</x:v>
      </x:c>
      <x:c r="V453" s="3" t="n">
        <x:f>('SUPUESTOS PRECIOS'!$B$6-'SUPUESTOS PRECIOS'!$B$7)/'SUPUESTOS PRECIOS'!$B$4</x:f>
        <x:v>377.5</x:v>
      </x:c>
      <x:c r="W453" s="4" t="n">
        <x:f>'SUPUESTOS PRECIOS'!$B$8</x:f>
        <x:v>0.00968</x:v>
      </x:c>
      <x:c r="X453" s="4" t="n">
        <x:f>'SUPUESTOS PRECIOS'!$B$2</x:f>
        <x:v>0.4</x:v>
      </x:c>
      <x:c r="Y453" s="3" t="str">
        <x:f t="shared" si="29"/>
      </x:c>
      <x:c r="Z453" s="3" t="str">
        <x:f t="shared" si="30"/>
      </x:c>
      <x:c r="AA453" s="11" t="str">
        <x:f t="shared" si="31"/>
      </x:c>
    </x:row>
    <x:row r="454">
      <x:c r="A454" s="10" t="s">
        <x:v>1577</x:v>
      </x:c>
      <x:c r="F454" t="s">
        <x:v>1358</x:v>
      </x:c>
      <x:c r="K454">
        <x:v>1</x:v>
      </x:c>
      <x:c r="L454" t="str">
        <x:f t="shared" si="28"/>
      </x:c>
      <x:c r="O454" t="s">
        <x:v>38</x:v>
      </x:c>
      <x:c r="T454" s="2" t="n">
        <x:f>'SUPUESTOS PRECIOS'!$B$9</x:f>
        <x:v>0</x:v>
      </x:c>
      <x:c r="U454" s="3" t="n">
        <x:f>'SUPUESTOS PRECIOS'!$B$5/'SUPUESTOS PRECIOS'!$B$4</x:f>
        <x:v>1000</x:v>
      </x:c>
      <x:c r="V454" s="3" t="n">
        <x:f>('SUPUESTOS PRECIOS'!$B$6-'SUPUESTOS PRECIOS'!$B$7)/'SUPUESTOS PRECIOS'!$B$4</x:f>
        <x:v>377.5</x:v>
      </x:c>
      <x:c r="W454" s="4" t="n">
        <x:f>'SUPUESTOS PRECIOS'!$B$8</x:f>
        <x:v>0.00968</x:v>
      </x:c>
      <x:c r="X454" s="4" t="n">
        <x:f>'SUPUESTOS PRECIOS'!$B$2</x:f>
        <x:v>0.4</x:v>
      </x:c>
      <x:c r="Y454" s="3" t="str">
        <x:f t="shared" si="29"/>
      </x:c>
      <x:c r="Z454" s="3" t="str">
        <x:f t="shared" si="30"/>
      </x:c>
      <x:c r="AA454" s="11" t="str">
        <x:f t="shared" si="31"/>
      </x:c>
    </x:row>
    <x:row r="455">
      <x:c r="A455" s="10" t="s">
        <x:v>1578</x:v>
      </x:c>
      <x:c r="F455" t="s">
        <x:v>1358</x:v>
      </x:c>
      <x:c r="K455">
        <x:v>1</x:v>
      </x:c>
      <x:c r="L455" t="str">
        <x:f t="shared" si="28"/>
      </x:c>
      <x:c r="O455" t="s">
        <x:v>38</x:v>
      </x:c>
      <x:c r="T455" s="2" t="n">
        <x:f>'SUPUESTOS PRECIOS'!$B$9</x:f>
        <x:v>0</x:v>
      </x:c>
      <x:c r="U455" s="3" t="n">
        <x:f>'SUPUESTOS PRECIOS'!$B$5/'SUPUESTOS PRECIOS'!$B$4</x:f>
        <x:v>1000</x:v>
      </x:c>
      <x:c r="V455" s="3" t="n">
        <x:f>('SUPUESTOS PRECIOS'!$B$6-'SUPUESTOS PRECIOS'!$B$7)/'SUPUESTOS PRECIOS'!$B$4</x:f>
        <x:v>377.5</x:v>
      </x:c>
      <x:c r="W455" s="4" t="n">
        <x:f>'SUPUESTOS PRECIOS'!$B$8</x:f>
        <x:v>0.00968</x:v>
      </x:c>
      <x:c r="X455" s="4" t="n">
        <x:f>'SUPUESTOS PRECIOS'!$B$2</x:f>
        <x:v>0.4</x:v>
      </x:c>
      <x:c r="Y455" s="3" t="str">
        <x:f t="shared" si="29"/>
      </x:c>
      <x:c r="Z455" s="3" t="str">
        <x:f t="shared" si="30"/>
      </x:c>
      <x:c r="AA455" s="11" t="str">
        <x:f t="shared" si="31"/>
      </x:c>
    </x:row>
    <x:row r="456">
      <x:c r="A456" s="10" t="s">
        <x:v>1579</x:v>
      </x:c>
      <x:c r="F456" t="s">
        <x:v>1358</x:v>
      </x:c>
      <x:c r="K456">
        <x:v>1</x:v>
      </x:c>
      <x:c r="L456" t="str">
        <x:f t="shared" si="28"/>
      </x:c>
      <x:c r="O456" t="s">
        <x:v>38</x:v>
      </x:c>
      <x:c r="T456" s="2" t="n">
        <x:f>'SUPUESTOS PRECIOS'!$B$9</x:f>
        <x:v>0</x:v>
      </x:c>
      <x:c r="U456" s="3" t="n">
        <x:f>'SUPUESTOS PRECIOS'!$B$5/'SUPUESTOS PRECIOS'!$B$4</x:f>
        <x:v>1000</x:v>
      </x:c>
      <x:c r="V456" s="3" t="n">
        <x:f>('SUPUESTOS PRECIOS'!$B$6-'SUPUESTOS PRECIOS'!$B$7)/'SUPUESTOS PRECIOS'!$B$4</x:f>
        <x:v>377.5</x:v>
      </x:c>
      <x:c r="W456" s="4" t="n">
        <x:f>'SUPUESTOS PRECIOS'!$B$8</x:f>
        <x:v>0.00968</x:v>
      </x:c>
      <x:c r="X456" s="4" t="n">
        <x:f>'SUPUESTOS PRECIOS'!$B$2</x:f>
        <x:v>0.4</x:v>
      </x:c>
      <x:c r="Y456" s="3" t="str">
        <x:f t="shared" si="29"/>
      </x:c>
      <x:c r="Z456" s="3" t="str">
        <x:f t="shared" si="30"/>
      </x:c>
      <x:c r="AA456" s="11" t="str">
        <x:f t="shared" si="31"/>
      </x:c>
    </x:row>
    <x:row r="457">
      <x:c r="A457" s="10" t="s">
        <x:v>1580</x:v>
      </x:c>
      <x:c r="F457" t="s">
        <x:v>1358</x:v>
      </x:c>
      <x:c r="K457">
        <x:v>1</x:v>
      </x:c>
      <x:c r="L457" t="str">
        <x:f t="shared" si="28"/>
      </x:c>
      <x:c r="O457" t="s">
        <x:v>38</x:v>
      </x:c>
      <x:c r="T457" s="2" t="n">
        <x:f>'SUPUESTOS PRECIOS'!$B$9</x:f>
        <x:v>0</x:v>
      </x:c>
      <x:c r="U457" s="3" t="n">
        <x:f>'SUPUESTOS PRECIOS'!$B$5/'SUPUESTOS PRECIOS'!$B$4</x:f>
        <x:v>1000</x:v>
      </x:c>
      <x:c r="V457" s="3" t="n">
        <x:f>('SUPUESTOS PRECIOS'!$B$6-'SUPUESTOS PRECIOS'!$B$7)/'SUPUESTOS PRECIOS'!$B$4</x:f>
        <x:v>377.5</x:v>
      </x:c>
      <x:c r="W457" s="4" t="n">
        <x:f>'SUPUESTOS PRECIOS'!$B$8</x:f>
        <x:v>0.00968</x:v>
      </x:c>
      <x:c r="X457" s="4" t="n">
        <x:f>'SUPUESTOS PRECIOS'!$B$2</x:f>
        <x:v>0.4</x:v>
      </x:c>
      <x:c r="Y457" s="3" t="str">
        <x:f t="shared" si="29"/>
      </x:c>
      <x:c r="Z457" s="3" t="str">
        <x:f t="shared" si="30"/>
      </x:c>
      <x:c r="AA457" s="11" t="str">
        <x:f t="shared" si="31"/>
      </x:c>
    </x:row>
    <x:row r="458">
      <x:c r="A458" s="10" t="s">
        <x:v>1581</x:v>
      </x:c>
      <x:c r="F458" t="s">
        <x:v>1358</x:v>
      </x:c>
      <x:c r="K458">
        <x:v>1</x:v>
      </x:c>
      <x:c r="L458" t="str">
        <x:f t="shared" si="28"/>
      </x:c>
      <x:c r="O458" t="s">
        <x:v>38</x:v>
      </x:c>
      <x:c r="T458" s="2" t="n">
        <x:f>'SUPUESTOS PRECIOS'!$B$9</x:f>
        <x:v>0</x:v>
      </x:c>
      <x:c r="U458" s="3" t="n">
        <x:f>'SUPUESTOS PRECIOS'!$B$5/'SUPUESTOS PRECIOS'!$B$4</x:f>
        <x:v>1000</x:v>
      </x:c>
      <x:c r="V458" s="3" t="n">
        <x:f>('SUPUESTOS PRECIOS'!$B$6-'SUPUESTOS PRECIOS'!$B$7)/'SUPUESTOS PRECIOS'!$B$4</x:f>
        <x:v>377.5</x:v>
      </x:c>
      <x:c r="W458" s="4" t="n">
        <x:f>'SUPUESTOS PRECIOS'!$B$8</x:f>
        <x:v>0.00968</x:v>
      </x:c>
      <x:c r="X458" s="4" t="n">
        <x:f>'SUPUESTOS PRECIOS'!$B$2</x:f>
        <x:v>0.4</x:v>
      </x:c>
      <x:c r="Y458" s="3" t="str">
        <x:f t="shared" si="29"/>
      </x:c>
      <x:c r="Z458" s="3" t="str">
        <x:f t="shared" si="30"/>
      </x:c>
      <x:c r="AA458" s="11" t="str">
        <x:f t="shared" si="31"/>
      </x:c>
    </x:row>
    <x:row r="459">
      <x:c r="A459" s="10" t="s">
        <x:v>1582</x:v>
      </x:c>
      <x:c r="F459" t="s">
        <x:v>1358</x:v>
      </x:c>
      <x:c r="K459">
        <x:v>1</x:v>
      </x:c>
      <x:c r="L459" t="str">
        <x:f t="shared" si="28"/>
      </x:c>
      <x:c r="O459" t="s">
        <x:v>38</x:v>
      </x:c>
      <x:c r="T459" s="2" t="n">
        <x:f>'SUPUESTOS PRECIOS'!$B$9</x:f>
        <x:v>0</x:v>
      </x:c>
      <x:c r="U459" s="3" t="n">
        <x:f>'SUPUESTOS PRECIOS'!$B$5/'SUPUESTOS PRECIOS'!$B$4</x:f>
        <x:v>1000</x:v>
      </x:c>
      <x:c r="V459" s="3" t="n">
        <x:f>('SUPUESTOS PRECIOS'!$B$6-'SUPUESTOS PRECIOS'!$B$7)/'SUPUESTOS PRECIOS'!$B$4</x:f>
        <x:v>377.5</x:v>
      </x:c>
      <x:c r="W459" s="4" t="n">
        <x:f>'SUPUESTOS PRECIOS'!$B$8</x:f>
        <x:v>0.00968</x:v>
      </x:c>
      <x:c r="X459" s="4" t="n">
        <x:f>'SUPUESTOS PRECIOS'!$B$2</x:f>
        <x:v>0.4</x:v>
      </x:c>
      <x:c r="Y459" s="3" t="str">
        <x:f t="shared" si="29"/>
      </x:c>
      <x:c r="Z459" s="3" t="str">
        <x:f t="shared" si="30"/>
      </x:c>
      <x:c r="AA459" s="11" t="str">
        <x:f t="shared" si="31"/>
      </x:c>
    </x:row>
    <x:row r="460">
      <x:c r="A460" s="10" t="s">
        <x:v>1583</x:v>
      </x:c>
      <x:c r="F460" t="s">
        <x:v>1358</x:v>
      </x:c>
      <x:c r="K460">
        <x:v>1</x:v>
      </x:c>
      <x:c r="L460" t="str">
        <x:f t="shared" si="28"/>
      </x:c>
      <x:c r="O460" t="s">
        <x:v>38</x:v>
      </x:c>
      <x:c r="T460" s="2" t="n">
        <x:f>'SUPUESTOS PRECIOS'!$B$9</x:f>
        <x:v>0</x:v>
      </x:c>
      <x:c r="U460" s="3" t="n">
        <x:f>'SUPUESTOS PRECIOS'!$B$5/'SUPUESTOS PRECIOS'!$B$4</x:f>
        <x:v>1000</x:v>
      </x:c>
      <x:c r="V460" s="3" t="n">
        <x:f>('SUPUESTOS PRECIOS'!$B$6-'SUPUESTOS PRECIOS'!$B$7)/'SUPUESTOS PRECIOS'!$B$4</x:f>
        <x:v>377.5</x:v>
      </x:c>
      <x:c r="W460" s="4" t="n">
        <x:f>'SUPUESTOS PRECIOS'!$B$8</x:f>
        <x:v>0.00968</x:v>
      </x:c>
      <x:c r="X460" s="4" t="n">
        <x:f>'SUPUESTOS PRECIOS'!$B$2</x:f>
        <x:v>0.4</x:v>
      </x:c>
      <x:c r="Y460" s="3" t="str">
        <x:f t="shared" si="29"/>
      </x:c>
      <x:c r="Z460" s="3" t="str">
        <x:f t="shared" si="30"/>
      </x:c>
      <x:c r="AA460" s="11" t="str">
        <x:f t="shared" si="31"/>
      </x:c>
    </x:row>
    <x:row r="461">
      <x:c r="A461" s="10" t="s">
        <x:v>1584</x:v>
      </x:c>
      <x:c r="F461" t="s">
        <x:v>1358</x:v>
      </x:c>
      <x:c r="K461">
        <x:v>1</x:v>
      </x:c>
      <x:c r="L461" t="str">
        <x:f t="shared" si="28"/>
      </x:c>
      <x:c r="O461" t="s">
        <x:v>38</x:v>
      </x:c>
      <x:c r="T461" s="2" t="n">
        <x:f>'SUPUESTOS PRECIOS'!$B$9</x:f>
        <x:v>0</x:v>
      </x:c>
      <x:c r="U461" s="3" t="n">
        <x:f>'SUPUESTOS PRECIOS'!$B$5/'SUPUESTOS PRECIOS'!$B$4</x:f>
        <x:v>1000</x:v>
      </x:c>
      <x:c r="V461" s="3" t="n">
        <x:f>('SUPUESTOS PRECIOS'!$B$6-'SUPUESTOS PRECIOS'!$B$7)/'SUPUESTOS PRECIOS'!$B$4</x:f>
        <x:v>377.5</x:v>
      </x:c>
      <x:c r="W461" s="4" t="n">
        <x:f>'SUPUESTOS PRECIOS'!$B$8</x:f>
        <x:v>0.00968</x:v>
      </x:c>
      <x:c r="X461" s="4" t="n">
        <x:f>'SUPUESTOS PRECIOS'!$B$2</x:f>
        <x:v>0.4</x:v>
      </x:c>
      <x:c r="Y461" s="3" t="str">
        <x:f t="shared" si="29"/>
      </x:c>
      <x:c r="Z461" s="3" t="str">
        <x:f t="shared" si="30"/>
      </x:c>
      <x:c r="AA461" s="11" t="str">
        <x:f t="shared" si="31"/>
      </x:c>
    </x:row>
    <x:row r="462">
      <x:c r="A462" s="10" t="s">
        <x:v>1585</x:v>
      </x:c>
      <x:c r="F462" t="s">
        <x:v>1358</x:v>
      </x:c>
      <x:c r="K462">
        <x:v>1</x:v>
      </x:c>
      <x:c r="L462" t="str">
        <x:f t="shared" si="28"/>
      </x:c>
      <x:c r="O462" t="s">
        <x:v>38</x:v>
      </x:c>
      <x:c r="T462" s="2" t="n">
        <x:f>'SUPUESTOS PRECIOS'!$B$9</x:f>
        <x:v>0</x:v>
      </x:c>
      <x:c r="U462" s="3" t="n">
        <x:f>'SUPUESTOS PRECIOS'!$B$5/'SUPUESTOS PRECIOS'!$B$4</x:f>
        <x:v>1000</x:v>
      </x:c>
      <x:c r="V462" s="3" t="n">
        <x:f>('SUPUESTOS PRECIOS'!$B$6-'SUPUESTOS PRECIOS'!$B$7)/'SUPUESTOS PRECIOS'!$B$4</x:f>
        <x:v>377.5</x:v>
      </x:c>
      <x:c r="W462" s="4" t="n">
        <x:f>'SUPUESTOS PRECIOS'!$B$8</x:f>
        <x:v>0.00968</x:v>
      </x:c>
      <x:c r="X462" s="4" t="n">
        <x:f>'SUPUESTOS PRECIOS'!$B$2</x:f>
        <x:v>0.4</x:v>
      </x:c>
      <x:c r="Y462" s="3" t="str">
        <x:f t="shared" si="29"/>
      </x:c>
      <x:c r="Z462" s="3" t="str">
        <x:f t="shared" si="30"/>
      </x:c>
      <x:c r="AA462" s="11" t="str">
        <x:f t="shared" si="31"/>
      </x:c>
    </x:row>
    <x:row r="463">
      <x:c r="A463" s="10" t="s">
        <x:v>1586</x:v>
      </x:c>
      <x:c r="F463" t="s">
        <x:v>1358</x:v>
      </x:c>
      <x:c r="K463">
        <x:v>1</x:v>
      </x:c>
      <x:c r="L463" t="str">
        <x:f t="shared" si="28"/>
      </x:c>
      <x:c r="O463" t="s">
        <x:v>38</x:v>
      </x:c>
      <x:c r="T463" s="2" t="n">
        <x:f>'SUPUESTOS PRECIOS'!$B$9</x:f>
        <x:v>0</x:v>
      </x:c>
      <x:c r="U463" s="3" t="n">
        <x:f>'SUPUESTOS PRECIOS'!$B$5/'SUPUESTOS PRECIOS'!$B$4</x:f>
        <x:v>1000</x:v>
      </x:c>
      <x:c r="V463" s="3" t="n">
        <x:f>('SUPUESTOS PRECIOS'!$B$6-'SUPUESTOS PRECIOS'!$B$7)/'SUPUESTOS PRECIOS'!$B$4</x:f>
        <x:v>377.5</x:v>
      </x:c>
      <x:c r="W463" s="4" t="n">
        <x:f>'SUPUESTOS PRECIOS'!$B$8</x:f>
        <x:v>0.00968</x:v>
      </x:c>
      <x:c r="X463" s="4" t="n">
        <x:f>'SUPUESTOS PRECIOS'!$B$2</x:f>
        <x:v>0.4</x:v>
      </x:c>
      <x:c r="Y463" s="3" t="str">
        <x:f t="shared" si="29"/>
      </x:c>
      <x:c r="Z463" s="3" t="str">
        <x:f t="shared" si="30"/>
      </x:c>
      <x:c r="AA463" s="11" t="str">
        <x:f t="shared" si="31"/>
      </x:c>
    </x:row>
    <x:row r="464">
      <x:c r="A464" s="10" t="s">
        <x:v>1587</x:v>
      </x:c>
      <x:c r="F464" t="s">
        <x:v>1358</x:v>
      </x:c>
      <x:c r="K464">
        <x:v>1</x:v>
      </x:c>
      <x:c r="L464" t="str">
        <x:f t="shared" si="28"/>
      </x:c>
      <x:c r="O464" t="s">
        <x:v>38</x:v>
      </x:c>
      <x:c r="T464" s="2" t="n">
        <x:f>'SUPUESTOS PRECIOS'!$B$9</x:f>
        <x:v>0</x:v>
      </x:c>
      <x:c r="U464" s="3" t="n">
        <x:f>'SUPUESTOS PRECIOS'!$B$5/'SUPUESTOS PRECIOS'!$B$4</x:f>
        <x:v>1000</x:v>
      </x:c>
      <x:c r="V464" s="3" t="n">
        <x:f>('SUPUESTOS PRECIOS'!$B$6-'SUPUESTOS PRECIOS'!$B$7)/'SUPUESTOS PRECIOS'!$B$4</x:f>
        <x:v>377.5</x:v>
      </x:c>
      <x:c r="W464" s="4" t="n">
        <x:f>'SUPUESTOS PRECIOS'!$B$8</x:f>
        <x:v>0.00968</x:v>
      </x:c>
      <x:c r="X464" s="4" t="n">
        <x:f>'SUPUESTOS PRECIOS'!$B$2</x:f>
        <x:v>0.4</x:v>
      </x:c>
      <x:c r="Y464" s="3" t="str">
        <x:f t="shared" si="29"/>
      </x:c>
      <x:c r="Z464" s="3" t="str">
        <x:f t="shared" si="30"/>
      </x:c>
      <x:c r="AA464" s="11" t="str">
        <x:f t="shared" si="31"/>
      </x:c>
    </x:row>
    <x:row r="465">
      <x:c r="A465" s="10" t="s">
        <x:v>1588</x:v>
      </x:c>
      <x:c r="F465" t="s">
        <x:v>1358</x:v>
      </x:c>
      <x:c r="K465">
        <x:v>1</x:v>
      </x:c>
      <x:c r="L465" t="str">
        <x:f t="shared" si="28"/>
      </x:c>
      <x:c r="O465" t="s">
        <x:v>38</x:v>
      </x:c>
      <x:c r="T465" s="2" t="n">
        <x:f>'SUPUESTOS PRECIOS'!$B$9</x:f>
        <x:v>0</x:v>
      </x:c>
      <x:c r="U465" s="3" t="n">
        <x:f>'SUPUESTOS PRECIOS'!$B$5/'SUPUESTOS PRECIOS'!$B$4</x:f>
        <x:v>1000</x:v>
      </x:c>
      <x:c r="V465" s="3" t="n">
        <x:f>('SUPUESTOS PRECIOS'!$B$6-'SUPUESTOS PRECIOS'!$B$7)/'SUPUESTOS PRECIOS'!$B$4</x:f>
        <x:v>377.5</x:v>
      </x:c>
      <x:c r="W465" s="4" t="n">
        <x:f>'SUPUESTOS PRECIOS'!$B$8</x:f>
        <x:v>0.00968</x:v>
      </x:c>
      <x:c r="X465" s="4" t="n">
        <x:f>'SUPUESTOS PRECIOS'!$B$2</x:f>
        <x:v>0.4</x:v>
      </x:c>
      <x:c r="Y465" s="3" t="str">
        <x:f t="shared" si="29"/>
      </x:c>
      <x:c r="Z465" s="3" t="str">
        <x:f t="shared" si="30"/>
      </x:c>
      <x:c r="AA465" s="11" t="str">
        <x:f t="shared" si="31"/>
      </x:c>
    </x:row>
    <x:row r="466">
      <x:c r="A466" s="10" t="s">
        <x:v>1589</x:v>
      </x:c>
      <x:c r="F466" t="s">
        <x:v>1358</x:v>
      </x:c>
      <x:c r="K466">
        <x:v>1</x:v>
      </x:c>
      <x:c r="L466" t="str">
        <x:f t="shared" si="28"/>
      </x:c>
      <x:c r="O466" t="s">
        <x:v>38</x:v>
      </x:c>
      <x:c r="T466" s="2" t="n">
        <x:f>'SUPUESTOS PRECIOS'!$B$9</x:f>
        <x:v>0</x:v>
      </x:c>
      <x:c r="U466" s="3" t="n">
        <x:f>'SUPUESTOS PRECIOS'!$B$5/'SUPUESTOS PRECIOS'!$B$4</x:f>
        <x:v>1000</x:v>
      </x:c>
      <x:c r="V466" s="3" t="n">
        <x:f>('SUPUESTOS PRECIOS'!$B$6-'SUPUESTOS PRECIOS'!$B$7)/'SUPUESTOS PRECIOS'!$B$4</x:f>
        <x:v>377.5</x:v>
      </x:c>
      <x:c r="W466" s="4" t="n">
        <x:f>'SUPUESTOS PRECIOS'!$B$8</x:f>
        <x:v>0.00968</x:v>
      </x:c>
      <x:c r="X466" s="4" t="n">
        <x:f>'SUPUESTOS PRECIOS'!$B$2</x:f>
        <x:v>0.4</x:v>
      </x:c>
      <x:c r="Y466" s="3" t="str">
        <x:f t="shared" si="29"/>
      </x:c>
      <x:c r="Z466" s="3" t="str">
        <x:f t="shared" si="30"/>
      </x:c>
      <x:c r="AA466" s="11" t="str">
        <x:f t="shared" si="31"/>
      </x:c>
    </x:row>
    <x:row r="467">
      <x:c r="A467" s="10" t="s">
        <x:v>1590</x:v>
      </x:c>
      <x:c r="F467" t="s">
        <x:v>1358</x:v>
      </x:c>
      <x:c r="K467">
        <x:v>1</x:v>
      </x:c>
      <x:c r="L467" t="str">
        <x:f t="shared" si="28"/>
      </x:c>
      <x:c r="O467" t="s">
        <x:v>38</x:v>
      </x:c>
      <x:c r="T467" s="2" t="n">
        <x:f>'SUPUESTOS PRECIOS'!$B$9</x:f>
        <x:v>0</x:v>
      </x:c>
      <x:c r="U467" s="3" t="n">
        <x:f>'SUPUESTOS PRECIOS'!$B$5/'SUPUESTOS PRECIOS'!$B$4</x:f>
        <x:v>1000</x:v>
      </x:c>
      <x:c r="V467" s="3" t="n">
        <x:f>('SUPUESTOS PRECIOS'!$B$6-'SUPUESTOS PRECIOS'!$B$7)/'SUPUESTOS PRECIOS'!$B$4</x:f>
        <x:v>377.5</x:v>
      </x:c>
      <x:c r="W467" s="4" t="n">
        <x:f>'SUPUESTOS PRECIOS'!$B$8</x:f>
        <x:v>0.00968</x:v>
      </x:c>
      <x:c r="X467" s="4" t="n">
        <x:f>'SUPUESTOS PRECIOS'!$B$2</x:f>
        <x:v>0.4</x:v>
      </x:c>
      <x:c r="Y467" s="3" t="str">
        <x:f t="shared" si="29"/>
      </x:c>
      <x:c r="Z467" s="3" t="str">
        <x:f t="shared" si="30"/>
      </x:c>
      <x:c r="AA467" s="11" t="str">
        <x:f t="shared" si="31"/>
      </x:c>
    </x:row>
    <x:row r="468">
      <x:c r="A468" s="10" t="s">
        <x:v>1591</x:v>
      </x:c>
      <x:c r="F468" t="s">
        <x:v>1358</x:v>
      </x:c>
      <x:c r="K468">
        <x:v>1</x:v>
      </x:c>
      <x:c r="L468" t="str">
        <x:f t="shared" si="28"/>
      </x:c>
      <x:c r="O468" t="s">
        <x:v>38</x:v>
      </x:c>
      <x:c r="T468" s="2" t="n">
        <x:f>'SUPUESTOS PRECIOS'!$B$9</x:f>
        <x:v>0</x:v>
      </x:c>
      <x:c r="U468" s="3" t="n">
        <x:f>'SUPUESTOS PRECIOS'!$B$5/'SUPUESTOS PRECIOS'!$B$4</x:f>
        <x:v>1000</x:v>
      </x:c>
      <x:c r="V468" s="3" t="n">
        <x:f>('SUPUESTOS PRECIOS'!$B$6-'SUPUESTOS PRECIOS'!$B$7)/'SUPUESTOS PRECIOS'!$B$4</x:f>
        <x:v>377.5</x:v>
      </x:c>
      <x:c r="W468" s="4" t="n">
        <x:f>'SUPUESTOS PRECIOS'!$B$8</x:f>
        <x:v>0.00968</x:v>
      </x:c>
      <x:c r="X468" s="4" t="n">
        <x:f>'SUPUESTOS PRECIOS'!$B$2</x:f>
        <x:v>0.4</x:v>
      </x:c>
      <x:c r="Y468" s="3" t="str">
        <x:f t="shared" si="29"/>
      </x:c>
      <x:c r="Z468" s="3" t="str">
        <x:f t="shared" si="30"/>
      </x:c>
      <x:c r="AA468" s="11" t="str">
        <x:f t="shared" si="31"/>
      </x:c>
    </x:row>
    <x:row r="469">
      <x:c r="A469" s="10" t="s">
        <x:v>1592</x:v>
      </x:c>
      <x:c r="F469" t="s">
        <x:v>1358</x:v>
      </x:c>
      <x:c r="K469">
        <x:v>1</x:v>
      </x:c>
      <x:c r="L469" t="str">
        <x:f t="shared" si="28"/>
      </x:c>
      <x:c r="O469" t="s">
        <x:v>38</x:v>
      </x:c>
      <x:c r="T469" s="2" t="n">
        <x:f>'SUPUESTOS PRECIOS'!$B$9</x:f>
        <x:v>0</x:v>
      </x:c>
      <x:c r="U469" s="3" t="n">
        <x:f>'SUPUESTOS PRECIOS'!$B$5/'SUPUESTOS PRECIOS'!$B$4</x:f>
        <x:v>1000</x:v>
      </x:c>
      <x:c r="V469" s="3" t="n">
        <x:f>('SUPUESTOS PRECIOS'!$B$6-'SUPUESTOS PRECIOS'!$B$7)/'SUPUESTOS PRECIOS'!$B$4</x:f>
        <x:v>377.5</x:v>
      </x:c>
      <x:c r="W469" s="4" t="n">
        <x:f>'SUPUESTOS PRECIOS'!$B$8</x:f>
        <x:v>0.00968</x:v>
      </x:c>
      <x:c r="X469" s="4" t="n">
        <x:f>'SUPUESTOS PRECIOS'!$B$2</x:f>
        <x:v>0.4</x:v>
      </x:c>
      <x:c r="Y469" s="3" t="str">
        <x:f t="shared" si="29"/>
      </x:c>
      <x:c r="Z469" s="3" t="str">
        <x:f t="shared" si="30"/>
      </x:c>
      <x:c r="AA469" s="11" t="str">
        <x:f t="shared" si="31"/>
      </x:c>
    </x:row>
    <x:row r="470">
      <x:c r="A470" s="10" t="s">
        <x:v>1593</x:v>
      </x:c>
      <x:c r="F470" t="s">
        <x:v>1358</x:v>
      </x:c>
      <x:c r="K470">
        <x:v>1</x:v>
      </x:c>
      <x:c r="L470" t="str">
        <x:f t="shared" si="28"/>
      </x:c>
      <x:c r="O470" t="s">
        <x:v>38</x:v>
      </x:c>
      <x:c r="T470" s="2" t="n">
        <x:f>'SUPUESTOS PRECIOS'!$B$9</x:f>
        <x:v>0</x:v>
      </x:c>
      <x:c r="U470" s="3" t="n">
        <x:f>'SUPUESTOS PRECIOS'!$B$5/'SUPUESTOS PRECIOS'!$B$4</x:f>
        <x:v>1000</x:v>
      </x:c>
      <x:c r="V470" s="3" t="n">
        <x:f>('SUPUESTOS PRECIOS'!$B$6-'SUPUESTOS PRECIOS'!$B$7)/'SUPUESTOS PRECIOS'!$B$4</x:f>
        <x:v>377.5</x:v>
      </x:c>
      <x:c r="W470" s="4" t="n">
        <x:f>'SUPUESTOS PRECIOS'!$B$8</x:f>
        <x:v>0.00968</x:v>
      </x:c>
      <x:c r="X470" s="4" t="n">
        <x:f>'SUPUESTOS PRECIOS'!$B$2</x:f>
        <x:v>0.4</x:v>
      </x:c>
      <x:c r="Y470" s="3" t="str">
        <x:f t="shared" si="29"/>
      </x:c>
      <x:c r="Z470" s="3" t="str">
        <x:f t="shared" si="30"/>
      </x:c>
      <x:c r="AA470" s="11" t="str">
        <x:f t="shared" si="31"/>
      </x:c>
    </x:row>
    <x:row r="471">
      <x:c r="A471" s="10" t="s">
        <x:v>1594</x:v>
      </x:c>
      <x:c r="F471" t="s">
        <x:v>1358</x:v>
      </x:c>
      <x:c r="K471">
        <x:v>1</x:v>
      </x:c>
      <x:c r="L471" t="str">
        <x:f t="shared" si="28"/>
      </x:c>
      <x:c r="O471" t="s">
        <x:v>38</x:v>
      </x:c>
      <x:c r="T471" s="2" t="n">
        <x:f>'SUPUESTOS PRECIOS'!$B$9</x:f>
        <x:v>0</x:v>
      </x:c>
      <x:c r="U471" s="3" t="n">
        <x:f>'SUPUESTOS PRECIOS'!$B$5/'SUPUESTOS PRECIOS'!$B$4</x:f>
        <x:v>1000</x:v>
      </x:c>
      <x:c r="V471" s="3" t="n">
        <x:f>('SUPUESTOS PRECIOS'!$B$6-'SUPUESTOS PRECIOS'!$B$7)/'SUPUESTOS PRECIOS'!$B$4</x:f>
        <x:v>377.5</x:v>
      </x:c>
      <x:c r="W471" s="4" t="n">
        <x:f>'SUPUESTOS PRECIOS'!$B$8</x:f>
        <x:v>0.00968</x:v>
      </x:c>
      <x:c r="X471" s="4" t="n">
        <x:f>'SUPUESTOS PRECIOS'!$B$2</x:f>
        <x:v>0.4</x:v>
      </x:c>
      <x:c r="Y471" s="3" t="str">
        <x:f t="shared" si="29"/>
      </x:c>
      <x:c r="Z471" s="3" t="str">
        <x:f t="shared" si="30"/>
      </x:c>
      <x:c r="AA471" s="11" t="str">
        <x:f t="shared" si="31"/>
      </x:c>
    </x:row>
    <x:row r="472">
      <x:c r="A472" s="10" t="s">
        <x:v>1595</x:v>
      </x:c>
      <x:c r="F472" t="s">
        <x:v>1358</x:v>
      </x:c>
      <x:c r="K472">
        <x:v>1</x:v>
      </x:c>
      <x:c r="L472" t="str">
        <x:f t="shared" si="28"/>
      </x:c>
      <x:c r="O472" t="s">
        <x:v>38</x:v>
      </x:c>
      <x:c r="T472" s="2" t="n">
        <x:f>'SUPUESTOS PRECIOS'!$B$9</x:f>
        <x:v>0</x:v>
      </x:c>
      <x:c r="U472" s="3" t="n">
        <x:f>'SUPUESTOS PRECIOS'!$B$5/'SUPUESTOS PRECIOS'!$B$4</x:f>
        <x:v>1000</x:v>
      </x:c>
      <x:c r="V472" s="3" t="n">
        <x:f>('SUPUESTOS PRECIOS'!$B$6-'SUPUESTOS PRECIOS'!$B$7)/'SUPUESTOS PRECIOS'!$B$4</x:f>
        <x:v>377.5</x:v>
      </x:c>
      <x:c r="W472" s="4" t="n">
        <x:f>'SUPUESTOS PRECIOS'!$B$8</x:f>
        <x:v>0.00968</x:v>
      </x:c>
      <x:c r="X472" s="4" t="n">
        <x:f>'SUPUESTOS PRECIOS'!$B$2</x:f>
        <x:v>0.4</x:v>
      </x:c>
      <x:c r="Y472" s="3" t="str">
        <x:f t="shared" si="29"/>
      </x:c>
      <x:c r="Z472" s="3" t="str">
        <x:f t="shared" si="30"/>
      </x:c>
      <x:c r="AA472" s="11" t="str">
        <x:f t="shared" si="31"/>
      </x:c>
    </x:row>
    <x:row r="473">
      <x:c r="A473" s="10" t="s">
        <x:v>1596</x:v>
      </x:c>
      <x:c r="F473" t="s">
        <x:v>1358</x:v>
      </x:c>
      <x:c r="K473">
        <x:v>1</x:v>
      </x:c>
      <x:c r="L473" t="str">
        <x:f t="shared" si="28"/>
      </x:c>
      <x:c r="O473" t="s">
        <x:v>38</x:v>
      </x:c>
      <x:c r="T473" s="2" t="n">
        <x:f>'SUPUESTOS PRECIOS'!$B$9</x:f>
        <x:v>0</x:v>
      </x:c>
      <x:c r="U473" s="3" t="n">
        <x:f>'SUPUESTOS PRECIOS'!$B$5/'SUPUESTOS PRECIOS'!$B$4</x:f>
        <x:v>1000</x:v>
      </x:c>
      <x:c r="V473" s="3" t="n">
        <x:f>('SUPUESTOS PRECIOS'!$B$6-'SUPUESTOS PRECIOS'!$B$7)/'SUPUESTOS PRECIOS'!$B$4</x:f>
        <x:v>377.5</x:v>
      </x:c>
      <x:c r="W473" s="4" t="n">
        <x:f>'SUPUESTOS PRECIOS'!$B$8</x:f>
        <x:v>0.00968</x:v>
      </x:c>
      <x:c r="X473" s="4" t="n">
        <x:f>'SUPUESTOS PRECIOS'!$B$2</x:f>
        <x:v>0.4</x:v>
      </x:c>
      <x:c r="Y473" s="3" t="str">
        <x:f t="shared" si="29"/>
      </x:c>
      <x:c r="Z473" s="3" t="str">
        <x:f t="shared" si="30"/>
      </x:c>
      <x:c r="AA473" s="11" t="str">
        <x:f t="shared" si="31"/>
      </x:c>
    </x:row>
    <x:row r="474">
      <x:c r="A474" s="10" t="s">
        <x:v>1597</x:v>
      </x:c>
      <x:c r="F474" t="s">
        <x:v>1358</x:v>
      </x:c>
      <x:c r="K474">
        <x:v>1</x:v>
      </x:c>
      <x:c r="L474" t="str">
        <x:f t="shared" si="28"/>
      </x:c>
      <x:c r="O474" t="s">
        <x:v>38</x:v>
      </x:c>
      <x:c r="T474" s="2" t="n">
        <x:f>'SUPUESTOS PRECIOS'!$B$9</x:f>
        <x:v>0</x:v>
      </x:c>
      <x:c r="U474" s="3" t="n">
        <x:f>'SUPUESTOS PRECIOS'!$B$5/'SUPUESTOS PRECIOS'!$B$4</x:f>
        <x:v>1000</x:v>
      </x:c>
      <x:c r="V474" s="3" t="n">
        <x:f>('SUPUESTOS PRECIOS'!$B$6-'SUPUESTOS PRECIOS'!$B$7)/'SUPUESTOS PRECIOS'!$B$4</x:f>
        <x:v>377.5</x:v>
      </x:c>
      <x:c r="W474" s="4" t="n">
        <x:f>'SUPUESTOS PRECIOS'!$B$8</x:f>
        <x:v>0.00968</x:v>
      </x:c>
      <x:c r="X474" s="4" t="n">
        <x:f>'SUPUESTOS PRECIOS'!$B$2</x:f>
        <x:v>0.4</x:v>
      </x:c>
      <x:c r="Y474" s="3" t="str">
        <x:f t="shared" si="29"/>
      </x:c>
      <x:c r="Z474" s="3" t="str">
        <x:f t="shared" si="30"/>
      </x:c>
      <x:c r="AA474" s="11" t="str">
        <x:f t="shared" si="31"/>
      </x:c>
    </x:row>
    <x:row r="475">
      <x:c r="A475" s="10" t="s">
        <x:v>1598</x:v>
      </x:c>
      <x:c r="F475" t="s">
        <x:v>1358</x:v>
      </x:c>
      <x:c r="K475">
        <x:v>1</x:v>
      </x:c>
      <x:c r="L475" t="str">
        <x:f t="shared" si="28"/>
      </x:c>
      <x:c r="O475" t="s">
        <x:v>38</x:v>
      </x:c>
      <x:c r="T475" s="2" t="n">
        <x:f>'SUPUESTOS PRECIOS'!$B$9</x:f>
        <x:v>0</x:v>
      </x:c>
      <x:c r="U475" s="3" t="n">
        <x:f>'SUPUESTOS PRECIOS'!$B$5/'SUPUESTOS PRECIOS'!$B$4</x:f>
        <x:v>1000</x:v>
      </x:c>
      <x:c r="V475" s="3" t="n">
        <x:f>('SUPUESTOS PRECIOS'!$B$6-'SUPUESTOS PRECIOS'!$B$7)/'SUPUESTOS PRECIOS'!$B$4</x:f>
        <x:v>377.5</x:v>
      </x:c>
      <x:c r="W475" s="4" t="n">
        <x:f>'SUPUESTOS PRECIOS'!$B$8</x:f>
        <x:v>0.00968</x:v>
      </x:c>
      <x:c r="X475" s="4" t="n">
        <x:f>'SUPUESTOS PRECIOS'!$B$2</x:f>
        <x:v>0.4</x:v>
      </x:c>
      <x:c r="Y475" s="3" t="str">
        <x:f t="shared" si="29"/>
      </x:c>
      <x:c r="Z475" s="3" t="str">
        <x:f t="shared" si="30"/>
      </x:c>
      <x:c r="AA475" s="11" t="str">
        <x:f t="shared" si="31"/>
      </x:c>
    </x:row>
    <x:row r="476">
      <x:c r="A476" s="10" t="s">
        <x:v>1599</x:v>
      </x:c>
      <x:c r="F476" t="s">
        <x:v>1358</x:v>
      </x:c>
      <x:c r="K476">
        <x:v>1</x:v>
      </x:c>
      <x:c r="L476" t="str">
        <x:f t="shared" si="28"/>
      </x:c>
      <x:c r="O476" t="s">
        <x:v>38</x:v>
      </x:c>
      <x:c r="T476" s="2" t="n">
        <x:f>'SUPUESTOS PRECIOS'!$B$9</x:f>
        <x:v>0</x:v>
      </x:c>
      <x:c r="U476" s="3" t="n">
        <x:f>'SUPUESTOS PRECIOS'!$B$5/'SUPUESTOS PRECIOS'!$B$4</x:f>
        <x:v>1000</x:v>
      </x:c>
      <x:c r="V476" s="3" t="n">
        <x:f>('SUPUESTOS PRECIOS'!$B$6-'SUPUESTOS PRECIOS'!$B$7)/'SUPUESTOS PRECIOS'!$B$4</x:f>
        <x:v>377.5</x:v>
      </x:c>
      <x:c r="W476" s="4" t="n">
        <x:f>'SUPUESTOS PRECIOS'!$B$8</x:f>
        <x:v>0.00968</x:v>
      </x:c>
      <x:c r="X476" s="4" t="n">
        <x:f>'SUPUESTOS PRECIOS'!$B$2</x:f>
        <x:v>0.4</x:v>
      </x:c>
      <x:c r="Y476" s="3" t="str">
        <x:f t="shared" si="29"/>
      </x:c>
      <x:c r="Z476" s="3" t="str">
        <x:f t="shared" si="30"/>
      </x:c>
      <x:c r="AA476" s="11" t="str">
        <x:f t="shared" si="31"/>
      </x:c>
    </x:row>
    <x:row r="477">
      <x:c r="A477" s="10" t="s">
        <x:v>1600</x:v>
      </x:c>
      <x:c r="F477" t="s">
        <x:v>1358</x:v>
      </x:c>
      <x:c r="K477">
        <x:v>1</x:v>
      </x:c>
      <x:c r="L477" t="str">
        <x:f t="shared" si="28"/>
      </x:c>
      <x:c r="O477" t="s">
        <x:v>38</x:v>
      </x:c>
      <x:c r="T477" s="2" t="n">
        <x:f>'SUPUESTOS PRECIOS'!$B$9</x:f>
        <x:v>0</x:v>
      </x:c>
      <x:c r="U477" s="3" t="n">
        <x:f>'SUPUESTOS PRECIOS'!$B$5/'SUPUESTOS PRECIOS'!$B$4</x:f>
        <x:v>1000</x:v>
      </x:c>
      <x:c r="V477" s="3" t="n">
        <x:f>('SUPUESTOS PRECIOS'!$B$6-'SUPUESTOS PRECIOS'!$B$7)/'SUPUESTOS PRECIOS'!$B$4</x:f>
        <x:v>377.5</x:v>
      </x:c>
      <x:c r="W477" s="4" t="n">
        <x:f>'SUPUESTOS PRECIOS'!$B$8</x:f>
        <x:v>0.00968</x:v>
      </x:c>
      <x:c r="X477" s="4" t="n">
        <x:f>'SUPUESTOS PRECIOS'!$B$2</x:f>
        <x:v>0.4</x:v>
      </x:c>
      <x:c r="Y477" s="3" t="str">
        <x:f t="shared" si="29"/>
      </x:c>
      <x:c r="Z477" s="3" t="str">
        <x:f t="shared" si="30"/>
      </x:c>
      <x:c r="AA477" s="11" t="str">
        <x:f t="shared" si="31"/>
      </x:c>
    </x:row>
    <x:row r="478">
      <x:c r="A478" s="10" t="s">
        <x:v>1601</x:v>
      </x:c>
      <x:c r="F478" t="s">
        <x:v>1358</x:v>
      </x:c>
      <x:c r="K478">
        <x:v>1</x:v>
      </x:c>
      <x:c r="L478" t="str">
        <x:f t="shared" si="28"/>
      </x:c>
      <x:c r="O478" t="s">
        <x:v>38</x:v>
      </x:c>
      <x:c r="T478" s="2" t="n">
        <x:f>'SUPUESTOS PRECIOS'!$B$9</x:f>
        <x:v>0</x:v>
      </x:c>
      <x:c r="U478" s="3" t="n">
        <x:f>'SUPUESTOS PRECIOS'!$B$5/'SUPUESTOS PRECIOS'!$B$4</x:f>
        <x:v>1000</x:v>
      </x:c>
      <x:c r="V478" s="3" t="n">
        <x:f>('SUPUESTOS PRECIOS'!$B$6-'SUPUESTOS PRECIOS'!$B$7)/'SUPUESTOS PRECIOS'!$B$4</x:f>
        <x:v>377.5</x:v>
      </x:c>
      <x:c r="W478" s="4" t="n">
        <x:f>'SUPUESTOS PRECIOS'!$B$8</x:f>
        <x:v>0.00968</x:v>
      </x:c>
      <x:c r="X478" s="4" t="n">
        <x:f>'SUPUESTOS PRECIOS'!$B$2</x:f>
        <x:v>0.4</x:v>
      </x:c>
      <x:c r="Y478" s="3" t="str">
        <x:f t="shared" si="29"/>
      </x:c>
      <x:c r="Z478" s="3" t="str">
        <x:f t="shared" si="30"/>
      </x:c>
      <x:c r="AA478" s="11" t="str">
        <x:f t="shared" si="31"/>
      </x:c>
    </x:row>
    <x:row r="479">
      <x:c r="A479" s="10" t="s">
        <x:v>1602</x:v>
      </x:c>
      <x:c r="F479" t="s">
        <x:v>1358</x:v>
      </x:c>
      <x:c r="K479">
        <x:v>1</x:v>
      </x:c>
      <x:c r="L479" t="str">
        <x:f t="shared" si="28"/>
      </x:c>
      <x:c r="O479" t="s">
        <x:v>38</x:v>
      </x:c>
      <x:c r="T479" s="2" t="n">
        <x:f>'SUPUESTOS PRECIOS'!$B$9</x:f>
        <x:v>0</x:v>
      </x:c>
      <x:c r="U479" s="3" t="n">
        <x:f>'SUPUESTOS PRECIOS'!$B$5/'SUPUESTOS PRECIOS'!$B$4</x:f>
        <x:v>1000</x:v>
      </x:c>
      <x:c r="V479" s="3" t="n">
        <x:f>('SUPUESTOS PRECIOS'!$B$6-'SUPUESTOS PRECIOS'!$B$7)/'SUPUESTOS PRECIOS'!$B$4</x:f>
        <x:v>377.5</x:v>
      </x:c>
      <x:c r="W479" s="4" t="n">
        <x:f>'SUPUESTOS PRECIOS'!$B$8</x:f>
        <x:v>0.00968</x:v>
      </x:c>
      <x:c r="X479" s="4" t="n">
        <x:f>'SUPUESTOS PRECIOS'!$B$2</x:f>
        <x:v>0.4</x:v>
      </x:c>
      <x:c r="Y479" s="3" t="str">
        <x:f t="shared" si="29"/>
      </x:c>
      <x:c r="Z479" s="3" t="str">
        <x:f t="shared" si="30"/>
      </x:c>
      <x:c r="AA479" s="11" t="str">
        <x:f t="shared" si="31"/>
      </x:c>
    </x:row>
    <x:row r="480">
      <x:c r="A480" s="10" t="s">
        <x:v>1603</x:v>
      </x:c>
      <x:c r="F480" t="s">
        <x:v>1358</x:v>
      </x:c>
      <x:c r="K480">
        <x:v>1</x:v>
      </x:c>
      <x:c r="L480" t="str">
        <x:f t="shared" si="28"/>
      </x:c>
      <x:c r="O480" t="s">
        <x:v>38</x:v>
      </x:c>
      <x:c r="T480" s="2" t="n">
        <x:f>'SUPUESTOS PRECIOS'!$B$9</x:f>
        <x:v>0</x:v>
      </x:c>
      <x:c r="U480" s="3" t="n">
        <x:f>'SUPUESTOS PRECIOS'!$B$5/'SUPUESTOS PRECIOS'!$B$4</x:f>
        <x:v>1000</x:v>
      </x:c>
      <x:c r="V480" s="3" t="n">
        <x:f>('SUPUESTOS PRECIOS'!$B$6-'SUPUESTOS PRECIOS'!$B$7)/'SUPUESTOS PRECIOS'!$B$4</x:f>
        <x:v>377.5</x:v>
      </x:c>
      <x:c r="W480" s="4" t="n">
        <x:f>'SUPUESTOS PRECIOS'!$B$8</x:f>
        <x:v>0.00968</x:v>
      </x:c>
      <x:c r="X480" s="4" t="n">
        <x:f>'SUPUESTOS PRECIOS'!$B$2</x:f>
        <x:v>0.4</x:v>
      </x:c>
      <x:c r="Y480" s="3" t="str">
        <x:f t="shared" si="29"/>
      </x:c>
      <x:c r="Z480" s="3" t="str">
        <x:f t="shared" si="30"/>
      </x:c>
      <x:c r="AA480" s="11" t="str">
        <x:f t="shared" si="31"/>
      </x:c>
    </x:row>
    <x:row r="481">
      <x:c r="A481" s="10" t="s">
        <x:v>1604</x:v>
      </x:c>
      <x:c r="F481" t="s">
        <x:v>1358</x:v>
      </x:c>
      <x:c r="K481">
        <x:v>1</x:v>
      </x:c>
      <x:c r="L481" t="str">
        <x:f t="shared" si="28"/>
      </x:c>
      <x:c r="O481" t="s">
        <x:v>38</x:v>
      </x:c>
      <x:c r="T481" s="2" t="n">
        <x:f>'SUPUESTOS PRECIOS'!$B$9</x:f>
        <x:v>0</x:v>
      </x:c>
      <x:c r="U481" s="3" t="n">
        <x:f>'SUPUESTOS PRECIOS'!$B$5/'SUPUESTOS PRECIOS'!$B$4</x:f>
        <x:v>1000</x:v>
      </x:c>
      <x:c r="V481" s="3" t="n">
        <x:f>('SUPUESTOS PRECIOS'!$B$6-'SUPUESTOS PRECIOS'!$B$7)/'SUPUESTOS PRECIOS'!$B$4</x:f>
        <x:v>377.5</x:v>
      </x:c>
      <x:c r="W481" s="4" t="n">
        <x:f>'SUPUESTOS PRECIOS'!$B$8</x:f>
        <x:v>0.00968</x:v>
      </x:c>
      <x:c r="X481" s="4" t="n">
        <x:f>'SUPUESTOS PRECIOS'!$B$2</x:f>
        <x:v>0.4</x:v>
      </x:c>
      <x:c r="Y481" s="3" t="str">
        <x:f t="shared" si="29"/>
      </x:c>
      <x:c r="Z481" s="3" t="str">
        <x:f t="shared" si="30"/>
      </x:c>
      <x:c r="AA481" s="11" t="str">
        <x:f t="shared" si="31"/>
      </x:c>
    </x:row>
    <x:row r="482">
      <x:c r="A482" s="10" t="s">
        <x:v>1605</x:v>
      </x:c>
      <x:c r="F482" t="s">
        <x:v>1358</x:v>
      </x:c>
      <x:c r="K482">
        <x:v>1</x:v>
      </x:c>
      <x:c r="L482" t="str">
        <x:f t="shared" si="28"/>
      </x:c>
      <x:c r="O482" t="s">
        <x:v>38</x:v>
      </x:c>
      <x:c r="T482" s="2" t="n">
        <x:f>'SUPUESTOS PRECIOS'!$B$9</x:f>
        <x:v>0</x:v>
      </x:c>
      <x:c r="U482" s="3" t="n">
        <x:f>'SUPUESTOS PRECIOS'!$B$5/'SUPUESTOS PRECIOS'!$B$4</x:f>
        <x:v>1000</x:v>
      </x:c>
      <x:c r="V482" s="3" t="n">
        <x:f>('SUPUESTOS PRECIOS'!$B$6-'SUPUESTOS PRECIOS'!$B$7)/'SUPUESTOS PRECIOS'!$B$4</x:f>
        <x:v>377.5</x:v>
      </x:c>
      <x:c r="W482" s="4" t="n">
        <x:f>'SUPUESTOS PRECIOS'!$B$8</x:f>
        <x:v>0.00968</x:v>
      </x:c>
      <x:c r="X482" s="4" t="n">
        <x:f>'SUPUESTOS PRECIOS'!$B$2</x:f>
        <x:v>0.4</x:v>
      </x:c>
      <x:c r="Y482" s="3" t="str">
        <x:f t="shared" si="29"/>
      </x:c>
      <x:c r="Z482" s="3" t="str">
        <x:f t="shared" si="30"/>
      </x:c>
      <x:c r="AA482" s="11" t="str">
        <x:f t="shared" si="31"/>
      </x:c>
    </x:row>
    <x:row r="483">
      <x:c r="A483" s="10" t="s">
        <x:v>1606</x:v>
      </x:c>
      <x:c r="F483" t="s">
        <x:v>1358</x:v>
      </x:c>
      <x:c r="K483">
        <x:v>1</x:v>
      </x:c>
      <x:c r="L483" t="str">
        <x:f t="shared" si="28"/>
      </x:c>
      <x:c r="O483" t="s">
        <x:v>38</x:v>
      </x:c>
      <x:c r="T483" s="2" t="n">
        <x:f>'SUPUESTOS PRECIOS'!$B$9</x:f>
        <x:v>0</x:v>
      </x:c>
      <x:c r="U483" s="3" t="n">
        <x:f>'SUPUESTOS PRECIOS'!$B$5/'SUPUESTOS PRECIOS'!$B$4</x:f>
        <x:v>1000</x:v>
      </x:c>
      <x:c r="V483" s="3" t="n">
        <x:f>('SUPUESTOS PRECIOS'!$B$6-'SUPUESTOS PRECIOS'!$B$7)/'SUPUESTOS PRECIOS'!$B$4</x:f>
        <x:v>377.5</x:v>
      </x:c>
      <x:c r="W483" s="4" t="n">
        <x:f>'SUPUESTOS PRECIOS'!$B$8</x:f>
        <x:v>0.00968</x:v>
      </x:c>
      <x:c r="X483" s="4" t="n">
        <x:f>'SUPUESTOS PRECIOS'!$B$2</x:f>
        <x:v>0.4</x:v>
      </x:c>
      <x:c r="Y483" s="3" t="str">
        <x:f t="shared" si="29"/>
      </x:c>
      <x:c r="Z483" s="3" t="str">
        <x:f t="shared" si="30"/>
      </x:c>
      <x:c r="AA483" s="11" t="str">
        <x:f t="shared" si="31"/>
      </x:c>
    </x:row>
    <x:row r="484">
      <x:c r="A484" s="10" t="s">
        <x:v>1607</x:v>
      </x:c>
      <x:c r="F484" t="s">
        <x:v>1358</x:v>
      </x:c>
      <x:c r="K484">
        <x:v>1</x:v>
      </x:c>
      <x:c r="L484" t="str">
        <x:f t="shared" si="28"/>
      </x:c>
      <x:c r="O484" t="s">
        <x:v>38</x:v>
      </x:c>
      <x:c r="T484" s="2" t="n">
        <x:f>'SUPUESTOS PRECIOS'!$B$9</x:f>
        <x:v>0</x:v>
      </x:c>
      <x:c r="U484" s="3" t="n">
        <x:f>'SUPUESTOS PRECIOS'!$B$5/'SUPUESTOS PRECIOS'!$B$4</x:f>
        <x:v>1000</x:v>
      </x:c>
      <x:c r="V484" s="3" t="n">
        <x:f>('SUPUESTOS PRECIOS'!$B$6-'SUPUESTOS PRECIOS'!$B$7)/'SUPUESTOS PRECIOS'!$B$4</x:f>
        <x:v>377.5</x:v>
      </x:c>
      <x:c r="W484" s="4" t="n">
        <x:f>'SUPUESTOS PRECIOS'!$B$8</x:f>
        <x:v>0.00968</x:v>
      </x:c>
      <x:c r="X484" s="4" t="n">
        <x:f>'SUPUESTOS PRECIOS'!$B$2</x:f>
        <x:v>0.4</x:v>
      </x:c>
      <x:c r="Y484" s="3" t="str">
        <x:f t="shared" si="29"/>
      </x:c>
      <x:c r="Z484" s="3" t="str">
        <x:f t="shared" si="30"/>
      </x:c>
      <x:c r="AA484" s="11" t="str">
        <x:f t="shared" si="31"/>
      </x:c>
    </x:row>
    <x:row r="485">
      <x:c r="A485" s="10" t="s">
        <x:v>1608</x:v>
      </x:c>
      <x:c r="F485" t="s">
        <x:v>1358</x:v>
      </x:c>
      <x:c r="K485">
        <x:v>1</x:v>
      </x:c>
      <x:c r="L485" t="str">
        <x:f t="shared" si="28"/>
      </x:c>
      <x:c r="O485" t="s">
        <x:v>38</x:v>
      </x:c>
      <x:c r="T485" s="2" t="n">
        <x:f>'SUPUESTOS PRECIOS'!$B$9</x:f>
        <x:v>0</x:v>
      </x:c>
      <x:c r="U485" s="3" t="n">
        <x:f>'SUPUESTOS PRECIOS'!$B$5/'SUPUESTOS PRECIOS'!$B$4</x:f>
        <x:v>1000</x:v>
      </x:c>
      <x:c r="V485" s="3" t="n">
        <x:f>('SUPUESTOS PRECIOS'!$B$6-'SUPUESTOS PRECIOS'!$B$7)/'SUPUESTOS PRECIOS'!$B$4</x:f>
        <x:v>377.5</x:v>
      </x:c>
      <x:c r="W485" s="4" t="n">
        <x:f>'SUPUESTOS PRECIOS'!$B$8</x:f>
        <x:v>0.00968</x:v>
      </x:c>
      <x:c r="X485" s="4" t="n">
        <x:f>'SUPUESTOS PRECIOS'!$B$2</x:f>
        <x:v>0.4</x:v>
      </x:c>
      <x:c r="Y485" s="3" t="str">
        <x:f t="shared" si="29"/>
      </x:c>
      <x:c r="Z485" s="3" t="str">
        <x:f t="shared" si="30"/>
      </x:c>
      <x:c r="AA485" s="11" t="str">
        <x:f t="shared" si="31"/>
      </x:c>
    </x:row>
    <x:row r="486">
      <x:c r="A486" s="10" t="s">
        <x:v>1609</x:v>
      </x:c>
      <x:c r="F486" t="s">
        <x:v>1358</x:v>
      </x:c>
      <x:c r="K486">
        <x:v>1</x:v>
      </x:c>
      <x:c r="L486" t="str">
        <x:f t="shared" si="28"/>
      </x:c>
      <x:c r="O486" t="s">
        <x:v>38</x:v>
      </x:c>
      <x:c r="T486" s="2" t="n">
        <x:f>'SUPUESTOS PRECIOS'!$B$9</x:f>
        <x:v>0</x:v>
      </x:c>
      <x:c r="U486" s="3" t="n">
        <x:f>'SUPUESTOS PRECIOS'!$B$5/'SUPUESTOS PRECIOS'!$B$4</x:f>
        <x:v>1000</x:v>
      </x:c>
      <x:c r="V486" s="3" t="n">
        <x:f>('SUPUESTOS PRECIOS'!$B$6-'SUPUESTOS PRECIOS'!$B$7)/'SUPUESTOS PRECIOS'!$B$4</x:f>
        <x:v>377.5</x:v>
      </x:c>
      <x:c r="W486" s="4" t="n">
        <x:f>'SUPUESTOS PRECIOS'!$B$8</x:f>
        <x:v>0.00968</x:v>
      </x:c>
      <x:c r="X486" s="4" t="n">
        <x:f>'SUPUESTOS PRECIOS'!$B$2</x:f>
        <x:v>0.4</x:v>
      </x:c>
      <x:c r="Y486" s="3" t="str">
        <x:f t="shared" si="29"/>
      </x:c>
      <x:c r="Z486" s="3" t="str">
        <x:f t="shared" si="30"/>
      </x:c>
      <x:c r="AA486" s="11" t="str">
        <x:f t="shared" si="31"/>
      </x:c>
    </x:row>
    <x:row r="487">
      <x:c r="A487" s="10" t="s">
        <x:v>1610</x:v>
      </x:c>
      <x:c r="F487" t="s">
        <x:v>1358</x:v>
      </x:c>
      <x:c r="K487">
        <x:v>1</x:v>
      </x:c>
      <x:c r="L487" t="str">
        <x:f t="shared" si="28"/>
      </x:c>
      <x:c r="O487" t="s">
        <x:v>38</x:v>
      </x:c>
      <x:c r="T487" s="2" t="n">
        <x:f>'SUPUESTOS PRECIOS'!$B$9</x:f>
        <x:v>0</x:v>
      </x:c>
      <x:c r="U487" s="3" t="n">
        <x:f>'SUPUESTOS PRECIOS'!$B$5/'SUPUESTOS PRECIOS'!$B$4</x:f>
        <x:v>1000</x:v>
      </x:c>
      <x:c r="V487" s="3" t="n">
        <x:f>('SUPUESTOS PRECIOS'!$B$6-'SUPUESTOS PRECIOS'!$B$7)/'SUPUESTOS PRECIOS'!$B$4</x:f>
        <x:v>377.5</x:v>
      </x:c>
      <x:c r="W487" s="4" t="n">
        <x:f>'SUPUESTOS PRECIOS'!$B$8</x:f>
        <x:v>0.00968</x:v>
      </x:c>
      <x:c r="X487" s="4" t="n">
        <x:f>'SUPUESTOS PRECIOS'!$B$2</x:f>
        <x:v>0.4</x:v>
      </x:c>
      <x:c r="Y487" s="3" t="str">
        <x:f t="shared" si="29"/>
      </x:c>
      <x:c r="Z487" s="3" t="str">
        <x:f t="shared" si="30"/>
      </x:c>
      <x:c r="AA487" s="11" t="str">
        <x:f t="shared" si="31"/>
      </x:c>
    </x:row>
    <x:row r="488">
      <x:c r="A488" s="10" t="s">
        <x:v>1611</x:v>
      </x:c>
      <x:c r="F488" t="s">
        <x:v>1358</x:v>
      </x:c>
      <x:c r="K488">
        <x:v>1</x:v>
      </x:c>
      <x:c r="L488" t="str">
        <x:f t="shared" si="28"/>
      </x:c>
      <x:c r="O488" t="s">
        <x:v>38</x:v>
      </x:c>
      <x:c r="T488" s="2" t="n">
        <x:f>'SUPUESTOS PRECIOS'!$B$9</x:f>
        <x:v>0</x:v>
      </x:c>
      <x:c r="U488" s="3" t="n">
        <x:f>'SUPUESTOS PRECIOS'!$B$5/'SUPUESTOS PRECIOS'!$B$4</x:f>
        <x:v>1000</x:v>
      </x:c>
      <x:c r="V488" s="3" t="n">
        <x:f>('SUPUESTOS PRECIOS'!$B$6-'SUPUESTOS PRECIOS'!$B$7)/'SUPUESTOS PRECIOS'!$B$4</x:f>
        <x:v>377.5</x:v>
      </x:c>
      <x:c r="W488" s="4" t="n">
        <x:f>'SUPUESTOS PRECIOS'!$B$8</x:f>
        <x:v>0.00968</x:v>
      </x:c>
      <x:c r="X488" s="4" t="n">
        <x:f>'SUPUESTOS PRECIOS'!$B$2</x:f>
        <x:v>0.4</x:v>
      </x:c>
      <x:c r="Y488" s="3" t="str">
        <x:f t="shared" si="29"/>
      </x:c>
      <x:c r="Z488" s="3" t="str">
        <x:f t="shared" si="30"/>
      </x:c>
      <x:c r="AA488" s="11" t="str">
        <x:f t="shared" si="31"/>
      </x:c>
    </x:row>
    <x:row r="489">
      <x:c r="A489" s="10" t="s">
        <x:v>1612</x:v>
      </x:c>
      <x:c r="F489" t="s">
        <x:v>1358</x:v>
      </x:c>
      <x:c r="K489">
        <x:v>1</x:v>
      </x:c>
      <x:c r="L489" t="str">
        <x:f t="shared" si="28"/>
      </x:c>
      <x:c r="O489" t="s">
        <x:v>38</x:v>
      </x:c>
      <x:c r="T489" s="2" t="n">
        <x:f>'SUPUESTOS PRECIOS'!$B$9</x:f>
        <x:v>0</x:v>
      </x:c>
      <x:c r="U489" s="3" t="n">
        <x:f>'SUPUESTOS PRECIOS'!$B$5/'SUPUESTOS PRECIOS'!$B$4</x:f>
        <x:v>1000</x:v>
      </x:c>
      <x:c r="V489" s="3" t="n">
        <x:f>('SUPUESTOS PRECIOS'!$B$6-'SUPUESTOS PRECIOS'!$B$7)/'SUPUESTOS PRECIOS'!$B$4</x:f>
        <x:v>377.5</x:v>
      </x:c>
      <x:c r="W489" s="4" t="n">
        <x:f>'SUPUESTOS PRECIOS'!$B$8</x:f>
        <x:v>0.00968</x:v>
      </x:c>
      <x:c r="X489" s="4" t="n">
        <x:f>'SUPUESTOS PRECIOS'!$B$2</x:f>
        <x:v>0.4</x:v>
      </x:c>
      <x:c r="Y489" s="3" t="str">
        <x:f t="shared" si="29"/>
      </x:c>
      <x:c r="Z489" s="3" t="str">
        <x:f t="shared" si="30"/>
      </x:c>
      <x:c r="AA489" s="11" t="str">
        <x:f t="shared" si="31"/>
      </x:c>
    </x:row>
    <x:row r="490">
      <x:c r="A490" s="10" t="s">
        <x:v>1613</x:v>
      </x:c>
      <x:c r="F490" t="s">
        <x:v>1358</x:v>
      </x:c>
      <x:c r="K490">
        <x:v>1</x:v>
      </x:c>
      <x:c r="L490" t="str">
        <x:f t="shared" si="28"/>
      </x:c>
      <x:c r="O490" t="s">
        <x:v>38</x:v>
      </x:c>
      <x:c r="T490" s="2" t="n">
        <x:f>'SUPUESTOS PRECIOS'!$B$9</x:f>
        <x:v>0</x:v>
      </x:c>
      <x:c r="U490" s="3" t="n">
        <x:f>'SUPUESTOS PRECIOS'!$B$5/'SUPUESTOS PRECIOS'!$B$4</x:f>
        <x:v>1000</x:v>
      </x:c>
      <x:c r="V490" s="3" t="n">
        <x:f>('SUPUESTOS PRECIOS'!$B$6-'SUPUESTOS PRECIOS'!$B$7)/'SUPUESTOS PRECIOS'!$B$4</x:f>
        <x:v>377.5</x:v>
      </x:c>
      <x:c r="W490" s="4" t="n">
        <x:f>'SUPUESTOS PRECIOS'!$B$8</x:f>
        <x:v>0.00968</x:v>
      </x:c>
      <x:c r="X490" s="4" t="n">
        <x:f>'SUPUESTOS PRECIOS'!$B$2</x:f>
        <x:v>0.4</x:v>
      </x:c>
      <x:c r="Y490" s="3" t="str">
        <x:f t="shared" si="29"/>
      </x:c>
      <x:c r="Z490" s="3" t="str">
        <x:f t="shared" si="30"/>
      </x:c>
      <x:c r="AA490" s="11" t="str">
        <x:f t="shared" si="31"/>
      </x:c>
    </x:row>
    <x:row r="491">
      <x:c r="A491" s="10" t="s">
        <x:v>1614</x:v>
      </x:c>
      <x:c r="F491" t="s">
        <x:v>1358</x:v>
      </x:c>
      <x:c r="K491">
        <x:v>1</x:v>
      </x:c>
      <x:c r="L491" t="str">
        <x:f t="shared" si="28"/>
      </x:c>
      <x:c r="O491" t="s">
        <x:v>38</x:v>
      </x:c>
      <x:c r="T491" s="2" t="n">
        <x:f>'SUPUESTOS PRECIOS'!$B$9</x:f>
        <x:v>0</x:v>
      </x:c>
      <x:c r="U491" s="3" t="n">
        <x:f>'SUPUESTOS PRECIOS'!$B$5/'SUPUESTOS PRECIOS'!$B$4</x:f>
        <x:v>1000</x:v>
      </x:c>
      <x:c r="V491" s="3" t="n">
        <x:f>('SUPUESTOS PRECIOS'!$B$6-'SUPUESTOS PRECIOS'!$B$7)/'SUPUESTOS PRECIOS'!$B$4</x:f>
        <x:v>377.5</x:v>
      </x:c>
      <x:c r="W491" s="4" t="n">
        <x:f>'SUPUESTOS PRECIOS'!$B$8</x:f>
        <x:v>0.00968</x:v>
      </x:c>
      <x:c r="X491" s="4" t="n">
        <x:f>'SUPUESTOS PRECIOS'!$B$2</x:f>
        <x:v>0.4</x:v>
      </x:c>
      <x:c r="Y491" s="3" t="str">
        <x:f t="shared" si="29"/>
      </x:c>
      <x:c r="Z491" s="3" t="str">
        <x:f t="shared" si="30"/>
      </x:c>
      <x:c r="AA491" s="11" t="str">
        <x:f t="shared" si="31"/>
      </x:c>
    </x:row>
    <x:row r="492">
      <x:c r="A492" s="10" t="s">
        <x:v>1615</x:v>
      </x:c>
      <x:c r="F492" t="s">
        <x:v>1358</x:v>
      </x:c>
      <x:c r="K492">
        <x:v>1</x:v>
      </x:c>
      <x:c r="L492" t="str">
        <x:f t="shared" si="28"/>
      </x:c>
      <x:c r="O492" t="s">
        <x:v>38</x:v>
      </x:c>
      <x:c r="T492" s="2" t="n">
        <x:f>'SUPUESTOS PRECIOS'!$B$9</x:f>
        <x:v>0</x:v>
      </x:c>
      <x:c r="U492" s="3" t="n">
        <x:f>'SUPUESTOS PRECIOS'!$B$5/'SUPUESTOS PRECIOS'!$B$4</x:f>
        <x:v>1000</x:v>
      </x:c>
      <x:c r="V492" s="3" t="n">
        <x:f>('SUPUESTOS PRECIOS'!$B$6-'SUPUESTOS PRECIOS'!$B$7)/'SUPUESTOS PRECIOS'!$B$4</x:f>
        <x:v>377.5</x:v>
      </x:c>
      <x:c r="W492" s="4" t="n">
        <x:f>'SUPUESTOS PRECIOS'!$B$8</x:f>
        <x:v>0.00968</x:v>
      </x:c>
      <x:c r="X492" s="4" t="n">
        <x:f>'SUPUESTOS PRECIOS'!$B$2</x:f>
        <x:v>0.4</x:v>
      </x:c>
      <x:c r="Y492" s="3" t="str">
        <x:f t="shared" si="29"/>
      </x:c>
      <x:c r="Z492" s="3" t="str">
        <x:f t="shared" si="30"/>
      </x:c>
      <x:c r="AA492" s="11" t="str">
        <x:f t="shared" si="31"/>
      </x:c>
    </x:row>
    <x:row r="493">
      <x:c r="A493" s="10" t="s">
        <x:v>1616</x:v>
      </x:c>
      <x:c r="F493" t="s">
        <x:v>1358</x:v>
      </x:c>
      <x:c r="K493">
        <x:v>1</x:v>
      </x:c>
      <x:c r="L493" t="str">
        <x:f t="shared" si="28"/>
      </x:c>
      <x:c r="O493" t="s">
        <x:v>38</x:v>
      </x:c>
      <x:c r="T493" s="2" t="n">
        <x:f>'SUPUESTOS PRECIOS'!$B$9</x:f>
        <x:v>0</x:v>
      </x:c>
      <x:c r="U493" s="3" t="n">
        <x:f>'SUPUESTOS PRECIOS'!$B$5/'SUPUESTOS PRECIOS'!$B$4</x:f>
        <x:v>1000</x:v>
      </x:c>
      <x:c r="V493" s="3" t="n">
        <x:f>('SUPUESTOS PRECIOS'!$B$6-'SUPUESTOS PRECIOS'!$B$7)/'SUPUESTOS PRECIOS'!$B$4</x:f>
        <x:v>377.5</x:v>
      </x:c>
      <x:c r="W493" s="4" t="n">
        <x:f>'SUPUESTOS PRECIOS'!$B$8</x:f>
        <x:v>0.00968</x:v>
      </x:c>
      <x:c r="X493" s="4" t="n">
        <x:f>'SUPUESTOS PRECIOS'!$B$2</x:f>
        <x:v>0.4</x:v>
      </x:c>
      <x:c r="Y493" s="3" t="str">
        <x:f t="shared" si="29"/>
      </x:c>
      <x:c r="Z493" s="3" t="str">
        <x:f t="shared" si="30"/>
      </x:c>
      <x:c r="AA493" s="11" t="str">
        <x:f t="shared" si="31"/>
      </x:c>
    </x:row>
    <x:row r="494">
      <x:c r="A494" s="10" t="s">
        <x:v>1617</x:v>
      </x:c>
      <x:c r="F494" t="s">
        <x:v>1358</x:v>
      </x:c>
      <x:c r="K494">
        <x:v>1</x:v>
      </x:c>
      <x:c r="L494" t="str">
        <x:f t="shared" si="28"/>
      </x:c>
      <x:c r="O494" t="s">
        <x:v>38</x:v>
      </x:c>
      <x:c r="T494" s="2" t="n">
        <x:f>'SUPUESTOS PRECIOS'!$B$9</x:f>
        <x:v>0</x:v>
      </x:c>
      <x:c r="U494" s="3" t="n">
        <x:f>'SUPUESTOS PRECIOS'!$B$5/'SUPUESTOS PRECIOS'!$B$4</x:f>
        <x:v>1000</x:v>
      </x:c>
      <x:c r="V494" s="3" t="n">
        <x:f>('SUPUESTOS PRECIOS'!$B$6-'SUPUESTOS PRECIOS'!$B$7)/'SUPUESTOS PRECIOS'!$B$4</x:f>
        <x:v>377.5</x:v>
      </x:c>
      <x:c r="W494" s="4" t="n">
        <x:f>'SUPUESTOS PRECIOS'!$B$8</x:f>
        <x:v>0.00968</x:v>
      </x:c>
      <x:c r="X494" s="4" t="n">
        <x:f>'SUPUESTOS PRECIOS'!$B$2</x:f>
        <x:v>0.4</x:v>
      </x:c>
      <x:c r="Y494" s="3" t="str">
        <x:f t="shared" si="29"/>
      </x:c>
      <x:c r="Z494" s="3" t="str">
        <x:f t="shared" si="30"/>
      </x:c>
      <x:c r="AA494" s="11" t="str">
        <x:f t="shared" si="31"/>
      </x:c>
    </x:row>
    <x:row r="495">
      <x:c r="A495" s="10" t="s">
        <x:v>1618</x:v>
      </x:c>
      <x:c r="F495" t="s">
        <x:v>1358</x:v>
      </x:c>
      <x:c r="K495">
        <x:v>1</x:v>
      </x:c>
      <x:c r="L495" t="str">
        <x:f t="shared" si="28"/>
      </x:c>
      <x:c r="O495" t="s">
        <x:v>38</x:v>
      </x:c>
      <x:c r="T495" s="2" t="n">
        <x:f>'SUPUESTOS PRECIOS'!$B$9</x:f>
        <x:v>0</x:v>
      </x:c>
      <x:c r="U495" s="3" t="n">
        <x:f>'SUPUESTOS PRECIOS'!$B$5/'SUPUESTOS PRECIOS'!$B$4</x:f>
        <x:v>1000</x:v>
      </x:c>
      <x:c r="V495" s="3" t="n">
        <x:f>('SUPUESTOS PRECIOS'!$B$6-'SUPUESTOS PRECIOS'!$B$7)/'SUPUESTOS PRECIOS'!$B$4</x:f>
        <x:v>377.5</x:v>
      </x:c>
      <x:c r="W495" s="4" t="n">
        <x:f>'SUPUESTOS PRECIOS'!$B$8</x:f>
        <x:v>0.00968</x:v>
      </x:c>
      <x:c r="X495" s="4" t="n">
        <x:f>'SUPUESTOS PRECIOS'!$B$2</x:f>
        <x:v>0.4</x:v>
      </x:c>
      <x:c r="Y495" s="3" t="str">
        <x:f t="shared" si="29"/>
      </x:c>
      <x:c r="Z495" s="3" t="str">
        <x:f t="shared" si="30"/>
      </x:c>
      <x:c r="AA495" s="11" t="str">
        <x:f t="shared" si="31"/>
      </x:c>
    </x:row>
    <x:row r="496">
      <x:c r="A496" s="10" t="s">
        <x:v>1619</x:v>
      </x:c>
      <x:c r="F496" t="s">
        <x:v>1358</x:v>
      </x:c>
      <x:c r="K496">
        <x:v>1</x:v>
      </x:c>
      <x:c r="L496" t="str">
        <x:f t="shared" si="28"/>
      </x:c>
      <x:c r="O496" t="s">
        <x:v>38</x:v>
      </x:c>
      <x:c r="T496" s="2" t="n">
        <x:f>'SUPUESTOS PRECIOS'!$B$9</x:f>
        <x:v>0</x:v>
      </x:c>
      <x:c r="U496" s="3" t="n">
        <x:f>'SUPUESTOS PRECIOS'!$B$5/'SUPUESTOS PRECIOS'!$B$4</x:f>
        <x:v>1000</x:v>
      </x:c>
      <x:c r="V496" s="3" t="n">
        <x:f>('SUPUESTOS PRECIOS'!$B$6-'SUPUESTOS PRECIOS'!$B$7)/'SUPUESTOS PRECIOS'!$B$4</x:f>
        <x:v>377.5</x:v>
      </x:c>
      <x:c r="W496" s="4" t="n">
        <x:f>'SUPUESTOS PRECIOS'!$B$8</x:f>
        <x:v>0.00968</x:v>
      </x:c>
      <x:c r="X496" s="4" t="n">
        <x:f>'SUPUESTOS PRECIOS'!$B$2</x:f>
        <x:v>0.4</x:v>
      </x:c>
      <x:c r="Y496" s="3" t="str">
        <x:f t="shared" si="29"/>
      </x:c>
      <x:c r="Z496" s="3" t="str">
        <x:f t="shared" si="30"/>
      </x:c>
      <x:c r="AA496" s="11" t="str">
        <x:f t="shared" si="31"/>
      </x:c>
    </x:row>
    <x:row r="497">
      <x:c r="A497" s="10" t="s">
        <x:v>1620</x:v>
      </x:c>
      <x:c r="F497" t="s">
        <x:v>1358</x:v>
      </x:c>
      <x:c r="K497">
        <x:v>1</x:v>
      </x:c>
      <x:c r="L497" t="str">
        <x:f t="shared" si="28"/>
      </x:c>
      <x:c r="O497" t="s">
        <x:v>38</x:v>
      </x:c>
      <x:c r="T497" s="2" t="n">
        <x:f>'SUPUESTOS PRECIOS'!$B$9</x:f>
        <x:v>0</x:v>
      </x:c>
      <x:c r="U497" s="3" t="n">
        <x:f>'SUPUESTOS PRECIOS'!$B$5/'SUPUESTOS PRECIOS'!$B$4</x:f>
        <x:v>1000</x:v>
      </x:c>
      <x:c r="V497" s="3" t="n">
        <x:f>('SUPUESTOS PRECIOS'!$B$6-'SUPUESTOS PRECIOS'!$B$7)/'SUPUESTOS PRECIOS'!$B$4</x:f>
        <x:v>377.5</x:v>
      </x:c>
      <x:c r="W497" s="4" t="n">
        <x:f>'SUPUESTOS PRECIOS'!$B$8</x:f>
        <x:v>0.00968</x:v>
      </x:c>
      <x:c r="X497" s="4" t="n">
        <x:f>'SUPUESTOS PRECIOS'!$B$2</x:f>
        <x:v>0.4</x:v>
      </x:c>
      <x:c r="Y497" s="3" t="str">
        <x:f t="shared" si="29"/>
      </x:c>
      <x:c r="Z497" s="3" t="str">
        <x:f t="shared" si="30"/>
      </x:c>
      <x:c r="AA497" s="11" t="str">
        <x:f t="shared" si="31"/>
      </x:c>
    </x:row>
    <x:row r="498">
      <x:c r="A498" s="10" t="s">
        <x:v>1621</x:v>
      </x:c>
      <x:c r="F498" t="s">
        <x:v>1358</x:v>
      </x:c>
      <x:c r="K498">
        <x:v>1</x:v>
      </x:c>
      <x:c r="L498" t="str">
        <x:f t="shared" si="28"/>
      </x:c>
      <x:c r="O498" t="s">
        <x:v>38</x:v>
      </x:c>
      <x:c r="T498" s="2" t="n">
        <x:f>'SUPUESTOS PRECIOS'!$B$9</x:f>
        <x:v>0</x:v>
      </x:c>
      <x:c r="U498" s="3" t="n">
        <x:f>'SUPUESTOS PRECIOS'!$B$5/'SUPUESTOS PRECIOS'!$B$4</x:f>
        <x:v>1000</x:v>
      </x:c>
      <x:c r="V498" s="3" t="n">
        <x:f>('SUPUESTOS PRECIOS'!$B$6-'SUPUESTOS PRECIOS'!$B$7)/'SUPUESTOS PRECIOS'!$B$4</x:f>
        <x:v>377.5</x:v>
      </x:c>
      <x:c r="W498" s="4" t="n">
        <x:f>'SUPUESTOS PRECIOS'!$B$8</x:f>
        <x:v>0.00968</x:v>
      </x:c>
      <x:c r="X498" s="4" t="n">
        <x:f>'SUPUESTOS PRECIOS'!$B$2</x:f>
        <x:v>0.4</x:v>
      </x:c>
      <x:c r="Y498" s="3" t="str">
        <x:f t="shared" si="29"/>
      </x:c>
      <x:c r="Z498" s="3" t="str">
        <x:f t="shared" si="30"/>
      </x:c>
      <x:c r="AA498" s="11" t="str">
        <x:f t="shared" si="31"/>
      </x:c>
    </x:row>
    <x:row r="499">
      <x:c r="A499" s="10" t="s">
        <x:v>1622</x:v>
      </x:c>
      <x:c r="F499" t="s">
        <x:v>1358</x:v>
      </x:c>
      <x:c r="K499">
        <x:v>1</x:v>
      </x:c>
      <x:c r="L499" t="str">
        <x:f t="shared" si="28"/>
      </x:c>
      <x:c r="O499" t="s">
        <x:v>38</x:v>
      </x:c>
      <x:c r="T499" s="2" t="n">
        <x:f>'SUPUESTOS PRECIOS'!$B$9</x:f>
        <x:v>0</x:v>
      </x:c>
      <x:c r="U499" s="3" t="n">
        <x:f>'SUPUESTOS PRECIOS'!$B$5/'SUPUESTOS PRECIOS'!$B$4</x:f>
        <x:v>1000</x:v>
      </x:c>
      <x:c r="V499" s="3" t="n">
        <x:f>('SUPUESTOS PRECIOS'!$B$6-'SUPUESTOS PRECIOS'!$B$7)/'SUPUESTOS PRECIOS'!$B$4</x:f>
        <x:v>377.5</x:v>
      </x:c>
      <x:c r="W499" s="4" t="n">
        <x:f>'SUPUESTOS PRECIOS'!$B$8</x:f>
        <x:v>0.00968</x:v>
      </x:c>
      <x:c r="X499" s="4" t="n">
        <x:f>'SUPUESTOS PRECIOS'!$B$2</x:f>
        <x:v>0.4</x:v>
      </x:c>
      <x:c r="Y499" s="3" t="str">
        <x:f t="shared" si="29"/>
      </x:c>
      <x:c r="Z499" s="3" t="str">
        <x:f t="shared" si="30"/>
      </x:c>
      <x:c r="AA499" s="11" t="str">
        <x:f t="shared" si="31"/>
      </x:c>
    </x:row>
    <x:row r="500">
      <x:c r="A500" s="10" t="s">
        <x:v>1623</x:v>
      </x:c>
      <x:c r="F500" t="s">
        <x:v>1358</x:v>
      </x:c>
      <x:c r="K500">
        <x:v>1</x:v>
      </x:c>
      <x:c r="L500" t="str">
        <x:f t="shared" si="28"/>
      </x:c>
      <x:c r="O500" t="s">
        <x:v>38</x:v>
      </x:c>
      <x:c r="T500" s="2" t="n">
        <x:f>'SUPUESTOS PRECIOS'!$B$9</x:f>
        <x:v>0</x:v>
      </x:c>
      <x:c r="U500" s="3" t="n">
        <x:f>'SUPUESTOS PRECIOS'!$B$5/'SUPUESTOS PRECIOS'!$B$4</x:f>
        <x:v>1000</x:v>
      </x:c>
      <x:c r="V500" s="3" t="n">
        <x:f>('SUPUESTOS PRECIOS'!$B$6-'SUPUESTOS PRECIOS'!$B$7)/'SUPUESTOS PRECIOS'!$B$4</x:f>
        <x:v>377.5</x:v>
      </x:c>
      <x:c r="W500" s="4" t="n">
        <x:f>'SUPUESTOS PRECIOS'!$B$8</x:f>
        <x:v>0.00968</x:v>
      </x:c>
      <x:c r="X500" s="4" t="n">
        <x:f>'SUPUESTOS PRECIOS'!$B$2</x:f>
        <x:v>0.4</x:v>
      </x:c>
      <x:c r="Y500" s="3" t="str">
        <x:f t="shared" si="29"/>
      </x:c>
      <x:c r="Z500" s="3" t="str">
        <x:f t="shared" si="30"/>
      </x:c>
      <x:c r="AA500" s="11" t="str">
        <x:f t="shared" si="31"/>
      </x:c>
    </x:row>
    <x:row r="501">
      <x:c r="A501" s="10" t="s">
        <x:v>1624</x:v>
      </x:c>
      <x:c r="F501" t="s">
        <x:v>1358</x:v>
      </x:c>
      <x:c r="K501">
        <x:v>1</x:v>
      </x:c>
      <x:c r="L501" t="str">
        <x:f t="shared" si="28"/>
      </x:c>
      <x:c r="O501" t="s">
        <x:v>38</x:v>
      </x:c>
      <x:c r="T501" s="2" t="n">
        <x:f>'SUPUESTOS PRECIOS'!$B$9</x:f>
        <x:v>0</x:v>
      </x:c>
      <x:c r="U501" s="3" t="n">
        <x:f>'SUPUESTOS PRECIOS'!$B$5/'SUPUESTOS PRECIOS'!$B$4</x:f>
        <x:v>1000</x:v>
      </x:c>
      <x:c r="V501" s="3" t="n">
        <x:f>('SUPUESTOS PRECIOS'!$B$6-'SUPUESTOS PRECIOS'!$B$7)/'SUPUESTOS PRECIOS'!$B$4</x:f>
        <x:v>377.5</x:v>
      </x:c>
      <x:c r="W501" s="4" t="n">
        <x:f>'SUPUESTOS PRECIOS'!$B$8</x:f>
        <x:v>0.00968</x:v>
      </x:c>
      <x:c r="X501" s="4" t="n">
        <x:f>'SUPUESTOS PRECIOS'!$B$2</x:f>
        <x:v>0.4</x:v>
      </x:c>
      <x:c r="Y501" s="3" t="str">
        <x:f t="shared" si="29"/>
      </x:c>
      <x:c r="Z501" s="3" t="str">
        <x:f t="shared" si="30"/>
      </x:c>
      <x:c r="AA501" s="11" t="str">
        <x:f t="shared" si="31"/>
      </x:c>
    </x:row>
    <x:row r="502">
      <x:c r="A502" s="10" t="s">
        <x:v>1625</x:v>
      </x:c>
      <x:c r="F502" t="s">
        <x:v>1358</x:v>
      </x:c>
      <x:c r="K502">
        <x:v>1</x:v>
      </x:c>
      <x:c r="L502" t="str">
        <x:f t="shared" si="28"/>
      </x:c>
      <x:c r="O502" t="s">
        <x:v>38</x:v>
      </x:c>
      <x:c r="T502" s="2" t="n">
        <x:f>'SUPUESTOS PRECIOS'!$B$9</x:f>
        <x:v>0</x:v>
      </x:c>
      <x:c r="U502" s="3" t="n">
        <x:f>'SUPUESTOS PRECIOS'!$B$5/'SUPUESTOS PRECIOS'!$B$4</x:f>
        <x:v>1000</x:v>
      </x:c>
      <x:c r="V502" s="3" t="n">
        <x:f>('SUPUESTOS PRECIOS'!$B$6-'SUPUESTOS PRECIOS'!$B$7)/'SUPUESTOS PRECIOS'!$B$4</x:f>
        <x:v>377.5</x:v>
      </x:c>
      <x:c r="W502" s="4" t="n">
        <x:f>'SUPUESTOS PRECIOS'!$B$8</x:f>
        <x:v>0.00968</x:v>
      </x:c>
      <x:c r="X502" s="4" t="n">
        <x:f>'SUPUESTOS PRECIOS'!$B$2</x:f>
        <x:v>0.4</x:v>
      </x:c>
      <x:c r="Y502" s="3" t="str">
        <x:f t="shared" si="29"/>
      </x:c>
      <x:c r="Z502" s="3" t="str">
        <x:f t="shared" si="30"/>
      </x:c>
      <x:c r="AA502" s="11" t="str">
        <x:f t="shared" si="31"/>
      </x:c>
    </x:row>
    <x:row r="503">
      <x:c r="A503" s="10" t="s">
        <x:v>1626</x:v>
      </x:c>
      <x:c r="F503" t="s">
        <x:v>1358</x:v>
      </x:c>
      <x:c r="K503">
        <x:v>1</x:v>
      </x:c>
      <x:c r="L503" t="str">
        <x:f t="shared" si="28"/>
      </x:c>
      <x:c r="O503" t="s">
        <x:v>38</x:v>
      </x:c>
      <x:c r="T503" s="2" t="n">
        <x:f>'SUPUESTOS PRECIOS'!$B$9</x:f>
        <x:v>0</x:v>
      </x:c>
      <x:c r="U503" s="3" t="n">
        <x:f>'SUPUESTOS PRECIOS'!$B$5/'SUPUESTOS PRECIOS'!$B$4</x:f>
        <x:v>1000</x:v>
      </x:c>
      <x:c r="V503" s="3" t="n">
        <x:f>('SUPUESTOS PRECIOS'!$B$6-'SUPUESTOS PRECIOS'!$B$7)/'SUPUESTOS PRECIOS'!$B$4</x:f>
        <x:v>377.5</x:v>
      </x:c>
      <x:c r="W503" s="4" t="n">
        <x:f>'SUPUESTOS PRECIOS'!$B$8</x:f>
        <x:v>0.00968</x:v>
      </x:c>
      <x:c r="X503" s="4" t="n">
        <x:f>'SUPUESTOS PRECIOS'!$B$2</x:f>
        <x:v>0.4</x:v>
      </x:c>
      <x:c r="Y503" s="3" t="str">
        <x:f t="shared" si="29"/>
      </x:c>
      <x:c r="Z503" s="3" t="str">
        <x:f t="shared" si="30"/>
      </x:c>
      <x:c r="AA503" s="11" t="str">
        <x:f t="shared" si="31"/>
      </x:c>
    </x:row>
    <x:row r="504">
      <x:c r="A504" s="10" t="s">
        <x:v>1627</x:v>
      </x:c>
      <x:c r="F504" t="s">
        <x:v>1358</x:v>
      </x:c>
      <x:c r="K504">
        <x:v>1</x:v>
      </x:c>
      <x:c r="L504" t="str">
        <x:f t="shared" si="28"/>
      </x:c>
      <x:c r="O504" t="s">
        <x:v>38</x:v>
      </x:c>
      <x:c r="T504" s="2" t="n">
        <x:f>'SUPUESTOS PRECIOS'!$B$9</x:f>
        <x:v>0</x:v>
      </x:c>
      <x:c r="U504" s="3" t="n">
        <x:f>'SUPUESTOS PRECIOS'!$B$5/'SUPUESTOS PRECIOS'!$B$4</x:f>
        <x:v>1000</x:v>
      </x:c>
      <x:c r="V504" s="3" t="n">
        <x:f>('SUPUESTOS PRECIOS'!$B$6-'SUPUESTOS PRECIOS'!$B$7)/'SUPUESTOS PRECIOS'!$B$4</x:f>
        <x:v>377.5</x:v>
      </x:c>
      <x:c r="W504" s="4" t="n">
        <x:f>'SUPUESTOS PRECIOS'!$B$8</x:f>
        <x:v>0.00968</x:v>
      </x:c>
      <x:c r="X504" s="4" t="n">
        <x:f>'SUPUESTOS PRECIOS'!$B$2</x:f>
        <x:v>0.4</x:v>
      </x:c>
      <x:c r="Y504" s="3" t="str">
        <x:f t="shared" si="29"/>
      </x:c>
      <x:c r="Z504" s="3" t="str">
        <x:f t="shared" si="30"/>
      </x:c>
      <x:c r="AA504" s="11" t="str">
        <x:f t="shared" si="31"/>
      </x:c>
    </x:row>
    <x:row r="505">
      <x:c r="A505" s="10" t="s">
        <x:v>1628</x:v>
      </x:c>
      <x:c r="F505" t="s">
        <x:v>1358</x:v>
      </x:c>
      <x:c r="K505">
        <x:v>1</x:v>
      </x:c>
      <x:c r="L505" t="str">
        <x:f t="shared" si="28"/>
      </x:c>
      <x:c r="O505" t="s">
        <x:v>38</x:v>
      </x:c>
      <x:c r="T505" s="2" t="n">
        <x:f>'SUPUESTOS PRECIOS'!$B$9</x:f>
        <x:v>0</x:v>
      </x:c>
      <x:c r="U505" s="3" t="n">
        <x:f>'SUPUESTOS PRECIOS'!$B$5/'SUPUESTOS PRECIOS'!$B$4</x:f>
        <x:v>1000</x:v>
      </x:c>
      <x:c r="V505" s="3" t="n">
        <x:f>('SUPUESTOS PRECIOS'!$B$6-'SUPUESTOS PRECIOS'!$B$7)/'SUPUESTOS PRECIOS'!$B$4</x:f>
        <x:v>377.5</x:v>
      </x:c>
      <x:c r="W505" s="4" t="n">
        <x:f>'SUPUESTOS PRECIOS'!$B$8</x:f>
        <x:v>0.00968</x:v>
      </x:c>
      <x:c r="X505" s="4" t="n">
        <x:f>'SUPUESTOS PRECIOS'!$B$2</x:f>
        <x:v>0.4</x:v>
      </x:c>
      <x:c r="Y505" s="3" t="str">
        <x:f t="shared" si="29"/>
      </x:c>
      <x:c r="Z505" s="3" t="str">
        <x:f t="shared" si="30"/>
      </x:c>
      <x:c r="AA505" s="11" t="str">
        <x:f t="shared" si="31"/>
      </x:c>
    </x:row>
    <x:row r="506">
      <x:c r="A506" s="10" t="s">
        <x:v>1629</x:v>
      </x:c>
      <x:c r="F506" t="s">
        <x:v>1358</x:v>
      </x:c>
      <x:c r="K506">
        <x:v>1</x:v>
      </x:c>
      <x:c r="L506" t="str">
        <x:f t="shared" si="28"/>
      </x:c>
      <x:c r="O506" t="s">
        <x:v>38</x:v>
      </x:c>
      <x:c r="T506" s="2" t="n">
        <x:f>'SUPUESTOS PRECIOS'!$B$9</x:f>
        <x:v>0</x:v>
      </x:c>
      <x:c r="U506" s="3" t="n">
        <x:f>'SUPUESTOS PRECIOS'!$B$5/'SUPUESTOS PRECIOS'!$B$4</x:f>
        <x:v>1000</x:v>
      </x:c>
      <x:c r="V506" s="3" t="n">
        <x:f>('SUPUESTOS PRECIOS'!$B$6-'SUPUESTOS PRECIOS'!$B$7)/'SUPUESTOS PRECIOS'!$B$4</x:f>
        <x:v>377.5</x:v>
      </x:c>
      <x:c r="W506" s="4" t="n">
        <x:f>'SUPUESTOS PRECIOS'!$B$8</x:f>
        <x:v>0.00968</x:v>
      </x:c>
      <x:c r="X506" s="4" t="n">
        <x:f>'SUPUESTOS PRECIOS'!$B$2</x:f>
        <x:v>0.4</x:v>
      </x:c>
      <x:c r="Y506" s="3" t="str">
        <x:f t="shared" si="29"/>
      </x:c>
      <x:c r="Z506" s="3" t="str">
        <x:f t="shared" si="30"/>
      </x:c>
      <x:c r="AA506" s="11" t="str">
        <x:f t="shared" si="31"/>
      </x:c>
    </x:row>
    <x:row r="507">
      <x:c r="A507" s="10" t="s">
        <x:v>1630</x:v>
      </x:c>
      <x:c r="F507" t="s">
        <x:v>1358</x:v>
      </x:c>
      <x:c r="K507">
        <x:v>1</x:v>
      </x:c>
      <x:c r="L507" t="str">
        <x:f t="shared" si="28"/>
      </x:c>
      <x:c r="O507" t="s">
        <x:v>38</x:v>
      </x:c>
      <x:c r="T507" s="2" t="n">
        <x:f>'SUPUESTOS PRECIOS'!$B$9</x:f>
        <x:v>0</x:v>
      </x:c>
      <x:c r="U507" s="3" t="n">
        <x:f>'SUPUESTOS PRECIOS'!$B$5/'SUPUESTOS PRECIOS'!$B$4</x:f>
        <x:v>1000</x:v>
      </x:c>
      <x:c r="V507" s="3" t="n">
        <x:f>('SUPUESTOS PRECIOS'!$B$6-'SUPUESTOS PRECIOS'!$B$7)/'SUPUESTOS PRECIOS'!$B$4</x:f>
        <x:v>377.5</x:v>
      </x:c>
      <x:c r="W507" s="4" t="n">
        <x:f>'SUPUESTOS PRECIOS'!$B$8</x:f>
        <x:v>0.00968</x:v>
      </x:c>
      <x:c r="X507" s="4" t="n">
        <x:f>'SUPUESTOS PRECIOS'!$B$2</x:f>
        <x:v>0.4</x:v>
      </x:c>
      <x:c r="Y507" s="3" t="str">
        <x:f t="shared" si="29"/>
      </x:c>
      <x:c r="Z507" s="3" t="str">
        <x:f t="shared" si="30"/>
      </x:c>
      <x:c r="AA507" s="11" t="str">
        <x:f t="shared" si="31"/>
      </x:c>
    </x:row>
    <x:row r="508">
      <x:c r="A508" s="10" t="s">
        <x:v>1631</x:v>
      </x:c>
      <x:c r="F508" t="s">
        <x:v>1358</x:v>
      </x:c>
      <x:c r="K508">
        <x:v>1</x:v>
      </x:c>
      <x:c r="L508" t="str">
        <x:f t="shared" si="28"/>
      </x:c>
      <x:c r="O508" t="s">
        <x:v>38</x:v>
      </x:c>
      <x:c r="T508" s="2" t="n">
        <x:f>'SUPUESTOS PRECIOS'!$B$9</x:f>
        <x:v>0</x:v>
      </x:c>
      <x:c r="U508" s="3" t="n">
        <x:f>'SUPUESTOS PRECIOS'!$B$5/'SUPUESTOS PRECIOS'!$B$4</x:f>
        <x:v>1000</x:v>
      </x:c>
      <x:c r="V508" s="3" t="n">
        <x:f>('SUPUESTOS PRECIOS'!$B$6-'SUPUESTOS PRECIOS'!$B$7)/'SUPUESTOS PRECIOS'!$B$4</x:f>
        <x:v>377.5</x:v>
      </x:c>
      <x:c r="W508" s="4" t="n">
        <x:f>'SUPUESTOS PRECIOS'!$B$8</x:f>
        <x:v>0.00968</x:v>
      </x:c>
      <x:c r="X508" s="4" t="n">
        <x:f>'SUPUESTOS PRECIOS'!$B$2</x:f>
        <x:v>0.4</x:v>
      </x:c>
      <x:c r="Y508" s="3" t="str">
        <x:f t="shared" si="29"/>
      </x:c>
      <x:c r="Z508" s="3" t="str">
        <x:f t="shared" si="30"/>
      </x:c>
      <x:c r="AA508" s="11" t="str">
        <x:f t="shared" si="31"/>
      </x:c>
    </x:row>
    <x:row r="509">
      <x:c r="A509" s="10" t="s">
        <x:v>1632</x:v>
      </x:c>
      <x:c r="F509" t="s">
        <x:v>1358</x:v>
      </x:c>
      <x:c r="K509">
        <x:v>1</x:v>
      </x:c>
      <x:c r="L509" t="str">
        <x:f t="shared" si="28"/>
      </x:c>
      <x:c r="O509" t="s">
        <x:v>38</x:v>
      </x:c>
      <x:c r="T509" s="2" t="n">
        <x:f>'SUPUESTOS PRECIOS'!$B$9</x:f>
        <x:v>0</x:v>
      </x:c>
      <x:c r="U509" s="3" t="n">
        <x:f>'SUPUESTOS PRECIOS'!$B$5/'SUPUESTOS PRECIOS'!$B$4</x:f>
        <x:v>1000</x:v>
      </x:c>
      <x:c r="V509" s="3" t="n">
        <x:f>('SUPUESTOS PRECIOS'!$B$6-'SUPUESTOS PRECIOS'!$B$7)/'SUPUESTOS PRECIOS'!$B$4</x:f>
        <x:v>377.5</x:v>
      </x:c>
      <x:c r="W509" s="4" t="n">
        <x:f>'SUPUESTOS PRECIOS'!$B$8</x:f>
        <x:v>0.00968</x:v>
      </x:c>
      <x:c r="X509" s="4" t="n">
        <x:f>'SUPUESTOS PRECIOS'!$B$2</x:f>
        <x:v>0.4</x:v>
      </x:c>
      <x:c r="Y509" s="3" t="str">
        <x:f t="shared" si="29"/>
      </x:c>
      <x:c r="Z509" s="3" t="str">
        <x:f t="shared" si="30"/>
      </x:c>
      <x:c r="AA509" s="11" t="str">
        <x:f t="shared" si="31"/>
      </x:c>
    </x:row>
    <x:row r="510">
      <x:c r="A510" s="10" t="s">
        <x:v>1633</x:v>
      </x:c>
      <x:c r="F510" t="s">
        <x:v>1358</x:v>
      </x:c>
      <x:c r="K510">
        <x:v>1</x:v>
      </x:c>
      <x:c r="L510" t="str">
        <x:f t="shared" si="28"/>
      </x:c>
      <x:c r="O510" t="s">
        <x:v>38</x:v>
      </x:c>
      <x:c r="T510" s="2" t="n">
        <x:f>'SUPUESTOS PRECIOS'!$B$9</x:f>
        <x:v>0</x:v>
      </x:c>
      <x:c r="U510" s="3" t="n">
        <x:f>'SUPUESTOS PRECIOS'!$B$5/'SUPUESTOS PRECIOS'!$B$4</x:f>
        <x:v>1000</x:v>
      </x:c>
      <x:c r="V510" s="3" t="n">
        <x:f>('SUPUESTOS PRECIOS'!$B$6-'SUPUESTOS PRECIOS'!$B$7)/'SUPUESTOS PRECIOS'!$B$4</x:f>
        <x:v>377.5</x:v>
      </x:c>
      <x:c r="W510" s="4" t="n">
        <x:f>'SUPUESTOS PRECIOS'!$B$8</x:f>
        <x:v>0.00968</x:v>
      </x:c>
      <x:c r="X510" s="4" t="n">
        <x:f>'SUPUESTOS PRECIOS'!$B$2</x:f>
        <x:v>0.4</x:v>
      </x:c>
      <x:c r="Y510" s="3" t="str">
        <x:f t="shared" si="29"/>
      </x:c>
      <x:c r="Z510" s="3" t="str">
        <x:f t="shared" si="30"/>
      </x:c>
      <x:c r="AA510" s="11" t="str">
        <x:f t="shared" si="31"/>
      </x:c>
    </x:row>
    <x:row r="511">
      <x:c r="A511" s="10" t="s">
        <x:v>1634</x:v>
      </x:c>
      <x:c r="F511" t="s">
        <x:v>1358</x:v>
      </x:c>
      <x:c r="K511">
        <x:v>1</x:v>
      </x:c>
      <x:c r="L511" t="str">
        <x:f t="shared" si="28"/>
      </x:c>
      <x:c r="O511" t="s">
        <x:v>38</x:v>
      </x:c>
      <x:c r="T511" s="2" t="n">
        <x:f>'SUPUESTOS PRECIOS'!$B$9</x:f>
        <x:v>0</x:v>
      </x:c>
      <x:c r="U511" s="3" t="n">
        <x:f>'SUPUESTOS PRECIOS'!$B$5/'SUPUESTOS PRECIOS'!$B$4</x:f>
        <x:v>1000</x:v>
      </x:c>
      <x:c r="V511" s="3" t="n">
        <x:f>('SUPUESTOS PRECIOS'!$B$6-'SUPUESTOS PRECIOS'!$B$7)/'SUPUESTOS PRECIOS'!$B$4</x:f>
        <x:v>377.5</x:v>
      </x:c>
      <x:c r="W511" s="4" t="n">
        <x:f>'SUPUESTOS PRECIOS'!$B$8</x:f>
        <x:v>0.00968</x:v>
      </x:c>
      <x:c r="X511" s="4" t="n">
        <x:f>'SUPUESTOS PRECIOS'!$B$2</x:f>
        <x:v>0.4</x:v>
      </x:c>
      <x:c r="Y511" s="3" t="str">
        <x:f t="shared" si="29"/>
      </x:c>
      <x:c r="Z511" s="3" t="str">
        <x:f t="shared" si="30"/>
      </x:c>
      <x:c r="AA511" s="11" t="str">
        <x:f t="shared" si="31"/>
      </x:c>
    </x:row>
    <x:row r="512">
      <x:c r="A512" s="10" t="s">
        <x:v>1635</x:v>
      </x:c>
      <x:c r="F512" t="s">
        <x:v>1358</x:v>
      </x:c>
      <x:c r="K512">
        <x:v>1</x:v>
      </x:c>
      <x:c r="L512" t="str">
        <x:f t="shared" si="28"/>
      </x:c>
      <x:c r="O512" t="s">
        <x:v>38</x:v>
      </x:c>
      <x:c r="T512" s="2" t="n">
        <x:f>'SUPUESTOS PRECIOS'!$B$9</x:f>
        <x:v>0</x:v>
      </x:c>
      <x:c r="U512" s="3" t="n">
        <x:f>'SUPUESTOS PRECIOS'!$B$5/'SUPUESTOS PRECIOS'!$B$4</x:f>
        <x:v>1000</x:v>
      </x:c>
      <x:c r="V512" s="3" t="n">
        <x:f>('SUPUESTOS PRECIOS'!$B$6-'SUPUESTOS PRECIOS'!$B$7)/'SUPUESTOS PRECIOS'!$B$4</x:f>
        <x:v>377.5</x:v>
      </x:c>
      <x:c r="W512" s="4" t="n">
        <x:f>'SUPUESTOS PRECIOS'!$B$8</x:f>
        <x:v>0.00968</x:v>
      </x:c>
      <x:c r="X512" s="4" t="n">
        <x:f>'SUPUESTOS PRECIOS'!$B$2</x:f>
        <x:v>0.4</x:v>
      </x:c>
      <x:c r="Y512" s="3" t="str">
        <x:f t="shared" si="29"/>
      </x:c>
      <x:c r="Z512" s="3" t="str">
        <x:f t="shared" si="30"/>
      </x:c>
      <x:c r="AA512" s="11" t="str">
        <x:f t="shared" si="31"/>
      </x:c>
    </x:row>
    <x:row r="513">
      <x:c r="A513" s="10" t="s">
        <x:v>1636</x:v>
      </x:c>
      <x:c r="F513" t="s">
        <x:v>1358</x:v>
      </x:c>
      <x:c r="K513">
        <x:v>1</x:v>
      </x:c>
      <x:c r="L513" t="str">
        <x:f t="shared" si="28"/>
      </x:c>
      <x:c r="O513" t="s">
        <x:v>38</x:v>
      </x:c>
      <x:c r="T513" s="2" t="n">
        <x:f>'SUPUESTOS PRECIOS'!$B$9</x:f>
        <x:v>0</x:v>
      </x:c>
      <x:c r="U513" s="3" t="n">
        <x:f>'SUPUESTOS PRECIOS'!$B$5/'SUPUESTOS PRECIOS'!$B$4</x:f>
        <x:v>1000</x:v>
      </x:c>
      <x:c r="V513" s="3" t="n">
        <x:f>('SUPUESTOS PRECIOS'!$B$6-'SUPUESTOS PRECIOS'!$B$7)/'SUPUESTOS PRECIOS'!$B$4</x:f>
        <x:v>377.5</x:v>
      </x:c>
      <x:c r="W513" s="4" t="n">
        <x:f>'SUPUESTOS PRECIOS'!$B$8</x:f>
        <x:v>0.00968</x:v>
      </x:c>
      <x:c r="X513" s="4" t="n">
        <x:f>'SUPUESTOS PRECIOS'!$B$2</x:f>
        <x:v>0.4</x:v>
      </x:c>
      <x:c r="Y513" s="3" t="str">
        <x:f t="shared" si="29"/>
      </x:c>
      <x:c r="Z513" s="3" t="str">
        <x:f t="shared" si="30"/>
      </x:c>
      <x:c r="AA513" s="11" t="str">
        <x:f t="shared" si="31"/>
      </x:c>
    </x:row>
    <x:row r="514">
      <x:c r="A514" s="10" t="s">
        <x:v>1637</x:v>
      </x:c>
      <x:c r="F514" t="s">
        <x:v>1358</x:v>
      </x:c>
      <x:c r="K514">
        <x:v>1</x:v>
      </x:c>
      <x:c r="L514" t="str">
        <x:f t="shared" ref="L514:L577" si="32">IF(J514="","",J514*(1+K514))</x:f>
      </x:c>
      <x:c r="O514" t="s">
        <x:v>38</x:v>
      </x:c>
      <x:c r="T514" s="2" t="n">
        <x:f>'SUPUESTOS PRECIOS'!$B$9</x:f>
        <x:v>0</x:v>
      </x:c>
      <x:c r="U514" s="3" t="n">
        <x:f>'SUPUESTOS PRECIOS'!$B$5/'SUPUESTOS PRECIOS'!$B$4</x:f>
        <x:v>1000</x:v>
      </x:c>
      <x:c r="V514" s="3" t="n">
        <x:f>('SUPUESTOS PRECIOS'!$B$6-'SUPUESTOS PRECIOS'!$B$7)/'SUPUESTOS PRECIOS'!$B$4</x:f>
        <x:v>377.5</x:v>
      </x:c>
      <x:c r="W514" s="4" t="n">
        <x:f>'SUPUESTOS PRECIOS'!$B$8</x:f>
        <x:v>0.00968</x:v>
      </x:c>
      <x:c r="X514" s="4" t="n">
        <x:f>'SUPUESTOS PRECIOS'!$B$2</x:f>
        <x:v>0.4</x:v>
      </x:c>
      <x:c r="Y514" s="3" t="str">
        <x:f t="shared" ref="Y514:Y577" si="33">IF(OR($B514="",$J514=""),"",ROUND(($J514+$T514+$U514+$V514)/(1-$W514-$X514),-1))</x:f>
      </x:c>
      <x:c r="Z514" s="3" t="str">
        <x:f t="shared" ref="Z514:Z577" si="34">IF($Y514="","",$Y514-$J514-$T514-$U514-$V514-($Y514*$W514))</x:f>
      </x:c>
      <x:c r="AA514" s="11" t="str">
        <x:f t="shared" ref="AA514:AA577" si="35">IF($Y514="","",$Z514/$Y514)</x:f>
      </x:c>
    </x:row>
    <x:row r="515">
      <x:c r="A515" s="10" t="s">
        <x:v>1638</x:v>
      </x:c>
      <x:c r="F515" t="s">
        <x:v>1358</x:v>
      </x:c>
      <x:c r="K515">
        <x:v>1</x:v>
      </x:c>
      <x:c r="L515" t="str">
        <x:f t="shared" si="32"/>
      </x:c>
      <x:c r="O515" t="s">
        <x:v>38</x:v>
      </x:c>
      <x:c r="T515" s="2" t="n">
        <x:f>'SUPUESTOS PRECIOS'!$B$9</x:f>
        <x:v>0</x:v>
      </x:c>
      <x:c r="U515" s="3" t="n">
        <x:f>'SUPUESTOS PRECIOS'!$B$5/'SUPUESTOS PRECIOS'!$B$4</x:f>
        <x:v>1000</x:v>
      </x:c>
      <x:c r="V515" s="3" t="n">
        <x:f>('SUPUESTOS PRECIOS'!$B$6-'SUPUESTOS PRECIOS'!$B$7)/'SUPUESTOS PRECIOS'!$B$4</x:f>
        <x:v>377.5</x:v>
      </x:c>
      <x:c r="W515" s="4" t="n">
        <x:f>'SUPUESTOS PRECIOS'!$B$8</x:f>
        <x:v>0.00968</x:v>
      </x:c>
      <x:c r="X515" s="4" t="n">
        <x:f>'SUPUESTOS PRECIOS'!$B$2</x:f>
        <x:v>0.4</x:v>
      </x:c>
      <x:c r="Y515" s="3" t="str">
        <x:f t="shared" si="33"/>
      </x:c>
      <x:c r="Z515" s="3" t="str">
        <x:f t="shared" si="34"/>
      </x:c>
      <x:c r="AA515" s="11" t="str">
        <x:f t="shared" si="35"/>
      </x:c>
    </x:row>
    <x:row r="516">
      <x:c r="A516" s="10" t="s">
        <x:v>1639</x:v>
      </x:c>
      <x:c r="F516" t="s">
        <x:v>1358</x:v>
      </x:c>
      <x:c r="K516">
        <x:v>1</x:v>
      </x:c>
      <x:c r="L516" t="str">
        <x:f t="shared" si="32"/>
      </x:c>
      <x:c r="O516" t="s">
        <x:v>38</x:v>
      </x:c>
      <x:c r="T516" s="2" t="n">
        <x:f>'SUPUESTOS PRECIOS'!$B$9</x:f>
        <x:v>0</x:v>
      </x:c>
      <x:c r="U516" s="3" t="n">
        <x:f>'SUPUESTOS PRECIOS'!$B$5/'SUPUESTOS PRECIOS'!$B$4</x:f>
        <x:v>1000</x:v>
      </x:c>
      <x:c r="V516" s="3" t="n">
        <x:f>('SUPUESTOS PRECIOS'!$B$6-'SUPUESTOS PRECIOS'!$B$7)/'SUPUESTOS PRECIOS'!$B$4</x:f>
        <x:v>377.5</x:v>
      </x:c>
      <x:c r="W516" s="4" t="n">
        <x:f>'SUPUESTOS PRECIOS'!$B$8</x:f>
        <x:v>0.00968</x:v>
      </x:c>
      <x:c r="X516" s="4" t="n">
        <x:f>'SUPUESTOS PRECIOS'!$B$2</x:f>
        <x:v>0.4</x:v>
      </x:c>
      <x:c r="Y516" s="3" t="str">
        <x:f t="shared" si="33"/>
      </x:c>
      <x:c r="Z516" s="3" t="str">
        <x:f t="shared" si="34"/>
      </x:c>
      <x:c r="AA516" s="11" t="str">
        <x:f t="shared" si="35"/>
      </x:c>
    </x:row>
    <x:row r="517">
      <x:c r="A517" s="10" t="s">
        <x:v>1640</x:v>
      </x:c>
      <x:c r="F517" t="s">
        <x:v>1358</x:v>
      </x:c>
      <x:c r="K517">
        <x:v>1</x:v>
      </x:c>
      <x:c r="L517" t="str">
        <x:f t="shared" si="32"/>
      </x:c>
      <x:c r="O517" t="s">
        <x:v>38</x:v>
      </x:c>
      <x:c r="T517" s="2" t="n">
        <x:f>'SUPUESTOS PRECIOS'!$B$9</x:f>
        <x:v>0</x:v>
      </x:c>
      <x:c r="U517" s="3" t="n">
        <x:f>'SUPUESTOS PRECIOS'!$B$5/'SUPUESTOS PRECIOS'!$B$4</x:f>
        <x:v>1000</x:v>
      </x:c>
      <x:c r="V517" s="3" t="n">
        <x:f>('SUPUESTOS PRECIOS'!$B$6-'SUPUESTOS PRECIOS'!$B$7)/'SUPUESTOS PRECIOS'!$B$4</x:f>
        <x:v>377.5</x:v>
      </x:c>
      <x:c r="W517" s="4" t="n">
        <x:f>'SUPUESTOS PRECIOS'!$B$8</x:f>
        <x:v>0.00968</x:v>
      </x:c>
      <x:c r="X517" s="4" t="n">
        <x:f>'SUPUESTOS PRECIOS'!$B$2</x:f>
        <x:v>0.4</x:v>
      </x:c>
      <x:c r="Y517" s="3" t="str">
        <x:f t="shared" si="33"/>
      </x:c>
      <x:c r="Z517" s="3" t="str">
        <x:f t="shared" si="34"/>
      </x:c>
      <x:c r="AA517" s="11" t="str">
        <x:f t="shared" si="35"/>
      </x:c>
    </x:row>
    <x:row r="518">
      <x:c r="A518" s="10" t="s">
        <x:v>1641</x:v>
      </x:c>
      <x:c r="F518" t="s">
        <x:v>1358</x:v>
      </x:c>
      <x:c r="K518">
        <x:v>1</x:v>
      </x:c>
      <x:c r="L518" t="str">
        <x:f t="shared" si="32"/>
      </x:c>
      <x:c r="O518" t="s">
        <x:v>38</x:v>
      </x:c>
      <x:c r="T518" s="2" t="n">
        <x:f>'SUPUESTOS PRECIOS'!$B$9</x:f>
        <x:v>0</x:v>
      </x:c>
      <x:c r="U518" s="3" t="n">
        <x:f>'SUPUESTOS PRECIOS'!$B$5/'SUPUESTOS PRECIOS'!$B$4</x:f>
        <x:v>1000</x:v>
      </x:c>
      <x:c r="V518" s="3" t="n">
        <x:f>('SUPUESTOS PRECIOS'!$B$6-'SUPUESTOS PRECIOS'!$B$7)/'SUPUESTOS PRECIOS'!$B$4</x:f>
        <x:v>377.5</x:v>
      </x:c>
      <x:c r="W518" s="4" t="n">
        <x:f>'SUPUESTOS PRECIOS'!$B$8</x:f>
        <x:v>0.00968</x:v>
      </x:c>
      <x:c r="X518" s="4" t="n">
        <x:f>'SUPUESTOS PRECIOS'!$B$2</x:f>
        <x:v>0.4</x:v>
      </x:c>
      <x:c r="Y518" s="3" t="str">
        <x:f t="shared" si="33"/>
      </x:c>
      <x:c r="Z518" s="3" t="str">
        <x:f t="shared" si="34"/>
      </x:c>
      <x:c r="AA518" s="11" t="str">
        <x:f t="shared" si="35"/>
      </x:c>
    </x:row>
    <x:row r="519">
      <x:c r="A519" s="10" t="s">
        <x:v>1642</x:v>
      </x:c>
      <x:c r="F519" t="s">
        <x:v>1358</x:v>
      </x:c>
      <x:c r="K519">
        <x:v>1</x:v>
      </x:c>
      <x:c r="L519" t="str">
        <x:f t="shared" si="32"/>
      </x:c>
      <x:c r="O519" t="s">
        <x:v>38</x:v>
      </x:c>
      <x:c r="T519" s="2" t="n">
        <x:f>'SUPUESTOS PRECIOS'!$B$9</x:f>
        <x:v>0</x:v>
      </x:c>
      <x:c r="U519" s="3" t="n">
        <x:f>'SUPUESTOS PRECIOS'!$B$5/'SUPUESTOS PRECIOS'!$B$4</x:f>
        <x:v>1000</x:v>
      </x:c>
      <x:c r="V519" s="3" t="n">
        <x:f>('SUPUESTOS PRECIOS'!$B$6-'SUPUESTOS PRECIOS'!$B$7)/'SUPUESTOS PRECIOS'!$B$4</x:f>
        <x:v>377.5</x:v>
      </x:c>
      <x:c r="W519" s="4" t="n">
        <x:f>'SUPUESTOS PRECIOS'!$B$8</x:f>
        <x:v>0.00968</x:v>
      </x:c>
      <x:c r="X519" s="4" t="n">
        <x:f>'SUPUESTOS PRECIOS'!$B$2</x:f>
        <x:v>0.4</x:v>
      </x:c>
      <x:c r="Y519" s="3" t="str">
        <x:f t="shared" si="33"/>
      </x:c>
      <x:c r="Z519" s="3" t="str">
        <x:f t="shared" si="34"/>
      </x:c>
      <x:c r="AA519" s="11" t="str">
        <x:f t="shared" si="35"/>
      </x:c>
    </x:row>
    <x:row r="520">
      <x:c r="A520" s="10" t="s">
        <x:v>1643</x:v>
      </x:c>
      <x:c r="F520" t="s">
        <x:v>1358</x:v>
      </x:c>
      <x:c r="K520">
        <x:v>1</x:v>
      </x:c>
      <x:c r="L520" t="str">
        <x:f t="shared" si="32"/>
      </x:c>
      <x:c r="O520" t="s">
        <x:v>38</x:v>
      </x:c>
      <x:c r="T520" s="2" t="n">
        <x:f>'SUPUESTOS PRECIOS'!$B$9</x:f>
        <x:v>0</x:v>
      </x:c>
      <x:c r="U520" s="3" t="n">
        <x:f>'SUPUESTOS PRECIOS'!$B$5/'SUPUESTOS PRECIOS'!$B$4</x:f>
        <x:v>1000</x:v>
      </x:c>
      <x:c r="V520" s="3" t="n">
        <x:f>('SUPUESTOS PRECIOS'!$B$6-'SUPUESTOS PRECIOS'!$B$7)/'SUPUESTOS PRECIOS'!$B$4</x:f>
        <x:v>377.5</x:v>
      </x:c>
      <x:c r="W520" s="4" t="n">
        <x:f>'SUPUESTOS PRECIOS'!$B$8</x:f>
        <x:v>0.00968</x:v>
      </x:c>
      <x:c r="X520" s="4" t="n">
        <x:f>'SUPUESTOS PRECIOS'!$B$2</x:f>
        <x:v>0.4</x:v>
      </x:c>
      <x:c r="Y520" s="3" t="str">
        <x:f t="shared" si="33"/>
      </x:c>
      <x:c r="Z520" s="3" t="str">
        <x:f t="shared" si="34"/>
      </x:c>
      <x:c r="AA520" s="11" t="str">
        <x:f t="shared" si="35"/>
      </x:c>
    </x:row>
    <x:row r="521">
      <x:c r="A521" s="10" t="s">
        <x:v>1644</x:v>
      </x:c>
      <x:c r="F521" t="s">
        <x:v>1358</x:v>
      </x:c>
      <x:c r="K521">
        <x:v>1</x:v>
      </x:c>
      <x:c r="L521" t="str">
        <x:f t="shared" si="32"/>
      </x:c>
      <x:c r="O521" t="s">
        <x:v>38</x:v>
      </x:c>
      <x:c r="T521" s="2" t="n">
        <x:f>'SUPUESTOS PRECIOS'!$B$9</x:f>
        <x:v>0</x:v>
      </x:c>
      <x:c r="U521" s="3" t="n">
        <x:f>'SUPUESTOS PRECIOS'!$B$5/'SUPUESTOS PRECIOS'!$B$4</x:f>
        <x:v>1000</x:v>
      </x:c>
      <x:c r="V521" s="3" t="n">
        <x:f>('SUPUESTOS PRECIOS'!$B$6-'SUPUESTOS PRECIOS'!$B$7)/'SUPUESTOS PRECIOS'!$B$4</x:f>
        <x:v>377.5</x:v>
      </x:c>
      <x:c r="W521" s="4" t="n">
        <x:f>'SUPUESTOS PRECIOS'!$B$8</x:f>
        <x:v>0.00968</x:v>
      </x:c>
      <x:c r="X521" s="4" t="n">
        <x:f>'SUPUESTOS PRECIOS'!$B$2</x:f>
        <x:v>0.4</x:v>
      </x:c>
      <x:c r="Y521" s="3" t="str">
        <x:f t="shared" si="33"/>
      </x:c>
      <x:c r="Z521" s="3" t="str">
        <x:f t="shared" si="34"/>
      </x:c>
      <x:c r="AA521" s="11" t="str">
        <x:f t="shared" si="35"/>
      </x:c>
    </x:row>
    <x:row r="522">
      <x:c r="A522" s="10" t="s">
        <x:v>1645</x:v>
      </x:c>
      <x:c r="F522" t="s">
        <x:v>1358</x:v>
      </x:c>
      <x:c r="K522">
        <x:v>1</x:v>
      </x:c>
      <x:c r="L522" t="str">
        <x:f t="shared" si="32"/>
      </x:c>
      <x:c r="O522" t="s">
        <x:v>38</x:v>
      </x:c>
      <x:c r="T522" s="2" t="n">
        <x:f>'SUPUESTOS PRECIOS'!$B$9</x:f>
        <x:v>0</x:v>
      </x:c>
      <x:c r="U522" s="3" t="n">
        <x:f>'SUPUESTOS PRECIOS'!$B$5/'SUPUESTOS PRECIOS'!$B$4</x:f>
        <x:v>1000</x:v>
      </x:c>
      <x:c r="V522" s="3" t="n">
        <x:f>('SUPUESTOS PRECIOS'!$B$6-'SUPUESTOS PRECIOS'!$B$7)/'SUPUESTOS PRECIOS'!$B$4</x:f>
        <x:v>377.5</x:v>
      </x:c>
      <x:c r="W522" s="4" t="n">
        <x:f>'SUPUESTOS PRECIOS'!$B$8</x:f>
        <x:v>0.00968</x:v>
      </x:c>
      <x:c r="X522" s="4" t="n">
        <x:f>'SUPUESTOS PRECIOS'!$B$2</x:f>
        <x:v>0.4</x:v>
      </x:c>
      <x:c r="Y522" s="3" t="str">
        <x:f t="shared" si="33"/>
      </x:c>
      <x:c r="Z522" s="3" t="str">
        <x:f t="shared" si="34"/>
      </x:c>
      <x:c r="AA522" s="11" t="str">
        <x:f t="shared" si="35"/>
      </x:c>
    </x:row>
    <x:row r="523">
      <x:c r="A523" s="10" t="s">
        <x:v>1646</x:v>
      </x:c>
      <x:c r="F523" t="s">
        <x:v>1358</x:v>
      </x:c>
      <x:c r="K523">
        <x:v>1</x:v>
      </x:c>
      <x:c r="L523" t="str">
        <x:f t="shared" si="32"/>
      </x:c>
      <x:c r="O523" t="s">
        <x:v>38</x:v>
      </x:c>
      <x:c r="T523" s="2" t="n">
        <x:f>'SUPUESTOS PRECIOS'!$B$9</x:f>
        <x:v>0</x:v>
      </x:c>
      <x:c r="U523" s="3" t="n">
        <x:f>'SUPUESTOS PRECIOS'!$B$5/'SUPUESTOS PRECIOS'!$B$4</x:f>
        <x:v>1000</x:v>
      </x:c>
      <x:c r="V523" s="3" t="n">
        <x:f>('SUPUESTOS PRECIOS'!$B$6-'SUPUESTOS PRECIOS'!$B$7)/'SUPUESTOS PRECIOS'!$B$4</x:f>
        <x:v>377.5</x:v>
      </x:c>
      <x:c r="W523" s="4" t="n">
        <x:f>'SUPUESTOS PRECIOS'!$B$8</x:f>
        <x:v>0.00968</x:v>
      </x:c>
      <x:c r="X523" s="4" t="n">
        <x:f>'SUPUESTOS PRECIOS'!$B$2</x:f>
        <x:v>0.4</x:v>
      </x:c>
      <x:c r="Y523" s="3" t="str">
        <x:f t="shared" si="33"/>
      </x:c>
      <x:c r="Z523" s="3" t="str">
        <x:f t="shared" si="34"/>
      </x:c>
      <x:c r="AA523" s="11" t="str">
        <x:f t="shared" si="35"/>
      </x:c>
    </x:row>
    <x:row r="524">
      <x:c r="A524" s="10" t="s">
        <x:v>1647</x:v>
      </x:c>
      <x:c r="F524" t="s">
        <x:v>1358</x:v>
      </x:c>
      <x:c r="K524">
        <x:v>1</x:v>
      </x:c>
      <x:c r="L524" t="str">
        <x:f t="shared" si="32"/>
      </x:c>
      <x:c r="O524" t="s">
        <x:v>38</x:v>
      </x:c>
      <x:c r="T524" s="2" t="n">
        <x:f>'SUPUESTOS PRECIOS'!$B$9</x:f>
        <x:v>0</x:v>
      </x:c>
      <x:c r="U524" s="3" t="n">
        <x:f>'SUPUESTOS PRECIOS'!$B$5/'SUPUESTOS PRECIOS'!$B$4</x:f>
        <x:v>1000</x:v>
      </x:c>
      <x:c r="V524" s="3" t="n">
        <x:f>('SUPUESTOS PRECIOS'!$B$6-'SUPUESTOS PRECIOS'!$B$7)/'SUPUESTOS PRECIOS'!$B$4</x:f>
        <x:v>377.5</x:v>
      </x:c>
      <x:c r="W524" s="4" t="n">
        <x:f>'SUPUESTOS PRECIOS'!$B$8</x:f>
        <x:v>0.00968</x:v>
      </x:c>
      <x:c r="X524" s="4" t="n">
        <x:f>'SUPUESTOS PRECIOS'!$B$2</x:f>
        <x:v>0.4</x:v>
      </x:c>
      <x:c r="Y524" s="3" t="str">
        <x:f t="shared" si="33"/>
      </x:c>
      <x:c r="Z524" s="3" t="str">
        <x:f t="shared" si="34"/>
      </x:c>
      <x:c r="AA524" s="11" t="str">
        <x:f t="shared" si="35"/>
      </x:c>
    </x:row>
    <x:row r="525">
      <x:c r="A525" s="10" t="s">
        <x:v>1648</x:v>
      </x:c>
      <x:c r="F525" t="s">
        <x:v>1358</x:v>
      </x:c>
      <x:c r="K525">
        <x:v>1</x:v>
      </x:c>
      <x:c r="L525" t="str">
        <x:f t="shared" si="32"/>
      </x:c>
      <x:c r="O525" t="s">
        <x:v>38</x:v>
      </x:c>
      <x:c r="T525" s="2" t="n">
        <x:f>'SUPUESTOS PRECIOS'!$B$9</x:f>
        <x:v>0</x:v>
      </x:c>
      <x:c r="U525" s="3" t="n">
        <x:f>'SUPUESTOS PRECIOS'!$B$5/'SUPUESTOS PRECIOS'!$B$4</x:f>
        <x:v>1000</x:v>
      </x:c>
      <x:c r="V525" s="3" t="n">
        <x:f>('SUPUESTOS PRECIOS'!$B$6-'SUPUESTOS PRECIOS'!$B$7)/'SUPUESTOS PRECIOS'!$B$4</x:f>
        <x:v>377.5</x:v>
      </x:c>
      <x:c r="W525" s="4" t="n">
        <x:f>'SUPUESTOS PRECIOS'!$B$8</x:f>
        <x:v>0.00968</x:v>
      </x:c>
      <x:c r="X525" s="4" t="n">
        <x:f>'SUPUESTOS PRECIOS'!$B$2</x:f>
        <x:v>0.4</x:v>
      </x:c>
      <x:c r="Y525" s="3" t="str">
        <x:f t="shared" si="33"/>
      </x:c>
      <x:c r="Z525" s="3" t="str">
        <x:f t="shared" si="34"/>
      </x:c>
      <x:c r="AA525" s="11" t="str">
        <x:f t="shared" si="35"/>
      </x:c>
    </x:row>
    <x:row r="526">
      <x:c r="A526" s="10" t="s">
        <x:v>1649</x:v>
      </x:c>
      <x:c r="F526" t="s">
        <x:v>1358</x:v>
      </x:c>
      <x:c r="K526">
        <x:v>1</x:v>
      </x:c>
      <x:c r="L526" t="str">
        <x:f t="shared" si="32"/>
      </x:c>
      <x:c r="O526" t="s">
        <x:v>38</x:v>
      </x:c>
      <x:c r="T526" s="2" t="n">
        <x:f>'SUPUESTOS PRECIOS'!$B$9</x:f>
        <x:v>0</x:v>
      </x:c>
      <x:c r="U526" s="3" t="n">
        <x:f>'SUPUESTOS PRECIOS'!$B$5/'SUPUESTOS PRECIOS'!$B$4</x:f>
        <x:v>1000</x:v>
      </x:c>
      <x:c r="V526" s="3" t="n">
        <x:f>('SUPUESTOS PRECIOS'!$B$6-'SUPUESTOS PRECIOS'!$B$7)/'SUPUESTOS PRECIOS'!$B$4</x:f>
        <x:v>377.5</x:v>
      </x:c>
      <x:c r="W526" s="4" t="n">
        <x:f>'SUPUESTOS PRECIOS'!$B$8</x:f>
        <x:v>0.00968</x:v>
      </x:c>
      <x:c r="X526" s="4" t="n">
        <x:f>'SUPUESTOS PRECIOS'!$B$2</x:f>
        <x:v>0.4</x:v>
      </x:c>
      <x:c r="Y526" s="3" t="str">
        <x:f t="shared" si="33"/>
      </x:c>
      <x:c r="Z526" s="3" t="str">
        <x:f t="shared" si="34"/>
      </x:c>
      <x:c r="AA526" s="11" t="str">
        <x:f t="shared" si="35"/>
      </x:c>
    </x:row>
    <x:row r="527">
      <x:c r="A527" s="10" t="s">
        <x:v>1650</x:v>
      </x:c>
      <x:c r="F527" t="s">
        <x:v>1358</x:v>
      </x:c>
      <x:c r="K527">
        <x:v>1</x:v>
      </x:c>
      <x:c r="L527" t="str">
        <x:f t="shared" si="32"/>
      </x:c>
      <x:c r="O527" t="s">
        <x:v>38</x:v>
      </x:c>
      <x:c r="T527" s="2" t="n">
        <x:f>'SUPUESTOS PRECIOS'!$B$9</x:f>
        <x:v>0</x:v>
      </x:c>
      <x:c r="U527" s="3" t="n">
        <x:f>'SUPUESTOS PRECIOS'!$B$5/'SUPUESTOS PRECIOS'!$B$4</x:f>
        <x:v>1000</x:v>
      </x:c>
      <x:c r="V527" s="3" t="n">
        <x:f>('SUPUESTOS PRECIOS'!$B$6-'SUPUESTOS PRECIOS'!$B$7)/'SUPUESTOS PRECIOS'!$B$4</x:f>
        <x:v>377.5</x:v>
      </x:c>
      <x:c r="W527" s="4" t="n">
        <x:f>'SUPUESTOS PRECIOS'!$B$8</x:f>
        <x:v>0.00968</x:v>
      </x:c>
      <x:c r="X527" s="4" t="n">
        <x:f>'SUPUESTOS PRECIOS'!$B$2</x:f>
        <x:v>0.4</x:v>
      </x:c>
      <x:c r="Y527" s="3" t="str">
        <x:f t="shared" si="33"/>
      </x:c>
      <x:c r="Z527" s="3" t="str">
        <x:f t="shared" si="34"/>
      </x:c>
      <x:c r="AA527" s="11" t="str">
        <x:f t="shared" si="35"/>
      </x:c>
    </x:row>
    <x:row r="528">
      <x:c r="A528" s="10" t="s">
        <x:v>1651</x:v>
      </x:c>
      <x:c r="F528" t="s">
        <x:v>1358</x:v>
      </x:c>
      <x:c r="K528">
        <x:v>1</x:v>
      </x:c>
      <x:c r="L528" t="str">
        <x:f t="shared" si="32"/>
      </x:c>
      <x:c r="O528" t="s">
        <x:v>38</x:v>
      </x:c>
      <x:c r="T528" s="2" t="n">
        <x:f>'SUPUESTOS PRECIOS'!$B$9</x:f>
        <x:v>0</x:v>
      </x:c>
      <x:c r="U528" s="3" t="n">
        <x:f>'SUPUESTOS PRECIOS'!$B$5/'SUPUESTOS PRECIOS'!$B$4</x:f>
        <x:v>1000</x:v>
      </x:c>
      <x:c r="V528" s="3" t="n">
        <x:f>('SUPUESTOS PRECIOS'!$B$6-'SUPUESTOS PRECIOS'!$B$7)/'SUPUESTOS PRECIOS'!$B$4</x:f>
        <x:v>377.5</x:v>
      </x:c>
      <x:c r="W528" s="4" t="n">
        <x:f>'SUPUESTOS PRECIOS'!$B$8</x:f>
        <x:v>0.00968</x:v>
      </x:c>
      <x:c r="X528" s="4" t="n">
        <x:f>'SUPUESTOS PRECIOS'!$B$2</x:f>
        <x:v>0.4</x:v>
      </x:c>
      <x:c r="Y528" s="3" t="str">
        <x:f t="shared" si="33"/>
      </x:c>
      <x:c r="Z528" s="3" t="str">
        <x:f t="shared" si="34"/>
      </x:c>
      <x:c r="AA528" s="11" t="str">
        <x:f t="shared" si="35"/>
      </x:c>
    </x:row>
    <x:row r="529">
      <x:c r="A529" s="10" t="s">
        <x:v>1652</x:v>
      </x:c>
      <x:c r="F529" t="s">
        <x:v>1358</x:v>
      </x:c>
      <x:c r="K529">
        <x:v>1</x:v>
      </x:c>
      <x:c r="L529" t="str">
        <x:f t="shared" si="32"/>
      </x:c>
      <x:c r="O529" t="s">
        <x:v>38</x:v>
      </x:c>
      <x:c r="T529" s="2" t="n">
        <x:f>'SUPUESTOS PRECIOS'!$B$9</x:f>
        <x:v>0</x:v>
      </x:c>
      <x:c r="U529" s="3" t="n">
        <x:f>'SUPUESTOS PRECIOS'!$B$5/'SUPUESTOS PRECIOS'!$B$4</x:f>
        <x:v>1000</x:v>
      </x:c>
      <x:c r="V529" s="3" t="n">
        <x:f>('SUPUESTOS PRECIOS'!$B$6-'SUPUESTOS PRECIOS'!$B$7)/'SUPUESTOS PRECIOS'!$B$4</x:f>
        <x:v>377.5</x:v>
      </x:c>
      <x:c r="W529" s="4" t="n">
        <x:f>'SUPUESTOS PRECIOS'!$B$8</x:f>
        <x:v>0.00968</x:v>
      </x:c>
      <x:c r="X529" s="4" t="n">
        <x:f>'SUPUESTOS PRECIOS'!$B$2</x:f>
        <x:v>0.4</x:v>
      </x:c>
      <x:c r="Y529" s="3" t="str">
        <x:f t="shared" si="33"/>
      </x:c>
      <x:c r="Z529" s="3" t="str">
        <x:f t="shared" si="34"/>
      </x:c>
      <x:c r="AA529" s="11" t="str">
        <x:f t="shared" si="35"/>
      </x:c>
    </x:row>
    <x:row r="530">
      <x:c r="A530" s="10" t="s">
        <x:v>1653</x:v>
      </x:c>
      <x:c r="F530" t="s">
        <x:v>1358</x:v>
      </x:c>
      <x:c r="K530">
        <x:v>1</x:v>
      </x:c>
      <x:c r="L530" t="str">
        <x:f t="shared" si="32"/>
      </x:c>
      <x:c r="O530" t="s">
        <x:v>38</x:v>
      </x:c>
      <x:c r="T530" s="2" t="n">
        <x:f>'SUPUESTOS PRECIOS'!$B$9</x:f>
        <x:v>0</x:v>
      </x:c>
      <x:c r="U530" s="3" t="n">
        <x:f>'SUPUESTOS PRECIOS'!$B$5/'SUPUESTOS PRECIOS'!$B$4</x:f>
        <x:v>1000</x:v>
      </x:c>
      <x:c r="V530" s="3" t="n">
        <x:f>('SUPUESTOS PRECIOS'!$B$6-'SUPUESTOS PRECIOS'!$B$7)/'SUPUESTOS PRECIOS'!$B$4</x:f>
        <x:v>377.5</x:v>
      </x:c>
      <x:c r="W530" s="4" t="n">
        <x:f>'SUPUESTOS PRECIOS'!$B$8</x:f>
        <x:v>0.00968</x:v>
      </x:c>
      <x:c r="X530" s="4" t="n">
        <x:f>'SUPUESTOS PRECIOS'!$B$2</x:f>
        <x:v>0.4</x:v>
      </x:c>
      <x:c r="Y530" s="3" t="str">
        <x:f t="shared" si="33"/>
      </x:c>
      <x:c r="Z530" s="3" t="str">
        <x:f t="shared" si="34"/>
      </x:c>
      <x:c r="AA530" s="11" t="str">
        <x:f t="shared" si="35"/>
      </x:c>
    </x:row>
    <x:row r="531">
      <x:c r="A531" s="10" t="s">
        <x:v>1654</x:v>
      </x:c>
      <x:c r="F531" t="s">
        <x:v>1358</x:v>
      </x:c>
      <x:c r="K531">
        <x:v>1</x:v>
      </x:c>
      <x:c r="L531" t="str">
        <x:f t="shared" si="32"/>
      </x:c>
      <x:c r="O531" t="s">
        <x:v>38</x:v>
      </x:c>
      <x:c r="T531" s="2" t="n">
        <x:f>'SUPUESTOS PRECIOS'!$B$9</x:f>
        <x:v>0</x:v>
      </x:c>
      <x:c r="U531" s="3" t="n">
        <x:f>'SUPUESTOS PRECIOS'!$B$5/'SUPUESTOS PRECIOS'!$B$4</x:f>
        <x:v>1000</x:v>
      </x:c>
      <x:c r="V531" s="3" t="n">
        <x:f>('SUPUESTOS PRECIOS'!$B$6-'SUPUESTOS PRECIOS'!$B$7)/'SUPUESTOS PRECIOS'!$B$4</x:f>
        <x:v>377.5</x:v>
      </x:c>
      <x:c r="W531" s="4" t="n">
        <x:f>'SUPUESTOS PRECIOS'!$B$8</x:f>
        <x:v>0.00968</x:v>
      </x:c>
      <x:c r="X531" s="4" t="n">
        <x:f>'SUPUESTOS PRECIOS'!$B$2</x:f>
        <x:v>0.4</x:v>
      </x:c>
      <x:c r="Y531" s="3" t="str">
        <x:f t="shared" si="33"/>
      </x:c>
      <x:c r="Z531" s="3" t="str">
        <x:f t="shared" si="34"/>
      </x:c>
      <x:c r="AA531" s="11" t="str">
        <x:f t="shared" si="35"/>
      </x:c>
    </x:row>
    <x:row r="532">
      <x:c r="A532" s="10" t="s">
        <x:v>1655</x:v>
      </x:c>
      <x:c r="F532" t="s">
        <x:v>1358</x:v>
      </x:c>
      <x:c r="K532">
        <x:v>1</x:v>
      </x:c>
      <x:c r="L532" t="str">
        <x:f t="shared" si="32"/>
      </x:c>
      <x:c r="O532" t="s">
        <x:v>38</x:v>
      </x:c>
      <x:c r="T532" s="2" t="n">
        <x:f>'SUPUESTOS PRECIOS'!$B$9</x:f>
        <x:v>0</x:v>
      </x:c>
      <x:c r="U532" s="3" t="n">
        <x:f>'SUPUESTOS PRECIOS'!$B$5/'SUPUESTOS PRECIOS'!$B$4</x:f>
        <x:v>1000</x:v>
      </x:c>
      <x:c r="V532" s="3" t="n">
        <x:f>('SUPUESTOS PRECIOS'!$B$6-'SUPUESTOS PRECIOS'!$B$7)/'SUPUESTOS PRECIOS'!$B$4</x:f>
        <x:v>377.5</x:v>
      </x:c>
      <x:c r="W532" s="4" t="n">
        <x:f>'SUPUESTOS PRECIOS'!$B$8</x:f>
        <x:v>0.00968</x:v>
      </x:c>
      <x:c r="X532" s="4" t="n">
        <x:f>'SUPUESTOS PRECIOS'!$B$2</x:f>
        <x:v>0.4</x:v>
      </x:c>
      <x:c r="Y532" s="3" t="str">
        <x:f t="shared" si="33"/>
      </x:c>
      <x:c r="Z532" s="3" t="str">
        <x:f t="shared" si="34"/>
      </x:c>
      <x:c r="AA532" s="11" t="str">
        <x:f t="shared" si="35"/>
      </x:c>
    </x:row>
    <x:row r="533">
      <x:c r="A533" s="10" t="s">
        <x:v>1656</x:v>
      </x:c>
      <x:c r="F533" t="s">
        <x:v>1358</x:v>
      </x:c>
      <x:c r="K533">
        <x:v>1</x:v>
      </x:c>
      <x:c r="L533" t="str">
        <x:f t="shared" si="32"/>
      </x:c>
      <x:c r="O533" t="s">
        <x:v>38</x:v>
      </x:c>
      <x:c r="T533" s="2" t="n">
        <x:f>'SUPUESTOS PRECIOS'!$B$9</x:f>
        <x:v>0</x:v>
      </x:c>
      <x:c r="U533" s="3" t="n">
        <x:f>'SUPUESTOS PRECIOS'!$B$5/'SUPUESTOS PRECIOS'!$B$4</x:f>
        <x:v>1000</x:v>
      </x:c>
      <x:c r="V533" s="3" t="n">
        <x:f>('SUPUESTOS PRECIOS'!$B$6-'SUPUESTOS PRECIOS'!$B$7)/'SUPUESTOS PRECIOS'!$B$4</x:f>
        <x:v>377.5</x:v>
      </x:c>
      <x:c r="W533" s="4" t="n">
        <x:f>'SUPUESTOS PRECIOS'!$B$8</x:f>
        <x:v>0.00968</x:v>
      </x:c>
      <x:c r="X533" s="4" t="n">
        <x:f>'SUPUESTOS PRECIOS'!$B$2</x:f>
        <x:v>0.4</x:v>
      </x:c>
      <x:c r="Y533" s="3" t="str">
        <x:f t="shared" si="33"/>
      </x:c>
      <x:c r="Z533" s="3" t="str">
        <x:f t="shared" si="34"/>
      </x:c>
      <x:c r="AA533" s="11" t="str">
        <x:f t="shared" si="35"/>
      </x:c>
    </x:row>
    <x:row r="534">
      <x:c r="A534" s="10" t="s">
        <x:v>1657</x:v>
      </x:c>
      <x:c r="F534" t="s">
        <x:v>1358</x:v>
      </x:c>
      <x:c r="K534">
        <x:v>1</x:v>
      </x:c>
      <x:c r="L534" t="str">
        <x:f t="shared" si="32"/>
      </x:c>
      <x:c r="O534" t="s">
        <x:v>38</x:v>
      </x:c>
      <x:c r="T534" s="2" t="n">
        <x:f>'SUPUESTOS PRECIOS'!$B$9</x:f>
        <x:v>0</x:v>
      </x:c>
      <x:c r="U534" s="3" t="n">
        <x:f>'SUPUESTOS PRECIOS'!$B$5/'SUPUESTOS PRECIOS'!$B$4</x:f>
        <x:v>1000</x:v>
      </x:c>
      <x:c r="V534" s="3" t="n">
        <x:f>('SUPUESTOS PRECIOS'!$B$6-'SUPUESTOS PRECIOS'!$B$7)/'SUPUESTOS PRECIOS'!$B$4</x:f>
        <x:v>377.5</x:v>
      </x:c>
      <x:c r="W534" s="4" t="n">
        <x:f>'SUPUESTOS PRECIOS'!$B$8</x:f>
        <x:v>0.00968</x:v>
      </x:c>
      <x:c r="X534" s="4" t="n">
        <x:f>'SUPUESTOS PRECIOS'!$B$2</x:f>
        <x:v>0.4</x:v>
      </x:c>
      <x:c r="Y534" s="3" t="str">
        <x:f t="shared" si="33"/>
      </x:c>
      <x:c r="Z534" s="3" t="str">
        <x:f t="shared" si="34"/>
      </x:c>
      <x:c r="AA534" s="11" t="str">
        <x:f t="shared" si="35"/>
      </x:c>
    </x:row>
    <x:row r="535">
      <x:c r="A535" s="10" t="s">
        <x:v>1658</x:v>
      </x:c>
      <x:c r="F535" t="s">
        <x:v>1358</x:v>
      </x:c>
      <x:c r="K535">
        <x:v>1</x:v>
      </x:c>
      <x:c r="L535" t="str">
        <x:f t="shared" si="32"/>
      </x:c>
      <x:c r="O535" t="s">
        <x:v>38</x:v>
      </x:c>
      <x:c r="T535" s="2" t="n">
        <x:f>'SUPUESTOS PRECIOS'!$B$9</x:f>
        <x:v>0</x:v>
      </x:c>
      <x:c r="U535" s="3" t="n">
        <x:f>'SUPUESTOS PRECIOS'!$B$5/'SUPUESTOS PRECIOS'!$B$4</x:f>
        <x:v>1000</x:v>
      </x:c>
      <x:c r="V535" s="3" t="n">
        <x:f>('SUPUESTOS PRECIOS'!$B$6-'SUPUESTOS PRECIOS'!$B$7)/'SUPUESTOS PRECIOS'!$B$4</x:f>
        <x:v>377.5</x:v>
      </x:c>
      <x:c r="W535" s="4" t="n">
        <x:f>'SUPUESTOS PRECIOS'!$B$8</x:f>
        <x:v>0.00968</x:v>
      </x:c>
      <x:c r="X535" s="4" t="n">
        <x:f>'SUPUESTOS PRECIOS'!$B$2</x:f>
        <x:v>0.4</x:v>
      </x:c>
      <x:c r="Y535" s="3" t="str">
        <x:f t="shared" si="33"/>
      </x:c>
      <x:c r="Z535" s="3" t="str">
        <x:f t="shared" si="34"/>
      </x:c>
      <x:c r="AA535" s="11" t="str">
        <x:f t="shared" si="35"/>
      </x:c>
    </x:row>
    <x:row r="536">
      <x:c r="A536" s="10" t="s">
        <x:v>1659</x:v>
      </x:c>
      <x:c r="F536" t="s">
        <x:v>1358</x:v>
      </x:c>
      <x:c r="K536">
        <x:v>1</x:v>
      </x:c>
      <x:c r="L536" t="str">
        <x:f t="shared" si="32"/>
      </x:c>
      <x:c r="O536" t="s">
        <x:v>38</x:v>
      </x:c>
      <x:c r="T536" s="2" t="n">
        <x:f>'SUPUESTOS PRECIOS'!$B$9</x:f>
        <x:v>0</x:v>
      </x:c>
      <x:c r="U536" s="3" t="n">
        <x:f>'SUPUESTOS PRECIOS'!$B$5/'SUPUESTOS PRECIOS'!$B$4</x:f>
        <x:v>1000</x:v>
      </x:c>
      <x:c r="V536" s="3" t="n">
        <x:f>('SUPUESTOS PRECIOS'!$B$6-'SUPUESTOS PRECIOS'!$B$7)/'SUPUESTOS PRECIOS'!$B$4</x:f>
        <x:v>377.5</x:v>
      </x:c>
      <x:c r="W536" s="4" t="n">
        <x:f>'SUPUESTOS PRECIOS'!$B$8</x:f>
        <x:v>0.00968</x:v>
      </x:c>
      <x:c r="X536" s="4" t="n">
        <x:f>'SUPUESTOS PRECIOS'!$B$2</x:f>
        <x:v>0.4</x:v>
      </x:c>
      <x:c r="Y536" s="3" t="str">
        <x:f t="shared" si="33"/>
      </x:c>
      <x:c r="Z536" s="3" t="str">
        <x:f t="shared" si="34"/>
      </x:c>
      <x:c r="AA536" s="11" t="str">
        <x:f t="shared" si="35"/>
      </x:c>
    </x:row>
    <x:row r="537">
      <x:c r="A537" s="10" t="s">
        <x:v>1660</x:v>
      </x:c>
      <x:c r="F537" t="s">
        <x:v>1358</x:v>
      </x:c>
      <x:c r="K537">
        <x:v>1</x:v>
      </x:c>
      <x:c r="L537" t="str">
        <x:f t="shared" si="32"/>
      </x:c>
      <x:c r="O537" t="s">
        <x:v>38</x:v>
      </x:c>
      <x:c r="T537" s="2" t="n">
        <x:f>'SUPUESTOS PRECIOS'!$B$9</x:f>
        <x:v>0</x:v>
      </x:c>
      <x:c r="U537" s="3" t="n">
        <x:f>'SUPUESTOS PRECIOS'!$B$5/'SUPUESTOS PRECIOS'!$B$4</x:f>
        <x:v>1000</x:v>
      </x:c>
      <x:c r="V537" s="3" t="n">
        <x:f>('SUPUESTOS PRECIOS'!$B$6-'SUPUESTOS PRECIOS'!$B$7)/'SUPUESTOS PRECIOS'!$B$4</x:f>
        <x:v>377.5</x:v>
      </x:c>
      <x:c r="W537" s="4" t="n">
        <x:f>'SUPUESTOS PRECIOS'!$B$8</x:f>
        <x:v>0.00968</x:v>
      </x:c>
      <x:c r="X537" s="4" t="n">
        <x:f>'SUPUESTOS PRECIOS'!$B$2</x:f>
        <x:v>0.4</x:v>
      </x:c>
      <x:c r="Y537" s="3" t="str">
        <x:f t="shared" si="33"/>
      </x:c>
      <x:c r="Z537" s="3" t="str">
        <x:f t="shared" si="34"/>
      </x:c>
      <x:c r="AA537" s="11" t="str">
        <x:f t="shared" si="35"/>
      </x:c>
    </x:row>
    <x:row r="538">
      <x:c r="A538" s="10" t="s">
        <x:v>1661</x:v>
      </x:c>
      <x:c r="F538" t="s">
        <x:v>1358</x:v>
      </x:c>
      <x:c r="K538">
        <x:v>1</x:v>
      </x:c>
      <x:c r="L538" t="str">
        <x:f t="shared" si="32"/>
      </x:c>
      <x:c r="O538" t="s">
        <x:v>38</x:v>
      </x:c>
      <x:c r="T538" s="2" t="n">
        <x:f>'SUPUESTOS PRECIOS'!$B$9</x:f>
        <x:v>0</x:v>
      </x:c>
      <x:c r="U538" s="3" t="n">
        <x:f>'SUPUESTOS PRECIOS'!$B$5/'SUPUESTOS PRECIOS'!$B$4</x:f>
        <x:v>1000</x:v>
      </x:c>
      <x:c r="V538" s="3" t="n">
        <x:f>('SUPUESTOS PRECIOS'!$B$6-'SUPUESTOS PRECIOS'!$B$7)/'SUPUESTOS PRECIOS'!$B$4</x:f>
        <x:v>377.5</x:v>
      </x:c>
      <x:c r="W538" s="4" t="n">
        <x:f>'SUPUESTOS PRECIOS'!$B$8</x:f>
        <x:v>0.00968</x:v>
      </x:c>
      <x:c r="X538" s="4" t="n">
        <x:f>'SUPUESTOS PRECIOS'!$B$2</x:f>
        <x:v>0.4</x:v>
      </x:c>
      <x:c r="Y538" s="3" t="str">
        <x:f t="shared" si="33"/>
      </x:c>
      <x:c r="Z538" s="3" t="str">
        <x:f t="shared" si="34"/>
      </x:c>
      <x:c r="AA538" s="11" t="str">
        <x:f t="shared" si="35"/>
      </x:c>
    </x:row>
    <x:row r="539">
      <x:c r="A539" s="10" t="s">
        <x:v>1662</x:v>
      </x:c>
      <x:c r="F539" t="s">
        <x:v>1358</x:v>
      </x:c>
      <x:c r="K539">
        <x:v>1</x:v>
      </x:c>
      <x:c r="L539" t="str">
        <x:f t="shared" si="32"/>
      </x:c>
      <x:c r="O539" t="s">
        <x:v>38</x:v>
      </x:c>
      <x:c r="T539" s="2" t="n">
        <x:f>'SUPUESTOS PRECIOS'!$B$9</x:f>
        <x:v>0</x:v>
      </x:c>
      <x:c r="U539" s="3" t="n">
        <x:f>'SUPUESTOS PRECIOS'!$B$5/'SUPUESTOS PRECIOS'!$B$4</x:f>
        <x:v>1000</x:v>
      </x:c>
      <x:c r="V539" s="3" t="n">
        <x:f>('SUPUESTOS PRECIOS'!$B$6-'SUPUESTOS PRECIOS'!$B$7)/'SUPUESTOS PRECIOS'!$B$4</x:f>
        <x:v>377.5</x:v>
      </x:c>
      <x:c r="W539" s="4" t="n">
        <x:f>'SUPUESTOS PRECIOS'!$B$8</x:f>
        <x:v>0.00968</x:v>
      </x:c>
      <x:c r="X539" s="4" t="n">
        <x:f>'SUPUESTOS PRECIOS'!$B$2</x:f>
        <x:v>0.4</x:v>
      </x:c>
      <x:c r="Y539" s="3" t="str">
        <x:f t="shared" si="33"/>
      </x:c>
      <x:c r="Z539" s="3" t="str">
        <x:f t="shared" si="34"/>
      </x:c>
      <x:c r="AA539" s="11" t="str">
        <x:f t="shared" si="35"/>
      </x:c>
    </x:row>
    <x:row r="540">
      <x:c r="A540" s="10" t="s">
        <x:v>1663</x:v>
      </x:c>
      <x:c r="F540" t="s">
        <x:v>1358</x:v>
      </x:c>
      <x:c r="K540">
        <x:v>1</x:v>
      </x:c>
      <x:c r="L540" t="str">
        <x:f t="shared" si="32"/>
      </x:c>
      <x:c r="O540" t="s">
        <x:v>38</x:v>
      </x:c>
      <x:c r="T540" s="2" t="n">
        <x:f>'SUPUESTOS PRECIOS'!$B$9</x:f>
        <x:v>0</x:v>
      </x:c>
      <x:c r="U540" s="3" t="n">
        <x:f>'SUPUESTOS PRECIOS'!$B$5/'SUPUESTOS PRECIOS'!$B$4</x:f>
        <x:v>1000</x:v>
      </x:c>
      <x:c r="V540" s="3" t="n">
        <x:f>('SUPUESTOS PRECIOS'!$B$6-'SUPUESTOS PRECIOS'!$B$7)/'SUPUESTOS PRECIOS'!$B$4</x:f>
        <x:v>377.5</x:v>
      </x:c>
      <x:c r="W540" s="4" t="n">
        <x:f>'SUPUESTOS PRECIOS'!$B$8</x:f>
        <x:v>0.00968</x:v>
      </x:c>
      <x:c r="X540" s="4" t="n">
        <x:f>'SUPUESTOS PRECIOS'!$B$2</x:f>
        <x:v>0.4</x:v>
      </x:c>
      <x:c r="Y540" s="3" t="str">
        <x:f t="shared" si="33"/>
      </x:c>
      <x:c r="Z540" s="3" t="str">
        <x:f t="shared" si="34"/>
      </x:c>
      <x:c r="AA540" s="11" t="str">
        <x:f t="shared" si="35"/>
      </x:c>
    </x:row>
    <x:row r="541">
      <x:c r="A541" s="10" t="s">
        <x:v>1664</x:v>
      </x:c>
      <x:c r="F541" t="s">
        <x:v>1358</x:v>
      </x:c>
      <x:c r="K541">
        <x:v>1</x:v>
      </x:c>
      <x:c r="L541" t="str">
        <x:f t="shared" si="32"/>
      </x:c>
      <x:c r="O541" t="s">
        <x:v>38</x:v>
      </x:c>
      <x:c r="T541" s="2" t="n">
        <x:f>'SUPUESTOS PRECIOS'!$B$9</x:f>
        <x:v>0</x:v>
      </x:c>
      <x:c r="U541" s="3" t="n">
        <x:f>'SUPUESTOS PRECIOS'!$B$5/'SUPUESTOS PRECIOS'!$B$4</x:f>
        <x:v>1000</x:v>
      </x:c>
      <x:c r="V541" s="3" t="n">
        <x:f>('SUPUESTOS PRECIOS'!$B$6-'SUPUESTOS PRECIOS'!$B$7)/'SUPUESTOS PRECIOS'!$B$4</x:f>
        <x:v>377.5</x:v>
      </x:c>
      <x:c r="W541" s="4" t="n">
        <x:f>'SUPUESTOS PRECIOS'!$B$8</x:f>
        <x:v>0.00968</x:v>
      </x:c>
      <x:c r="X541" s="4" t="n">
        <x:f>'SUPUESTOS PRECIOS'!$B$2</x:f>
        <x:v>0.4</x:v>
      </x:c>
      <x:c r="Y541" s="3" t="str">
        <x:f t="shared" si="33"/>
      </x:c>
      <x:c r="Z541" s="3" t="str">
        <x:f t="shared" si="34"/>
      </x:c>
      <x:c r="AA541" s="11" t="str">
        <x:f t="shared" si="35"/>
      </x:c>
    </x:row>
    <x:row r="542">
      <x:c r="A542" s="10" t="s">
        <x:v>1665</x:v>
      </x:c>
      <x:c r="F542" t="s">
        <x:v>1358</x:v>
      </x:c>
      <x:c r="K542">
        <x:v>1</x:v>
      </x:c>
      <x:c r="L542" t="str">
        <x:f t="shared" si="32"/>
      </x:c>
      <x:c r="O542" t="s">
        <x:v>38</x:v>
      </x:c>
      <x:c r="T542" s="2" t="n">
        <x:f>'SUPUESTOS PRECIOS'!$B$9</x:f>
        <x:v>0</x:v>
      </x:c>
      <x:c r="U542" s="3" t="n">
        <x:f>'SUPUESTOS PRECIOS'!$B$5/'SUPUESTOS PRECIOS'!$B$4</x:f>
        <x:v>1000</x:v>
      </x:c>
      <x:c r="V542" s="3" t="n">
        <x:f>('SUPUESTOS PRECIOS'!$B$6-'SUPUESTOS PRECIOS'!$B$7)/'SUPUESTOS PRECIOS'!$B$4</x:f>
        <x:v>377.5</x:v>
      </x:c>
      <x:c r="W542" s="4" t="n">
        <x:f>'SUPUESTOS PRECIOS'!$B$8</x:f>
        <x:v>0.00968</x:v>
      </x:c>
      <x:c r="X542" s="4" t="n">
        <x:f>'SUPUESTOS PRECIOS'!$B$2</x:f>
        <x:v>0.4</x:v>
      </x:c>
      <x:c r="Y542" s="3" t="str">
        <x:f t="shared" si="33"/>
      </x:c>
      <x:c r="Z542" s="3" t="str">
        <x:f t="shared" si="34"/>
      </x:c>
      <x:c r="AA542" s="11" t="str">
        <x:f t="shared" si="35"/>
      </x:c>
    </x:row>
    <x:row r="543">
      <x:c r="A543" s="10" t="s">
        <x:v>1666</x:v>
      </x:c>
      <x:c r="F543" t="s">
        <x:v>1358</x:v>
      </x:c>
      <x:c r="K543">
        <x:v>1</x:v>
      </x:c>
      <x:c r="L543" t="str">
        <x:f t="shared" si="32"/>
      </x:c>
      <x:c r="O543" t="s">
        <x:v>38</x:v>
      </x:c>
      <x:c r="T543" s="2" t="n">
        <x:f>'SUPUESTOS PRECIOS'!$B$9</x:f>
        <x:v>0</x:v>
      </x:c>
      <x:c r="U543" s="3" t="n">
        <x:f>'SUPUESTOS PRECIOS'!$B$5/'SUPUESTOS PRECIOS'!$B$4</x:f>
        <x:v>1000</x:v>
      </x:c>
      <x:c r="V543" s="3" t="n">
        <x:f>('SUPUESTOS PRECIOS'!$B$6-'SUPUESTOS PRECIOS'!$B$7)/'SUPUESTOS PRECIOS'!$B$4</x:f>
        <x:v>377.5</x:v>
      </x:c>
      <x:c r="W543" s="4" t="n">
        <x:f>'SUPUESTOS PRECIOS'!$B$8</x:f>
        <x:v>0.00968</x:v>
      </x:c>
      <x:c r="X543" s="4" t="n">
        <x:f>'SUPUESTOS PRECIOS'!$B$2</x:f>
        <x:v>0.4</x:v>
      </x:c>
      <x:c r="Y543" s="3" t="str">
        <x:f t="shared" si="33"/>
      </x:c>
      <x:c r="Z543" s="3" t="str">
        <x:f t="shared" si="34"/>
      </x:c>
      <x:c r="AA543" s="11" t="str">
        <x:f t="shared" si="35"/>
      </x:c>
    </x:row>
    <x:row r="544">
      <x:c r="A544" s="10" t="s">
        <x:v>1667</x:v>
      </x:c>
      <x:c r="F544" t="s">
        <x:v>1358</x:v>
      </x:c>
      <x:c r="K544">
        <x:v>1</x:v>
      </x:c>
      <x:c r="L544" t="str">
        <x:f t="shared" si="32"/>
      </x:c>
      <x:c r="O544" t="s">
        <x:v>38</x:v>
      </x:c>
      <x:c r="T544" s="2" t="n">
        <x:f>'SUPUESTOS PRECIOS'!$B$9</x:f>
        <x:v>0</x:v>
      </x:c>
      <x:c r="U544" s="3" t="n">
        <x:f>'SUPUESTOS PRECIOS'!$B$5/'SUPUESTOS PRECIOS'!$B$4</x:f>
        <x:v>1000</x:v>
      </x:c>
      <x:c r="V544" s="3" t="n">
        <x:f>('SUPUESTOS PRECIOS'!$B$6-'SUPUESTOS PRECIOS'!$B$7)/'SUPUESTOS PRECIOS'!$B$4</x:f>
        <x:v>377.5</x:v>
      </x:c>
      <x:c r="W544" s="4" t="n">
        <x:f>'SUPUESTOS PRECIOS'!$B$8</x:f>
        <x:v>0.00968</x:v>
      </x:c>
      <x:c r="X544" s="4" t="n">
        <x:f>'SUPUESTOS PRECIOS'!$B$2</x:f>
        <x:v>0.4</x:v>
      </x:c>
      <x:c r="Y544" s="3" t="str">
        <x:f t="shared" si="33"/>
      </x:c>
      <x:c r="Z544" s="3" t="str">
        <x:f t="shared" si="34"/>
      </x:c>
      <x:c r="AA544" s="11" t="str">
        <x:f t="shared" si="35"/>
      </x:c>
    </x:row>
    <x:row r="545">
      <x:c r="A545" s="10" t="s">
        <x:v>1668</x:v>
      </x:c>
      <x:c r="F545" t="s">
        <x:v>1358</x:v>
      </x:c>
      <x:c r="K545">
        <x:v>1</x:v>
      </x:c>
      <x:c r="L545" t="str">
        <x:f t="shared" si="32"/>
      </x:c>
      <x:c r="O545" t="s">
        <x:v>38</x:v>
      </x:c>
      <x:c r="T545" s="2" t="n">
        <x:f>'SUPUESTOS PRECIOS'!$B$9</x:f>
        <x:v>0</x:v>
      </x:c>
      <x:c r="U545" s="3" t="n">
        <x:f>'SUPUESTOS PRECIOS'!$B$5/'SUPUESTOS PRECIOS'!$B$4</x:f>
        <x:v>1000</x:v>
      </x:c>
      <x:c r="V545" s="3" t="n">
        <x:f>('SUPUESTOS PRECIOS'!$B$6-'SUPUESTOS PRECIOS'!$B$7)/'SUPUESTOS PRECIOS'!$B$4</x:f>
        <x:v>377.5</x:v>
      </x:c>
      <x:c r="W545" s="4" t="n">
        <x:f>'SUPUESTOS PRECIOS'!$B$8</x:f>
        <x:v>0.00968</x:v>
      </x:c>
      <x:c r="X545" s="4" t="n">
        <x:f>'SUPUESTOS PRECIOS'!$B$2</x:f>
        <x:v>0.4</x:v>
      </x:c>
      <x:c r="Y545" s="3" t="str">
        <x:f t="shared" si="33"/>
      </x:c>
      <x:c r="Z545" s="3" t="str">
        <x:f t="shared" si="34"/>
      </x:c>
      <x:c r="AA545" s="11" t="str">
        <x:f t="shared" si="35"/>
      </x:c>
    </x:row>
    <x:row r="546">
      <x:c r="A546" s="10" t="s">
        <x:v>1669</x:v>
      </x:c>
      <x:c r="F546" t="s">
        <x:v>1358</x:v>
      </x:c>
      <x:c r="K546">
        <x:v>1</x:v>
      </x:c>
      <x:c r="L546" t="str">
        <x:f t="shared" si="32"/>
      </x:c>
      <x:c r="O546" t="s">
        <x:v>38</x:v>
      </x:c>
      <x:c r="T546" s="2" t="n">
        <x:f>'SUPUESTOS PRECIOS'!$B$9</x:f>
        <x:v>0</x:v>
      </x:c>
      <x:c r="U546" s="3" t="n">
        <x:f>'SUPUESTOS PRECIOS'!$B$5/'SUPUESTOS PRECIOS'!$B$4</x:f>
        <x:v>1000</x:v>
      </x:c>
      <x:c r="V546" s="3" t="n">
        <x:f>('SUPUESTOS PRECIOS'!$B$6-'SUPUESTOS PRECIOS'!$B$7)/'SUPUESTOS PRECIOS'!$B$4</x:f>
        <x:v>377.5</x:v>
      </x:c>
      <x:c r="W546" s="4" t="n">
        <x:f>'SUPUESTOS PRECIOS'!$B$8</x:f>
        <x:v>0.00968</x:v>
      </x:c>
      <x:c r="X546" s="4" t="n">
        <x:f>'SUPUESTOS PRECIOS'!$B$2</x:f>
        <x:v>0.4</x:v>
      </x:c>
      <x:c r="Y546" s="3" t="str">
        <x:f t="shared" si="33"/>
      </x:c>
      <x:c r="Z546" s="3" t="str">
        <x:f t="shared" si="34"/>
      </x:c>
      <x:c r="AA546" s="11" t="str">
        <x:f t="shared" si="35"/>
      </x:c>
    </x:row>
    <x:row r="547">
      <x:c r="A547" s="10" t="s">
        <x:v>1670</x:v>
      </x:c>
      <x:c r="F547" t="s">
        <x:v>1358</x:v>
      </x:c>
      <x:c r="K547">
        <x:v>1</x:v>
      </x:c>
      <x:c r="L547" t="str">
        <x:f t="shared" si="32"/>
      </x:c>
      <x:c r="O547" t="s">
        <x:v>38</x:v>
      </x:c>
      <x:c r="T547" s="2" t="n">
        <x:f>'SUPUESTOS PRECIOS'!$B$9</x:f>
        <x:v>0</x:v>
      </x:c>
      <x:c r="U547" s="3" t="n">
        <x:f>'SUPUESTOS PRECIOS'!$B$5/'SUPUESTOS PRECIOS'!$B$4</x:f>
        <x:v>1000</x:v>
      </x:c>
      <x:c r="V547" s="3" t="n">
        <x:f>('SUPUESTOS PRECIOS'!$B$6-'SUPUESTOS PRECIOS'!$B$7)/'SUPUESTOS PRECIOS'!$B$4</x:f>
        <x:v>377.5</x:v>
      </x:c>
      <x:c r="W547" s="4" t="n">
        <x:f>'SUPUESTOS PRECIOS'!$B$8</x:f>
        <x:v>0.00968</x:v>
      </x:c>
      <x:c r="X547" s="4" t="n">
        <x:f>'SUPUESTOS PRECIOS'!$B$2</x:f>
        <x:v>0.4</x:v>
      </x:c>
      <x:c r="Y547" s="3" t="str">
        <x:f t="shared" si="33"/>
      </x:c>
      <x:c r="Z547" s="3" t="str">
        <x:f t="shared" si="34"/>
      </x:c>
      <x:c r="AA547" s="11" t="str">
        <x:f t="shared" si="35"/>
      </x:c>
    </x:row>
    <x:row r="548">
      <x:c r="A548" s="10" t="s">
        <x:v>1671</x:v>
      </x:c>
      <x:c r="F548" t="s">
        <x:v>1358</x:v>
      </x:c>
      <x:c r="K548">
        <x:v>1</x:v>
      </x:c>
      <x:c r="L548" t="str">
        <x:f t="shared" si="32"/>
      </x:c>
      <x:c r="O548" t="s">
        <x:v>38</x:v>
      </x:c>
      <x:c r="T548" s="2" t="n">
        <x:f>'SUPUESTOS PRECIOS'!$B$9</x:f>
        <x:v>0</x:v>
      </x:c>
      <x:c r="U548" s="3" t="n">
        <x:f>'SUPUESTOS PRECIOS'!$B$5/'SUPUESTOS PRECIOS'!$B$4</x:f>
        <x:v>1000</x:v>
      </x:c>
      <x:c r="V548" s="3" t="n">
        <x:f>('SUPUESTOS PRECIOS'!$B$6-'SUPUESTOS PRECIOS'!$B$7)/'SUPUESTOS PRECIOS'!$B$4</x:f>
        <x:v>377.5</x:v>
      </x:c>
      <x:c r="W548" s="4" t="n">
        <x:f>'SUPUESTOS PRECIOS'!$B$8</x:f>
        <x:v>0.00968</x:v>
      </x:c>
      <x:c r="X548" s="4" t="n">
        <x:f>'SUPUESTOS PRECIOS'!$B$2</x:f>
        <x:v>0.4</x:v>
      </x:c>
      <x:c r="Y548" s="3" t="str">
        <x:f t="shared" si="33"/>
      </x:c>
      <x:c r="Z548" s="3" t="str">
        <x:f t="shared" si="34"/>
      </x:c>
      <x:c r="AA548" s="11" t="str">
        <x:f t="shared" si="35"/>
      </x:c>
    </x:row>
    <x:row r="549">
      <x:c r="A549" s="10" t="s">
        <x:v>1672</x:v>
      </x:c>
      <x:c r="F549" t="s">
        <x:v>1358</x:v>
      </x:c>
      <x:c r="K549">
        <x:v>1</x:v>
      </x:c>
      <x:c r="L549" t="str">
        <x:f t="shared" si="32"/>
      </x:c>
      <x:c r="O549" t="s">
        <x:v>38</x:v>
      </x:c>
      <x:c r="T549" s="2" t="n">
        <x:f>'SUPUESTOS PRECIOS'!$B$9</x:f>
        <x:v>0</x:v>
      </x:c>
      <x:c r="U549" s="3" t="n">
        <x:f>'SUPUESTOS PRECIOS'!$B$5/'SUPUESTOS PRECIOS'!$B$4</x:f>
        <x:v>1000</x:v>
      </x:c>
      <x:c r="V549" s="3" t="n">
        <x:f>('SUPUESTOS PRECIOS'!$B$6-'SUPUESTOS PRECIOS'!$B$7)/'SUPUESTOS PRECIOS'!$B$4</x:f>
        <x:v>377.5</x:v>
      </x:c>
      <x:c r="W549" s="4" t="n">
        <x:f>'SUPUESTOS PRECIOS'!$B$8</x:f>
        <x:v>0.00968</x:v>
      </x:c>
      <x:c r="X549" s="4" t="n">
        <x:f>'SUPUESTOS PRECIOS'!$B$2</x:f>
        <x:v>0.4</x:v>
      </x:c>
      <x:c r="Y549" s="3" t="str">
        <x:f t="shared" si="33"/>
      </x:c>
      <x:c r="Z549" s="3" t="str">
        <x:f t="shared" si="34"/>
      </x:c>
      <x:c r="AA549" s="11" t="str">
        <x:f t="shared" si="35"/>
      </x:c>
    </x:row>
    <x:row r="550">
      <x:c r="A550" s="10" t="s">
        <x:v>1673</x:v>
      </x:c>
      <x:c r="F550" t="s">
        <x:v>1358</x:v>
      </x:c>
      <x:c r="K550">
        <x:v>1</x:v>
      </x:c>
      <x:c r="L550" t="str">
        <x:f t="shared" si="32"/>
      </x:c>
      <x:c r="O550" t="s">
        <x:v>38</x:v>
      </x:c>
      <x:c r="T550" s="2" t="n">
        <x:f>'SUPUESTOS PRECIOS'!$B$9</x:f>
        <x:v>0</x:v>
      </x:c>
      <x:c r="U550" s="3" t="n">
        <x:f>'SUPUESTOS PRECIOS'!$B$5/'SUPUESTOS PRECIOS'!$B$4</x:f>
        <x:v>1000</x:v>
      </x:c>
      <x:c r="V550" s="3" t="n">
        <x:f>('SUPUESTOS PRECIOS'!$B$6-'SUPUESTOS PRECIOS'!$B$7)/'SUPUESTOS PRECIOS'!$B$4</x:f>
        <x:v>377.5</x:v>
      </x:c>
      <x:c r="W550" s="4" t="n">
        <x:f>'SUPUESTOS PRECIOS'!$B$8</x:f>
        <x:v>0.00968</x:v>
      </x:c>
      <x:c r="X550" s="4" t="n">
        <x:f>'SUPUESTOS PRECIOS'!$B$2</x:f>
        <x:v>0.4</x:v>
      </x:c>
      <x:c r="Y550" s="3" t="str">
        <x:f t="shared" si="33"/>
      </x:c>
      <x:c r="Z550" s="3" t="str">
        <x:f t="shared" si="34"/>
      </x:c>
      <x:c r="AA550" s="11" t="str">
        <x:f t="shared" si="35"/>
      </x:c>
    </x:row>
    <x:row r="551">
      <x:c r="A551" s="10" t="s">
        <x:v>1674</x:v>
      </x:c>
      <x:c r="F551" t="s">
        <x:v>1358</x:v>
      </x:c>
      <x:c r="K551">
        <x:v>1</x:v>
      </x:c>
      <x:c r="L551" t="str">
        <x:f t="shared" si="32"/>
      </x:c>
      <x:c r="O551" t="s">
        <x:v>38</x:v>
      </x:c>
      <x:c r="T551" s="2" t="n">
        <x:f>'SUPUESTOS PRECIOS'!$B$9</x:f>
        <x:v>0</x:v>
      </x:c>
      <x:c r="U551" s="3" t="n">
        <x:f>'SUPUESTOS PRECIOS'!$B$5/'SUPUESTOS PRECIOS'!$B$4</x:f>
        <x:v>1000</x:v>
      </x:c>
      <x:c r="V551" s="3" t="n">
        <x:f>('SUPUESTOS PRECIOS'!$B$6-'SUPUESTOS PRECIOS'!$B$7)/'SUPUESTOS PRECIOS'!$B$4</x:f>
        <x:v>377.5</x:v>
      </x:c>
      <x:c r="W551" s="4" t="n">
        <x:f>'SUPUESTOS PRECIOS'!$B$8</x:f>
        <x:v>0.00968</x:v>
      </x:c>
      <x:c r="X551" s="4" t="n">
        <x:f>'SUPUESTOS PRECIOS'!$B$2</x:f>
        <x:v>0.4</x:v>
      </x:c>
      <x:c r="Y551" s="3" t="str">
        <x:f t="shared" si="33"/>
      </x:c>
      <x:c r="Z551" s="3" t="str">
        <x:f t="shared" si="34"/>
      </x:c>
      <x:c r="AA551" s="11" t="str">
        <x:f t="shared" si="35"/>
      </x:c>
    </x:row>
    <x:row r="552">
      <x:c r="A552" s="10" t="s">
        <x:v>1675</x:v>
      </x:c>
      <x:c r="F552" t="s">
        <x:v>1358</x:v>
      </x:c>
      <x:c r="K552">
        <x:v>1</x:v>
      </x:c>
      <x:c r="L552" t="str">
        <x:f t="shared" si="32"/>
      </x:c>
      <x:c r="O552" t="s">
        <x:v>38</x:v>
      </x:c>
      <x:c r="T552" s="2" t="n">
        <x:f>'SUPUESTOS PRECIOS'!$B$9</x:f>
        <x:v>0</x:v>
      </x:c>
      <x:c r="U552" s="3" t="n">
        <x:f>'SUPUESTOS PRECIOS'!$B$5/'SUPUESTOS PRECIOS'!$B$4</x:f>
        <x:v>1000</x:v>
      </x:c>
      <x:c r="V552" s="3" t="n">
        <x:f>('SUPUESTOS PRECIOS'!$B$6-'SUPUESTOS PRECIOS'!$B$7)/'SUPUESTOS PRECIOS'!$B$4</x:f>
        <x:v>377.5</x:v>
      </x:c>
      <x:c r="W552" s="4" t="n">
        <x:f>'SUPUESTOS PRECIOS'!$B$8</x:f>
        <x:v>0.00968</x:v>
      </x:c>
      <x:c r="X552" s="4" t="n">
        <x:f>'SUPUESTOS PRECIOS'!$B$2</x:f>
        <x:v>0.4</x:v>
      </x:c>
      <x:c r="Y552" s="3" t="str">
        <x:f t="shared" si="33"/>
      </x:c>
      <x:c r="Z552" s="3" t="str">
        <x:f t="shared" si="34"/>
      </x:c>
      <x:c r="AA552" s="11" t="str">
        <x:f t="shared" si="35"/>
      </x:c>
    </x:row>
    <x:row r="553">
      <x:c r="A553" s="10" t="s">
        <x:v>1676</x:v>
      </x:c>
      <x:c r="F553" t="s">
        <x:v>1358</x:v>
      </x:c>
      <x:c r="K553">
        <x:v>1</x:v>
      </x:c>
      <x:c r="L553" t="str">
        <x:f t="shared" si="32"/>
      </x:c>
      <x:c r="O553" t="s">
        <x:v>38</x:v>
      </x:c>
      <x:c r="T553" s="2" t="n">
        <x:f>'SUPUESTOS PRECIOS'!$B$9</x:f>
        <x:v>0</x:v>
      </x:c>
      <x:c r="U553" s="3" t="n">
        <x:f>'SUPUESTOS PRECIOS'!$B$5/'SUPUESTOS PRECIOS'!$B$4</x:f>
        <x:v>1000</x:v>
      </x:c>
      <x:c r="V553" s="3" t="n">
        <x:f>('SUPUESTOS PRECIOS'!$B$6-'SUPUESTOS PRECIOS'!$B$7)/'SUPUESTOS PRECIOS'!$B$4</x:f>
        <x:v>377.5</x:v>
      </x:c>
      <x:c r="W553" s="4" t="n">
        <x:f>'SUPUESTOS PRECIOS'!$B$8</x:f>
        <x:v>0.00968</x:v>
      </x:c>
      <x:c r="X553" s="4" t="n">
        <x:f>'SUPUESTOS PRECIOS'!$B$2</x:f>
        <x:v>0.4</x:v>
      </x:c>
      <x:c r="Y553" s="3" t="str">
        <x:f t="shared" si="33"/>
      </x:c>
      <x:c r="Z553" s="3" t="str">
        <x:f t="shared" si="34"/>
      </x:c>
      <x:c r="AA553" s="11" t="str">
        <x:f t="shared" si="35"/>
      </x:c>
    </x:row>
    <x:row r="554">
      <x:c r="A554" s="10" t="s">
        <x:v>1677</x:v>
      </x:c>
      <x:c r="F554" t="s">
        <x:v>1358</x:v>
      </x:c>
      <x:c r="K554">
        <x:v>1</x:v>
      </x:c>
      <x:c r="L554" t="str">
        <x:f t="shared" si="32"/>
      </x:c>
      <x:c r="O554" t="s">
        <x:v>38</x:v>
      </x:c>
      <x:c r="T554" s="2" t="n">
        <x:f>'SUPUESTOS PRECIOS'!$B$9</x:f>
        <x:v>0</x:v>
      </x:c>
      <x:c r="U554" s="3" t="n">
        <x:f>'SUPUESTOS PRECIOS'!$B$5/'SUPUESTOS PRECIOS'!$B$4</x:f>
        <x:v>1000</x:v>
      </x:c>
      <x:c r="V554" s="3" t="n">
        <x:f>('SUPUESTOS PRECIOS'!$B$6-'SUPUESTOS PRECIOS'!$B$7)/'SUPUESTOS PRECIOS'!$B$4</x:f>
        <x:v>377.5</x:v>
      </x:c>
      <x:c r="W554" s="4" t="n">
        <x:f>'SUPUESTOS PRECIOS'!$B$8</x:f>
        <x:v>0.00968</x:v>
      </x:c>
      <x:c r="X554" s="4" t="n">
        <x:f>'SUPUESTOS PRECIOS'!$B$2</x:f>
        <x:v>0.4</x:v>
      </x:c>
      <x:c r="Y554" s="3" t="str">
        <x:f t="shared" si="33"/>
      </x:c>
      <x:c r="Z554" s="3" t="str">
        <x:f t="shared" si="34"/>
      </x:c>
      <x:c r="AA554" s="11" t="str">
        <x:f t="shared" si="35"/>
      </x:c>
    </x:row>
    <x:row r="555">
      <x:c r="A555" s="10" t="s">
        <x:v>1678</x:v>
      </x:c>
      <x:c r="F555" t="s">
        <x:v>1358</x:v>
      </x:c>
      <x:c r="K555">
        <x:v>1</x:v>
      </x:c>
      <x:c r="L555" t="str">
        <x:f t="shared" si="32"/>
      </x:c>
      <x:c r="O555" t="s">
        <x:v>38</x:v>
      </x:c>
      <x:c r="T555" s="2" t="n">
        <x:f>'SUPUESTOS PRECIOS'!$B$9</x:f>
        <x:v>0</x:v>
      </x:c>
      <x:c r="U555" s="3" t="n">
        <x:f>'SUPUESTOS PRECIOS'!$B$5/'SUPUESTOS PRECIOS'!$B$4</x:f>
        <x:v>1000</x:v>
      </x:c>
      <x:c r="V555" s="3" t="n">
        <x:f>('SUPUESTOS PRECIOS'!$B$6-'SUPUESTOS PRECIOS'!$B$7)/'SUPUESTOS PRECIOS'!$B$4</x:f>
        <x:v>377.5</x:v>
      </x:c>
      <x:c r="W555" s="4" t="n">
        <x:f>'SUPUESTOS PRECIOS'!$B$8</x:f>
        <x:v>0.00968</x:v>
      </x:c>
      <x:c r="X555" s="4" t="n">
        <x:f>'SUPUESTOS PRECIOS'!$B$2</x:f>
        <x:v>0.4</x:v>
      </x:c>
      <x:c r="Y555" s="3" t="str">
        <x:f t="shared" si="33"/>
      </x:c>
      <x:c r="Z555" s="3" t="str">
        <x:f t="shared" si="34"/>
      </x:c>
      <x:c r="AA555" s="11" t="str">
        <x:f t="shared" si="35"/>
      </x:c>
    </x:row>
    <x:row r="556">
      <x:c r="A556" s="10" t="s">
        <x:v>1679</x:v>
      </x:c>
      <x:c r="F556" t="s">
        <x:v>1358</x:v>
      </x:c>
      <x:c r="K556">
        <x:v>1</x:v>
      </x:c>
      <x:c r="L556" t="str">
        <x:f t="shared" si="32"/>
      </x:c>
      <x:c r="O556" t="s">
        <x:v>38</x:v>
      </x:c>
      <x:c r="T556" s="2" t="n">
        <x:f>'SUPUESTOS PRECIOS'!$B$9</x:f>
        <x:v>0</x:v>
      </x:c>
      <x:c r="U556" s="3" t="n">
        <x:f>'SUPUESTOS PRECIOS'!$B$5/'SUPUESTOS PRECIOS'!$B$4</x:f>
        <x:v>1000</x:v>
      </x:c>
      <x:c r="V556" s="3" t="n">
        <x:f>('SUPUESTOS PRECIOS'!$B$6-'SUPUESTOS PRECIOS'!$B$7)/'SUPUESTOS PRECIOS'!$B$4</x:f>
        <x:v>377.5</x:v>
      </x:c>
      <x:c r="W556" s="4" t="n">
        <x:f>'SUPUESTOS PRECIOS'!$B$8</x:f>
        <x:v>0.00968</x:v>
      </x:c>
      <x:c r="X556" s="4" t="n">
        <x:f>'SUPUESTOS PRECIOS'!$B$2</x:f>
        <x:v>0.4</x:v>
      </x:c>
      <x:c r="Y556" s="3" t="str">
        <x:f t="shared" si="33"/>
      </x:c>
      <x:c r="Z556" s="3" t="str">
        <x:f t="shared" si="34"/>
      </x:c>
      <x:c r="AA556" s="11" t="str">
        <x:f t="shared" si="35"/>
      </x:c>
    </x:row>
    <x:row r="557">
      <x:c r="A557" s="10" t="s">
        <x:v>1680</x:v>
      </x:c>
      <x:c r="F557" t="s">
        <x:v>1358</x:v>
      </x:c>
      <x:c r="K557">
        <x:v>1</x:v>
      </x:c>
      <x:c r="L557" t="str">
        <x:f t="shared" si="32"/>
      </x:c>
      <x:c r="O557" t="s">
        <x:v>38</x:v>
      </x:c>
      <x:c r="T557" s="2" t="n">
        <x:f>'SUPUESTOS PRECIOS'!$B$9</x:f>
        <x:v>0</x:v>
      </x:c>
      <x:c r="U557" s="3" t="n">
        <x:f>'SUPUESTOS PRECIOS'!$B$5/'SUPUESTOS PRECIOS'!$B$4</x:f>
        <x:v>1000</x:v>
      </x:c>
      <x:c r="V557" s="3" t="n">
        <x:f>('SUPUESTOS PRECIOS'!$B$6-'SUPUESTOS PRECIOS'!$B$7)/'SUPUESTOS PRECIOS'!$B$4</x:f>
        <x:v>377.5</x:v>
      </x:c>
      <x:c r="W557" s="4" t="n">
        <x:f>'SUPUESTOS PRECIOS'!$B$8</x:f>
        <x:v>0.00968</x:v>
      </x:c>
      <x:c r="X557" s="4" t="n">
        <x:f>'SUPUESTOS PRECIOS'!$B$2</x:f>
        <x:v>0.4</x:v>
      </x:c>
      <x:c r="Y557" s="3" t="str">
        <x:f t="shared" si="33"/>
      </x:c>
      <x:c r="Z557" s="3" t="str">
        <x:f t="shared" si="34"/>
      </x:c>
      <x:c r="AA557" s="11" t="str">
        <x:f t="shared" si="35"/>
      </x:c>
    </x:row>
    <x:row r="558">
      <x:c r="A558" s="10" t="s">
        <x:v>1681</x:v>
      </x:c>
      <x:c r="F558" t="s">
        <x:v>1358</x:v>
      </x:c>
      <x:c r="K558">
        <x:v>1</x:v>
      </x:c>
      <x:c r="L558" t="str">
        <x:f t="shared" si="32"/>
      </x:c>
      <x:c r="O558" t="s">
        <x:v>38</x:v>
      </x:c>
      <x:c r="T558" s="2" t="n">
        <x:f>'SUPUESTOS PRECIOS'!$B$9</x:f>
        <x:v>0</x:v>
      </x:c>
      <x:c r="U558" s="3" t="n">
        <x:f>'SUPUESTOS PRECIOS'!$B$5/'SUPUESTOS PRECIOS'!$B$4</x:f>
        <x:v>1000</x:v>
      </x:c>
      <x:c r="V558" s="3" t="n">
        <x:f>('SUPUESTOS PRECIOS'!$B$6-'SUPUESTOS PRECIOS'!$B$7)/'SUPUESTOS PRECIOS'!$B$4</x:f>
        <x:v>377.5</x:v>
      </x:c>
      <x:c r="W558" s="4" t="n">
        <x:f>'SUPUESTOS PRECIOS'!$B$8</x:f>
        <x:v>0.00968</x:v>
      </x:c>
      <x:c r="X558" s="4" t="n">
        <x:f>'SUPUESTOS PRECIOS'!$B$2</x:f>
        <x:v>0.4</x:v>
      </x:c>
      <x:c r="Y558" s="3" t="str">
        <x:f t="shared" si="33"/>
      </x:c>
      <x:c r="Z558" s="3" t="str">
        <x:f t="shared" si="34"/>
      </x:c>
      <x:c r="AA558" s="11" t="str">
        <x:f t="shared" si="35"/>
      </x:c>
    </x:row>
    <x:row r="559">
      <x:c r="A559" s="10" t="s">
        <x:v>1682</x:v>
      </x:c>
      <x:c r="F559" t="s">
        <x:v>1358</x:v>
      </x:c>
      <x:c r="K559">
        <x:v>1</x:v>
      </x:c>
      <x:c r="L559" t="str">
        <x:f t="shared" si="32"/>
      </x:c>
      <x:c r="O559" t="s">
        <x:v>38</x:v>
      </x:c>
      <x:c r="T559" s="2" t="n">
        <x:f>'SUPUESTOS PRECIOS'!$B$9</x:f>
        <x:v>0</x:v>
      </x:c>
      <x:c r="U559" s="3" t="n">
        <x:f>'SUPUESTOS PRECIOS'!$B$5/'SUPUESTOS PRECIOS'!$B$4</x:f>
        <x:v>1000</x:v>
      </x:c>
      <x:c r="V559" s="3" t="n">
        <x:f>('SUPUESTOS PRECIOS'!$B$6-'SUPUESTOS PRECIOS'!$B$7)/'SUPUESTOS PRECIOS'!$B$4</x:f>
        <x:v>377.5</x:v>
      </x:c>
      <x:c r="W559" s="4" t="n">
        <x:f>'SUPUESTOS PRECIOS'!$B$8</x:f>
        <x:v>0.00968</x:v>
      </x:c>
      <x:c r="X559" s="4" t="n">
        <x:f>'SUPUESTOS PRECIOS'!$B$2</x:f>
        <x:v>0.4</x:v>
      </x:c>
      <x:c r="Y559" s="3" t="str">
        <x:f t="shared" si="33"/>
      </x:c>
      <x:c r="Z559" s="3" t="str">
        <x:f t="shared" si="34"/>
      </x:c>
      <x:c r="AA559" s="11" t="str">
        <x:f t="shared" si="35"/>
      </x:c>
    </x:row>
    <x:row r="560">
      <x:c r="A560" s="10" t="s">
        <x:v>1683</x:v>
      </x:c>
      <x:c r="F560" t="s">
        <x:v>1358</x:v>
      </x:c>
      <x:c r="K560">
        <x:v>1</x:v>
      </x:c>
      <x:c r="L560" t="str">
        <x:f t="shared" si="32"/>
      </x:c>
      <x:c r="O560" t="s">
        <x:v>38</x:v>
      </x:c>
      <x:c r="T560" s="2" t="n">
        <x:f>'SUPUESTOS PRECIOS'!$B$9</x:f>
        <x:v>0</x:v>
      </x:c>
      <x:c r="U560" s="3" t="n">
        <x:f>'SUPUESTOS PRECIOS'!$B$5/'SUPUESTOS PRECIOS'!$B$4</x:f>
        <x:v>1000</x:v>
      </x:c>
      <x:c r="V560" s="3" t="n">
        <x:f>('SUPUESTOS PRECIOS'!$B$6-'SUPUESTOS PRECIOS'!$B$7)/'SUPUESTOS PRECIOS'!$B$4</x:f>
        <x:v>377.5</x:v>
      </x:c>
      <x:c r="W560" s="4" t="n">
        <x:f>'SUPUESTOS PRECIOS'!$B$8</x:f>
        <x:v>0.00968</x:v>
      </x:c>
      <x:c r="X560" s="4" t="n">
        <x:f>'SUPUESTOS PRECIOS'!$B$2</x:f>
        <x:v>0.4</x:v>
      </x:c>
      <x:c r="Y560" s="3" t="str">
        <x:f t="shared" si="33"/>
      </x:c>
      <x:c r="Z560" s="3" t="str">
        <x:f t="shared" si="34"/>
      </x:c>
      <x:c r="AA560" s="11" t="str">
        <x:f t="shared" si="35"/>
      </x:c>
    </x:row>
    <x:row r="561">
      <x:c r="A561" s="10" t="s">
        <x:v>1684</x:v>
      </x:c>
      <x:c r="F561" t="s">
        <x:v>1358</x:v>
      </x:c>
      <x:c r="K561">
        <x:v>1</x:v>
      </x:c>
      <x:c r="L561" t="str">
        <x:f t="shared" si="32"/>
      </x:c>
      <x:c r="O561" t="s">
        <x:v>38</x:v>
      </x:c>
      <x:c r="T561" s="2" t="n">
        <x:f>'SUPUESTOS PRECIOS'!$B$9</x:f>
        <x:v>0</x:v>
      </x:c>
      <x:c r="U561" s="3" t="n">
        <x:f>'SUPUESTOS PRECIOS'!$B$5/'SUPUESTOS PRECIOS'!$B$4</x:f>
        <x:v>1000</x:v>
      </x:c>
      <x:c r="V561" s="3" t="n">
        <x:f>('SUPUESTOS PRECIOS'!$B$6-'SUPUESTOS PRECIOS'!$B$7)/'SUPUESTOS PRECIOS'!$B$4</x:f>
        <x:v>377.5</x:v>
      </x:c>
      <x:c r="W561" s="4" t="n">
        <x:f>'SUPUESTOS PRECIOS'!$B$8</x:f>
        <x:v>0.00968</x:v>
      </x:c>
      <x:c r="X561" s="4" t="n">
        <x:f>'SUPUESTOS PRECIOS'!$B$2</x:f>
        <x:v>0.4</x:v>
      </x:c>
      <x:c r="Y561" s="3" t="str">
        <x:f t="shared" si="33"/>
      </x:c>
      <x:c r="Z561" s="3" t="str">
        <x:f t="shared" si="34"/>
      </x:c>
      <x:c r="AA561" s="11" t="str">
        <x:f t="shared" si="35"/>
      </x:c>
    </x:row>
    <x:row r="562">
      <x:c r="A562" s="10" t="s">
        <x:v>1685</x:v>
      </x:c>
      <x:c r="F562" t="s">
        <x:v>1358</x:v>
      </x:c>
      <x:c r="K562">
        <x:v>1</x:v>
      </x:c>
      <x:c r="L562" t="str">
        <x:f t="shared" si="32"/>
      </x:c>
      <x:c r="O562" t="s">
        <x:v>38</x:v>
      </x:c>
      <x:c r="T562" s="2" t="n">
        <x:f>'SUPUESTOS PRECIOS'!$B$9</x:f>
        <x:v>0</x:v>
      </x:c>
      <x:c r="U562" s="3" t="n">
        <x:f>'SUPUESTOS PRECIOS'!$B$5/'SUPUESTOS PRECIOS'!$B$4</x:f>
        <x:v>1000</x:v>
      </x:c>
      <x:c r="V562" s="3" t="n">
        <x:f>('SUPUESTOS PRECIOS'!$B$6-'SUPUESTOS PRECIOS'!$B$7)/'SUPUESTOS PRECIOS'!$B$4</x:f>
        <x:v>377.5</x:v>
      </x:c>
      <x:c r="W562" s="4" t="n">
        <x:f>'SUPUESTOS PRECIOS'!$B$8</x:f>
        <x:v>0.00968</x:v>
      </x:c>
      <x:c r="X562" s="4" t="n">
        <x:f>'SUPUESTOS PRECIOS'!$B$2</x:f>
        <x:v>0.4</x:v>
      </x:c>
      <x:c r="Y562" s="3" t="str">
        <x:f t="shared" si="33"/>
      </x:c>
      <x:c r="Z562" s="3" t="str">
        <x:f t="shared" si="34"/>
      </x:c>
      <x:c r="AA562" s="11" t="str">
        <x:f t="shared" si="35"/>
      </x:c>
    </x:row>
    <x:row r="563">
      <x:c r="A563" s="10" t="s">
        <x:v>1686</x:v>
      </x:c>
      <x:c r="F563" t="s">
        <x:v>1358</x:v>
      </x:c>
      <x:c r="K563">
        <x:v>1</x:v>
      </x:c>
      <x:c r="L563" t="str">
        <x:f t="shared" si="32"/>
      </x:c>
      <x:c r="O563" t="s">
        <x:v>38</x:v>
      </x:c>
      <x:c r="T563" s="2" t="n">
        <x:f>'SUPUESTOS PRECIOS'!$B$9</x:f>
        <x:v>0</x:v>
      </x:c>
      <x:c r="U563" s="3" t="n">
        <x:f>'SUPUESTOS PRECIOS'!$B$5/'SUPUESTOS PRECIOS'!$B$4</x:f>
        <x:v>1000</x:v>
      </x:c>
      <x:c r="V563" s="3" t="n">
        <x:f>('SUPUESTOS PRECIOS'!$B$6-'SUPUESTOS PRECIOS'!$B$7)/'SUPUESTOS PRECIOS'!$B$4</x:f>
        <x:v>377.5</x:v>
      </x:c>
      <x:c r="W563" s="4" t="n">
        <x:f>'SUPUESTOS PRECIOS'!$B$8</x:f>
        <x:v>0.00968</x:v>
      </x:c>
      <x:c r="X563" s="4" t="n">
        <x:f>'SUPUESTOS PRECIOS'!$B$2</x:f>
        <x:v>0.4</x:v>
      </x:c>
      <x:c r="Y563" s="3" t="str">
        <x:f t="shared" si="33"/>
      </x:c>
      <x:c r="Z563" s="3" t="str">
        <x:f t="shared" si="34"/>
      </x:c>
      <x:c r="AA563" s="11" t="str">
        <x:f t="shared" si="35"/>
      </x:c>
    </x:row>
    <x:row r="564">
      <x:c r="A564" s="10" t="s">
        <x:v>1687</x:v>
      </x:c>
      <x:c r="F564" t="s">
        <x:v>1358</x:v>
      </x:c>
      <x:c r="K564">
        <x:v>1</x:v>
      </x:c>
      <x:c r="L564" t="str">
        <x:f t="shared" si="32"/>
      </x:c>
      <x:c r="O564" t="s">
        <x:v>38</x:v>
      </x:c>
      <x:c r="T564" s="2" t="n">
        <x:f>'SUPUESTOS PRECIOS'!$B$9</x:f>
        <x:v>0</x:v>
      </x:c>
      <x:c r="U564" s="3" t="n">
        <x:f>'SUPUESTOS PRECIOS'!$B$5/'SUPUESTOS PRECIOS'!$B$4</x:f>
        <x:v>1000</x:v>
      </x:c>
      <x:c r="V564" s="3" t="n">
        <x:f>('SUPUESTOS PRECIOS'!$B$6-'SUPUESTOS PRECIOS'!$B$7)/'SUPUESTOS PRECIOS'!$B$4</x:f>
        <x:v>377.5</x:v>
      </x:c>
      <x:c r="W564" s="4" t="n">
        <x:f>'SUPUESTOS PRECIOS'!$B$8</x:f>
        <x:v>0.00968</x:v>
      </x:c>
      <x:c r="X564" s="4" t="n">
        <x:f>'SUPUESTOS PRECIOS'!$B$2</x:f>
        <x:v>0.4</x:v>
      </x:c>
      <x:c r="Y564" s="3" t="str">
        <x:f t="shared" si="33"/>
      </x:c>
      <x:c r="Z564" s="3" t="str">
        <x:f t="shared" si="34"/>
      </x:c>
      <x:c r="AA564" s="11" t="str">
        <x:f t="shared" si="35"/>
      </x:c>
    </x:row>
    <x:row r="565">
      <x:c r="A565" s="10" t="s">
        <x:v>1688</x:v>
      </x:c>
      <x:c r="F565" t="s">
        <x:v>1358</x:v>
      </x:c>
      <x:c r="K565">
        <x:v>1</x:v>
      </x:c>
      <x:c r="L565" t="str">
        <x:f t="shared" si="32"/>
      </x:c>
      <x:c r="O565" t="s">
        <x:v>38</x:v>
      </x:c>
      <x:c r="T565" s="2" t="n">
        <x:f>'SUPUESTOS PRECIOS'!$B$9</x:f>
        <x:v>0</x:v>
      </x:c>
      <x:c r="U565" s="3" t="n">
        <x:f>'SUPUESTOS PRECIOS'!$B$5/'SUPUESTOS PRECIOS'!$B$4</x:f>
        <x:v>1000</x:v>
      </x:c>
      <x:c r="V565" s="3" t="n">
        <x:f>('SUPUESTOS PRECIOS'!$B$6-'SUPUESTOS PRECIOS'!$B$7)/'SUPUESTOS PRECIOS'!$B$4</x:f>
        <x:v>377.5</x:v>
      </x:c>
      <x:c r="W565" s="4" t="n">
        <x:f>'SUPUESTOS PRECIOS'!$B$8</x:f>
        <x:v>0.00968</x:v>
      </x:c>
      <x:c r="X565" s="4" t="n">
        <x:f>'SUPUESTOS PRECIOS'!$B$2</x:f>
        <x:v>0.4</x:v>
      </x:c>
      <x:c r="Y565" s="3" t="str">
        <x:f t="shared" si="33"/>
      </x:c>
      <x:c r="Z565" s="3" t="str">
        <x:f t="shared" si="34"/>
      </x:c>
      <x:c r="AA565" s="11" t="str">
        <x:f t="shared" si="35"/>
      </x:c>
    </x:row>
    <x:row r="566">
      <x:c r="A566" s="10" t="s">
        <x:v>1689</x:v>
      </x:c>
      <x:c r="F566" t="s">
        <x:v>1358</x:v>
      </x:c>
      <x:c r="K566">
        <x:v>1</x:v>
      </x:c>
      <x:c r="L566" t="str">
        <x:f t="shared" si="32"/>
      </x:c>
      <x:c r="O566" t="s">
        <x:v>38</x:v>
      </x:c>
      <x:c r="T566" s="2" t="n">
        <x:f>'SUPUESTOS PRECIOS'!$B$9</x:f>
        <x:v>0</x:v>
      </x:c>
      <x:c r="U566" s="3" t="n">
        <x:f>'SUPUESTOS PRECIOS'!$B$5/'SUPUESTOS PRECIOS'!$B$4</x:f>
        <x:v>1000</x:v>
      </x:c>
      <x:c r="V566" s="3" t="n">
        <x:f>('SUPUESTOS PRECIOS'!$B$6-'SUPUESTOS PRECIOS'!$B$7)/'SUPUESTOS PRECIOS'!$B$4</x:f>
        <x:v>377.5</x:v>
      </x:c>
      <x:c r="W566" s="4" t="n">
        <x:f>'SUPUESTOS PRECIOS'!$B$8</x:f>
        <x:v>0.00968</x:v>
      </x:c>
      <x:c r="X566" s="4" t="n">
        <x:f>'SUPUESTOS PRECIOS'!$B$2</x:f>
        <x:v>0.4</x:v>
      </x:c>
      <x:c r="Y566" s="3" t="str">
        <x:f t="shared" si="33"/>
      </x:c>
      <x:c r="Z566" s="3" t="str">
        <x:f t="shared" si="34"/>
      </x:c>
      <x:c r="AA566" s="11" t="str">
        <x:f t="shared" si="35"/>
      </x:c>
    </x:row>
    <x:row r="567">
      <x:c r="A567" s="10" t="s">
        <x:v>1690</x:v>
      </x:c>
      <x:c r="F567" t="s">
        <x:v>1358</x:v>
      </x:c>
      <x:c r="K567">
        <x:v>1</x:v>
      </x:c>
      <x:c r="L567" t="str">
        <x:f t="shared" si="32"/>
      </x:c>
      <x:c r="O567" t="s">
        <x:v>38</x:v>
      </x:c>
      <x:c r="T567" s="2" t="n">
        <x:f>'SUPUESTOS PRECIOS'!$B$9</x:f>
        <x:v>0</x:v>
      </x:c>
      <x:c r="U567" s="3" t="n">
        <x:f>'SUPUESTOS PRECIOS'!$B$5/'SUPUESTOS PRECIOS'!$B$4</x:f>
        <x:v>1000</x:v>
      </x:c>
      <x:c r="V567" s="3" t="n">
        <x:f>('SUPUESTOS PRECIOS'!$B$6-'SUPUESTOS PRECIOS'!$B$7)/'SUPUESTOS PRECIOS'!$B$4</x:f>
        <x:v>377.5</x:v>
      </x:c>
      <x:c r="W567" s="4" t="n">
        <x:f>'SUPUESTOS PRECIOS'!$B$8</x:f>
        <x:v>0.00968</x:v>
      </x:c>
      <x:c r="X567" s="4" t="n">
        <x:f>'SUPUESTOS PRECIOS'!$B$2</x:f>
        <x:v>0.4</x:v>
      </x:c>
      <x:c r="Y567" s="3" t="str">
        <x:f t="shared" si="33"/>
      </x:c>
      <x:c r="Z567" s="3" t="str">
        <x:f t="shared" si="34"/>
      </x:c>
      <x:c r="AA567" s="11" t="str">
        <x:f t="shared" si="35"/>
      </x:c>
    </x:row>
    <x:row r="568">
      <x:c r="A568" s="10" t="s">
        <x:v>1691</x:v>
      </x:c>
      <x:c r="F568" t="s">
        <x:v>1358</x:v>
      </x:c>
      <x:c r="K568">
        <x:v>1</x:v>
      </x:c>
      <x:c r="L568" t="str">
        <x:f t="shared" si="32"/>
      </x:c>
      <x:c r="O568" t="s">
        <x:v>38</x:v>
      </x:c>
      <x:c r="T568" s="2" t="n">
        <x:f>'SUPUESTOS PRECIOS'!$B$9</x:f>
        <x:v>0</x:v>
      </x:c>
      <x:c r="U568" s="3" t="n">
        <x:f>'SUPUESTOS PRECIOS'!$B$5/'SUPUESTOS PRECIOS'!$B$4</x:f>
        <x:v>1000</x:v>
      </x:c>
      <x:c r="V568" s="3" t="n">
        <x:f>('SUPUESTOS PRECIOS'!$B$6-'SUPUESTOS PRECIOS'!$B$7)/'SUPUESTOS PRECIOS'!$B$4</x:f>
        <x:v>377.5</x:v>
      </x:c>
      <x:c r="W568" s="4" t="n">
        <x:f>'SUPUESTOS PRECIOS'!$B$8</x:f>
        <x:v>0.00968</x:v>
      </x:c>
      <x:c r="X568" s="4" t="n">
        <x:f>'SUPUESTOS PRECIOS'!$B$2</x:f>
        <x:v>0.4</x:v>
      </x:c>
      <x:c r="Y568" s="3" t="str">
        <x:f t="shared" si="33"/>
      </x:c>
      <x:c r="Z568" s="3" t="str">
        <x:f t="shared" si="34"/>
      </x:c>
      <x:c r="AA568" s="11" t="str">
        <x:f t="shared" si="35"/>
      </x:c>
    </x:row>
    <x:row r="569">
      <x:c r="A569" s="10" t="s">
        <x:v>1692</x:v>
      </x:c>
      <x:c r="F569" t="s">
        <x:v>1358</x:v>
      </x:c>
      <x:c r="K569">
        <x:v>1</x:v>
      </x:c>
      <x:c r="L569" t="str">
        <x:f t="shared" si="32"/>
      </x:c>
      <x:c r="O569" t="s">
        <x:v>38</x:v>
      </x:c>
      <x:c r="T569" s="2" t="n">
        <x:f>'SUPUESTOS PRECIOS'!$B$9</x:f>
        <x:v>0</x:v>
      </x:c>
      <x:c r="U569" s="3" t="n">
        <x:f>'SUPUESTOS PRECIOS'!$B$5/'SUPUESTOS PRECIOS'!$B$4</x:f>
        <x:v>1000</x:v>
      </x:c>
      <x:c r="V569" s="3" t="n">
        <x:f>('SUPUESTOS PRECIOS'!$B$6-'SUPUESTOS PRECIOS'!$B$7)/'SUPUESTOS PRECIOS'!$B$4</x:f>
        <x:v>377.5</x:v>
      </x:c>
      <x:c r="W569" s="4" t="n">
        <x:f>'SUPUESTOS PRECIOS'!$B$8</x:f>
        <x:v>0.00968</x:v>
      </x:c>
      <x:c r="X569" s="4" t="n">
        <x:f>'SUPUESTOS PRECIOS'!$B$2</x:f>
        <x:v>0.4</x:v>
      </x:c>
      <x:c r="Y569" s="3" t="str">
        <x:f t="shared" si="33"/>
      </x:c>
      <x:c r="Z569" s="3" t="str">
        <x:f t="shared" si="34"/>
      </x:c>
      <x:c r="AA569" s="11" t="str">
        <x:f t="shared" si="35"/>
      </x:c>
    </x:row>
    <x:row r="570">
      <x:c r="A570" s="10" t="s">
        <x:v>1693</x:v>
      </x:c>
      <x:c r="F570" t="s">
        <x:v>1358</x:v>
      </x:c>
      <x:c r="K570">
        <x:v>1</x:v>
      </x:c>
      <x:c r="L570" t="str">
        <x:f t="shared" si="32"/>
      </x:c>
      <x:c r="O570" t="s">
        <x:v>38</x:v>
      </x:c>
      <x:c r="T570" s="2" t="n">
        <x:f>'SUPUESTOS PRECIOS'!$B$9</x:f>
        <x:v>0</x:v>
      </x:c>
      <x:c r="U570" s="3" t="n">
        <x:f>'SUPUESTOS PRECIOS'!$B$5/'SUPUESTOS PRECIOS'!$B$4</x:f>
        <x:v>1000</x:v>
      </x:c>
      <x:c r="V570" s="3" t="n">
        <x:f>('SUPUESTOS PRECIOS'!$B$6-'SUPUESTOS PRECIOS'!$B$7)/'SUPUESTOS PRECIOS'!$B$4</x:f>
        <x:v>377.5</x:v>
      </x:c>
      <x:c r="W570" s="4" t="n">
        <x:f>'SUPUESTOS PRECIOS'!$B$8</x:f>
        <x:v>0.00968</x:v>
      </x:c>
      <x:c r="X570" s="4" t="n">
        <x:f>'SUPUESTOS PRECIOS'!$B$2</x:f>
        <x:v>0.4</x:v>
      </x:c>
      <x:c r="Y570" s="3" t="str">
        <x:f t="shared" si="33"/>
      </x:c>
      <x:c r="Z570" s="3" t="str">
        <x:f t="shared" si="34"/>
      </x:c>
      <x:c r="AA570" s="11" t="str">
        <x:f t="shared" si="35"/>
      </x:c>
    </x:row>
    <x:row r="571">
      <x:c r="A571" s="10" t="s">
        <x:v>1694</x:v>
      </x:c>
      <x:c r="F571" t="s">
        <x:v>1358</x:v>
      </x:c>
      <x:c r="K571">
        <x:v>1</x:v>
      </x:c>
      <x:c r="L571" t="str">
        <x:f t="shared" si="32"/>
      </x:c>
      <x:c r="O571" t="s">
        <x:v>38</x:v>
      </x:c>
      <x:c r="T571" s="2" t="n">
        <x:f>'SUPUESTOS PRECIOS'!$B$9</x:f>
        <x:v>0</x:v>
      </x:c>
      <x:c r="U571" s="3" t="n">
        <x:f>'SUPUESTOS PRECIOS'!$B$5/'SUPUESTOS PRECIOS'!$B$4</x:f>
        <x:v>1000</x:v>
      </x:c>
      <x:c r="V571" s="3" t="n">
        <x:f>('SUPUESTOS PRECIOS'!$B$6-'SUPUESTOS PRECIOS'!$B$7)/'SUPUESTOS PRECIOS'!$B$4</x:f>
        <x:v>377.5</x:v>
      </x:c>
      <x:c r="W571" s="4" t="n">
        <x:f>'SUPUESTOS PRECIOS'!$B$8</x:f>
        <x:v>0.00968</x:v>
      </x:c>
      <x:c r="X571" s="4" t="n">
        <x:f>'SUPUESTOS PRECIOS'!$B$2</x:f>
        <x:v>0.4</x:v>
      </x:c>
      <x:c r="Y571" s="3" t="str">
        <x:f t="shared" si="33"/>
      </x:c>
      <x:c r="Z571" s="3" t="str">
        <x:f t="shared" si="34"/>
      </x:c>
      <x:c r="AA571" s="11" t="str">
        <x:f t="shared" si="35"/>
      </x:c>
    </x:row>
    <x:row r="572">
      <x:c r="A572" s="10" t="s">
        <x:v>1695</x:v>
      </x:c>
      <x:c r="F572" t="s">
        <x:v>1358</x:v>
      </x:c>
      <x:c r="K572">
        <x:v>1</x:v>
      </x:c>
      <x:c r="L572" t="str">
        <x:f t="shared" si="32"/>
      </x:c>
      <x:c r="O572" t="s">
        <x:v>38</x:v>
      </x:c>
      <x:c r="T572" s="2" t="n">
        <x:f>'SUPUESTOS PRECIOS'!$B$9</x:f>
        <x:v>0</x:v>
      </x:c>
      <x:c r="U572" s="3" t="n">
        <x:f>'SUPUESTOS PRECIOS'!$B$5/'SUPUESTOS PRECIOS'!$B$4</x:f>
        <x:v>1000</x:v>
      </x:c>
      <x:c r="V572" s="3" t="n">
        <x:f>('SUPUESTOS PRECIOS'!$B$6-'SUPUESTOS PRECIOS'!$B$7)/'SUPUESTOS PRECIOS'!$B$4</x:f>
        <x:v>377.5</x:v>
      </x:c>
      <x:c r="W572" s="4" t="n">
        <x:f>'SUPUESTOS PRECIOS'!$B$8</x:f>
        <x:v>0.00968</x:v>
      </x:c>
      <x:c r="X572" s="4" t="n">
        <x:f>'SUPUESTOS PRECIOS'!$B$2</x:f>
        <x:v>0.4</x:v>
      </x:c>
      <x:c r="Y572" s="3" t="str">
        <x:f t="shared" si="33"/>
      </x:c>
      <x:c r="Z572" s="3" t="str">
        <x:f t="shared" si="34"/>
      </x:c>
      <x:c r="AA572" s="11" t="str">
        <x:f t="shared" si="35"/>
      </x:c>
    </x:row>
    <x:row r="573">
      <x:c r="A573" s="10" t="s">
        <x:v>1696</x:v>
      </x:c>
      <x:c r="F573" t="s">
        <x:v>1358</x:v>
      </x:c>
      <x:c r="K573">
        <x:v>1</x:v>
      </x:c>
      <x:c r="L573" t="str">
        <x:f t="shared" si="32"/>
      </x:c>
      <x:c r="O573" t="s">
        <x:v>38</x:v>
      </x:c>
      <x:c r="T573" s="2" t="n">
        <x:f>'SUPUESTOS PRECIOS'!$B$9</x:f>
        <x:v>0</x:v>
      </x:c>
      <x:c r="U573" s="3" t="n">
        <x:f>'SUPUESTOS PRECIOS'!$B$5/'SUPUESTOS PRECIOS'!$B$4</x:f>
        <x:v>1000</x:v>
      </x:c>
      <x:c r="V573" s="3" t="n">
        <x:f>('SUPUESTOS PRECIOS'!$B$6-'SUPUESTOS PRECIOS'!$B$7)/'SUPUESTOS PRECIOS'!$B$4</x:f>
        <x:v>377.5</x:v>
      </x:c>
      <x:c r="W573" s="4" t="n">
        <x:f>'SUPUESTOS PRECIOS'!$B$8</x:f>
        <x:v>0.00968</x:v>
      </x:c>
      <x:c r="X573" s="4" t="n">
        <x:f>'SUPUESTOS PRECIOS'!$B$2</x:f>
        <x:v>0.4</x:v>
      </x:c>
      <x:c r="Y573" s="3" t="str">
        <x:f t="shared" si="33"/>
      </x:c>
      <x:c r="Z573" s="3" t="str">
        <x:f t="shared" si="34"/>
      </x:c>
      <x:c r="AA573" s="11" t="str">
        <x:f t="shared" si="35"/>
      </x:c>
    </x:row>
    <x:row r="574">
      <x:c r="A574" s="10" t="s">
        <x:v>1697</x:v>
      </x:c>
      <x:c r="F574" t="s">
        <x:v>1358</x:v>
      </x:c>
      <x:c r="K574">
        <x:v>1</x:v>
      </x:c>
      <x:c r="L574" t="str">
        <x:f t="shared" si="32"/>
      </x:c>
      <x:c r="O574" t="s">
        <x:v>38</x:v>
      </x:c>
      <x:c r="T574" s="2" t="n">
        <x:f>'SUPUESTOS PRECIOS'!$B$9</x:f>
        <x:v>0</x:v>
      </x:c>
      <x:c r="U574" s="3" t="n">
        <x:f>'SUPUESTOS PRECIOS'!$B$5/'SUPUESTOS PRECIOS'!$B$4</x:f>
        <x:v>1000</x:v>
      </x:c>
      <x:c r="V574" s="3" t="n">
        <x:f>('SUPUESTOS PRECIOS'!$B$6-'SUPUESTOS PRECIOS'!$B$7)/'SUPUESTOS PRECIOS'!$B$4</x:f>
        <x:v>377.5</x:v>
      </x:c>
      <x:c r="W574" s="4" t="n">
        <x:f>'SUPUESTOS PRECIOS'!$B$8</x:f>
        <x:v>0.00968</x:v>
      </x:c>
      <x:c r="X574" s="4" t="n">
        <x:f>'SUPUESTOS PRECIOS'!$B$2</x:f>
        <x:v>0.4</x:v>
      </x:c>
      <x:c r="Y574" s="3" t="str">
        <x:f t="shared" si="33"/>
      </x:c>
      <x:c r="Z574" s="3" t="str">
        <x:f t="shared" si="34"/>
      </x:c>
      <x:c r="AA574" s="11" t="str">
        <x:f t="shared" si="35"/>
      </x:c>
    </x:row>
    <x:row r="575">
      <x:c r="A575" s="10" t="s">
        <x:v>1698</x:v>
      </x:c>
      <x:c r="F575" t="s">
        <x:v>1358</x:v>
      </x:c>
      <x:c r="K575">
        <x:v>1</x:v>
      </x:c>
      <x:c r="L575" t="str">
        <x:f t="shared" si="32"/>
      </x:c>
      <x:c r="O575" t="s">
        <x:v>38</x:v>
      </x:c>
      <x:c r="T575" s="2" t="n">
        <x:f>'SUPUESTOS PRECIOS'!$B$9</x:f>
        <x:v>0</x:v>
      </x:c>
      <x:c r="U575" s="3" t="n">
        <x:f>'SUPUESTOS PRECIOS'!$B$5/'SUPUESTOS PRECIOS'!$B$4</x:f>
        <x:v>1000</x:v>
      </x:c>
      <x:c r="V575" s="3" t="n">
        <x:f>('SUPUESTOS PRECIOS'!$B$6-'SUPUESTOS PRECIOS'!$B$7)/'SUPUESTOS PRECIOS'!$B$4</x:f>
        <x:v>377.5</x:v>
      </x:c>
      <x:c r="W575" s="4" t="n">
        <x:f>'SUPUESTOS PRECIOS'!$B$8</x:f>
        <x:v>0.00968</x:v>
      </x:c>
      <x:c r="X575" s="4" t="n">
        <x:f>'SUPUESTOS PRECIOS'!$B$2</x:f>
        <x:v>0.4</x:v>
      </x:c>
      <x:c r="Y575" s="3" t="str">
        <x:f t="shared" si="33"/>
      </x:c>
      <x:c r="Z575" s="3" t="str">
        <x:f t="shared" si="34"/>
      </x:c>
      <x:c r="AA575" s="11" t="str">
        <x:f t="shared" si="35"/>
      </x:c>
    </x:row>
    <x:row r="576">
      <x:c r="A576" s="10" t="s">
        <x:v>1699</x:v>
      </x:c>
      <x:c r="F576" t="s">
        <x:v>1358</x:v>
      </x:c>
      <x:c r="K576">
        <x:v>1</x:v>
      </x:c>
      <x:c r="L576" t="str">
        <x:f t="shared" si="32"/>
      </x:c>
      <x:c r="O576" t="s">
        <x:v>38</x:v>
      </x:c>
      <x:c r="T576" s="2" t="n">
        <x:f>'SUPUESTOS PRECIOS'!$B$9</x:f>
        <x:v>0</x:v>
      </x:c>
      <x:c r="U576" s="3" t="n">
        <x:f>'SUPUESTOS PRECIOS'!$B$5/'SUPUESTOS PRECIOS'!$B$4</x:f>
        <x:v>1000</x:v>
      </x:c>
      <x:c r="V576" s="3" t="n">
        <x:f>('SUPUESTOS PRECIOS'!$B$6-'SUPUESTOS PRECIOS'!$B$7)/'SUPUESTOS PRECIOS'!$B$4</x:f>
        <x:v>377.5</x:v>
      </x:c>
      <x:c r="W576" s="4" t="n">
        <x:f>'SUPUESTOS PRECIOS'!$B$8</x:f>
        <x:v>0.00968</x:v>
      </x:c>
      <x:c r="X576" s="4" t="n">
        <x:f>'SUPUESTOS PRECIOS'!$B$2</x:f>
        <x:v>0.4</x:v>
      </x:c>
      <x:c r="Y576" s="3" t="str">
        <x:f t="shared" si="33"/>
      </x:c>
      <x:c r="Z576" s="3" t="str">
        <x:f t="shared" si="34"/>
      </x:c>
      <x:c r="AA576" s="11" t="str">
        <x:f t="shared" si="35"/>
      </x:c>
    </x:row>
    <x:row r="577">
      <x:c r="A577" s="10" t="s">
        <x:v>1700</x:v>
      </x:c>
      <x:c r="F577" t="s">
        <x:v>1358</x:v>
      </x:c>
      <x:c r="K577">
        <x:v>1</x:v>
      </x:c>
      <x:c r="L577" t="str">
        <x:f t="shared" si="32"/>
      </x:c>
      <x:c r="O577" t="s">
        <x:v>38</x:v>
      </x:c>
      <x:c r="T577" s="2" t="n">
        <x:f>'SUPUESTOS PRECIOS'!$B$9</x:f>
        <x:v>0</x:v>
      </x:c>
      <x:c r="U577" s="3" t="n">
        <x:f>'SUPUESTOS PRECIOS'!$B$5/'SUPUESTOS PRECIOS'!$B$4</x:f>
        <x:v>1000</x:v>
      </x:c>
      <x:c r="V577" s="3" t="n">
        <x:f>('SUPUESTOS PRECIOS'!$B$6-'SUPUESTOS PRECIOS'!$B$7)/'SUPUESTOS PRECIOS'!$B$4</x:f>
        <x:v>377.5</x:v>
      </x:c>
      <x:c r="W577" s="4" t="n">
        <x:f>'SUPUESTOS PRECIOS'!$B$8</x:f>
        <x:v>0.00968</x:v>
      </x:c>
      <x:c r="X577" s="4" t="n">
        <x:f>'SUPUESTOS PRECIOS'!$B$2</x:f>
        <x:v>0.4</x:v>
      </x:c>
      <x:c r="Y577" s="3" t="str">
        <x:f t="shared" si="33"/>
      </x:c>
      <x:c r="Z577" s="3" t="str">
        <x:f t="shared" si="34"/>
      </x:c>
      <x:c r="AA577" s="11" t="str">
        <x:f t="shared" si="35"/>
      </x:c>
    </x:row>
    <x:row r="578">
      <x:c r="A578" s="10" t="s">
        <x:v>1701</x:v>
      </x:c>
      <x:c r="F578" t="s">
        <x:v>1358</x:v>
      </x:c>
      <x:c r="K578">
        <x:v>1</x:v>
      </x:c>
      <x:c r="L578" t="str">
        <x:f t="shared" ref="L578:L641" si="36">IF(J578="","",J578*(1+K578))</x:f>
      </x:c>
      <x:c r="O578" t="s">
        <x:v>38</x:v>
      </x:c>
      <x:c r="T578" s="2" t="n">
        <x:f>'SUPUESTOS PRECIOS'!$B$9</x:f>
        <x:v>0</x:v>
      </x:c>
      <x:c r="U578" s="3" t="n">
        <x:f>'SUPUESTOS PRECIOS'!$B$5/'SUPUESTOS PRECIOS'!$B$4</x:f>
        <x:v>1000</x:v>
      </x:c>
      <x:c r="V578" s="3" t="n">
        <x:f>('SUPUESTOS PRECIOS'!$B$6-'SUPUESTOS PRECIOS'!$B$7)/'SUPUESTOS PRECIOS'!$B$4</x:f>
        <x:v>377.5</x:v>
      </x:c>
      <x:c r="W578" s="4" t="n">
        <x:f>'SUPUESTOS PRECIOS'!$B$8</x:f>
        <x:v>0.00968</x:v>
      </x:c>
      <x:c r="X578" s="4" t="n">
        <x:f>'SUPUESTOS PRECIOS'!$B$2</x:f>
        <x:v>0.4</x:v>
      </x:c>
      <x:c r="Y578" s="3" t="str">
        <x:f t="shared" ref="Y578:Y641" si="37">IF(OR($B578="",$J578=""),"",ROUND(($J578+$T578+$U578+$V578)/(1-$W578-$X578),-1))</x:f>
      </x:c>
      <x:c r="Z578" s="3" t="str">
        <x:f t="shared" ref="Z578:Z641" si="38">IF($Y578="","",$Y578-$J578-$T578-$U578-$V578-($Y578*$W578))</x:f>
      </x:c>
      <x:c r="AA578" s="11" t="str">
        <x:f t="shared" ref="AA578:AA641" si="39">IF($Y578="","",$Z578/$Y578)</x:f>
      </x:c>
    </x:row>
    <x:row r="579">
      <x:c r="A579" s="10" t="s">
        <x:v>1702</x:v>
      </x:c>
      <x:c r="F579" t="s">
        <x:v>1358</x:v>
      </x:c>
      <x:c r="K579">
        <x:v>1</x:v>
      </x:c>
      <x:c r="L579" t="str">
        <x:f t="shared" si="36"/>
      </x:c>
      <x:c r="O579" t="s">
        <x:v>38</x:v>
      </x:c>
      <x:c r="T579" s="2" t="n">
        <x:f>'SUPUESTOS PRECIOS'!$B$9</x:f>
        <x:v>0</x:v>
      </x:c>
      <x:c r="U579" s="3" t="n">
        <x:f>'SUPUESTOS PRECIOS'!$B$5/'SUPUESTOS PRECIOS'!$B$4</x:f>
        <x:v>1000</x:v>
      </x:c>
      <x:c r="V579" s="3" t="n">
        <x:f>('SUPUESTOS PRECIOS'!$B$6-'SUPUESTOS PRECIOS'!$B$7)/'SUPUESTOS PRECIOS'!$B$4</x:f>
        <x:v>377.5</x:v>
      </x:c>
      <x:c r="W579" s="4" t="n">
        <x:f>'SUPUESTOS PRECIOS'!$B$8</x:f>
        <x:v>0.00968</x:v>
      </x:c>
      <x:c r="X579" s="4" t="n">
        <x:f>'SUPUESTOS PRECIOS'!$B$2</x:f>
        <x:v>0.4</x:v>
      </x:c>
      <x:c r="Y579" s="3" t="str">
        <x:f t="shared" si="37"/>
      </x:c>
      <x:c r="Z579" s="3" t="str">
        <x:f t="shared" si="38"/>
      </x:c>
      <x:c r="AA579" s="11" t="str">
        <x:f t="shared" si="39"/>
      </x:c>
    </x:row>
    <x:row r="580">
      <x:c r="A580" s="10" t="s">
        <x:v>1703</x:v>
      </x:c>
      <x:c r="F580" t="s">
        <x:v>1358</x:v>
      </x:c>
      <x:c r="K580">
        <x:v>1</x:v>
      </x:c>
      <x:c r="L580" t="str">
        <x:f t="shared" si="36"/>
      </x:c>
      <x:c r="O580" t="s">
        <x:v>38</x:v>
      </x:c>
      <x:c r="T580" s="2" t="n">
        <x:f>'SUPUESTOS PRECIOS'!$B$9</x:f>
        <x:v>0</x:v>
      </x:c>
      <x:c r="U580" s="3" t="n">
        <x:f>'SUPUESTOS PRECIOS'!$B$5/'SUPUESTOS PRECIOS'!$B$4</x:f>
        <x:v>1000</x:v>
      </x:c>
      <x:c r="V580" s="3" t="n">
        <x:f>('SUPUESTOS PRECIOS'!$B$6-'SUPUESTOS PRECIOS'!$B$7)/'SUPUESTOS PRECIOS'!$B$4</x:f>
        <x:v>377.5</x:v>
      </x:c>
      <x:c r="W580" s="4" t="n">
        <x:f>'SUPUESTOS PRECIOS'!$B$8</x:f>
        <x:v>0.00968</x:v>
      </x:c>
      <x:c r="X580" s="4" t="n">
        <x:f>'SUPUESTOS PRECIOS'!$B$2</x:f>
        <x:v>0.4</x:v>
      </x:c>
      <x:c r="Y580" s="3" t="str">
        <x:f t="shared" si="37"/>
      </x:c>
      <x:c r="Z580" s="3" t="str">
        <x:f t="shared" si="38"/>
      </x:c>
      <x:c r="AA580" s="11" t="str">
        <x:f t="shared" si="39"/>
      </x:c>
    </x:row>
    <x:row r="581">
      <x:c r="A581" s="10" t="s">
        <x:v>1704</x:v>
      </x:c>
      <x:c r="F581" t="s">
        <x:v>1358</x:v>
      </x:c>
      <x:c r="K581">
        <x:v>1</x:v>
      </x:c>
      <x:c r="L581" t="str">
        <x:f t="shared" si="36"/>
      </x:c>
      <x:c r="O581" t="s">
        <x:v>38</x:v>
      </x:c>
      <x:c r="T581" s="2" t="n">
        <x:f>'SUPUESTOS PRECIOS'!$B$9</x:f>
        <x:v>0</x:v>
      </x:c>
      <x:c r="U581" s="3" t="n">
        <x:f>'SUPUESTOS PRECIOS'!$B$5/'SUPUESTOS PRECIOS'!$B$4</x:f>
        <x:v>1000</x:v>
      </x:c>
      <x:c r="V581" s="3" t="n">
        <x:f>('SUPUESTOS PRECIOS'!$B$6-'SUPUESTOS PRECIOS'!$B$7)/'SUPUESTOS PRECIOS'!$B$4</x:f>
        <x:v>377.5</x:v>
      </x:c>
      <x:c r="W581" s="4" t="n">
        <x:f>'SUPUESTOS PRECIOS'!$B$8</x:f>
        <x:v>0.00968</x:v>
      </x:c>
      <x:c r="X581" s="4" t="n">
        <x:f>'SUPUESTOS PRECIOS'!$B$2</x:f>
        <x:v>0.4</x:v>
      </x:c>
      <x:c r="Y581" s="3" t="str">
        <x:f t="shared" si="37"/>
      </x:c>
      <x:c r="Z581" s="3" t="str">
        <x:f t="shared" si="38"/>
      </x:c>
      <x:c r="AA581" s="11" t="str">
        <x:f t="shared" si="39"/>
      </x:c>
    </x:row>
    <x:row r="582">
      <x:c r="A582" s="10" t="s">
        <x:v>1705</x:v>
      </x:c>
      <x:c r="F582" t="s">
        <x:v>1358</x:v>
      </x:c>
      <x:c r="K582">
        <x:v>1</x:v>
      </x:c>
      <x:c r="L582" t="str">
        <x:f t="shared" si="36"/>
      </x:c>
      <x:c r="O582" t="s">
        <x:v>38</x:v>
      </x:c>
      <x:c r="T582" s="2" t="n">
        <x:f>'SUPUESTOS PRECIOS'!$B$9</x:f>
        <x:v>0</x:v>
      </x:c>
      <x:c r="U582" s="3" t="n">
        <x:f>'SUPUESTOS PRECIOS'!$B$5/'SUPUESTOS PRECIOS'!$B$4</x:f>
        <x:v>1000</x:v>
      </x:c>
      <x:c r="V582" s="3" t="n">
        <x:f>('SUPUESTOS PRECIOS'!$B$6-'SUPUESTOS PRECIOS'!$B$7)/'SUPUESTOS PRECIOS'!$B$4</x:f>
        <x:v>377.5</x:v>
      </x:c>
      <x:c r="W582" s="4" t="n">
        <x:f>'SUPUESTOS PRECIOS'!$B$8</x:f>
        <x:v>0.00968</x:v>
      </x:c>
      <x:c r="X582" s="4" t="n">
        <x:f>'SUPUESTOS PRECIOS'!$B$2</x:f>
        <x:v>0.4</x:v>
      </x:c>
      <x:c r="Y582" s="3" t="str">
        <x:f t="shared" si="37"/>
      </x:c>
      <x:c r="Z582" s="3" t="str">
        <x:f t="shared" si="38"/>
      </x:c>
      <x:c r="AA582" s="11" t="str">
        <x:f t="shared" si="39"/>
      </x:c>
    </x:row>
    <x:row r="583">
      <x:c r="A583" s="10" t="s">
        <x:v>1706</x:v>
      </x:c>
      <x:c r="F583" t="s">
        <x:v>1358</x:v>
      </x:c>
      <x:c r="K583">
        <x:v>1</x:v>
      </x:c>
      <x:c r="L583" t="str">
        <x:f t="shared" si="36"/>
      </x:c>
      <x:c r="O583" t="s">
        <x:v>38</x:v>
      </x:c>
      <x:c r="T583" s="2" t="n">
        <x:f>'SUPUESTOS PRECIOS'!$B$9</x:f>
        <x:v>0</x:v>
      </x:c>
      <x:c r="U583" s="3" t="n">
        <x:f>'SUPUESTOS PRECIOS'!$B$5/'SUPUESTOS PRECIOS'!$B$4</x:f>
        <x:v>1000</x:v>
      </x:c>
      <x:c r="V583" s="3" t="n">
        <x:f>('SUPUESTOS PRECIOS'!$B$6-'SUPUESTOS PRECIOS'!$B$7)/'SUPUESTOS PRECIOS'!$B$4</x:f>
        <x:v>377.5</x:v>
      </x:c>
      <x:c r="W583" s="4" t="n">
        <x:f>'SUPUESTOS PRECIOS'!$B$8</x:f>
        <x:v>0.00968</x:v>
      </x:c>
      <x:c r="X583" s="4" t="n">
        <x:f>'SUPUESTOS PRECIOS'!$B$2</x:f>
        <x:v>0.4</x:v>
      </x:c>
      <x:c r="Y583" s="3" t="str">
        <x:f t="shared" si="37"/>
      </x:c>
      <x:c r="Z583" s="3" t="str">
        <x:f t="shared" si="38"/>
      </x:c>
      <x:c r="AA583" s="11" t="str">
        <x:f t="shared" si="39"/>
      </x:c>
    </x:row>
    <x:row r="584">
      <x:c r="A584" s="10" t="s">
        <x:v>1707</x:v>
      </x:c>
      <x:c r="F584" t="s">
        <x:v>1358</x:v>
      </x:c>
      <x:c r="K584">
        <x:v>1</x:v>
      </x:c>
      <x:c r="L584" t="str">
        <x:f t="shared" si="36"/>
      </x:c>
      <x:c r="O584" t="s">
        <x:v>38</x:v>
      </x:c>
      <x:c r="T584" s="2" t="n">
        <x:f>'SUPUESTOS PRECIOS'!$B$9</x:f>
        <x:v>0</x:v>
      </x:c>
      <x:c r="U584" s="3" t="n">
        <x:f>'SUPUESTOS PRECIOS'!$B$5/'SUPUESTOS PRECIOS'!$B$4</x:f>
        <x:v>1000</x:v>
      </x:c>
      <x:c r="V584" s="3" t="n">
        <x:f>('SUPUESTOS PRECIOS'!$B$6-'SUPUESTOS PRECIOS'!$B$7)/'SUPUESTOS PRECIOS'!$B$4</x:f>
        <x:v>377.5</x:v>
      </x:c>
      <x:c r="W584" s="4" t="n">
        <x:f>'SUPUESTOS PRECIOS'!$B$8</x:f>
        <x:v>0.00968</x:v>
      </x:c>
      <x:c r="X584" s="4" t="n">
        <x:f>'SUPUESTOS PRECIOS'!$B$2</x:f>
        <x:v>0.4</x:v>
      </x:c>
      <x:c r="Y584" s="3" t="str">
        <x:f t="shared" si="37"/>
      </x:c>
      <x:c r="Z584" s="3" t="str">
        <x:f t="shared" si="38"/>
      </x:c>
      <x:c r="AA584" s="11" t="str">
        <x:f t="shared" si="39"/>
      </x:c>
    </x:row>
    <x:row r="585">
      <x:c r="A585" s="10" t="s">
        <x:v>1708</x:v>
      </x:c>
      <x:c r="F585" t="s">
        <x:v>1358</x:v>
      </x:c>
      <x:c r="K585">
        <x:v>1</x:v>
      </x:c>
      <x:c r="L585" t="str">
        <x:f t="shared" si="36"/>
      </x:c>
      <x:c r="O585" t="s">
        <x:v>38</x:v>
      </x:c>
      <x:c r="T585" s="2" t="n">
        <x:f>'SUPUESTOS PRECIOS'!$B$9</x:f>
        <x:v>0</x:v>
      </x:c>
      <x:c r="U585" s="3" t="n">
        <x:f>'SUPUESTOS PRECIOS'!$B$5/'SUPUESTOS PRECIOS'!$B$4</x:f>
        <x:v>1000</x:v>
      </x:c>
      <x:c r="V585" s="3" t="n">
        <x:f>('SUPUESTOS PRECIOS'!$B$6-'SUPUESTOS PRECIOS'!$B$7)/'SUPUESTOS PRECIOS'!$B$4</x:f>
        <x:v>377.5</x:v>
      </x:c>
      <x:c r="W585" s="4" t="n">
        <x:f>'SUPUESTOS PRECIOS'!$B$8</x:f>
        <x:v>0.00968</x:v>
      </x:c>
      <x:c r="X585" s="4" t="n">
        <x:f>'SUPUESTOS PRECIOS'!$B$2</x:f>
        <x:v>0.4</x:v>
      </x:c>
      <x:c r="Y585" s="3" t="str">
        <x:f t="shared" si="37"/>
      </x:c>
      <x:c r="Z585" s="3" t="str">
        <x:f t="shared" si="38"/>
      </x:c>
      <x:c r="AA585" s="11" t="str">
        <x:f t="shared" si="39"/>
      </x:c>
    </x:row>
    <x:row r="586">
      <x:c r="A586" s="10" t="s">
        <x:v>1709</x:v>
      </x:c>
      <x:c r="F586" t="s">
        <x:v>1358</x:v>
      </x:c>
      <x:c r="K586">
        <x:v>1</x:v>
      </x:c>
      <x:c r="L586" t="str">
        <x:f t="shared" si="36"/>
      </x:c>
      <x:c r="O586" t="s">
        <x:v>38</x:v>
      </x:c>
      <x:c r="T586" s="2" t="n">
        <x:f>'SUPUESTOS PRECIOS'!$B$9</x:f>
        <x:v>0</x:v>
      </x:c>
      <x:c r="U586" s="3" t="n">
        <x:f>'SUPUESTOS PRECIOS'!$B$5/'SUPUESTOS PRECIOS'!$B$4</x:f>
        <x:v>1000</x:v>
      </x:c>
      <x:c r="V586" s="3" t="n">
        <x:f>('SUPUESTOS PRECIOS'!$B$6-'SUPUESTOS PRECIOS'!$B$7)/'SUPUESTOS PRECIOS'!$B$4</x:f>
        <x:v>377.5</x:v>
      </x:c>
      <x:c r="W586" s="4" t="n">
        <x:f>'SUPUESTOS PRECIOS'!$B$8</x:f>
        <x:v>0.00968</x:v>
      </x:c>
      <x:c r="X586" s="4" t="n">
        <x:f>'SUPUESTOS PRECIOS'!$B$2</x:f>
        <x:v>0.4</x:v>
      </x:c>
      <x:c r="Y586" s="3" t="str">
        <x:f t="shared" si="37"/>
      </x:c>
      <x:c r="Z586" s="3" t="str">
        <x:f t="shared" si="38"/>
      </x:c>
      <x:c r="AA586" s="11" t="str">
        <x:f t="shared" si="39"/>
      </x:c>
    </x:row>
    <x:row r="587">
      <x:c r="A587" s="10" t="s">
        <x:v>1710</x:v>
      </x:c>
      <x:c r="F587" t="s">
        <x:v>1358</x:v>
      </x:c>
      <x:c r="K587">
        <x:v>1</x:v>
      </x:c>
      <x:c r="L587" t="str">
        <x:f t="shared" si="36"/>
      </x:c>
      <x:c r="O587" t="s">
        <x:v>38</x:v>
      </x:c>
      <x:c r="T587" s="2" t="n">
        <x:f>'SUPUESTOS PRECIOS'!$B$9</x:f>
        <x:v>0</x:v>
      </x:c>
      <x:c r="U587" s="3" t="n">
        <x:f>'SUPUESTOS PRECIOS'!$B$5/'SUPUESTOS PRECIOS'!$B$4</x:f>
        <x:v>1000</x:v>
      </x:c>
      <x:c r="V587" s="3" t="n">
        <x:f>('SUPUESTOS PRECIOS'!$B$6-'SUPUESTOS PRECIOS'!$B$7)/'SUPUESTOS PRECIOS'!$B$4</x:f>
        <x:v>377.5</x:v>
      </x:c>
      <x:c r="W587" s="4" t="n">
        <x:f>'SUPUESTOS PRECIOS'!$B$8</x:f>
        <x:v>0.00968</x:v>
      </x:c>
      <x:c r="X587" s="4" t="n">
        <x:f>'SUPUESTOS PRECIOS'!$B$2</x:f>
        <x:v>0.4</x:v>
      </x:c>
      <x:c r="Y587" s="3" t="str">
        <x:f t="shared" si="37"/>
      </x:c>
      <x:c r="Z587" s="3" t="str">
        <x:f t="shared" si="38"/>
      </x:c>
      <x:c r="AA587" s="11" t="str">
        <x:f t="shared" si="39"/>
      </x:c>
    </x:row>
    <x:row r="588">
      <x:c r="A588" s="10" t="s">
        <x:v>1711</x:v>
      </x:c>
      <x:c r="F588" t="s">
        <x:v>1358</x:v>
      </x:c>
      <x:c r="K588">
        <x:v>1</x:v>
      </x:c>
      <x:c r="L588" t="str">
        <x:f t="shared" si="36"/>
      </x:c>
      <x:c r="O588" t="s">
        <x:v>38</x:v>
      </x:c>
      <x:c r="T588" s="2" t="n">
        <x:f>'SUPUESTOS PRECIOS'!$B$9</x:f>
        <x:v>0</x:v>
      </x:c>
      <x:c r="U588" s="3" t="n">
        <x:f>'SUPUESTOS PRECIOS'!$B$5/'SUPUESTOS PRECIOS'!$B$4</x:f>
        <x:v>1000</x:v>
      </x:c>
      <x:c r="V588" s="3" t="n">
        <x:f>('SUPUESTOS PRECIOS'!$B$6-'SUPUESTOS PRECIOS'!$B$7)/'SUPUESTOS PRECIOS'!$B$4</x:f>
        <x:v>377.5</x:v>
      </x:c>
      <x:c r="W588" s="4" t="n">
        <x:f>'SUPUESTOS PRECIOS'!$B$8</x:f>
        <x:v>0.00968</x:v>
      </x:c>
      <x:c r="X588" s="4" t="n">
        <x:f>'SUPUESTOS PRECIOS'!$B$2</x:f>
        <x:v>0.4</x:v>
      </x:c>
      <x:c r="Y588" s="3" t="str">
        <x:f t="shared" si="37"/>
      </x:c>
      <x:c r="Z588" s="3" t="str">
        <x:f t="shared" si="38"/>
      </x:c>
      <x:c r="AA588" s="11" t="str">
        <x:f t="shared" si="39"/>
      </x:c>
    </x:row>
    <x:row r="589">
      <x:c r="A589" s="10" t="s">
        <x:v>1712</x:v>
      </x:c>
      <x:c r="F589" t="s">
        <x:v>1358</x:v>
      </x:c>
      <x:c r="K589">
        <x:v>1</x:v>
      </x:c>
      <x:c r="L589" t="str">
        <x:f t="shared" si="36"/>
      </x:c>
      <x:c r="O589" t="s">
        <x:v>38</x:v>
      </x:c>
      <x:c r="T589" s="2" t="n">
        <x:f>'SUPUESTOS PRECIOS'!$B$9</x:f>
        <x:v>0</x:v>
      </x:c>
      <x:c r="U589" s="3" t="n">
        <x:f>'SUPUESTOS PRECIOS'!$B$5/'SUPUESTOS PRECIOS'!$B$4</x:f>
        <x:v>1000</x:v>
      </x:c>
      <x:c r="V589" s="3" t="n">
        <x:f>('SUPUESTOS PRECIOS'!$B$6-'SUPUESTOS PRECIOS'!$B$7)/'SUPUESTOS PRECIOS'!$B$4</x:f>
        <x:v>377.5</x:v>
      </x:c>
      <x:c r="W589" s="4" t="n">
        <x:f>'SUPUESTOS PRECIOS'!$B$8</x:f>
        <x:v>0.00968</x:v>
      </x:c>
      <x:c r="X589" s="4" t="n">
        <x:f>'SUPUESTOS PRECIOS'!$B$2</x:f>
        <x:v>0.4</x:v>
      </x:c>
      <x:c r="Y589" s="3" t="str">
        <x:f t="shared" si="37"/>
      </x:c>
      <x:c r="Z589" s="3" t="str">
        <x:f t="shared" si="38"/>
      </x:c>
      <x:c r="AA589" s="11" t="str">
        <x:f t="shared" si="39"/>
      </x:c>
    </x:row>
    <x:row r="590">
      <x:c r="A590" s="10" t="s">
        <x:v>1713</x:v>
      </x:c>
      <x:c r="F590" t="s">
        <x:v>1358</x:v>
      </x:c>
      <x:c r="K590">
        <x:v>1</x:v>
      </x:c>
      <x:c r="L590" t="str">
        <x:f t="shared" si="36"/>
      </x:c>
      <x:c r="O590" t="s">
        <x:v>38</x:v>
      </x:c>
      <x:c r="T590" s="2" t="n">
        <x:f>'SUPUESTOS PRECIOS'!$B$9</x:f>
        <x:v>0</x:v>
      </x:c>
      <x:c r="U590" s="3" t="n">
        <x:f>'SUPUESTOS PRECIOS'!$B$5/'SUPUESTOS PRECIOS'!$B$4</x:f>
        <x:v>1000</x:v>
      </x:c>
      <x:c r="V590" s="3" t="n">
        <x:f>('SUPUESTOS PRECIOS'!$B$6-'SUPUESTOS PRECIOS'!$B$7)/'SUPUESTOS PRECIOS'!$B$4</x:f>
        <x:v>377.5</x:v>
      </x:c>
      <x:c r="W590" s="4" t="n">
        <x:f>'SUPUESTOS PRECIOS'!$B$8</x:f>
        <x:v>0.00968</x:v>
      </x:c>
      <x:c r="X590" s="4" t="n">
        <x:f>'SUPUESTOS PRECIOS'!$B$2</x:f>
        <x:v>0.4</x:v>
      </x:c>
      <x:c r="Y590" s="3" t="str">
        <x:f t="shared" si="37"/>
      </x:c>
      <x:c r="Z590" s="3" t="str">
        <x:f t="shared" si="38"/>
      </x:c>
      <x:c r="AA590" s="11" t="str">
        <x:f t="shared" si="39"/>
      </x:c>
    </x:row>
    <x:row r="591">
      <x:c r="A591" s="10" t="s">
        <x:v>1714</x:v>
      </x:c>
      <x:c r="F591" t="s">
        <x:v>1358</x:v>
      </x:c>
      <x:c r="K591">
        <x:v>1</x:v>
      </x:c>
      <x:c r="L591" t="str">
        <x:f t="shared" si="36"/>
      </x:c>
      <x:c r="O591" t="s">
        <x:v>38</x:v>
      </x:c>
      <x:c r="T591" s="2" t="n">
        <x:f>'SUPUESTOS PRECIOS'!$B$9</x:f>
        <x:v>0</x:v>
      </x:c>
      <x:c r="U591" s="3" t="n">
        <x:f>'SUPUESTOS PRECIOS'!$B$5/'SUPUESTOS PRECIOS'!$B$4</x:f>
        <x:v>1000</x:v>
      </x:c>
      <x:c r="V591" s="3" t="n">
        <x:f>('SUPUESTOS PRECIOS'!$B$6-'SUPUESTOS PRECIOS'!$B$7)/'SUPUESTOS PRECIOS'!$B$4</x:f>
        <x:v>377.5</x:v>
      </x:c>
      <x:c r="W591" s="4" t="n">
        <x:f>'SUPUESTOS PRECIOS'!$B$8</x:f>
        <x:v>0.00968</x:v>
      </x:c>
      <x:c r="X591" s="4" t="n">
        <x:f>'SUPUESTOS PRECIOS'!$B$2</x:f>
        <x:v>0.4</x:v>
      </x:c>
      <x:c r="Y591" s="3" t="str">
        <x:f t="shared" si="37"/>
      </x:c>
      <x:c r="Z591" s="3" t="str">
        <x:f t="shared" si="38"/>
      </x:c>
      <x:c r="AA591" s="11" t="str">
        <x:f t="shared" si="39"/>
      </x:c>
    </x:row>
    <x:row r="592">
      <x:c r="A592" s="10" t="s">
        <x:v>1715</x:v>
      </x:c>
      <x:c r="F592" t="s">
        <x:v>1358</x:v>
      </x:c>
      <x:c r="K592">
        <x:v>1</x:v>
      </x:c>
      <x:c r="L592" t="str">
        <x:f t="shared" si="36"/>
      </x:c>
      <x:c r="O592" t="s">
        <x:v>38</x:v>
      </x:c>
      <x:c r="T592" s="2" t="n">
        <x:f>'SUPUESTOS PRECIOS'!$B$9</x:f>
        <x:v>0</x:v>
      </x:c>
      <x:c r="U592" s="3" t="n">
        <x:f>'SUPUESTOS PRECIOS'!$B$5/'SUPUESTOS PRECIOS'!$B$4</x:f>
        <x:v>1000</x:v>
      </x:c>
      <x:c r="V592" s="3" t="n">
        <x:f>('SUPUESTOS PRECIOS'!$B$6-'SUPUESTOS PRECIOS'!$B$7)/'SUPUESTOS PRECIOS'!$B$4</x:f>
        <x:v>377.5</x:v>
      </x:c>
      <x:c r="W592" s="4" t="n">
        <x:f>'SUPUESTOS PRECIOS'!$B$8</x:f>
        <x:v>0.00968</x:v>
      </x:c>
      <x:c r="X592" s="4" t="n">
        <x:f>'SUPUESTOS PRECIOS'!$B$2</x:f>
        <x:v>0.4</x:v>
      </x:c>
      <x:c r="Y592" s="3" t="str">
        <x:f t="shared" si="37"/>
      </x:c>
      <x:c r="Z592" s="3" t="str">
        <x:f t="shared" si="38"/>
      </x:c>
      <x:c r="AA592" s="11" t="str">
        <x:f t="shared" si="39"/>
      </x:c>
    </x:row>
    <x:row r="593">
      <x:c r="A593" s="10" t="s">
        <x:v>1716</x:v>
      </x:c>
      <x:c r="F593" t="s">
        <x:v>1358</x:v>
      </x:c>
      <x:c r="K593">
        <x:v>1</x:v>
      </x:c>
      <x:c r="L593" t="str">
        <x:f t="shared" si="36"/>
      </x:c>
      <x:c r="O593" t="s">
        <x:v>38</x:v>
      </x:c>
      <x:c r="T593" s="2" t="n">
        <x:f>'SUPUESTOS PRECIOS'!$B$9</x:f>
        <x:v>0</x:v>
      </x:c>
      <x:c r="U593" s="3" t="n">
        <x:f>'SUPUESTOS PRECIOS'!$B$5/'SUPUESTOS PRECIOS'!$B$4</x:f>
        <x:v>1000</x:v>
      </x:c>
      <x:c r="V593" s="3" t="n">
        <x:f>('SUPUESTOS PRECIOS'!$B$6-'SUPUESTOS PRECIOS'!$B$7)/'SUPUESTOS PRECIOS'!$B$4</x:f>
        <x:v>377.5</x:v>
      </x:c>
      <x:c r="W593" s="4" t="n">
        <x:f>'SUPUESTOS PRECIOS'!$B$8</x:f>
        <x:v>0.00968</x:v>
      </x:c>
      <x:c r="X593" s="4" t="n">
        <x:f>'SUPUESTOS PRECIOS'!$B$2</x:f>
        <x:v>0.4</x:v>
      </x:c>
      <x:c r="Y593" s="3" t="str">
        <x:f t="shared" si="37"/>
      </x:c>
      <x:c r="Z593" s="3" t="str">
        <x:f t="shared" si="38"/>
      </x:c>
      <x:c r="AA593" s="11" t="str">
        <x:f t="shared" si="39"/>
      </x:c>
    </x:row>
    <x:row r="594">
      <x:c r="A594" s="10" t="s">
        <x:v>1717</x:v>
      </x:c>
      <x:c r="F594" t="s">
        <x:v>1358</x:v>
      </x:c>
      <x:c r="K594">
        <x:v>1</x:v>
      </x:c>
      <x:c r="L594" t="str">
        <x:f t="shared" si="36"/>
      </x:c>
      <x:c r="O594" t="s">
        <x:v>38</x:v>
      </x:c>
      <x:c r="T594" s="2" t="n">
        <x:f>'SUPUESTOS PRECIOS'!$B$9</x:f>
        <x:v>0</x:v>
      </x:c>
      <x:c r="U594" s="3" t="n">
        <x:f>'SUPUESTOS PRECIOS'!$B$5/'SUPUESTOS PRECIOS'!$B$4</x:f>
        <x:v>1000</x:v>
      </x:c>
      <x:c r="V594" s="3" t="n">
        <x:f>('SUPUESTOS PRECIOS'!$B$6-'SUPUESTOS PRECIOS'!$B$7)/'SUPUESTOS PRECIOS'!$B$4</x:f>
        <x:v>377.5</x:v>
      </x:c>
      <x:c r="W594" s="4" t="n">
        <x:f>'SUPUESTOS PRECIOS'!$B$8</x:f>
        <x:v>0.00968</x:v>
      </x:c>
      <x:c r="X594" s="4" t="n">
        <x:f>'SUPUESTOS PRECIOS'!$B$2</x:f>
        <x:v>0.4</x:v>
      </x:c>
      <x:c r="Y594" s="3" t="str">
        <x:f t="shared" si="37"/>
      </x:c>
      <x:c r="Z594" s="3" t="str">
        <x:f t="shared" si="38"/>
      </x:c>
      <x:c r="AA594" s="11" t="str">
        <x:f t="shared" si="39"/>
      </x:c>
    </x:row>
    <x:row r="595">
      <x:c r="A595" s="10" t="s">
        <x:v>1718</x:v>
      </x:c>
      <x:c r="F595" t="s">
        <x:v>1358</x:v>
      </x:c>
      <x:c r="K595">
        <x:v>1</x:v>
      </x:c>
      <x:c r="L595" t="str">
        <x:f t="shared" si="36"/>
      </x:c>
      <x:c r="O595" t="s">
        <x:v>38</x:v>
      </x:c>
      <x:c r="T595" s="2" t="n">
        <x:f>'SUPUESTOS PRECIOS'!$B$9</x:f>
        <x:v>0</x:v>
      </x:c>
      <x:c r="U595" s="3" t="n">
        <x:f>'SUPUESTOS PRECIOS'!$B$5/'SUPUESTOS PRECIOS'!$B$4</x:f>
        <x:v>1000</x:v>
      </x:c>
      <x:c r="V595" s="3" t="n">
        <x:f>('SUPUESTOS PRECIOS'!$B$6-'SUPUESTOS PRECIOS'!$B$7)/'SUPUESTOS PRECIOS'!$B$4</x:f>
        <x:v>377.5</x:v>
      </x:c>
      <x:c r="W595" s="4" t="n">
        <x:f>'SUPUESTOS PRECIOS'!$B$8</x:f>
        <x:v>0.00968</x:v>
      </x:c>
      <x:c r="X595" s="4" t="n">
        <x:f>'SUPUESTOS PRECIOS'!$B$2</x:f>
        <x:v>0.4</x:v>
      </x:c>
      <x:c r="Y595" s="3" t="str">
        <x:f t="shared" si="37"/>
      </x:c>
      <x:c r="Z595" s="3" t="str">
        <x:f t="shared" si="38"/>
      </x:c>
      <x:c r="AA595" s="11" t="str">
        <x:f t="shared" si="39"/>
      </x:c>
    </x:row>
    <x:row r="596">
      <x:c r="A596" s="10" t="s">
        <x:v>1719</x:v>
      </x:c>
      <x:c r="F596" t="s">
        <x:v>1358</x:v>
      </x:c>
      <x:c r="K596">
        <x:v>1</x:v>
      </x:c>
      <x:c r="L596" t="str">
        <x:f t="shared" si="36"/>
      </x:c>
      <x:c r="O596" t="s">
        <x:v>38</x:v>
      </x:c>
      <x:c r="T596" s="2" t="n">
        <x:f>'SUPUESTOS PRECIOS'!$B$9</x:f>
        <x:v>0</x:v>
      </x:c>
      <x:c r="U596" s="3" t="n">
        <x:f>'SUPUESTOS PRECIOS'!$B$5/'SUPUESTOS PRECIOS'!$B$4</x:f>
        <x:v>1000</x:v>
      </x:c>
      <x:c r="V596" s="3" t="n">
        <x:f>('SUPUESTOS PRECIOS'!$B$6-'SUPUESTOS PRECIOS'!$B$7)/'SUPUESTOS PRECIOS'!$B$4</x:f>
        <x:v>377.5</x:v>
      </x:c>
      <x:c r="W596" s="4" t="n">
        <x:f>'SUPUESTOS PRECIOS'!$B$8</x:f>
        <x:v>0.00968</x:v>
      </x:c>
      <x:c r="X596" s="4" t="n">
        <x:f>'SUPUESTOS PRECIOS'!$B$2</x:f>
        <x:v>0.4</x:v>
      </x:c>
      <x:c r="Y596" s="3" t="str">
        <x:f t="shared" si="37"/>
      </x:c>
      <x:c r="Z596" s="3" t="str">
        <x:f t="shared" si="38"/>
      </x:c>
      <x:c r="AA596" s="11" t="str">
        <x:f t="shared" si="39"/>
      </x:c>
    </x:row>
    <x:row r="597">
      <x:c r="A597" s="10" t="s">
        <x:v>1720</x:v>
      </x:c>
      <x:c r="F597" t="s">
        <x:v>1358</x:v>
      </x:c>
      <x:c r="K597">
        <x:v>1</x:v>
      </x:c>
      <x:c r="L597" t="str">
        <x:f t="shared" si="36"/>
      </x:c>
      <x:c r="O597" t="s">
        <x:v>38</x:v>
      </x:c>
      <x:c r="T597" s="2" t="n">
        <x:f>'SUPUESTOS PRECIOS'!$B$9</x:f>
        <x:v>0</x:v>
      </x:c>
      <x:c r="U597" s="3" t="n">
        <x:f>'SUPUESTOS PRECIOS'!$B$5/'SUPUESTOS PRECIOS'!$B$4</x:f>
        <x:v>1000</x:v>
      </x:c>
      <x:c r="V597" s="3" t="n">
        <x:f>('SUPUESTOS PRECIOS'!$B$6-'SUPUESTOS PRECIOS'!$B$7)/'SUPUESTOS PRECIOS'!$B$4</x:f>
        <x:v>377.5</x:v>
      </x:c>
      <x:c r="W597" s="4" t="n">
        <x:f>'SUPUESTOS PRECIOS'!$B$8</x:f>
        <x:v>0.00968</x:v>
      </x:c>
      <x:c r="X597" s="4" t="n">
        <x:f>'SUPUESTOS PRECIOS'!$B$2</x:f>
        <x:v>0.4</x:v>
      </x:c>
      <x:c r="Y597" s="3" t="str">
        <x:f t="shared" si="37"/>
      </x:c>
      <x:c r="Z597" s="3" t="str">
        <x:f t="shared" si="38"/>
      </x:c>
      <x:c r="AA597" s="11" t="str">
        <x:f t="shared" si="39"/>
      </x:c>
    </x:row>
    <x:row r="598">
      <x:c r="A598" s="10" t="s">
        <x:v>1721</x:v>
      </x:c>
      <x:c r="F598" t="s">
        <x:v>1358</x:v>
      </x:c>
      <x:c r="K598">
        <x:v>1</x:v>
      </x:c>
      <x:c r="L598" t="str">
        <x:f t="shared" si="36"/>
      </x:c>
      <x:c r="O598" t="s">
        <x:v>38</x:v>
      </x:c>
      <x:c r="T598" s="2" t="n">
        <x:f>'SUPUESTOS PRECIOS'!$B$9</x:f>
        <x:v>0</x:v>
      </x:c>
      <x:c r="U598" s="3" t="n">
        <x:f>'SUPUESTOS PRECIOS'!$B$5/'SUPUESTOS PRECIOS'!$B$4</x:f>
        <x:v>1000</x:v>
      </x:c>
      <x:c r="V598" s="3" t="n">
        <x:f>('SUPUESTOS PRECIOS'!$B$6-'SUPUESTOS PRECIOS'!$B$7)/'SUPUESTOS PRECIOS'!$B$4</x:f>
        <x:v>377.5</x:v>
      </x:c>
      <x:c r="W598" s="4" t="n">
        <x:f>'SUPUESTOS PRECIOS'!$B$8</x:f>
        <x:v>0.00968</x:v>
      </x:c>
      <x:c r="X598" s="4" t="n">
        <x:f>'SUPUESTOS PRECIOS'!$B$2</x:f>
        <x:v>0.4</x:v>
      </x:c>
      <x:c r="Y598" s="3" t="str">
        <x:f t="shared" si="37"/>
      </x:c>
      <x:c r="Z598" s="3" t="str">
        <x:f t="shared" si="38"/>
      </x:c>
      <x:c r="AA598" s="11" t="str">
        <x:f t="shared" si="39"/>
      </x:c>
    </x:row>
    <x:row r="599">
      <x:c r="A599" s="10" t="s">
        <x:v>1722</x:v>
      </x:c>
      <x:c r="F599" t="s">
        <x:v>1358</x:v>
      </x:c>
      <x:c r="K599">
        <x:v>1</x:v>
      </x:c>
      <x:c r="L599" t="str">
        <x:f t="shared" si="36"/>
      </x:c>
      <x:c r="O599" t="s">
        <x:v>38</x:v>
      </x:c>
      <x:c r="T599" s="2" t="n">
        <x:f>'SUPUESTOS PRECIOS'!$B$9</x:f>
        <x:v>0</x:v>
      </x:c>
      <x:c r="U599" s="3" t="n">
        <x:f>'SUPUESTOS PRECIOS'!$B$5/'SUPUESTOS PRECIOS'!$B$4</x:f>
        <x:v>1000</x:v>
      </x:c>
      <x:c r="V599" s="3" t="n">
        <x:f>('SUPUESTOS PRECIOS'!$B$6-'SUPUESTOS PRECIOS'!$B$7)/'SUPUESTOS PRECIOS'!$B$4</x:f>
        <x:v>377.5</x:v>
      </x:c>
      <x:c r="W599" s="4" t="n">
        <x:f>'SUPUESTOS PRECIOS'!$B$8</x:f>
        <x:v>0.00968</x:v>
      </x:c>
      <x:c r="X599" s="4" t="n">
        <x:f>'SUPUESTOS PRECIOS'!$B$2</x:f>
        <x:v>0.4</x:v>
      </x:c>
      <x:c r="Y599" s="3" t="str">
        <x:f t="shared" si="37"/>
      </x:c>
      <x:c r="Z599" s="3" t="str">
        <x:f t="shared" si="38"/>
      </x:c>
      <x:c r="AA599" s="11" t="str">
        <x:f t="shared" si="39"/>
      </x:c>
    </x:row>
    <x:row r="600">
      <x:c r="A600" s="10" t="s">
        <x:v>1723</x:v>
      </x:c>
      <x:c r="F600" t="s">
        <x:v>1358</x:v>
      </x:c>
      <x:c r="K600">
        <x:v>1</x:v>
      </x:c>
      <x:c r="L600" t="str">
        <x:f t="shared" si="36"/>
      </x:c>
      <x:c r="O600" t="s">
        <x:v>38</x:v>
      </x:c>
      <x:c r="T600" s="2" t="n">
        <x:f>'SUPUESTOS PRECIOS'!$B$9</x:f>
        <x:v>0</x:v>
      </x:c>
      <x:c r="U600" s="3" t="n">
        <x:f>'SUPUESTOS PRECIOS'!$B$5/'SUPUESTOS PRECIOS'!$B$4</x:f>
        <x:v>1000</x:v>
      </x:c>
      <x:c r="V600" s="3" t="n">
        <x:f>('SUPUESTOS PRECIOS'!$B$6-'SUPUESTOS PRECIOS'!$B$7)/'SUPUESTOS PRECIOS'!$B$4</x:f>
        <x:v>377.5</x:v>
      </x:c>
      <x:c r="W600" s="4" t="n">
        <x:f>'SUPUESTOS PRECIOS'!$B$8</x:f>
        <x:v>0.00968</x:v>
      </x:c>
      <x:c r="X600" s="4" t="n">
        <x:f>'SUPUESTOS PRECIOS'!$B$2</x:f>
        <x:v>0.4</x:v>
      </x:c>
      <x:c r="Y600" s="3" t="str">
        <x:f t="shared" si="37"/>
      </x:c>
      <x:c r="Z600" s="3" t="str">
        <x:f t="shared" si="38"/>
      </x:c>
      <x:c r="AA600" s="11" t="str">
        <x:f t="shared" si="39"/>
      </x:c>
    </x:row>
    <x:row r="601">
      <x:c r="A601" s="10" t="s">
        <x:v>1724</x:v>
      </x:c>
      <x:c r="F601" t="s">
        <x:v>1358</x:v>
      </x:c>
      <x:c r="K601">
        <x:v>1</x:v>
      </x:c>
      <x:c r="L601" t="str">
        <x:f t="shared" si="36"/>
      </x:c>
      <x:c r="O601" t="s">
        <x:v>38</x:v>
      </x:c>
      <x:c r="T601" s="2" t="n">
        <x:f>'SUPUESTOS PRECIOS'!$B$9</x:f>
        <x:v>0</x:v>
      </x:c>
      <x:c r="U601" s="3" t="n">
        <x:f>'SUPUESTOS PRECIOS'!$B$5/'SUPUESTOS PRECIOS'!$B$4</x:f>
        <x:v>1000</x:v>
      </x:c>
      <x:c r="V601" s="3" t="n">
        <x:f>('SUPUESTOS PRECIOS'!$B$6-'SUPUESTOS PRECIOS'!$B$7)/'SUPUESTOS PRECIOS'!$B$4</x:f>
        <x:v>377.5</x:v>
      </x:c>
      <x:c r="W601" s="4" t="n">
        <x:f>'SUPUESTOS PRECIOS'!$B$8</x:f>
        <x:v>0.00968</x:v>
      </x:c>
      <x:c r="X601" s="4" t="n">
        <x:f>'SUPUESTOS PRECIOS'!$B$2</x:f>
        <x:v>0.4</x:v>
      </x:c>
      <x:c r="Y601" s="3" t="str">
        <x:f t="shared" si="37"/>
      </x:c>
      <x:c r="Z601" s="3" t="str">
        <x:f t="shared" si="38"/>
      </x:c>
      <x:c r="AA601" s="11" t="str">
        <x:f t="shared" si="39"/>
      </x:c>
    </x:row>
    <x:row r="602">
      <x:c r="A602" s="10" t="s">
        <x:v>1725</x:v>
      </x:c>
      <x:c r="F602" t="s">
        <x:v>1358</x:v>
      </x:c>
      <x:c r="K602">
        <x:v>1</x:v>
      </x:c>
      <x:c r="L602" t="str">
        <x:f t="shared" si="36"/>
      </x:c>
      <x:c r="O602" t="s">
        <x:v>38</x:v>
      </x:c>
      <x:c r="T602" s="2" t="n">
        <x:f>'SUPUESTOS PRECIOS'!$B$9</x:f>
        <x:v>0</x:v>
      </x:c>
      <x:c r="U602" s="3" t="n">
        <x:f>'SUPUESTOS PRECIOS'!$B$5/'SUPUESTOS PRECIOS'!$B$4</x:f>
        <x:v>1000</x:v>
      </x:c>
      <x:c r="V602" s="3" t="n">
        <x:f>('SUPUESTOS PRECIOS'!$B$6-'SUPUESTOS PRECIOS'!$B$7)/'SUPUESTOS PRECIOS'!$B$4</x:f>
        <x:v>377.5</x:v>
      </x:c>
      <x:c r="W602" s="4" t="n">
        <x:f>'SUPUESTOS PRECIOS'!$B$8</x:f>
        <x:v>0.00968</x:v>
      </x:c>
      <x:c r="X602" s="4" t="n">
        <x:f>'SUPUESTOS PRECIOS'!$B$2</x:f>
        <x:v>0.4</x:v>
      </x:c>
      <x:c r="Y602" s="3" t="str">
        <x:f t="shared" si="37"/>
      </x:c>
      <x:c r="Z602" s="3" t="str">
        <x:f t="shared" si="38"/>
      </x:c>
      <x:c r="AA602" s="11" t="str">
        <x:f t="shared" si="39"/>
      </x:c>
    </x:row>
    <x:row r="603">
      <x:c r="A603" s="10" t="s">
        <x:v>1726</x:v>
      </x:c>
      <x:c r="F603" t="s">
        <x:v>1358</x:v>
      </x:c>
      <x:c r="K603">
        <x:v>1</x:v>
      </x:c>
      <x:c r="L603" t="str">
        <x:f t="shared" si="36"/>
      </x:c>
      <x:c r="O603" t="s">
        <x:v>38</x:v>
      </x:c>
      <x:c r="T603" s="2" t="n">
        <x:f>'SUPUESTOS PRECIOS'!$B$9</x:f>
        <x:v>0</x:v>
      </x:c>
      <x:c r="U603" s="3" t="n">
        <x:f>'SUPUESTOS PRECIOS'!$B$5/'SUPUESTOS PRECIOS'!$B$4</x:f>
        <x:v>1000</x:v>
      </x:c>
      <x:c r="V603" s="3" t="n">
        <x:f>('SUPUESTOS PRECIOS'!$B$6-'SUPUESTOS PRECIOS'!$B$7)/'SUPUESTOS PRECIOS'!$B$4</x:f>
        <x:v>377.5</x:v>
      </x:c>
      <x:c r="W603" s="4" t="n">
        <x:f>'SUPUESTOS PRECIOS'!$B$8</x:f>
        <x:v>0.00968</x:v>
      </x:c>
      <x:c r="X603" s="4" t="n">
        <x:f>'SUPUESTOS PRECIOS'!$B$2</x:f>
        <x:v>0.4</x:v>
      </x:c>
      <x:c r="Y603" s="3" t="str">
        <x:f t="shared" si="37"/>
      </x:c>
      <x:c r="Z603" s="3" t="str">
        <x:f t="shared" si="38"/>
      </x:c>
      <x:c r="AA603" s="11" t="str">
        <x:f t="shared" si="39"/>
      </x:c>
    </x:row>
    <x:row r="604">
      <x:c r="A604" s="10" t="s">
        <x:v>1727</x:v>
      </x:c>
      <x:c r="F604" t="s">
        <x:v>1358</x:v>
      </x:c>
      <x:c r="K604">
        <x:v>1</x:v>
      </x:c>
      <x:c r="L604" t="str">
        <x:f t="shared" si="36"/>
      </x:c>
      <x:c r="O604" t="s">
        <x:v>38</x:v>
      </x:c>
      <x:c r="T604" s="2" t="n">
        <x:f>'SUPUESTOS PRECIOS'!$B$9</x:f>
        <x:v>0</x:v>
      </x:c>
      <x:c r="U604" s="3" t="n">
        <x:f>'SUPUESTOS PRECIOS'!$B$5/'SUPUESTOS PRECIOS'!$B$4</x:f>
        <x:v>1000</x:v>
      </x:c>
      <x:c r="V604" s="3" t="n">
        <x:f>('SUPUESTOS PRECIOS'!$B$6-'SUPUESTOS PRECIOS'!$B$7)/'SUPUESTOS PRECIOS'!$B$4</x:f>
        <x:v>377.5</x:v>
      </x:c>
      <x:c r="W604" s="4" t="n">
        <x:f>'SUPUESTOS PRECIOS'!$B$8</x:f>
        <x:v>0.00968</x:v>
      </x:c>
      <x:c r="X604" s="4" t="n">
        <x:f>'SUPUESTOS PRECIOS'!$B$2</x:f>
        <x:v>0.4</x:v>
      </x:c>
      <x:c r="Y604" s="3" t="str">
        <x:f t="shared" si="37"/>
      </x:c>
      <x:c r="Z604" s="3" t="str">
        <x:f t="shared" si="38"/>
      </x:c>
      <x:c r="AA604" s="11" t="str">
        <x:f t="shared" si="39"/>
      </x:c>
    </x:row>
    <x:row r="605">
      <x:c r="A605" s="10" t="s">
        <x:v>1728</x:v>
      </x:c>
      <x:c r="F605" t="s">
        <x:v>1358</x:v>
      </x:c>
      <x:c r="K605">
        <x:v>1</x:v>
      </x:c>
      <x:c r="L605" t="str">
        <x:f t="shared" si="36"/>
      </x:c>
      <x:c r="O605" t="s">
        <x:v>38</x:v>
      </x:c>
      <x:c r="T605" s="2" t="n">
        <x:f>'SUPUESTOS PRECIOS'!$B$9</x:f>
        <x:v>0</x:v>
      </x:c>
      <x:c r="U605" s="3" t="n">
        <x:f>'SUPUESTOS PRECIOS'!$B$5/'SUPUESTOS PRECIOS'!$B$4</x:f>
        <x:v>1000</x:v>
      </x:c>
      <x:c r="V605" s="3" t="n">
        <x:f>('SUPUESTOS PRECIOS'!$B$6-'SUPUESTOS PRECIOS'!$B$7)/'SUPUESTOS PRECIOS'!$B$4</x:f>
        <x:v>377.5</x:v>
      </x:c>
      <x:c r="W605" s="4" t="n">
        <x:f>'SUPUESTOS PRECIOS'!$B$8</x:f>
        <x:v>0.00968</x:v>
      </x:c>
      <x:c r="X605" s="4" t="n">
        <x:f>'SUPUESTOS PRECIOS'!$B$2</x:f>
        <x:v>0.4</x:v>
      </x:c>
      <x:c r="Y605" s="3" t="str">
        <x:f t="shared" si="37"/>
      </x:c>
      <x:c r="Z605" s="3" t="str">
        <x:f t="shared" si="38"/>
      </x:c>
      <x:c r="AA605" s="11" t="str">
        <x:f t="shared" si="39"/>
      </x:c>
    </x:row>
    <x:row r="606">
      <x:c r="A606" s="10" t="s">
        <x:v>1729</x:v>
      </x:c>
      <x:c r="F606" t="s">
        <x:v>1358</x:v>
      </x:c>
      <x:c r="K606">
        <x:v>1</x:v>
      </x:c>
      <x:c r="L606" t="str">
        <x:f t="shared" si="36"/>
      </x:c>
      <x:c r="O606" t="s">
        <x:v>38</x:v>
      </x:c>
      <x:c r="T606" s="2" t="n">
        <x:f>'SUPUESTOS PRECIOS'!$B$9</x:f>
        <x:v>0</x:v>
      </x:c>
      <x:c r="U606" s="3" t="n">
        <x:f>'SUPUESTOS PRECIOS'!$B$5/'SUPUESTOS PRECIOS'!$B$4</x:f>
        <x:v>1000</x:v>
      </x:c>
      <x:c r="V606" s="3" t="n">
        <x:f>('SUPUESTOS PRECIOS'!$B$6-'SUPUESTOS PRECIOS'!$B$7)/'SUPUESTOS PRECIOS'!$B$4</x:f>
        <x:v>377.5</x:v>
      </x:c>
      <x:c r="W606" s="4" t="n">
        <x:f>'SUPUESTOS PRECIOS'!$B$8</x:f>
        <x:v>0.00968</x:v>
      </x:c>
      <x:c r="X606" s="4" t="n">
        <x:f>'SUPUESTOS PRECIOS'!$B$2</x:f>
        <x:v>0.4</x:v>
      </x:c>
      <x:c r="Y606" s="3" t="str">
        <x:f t="shared" si="37"/>
      </x:c>
      <x:c r="Z606" s="3" t="str">
        <x:f t="shared" si="38"/>
      </x:c>
      <x:c r="AA606" s="11" t="str">
        <x:f t="shared" si="39"/>
      </x:c>
    </x:row>
    <x:row r="607">
      <x:c r="A607" s="10" t="s">
        <x:v>1730</x:v>
      </x:c>
      <x:c r="F607" t="s">
        <x:v>1358</x:v>
      </x:c>
      <x:c r="K607">
        <x:v>1</x:v>
      </x:c>
      <x:c r="L607" t="str">
        <x:f t="shared" si="36"/>
      </x:c>
      <x:c r="O607" t="s">
        <x:v>38</x:v>
      </x:c>
      <x:c r="T607" s="2" t="n">
        <x:f>'SUPUESTOS PRECIOS'!$B$9</x:f>
        <x:v>0</x:v>
      </x:c>
      <x:c r="U607" s="3" t="n">
        <x:f>'SUPUESTOS PRECIOS'!$B$5/'SUPUESTOS PRECIOS'!$B$4</x:f>
        <x:v>1000</x:v>
      </x:c>
      <x:c r="V607" s="3" t="n">
        <x:f>('SUPUESTOS PRECIOS'!$B$6-'SUPUESTOS PRECIOS'!$B$7)/'SUPUESTOS PRECIOS'!$B$4</x:f>
        <x:v>377.5</x:v>
      </x:c>
      <x:c r="W607" s="4" t="n">
        <x:f>'SUPUESTOS PRECIOS'!$B$8</x:f>
        <x:v>0.00968</x:v>
      </x:c>
      <x:c r="X607" s="4" t="n">
        <x:f>'SUPUESTOS PRECIOS'!$B$2</x:f>
        <x:v>0.4</x:v>
      </x:c>
      <x:c r="Y607" s="3" t="str">
        <x:f t="shared" si="37"/>
      </x:c>
      <x:c r="Z607" s="3" t="str">
        <x:f t="shared" si="38"/>
      </x:c>
      <x:c r="AA607" s="11" t="str">
        <x:f t="shared" si="39"/>
      </x:c>
    </x:row>
    <x:row r="608">
      <x:c r="A608" s="10" t="s">
        <x:v>1731</x:v>
      </x:c>
      <x:c r="F608" t="s">
        <x:v>1358</x:v>
      </x:c>
      <x:c r="K608">
        <x:v>1</x:v>
      </x:c>
      <x:c r="L608" t="str">
        <x:f t="shared" si="36"/>
      </x:c>
      <x:c r="O608" t="s">
        <x:v>38</x:v>
      </x:c>
      <x:c r="T608" s="2" t="n">
        <x:f>'SUPUESTOS PRECIOS'!$B$9</x:f>
        <x:v>0</x:v>
      </x:c>
      <x:c r="U608" s="3" t="n">
        <x:f>'SUPUESTOS PRECIOS'!$B$5/'SUPUESTOS PRECIOS'!$B$4</x:f>
        <x:v>1000</x:v>
      </x:c>
      <x:c r="V608" s="3" t="n">
        <x:f>('SUPUESTOS PRECIOS'!$B$6-'SUPUESTOS PRECIOS'!$B$7)/'SUPUESTOS PRECIOS'!$B$4</x:f>
        <x:v>377.5</x:v>
      </x:c>
      <x:c r="W608" s="4" t="n">
        <x:f>'SUPUESTOS PRECIOS'!$B$8</x:f>
        <x:v>0.00968</x:v>
      </x:c>
      <x:c r="X608" s="4" t="n">
        <x:f>'SUPUESTOS PRECIOS'!$B$2</x:f>
        <x:v>0.4</x:v>
      </x:c>
      <x:c r="Y608" s="3" t="str">
        <x:f t="shared" si="37"/>
      </x:c>
      <x:c r="Z608" s="3" t="str">
        <x:f t="shared" si="38"/>
      </x:c>
      <x:c r="AA608" s="11" t="str">
        <x:f t="shared" si="39"/>
      </x:c>
    </x:row>
    <x:row r="609">
      <x:c r="A609" s="10" t="s">
        <x:v>1732</x:v>
      </x:c>
      <x:c r="F609" t="s">
        <x:v>1358</x:v>
      </x:c>
      <x:c r="K609">
        <x:v>1</x:v>
      </x:c>
      <x:c r="L609" t="str">
        <x:f t="shared" si="36"/>
      </x:c>
      <x:c r="O609" t="s">
        <x:v>38</x:v>
      </x:c>
      <x:c r="T609" s="2" t="n">
        <x:f>'SUPUESTOS PRECIOS'!$B$9</x:f>
        <x:v>0</x:v>
      </x:c>
      <x:c r="U609" s="3" t="n">
        <x:f>'SUPUESTOS PRECIOS'!$B$5/'SUPUESTOS PRECIOS'!$B$4</x:f>
        <x:v>1000</x:v>
      </x:c>
      <x:c r="V609" s="3" t="n">
        <x:f>('SUPUESTOS PRECIOS'!$B$6-'SUPUESTOS PRECIOS'!$B$7)/'SUPUESTOS PRECIOS'!$B$4</x:f>
        <x:v>377.5</x:v>
      </x:c>
      <x:c r="W609" s="4" t="n">
        <x:f>'SUPUESTOS PRECIOS'!$B$8</x:f>
        <x:v>0.00968</x:v>
      </x:c>
      <x:c r="X609" s="4" t="n">
        <x:f>'SUPUESTOS PRECIOS'!$B$2</x:f>
        <x:v>0.4</x:v>
      </x:c>
      <x:c r="Y609" s="3" t="str">
        <x:f t="shared" si="37"/>
      </x:c>
      <x:c r="Z609" s="3" t="str">
        <x:f t="shared" si="38"/>
      </x:c>
      <x:c r="AA609" s="11" t="str">
        <x:f t="shared" si="39"/>
      </x:c>
    </x:row>
    <x:row r="610">
      <x:c r="A610" s="10" t="s">
        <x:v>1733</x:v>
      </x:c>
      <x:c r="F610" t="s">
        <x:v>1358</x:v>
      </x:c>
      <x:c r="K610">
        <x:v>1</x:v>
      </x:c>
      <x:c r="L610" t="str">
        <x:f t="shared" si="36"/>
      </x:c>
      <x:c r="O610" t="s">
        <x:v>38</x:v>
      </x:c>
      <x:c r="T610" s="2" t="n">
        <x:f>'SUPUESTOS PRECIOS'!$B$9</x:f>
        <x:v>0</x:v>
      </x:c>
      <x:c r="U610" s="3" t="n">
        <x:f>'SUPUESTOS PRECIOS'!$B$5/'SUPUESTOS PRECIOS'!$B$4</x:f>
        <x:v>1000</x:v>
      </x:c>
      <x:c r="V610" s="3" t="n">
        <x:f>('SUPUESTOS PRECIOS'!$B$6-'SUPUESTOS PRECIOS'!$B$7)/'SUPUESTOS PRECIOS'!$B$4</x:f>
        <x:v>377.5</x:v>
      </x:c>
      <x:c r="W610" s="4" t="n">
        <x:f>'SUPUESTOS PRECIOS'!$B$8</x:f>
        <x:v>0.00968</x:v>
      </x:c>
      <x:c r="X610" s="4" t="n">
        <x:f>'SUPUESTOS PRECIOS'!$B$2</x:f>
        <x:v>0.4</x:v>
      </x:c>
      <x:c r="Y610" s="3" t="str">
        <x:f t="shared" si="37"/>
      </x:c>
      <x:c r="Z610" s="3" t="str">
        <x:f t="shared" si="38"/>
      </x:c>
      <x:c r="AA610" s="11" t="str">
        <x:f t="shared" si="39"/>
      </x:c>
    </x:row>
    <x:row r="611">
      <x:c r="A611" s="10" t="s">
        <x:v>1734</x:v>
      </x:c>
      <x:c r="F611" t="s">
        <x:v>1358</x:v>
      </x:c>
      <x:c r="K611">
        <x:v>1</x:v>
      </x:c>
      <x:c r="L611" t="str">
        <x:f t="shared" si="36"/>
      </x:c>
      <x:c r="O611" t="s">
        <x:v>38</x:v>
      </x:c>
      <x:c r="T611" s="2" t="n">
        <x:f>'SUPUESTOS PRECIOS'!$B$9</x:f>
        <x:v>0</x:v>
      </x:c>
      <x:c r="U611" s="3" t="n">
        <x:f>'SUPUESTOS PRECIOS'!$B$5/'SUPUESTOS PRECIOS'!$B$4</x:f>
        <x:v>1000</x:v>
      </x:c>
      <x:c r="V611" s="3" t="n">
        <x:f>('SUPUESTOS PRECIOS'!$B$6-'SUPUESTOS PRECIOS'!$B$7)/'SUPUESTOS PRECIOS'!$B$4</x:f>
        <x:v>377.5</x:v>
      </x:c>
      <x:c r="W611" s="4" t="n">
        <x:f>'SUPUESTOS PRECIOS'!$B$8</x:f>
        <x:v>0.00968</x:v>
      </x:c>
      <x:c r="X611" s="4" t="n">
        <x:f>'SUPUESTOS PRECIOS'!$B$2</x:f>
        <x:v>0.4</x:v>
      </x:c>
      <x:c r="Y611" s="3" t="str">
        <x:f t="shared" si="37"/>
      </x:c>
      <x:c r="Z611" s="3" t="str">
        <x:f t="shared" si="38"/>
      </x:c>
      <x:c r="AA611" s="11" t="str">
        <x:f t="shared" si="39"/>
      </x:c>
    </x:row>
    <x:row r="612">
      <x:c r="A612" s="10" t="s">
        <x:v>1735</x:v>
      </x:c>
      <x:c r="F612" t="s">
        <x:v>1358</x:v>
      </x:c>
      <x:c r="K612">
        <x:v>1</x:v>
      </x:c>
      <x:c r="L612" t="str">
        <x:f t="shared" si="36"/>
      </x:c>
      <x:c r="O612" t="s">
        <x:v>38</x:v>
      </x:c>
      <x:c r="T612" s="2" t="n">
        <x:f>'SUPUESTOS PRECIOS'!$B$9</x:f>
        <x:v>0</x:v>
      </x:c>
      <x:c r="U612" s="3" t="n">
        <x:f>'SUPUESTOS PRECIOS'!$B$5/'SUPUESTOS PRECIOS'!$B$4</x:f>
        <x:v>1000</x:v>
      </x:c>
      <x:c r="V612" s="3" t="n">
        <x:f>('SUPUESTOS PRECIOS'!$B$6-'SUPUESTOS PRECIOS'!$B$7)/'SUPUESTOS PRECIOS'!$B$4</x:f>
        <x:v>377.5</x:v>
      </x:c>
      <x:c r="W612" s="4" t="n">
        <x:f>'SUPUESTOS PRECIOS'!$B$8</x:f>
        <x:v>0.00968</x:v>
      </x:c>
      <x:c r="X612" s="4" t="n">
        <x:f>'SUPUESTOS PRECIOS'!$B$2</x:f>
        <x:v>0.4</x:v>
      </x:c>
      <x:c r="Y612" s="3" t="str">
        <x:f t="shared" si="37"/>
      </x:c>
      <x:c r="Z612" s="3" t="str">
        <x:f t="shared" si="38"/>
      </x:c>
      <x:c r="AA612" s="11" t="str">
        <x:f t="shared" si="39"/>
      </x:c>
    </x:row>
    <x:row r="613">
      <x:c r="A613" s="10" t="s">
        <x:v>1736</x:v>
      </x:c>
      <x:c r="F613" t="s">
        <x:v>1358</x:v>
      </x:c>
      <x:c r="K613">
        <x:v>1</x:v>
      </x:c>
      <x:c r="L613" t="str">
        <x:f t="shared" si="36"/>
      </x:c>
      <x:c r="O613" t="s">
        <x:v>38</x:v>
      </x:c>
      <x:c r="T613" s="2" t="n">
        <x:f>'SUPUESTOS PRECIOS'!$B$9</x:f>
        <x:v>0</x:v>
      </x:c>
      <x:c r="U613" s="3" t="n">
        <x:f>'SUPUESTOS PRECIOS'!$B$5/'SUPUESTOS PRECIOS'!$B$4</x:f>
        <x:v>1000</x:v>
      </x:c>
      <x:c r="V613" s="3" t="n">
        <x:f>('SUPUESTOS PRECIOS'!$B$6-'SUPUESTOS PRECIOS'!$B$7)/'SUPUESTOS PRECIOS'!$B$4</x:f>
        <x:v>377.5</x:v>
      </x:c>
      <x:c r="W613" s="4" t="n">
        <x:f>'SUPUESTOS PRECIOS'!$B$8</x:f>
        <x:v>0.00968</x:v>
      </x:c>
      <x:c r="X613" s="4" t="n">
        <x:f>'SUPUESTOS PRECIOS'!$B$2</x:f>
        <x:v>0.4</x:v>
      </x:c>
      <x:c r="Y613" s="3" t="str">
        <x:f t="shared" si="37"/>
      </x:c>
      <x:c r="Z613" s="3" t="str">
        <x:f t="shared" si="38"/>
      </x:c>
      <x:c r="AA613" s="11" t="str">
        <x:f t="shared" si="39"/>
      </x:c>
    </x:row>
    <x:row r="614">
      <x:c r="A614" s="10" t="s">
        <x:v>1737</x:v>
      </x:c>
      <x:c r="F614" t="s">
        <x:v>1358</x:v>
      </x:c>
      <x:c r="K614">
        <x:v>1</x:v>
      </x:c>
      <x:c r="L614" t="str">
        <x:f t="shared" si="36"/>
      </x:c>
      <x:c r="O614" t="s">
        <x:v>38</x:v>
      </x:c>
      <x:c r="T614" s="2" t="n">
        <x:f>'SUPUESTOS PRECIOS'!$B$9</x:f>
        <x:v>0</x:v>
      </x:c>
      <x:c r="U614" s="3" t="n">
        <x:f>'SUPUESTOS PRECIOS'!$B$5/'SUPUESTOS PRECIOS'!$B$4</x:f>
        <x:v>1000</x:v>
      </x:c>
      <x:c r="V614" s="3" t="n">
        <x:f>('SUPUESTOS PRECIOS'!$B$6-'SUPUESTOS PRECIOS'!$B$7)/'SUPUESTOS PRECIOS'!$B$4</x:f>
        <x:v>377.5</x:v>
      </x:c>
      <x:c r="W614" s="4" t="n">
        <x:f>'SUPUESTOS PRECIOS'!$B$8</x:f>
        <x:v>0.00968</x:v>
      </x:c>
      <x:c r="X614" s="4" t="n">
        <x:f>'SUPUESTOS PRECIOS'!$B$2</x:f>
        <x:v>0.4</x:v>
      </x:c>
      <x:c r="Y614" s="3" t="str">
        <x:f t="shared" si="37"/>
      </x:c>
      <x:c r="Z614" s="3" t="str">
        <x:f t="shared" si="38"/>
      </x:c>
      <x:c r="AA614" s="11" t="str">
        <x:f t="shared" si="39"/>
      </x:c>
    </x:row>
    <x:row r="615">
      <x:c r="A615" s="10" t="s">
        <x:v>1738</x:v>
      </x:c>
      <x:c r="F615" t="s">
        <x:v>1358</x:v>
      </x:c>
      <x:c r="K615">
        <x:v>1</x:v>
      </x:c>
      <x:c r="L615" t="str">
        <x:f t="shared" si="36"/>
      </x:c>
      <x:c r="O615" t="s">
        <x:v>38</x:v>
      </x:c>
      <x:c r="T615" s="2" t="n">
        <x:f>'SUPUESTOS PRECIOS'!$B$9</x:f>
        <x:v>0</x:v>
      </x:c>
      <x:c r="U615" s="3" t="n">
        <x:f>'SUPUESTOS PRECIOS'!$B$5/'SUPUESTOS PRECIOS'!$B$4</x:f>
        <x:v>1000</x:v>
      </x:c>
      <x:c r="V615" s="3" t="n">
        <x:f>('SUPUESTOS PRECIOS'!$B$6-'SUPUESTOS PRECIOS'!$B$7)/'SUPUESTOS PRECIOS'!$B$4</x:f>
        <x:v>377.5</x:v>
      </x:c>
      <x:c r="W615" s="4" t="n">
        <x:f>'SUPUESTOS PRECIOS'!$B$8</x:f>
        <x:v>0.00968</x:v>
      </x:c>
      <x:c r="X615" s="4" t="n">
        <x:f>'SUPUESTOS PRECIOS'!$B$2</x:f>
        <x:v>0.4</x:v>
      </x:c>
      <x:c r="Y615" s="3" t="str">
        <x:f t="shared" si="37"/>
      </x:c>
      <x:c r="Z615" s="3" t="str">
        <x:f t="shared" si="38"/>
      </x:c>
      <x:c r="AA615" s="11" t="str">
        <x:f t="shared" si="39"/>
      </x:c>
    </x:row>
    <x:row r="616">
      <x:c r="A616" s="10" t="s">
        <x:v>1739</x:v>
      </x:c>
      <x:c r="F616" t="s">
        <x:v>1358</x:v>
      </x:c>
      <x:c r="K616">
        <x:v>1</x:v>
      </x:c>
      <x:c r="L616" t="str">
        <x:f t="shared" si="36"/>
      </x:c>
      <x:c r="O616" t="s">
        <x:v>38</x:v>
      </x:c>
      <x:c r="T616" s="2" t="n">
        <x:f>'SUPUESTOS PRECIOS'!$B$9</x:f>
        <x:v>0</x:v>
      </x:c>
      <x:c r="U616" s="3" t="n">
        <x:f>'SUPUESTOS PRECIOS'!$B$5/'SUPUESTOS PRECIOS'!$B$4</x:f>
        <x:v>1000</x:v>
      </x:c>
      <x:c r="V616" s="3" t="n">
        <x:f>('SUPUESTOS PRECIOS'!$B$6-'SUPUESTOS PRECIOS'!$B$7)/'SUPUESTOS PRECIOS'!$B$4</x:f>
        <x:v>377.5</x:v>
      </x:c>
      <x:c r="W616" s="4" t="n">
        <x:f>'SUPUESTOS PRECIOS'!$B$8</x:f>
        <x:v>0.00968</x:v>
      </x:c>
      <x:c r="X616" s="4" t="n">
        <x:f>'SUPUESTOS PRECIOS'!$B$2</x:f>
        <x:v>0.4</x:v>
      </x:c>
      <x:c r="Y616" s="3" t="str">
        <x:f t="shared" si="37"/>
      </x:c>
      <x:c r="Z616" s="3" t="str">
        <x:f t="shared" si="38"/>
      </x:c>
      <x:c r="AA616" s="11" t="str">
        <x:f t="shared" si="39"/>
      </x:c>
    </x:row>
    <x:row r="617">
      <x:c r="A617" s="10" t="s">
        <x:v>1740</x:v>
      </x:c>
      <x:c r="F617" t="s">
        <x:v>1358</x:v>
      </x:c>
      <x:c r="K617">
        <x:v>1</x:v>
      </x:c>
      <x:c r="L617" t="str">
        <x:f t="shared" si="36"/>
      </x:c>
      <x:c r="O617" t="s">
        <x:v>38</x:v>
      </x:c>
      <x:c r="T617" s="2" t="n">
        <x:f>'SUPUESTOS PRECIOS'!$B$9</x:f>
        <x:v>0</x:v>
      </x:c>
      <x:c r="U617" s="3" t="n">
        <x:f>'SUPUESTOS PRECIOS'!$B$5/'SUPUESTOS PRECIOS'!$B$4</x:f>
        <x:v>1000</x:v>
      </x:c>
      <x:c r="V617" s="3" t="n">
        <x:f>('SUPUESTOS PRECIOS'!$B$6-'SUPUESTOS PRECIOS'!$B$7)/'SUPUESTOS PRECIOS'!$B$4</x:f>
        <x:v>377.5</x:v>
      </x:c>
      <x:c r="W617" s="4" t="n">
        <x:f>'SUPUESTOS PRECIOS'!$B$8</x:f>
        <x:v>0.00968</x:v>
      </x:c>
      <x:c r="X617" s="4" t="n">
        <x:f>'SUPUESTOS PRECIOS'!$B$2</x:f>
        <x:v>0.4</x:v>
      </x:c>
      <x:c r="Y617" s="3" t="str">
        <x:f t="shared" si="37"/>
      </x:c>
      <x:c r="Z617" s="3" t="str">
        <x:f t="shared" si="38"/>
      </x:c>
      <x:c r="AA617" s="11" t="str">
        <x:f t="shared" si="39"/>
      </x:c>
    </x:row>
    <x:row r="618">
      <x:c r="A618" s="10" t="s">
        <x:v>1741</x:v>
      </x:c>
      <x:c r="F618" t="s">
        <x:v>1358</x:v>
      </x:c>
      <x:c r="K618">
        <x:v>1</x:v>
      </x:c>
      <x:c r="L618" t="str">
        <x:f t="shared" si="36"/>
      </x:c>
      <x:c r="O618" t="s">
        <x:v>38</x:v>
      </x:c>
      <x:c r="T618" s="2" t="n">
        <x:f>'SUPUESTOS PRECIOS'!$B$9</x:f>
        <x:v>0</x:v>
      </x:c>
      <x:c r="U618" s="3" t="n">
        <x:f>'SUPUESTOS PRECIOS'!$B$5/'SUPUESTOS PRECIOS'!$B$4</x:f>
        <x:v>1000</x:v>
      </x:c>
      <x:c r="V618" s="3" t="n">
        <x:f>('SUPUESTOS PRECIOS'!$B$6-'SUPUESTOS PRECIOS'!$B$7)/'SUPUESTOS PRECIOS'!$B$4</x:f>
        <x:v>377.5</x:v>
      </x:c>
      <x:c r="W618" s="4" t="n">
        <x:f>'SUPUESTOS PRECIOS'!$B$8</x:f>
        <x:v>0.00968</x:v>
      </x:c>
      <x:c r="X618" s="4" t="n">
        <x:f>'SUPUESTOS PRECIOS'!$B$2</x:f>
        <x:v>0.4</x:v>
      </x:c>
      <x:c r="Y618" s="3" t="str">
        <x:f t="shared" si="37"/>
      </x:c>
      <x:c r="Z618" s="3" t="str">
        <x:f t="shared" si="38"/>
      </x:c>
      <x:c r="AA618" s="11" t="str">
        <x:f t="shared" si="39"/>
      </x:c>
    </x:row>
    <x:row r="619">
      <x:c r="A619" s="10" t="s">
        <x:v>1742</x:v>
      </x:c>
      <x:c r="F619" t="s">
        <x:v>1358</x:v>
      </x:c>
      <x:c r="K619">
        <x:v>1</x:v>
      </x:c>
      <x:c r="L619" t="str">
        <x:f t="shared" si="36"/>
      </x:c>
      <x:c r="O619" t="s">
        <x:v>38</x:v>
      </x:c>
      <x:c r="T619" s="2" t="n">
        <x:f>'SUPUESTOS PRECIOS'!$B$9</x:f>
        <x:v>0</x:v>
      </x:c>
      <x:c r="U619" s="3" t="n">
        <x:f>'SUPUESTOS PRECIOS'!$B$5/'SUPUESTOS PRECIOS'!$B$4</x:f>
        <x:v>1000</x:v>
      </x:c>
      <x:c r="V619" s="3" t="n">
        <x:f>('SUPUESTOS PRECIOS'!$B$6-'SUPUESTOS PRECIOS'!$B$7)/'SUPUESTOS PRECIOS'!$B$4</x:f>
        <x:v>377.5</x:v>
      </x:c>
      <x:c r="W619" s="4" t="n">
        <x:f>'SUPUESTOS PRECIOS'!$B$8</x:f>
        <x:v>0.00968</x:v>
      </x:c>
      <x:c r="X619" s="4" t="n">
        <x:f>'SUPUESTOS PRECIOS'!$B$2</x:f>
        <x:v>0.4</x:v>
      </x:c>
      <x:c r="Y619" s="3" t="str">
        <x:f t="shared" si="37"/>
      </x:c>
      <x:c r="Z619" s="3" t="str">
        <x:f t="shared" si="38"/>
      </x:c>
      <x:c r="AA619" s="11" t="str">
        <x:f t="shared" si="39"/>
      </x:c>
    </x:row>
    <x:row r="620">
      <x:c r="A620" s="10" t="s">
        <x:v>1743</x:v>
      </x:c>
      <x:c r="F620" t="s">
        <x:v>1358</x:v>
      </x:c>
      <x:c r="K620">
        <x:v>1</x:v>
      </x:c>
      <x:c r="L620" t="str">
        <x:f t="shared" si="36"/>
      </x:c>
      <x:c r="O620" t="s">
        <x:v>38</x:v>
      </x:c>
      <x:c r="T620" s="2" t="n">
        <x:f>'SUPUESTOS PRECIOS'!$B$9</x:f>
        <x:v>0</x:v>
      </x:c>
      <x:c r="U620" s="3" t="n">
        <x:f>'SUPUESTOS PRECIOS'!$B$5/'SUPUESTOS PRECIOS'!$B$4</x:f>
        <x:v>1000</x:v>
      </x:c>
      <x:c r="V620" s="3" t="n">
        <x:f>('SUPUESTOS PRECIOS'!$B$6-'SUPUESTOS PRECIOS'!$B$7)/'SUPUESTOS PRECIOS'!$B$4</x:f>
        <x:v>377.5</x:v>
      </x:c>
      <x:c r="W620" s="4" t="n">
        <x:f>'SUPUESTOS PRECIOS'!$B$8</x:f>
        <x:v>0.00968</x:v>
      </x:c>
      <x:c r="X620" s="4" t="n">
        <x:f>'SUPUESTOS PRECIOS'!$B$2</x:f>
        <x:v>0.4</x:v>
      </x:c>
      <x:c r="Y620" s="3" t="str">
        <x:f t="shared" si="37"/>
      </x:c>
      <x:c r="Z620" s="3" t="str">
        <x:f t="shared" si="38"/>
      </x:c>
      <x:c r="AA620" s="11" t="str">
        <x:f t="shared" si="39"/>
      </x:c>
    </x:row>
    <x:row r="621">
      <x:c r="A621" s="10" t="s">
        <x:v>1744</x:v>
      </x:c>
      <x:c r="F621" t="s">
        <x:v>1358</x:v>
      </x:c>
      <x:c r="K621">
        <x:v>1</x:v>
      </x:c>
      <x:c r="L621" t="str">
        <x:f t="shared" si="36"/>
      </x:c>
      <x:c r="O621" t="s">
        <x:v>38</x:v>
      </x:c>
      <x:c r="T621" s="2" t="n">
        <x:f>'SUPUESTOS PRECIOS'!$B$9</x:f>
        <x:v>0</x:v>
      </x:c>
      <x:c r="U621" s="3" t="n">
        <x:f>'SUPUESTOS PRECIOS'!$B$5/'SUPUESTOS PRECIOS'!$B$4</x:f>
        <x:v>1000</x:v>
      </x:c>
      <x:c r="V621" s="3" t="n">
        <x:f>('SUPUESTOS PRECIOS'!$B$6-'SUPUESTOS PRECIOS'!$B$7)/'SUPUESTOS PRECIOS'!$B$4</x:f>
        <x:v>377.5</x:v>
      </x:c>
      <x:c r="W621" s="4" t="n">
        <x:f>'SUPUESTOS PRECIOS'!$B$8</x:f>
        <x:v>0.00968</x:v>
      </x:c>
      <x:c r="X621" s="4" t="n">
        <x:f>'SUPUESTOS PRECIOS'!$B$2</x:f>
        <x:v>0.4</x:v>
      </x:c>
      <x:c r="Y621" s="3" t="str">
        <x:f t="shared" si="37"/>
      </x:c>
      <x:c r="Z621" s="3" t="str">
        <x:f t="shared" si="38"/>
      </x:c>
      <x:c r="AA621" s="11" t="str">
        <x:f t="shared" si="39"/>
      </x:c>
    </x:row>
    <x:row r="622">
      <x:c r="A622" s="10" t="s">
        <x:v>1745</x:v>
      </x:c>
      <x:c r="F622" t="s">
        <x:v>1358</x:v>
      </x:c>
      <x:c r="K622">
        <x:v>1</x:v>
      </x:c>
      <x:c r="L622" t="str">
        <x:f t="shared" si="36"/>
      </x:c>
      <x:c r="O622" t="s">
        <x:v>38</x:v>
      </x:c>
      <x:c r="T622" s="2" t="n">
        <x:f>'SUPUESTOS PRECIOS'!$B$9</x:f>
        <x:v>0</x:v>
      </x:c>
      <x:c r="U622" s="3" t="n">
        <x:f>'SUPUESTOS PRECIOS'!$B$5/'SUPUESTOS PRECIOS'!$B$4</x:f>
        <x:v>1000</x:v>
      </x:c>
      <x:c r="V622" s="3" t="n">
        <x:f>('SUPUESTOS PRECIOS'!$B$6-'SUPUESTOS PRECIOS'!$B$7)/'SUPUESTOS PRECIOS'!$B$4</x:f>
        <x:v>377.5</x:v>
      </x:c>
      <x:c r="W622" s="4" t="n">
        <x:f>'SUPUESTOS PRECIOS'!$B$8</x:f>
        <x:v>0.00968</x:v>
      </x:c>
      <x:c r="X622" s="4" t="n">
        <x:f>'SUPUESTOS PRECIOS'!$B$2</x:f>
        <x:v>0.4</x:v>
      </x:c>
      <x:c r="Y622" s="3" t="str">
        <x:f t="shared" si="37"/>
      </x:c>
      <x:c r="Z622" s="3" t="str">
        <x:f t="shared" si="38"/>
      </x:c>
      <x:c r="AA622" s="11" t="str">
        <x:f t="shared" si="39"/>
      </x:c>
    </x:row>
    <x:row r="623">
      <x:c r="A623" s="10" t="s">
        <x:v>1746</x:v>
      </x:c>
      <x:c r="F623" t="s">
        <x:v>1358</x:v>
      </x:c>
      <x:c r="K623">
        <x:v>1</x:v>
      </x:c>
      <x:c r="L623" t="str">
        <x:f t="shared" si="36"/>
      </x:c>
      <x:c r="O623" t="s">
        <x:v>38</x:v>
      </x:c>
      <x:c r="T623" s="2" t="n">
        <x:f>'SUPUESTOS PRECIOS'!$B$9</x:f>
        <x:v>0</x:v>
      </x:c>
      <x:c r="U623" s="3" t="n">
        <x:f>'SUPUESTOS PRECIOS'!$B$5/'SUPUESTOS PRECIOS'!$B$4</x:f>
        <x:v>1000</x:v>
      </x:c>
      <x:c r="V623" s="3" t="n">
        <x:f>('SUPUESTOS PRECIOS'!$B$6-'SUPUESTOS PRECIOS'!$B$7)/'SUPUESTOS PRECIOS'!$B$4</x:f>
        <x:v>377.5</x:v>
      </x:c>
      <x:c r="W623" s="4" t="n">
        <x:f>'SUPUESTOS PRECIOS'!$B$8</x:f>
        <x:v>0.00968</x:v>
      </x:c>
      <x:c r="X623" s="4" t="n">
        <x:f>'SUPUESTOS PRECIOS'!$B$2</x:f>
        <x:v>0.4</x:v>
      </x:c>
      <x:c r="Y623" s="3" t="str">
        <x:f t="shared" si="37"/>
      </x:c>
      <x:c r="Z623" s="3" t="str">
        <x:f t="shared" si="38"/>
      </x:c>
      <x:c r="AA623" s="11" t="str">
        <x:f t="shared" si="39"/>
      </x:c>
    </x:row>
    <x:row r="624">
      <x:c r="A624" s="10" t="s">
        <x:v>1747</x:v>
      </x:c>
      <x:c r="F624" t="s">
        <x:v>1358</x:v>
      </x:c>
      <x:c r="K624">
        <x:v>1</x:v>
      </x:c>
      <x:c r="L624" t="str">
        <x:f t="shared" si="36"/>
      </x:c>
      <x:c r="O624" t="s">
        <x:v>38</x:v>
      </x:c>
      <x:c r="T624" s="2" t="n">
        <x:f>'SUPUESTOS PRECIOS'!$B$9</x:f>
        <x:v>0</x:v>
      </x:c>
      <x:c r="U624" s="3" t="n">
        <x:f>'SUPUESTOS PRECIOS'!$B$5/'SUPUESTOS PRECIOS'!$B$4</x:f>
        <x:v>1000</x:v>
      </x:c>
      <x:c r="V624" s="3" t="n">
        <x:f>('SUPUESTOS PRECIOS'!$B$6-'SUPUESTOS PRECIOS'!$B$7)/'SUPUESTOS PRECIOS'!$B$4</x:f>
        <x:v>377.5</x:v>
      </x:c>
      <x:c r="W624" s="4" t="n">
        <x:f>'SUPUESTOS PRECIOS'!$B$8</x:f>
        <x:v>0.00968</x:v>
      </x:c>
      <x:c r="X624" s="4" t="n">
        <x:f>'SUPUESTOS PRECIOS'!$B$2</x:f>
        <x:v>0.4</x:v>
      </x:c>
      <x:c r="Y624" s="3" t="str">
        <x:f t="shared" si="37"/>
      </x:c>
      <x:c r="Z624" s="3" t="str">
        <x:f t="shared" si="38"/>
      </x:c>
      <x:c r="AA624" s="11" t="str">
        <x:f t="shared" si="39"/>
      </x:c>
    </x:row>
    <x:row r="625">
      <x:c r="A625" s="10" t="s">
        <x:v>1748</x:v>
      </x:c>
      <x:c r="F625" t="s">
        <x:v>1358</x:v>
      </x:c>
      <x:c r="K625">
        <x:v>1</x:v>
      </x:c>
      <x:c r="L625" t="str">
        <x:f t="shared" si="36"/>
      </x:c>
      <x:c r="O625" t="s">
        <x:v>38</x:v>
      </x:c>
      <x:c r="T625" s="2" t="n">
        <x:f>'SUPUESTOS PRECIOS'!$B$9</x:f>
        <x:v>0</x:v>
      </x:c>
      <x:c r="U625" s="3" t="n">
        <x:f>'SUPUESTOS PRECIOS'!$B$5/'SUPUESTOS PRECIOS'!$B$4</x:f>
        <x:v>1000</x:v>
      </x:c>
      <x:c r="V625" s="3" t="n">
        <x:f>('SUPUESTOS PRECIOS'!$B$6-'SUPUESTOS PRECIOS'!$B$7)/'SUPUESTOS PRECIOS'!$B$4</x:f>
        <x:v>377.5</x:v>
      </x:c>
      <x:c r="W625" s="4" t="n">
        <x:f>'SUPUESTOS PRECIOS'!$B$8</x:f>
        <x:v>0.00968</x:v>
      </x:c>
      <x:c r="X625" s="4" t="n">
        <x:f>'SUPUESTOS PRECIOS'!$B$2</x:f>
        <x:v>0.4</x:v>
      </x:c>
      <x:c r="Y625" s="3" t="str">
        <x:f t="shared" si="37"/>
      </x:c>
      <x:c r="Z625" s="3" t="str">
        <x:f t="shared" si="38"/>
      </x:c>
      <x:c r="AA625" s="11" t="str">
        <x:f t="shared" si="39"/>
      </x:c>
    </x:row>
    <x:row r="626">
      <x:c r="A626" s="10" t="s">
        <x:v>1749</x:v>
      </x:c>
      <x:c r="F626" t="s">
        <x:v>1358</x:v>
      </x:c>
      <x:c r="K626">
        <x:v>1</x:v>
      </x:c>
      <x:c r="L626" t="str">
        <x:f t="shared" si="36"/>
      </x:c>
      <x:c r="O626" t="s">
        <x:v>38</x:v>
      </x:c>
      <x:c r="T626" s="2" t="n">
        <x:f>'SUPUESTOS PRECIOS'!$B$9</x:f>
        <x:v>0</x:v>
      </x:c>
      <x:c r="U626" s="3" t="n">
        <x:f>'SUPUESTOS PRECIOS'!$B$5/'SUPUESTOS PRECIOS'!$B$4</x:f>
        <x:v>1000</x:v>
      </x:c>
      <x:c r="V626" s="3" t="n">
        <x:f>('SUPUESTOS PRECIOS'!$B$6-'SUPUESTOS PRECIOS'!$B$7)/'SUPUESTOS PRECIOS'!$B$4</x:f>
        <x:v>377.5</x:v>
      </x:c>
      <x:c r="W626" s="4" t="n">
        <x:f>'SUPUESTOS PRECIOS'!$B$8</x:f>
        <x:v>0.00968</x:v>
      </x:c>
      <x:c r="X626" s="4" t="n">
        <x:f>'SUPUESTOS PRECIOS'!$B$2</x:f>
        <x:v>0.4</x:v>
      </x:c>
      <x:c r="Y626" s="3" t="str">
        <x:f t="shared" si="37"/>
      </x:c>
      <x:c r="Z626" s="3" t="str">
        <x:f t="shared" si="38"/>
      </x:c>
      <x:c r="AA626" s="11" t="str">
        <x:f t="shared" si="39"/>
      </x:c>
    </x:row>
    <x:row r="627">
      <x:c r="A627" s="10" t="s">
        <x:v>1750</x:v>
      </x:c>
      <x:c r="F627" t="s">
        <x:v>1358</x:v>
      </x:c>
      <x:c r="K627">
        <x:v>1</x:v>
      </x:c>
      <x:c r="L627" t="str">
        <x:f t="shared" si="36"/>
      </x:c>
      <x:c r="O627" t="s">
        <x:v>38</x:v>
      </x:c>
      <x:c r="T627" s="2" t="n">
        <x:f>'SUPUESTOS PRECIOS'!$B$9</x:f>
        <x:v>0</x:v>
      </x:c>
      <x:c r="U627" s="3" t="n">
        <x:f>'SUPUESTOS PRECIOS'!$B$5/'SUPUESTOS PRECIOS'!$B$4</x:f>
        <x:v>1000</x:v>
      </x:c>
      <x:c r="V627" s="3" t="n">
        <x:f>('SUPUESTOS PRECIOS'!$B$6-'SUPUESTOS PRECIOS'!$B$7)/'SUPUESTOS PRECIOS'!$B$4</x:f>
        <x:v>377.5</x:v>
      </x:c>
      <x:c r="W627" s="4" t="n">
        <x:f>'SUPUESTOS PRECIOS'!$B$8</x:f>
        <x:v>0.00968</x:v>
      </x:c>
      <x:c r="X627" s="4" t="n">
        <x:f>'SUPUESTOS PRECIOS'!$B$2</x:f>
        <x:v>0.4</x:v>
      </x:c>
      <x:c r="Y627" s="3" t="str">
        <x:f t="shared" si="37"/>
      </x:c>
      <x:c r="Z627" s="3" t="str">
        <x:f t="shared" si="38"/>
      </x:c>
      <x:c r="AA627" s="11" t="str">
        <x:f t="shared" si="39"/>
      </x:c>
    </x:row>
    <x:row r="628">
      <x:c r="A628" s="10" t="s">
        <x:v>1751</x:v>
      </x:c>
      <x:c r="F628" t="s">
        <x:v>1358</x:v>
      </x:c>
      <x:c r="K628">
        <x:v>1</x:v>
      </x:c>
      <x:c r="L628" t="str">
        <x:f t="shared" si="36"/>
      </x:c>
      <x:c r="O628" t="s">
        <x:v>38</x:v>
      </x:c>
      <x:c r="T628" s="2" t="n">
        <x:f>'SUPUESTOS PRECIOS'!$B$9</x:f>
        <x:v>0</x:v>
      </x:c>
      <x:c r="U628" s="3" t="n">
        <x:f>'SUPUESTOS PRECIOS'!$B$5/'SUPUESTOS PRECIOS'!$B$4</x:f>
        <x:v>1000</x:v>
      </x:c>
      <x:c r="V628" s="3" t="n">
        <x:f>('SUPUESTOS PRECIOS'!$B$6-'SUPUESTOS PRECIOS'!$B$7)/'SUPUESTOS PRECIOS'!$B$4</x:f>
        <x:v>377.5</x:v>
      </x:c>
      <x:c r="W628" s="4" t="n">
        <x:f>'SUPUESTOS PRECIOS'!$B$8</x:f>
        <x:v>0.00968</x:v>
      </x:c>
      <x:c r="X628" s="4" t="n">
        <x:f>'SUPUESTOS PRECIOS'!$B$2</x:f>
        <x:v>0.4</x:v>
      </x:c>
      <x:c r="Y628" s="3" t="str">
        <x:f t="shared" si="37"/>
      </x:c>
      <x:c r="Z628" s="3" t="str">
        <x:f t="shared" si="38"/>
      </x:c>
      <x:c r="AA628" s="11" t="str">
        <x:f t="shared" si="39"/>
      </x:c>
    </x:row>
    <x:row r="629">
      <x:c r="A629" s="10" t="s">
        <x:v>1752</x:v>
      </x:c>
      <x:c r="F629" t="s">
        <x:v>1358</x:v>
      </x:c>
      <x:c r="K629">
        <x:v>1</x:v>
      </x:c>
      <x:c r="L629" t="str">
        <x:f t="shared" si="36"/>
      </x:c>
      <x:c r="O629" t="s">
        <x:v>38</x:v>
      </x:c>
      <x:c r="T629" s="2" t="n">
        <x:f>'SUPUESTOS PRECIOS'!$B$9</x:f>
        <x:v>0</x:v>
      </x:c>
      <x:c r="U629" s="3" t="n">
        <x:f>'SUPUESTOS PRECIOS'!$B$5/'SUPUESTOS PRECIOS'!$B$4</x:f>
        <x:v>1000</x:v>
      </x:c>
      <x:c r="V629" s="3" t="n">
        <x:f>('SUPUESTOS PRECIOS'!$B$6-'SUPUESTOS PRECIOS'!$B$7)/'SUPUESTOS PRECIOS'!$B$4</x:f>
        <x:v>377.5</x:v>
      </x:c>
      <x:c r="W629" s="4" t="n">
        <x:f>'SUPUESTOS PRECIOS'!$B$8</x:f>
        <x:v>0.00968</x:v>
      </x:c>
      <x:c r="X629" s="4" t="n">
        <x:f>'SUPUESTOS PRECIOS'!$B$2</x:f>
        <x:v>0.4</x:v>
      </x:c>
      <x:c r="Y629" s="3" t="str">
        <x:f t="shared" si="37"/>
      </x:c>
      <x:c r="Z629" s="3" t="str">
        <x:f t="shared" si="38"/>
      </x:c>
      <x:c r="AA629" s="11" t="str">
        <x:f t="shared" si="39"/>
      </x:c>
    </x:row>
    <x:row r="630">
      <x:c r="A630" s="10" t="s">
        <x:v>1753</x:v>
      </x:c>
      <x:c r="F630" t="s">
        <x:v>1358</x:v>
      </x:c>
      <x:c r="K630">
        <x:v>1</x:v>
      </x:c>
      <x:c r="L630" t="str">
        <x:f t="shared" si="36"/>
      </x:c>
      <x:c r="O630" t="s">
        <x:v>38</x:v>
      </x:c>
      <x:c r="T630" s="2" t="n">
        <x:f>'SUPUESTOS PRECIOS'!$B$9</x:f>
        <x:v>0</x:v>
      </x:c>
      <x:c r="U630" s="3" t="n">
        <x:f>'SUPUESTOS PRECIOS'!$B$5/'SUPUESTOS PRECIOS'!$B$4</x:f>
        <x:v>1000</x:v>
      </x:c>
      <x:c r="V630" s="3" t="n">
        <x:f>('SUPUESTOS PRECIOS'!$B$6-'SUPUESTOS PRECIOS'!$B$7)/'SUPUESTOS PRECIOS'!$B$4</x:f>
        <x:v>377.5</x:v>
      </x:c>
      <x:c r="W630" s="4" t="n">
        <x:f>'SUPUESTOS PRECIOS'!$B$8</x:f>
        <x:v>0.00968</x:v>
      </x:c>
      <x:c r="X630" s="4" t="n">
        <x:f>'SUPUESTOS PRECIOS'!$B$2</x:f>
        <x:v>0.4</x:v>
      </x:c>
      <x:c r="Y630" s="3" t="str">
        <x:f t="shared" si="37"/>
      </x:c>
      <x:c r="Z630" s="3" t="str">
        <x:f t="shared" si="38"/>
      </x:c>
      <x:c r="AA630" s="11" t="str">
        <x:f t="shared" si="39"/>
      </x:c>
    </x:row>
    <x:row r="631">
      <x:c r="A631" s="10" t="s">
        <x:v>1754</x:v>
      </x:c>
      <x:c r="F631" t="s">
        <x:v>1358</x:v>
      </x:c>
      <x:c r="K631">
        <x:v>1</x:v>
      </x:c>
      <x:c r="L631" t="str">
        <x:f t="shared" si="36"/>
      </x:c>
      <x:c r="O631" t="s">
        <x:v>38</x:v>
      </x:c>
      <x:c r="T631" s="2" t="n">
        <x:f>'SUPUESTOS PRECIOS'!$B$9</x:f>
        <x:v>0</x:v>
      </x:c>
      <x:c r="U631" s="3" t="n">
        <x:f>'SUPUESTOS PRECIOS'!$B$5/'SUPUESTOS PRECIOS'!$B$4</x:f>
        <x:v>1000</x:v>
      </x:c>
      <x:c r="V631" s="3" t="n">
        <x:f>('SUPUESTOS PRECIOS'!$B$6-'SUPUESTOS PRECIOS'!$B$7)/'SUPUESTOS PRECIOS'!$B$4</x:f>
        <x:v>377.5</x:v>
      </x:c>
      <x:c r="W631" s="4" t="n">
        <x:f>'SUPUESTOS PRECIOS'!$B$8</x:f>
        <x:v>0.00968</x:v>
      </x:c>
      <x:c r="X631" s="4" t="n">
        <x:f>'SUPUESTOS PRECIOS'!$B$2</x:f>
        <x:v>0.4</x:v>
      </x:c>
      <x:c r="Y631" s="3" t="str">
        <x:f t="shared" si="37"/>
      </x:c>
      <x:c r="Z631" s="3" t="str">
        <x:f t="shared" si="38"/>
      </x:c>
      <x:c r="AA631" s="11" t="str">
        <x:f t="shared" si="39"/>
      </x:c>
    </x:row>
    <x:row r="632">
      <x:c r="A632" s="10" t="s">
        <x:v>1755</x:v>
      </x:c>
      <x:c r="F632" t="s">
        <x:v>1358</x:v>
      </x:c>
      <x:c r="K632">
        <x:v>1</x:v>
      </x:c>
      <x:c r="L632" t="str">
        <x:f t="shared" si="36"/>
      </x:c>
      <x:c r="O632" t="s">
        <x:v>38</x:v>
      </x:c>
      <x:c r="T632" s="2" t="n">
        <x:f>'SUPUESTOS PRECIOS'!$B$9</x:f>
        <x:v>0</x:v>
      </x:c>
      <x:c r="U632" s="3" t="n">
        <x:f>'SUPUESTOS PRECIOS'!$B$5/'SUPUESTOS PRECIOS'!$B$4</x:f>
        <x:v>1000</x:v>
      </x:c>
      <x:c r="V632" s="3" t="n">
        <x:f>('SUPUESTOS PRECIOS'!$B$6-'SUPUESTOS PRECIOS'!$B$7)/'SUPUESTOS PRECIOS'!$B$4</x:f>
        <x:v>377.5</x:v>
      </x:c>
      <x:c r="W632" s="4" t="n">
        <x:f>'SUPUESTOS PRECIOS'!$B$8</x:f>
        <x:v>0.00968</x:v>
      </x:c>
      <x:c r="X632" s="4" t="n">
        <x:f>'SUPUESTOS PRECIOS'!$B$2</x:f>
        <x:v>0.4</x:v>
      </x:c>
      <x:c r="Y632" s="3" t="str">
        <x:f t="shared" si="37"/>
      </x:c>
      <x:c r="Z632" s="3" t="str">
        <x:f t="shared" si="38"/>
      </x:c>
      <x:c r="AA632" s="11" t="str">
        <x:f t="shared" si="39"/>
      </x:c>
    </x:row>
    <x:row r="633">
      <x:c r="A633" s="10" t="s">
        <x:v>1756</x:v>
      </x:c>
      <x:c r="F633" t="s">
        <x:v>1358</x:v>
      </x:c>
      <x:c r="K633">
        <x:v>1</x:v>
      </x:c>
      <x:c r="L633" t="str">
        <x:f t="shared" si="36"/>
      </x:c>
      <x:c r="O633" t="s">
        <x:v>38</x:v>
      </x:c>
      <x:c r="T633" s="2" t="n">
        <x:f>'SUPUESTOS PRECIOS'!$B$9</x:f>
        <x:v>0</x:v>
      </x:c>
      <x:c r="U633" s="3" t="n">
        <x:f>'SUPUESTOS PRECIOS'!$B$5/'SUPUESTOS PRECIOS'!$B$4</x:f>
        <x:v>1000</x:v>
      </x:c>
      <x:c r="V633" s="3" t="n">
        <x:f>('SUPUESTOS PRECIOS'!$B$6-'SUPUESTOS PRECIOS'!$B$7)/'SUPUESTOS PRECIOS'!$B$4</x:f>
        <x:v>377.5</x:v>
      </x:c>
      <x:c r="W633" s="4" t="n">
        <x:f>'SUPUESTOS PRECIOS'!$B$8</x:f>
        <x:v>0.00968</x:v>
      </x:c>
      <x:c r="X633" s="4" t="n">
        <x:f>'SUPUESTOS PRECIOS'!$B$2</x:f>
        <x:v>0.4</x:v>
      </x:c>
      <x:c r="Y633" s="3" t="str">
        <x:f t="shared" si="37"/>
      </x:c>
      <x:c r="Z633" s="3" t="str">
        <x:f t="shared" si="38"/>
      </x:c>
      <x:c r="AA633" s="11" t="str">
        <x:f t="shared" si="39"/>
      </x:c>
    </x:row>
    <x:row r="634">
      <x:c r="A634" s="10" t="s">
        <x:v>1757</x:v>
      </x:c>
      <x:c r="F634" t="s">
        <x:v>1358</x:v>
      </x:c>
      <x:c r="K634">
        <x:v>1</x:v>
      </x:c>
      <x:c r="L634" t="str">
        <x:f t="shared" si="36"/>
      </x:c>
      <x:c r="O634" t="s">
        <x:v>38</x:v>
      </x:c>
      <x:c r="T634" s="2" t="n">
        <x:f>'SUPUESTOS PRECIOS'!$B$9</x:f>
        <x:v>0</x:v>
      </x:c>
      <x:c r="U634" s="3" t="n">
        <x:f>'SUPUESTOS PRECIOS'!$B$5/'SUPUESTOS PRECIOS'!$B$4</x:f>
        <x:v>1000</x:v>
      </x:c>
      <x:c r="V634" s="3" t="n">
        <x:f>('SUPUESTOS PRECIOS'!$B$6-'SUPUESTOS PRECIOS'!$B$7)/'SUPUESTOS PRECIOS'!$B$4</x:f>
        <x:v>377.5</x:v>
      </x:c>
      <x:c r="W634" s="4" t="n">
        <x:f>'SUPUESTOS PRECIOS'!$B$8</x:f>
        <x:v>0.00968</x:v>
      </x:c>
      <x:c r="X634" s="4" t="n">
        <x:f>'SUPUESTOS PRECIOS'!$B$2</x:f>
        <x:v>0.4</x:v>
      </x:c>
      <x:c r="Y634" s="3" t="str">
        <x:f t="shared" si="37"/>
      </x:c>
      <x:c r="Z634" s="3" t="str">
        <x:f t="shared" si="38"/>
      </x:c>
      <x:c r="AA634" s="11" t="str">
        <x:f t="shared" si="39"/>
      </x:c>
    </x:row>
    <x:row r="635">
      <x:c r="A635" s="10" t="s">
        <x:v>1758</x:v>
      </x:c>
      <x:c r="F635" t="s">
        <x:v>1358</x:v>
      </x:c>
      <x:c r="K635">
        <x:v>1</x:v>
      </x:c>
      <x:c r="L635" t="str">
        <x:f t="shared" si="36"/>
      </x:c>
      <x:c r="O635" t="s">
        <x:v>38</x:v>
      </x:c>
      <x:c r="T635" s="2" t="n">
        <x:f>'SUPUESTOS PRECIOS'!$B$9</x:f>
        <x:v>0</x:v>
      </x:c>
      <x:c r="U635" s="3" t="n">
        <x:f>'SUPUESTOS PRECIOS'!$B$5/'SUPUESTOS PRECIOS'!$B$4</x:f>
        <x:v>1000</x:v>
      </x:c>
      <x:c r="V635" s="3" t="n">
        <x:f>('SUPUESTOS PRECIOS'!$B$6-'SUPUESTOS PRECIOS'!$B$7)/'SUPUESTOS PRECIOS'!$B$4</x:f>
        <x:v>377.5</x:v>
      </x:c>
      <x:c r="W635" s="4" t="n">
        <x:f>'SUPUESTOS PRECIOS'!$B$8</x:f>
        <x:v>0.00968</x:v>
      </x:c>
      <x:c r="X635" s="4" t="n">
        <x:f>'SUPUESTOS PRECIOS'!$B$2</x:f>
        <x:v>0.4</x:v>
      </x:c>
      <x:c r="Y635" s="3" t="str">
        <x:f t="shared" si="37"/>
      </x:c>
      <x:c r="Z635" s="3" t="str">
        <x:f t="shared" si="38"/>
      </x:c>
      <x:c r="AA635" s="11" t="str">
        <x:f t="shared" si="39"/>
      </x:c>
    </x:row>
    <x:row r="636">
      <x:c r="A636" s="10" t="s">
        <x:v>1759</x:v>
      </x:c>
      <x:c r="F636" t="s">
        <x:v>1358</x:v>
      </x:c>
      <x:c r="K636">
        <x:v>1</x:v>
      </x:c>
      <x:c r="L636" t="str">
        <x:f t="shared" si="36"/>
      </x:c>
      <x:c r="O636" t="s">
        <x:v>38</x:v>
      </x:c>
      <x:c r="T636" s="2" t="n">
        <x:f>'SUPUESTOS PRECIOS'!$B$9</x:f>
        <x:v>0</x:v>
      </x:c>
      <x:c r="U636" s="3" t="n">
        <x:f>'SUPUESTOS PRECIOS'!$B$5/'SUPUESTOS PRECIOS'!$B$4</x:f>
        <x:v>1000</x:v>
      </x:c>
      <x:c r="V636" s="3" t="n">
        <x:f>('SUPUESTOS PRECIOS'!$B$6-'SUPUESTOS PRECIOS'!$B$7)/'SUPUESTOS PRECIOS'!$B$4</x:f>
        <x:v>377.5</x:v>
      </x:c>
      <x:c r="W636" s="4" t="n">
        <x:f>'SUPUESTOS PRECIOS'!$B$8</x:f>
        <x:v>0.00968</x:v>
      </x:c>
      <x:c r="X636" s="4" t="n">
        <x:f>'SUPUESTOS PRECIOS'!$B$2</x:f>
        <x:v>0.4</x:v>
      </x:c>
      <x:c r="Y636" s="3" t="str">
        <x:f t="shared" si="37"/>
      </x:c>
      <x:c r="Z636" s="3" t="str">
        <x:f t="shared" si="38"/>
      </x:c>
      <x:c r="AA636" s="11" t="str">
        <x:f t="shared" si="39"/>
      </x:c>
    </x:row>
    <x:row r="637">
      <x:c r="A637" s="10" t="s">
        <x:v>1760</x:v>
      </x:c>
      <x:c r="F637" t="s">
        <x:v>1358</x:v>
      </x:c>
      <x:c r="K637">
        <x:v>1</x:v>
      </x:c>
      <x:c r="L637" t="str">
        <x:f t="shared" si="36"/>
      </x:c>
      <x:c r="O637" t="s">
        <x:v>38</x:v>
      </x:c>
      <x:c r="T637" s="2" t="n">
        <x:f>'SUPUESTOS PRECIOS'!$B$9</x:f>
        <x:v>0</x:v>
      </x:c>
      <x:c r="U637" s="3" t="n">
        <x:f>'SUPUESTOS PRECIOS'!$B$5/'SUPUESTOS PRECIOS'!$B$4</x:f>
        <x:v>1000</x:v>
      </x:c>
      <x:c r="V637" s="3" t="n">
        <x:f>('SUPUESTOS PRECIOS'!$B$6-'SUPUESTOS PRECIOS'!$B$7)/'SUPUESTOS PRECIOS'!$B$4</x:f>
        <x:v>377.5</x:v>
      </x:c>
      <x:c r="W637" s="4" t="n">
        <x:f>'SUPUESTOS PRECIOS'!$B$8</x:f>
        <x:v>0.00968</x:v>
      </x:c>
      <x:c r="X637" s="4" t="n">
        <x:f>'SUPUESTOS PRECIOS'!$B$2</x:f>
        <x:v>0.4</x:v>
      </x:c>
      <x:c r="Y637" s="3" t="str">
        <x:f t="shared" si="37"/>
      </x:c>
      <x:c r="Z637" s="3" t="str">
        <x:f t="shared" si="38"/>
      </x:c>
      <x:c r="AA637" s="11" t="str">
        <x:f t="shared" si="39"/>
      </x:c>
    </x:row>
    <x:row r="638">
      <x:c r="A638" s="10" t="s">
        <x:v>1761</x:v>
      </x:c>
      <x:c r="F638" t="s">
        <x:v>1358</x:v>
      </x:c>
      <x:c r="K638">
        <x:v>1</x:v>
      </x:c>
      <x:c r="L638" t="str">
        <x:f t="shared" si="36"/>
      </x:c>
      <x:c r="O638" t="s">
        <x:v>38</x:v>
      </x:c>
      <x:c r="T638" s="2" t="n">
        <x:f>'SUPUESTOS PRECIOS'!$B$9</x:f>
        <x:v>0</x:v>
      </x:c>
      <x:c r="U638" s="3" t="n">
        <x:f>'SUPUESTOS PRECIOS'!$B$5/'SUPUESTOS PRECIOS'!$B$4</x:f>
        <x:v>1000</x:v>
      </x:c>
      <x:c r="V638" s="3" t="n">
        <x:f>('SUPUESTOS PRECIOS'!$B$6-'SUPUESTOS PRECIOS'!$B$7)/'SUPUESTOS PRECIOS'!$B$4</x:f>
        <x:v>377.5</x:v>
      </x:c>
      <x:c r="W638" s="4" t="n">
        <x:f>'SUPUESTOS PRECIOS'!$B$8</x:f>
        <x:v>0.00968</x:v>
      </x:c>
      <x:c r="X638" s="4" t="n">
        <x:f>'SUPUESTOS PRECIOS'!$B$2</x:f>
        <x:v>0.4</x:v>
      </x:c>
      <x:c r="Y638" s="3" t="str">
        <x:f t="shared" si="37"/>
      </x:c>
      <x:c r="Z638" s="3" t="str">
        <x:f t="shared" si="38"/>
      </x:c>
      <x:c r="AA638" s="11" t="str">
        <x:f t="shared" si="39"/>
      </x:c>
    </x:row>
    <x:row r="639">
      <x:c r="A639" s="10" t="s">
        <x:v>1762</x:v>
      </x:c>
      <x:c r="F639" t="s">
        <x:v>1358</x:v>
      </x:c>
      <x:c r="K639">
        <x:v>1</x:v>
      </x:c>
      <x:c r="L639" t="str">
        <x:f t="shared" si="36"/>
      </x:c>
      <x:c r="O639" t="s">
        <x:v>38</x:v>
      </x:c>
      <x:c r="T639" s="2" t="n">
        <x:f>'SUPUESTOS PRECIOS'!$B$9</x:f>
        <x:v>0</x:v>
      </x:c>
      <x:c r="U639" s="3" t="n">
        <x:f>'SUPUESTOS PRECIOS'!$B$5/'SUPUESTOS PRECIOS'!$B$4</x:f>
        <x:v>1000</x:v>
      </x:c>
      <x:c r="V639" s="3" t="n">
        <x:f>('SUPUESTOS PRECIOS'!$B$6-'SUPUESTOS PRECIOS'!$B$7)/'SUPUESTOS PRECIOS'!$B$4</x:f>
        <x:v>377.5</x:v>
      </x:c>
      <x:c r="W639" s="4" t="n">
        <x:f>'SUPUESTOS PRECIOS'!$B$8</x:f>
        <x:v>0.00968</x:v>
      </x:c>
      <x:c r="X639" s="4" t="n">
        <x:f>'SUPUESTOS PRECIOS'!$B$2</x:f>
        <x:v>0.4</x:v>
      </x:c>
      <x:c r="Y639" s="3" t="str">
        <x:f t="shared" si="37"/>
      </x:c>
      <x:c r="Z639" s="3" t="str">
        <x:f t="shared" si="38"/>
      </x:c>
      <x:c r="AA639" s="11" t="str">
        <x:f t="shared" si="39"/>
      </x:c>
    </x:row>
    <x:row r="640">
      <x:c r="A640" s="10" t="s">
        <x:v>1763</x:v>
      </x:c>
      <x:c r="F640" t="s">
        <x:v>1358</x:v>
      </x:c>
      <x:c r="K640">
        <x:v>1</x:v>
      </x:c>
      <x:c r="L640" t="str">
        <x:f t="shared" si="36"/>
      </x:c>
      <x:c r="O640" t="s">
        <x:v>38</x:v>
      </x:c>
      <x:c r="T640" s="2" t="n">
        <x:f>'SUPUESTOS PRECIOS'!$B$9</x:f>
        <x:v>0</x:v>
      </x:c>
      <x:c r="U640" s="3" t="n">
        <x:f>'SUPUESTOS PRECIOS'!$B$5/'SUPUESTOS PRECIOS'!$B$4</x:f>
        <x:v>1000</x:v>
      </x:c>
      <x:c r="V640" s="3" t="n">
        <x:f>('SUPUESTOS PRECIOS'!$B$6-'SUPUESTOS PRECIOS'!$B$7)/'SUPUESTOS PRECIOS'!$B$4</x:f>
        <x:v>377.5</x:v>
      </x:c>
      <x:c r="W640" s="4" t="n">
        <x:f>'SUPUESTOS PRECIOS'!$B$8</x:f>
        <x:v>0.00968</x:v>
      </x:c>
      <x:c r="X640" s="4" t="n">
        <x:f>'SUPUESTOS PRECIOS'!$B$2</x:f>
        <x:v>0.4</x:v>
      </x:c>
      <x:c r="Y640" s="3" t="str">
        <x:f t="shared" si="37"/>
      </x:c>
      <x:c r="Z640" s="3" t="str">
        <x:f t="shared" si="38"/>
      </x:c>
      <x:c r="AA640" s="11" t="str">
        <x:f t="shared" si="39"/>
      </x:c>
    </x:row>
    <x:row r="641">
      <x:c r="A641" s="10" t="s">
        <x:v>1764</x:v>
      </x:c>
      <x:c r="F641" t="s">
        <x:v>1358</x:v>
      </x:c>
      <x:c r="K641">
        <x:v>1</x:v>
      </x:c>
      <x:c r="L641" t="str">
        <x:f t="shared" si="36"/>
      </x:c>
      <x:c r="O641" t="s">
        <x:v>38</x:v>
      </x:c>
      <x:c r="T641" s="2" t="n">
        <x:f>'SUPUESTOS PRECIOS'!$B$9</x:f>
        <x:v>0</x:v>
      </x:c>
      <x:c r="U641" s="3" t="n">
        <x:f>'SUPUESTOS PRECIOS'!$B$5/'SUPUESTOS PRECIOS'!$B$4</x:f>
        <x:v>1000</x:v>
      </x:c>
      <x:c r="V641" s="3" t="n">
        <x:f>('SUPUESTOS PRECIOS'!$B$6-'SUPUESTOS PRECIOS'!$B$7)/'SUPUESTOS PRECIOS'!$B$4</x:f>
        <x:v>377.5</x:v>
      </x:c>
      <x:c r="W641" s="4" t="n">
        <x:f>'SUPUESTOS PRECIOS'!$B$8</x:f>
        <x:v>0.00968</x:v>
      </x:c>
      <x:c r="X641" s="4" t="n">
        <x:f>'SUPUESTOS PRECIOS'!$B$2</x:f>
        <x:v>0.4</x:v>
      </x:c>
      <x:c r="Y641" s="3" t="str">
        <x:f t="shared" si="37"/>
      </x:c>
      <x:c r="Z641" s="3" t="str">
        <x:f t="shared" si="38"/>
      </x:c>
      <x:c r="AA641" s="11" t="str">
        <x:f t="shared" si="39"/>
      </x:c>
    </x:row>
    <x:row r="642">
      <x:c r="A642" s="10" t="s">
        <x:v>1765</x:v>
      </x:c>
      <x:c r="F642" t="s">
        <x:v>1358</x:v>
      </x:c>
      <x:c r="K642">
        <x:v>1</x:v>
      </x:c>
      <x:c r="L642" t="str">
        <x:f t="shared" ref="L642:L705" si="40">IF(J642="","",J642*(1+K642))</x:f>
      </x:c>
      <x:c r="O642" t="s">
        <x:v>38</x:v>
      </x:c>
      <x:c r="T642" s="2" t="n">
        <x:f>'SUPUESTOS PRECIOS'!$B$9</x:f>
        <x:v>0</x:v>
      </x:c>
      <x:c r="U642" s="3" t="n">
        <x:f>'SUPUESTOS PRECIOS'!$B$5/'SUPUESTOS PRECIOS'!$B$4</x:f>
        <x:v>1000</x:v>
      </x:c>
      <x:c r="V642" s="3" t="n">
        <x:f>('SUPUESTOS PRECIOS'!$B$6-'SUPUESTOS PRECIOS'!$B$7)/'SUPUESTOS PRECIOS'!$B$4</x:f>
        <x:v>377.5</x:v>
      </x:c>
      <x:c r="W642" s="4" t="n">
        <x:f>'SUPUESTOS PRECIOS'!$B$8</x:f>
        <x:v>0.00968</x:v>
      </x:c>
      <x:c r="X642" s="4" t="n">
        <x:f>'SUPUESTOS PRECIOS'!$B$2</x:f>
        <x:v>0.4</x:v>
      </x:c>
      <x:c r="Y642" s="3" t="str">
        <x:f t="shared" ref="Y642:Y705" si="41">IF(OR($B642="",$J642=""),"",ROUND(($J642+$T642+$U642+$V642)/(1-$W642-$X642),-1))</x:f>
      </x:c>
      <x:c r="Z642" s="3" t="str">
        <x:f t="shared" ref="Z642:Z705" si="42">IF($Y642="","",$Y642-$J642-$T642-$U642-$V642-($Y642*$W642))</x:f>
      </x:c>
      <x:c r="AA642" s="11" t="str">
        <x:f t="shared" ref="AA642:AA705" si="43">IF($Y642="","",$Z642/$Y642)</x:f>
      </x:c>
    </x:row>
    <x:row r="643">
      <x:c r="A643" s="10" t="s">
        <x:v>1766</x:v>
      </x:c>
      <x:c r="F643" t="s">
        <x:v>1358</x:v>
      </x:c>
      <x:c r="K643">
        <x:v>1</x:v>
      </x:c>
      <x:c r="L643" t="str">
        <x:f t="shared" si="40"/>
      </x:c>
      <x:c r="O643" t="s">
        <x:v>38</x:v>
      </x:c>
      <x:c r="T643" s="2" t="n">
        <x:f>'SUPUESTOS PRECIOS'!$B$9</x:f>
        <x:v>0</x:v>
      </x:c>
      <x:c r="U643" s="3" t="n">
        <x:f>'SUPUESTOS PRECIOS'!$B$5/'SUPUESTOS PRECIOS'!$B$4</x:f>
        <x:v>1000</x:v>
      </x:c>
      <x:c r="V643" s="3" t="n">
        <x:f>('SUPUESTOS PRECIOS'!$B$6-'SUPUESTOS PRECIOS'!$B$7)/'SUPUESTOS PRECIOS'!$B$4</x:f>
        <x:v>377.5</x:v>
      </x:c>
      <x:c r="W643" s="4" t="n">
        <x:f>'SUPUESTOS PRECIOS'!$B$8</x:f>
        <x:v>0.00968</x:v>
      </x:c>
      <x:c r="X643" s="4" t="n">
        <x:f>'SUPUESTOS PRECIOS'!$B$2</x:f>
        <x:v>0.4</x:v>
      </x:c>
      <x:c r="Y643" s="3" t="str">
        <x:f t="shared" si="41"/>
      </x:c>
      <x:c r="Z643" s="3" t="str">
        <x:f t="shared" si="42"/>
      </x:c>
      <x:c r="AA643" s="11" t="str">
        <x:f t="shared" si="43"/>
      </x:c>
    </x:row>
    <x:row r="644">
      <x:c r="A644" s="10" t="s">
        <x:v>1767</x:v>
      </x:c>
      <x:c r="F644" t="s">
        <x:v>1358</x:v>
      </x:c>
      <x:c r="K644">
        <x:v>1</x:v>
      </x:c>
      <x:c r="L644" t="str">
        <x:f t="shared" si="40"/>
      </x:c>
      <x:c r="O644" t="s">
        <x:v>38</x:v>
      </x:c>
      <x:c r="T644" s="2" t="n">
        <x:f>'SUPUESTOS PRECIOS'!$B$9</x:f>
        <x:v>0</x:v>
      </x:c>
      <x:c r="U644" s="3" t="n">
        <x:f>'SUPUESTOS PRECIOS'!$B$5/'SUPUESTOS PRECIOS'!$B$4</x:f>
        <x:v>1000</x:v>
      </x:c>
      <x:c r="V644" s="3" t="n">
        <x:f>('SUPUESTOS PRECIOS'!$B$6-'SUPUESTOS PRECIOS'!$B$7)/'SUPUESTOS PRECIOS'!$B$4</x:f>
        <x:v>377.5</x:v>
      </x:c>
      <x:c r="W644" s="4" t="n">
        <x:f>'SUPUESTOS PRECIOS'!$B$8</x:f>
        <x:v>0.00968</x:v>
      </x:c>
      <x:c r="X644" s="4" t="n">
        <x:f>'SUPUESTOS PRECIOS'!$B$2</x:f>
        <x:v>0.4</x:v>
      </x:c>
      <x:c r="Y644" s="3" t="str">
        <x:f t="shared" si="41"/>
      </x:c>
      <x:c r="Z644" s="3" t="str">
        <x:f t="shared" si="42"/>
      </x:c>
      <x:c r="AA644" s="11" t="str">
        <x:f t="shared" si="43"/>
      </x:c>
    </x:row>
    <x:row r="645">
      <x:c r="A645" s="10" t="s">
        <x:v>1768</x:v>
      </x:c>
      <x:c r="F645" t="s">
        <x:v>1358</x:v>
      </x:c>
      <x:c r="K645">
        <x:v>1</x:v>
      </x:c>
      <x:c r="L645" t="str">
        <x:f t="shared" si="40"/>
      </x:c>
      <x:c r="O645" t="s">
        <x:v>38</x:v>
      </x:c>
      <x:c r="T645" s="2" t="n">
        <x:f>'SUPUESTOS PRECIOS'!$B$9</x:f>
        <x:v>0</x:v>
      </x:c>
      <x:c r="U645" s="3" t="n">
        <x:f>'SUPUESTOS PRECIOS'!$B$5/'SUPUESTOS PRECIOS'!$B$4</x:f>
        <x:v>1000</x:v>
      </x:c>
      <x:c r="V645" s="3" t="n">
        <x:f>('SUPUESTOS PRECIOS'!$B$6-'SUPUESTOS PRECIOS'!$B$7)/'SUPUESTOS PRECIOS'!$B$4</x:f>
        <x:v>377.5</x:v>
      </x:c>
      <x:c r="W645" s="4" t="n">
        <x:f>'SUPUESTOS PRECIOS'!$B$8</x:f>
        <x:v>0.00968</x:v>
      </x:c>
      <x:c r="X645" s="4" t="n">
        <x:f>'SUPUESTOS PRECIOS'!$B$2</x:f>
        <x:v>0.4</x:v>
      </x:c>
      <x:c r="Y645" s="3" t="str">
        <x:f t="shared" si="41"/>
      </x:c>
      <x:c r="Z645" s="3" t="str">
        <x:f t="shared" si="42"/>
      </x:c>
      <x:c r="AA645" s="11" t="str">
        <x:f t="shared" si="43"/>
      </x:c>
    </x:row>
    <x:row r="646">
      <x:c r="A646" s="10" t="s">
        <x:v>1769</x:v>
      </x:c>
      <x:c r="F646" t="s">
        <x:v>1358</x:v>
      </x:c>
      <x:c r="K646">
        <x:v>1</x:v>
      </x:c>
      <x:c r="L646" t="str">
        <x:f t="shared" si="40"/>
      </x:c>
      <x:c r="O646" t="s">
        <x:v>38</x:v>
      </x:c>
      <x:c r="T646" s="2" t="n">
        <x:f>'SUPUESTOS PRECIOS'!$B$9</x:f>
        <x:v>0</x:v>
      </x:c>
      <x:c r="U646" s="3" t="n">
        <x:f>'SUPUESTOS PRECIOS'!$B$5/'SUPUESTOS PRECIOS'!$B$4</x:f>
        <x:v>1000</x:v>
      </x:c>
      <x:c r="V646" s="3" t="n">
        <x:f>('SUPUESTOS PRECIOS'!$B$6-'SUPUESTOS PRECIOS'!$B$7)/'SUPUESTOS PRECIOS'!$B$4</x:f>
        <x:v>377.5</x:v>
      </x:c>
      <x:c r="W646" s="4" t="n">
        <x:f>'SUPUESTOS PRECIOS'!$B$8</x:f>
        <x:v>0.00968</x:v>
      </x:c>
      <x:c r="X646" s="4" t="n">
        <x:f>'SUPUESTOS PRECIOS'!$B$2</x:f>
        <x:v>0.4</x:v>
      </x:c>
      <x:c r="Y646" s="3" t="str">
        <x:f t="shared" si="41"/>
      </x:c>
      <x:c r="Z646" s="3" t="str">
        <x:f t="shared" si="42"/>
      </x:c>
      <x:c r="AA646" s="11" t="str">
        <x:f t="shared" si="43"/>
      </x:c>
    </x:row>
    <x:row r="647">
      <x:c r="A647" s="10" t="s">
        <x:v>1770</x:v>
      </x:c>
      <x:c r="F647" t="s">
        <x:v>1358</x:v>
      </x:c>
      <x:c r="K647">
        <x:v>1</x:v>
      </x:c>
      <x:c r="L647" t="str">
        <x:f t="shared" si="40"/>
      </x:c>
      <x:c r="O647" t="s">
        <x:v>38</x:v>
      </x:c>
      <x:c r="T647" s="2" t="n">
        <x:f>'SUPUESTOS PRECIOS'!$B$9</x:f>
        <x:v>0</x:v>
      </x:c>
      <x:c r="U647" s="3" t="n">
        <x:f>'SUPUESTOS PRECIOS'!$B$5/'SUPUESTOS PRECIOS'!$B$4</x:f>
        <x:v>1000</x:v>
      </x:c>
      <x:c r="V647" s="3" t="n">
        <x:f>('SUPUESTOS PRECIOS'!$B$6-'SUPUESTOS PRECIOS'!$B$7)/'SUPUESTOS PRECIOS'!$B$4</x:f>
        <x:v>377.5</x:v>
      </x:c>
      <x:c r="W647" s="4" t="n">
        <x:f>'SUPUESTOS PRECIOS'!$B$8</x:f>
        <x:v>0.00968</x:v>
      </x:c>
      <x:c r="X647" s="4" t="n">
        <x:f>'SUPUESTOS PRECIOS'!$B$2</x:f>
        <x:v>0.4</x:v>
      </x:c>
      <x:c r="Y647" s="3" t="str">
        <x:f t="shared" si="41"/>
      </x:c>
      <x:c r="Z647" s="3" t="str">
        <x:f t="shared" si="42"/>
      </x:c>
      <x:c r="AA647" s="11" t="str">
        <x:f t="shared" si="43"/>
      </x:c>
    </x:row>
    <x:row r="648">
      <x:c r="A648" s="10" t="s">
        <x:v>1771</x:v>
      </x:c>
      <x:c r="F648" t="s">
        <x:v>1358</x:v>
      </x:c>
      <x:c r="K648">
        <x:v>1</x:v>
      </x:c>
      <x:c r="L648" t="str">
        <x:f t="shared" si="40"/>
      </x:c>
      <x:c r="O648" t="s">
        <x:v>38</x:v>
      </x:c>
      <x:c r="T648" s="2" t="n">
        <x:f>'SUPUESTOS PRECIOS'!$B$9</x:f>
        <x:v>0</x:v>
      </x:c>
      <x:c r="U648" s="3" t="n">
        <x:f>'SUPUESTOS PRECIOS'!$B$5/'SUPUESTOS PRECIOS'!$B$4</x:f>
        <x:v>1000</x:v>
      </x:c>
      <x:c r="V648" s="3" t="n">
        <x:f>('SUPUESTOS PRECIOS'!$B$6-'SUPUESTOS PRECIOS'!$B$7)/'SUPUESTOS PRECIOS'!$B$4</x:f>
        <x:v>377.5</x:v>
      </x:c>
      <x:c r="W648" s="4" t="n">
        <x:f>'SUPUESTOS PRECIOS'!$B$8</x:f>
        <x:v>0.00968</x:v>
      </x:c>
      <x:c r="X648" s="4" t="n">
        <x:f>'SUPUESTOS PRECIOS'!$B$2</x:f>
        <x:v>0.4</x:v>
      </x:c>
      <x:c r="Y648" s="3" t="str">
        <x:f t="shared" si="41"/>
      </x:c>
      <x:c r="Z648" s="3" t="str">
        <x:f t="shared" si="42"/>
      </x:c>
      <x:c r="AA648" s="11" t="str">
        <x:f t="shared" si="43"/>
      </x:c>
    </x:row>
    <x:row r="649">
      <x:c r="A649" s="10" t="s">
        <x:v>1772</x:v>
      </x:c>
      <x:c r="F649" t="s">
        <x:v>1358</x:v>
      </x:c>
      <x:c r="K649">
        <x:v>1</x:v>
      </x:c>
      <x:c r="L649" t="str">
        <x:f t="shared" si="40"/>
      </x:c>
      <x:c r="O649" t="s">
        <x:v>38</x:v>
      </x:c>
      <x:c r="T649" s="2" t="n">
        <x:f>'SUPUESTOS PRECIOS'!$B$9</x:f>
        <x:v>0</x:v>
      </x:c>
      <x:c r="U649" s="3" t="n">
        <x:f>'SUPUESTOS PRECIOS'!$B$5/'SUPUESTOS PRECIOS'!$B$4</x:f>
        <x:v>1000</x:v>
      </x:c>
      <x:c r="V649" s="3" t="n">
        <x:f>('SUPUESTOS PRECIOS'!$B$6-'SUPUESTOS PRECIOS'!$B$7)/'SUPUESTOS PRECIOS'!$B$4</x:f>
        <x:v>377.5</x:v>
      </x:c>
      <x:c r="W649" s="4" t="n">
        <x:f>'SUPUESTOS PRECIOS'!$B$8</x:f>
        <x:v>0.00968</x:v>
      </x:c>
      <x:c r="X649" s="4" t="n">
        <x:f>'SUPUESTOS PRECIOS'!$B$2</x:f>
        <x:v>0.4</x:v>
      </x:c>
      <x:c r="Y649" s="3" t="str">
        <x:f t="shared" si="41"/>
      </x:c>
      <x:c r="Z649" s="3" t="str">
        <x:f t="shared" si="42"/>
      </x:c>
      <x:c r="AA649" s="11" t="str">
        <x:f t="shared" si="43"/>
      </x:c>
    </x:row>
    <x:row r="650">
      <x:c r="A650" s="10" t="s">
        <x:v>1773</x:v>
      </x:c>
      <x:c r="F650" t="s">
        <x:v>1358</x:v>
      </x:c>
      <x:c r="K650">
        <x:v>1</x:v>
      </x:c>
      <x:c r="L650" t="str">
        <x:f t="shared" si="40"/>
      </x:c>
      <x:c r="O650" t="s">
        <x:v>38</x:v>
      </x:c>
      <x:c r="T650" s="2" t="n">
        <x:f>'SUPUESTOS PRECIOS'!$B$9</x:f>
        <x:v>0</x:v>
      </x:c>
      <x:c r="U650" s="3" t="n">
        <x:f>'SUPUESTOS PRECIOS'!$B$5/'SUPUESTOS PRECIOS'!$B$4</x:f>
        <x:v>1000</x:v>
      </x:c>
      <x:c r="V650" s="3" t="n">
        <x:f>('SUPUESTOS PRECIOS'!$B$6-'SUPUESTOS PRECIOS'!$B$7)/'SUPUESTOS PRECIOS'!$B$4</x:f>
        <x:v>377.5</x:v>
      </x:c>
      <x:c r="W650" s="4" t="n">
        <x:f>'SUPUESTOS PRECIOS'!$B$8</x:f>
        <x:v>0.00968</x:v>
      </x:c>
      <x:c r="X650" s="4" t="n">
        <x:f>'SUPUESTOS PRECIOS'!$B$2</x:f>
        <x:v>0.4</x:v>
      </x:c>
      <x:c r="Y650" s="3" t="str">
        <x:f t="shared" si="41"/>
      </x:c>
      <x:c r="Z650" s="3" t="str">
        <x:f t="shared" si="42"/>
      </x:c>
      <x:c r="AA650" s="11" t="str">
        <x:f t="shared" si="43"/>
      </x:c>
    </x:row>
    <x:row r="651">
      <x:c r="A651" s="10" t="s">
        <x:v>1774</x:v>
      </x:c>
      <x:c r="F651" t="s">
        <x:v>1358</x:v>
      </x:c>
      <x:c r="K651">
        <x:v>1</x:v>
      </x:c>
      <x:c r="L651" t="str">
        <x:f t="shared" si="40"/>
      </x:c>
      <x:c r="O651" t="s">
        <x:v>38</x:v>
      </x:c>
      <x:c r="T651" s="2" t="n">
        <x:f>'SUPUESTOS PRECIOS'!$B$9</x:f>
        <x:v>0</x:v>
      </x:c>
      <x:c r="U651" s="3" t="n">
        <x:f>'SUPUESTOS PRECIOS'!$B$5/'SUPUESTOS PRECIOS'!$B$4</x:f>
        <x:v>1000</x:v>
      </x:c>
      <x:c r="V651" s="3" t="n">
        <x:f>('SUPUESTOS PRECIOS'!$B$6-'SUPUESTOS PRECIOS'!$B$7)/'SUPUESTOS PRECIOS'!$B$4</x:f>
        <x:v>377.5</x:v>
      </x:c>
      <x:c r="W651" s="4" t="n">
        <x:f>'SUPUESTOS PRECIOS'!$B$8</x:f>
        <x:v>0.00968</x:v>
      </x:c>
      <x:c r="X651" s="4" t="n">
        <x:f>'SUPUESTOS PRECIOS'!$B$2</x:f>
        <x:v>0.4</x:v>
      </x:c>
      <x:c r="Y651" s="3" t="str">
        <x:f t="shared" si="41"/>
      </x:c>
      <x:c r="Z651" s="3" t="str">
        <x:f t="shared" si="42"/>
      </x:c>
      <x:c r="AA651" s="11" t="str">
        <x:f t="shared" si="43"/>
      </x:c>
    </x:row>
    <x:row r="652">
      <x:c r="A652" s="10" t="s">
        <x:v>1775</x:v>
      </x:c>
      <x:c r="F652" t="s">
        <x:v>1358</x:v>
      </x:c>
      <x:c r="K652">
        <x:v>1</x:v>
      </x:c>
      <x:c r="L652" t="str">
        <x:f t="shared" si="40"/>
      </x:c>
      <x:c r="O652" t="s">
        <x:v>38</x:v>
      </x:c>
      <x:c r="T652" s="2" t="n">
        <x:f>'SUPUESTOS PRECIOS'!$B$9</x:f>
        <x:v>0</x:v>
      </x:c>
      <x:c r="U652" s="3" t="n">
        <x:f>'SUPUESTOS PRECIOS'!$B$5/'SUPUESTOS PRECIOS'!$B$4</x:f>
        <x:v>1000</x:v>
      </x:c>
      <x:c r="V652" s="3" t="n">
        <x:f>('SUPUESTOS PRECIOS'!$B$6-'SUPUESTOS PRECIOS'!$B$7)/'SUPUESTOS PRECIOS'!$B$4</x:f>
        <x:v>377.5</x:v>
      </x:c>
      <x:c r="W652" s="4" t="n">
        <x:f>'SUPUESTOS PRECIOS'!$B$8</x:f>
        <x:v>0.00968</x:v>
      </x:c>
      <x:c r="X652" s="4" t="n">
        <x:f>'SUPUESTOS PRECIOS'!$B$2</x:f>
        <x:v>0.4</x:v>
      </x:c>
      <x:c r="Y652" s="3" t="str">
        <x:f t="shared" si="41"/>
      </x:c>
      <x:c r="Z652" s="3" t="str">
        <x:f t="shared" si="42"/>
      </x:c>
      <x:c r="AA652" s="11" t="str">
        <x:f t="shared" si="43"/>
      </x:c>
    </x:row>
    <x:row r="653">
      <x:c r="A653" s="10" t="s">
        <x:v>1776</x:v>
      </x:c>
      <x:c r="F653" t="s">
        <x:v>1358</x:v>
      </x:c>
      <x:c r="K653">
        <x:v>1</x:v>
      </x:c>
      <x:c r="L653" t="str">
        <x:f t="shared" si="40"/>
      </x:c>
      <x:c r="O653" t="s">
        <x:v>38</x:v>
      </x:c>
      <x:c r="T653" s="2" t="n">
        <x:f>'SUPUESTOS PRECIOS'!$B$9</x:f>
        <x:v>0</x:v>
      </x:c>
      <x:c r="U653" s="3" t="n">
        <x:f>'SUPUESTOS PRECIOS'!$B$5/'SUPUESTOS PRECIOS'!$B$4</x:f>
        <x:v>1000</x:v>
      </x:c>
      <x:c r="V653" s="3" t="n">
        <x:f>('SUPUESTOS PRECIOS'!$B$6-'SUPUESTOS PRECIOS'!$B$7)/'SUPUESTOS PRECIOS'!$B$4</x:f>
        <x:v>377.5</x:v>
      </x:c>
      <x:c r="W653" s="4" t="n">
        <x:f>'SUPUESTOS PRECIOS'!$B$8</x:f>
        <x:v>0.00968</x:v>
      </x:c>
      <x:c r="X653" s="4" t="n">
        <x:f>'SUPUESTOS PRECIOS'!$B$2</x:f>
        <x:v>0.4</x:v>
      </x:c>
      <x:c r="Y653" s="3" t="str">
        <x:f t="shared" si="41"/>
      </x:c>
      <x:c r="Z653" s="3" t="str">
        <x:f t="shared" si="42"/>
      </x:c>
      <x:c r="AA653" s="11" t="str">
        <x:f t="shared" si="43"/>
      </x:c>
    </x:row>
    <x:row r="654">
      <x:c r="A654" s="10" t="s">
        <x:v>1777</x:v>
      </x:c>
      <x:c r="F654" t="s">
        <x:v>1358</x:v>
      </x:c>
      <x:c r="K654">
        <x:v>1</x:v>
      </x:c>
      <x:c r="L654" t="str">
        <x:f t="shared" si="40"/>
      </x:c>
      <x:c r="O654" t="s">
        <x:v>38</x:v>
      </x:c>
      <x:c r="T654" s="2" t="n">
        <x:f>'SUPUESTOS PRECIOS'!$B$9</x:f>
        <x:v>0</x:v>
      </x:c>
      <x:c r="U654" s="3" t="n">
        <x:f>'SUPUESTOS PRECIOS'!$B$5/'SUPUESTOS PRECIOS'!$B$4</x:f>
        <x:v>1000</x:v>
      </x:c>
      <x:c r="V654" s="3" t="n">
        <x:f>('SUPUESTOS PRECIOS'!$B$6-'SUPUESTOS PRECIOS'!$B$7)/'SUPUESTOS PRECIOS'!$B$4</x:f>
        <x:v>377.5</x:v>
      </x:c>
      <x:c r="W654" s="4" t="n">
        <x:f>'SUPUESTOS PRECIOS'!$B$8</x:f>
        <x:v>0.00968</x:v>
      </x:c>
      <x:c r="X654" s="4" t="n">
        <x:f>'SUPUESTOS PRECIOS'!$B$2</x:f>
        <x:v>0.4</x:v>
      </x:c>
      <x:c r="Y654" s="3" t="str">
        <x:f t="shared" si="41"/>
      </x:c>
      <x:c r="Z654" s="3" t="str">
        <x:f t="shared" si="42"/>
      </x:c>
      <x:c r="AA654" s="11" t="str">
        <x:f t="shared" si="43"/>
      </x:c>
    </x:row>
    <x:row r="655">
      <x:c r="A655" s="10" t="s">
        <x:v>1778</x:v>
      </x:c>
      <x:c r="F655" t="s">
        <x:v>1358</x:v>
      </x:c>
      <x:c r="K655">
        <x:v>1</x:v>
      </x:c>
      <x:c r="L655" t="str">
        <x:f t="shared" si="40"/>
      </x:c>
      <x:c r="O655" t="s">
        <x:v>38</x:v>
      </x:c>
      <x:c r="T655" s="2" t="n">
        <x:f>'SUPUESTOS PRECIOS'!$B$9</x:f>
        <x:v>0</x:v>
      </x:c>
      <x:c r="U655" s="3" t="n">
        <x:f>'SUPUESTOS PRECIOS'!$B$5/'SUPUESTOS PRECIOS'!$B$4</x:f>
        <x:v>1000</x:v>
      </x:c>
      <x:c r="V655" s="3" t="n">
        <x:f>('SUPUESTOS PRECIOS'!$B$6-'SUPUESTOS PRECIOS'!$B$7)/'SUPUESTOS PRECIOS'!$B$4</x:f>
        <x:v>377.5</x:v>
      </x:c>
      <x:c r="W655" s="4" t="n">
        <x:f>'SUPUESTOS PRECIOS'!$B$8</x:f>
        <x:v>0.00968</x:v>
      </x:c>
      <x:c r="X655" s="4" t="n">
        <x:f>'SUPUESTOS PRECIOS'!$B$2</x:f>
        <x:v>0.4</x:v>
      </x:c>
      <x:c r="Y655" s="3" t="str">
        <x:f t="shared" si="41"/>
      </x:c>
      <x:c r="Z655" s="3" t="str">
        <x:f t="shared" si="42"/>
      </x:c>
      <x:c r="AA655" s="11" t="str">
        <x:f t="shared" si="43"/>
      </x:c>
    </x:row>
    <x:row r="656">
      <x:c r="A656" s="10" t="s">
        <x:v>1779</x:v>
      </x:c>
      <x:c r="F656" t="s">
        <x:v>1358</x:v>
      </x:c>
      <x:c r="K656">
        <x:v>1</x:v>
      </x:c>
      <x:c r="L656" t="str">
        <x:f t="shared" si="40"/>
      </x:c>
      <x:c r="O656" t="s">
        <x:v>38</x:v>
      </x:c>
      <x:c r="T656" s="2" t="n">
        <x:f>'SUPUESTOS PRECIOS'!$B$9</x:f>
        <x:v>0</x:v>
      </x:c>
      <x:c r="U656" s="3" t="n">
        <x:f>'SUPUESTOS PRECIOS'!$B$5/'SUPUESTOS PRECIOS'!$B$4</x:f>
        <x:v>1000</x:v>
      </x:c>
      <x:c r="V656" s="3" t="n">
        <x:f>('SUPUESTOS PRECIOS'!$B$6-'SUPUESTOS PRECIOS'!$B$7)/'SUPUESTOS PRECIOS'!$B$4</x:f>
        <x:v>377.5</x:v>
      </x:c>
      <x:c r="W656" s="4" t="n">
        <x:f>'SUPUESTOS PRECIOS'!$B$8</x:f>
        <x:v>0.00968</x:v>
      </x:c>
      <x:c r="X656" s="4" t="n">
        <x:f>'SUPUESTOS PRECIOS'!$B$2</x:f>
        <x:v>0.4</x:v>
      </x:c>
      <x:c r="Y656" s="3" t="str">
        <x:f t="shared" si="41"/>
      </x:c>
      <x:c r="Z656" s="3" t="str">
        <x:f t="shared" si="42"/>
      </x:c>
      <x:c r="AA656" s="11" t="str">
        <x:f t="shared" si="43"/>
      </x:c>
    </x:row>
    <x:row r="657">
      <x:c r="A657" s="10" t="s">
        <x:v>1780</x:v>
      </x:c>
      <x:c r="F657" t="s">
        <x:v>1358</x:v>
      </x:c>
      <x:c r="K657">
        <x:v>1</x:v>
      </x:c>
      <x:c r="L657" t="str">
        <x:f t="shared" si="40"/>
      </x:c>
      <x:c r="O657" t="s">
        <x:v>38</x:v>
      </x:c>
      <x:c r="T657" s="2" t="n">
        <x:f>'SUPUESTOS PRECIOS'!$B$9</x:f>
        <x:v>0</x:v>
      </x:c>
      <x:c r="U657" s="3" t="n">
        <x:f>'SUPUESTOS PRECIOS'!$B$5/'SUPUESTOS PRECIOS'!$B$4</x:f>
        <x:v>1000</x:v>
      </x:c>
      <x:c r="V657" s="3" t="n">
        <x:f>('SUPUESTOS PRECIOS'!$B$6-'SUPUESTOS PRECIOS'!$B$7)/'SUPUESTOS PRECIOS'!$B$4</x:f>
        <x:v>377.5</x:v>
      </x:c>
      <x:c r="W657" s="4" t="n">
        <x:f>'SUPUESTOS PRECIOS'!$B$8</x:f>
        <x:v>0.00968</x:v>
      </x:c>
      <x:c r="X657" s="4" t="n">
        <x:f>'SUPUESTOS PRECIOS'!$B$2</x:f>
        <x:v>0.4</x:v>
      </x:c>
      <x:c r="Y657" s="3" t="str">
        <x:f t="shared" si="41"/>
      </x:c>
      <x:c r="Z657" s="3" t="str">
        <x:f t="shared" si="42"/>
      </x:c>
      <x:c r="AA657" s="11" t="str">
        <x:f t="shared" si="43"/>
      </x:c>
    </x:row>
    <x:row r="658">
      <x:c r="A658" s="10" t="s">
        <x:v>1781</x:v>
      </x:c>
      <x:c r="F658" t="s">
        <x:v>1358</x:v>
      </x:c>
      <x:c r="K658">
        <x:v>1</x:v>
      </x:c>
      <x:c r="L658" t="str">
        <x:f t="shared" si="40"/>
      </x:c>
      <x:c r="O658" t="s">
        <x:v>38</x:v>
      </x:c>
      <x:c r="T658" s="2" t="n">
        <x:f>'SUPUESTOS PRECIOS'!$B$9</x:f>
        <x:v>0</x:v>
      </x:c>
      <x:c r="U658" s="3" t="n">
        <x:f>'SUPUESTOS PRECIOS'!$B$5/'SUPUESTOS PRECIOS'!$B$4</x:f>
        <x:v>1000</x:v>
      </x:c>
      <x:c r="V658" s="3" t="n">
        <x:f>('SUPUESTOS PRECIOS'!$B$6-'SUPUESTOS PRECIOS'!$B$7)/'SUPUESTOS PRECIOS'!$B$4</x:f>
        <x:v>377.5</x:v>
      </x:c>
      <x:c r="W658" s="4" t="n">
        <x:f>'SUPUESTOS PRECIOS'!$B$8</x:f>
        <x:v>0.00968</x:v>
      </x:c>
      <x:c r="X658" s="4" t="n">
        <x:f>'SUPUESTOS PRECIOS'!$B$2</x:f>
        <x:v>0.4</x:v>
      </x:c>
      <x:c r="Y658" s="3" t="str">
        <x:f t="shared" si="41"/>
      </x:c>
      <x:c r="Z658" s="3" t="str">
        <x:f t="shared" si="42"/>
      </x:c>
      <x:c r="AA658" s="11" t="str">
        <x:f t="shared" si="43"/>
      </x:c>
    </x:row>
    <x:row r="659">
      <x:c r="A659" s="10" t="s">
        <x:v>1782</x:v>
      </x:c>
      <x:c r="F659" t="s">
        <x:v>1358</x:v>
      </x:c>
      <x:c r="K659">
        <x:v>1</x:v>
      </x:c>
      <x:c r="L659" t="str">
        <x:f t="shared" si="40"/>
      </x:c>
      <x:c r="O659" t="s">
        <x:v>38</x:v>
      </x:c>
      <x:c r="T659" s="2" t="n">
        <x:f>'SUPUESTOS PRECIOS'!$B$9</x:f>
        <x:v>0</x:v>
      </x:c>
      <x:c r="U659" s="3" t="n">
        <x:f>'SUPUESTOS PRECIOS'!$B$5/'SUPUESTOS PRECIOS'!$B$4</x:f>
        <x:v>1000</x:v>
      </x:c>
      <x:c r="V659" s="3" t="n">
        <x:f>('SUPUESTOS PRECIOS'!$B$6-'SUPUESTOS PRECIOS'!$B$7)/'SUPUESTOS PRECIOS'!$B$4</x:f>
        <x:v>377.5</x:v>
      </x:c>
      <x:c r="W659" s="4" t="n">
        <x:f>'SUPUESTOS PRECIOS'!$B$8</x:f>
        <x:v>0.00968</x:v>
      </x:c>
      <x:c r="X659" s="4" t="n">
        <x:f>'SUPUESTOS PRECIOS'!$B$2</x:f>
        <x:v>0.4</x:v>
      </x:c>
      <x:c r="Y659" s="3" t="str">
        <x:f t="shared" si="41"/>
      </x:c>
      <x:c r="Z659" s="3" t="str">
        <x:f t="shared" si="42"/>
      </x:c>
      <x:c r="AA659" s="11" t="str">
        <x:f t="shared" si="43"/>
      </x:c>
    </x:row>
    <x:row r="660">
      <x:c r="A660" s="10" t="s">
        <x:v>1783</x:v>
      </x:c>
      <x:c r="F660" t="s">
        <x:v>1358</x:v>
      </x:c>
      <x:c r="K660">
        <x:v>1</x:v>
      </x:c>
      <x:c r="L660" t="str">
        <x:f t="shared" si="40"/>
      </x:c>
      <x:c r="O660" t="s">
        <x:v>38</x:v>
      </x:c>
      <x:c r="T660" s="2" t="n">
        <x:f>'SUPUESTOS PRECIOS'!$B$9</x:f>
        <x:v>0</x:v>
      </x:c>
      <x:c r="U660" s="3" t="n">
        <x:f>'SUPUESTOS PRECIOS'!$B$5/'SUPUESTOS PRECIOS'!$B$4</x:f>
        <x:v>1000</x:v>
      </x:c>
      <x:c r="V660" s="3" t="n">
        <x:f>('SUPUESTOS PRECIOS'!$B$6-'SUPUESTOS PRECIOS'!$B$7)/'SUPUESTOS PRECIOS'!$B$4</x:f>
        <x:v>377.5</x:v>
      </x:c>
      <x:c r="W660" s="4" t="n">
        <x:f>'SUPUESTOS PRECIOS'!$B$8</x:f>
        <x:v>0.00968</x:v>
      </x:c>
      <x:c r="X660" s="4" t="n">
        <x:f>'SUPUESTOS PRECIOS'!$B$2</x:f>
        <x:v>0.4</x:v>
      </x:c>
      <x:c r="Y660" s="3" t="str">
        <x:f t="shared" si="41"/>
      </x:c>
      <x:c r="Z660" s="3" t="str">
        <x:f t="shared" si="42"/>
      </x:c>
      <x:c r="AA660" s="11" t="str">
        <x:f t="shared" si="43"/>
      </x:c>
    </x:row>
    <x:row r="661">
      <x:c r="A661" s="10" t="s">
        <x:v>1784</x:v>
      </x:c>
      <x:c r="F661" t="s">
        <x:v>1358</x:v>
      </x:c>
      <x:c r="K661">
        <x:v>1</x:v>
      </x:c>
      <x:c r="L661" t="str">
        <x:f t="shared" si="40"/>
      </x:c>
      <x:c r="O661" t="s">
        <x:v>38</x:v>
      </x:c>
      <x:c r="T661" s="2" t="n">
        <x:f>'SUPUESTOS PRECIOS'!$B$9</x:f>
        <x:v>0</x:v>
      </x:c>
      <x:c r="U661" s="3" t="n">
        <x:f>'SUPUESTOS PRECIOS'!$B$5/'SUPUESTOS PRECIOS'!$B$4</x:f>
        <x:v>1000</x:v>
      </x:c>
      <x:c r="V661" s="3" t="n">
        <x:f>('SUPUESTOS PRECIOS'!$B$6-'SUPUESTOS PRECIOS'!$B$7)/'SUPUESTOS PRECIOS'!$B$4</x:f>
        <x:v>377.5</x:v>
      </x:c>
      <x:c r="W661" s="4" t="n">
        <x:f>'SUPUESTOS PRECIOS'!$B$8</x:f>
        <x:v>0.00968</x:v>
      </x:c>
      <x:c r="X661" s="4" t="n">
        <x:f>'SUPUESTOS PRECIOS'!$B$2</x:f>
        <x:v>0.4</x:v>
      </x:c>
      <x:c r="Y661" s="3" t="str">
        <x:f t="shared" si="41"/>
      </x:c>
      <x:c r="Z661" s="3" t="str">
        <x:f t="shared" si="42"/>
      </x:c>
      <x:c r="AA661" s="11" t="str">
        <x:f t="shared" si="43"/>
      </x:c>
    </x:row>
    <x:row r="662">
      <x:c r="A662" s="10" t="s">
        <x:v>1785</x:v>
      </x:c>
      <x:c r="F662" t="s">
        <x:v>1358</x:v>
      </x:c>
      <x:c r="K662">
        <x:v>1</x:v>
      </x:c>
      <x:c r="L662" t="str">
        <x:f t="shared" si="40"/>
      </x:c>
      <x:c r="O662" t="s">
        <x:v>38</x:v>
      </x:c>
      <x:c r="T662" s="2" t="n">
        <x:f>'SUPUESTOS PRECIOS'!$B$9</x:f>
        <x:v>0</x:v>
      </x:c>
      <x:c r="U662" s="3" t="n">
        <x:f>'SUPUESTOS PRECIOS'!$B$5/'SUPUESTOS PRECIOS'!$B$4</x:f>
        <x:v>1000</x:v>
      </x:c>
      <x:c r="V662" s="3" t="n">
        <x:f>('SUPUESTOS PRECIOS'!$B$6-'SUPUESTOS PRECIOS'!$B$7)/'SUPUESTOS PRECIOS'!$B$4</x:f>
        <x:v>377.5</x:v>
      </x:c>
      <x:c r="W662" s="4" t="n">
        <x:f>'SUPUESTOS PRECIOS'!$B$8</x:f>
        <x:v>0.00968</x:v>
      </x:c>
      <x:c r="X662" s="4" t="n">
        <x:f>'SUPUESTOS PRECIOS'!$B$2</x:f>
        <x:v>0.4</x:v>
      </x:c>
      <x:c r="Y662" s="3" t="str">
        <x:f t="shared" si="41"/>
      </x:c>
      <x:c r="Z662" s="3" t="str">
        <x:f t="shared" si="42"/>
      </x:c>
      <x:c r="AA662" s="11" t="str">
        <x:f t="shared" si="43"/>
      </x:c>
    </x:row>
    <x:row r="663">
      <x:c r="A663" s="10" t="s">
        <x:v>1786</x:v>
      </x:c>
      <x:c r="F663" t="s">
        <x:v>1358</x:v>
      </x:c>
      <x:c r="K663">
        <x:v>1</x:v>
      </x:c>
      <x:c r="L663" t="str">
        <x:f t="shared" si="40"/>
      </x:c>
      <x:c r="O663" t="s">
        <x:v>38</x:v>
      </x:c>
      <x:c r="T663" s="2" t="n">
        <x:f>'SUPUESTOS PRECIOS'!$B$9</x:f>
        <x:v>0</x:v>
      </x:c>
      <x:c r="U663" s="3" t="n">
        <x:f>'SUPUESTOS PRECIOS'!$B$5/'SUPUESTOS PRECIOS'!$B$4</x:f>
        <x:v>1000</x:v>
      </x:c>
      <x:c r="V663" s="3" t="n">
        <x:f>('SUPUESTOS PRECIOS'!$B$6-'SUPUESTOS PRECIOS'!$B$7)/'SUPUESTOS PRECIOS'!$B$4</x:f>
        <x:v>377.5</x:v>
      </x:c>
      <x:c r="W663" s="4" t="n">
        <x:f>'SUPUESTOS PRECIOS'!$B$8</x:f>
        <x:v>0.00968</x:v>
      </x:c>
      <x:c r="X663" s="4" t="n">
        <x:f>'SUPUESTOS PRECIOS'!$B$2</x:f>
        <x:v>0.4</x:v>
      </x:c>
      <x:c r="Y663" s="3" t="str">
        <x:f t="shared" si="41"/>
      </x:c>
      <x:c r="Z663" s="3" t="str">
        <x:f t="shared" si="42"/>
      </x:c>
      <x:c r="AA663" s="11" t="str">
        <x:f t="shared" si="43"/>
      </x:c>
    </x:row>
    <x:row r="664">
      <x:c r="A664" s="10" t="s">
        <x:v>1787</x:v>
      </x:c>
      <x:c r="F664" t="s">
        <x:v>1358</x:v>
      </x:c>
      <x:c r="K664">
        <x:v>1</x:v>
      </x:c>
      <x:c r="L664" t="str">
        <x:f t="shared" si="40"/>
      </x:c>
      <x:c r="O664" t="s">
        <x:v>38</x:v>
      </x:c>
      <x:c r="T664" s="2" t="n">
        <x:f>'SUPUESTOS PRECIOS'!$B$9</x:f>
        <x:v>0</x:v>
      </x:c>
      <x:c r="U664" s="3" t="n">
        <x:f>'SUPUESTOS PRECIOS'!$B$5/'SUPUESTOS PRECIOS'!$B$4</x:f>
        <x:v>1000</x:v>
      </x:c>
      <x:c r="V664" s="3" t="n">
        <x:f>('SUPUESTOS PRECIOS'!$B$6-'SUPUESTOS PRECIOS'!$B$7)/'SUPUESTOS PRECIOS'!$B$4</x:f>
        <x:v>377.5</x:v>
      </x:c>
      <x:c r="W664" s="4" t="n">
        <x:f>'SUPUESTOS PRECIOS'!$B$8</x:f>
        <x:v>0.00968</x:v>
      </x:c>
      <x:c r="X664" s="4" t="n">
        <x:f>'SUPUESTOS PRECIOS'!$B$2</x:f>
        <x:v>0.4</x:v>
      </x:c>
      <x:c r="Y664" s="3" t="str">
        <x:f t="shared" si="41"/>
      </x:c>
      <x:c r="Z664" s="3" t="str">
        <x:f t="shared" si="42"/>
      </x:c>
      <x:c r="AA664" s="11" t="str">
        <x:f t="shared" si="43"/>
      </x:c>
    </x:row>
    <x:row r="665">
      <x:c r="A665" s="10" t="s">
        <x:v>1788</x:v>
      </x:c>
      <x:c r="F665" t="s">
        <x:v>1358</x:v>
      </x:c>
      <x:c r="K665">
        <x:v>1</x:v>
      </x:c>
      <x:c r="L665" t="str">
        <x:f t="shared" si="40"/>
      </x:c>
      <x:c r="O665" t="s">
        <x:v>38</x:v>
      </x:c>
      <x:c r="T665" s="2" t="n">
        <x:f>'SUPUESTOS PRECIOS'!$B$9</x:f>
        <x:v>0</x:v>
      </x:c>
      <x:c r="U665" s="3" t="n">
        <x:f>'SUPUESTOS PRECIOS'!$B$5/'SUPUESTOS PRECIOS'!$B$4</x:f>
        <x:v>1000</x:v>
      </x:c>
      <x:c r="V665" s="3" t="n">
        <x:f>('SUPUESTOS PRECIOS'!$B$6-'SUPUESTOS PRECIOS'!$B$7)/'SUPUESTOS PRECIOS'!$B$4</x:f>
        <x:v>377.5</x:v>
      </x:c>
      <x:c r="W665" s="4" t="n">
        <x:f>'SUPUESTOS PRECIOS'!$B$8</x:f>
        <x:v>0.00968</x:v>
      </x:c>
      <x:c r="X665" s="4" t="n">
        <x:f>'SUPUESTOS PRECIOS'!$B$2</x:f>
        <x:v>0.4</x:v>
      </x:c>
      <x:c r="Y665" s="3" t="str">
        <x:f t="shared" si="41"/>
      </x:c>
      <x:c r="Z665" s="3" t="str">
        <x:f t="shared" si="42"/>
      </x:c>
      <x:c r="AA665" s="11" t="str">
        <x:f t="shared" si="43"/>
      </x:c>
    </x:row>
    <x:row r="666">
      <x:c r="A666" s="10" t="s">
        <x:v>1789</x:v>
      </x:c>
      <x:c r="F666" t="s">
        <x:v>1358</x:v>
      </x:c>
      <x:c r="K666">
        <x:v>1</x:v>
      </x:c>
      <x:c r="L666" t="str">
        <x:f t="shared" si="40"/>
      </x:c>
      <x:c r="O666" t="s">
        <x:v>38</x:v>
      </x:c>
      <x:c r="T666" s="2" t="n">
        <x:f>'SUPUESTOS PRECIOS'!$B$9</x:f>
        <x:v>0</x:v>
      </x:c>
      <x:c r="U666" s="3" t="n">
        <x:f>'SUPUESTOS PRECIOS'!$B$5/'SUPUESTOS PRECIOS'!$B$4</x:f>
        <x:v>1000</x:v>
      </x:c>
      <x:c r="V666" s="3" t="n">
        <x:f>('SUPUESTOS PRECIOS'!$B$6-'SUPUESTOS PRECIOS'!$B$7)/'SUPUESTOS PRECIOS'!$B$4</x:f>
        <x:v>377.5</x:v>
      </x:c>
      <x:c r="W666" s="4" t="n">
        <x:f>'SUPUESTOS PRECIOS'!$B$8</x:f>
        <x:v>0.00968</x:v>
      </x:c>
      <x:c r="X666" s="4" t="n">
        <x:f>'SUPUESTOS PRECIOS'!$B$2</x:f>
        <x:v>0.4</x:v>
      </x:c>
      <x:c r="Y666" s="3" t="str">
        <x:f t="shared" si="41"/>
      </x:c>
      <x:c r="Z666" s="3" t="str">
        <x:f t="shared" si="42"/>
      </x:c>
      <x:c r="AA666" s="11" t="str">
        <x:f t="shared" si="43"/>
      </x:c>
    </x:row>
    <x:row r="667">
      <x:c r="A667" s="10" t="s">
        <x:v>1790</x:v>
      </x:c>
      <x:c r="F667" t="s">
        <x:v>1358</x:v>
      </x:c>
      <x:c r="K667">
        <x:v>1</x:v>
      </x:c>
      <x:c r="L667" t="str">
        <x:f t="shared" si="40"/>
      </x:c>
      <x:c r="O667" t="s">
        <x:v>38</x:v>
      </x:c>
      <x:c r="T667" s="2" t="n">
        <x:f>'SUPUESTOS PRECIOS'!$B$9</x:f>
        <x:v>0</x:v>
      </x:c>
      <x:c r="U667" s="3" t="n">
        <x:f>'SUPUESTOS PRECIOS'!$B$5/'SUPUESTOS PRECIOS'!$B$4</x:f>
        <x:v>1000</x:v>
      </x:c>
      <x:c r="V667" s="3" t="n">
        <x:f>('SUPUESTOS PRECIOS'!$B$6-'SUPUESTOS PRECIOS'!$B$7)/'SUPUESTOS PRECIOS'!$B$4</x:f>
        <x:v>377.5</x:v>
      </x:c>
      <x:c r="W667" s="4" t="n">
        <x:f>'SUPUESTOS PRECIOS'!$B$8</x:f>
        <x:v>0.00968</x:v>
      </x:c>
      <x:c r="X667" s="4" t="n">
        <x:f>'SUPUESTOS PRECIOS'!$B$2</x:f>
        <x:v>0.4</x:v>
      </x:c>
      <x:c r="Y667" s="3" t="str">
        <x:f t="shared" si="41"/>
      </x:c>
      <x:c r="Z667" s="3" t="str">
        <x:f t="shared" si="42"/>
      </x:c>
      <x:c r="AA667" s="11" t="str">
        <x:f t="shared" si="43"/>
      </x:c>
    </x:row>
    <x:row r="668">
      <x:c r="A668" s="10" t="s">
        <x:v>1791</x:v>
      </x:c>
      <x:c r="F668" t="s">
        <x:v>1358</x:v>
      </x:c>
      <x:c r="K668">
        <x:v>1</x:v>
      </x:c>
      <x:c r="L668" t="str">
        <x:f t="shared" si="40"/>
      </x:c>
      <x:c r="O668" t="s">
        <x:v>38</x:v>
      </x:c>
      <x:c r="T668" s="2" t="n">
        <x:f>'SUPUESTOS PRECIOS'!$B$9</x:f>
        <x:v>0</x:v>
      </x:c>
      <x:c r="U668" s="3" t="n">
        <x:f>'SUPUESTOS PRECIOS'!$B$5/'SUPUESTOS PRECIOS'!$B$4</x:f>
        <x:v>1000</x:v>
      </x:c>
      <x:c r="V668" s="3" t="n">
        <x:f>('SUPUESTOS PRECIOS'!$B$6-'SUPUESTOS PRECIOS'!$B$7)/'SUPUESTOS PRECIOS'!$B$4</x:f>
        <x:v>377.5</x:v>
      </x:c>
      <x:c r="W668" s="4" t="n">
        <x:f>'SUPUESTOS PRECIOS'!$B$8</x:f>
        <x:v>0.00968</x:v>
      </x:c>
      <x:c r="X668" s="4" t="n">
        <x:f>'SUPUESTOS PRECIOS'!$B$2</x:f>
        <x:v>0.4</x:v>
      </x:c>
      <x:c r="Y668" s="3" t="str">
        <x:f t="shared" si="41"/>
      </x:c>
      <x:c r="Z668" s="3" t="str">
        <x:f t="shared" si="42"/>
      </x:c>
      <x:c r="AA668" s="11" t="str">
        <x:f t="shared" si="43"/>
      </x:c>
    </x:row>
    <x:row r="669">
      <x:c r="A669" s="10" t="s">
        <x:v>1792</x:v>
      </x:c>
      <x:c r="F669" t="s">
        <x:v>1358</x:v>
      </x:c>
      <x:c r="K669">
        <x:v>1</x:v>
      </x:c>
      <x:c r="L669" t="str">
        <x:f t="shared" si="40"/>
      </x:c>
      <x:c r="O669" t="s">
        <x:v>38</x:v>
      </x:c>
      <x:c r="T669" s="2" t="n">
        <x:f>'SUPUESTOS PRECIOS'!$B$9</x:f>
        <x:v>0</x:v>
      </x:c>
      <x:c r="U669" s="3" t="n">
        <x:f>'SUPUESTOS PRECIOS'!$B$5/'SUPUESTOS PRECIOS'!$B$4</x:f>
        <x:v>1000</x:v>
      </x:c>
      <x:c r="V669" s="3" t="n">
        <x:f>('SUPUESTOS PRECIOS'!$B$6-'SUPUESTOS PRECIOS'!$B$7)/'SUPUESTOS PRECIOS'!$B$4</x:f>
        <x:v>377.5</x:v>
      </x:c>
      <x:c r="W669" s="4" t="n">
        <x:f>'SUPUESTOS PRECIOS'!$B$8</x:f>
        <x:v>0.00968</x:v>
      </x:c>
      <x:c r="X669" s="4" t="n">
        <x:f>'SUPUESTOS PRECIOS'!$B$2</x:f>
        <x:v>0.4</x:v>
      </x:c>
      <x:c r="Y669" s="3" t="str">
        <x:f t="shared" si="41"/>
      </x:c>
      <x:c r="Z669" s="3" t="str">
        <x:f t="shared" si="42"/>
      </x:c>
      <x:c r="AA669" s="11" t="str">
        <x:f t="shared" si="43"/>
      </x:c>
    </x:row>
    <x:row r="670">
      <x:c r="A670" s="10" t="s">
        <x:v>1793</x:v>
      </x:c>
      <x:c r="F670" t="s">
        <x:v>1358</x:v>
      </x:c>
      <x:c r="K670">
        <x:v>1</x:v>
      </x:c>
      <x:c r="L670" t="str">
        <x:f t="shared" si="40"/>
      </x:c>
      <x:c r="O670" t="s">
        <x:v>38</x:v>
      </x:c>
      <x:c r="T670" s="2" t="n">
        <x:f>'SUPUESTOS PRECIOS'!$B$9</x:f>
        <x:v>0</x:v>
      </x:c>
      <x:c r="U670" s="3" t="n">
        <x:f>'SUPUESTOS PRECIOS'!$B$5/'SUPUESTOS PRECIOS'!$B$4</x:f>
        <x:v>1000</x:v>
      </x:c>
      <x:c r="V670" s="3" t="n">
        <x:f>('SUPUESTOS PRECIOS'!$B$6-'SUPUESTOS PRECIOS'!$B$7)/'SUPUESTOS PRECIOS'!$B$4</x:f>
        <x:v>377.5</x:v>
      </x:c>
      <x:c r="W670" s="4" t="n">
        <x:f>'SUPUESTOS PRECIOS'!$B$8</x:f>
        <x:v>0.00968</x:v>
      </x:c>
      <x:c r="X670" s="4" t="n">
        <x:f>'SUPUESTOS PRECIOS'!$B$2</x:f>
        <x:v>0.4</x:v>
      </x:c>
      <x:c r="Y670" s="3" t="str">
        <x:f t="shared" si="41"/>
      </x:c>
      <x:c r="Z670" s="3" t="str">
        <x:f t="shared" si="42"/>
      </x:c>
      <x:c r="AA670" s="11" t="str">
        <x:f t="shared" si="43"/>
      </x:c>
    </x:row>
    <x:row r="671">
      <x:c r="A671" s="10" t="s">
        <x:v>1794</x:v>
      </x:c>
      <x:c r="F671" t="s">
        <x:v>1358</x:v>
      </x:c>
      <x:c r="K671">
        <x:v>1</x:v>
      </x:c>
      <x:c r="L671" t="str">
        <x:f t="shared" si="40"/>
      </x:c>
      <x:c r="O671" t="s">
        <x:v>38</x:v>
      </x:c>
      <x:c r="T671" s="2" t="n">
        <x:f>'SUPUESTOS PRECIOS'!$B$9</x:f>
        <x:v>0</x:v>
      </x:c>
      <x:c r="U671" s="3" t="n">
        <x:f>'SUPUESTOS PRECIOS'!$B$5/'SUPUESTOS PRECIOS'!$B$4</x:f>
        <x:v>1000</x:v>
      </x:c>
      <x:c r="V671" s="3" t="n">
        <x:f>('SUPUESTOS PRECIOS'!$B$6-'SUPUESTOS PRECIOS'!$B$7)/'SUPUESTOS PRECIOS'!$B$4</x:f>
        <x:v>377.5</x:v>
      </x:c>
      <x:c r="W671" s="4" t="n">
        <x:f>'SUPUESTOS PRECIOS'!$B$8</x:f>
        <x:v>0.00968</x:v>
      </x:c>
      <x:c r="X671" s="4" t="n">
        <x:f>'SUPUESTOS PRECIOS'!$B$2</x:f>
        <x:v>0.4</x:v>
      </x:c>
      <x:c r="Y671" s="3" t="str">
        <x:f t="shared" si="41"/>
      </x:c>
      <x:c r="Z671" s="3" t="str">
        <x:f t="shared" si="42"/>
      </x:c>
      <x:c r="AA671" s="11" t="str">
        <x:f t="shared" si="43"/>
      </x:c>
    </x:row>
    <x:row r="672">
      <x:c r="A672" s="10" t="s">
        <x:v>1795</x:v>
      </x:c>
      <x:c r="F672" t="s">
        <x:v>1358</x:v>
      </x:c>
      <x:c r="K672">
        <x:v>1</x:v>
      </x:c>
      <x:c r="L672" t="str">
        <x:f t="shared" si="40"/>
      </x:c>
      <x:c r="O672" t="s">
        <x:v>38</x:v>
      </x:c>
      <x:c r="T672" s="2" t="n">
        <x:f>'SUPUESTOS PRECIOS'!$B$9</x:f>
        <x:v>0</x:v>
      </x:c>
      <x:c r="U672" s="3" t="n">
        <x:f>'SUPUESTOS PRECIOS'!$B$5/'SUPUESTOS PRECIOS'!$B$4</x:f>
        <x:v>1000</x:v>
      </x:c>
      <x:c r="V672" s="3" t="n">
        <x:f>('SUPUESTOS PRECIOS'!$B$6-'SUPUESTOS PRECIOS'!$B$7)/'SUPUESTOS PRECIOS'!$B$4</x:f>
        <x:v>377.5</x:v>
      </x:c>
      <x:c r="W672" s="4" t="n">
        <x:f>'SUPUESTOS PRECIOS'!$B$8</x:f>
        <x:v>0.00968</x:v>
      </x:c>
      <x:c r="X672" s="4" t="n">
        <x:f>'SUPUESTOS PRECIOS'!$B$2</x:f>
        <x:v>0.4</x:v>
      </x:c>
      <x:c r="Y672" s="3" t="str">
        <x:f t="shared" si="41"/>
      </x:c>
      <x:c r="Z672" s="3" t="str">
        <x:f t="shared" si="42"/>
      </x:c>
      <x:c r="AA672" s="11" t="str">
        <x:f t="shared" si="43"/>
      </x:c>
    </x:row>
    <x:row r="673">
      <x:c r="A673" s="10" t="s">
        <x:v>1796</x:v>
      </x:c>
      <x:c r="F673" t="s">
        <x:v>1358</x:v>
      </x:c>
      <x:c r="K673">
        <x:v>1</x:v>
      </x:c>
      <x:c r="L673" t="str">
        <x:f t="shared" si="40"/>
      </x:c>
      <x:c r="O673" t="s">
        <x:v>38</x:v>
      </x:c>
      <x:c r="T673" s="2" t="n">
        <x:f>'SUPUESTOS PRECIOS'!$B$9</x:f>
        <x:v>0</x:v>
      </x:c>
      <x:c r="U673" s="3" t="n">
        <x:f>'SUPUESTOS PRECIOS'!$B$5/'SUPUESTOS PRECIOS'!$B$4</x:f>
        <x:v>1000</x:v>
      </x:c>
      <x:c r="V673" s="3" t="n">
        <x:f>('SUPUESTOS PRECIOS'!$B$6-'SUPUESTOS PRECIOS'!$B$7)/'SUPUESTOS PRECIOS'!$B$4</x:f>
        <x:v>377.5</x:v>
      </x:c>
      <x:c r="W673" s="4" t="n">
        <x:f>'SUPUESTOS PRECIOS'!$B$8</x:f>
        <x:v>0.00968</x:v>
      </x:c>
      <x:c r="X673" s="4" t="n">
        <x:f>'SUPUESTOS PRECIOS'!$B$2</x:f>
        <x:v>0.4</x:v>
      </x:c>
      <x:c r="Y673" s="3" t="str">
        <x:f t="shared" si="41"/>
      </x:c>
      <x:c r="Z673" s="3" t="str">
        <x:f t="shared" si="42"/>
      </x:c>
      <x:c r="AA673" s="11" t="str">
        <x:f t="shared" si="43"/>
      </x:c>
    </x:row>
    <x:row r="674">
      <x:c r="A674" s="10" t="s">
        <x:v>1797</x:v>
      </x:c>
      <x:c r="F674" t="s">
        <x:v>1358</x:v>
      </x:c>
      <x:c r="K674">
        <x:v>1</x:v>
      </x:c>
      <x:c r="L674" t="str">
        <x:f t="shared" si="40"/>
      </x:c>
      <x:c r="O674" t="s">
        <x:v>38</x:v>
      </x:c>
      <x:c r="T674" s="2" t="n">
        <x:f>'SUPUESTOS PRECIOS'!$B$9</x:f>
        <x:v>0</x:v>
      </x:c>
      <x:c r="U674" s="3" t="n">
        <x:f>'SUPUESTOS PRECIOS'!$B$5/'SUPUESTOS PRECIOS'!$B$4</x:f>
        <x:v>1000</x:v>
      </x:c>
      <x:c r="V674" s="3" t="n">
        <x:f>('SUPUESTOS PRECIOS'!$B$6-'SUPUESTOS PRECIOS'!$B$7)/'SUPUESTOS PRECIOS'!$B$4</x:f>
        <x:v>377.5</x:v>
      </x:c>
      <x:c r="W674" s="4" t="n">
        <x:f>'SUPUESTOS PRECIOS'!$B$8</x:f>
        <x:v>0.00968</x:v>
      </x:c>
      <x:c r="X674" s="4" t="n">
        <x:f>'SUPUESTOS PRECIOS'!$B$2</x:f>
        <x:v>0.4</x:v>
      </x:c>
      <x:c r="Y674" s="3" t="str">
        <x:f t="shared" si="41"/>
      </x:c>
      <x:c r="Z674" s="3" t="str">
        <x:f t="shared" si="42"/>
      </x:c>
      <x:c r="AA674" s="11" t="str">
        <x:f t="shared" si="43"/>
      </x:c>
    </x:row>
    <x:row r="675">
      <x:c r="A675" s="10" t="s">
        <x:v>1798</x:v>
      </x:c>
      <x:c r="F675" t="s">
        <x:v>1358</x:v>
      </x:c>
      <x:c r="K675">
        <x:v>1</x:v>
      </x:c>
      <x:c r="L675" t="str">
        <x:f t="shared" si="40"/>
      </x:c>
      <x:c r="O675" t="s">
        <x:v>38</x:v>
      </x:c>
      <x:c r="T675" s="2" t="n">
        <x:f>'SUPUESTOS PRECIOS'!$B$9</x:f>
        <x:v>0</x:v>
      </x:c>
      <x:c r="U675" s="3" t="n">
        <x:f>'SUPUESTOS PRECIOS'!$B$5/'SUPUESTOS PRECIOS'!$B$4</x:f>
        <x:v>1000</x:v>
      </x:c>
      <x:c r="V675" s="3" t="n">
        <x:f>('SUPUESTOS PRECIOS'!$B$6-'SUPUESTOS PRECIOS'!$B$7)/'SUPUESTOS PRECIOS'!$B$4</x:f>
        <x:v>377.5</x:v>
      </x:c>
      <x:c r="W675" s="4" t="n">
        <x:f>'SUPUESTOS PRECIOS'!$B$8</x:f>
        <x:v>0.00968</x:v>
      </x:c>
      <x:c r="X675" s="4" t="n">
        <x:f>'SUPUESTOS PRECIOS'!$B$2</x:f>
        <x:v>0.4</x:v>
      </x:c>
      <x:c r="Y675" s="3" t="str">
        <x:f t="shared" si="41"/>
      </x:c>
      <x:c r="Z675" s="3" t="str">
        <x:f t="shared" si="42"/>
      </x:c>
      <x:c r="AA675" s="11" t="str">
        <x:f t="shared" si="43"/>
      </x:c>
    </x:row>
    <x:row r="676">
      <x:c r="A676" s="10" t="s">
        <x:v>1799</x:v>
      </x:c>
      <x:c r="F676" t="s">
        <x:v>1358</x:v>
      </x:c>
      <x:c r="K676">
        <x:v>1</x:v>
      </x:c>
      <x:c r="L676" t="str">
        <x:f t="shared" si="40"/>
      </x:c>
      <x:c r="O676" t="s">
        <x:v>38</x:v>
      </x:c>
      <x:c r="T676" s="2" t="n">
        <x:f>'SUPUESTOS PRECIOS'!$B$9</x:f>
        <x:v>0</x:v>
      </x:c>
      <x:c r="U676" s="3" t="n">
        <x:f>'SUPUESTOS PRECIOS'!$B$5/'SUPUESTOS PRECIOS'!$B$4</x:f>
        <x:v>1000</x:v>
      </x:c>
      <x:c r="V676" s="3" t="n">
        <x:f>('SUPUESTOS PRECIOS'!$B$6-'SUPUESTOS PRECIOS'!$B$7)/'SUPUESTOS PRECIOS'!$B$4</x:f>
        <x:v>377.5</x:v>
      </x:c>
      <x:c r="W676" s="4" t="n">
        <x:f>'SUPUESTOS PRECIOS'!$B$8</x:f>
        <x:v>0.00968</x:v>
      </x:c>
      <x:c r="X676" s="4" t="n">
        <x:f>'SUPUESTOS PRECIOS'!$B$2</x:f>
        <x:v>0.4</x:v>
      </x:c>
      <x:c r="Y676" s="3" t="str">
        <x:f t="shared" si="41"/>
      </x:c>
      <x:c r="Z676" s="3" t="str">
        <x:f t="shared" si="42"/>
      </x:c>
      <x:c r="AA676" s="11" t="str">
        <x:f t="shared" si="43"/>
      </x:c>
    </x:row>
    <x:row r="677">
      <x:c r="A677" s="10" t="s">
        <x:v>1800</x:v>
      </x:c>
      <x:c r="F677" t="s">
        <x:v>1358</x:v>
      </x:c>
      <x:c r="K677">
        <x:v>1</x:v>
      </x:c>
      <x:c r="L677" t="str">
        <x:f t="shared" si="40"/>
      </x:c>
      <x:c r="O677" t="s">
        <x:v>38</x:v>
      </x:c>
      <x:c r="T677" s="2" t="n">
        <x:f>'SUPUESTOS PRECIOS'!$B$9</x:f>
        <x:v>0</x:v>
      </x:c>
      <x:c r="U677" s="3" t="n">
        <x:f>'SUPUESTOS PRECIOS'!$B$5/'SUPUESTOS PRECIOS'!$B$4</x:f>
        <x:v>1000</x:v>
      </x:c>
      <x:c r="V677" s="3" t="n">
        <x:f>('SUPUESTOS PRECIOS'!$B$6-'SUPUESTOS PRECIOS'!$B$7)/'SUPUESTOS PRECIOS'!$B$4</x:f>
        <x:v>377.5</x:v>
      </x:c>
      <x:c r="W677" s="4" t="n">
        <x:f>'SUPUESTOS PRECIOS'!$B$8</x:f>
        <x:v>0.00968</x:v>
      </x:c>
      <x:c r="X677" s="4" t="n">
        <x:f>'SUPUESTOS PRECIOS'!$B$2</x:f>
        <x:v>0.4</x:v>
      </x:c>
      <x:c r="Y677" s="3" t="str">
        <x:f t="shared" si="41"/>
      </x:c>
      <x:c r="Z677" s="3" t="str">
        <x:f t="shared" si="42"/>
      </x:c>
      <x:c r="AA677" s="11" t="str">
        <x:f t="shared" si="43"/>
      </x:c>
    </x:row>
    <x:row r="678">
      <x:c r="A678" s="10" t="s">
        <x:v>1801</x:v>
      </x:c>
      <x:c r="F678" t="s">
        <x:v>1358</x:v>
      </x:c>
      <x:c r="K678">
        <x:v>1</x:v>
      </x:c>
      <x:c r="L678" t="str">
        <x:f t="shared" si="40"/>
      </x:c>
      <x:c r="O678" t="s">
        <x:v>38</x:v>
      </x:c>
      <x:c r="T678" s="2" t="n">
        <x:f>'SUPUESTOS PRECIOS'!$B$9</x:f>
        <x:v>0</x:v>
      </x:c>
      <x:c r="U678" s="3" t="n">
        <x:f>'SUPUESTOS PRECIOS'!$B$5/'SUPUESTOS PRECIOS'!$B$4</x:f>
        <x:v>1000</x:v>
      </x:c>
      <x:c r="V678" s="3" t="n">
        <x:f>('SUPUESTOS PRECIOS'!$B$6-'SUPUESTOS PRECIOS'!$B$7)/'SUPUESTOS PRECIOS'!$B$4</x:f>
        <x:v>377.5</x:v>
      </x:c>
      <x:c r="W678" s="4" t="n">
        <x:f>'SUPUESTOS PRECIOS'!$B$8</x:f>
        <x:v>0.00968</x:v>
      </x:c>
      <x:c r="X678" s="4" t="n">
        <x:f>'SUPUESTOS PRECIOS'!$B$2</x:f>
        <x:v>0.4</x:v>
      </x:c>
      <x:c r="Y678" s="3" t="str">
        <x:f t="shared" si="41"/>
      </x:c>
      <x:c r="Z678" s="3" t="str">
        <x:f t="shared" si="42"/>
      </x:c>
      <x:c r="AA678" s="11" t="str">
        <x:f t="shared" si="43"/>
      </x:c>
    </x:row>
    <x:row r="679">
      <x:c r="A679" s="10" t="s">
        <x:v>1802</x:v>
      </x:c>
      <x:c r="F679" t="s">
        <x:v>1358</x:v>
      </x:c>
      <x:c r="K679">
        <x:v>1</x:v>
      </x:c>
      <x:c r="L679" t="str">
        <x:f t="shared" si="40"/>
      </x:c>
      <x:c r="O679" t="s">
        <x:v>38</x:v>
      </x:c>
      <x:c r="T679" s="2" t="n">
        <x:f>'SUPUESTOS PRECIOS'!$B$9</x:f>
        <x:v>0</x:v>
      </x:c>
      <x:c r="U679" s="3" t="n">
        <x:f>'SUPUESTOS PRECIOS'!$B$5/'SUPUESTOS PRECIOS'!$B$4</x:f>
        <x:v>1000</x:v>
      </x:c>
      <x:c r="V679" s="3" t="n">
        <x:f>('SUPUESTOS PRECIOS'!$B$6-'SUPUESTOS PRECIOS'!$B$7)/'SUPUESTOS PRECIOS'!$B$4</x:f>
        <x:v>377.5</x:v>
      </x:c>
      <x:c r="W679" s="4" t="n">
        <x:f>'SUPUESTOS PRECIOS'!$B$8</x:f>
        <x:v>0.00968</x:v>
      </x:c>
      <x:c r="X679" s="4" t="n">
        <x:f>'SUPUESTOS PRECIOS'!$B$2</x:f>
        <x:v>0.4</x:v>
      </x:c>
      <x:c r="Y679" s="3" t="str">
        <x:f t="shared" si="41"/>
      </x:c>
      <x:c r="Z679" s="3" t="str">
        <x:f t="shared" si="42"/>
      </x:c>
      <x:c r="AA679" s="11" t="str">
        <x:f t="shared" si="43"/>
      </x:c>
    </x:row>
    <x:row r="680">
      <x:c r="A680" s="10" t="s">
        <x:v>1803</x:v>
      </x:c>
      <x:c r="F680" t="s">
        <x:v>1358</x:v>
      </x:c>
      <x:c r="K680">
        <x:v>1</x:v>
      </x:c>
      <x:c r="L680" t="str">
        <x:f t="shared" si="40"/>
      </x:c>
      <x:c r="O680" t="s">
        <x:v>38</x:v>
      </x:c>
      <x:c r="T680" s="2" t="n">
        <x:f>'SUPUESTOS PRECIOS'!$B$9</x:f>
        <x:v>0</x:v>
      </x:c>
      <x:c r="U680" s="3" t="n">
        <x:f>'SUPUESTOS PRECIOS'!$B$5/'SUPUESTOS PRECIOS'!$B$4</x:f>
        <x:v>1000</x:v>
      </x:c>
      <x:c r="V680" s="3" t="n">
        <x:f>('SUPUESTOS PRECIOS'!$B$6-'SUPUESTOS PRECIOS'!$B$7)/'SUPUESTOS PRECIOS'!$B$4</x:f>
        <x:v>377.5</x:v>
      </x:c>
      <x:c r="W680" s="4" t="n">
        <x:f>'SUPUESTOS PRECIOS'!$B$8</x:f>
        <x:v>0.00968</x:v>
      </x:c>
      <x:c r="X680" s="4" t="n">
        <x:f>'SUPUESTOS PRECIOS'!$B$2</x:f>
        <x:v>0.4</x:v>
      </x:c>
      <x:c r="Y680" s="3" t="str">
        <x:f t="shared" si="41"/>
      </x:c>
      <x:c r="Z680" s="3" t="str">
        <x:f t="shared" si="42"/>
      </x:c>
      <x:c r="AA680" s="11" t="str">
        <x:f t="shared" si="43"/>
      </x:c>
    </x:row>
    <x:row r="681">
      <x:c r="A681" s="10" t="s">
        <x:v>1804</x:v>
      </x:c>
      <x:c r="F681" t="s">
        <x:v>1358</x:v>
      </x:c>
      <x:c r="K681">
        <x:v>1</x:v>
      </x:c>
      <x:c r="L681" t="str">
        <x:f t="shared" si="40"/>
      </x:c>
      <x:c r="O681" t="s">
        <x:v>38</x:v>
      </x:c>
      <x:c r="T681" s="2" t="n">
        <x:f>'SUPUESTOS PRECIOS'!$B$9</x:f>
        <x:v>0</x:v>
      </x:c>
      <x:c r="U681" s="3" t="n">
        <x:f>'SUPUESTOS PRECIOS'!$B$5/'SUPUESTOS PRECIOS'!$B$4</x:f>
        <x:v>1000</x:v>
      </x:c>
      <x:c r="V681" s="3" t="n">
        <x:f>('SUPUESTOS PRECIOS'!$B$6-'SUPUESTOS PRECIOS'!$B$7)/'SUPUESTOS PRECIOS'!$B$4</x:f>
        <x:v>377.5</x:v>
      </x:c>
      <x:c r="W681" s="4" t="n">
        <x:f>'SUPUESTOS PRECIOS'!$B$8</x:f>
        <x:v>0.00968</x:v>
      </x:c>
      <x:c r="X681" s="4" t="n">
        <x:f>'SUPUESTOS PRECIOS'!$B$2</x:f>
        <x:v>0.4</x:v>
      </x:c>
      <x:c r="Y681" s="3" t="str">
        <x:f t="shared" si="41"/>
      </x:c>
      <x:c r="Z681" s="3" t="str">
        <x:f t="shared" si="42"/>
      </x:c>
      <x:c r="AA681" s="11" t="str">
        <x:f t="shared" si="43"/>
      </x:c>
    </x:row>
    <x:row r="682">
      <x:c r="A682" s="10" t="s">
        <x:v>1805</x:v>
      </x:c>
      <x:c r="F682" t="s">
        <x:v>1358</x:v>
      </x:c>
      <x:c r="K682">
        <x:v>1</x:v>
      </x:c>
      <x:c r="L682" t="str">
        <x:f t="shared" si="40"/>
      </x:c>
      <x:c r="O682" t="s">
        <x:v>38</x:v>
      </x:c>
      <x:c r="T682" s="2" t="n">
        <x:f>'SUPUESTOS PRECIOS'!$B$9</x:f>
        <x:v>0</x:v>
      </x:c>
      <x:c r="U682" s="3" t="n">
        <x:f>'SUPUESTOS PRECIOS'!$B$5/'SUPUESTOS PRECIOS'!$B$4</x:f>
        <x:v>1000</x:v>
      </x:c>
      <x:c r="V682" s="3" t="n">
        <x:f>('SUPUESTOS PRECIOS'!$B$6-'SUPUESTOS PRECIOS'!$B$7)/'SUPUESTOS PRECIOS'!$B$4</x:f>
        <x:v>377.5</x:v>
      </x:c>
      <x:c r="W682" s="4" t="n">
        <x:f>'SUPUESTOS PRECIOS'!$B$8</x:f>
        <x:v>0.00968</x:v>
      </x:c>
      <x:c r="X682" s="4" t="n">
        <x:f>'SUPUESTOS PRECIOS'!$B$2</x:f>
        <x:v>0.4</x:v>
      </x:c>
      <x:c r="Y682" s="3" t="str">
        <x:f t="shared" si="41"/>
      </x:c>
      <x:c r="Z682" s="3" t="str">
        <x:f t="shared" si="42"/>
      </x:c>
      <x:c r="AA682" s="11" t="str">
        <x:f t="shared" si="43"/>
      </x:c>
    </x:row>
    <x:row r="683">
      <x:c r="A683" s="10" t="s">
        <x:v>1806</x:v>
      </x:c>
      <x:c r="F683" t="s">
        <x:v>1358</x:v>
      </x:c>
      <x:c r="K683">
        <x:v>1</x:v>
      </x:c>
      <x:c r="L683" t="str">
        <x:f t="shared" si="40"/>
      </x:c>
      <x:c r="O683" t="s">
        <x:v>38</x:v>
      </x:c>
      <x:c r="T683" s="2" t="n">
        <x:f>'SUPUESTOS PRECIOS'!$B$9</x:f>
        <x:v>0</x:v>
      </x:c>
      <x:c r="U683" s="3" t="n">
        <x:f>'SUPUESTOS PRECIOS'!$B$5/'SUPUESTOS PRECIOS'!$B$4</x:f>
        <x:v>1000</x:v>
      </x:c>
      <x:c r="V683" s="3" t="n">
        <x:f>('SUPUESTOS PRECIOS'!$B$6-'SUPUESTOS PRECIOS'!$B$7)/'SUPUESTOS PRECIOS'!$B$4</x:f>
        <x:v>377.5</x:v>
      </x:c>
      <x:c r="W683" s="4" t="n">
        <x:f>'SUPUESTOS PRECIOS'!$B$8</x:f>
        <x:v>0.00968</x:v>
      </x:c>
      <x:c r="X683" s="4" t="n">
        <x:f>'SUPUESTOS PRECIOS'!$B$2</x:f>
        <x:v>0.4</x:v>
      </x:c>
      <x:c r="Y683" s="3" t="str">
        <x:f t="shared" si="41"/>
      </x:c>
      <x:c r="Z683" s="3" t="str">
        <x:f t="shared" si="42"/>
      </x:c>
      <x:c r="AA683" s="11" t="str">
        <x:f t="shared" si="43"/>
      </x:c>
    </x:row>
    <x:row r="684">
      <x:c r="A684" s="10" t="s">
        <x:v>1807</x:v>
      </x:c>
      <x:c r="F684" t="s">
        <x:v>1358</x:v>
      </x:c>
      <x:c r="K684">
        <x:v>1</x:v>
      </x:c>
      <x:c r="L684" t="str">
        <x:f t="shared" si="40"/>
      </x:c>
      <x:c r="O684" t="s">
        <x:v>38</x:v>
      </x:c>
      <x:c r="T684" s="2" t="n">
        <x:f>'SUPUESTOS PRECIOS'!$B$9</x:f>
        <x:v>0</x:v>
      </x:c>
      <x:c r="U684" s="3" t="n">
        <x:f>'SUPUESTOS PRECIOS'!$B$5/'SUPUESTOS PRECIOS'!$B$4</x:f>
        <x:v>1000</x:v>
      </x:c>
      <x:c r="V684" s="3" t="n">
        <x:f>('SUPUESTOS PRECIOS'!$B$6-'SUPUESTOS PRECIOS'!$B$7)/'SUPUESTOS PRECIOS'!$B$4</x:f>
        <x:v>377.5</x:v>
      </x:c>
      <x:c r="W684" s="4" t="n">
        <x:f>'SUPUESTOS PRECIOS'!$B$8</x:f>
        <x:v>0.00968</x:v>
      </x:c>
      <x:c r="X684" s="4" t="n">
        <x:f>'SUPUESTOS PRECIOS'!$B$2</x:f>
        <x:v>0.4</x:v>
      </x:c>
      <x:c r="Y684" s="3" t="str">
        <x:f t="shared" si="41"/>
      </x:c>
      <x:c r="Z684" s="3" t="str">
        <x:f t="shared" si="42"/>
      </x:c>
      <x:c r="AA684" s="11" t="str">
        <x:f t="shared" si="43"/>
      </x:c>
    </x:row>
    <x:row r="685">
      <x:c r="A685" s="10" t="s">
        <x:v>1808</x:v>
      </x:c>
      <x:c r="F685" t="s">
        <x:v>1358</x:v>
      </x:c>
      <x:c r="K685">
        <x:v>1</x:v>
      </x:c>
      <x:c r="L685" t="str">
        <x:f t="shared" si="40"/>
      </x:c>
      <x:c r="O685" t="s">
        <x:v>38</x:v>
      </x:c>
      <x:c r="T685" s="2" t="n">
        <x:f>'SUPUESTOS PRECIOS'!$B$9</x:f>
        <x:v>0</x:v>
      </x:c>
      <x:c r="U685" s="3" t="n">
        <x:f>'SUPUESTOS PRECIOS'!$B$5/'SUPUESTOS PRECIOS'!$B$4</x:f>
        <x:v>1000</x:v>
      </x:c>
      <x:c r="V685" s="3" t="n">
        <x:f>('SUPUESTOS PRECIOS'!$B$6-'SUPUESTOS PRECIOS'!$B$7)/'SUPUESTOS PRECIOS'!$B$4</x:f>
        <x:v>377.5</x:v>
      </x:c>
      <x:c r="W685" s="4" t="n">
        <x:f>'SUPUESTOS PRECIOS'!$B$8</x:f>
        <x:v>0.00968</x:v>
      </x:c>
      <x:c r="X685" s="4" t="n">
        <x:f>'SUPUESTOS PRECIOS'!$B$2</x:f>
        <x:v>0.4</x:v>
      </x:c>
      <x:c r="Y685" s="3" t="str">
        <x:f t="shared" si="41"/>
      </x:c>
      <x:c r="Z685" s="3" t="str">
        <x:f t="shared" si="42"/>
      </x:c>
      <x:c r="AA685" s="11" t="str">
        <x:f t="shared" si="43"/>
      </x:c>
    </x:row>
    <x:row r="686">
      <x:c r="A686" s="10" t="s">
        <x:v>1809</x:v>
      </x:c>
      <x:c r="F686" t="s">
        <x:v>1358</x:v>
      </x:c>
      <x:c r="K686">
        <x:v>1</x:v>
      </x:c>
      <x:c r="L686" t="str">
        <x:f t="shared" si="40"/>
      </x:c>
      <x:c r="O686" t="s">
        <x:v>38</x:v>
      </x:c>
      <x:c r="T686" s="2" t="n">
        <x:f>'SUPUESTOS PRECIOS'!$B$9</x:f>
        <x:v>0</x:v>
      </x:c>
      <x:c r="U686" s="3" t="n">
        <x:f>'SUPUESTOS PRECIOS'!$B$5/'SUPUESTOS PRECIOS'!$B$4</x:f>
        <x:v>1000</x:v>
      </x:c>
      <x:c r="V686" s="3" t="n">
        <x:f>('SUPUESTOS PRECIOS'!$B$6-'SUPUESTOS PRECIOS'!$B$7)/'SUPUESTOS PRECIOS'!$B$4</x:f>
        <x:v>377.5</x:v>
      </x:c>
      <x:c r="W686" s="4" t="n">
        <x:f>'SUPUESTOS PRECIOS'!$B$8</x:f>
        <x:v>0.00968</x:v>
      </x:c>
      <x:c r="X686" s="4" t="n">
        <x:f>'SUPUESTOS PRECIOS'!$B$2</x:f>
        <x:v>0.4</x:v>
      </x:c>
      <x:c r="Y686" s="3" t="str">
        <x:f t="shared" si="41"/>
      </x:c>
      <x:c r="Z686" s="3" t="str">
        <x:f t="shared" si="42"/>
      </x:c>
      <x:c r="AA686" s="11" t="str">
        <x:f t="shared" si="43"/>
      </x:c>
    </x:row>
    <x:row r="687">
      <x:c r="A687" s="10" t="s">
        <x:v>1810</x:v>
      </x:c>
      <x:c r="F687" t="s">
        <x:v>1358</x:v>
      </x:c>
      <x:c r="K687">
        <x:v>1</x:v>
      </x:c>
      <x:c r="L687" t="str">
        <x:f t="shared" si="40"/>
      </x:c>
      <x:c r="O687" t="s">
        <x:v>38</x:v>
      </x:c>
      <x:c r="T687" s="2" t="n">
        <x:f>'SUPUESTOS PRECIOS'!$B$9</x:f>
        <x:v>0</x:v>
      </x:c>
      <x:c r="U687" s="3" t="n">
        <x:f>'SUPUESTOS PRECIOS'!$B$5/'SUPUESTOS PRECIOS'!$B$4</x:f>
        <x:v>1000</x:v>
      </x:c>
      <x:c r="V687" s="3" t="n">
        <x:f>('SUPUESTOS PRECIOS'!$B$6-'SUPUESTOS PRECIOS'!$B$7)/'SUPUESTOS PRECIOS'!$B$4</x:f>
        <x:v>377.5</x:v>
      </x:c>
      <x:c r="W687" s="4" t="n">
        <x:f>'SUPUESTOS PRECIOS'!$B$8</x:f>
        <x:v>0.00968</x:v>
      </x:c>
      <x:c r="X687" s="4" t="n">
        <x:f>'SUPUESTOS PRECIOS'!$B$2</x:f>
        <x:v>0.4</x:v>
      </x:c>
      <x:c r="Y687" s="3" t="str">
        <x:f t="shared" si="41"/>
      </x:c>
      <x:c r="Z687" s="3" t="str">
        <x:f t="shared" si="42"/>
      </x:c>
      <x:c r="AA687" s="11" t="str">
        <x:f t="shared" si="43"/>
      </x:c>
    </x:row>
    <x:row r="688">
      <x:c r="A688" s="10" t="s">
        <x:v>1811</x:v>
      </x:c>
      <x:c r="F688" t="s">
        <x:v>1358</x:v>
      </x:c>
      <x:c r="K688">
        <x:v>1</x:v>
      </x:c>
      <x:c r="L688" t="str">
        <x:f t="shared" si="40"/>
      </x:c>
      <x:c r="O688" t="s">
        <x:v>38</x:v>
      </x:c>
      <x:c r="T688" s="2" t="n">
        <x:f>'SUPUESTOS PRECIOS'!$B$9</x:f>
        <x:v>0</x:v>
      </x:c>
      <x:c r="U688" s="3" t="n">
        <x:f>'SUPUESTOS PRECIOS'!$B$5/'SUPUESTOS PRECIOS'!$B$4</x:f>
        <x:v>1000</x:v>
      </x:c>
      <x:c r="V688" s="3" t="n">
        <x:f>('SUPUESTOS PRECIOS'!$B$6-'SUPUESTOS PRECIOS'!$B$7)/'SUPUESTOS PRECIOS'!$B$4</x:f>
        <x:v>377.5</x:v>
      </x:c>
      <x:c r="W688" s="4" t="n">
        <x:f>'SUPUESTOS PRECIOS'!$B$8</x:f>
        <x:v>0.00968</x:v>
      </x:c>
      <x:c r="X688" s="4" t="n">
        <x:f>'SUPUESTOS PRECIOS'!$B$2</x:f>
        <x:v>0.4</x:v>
      </x:c>
      <x:c r="Y688" s="3" t="str">
        <x:f t="shared" si="41"/>
      </x:c>
      <x:c r="Z688" s="3" t="str">
        <x:f t="shared" si="42"/>
      </x:c>
      <x:c r="AA688" s="11" t="str">
        <x:f t="shared" si="43"/>
      </x:c>
    </x:row>
    <x:row r="689">
      <x:c r="A689" s="10" t="s">
        <x:v>1812</x:v>
      </x:c>
      <x:c r="F689" t="s">
        <x:v>1358</x:v>
      </x:c>
      <x:c r="K689">
        <x:v>1</x:v>
      </x:c>
      <x:c r="L689" t="str">
        <x:f t="shared" si="40"/>
      </x:c>
      <x:c r="O689" t="s">
        <x:v>38</x:v>
      </x:c>
      <x:c r="T689" s="2" t="n">
        <x:f>'SUPUESTOS PRECIOS'!$B$9</x:f>
        <x:v>0</x:v>
      </x:c>
      <x:c r="U689" s="3" t="n">
        <x:f>'SUPUESTOS PRECIOS'!$B$5/'SUPUESTOS PRECIOS'!$B$4</x:f>
        <x:v>1000</x:v>
      </x:c>
      <x:c r="V689" s="3" t="n">
        <x:f>('SUPUESTOS PRECIOS'!$B$6-'SUPUESTOS PRECIOS'!$B$7)/'SUPUESTOS PRECIOS'!$B$4</x:f>
        <x:v>377.5</x:v>
      </x:c>
      <x:c r="W689" s="4" t="n">
        <x:f>'SUPUESTOS PRECIOS'!$B$8</x:f>
        <x:v>0.00968</x:v>
      </x:c>
      <x:c r="X689" s="4" t="n">
        <x:f>'SUPUESTOS PRECIOS'!$B$2</x:f>
        <x:v>0.4</x:v>
      </x:c>
      <x:c r="Y689" s="3" t="str">
        <x:f t="shared" si="41"/>
      </x:c>
      <x:c r="Z689" s="3" t="str">
        <x:f t="shared" si="42"/>
      </x:c>
      <x:c r="AA689" s="11" t="str">
        <x:f t="shared" si="43"/>
      </x:c>
    </x:row>
    <x:row r="690">
      <x:c r="A690" s="10" t="s">
        <x:v>1813</x:v>
      </x:c>
      <x:c r="F690" t="s">
        <x:v>1358</x:v>
      </x:c>
      <x:c r="K690">
        <x:v>1</x:v>
      </x:c>
      <x:c r="L690" t="str">
        <x:f t="shared" si="40"/>
      </x:c>
      <x:c r="O690" t="s">
        <x:v>38</x:v>
      </x:c>
      <x:c r="T690" s="2" t="n">
        <x:f>'SUPUESTOS PRECIOS'!$B$9</x:f>
        <x:v>0</x:v>
      </x:c>
      <x:c r="U690" s="3" t="n">
        <x:f>'SUPUESTOS PRECIOS'!$B$5/'SUPUESTOS PRECIOS'!$B$4</x:f>
        <x:v>1000</x:v>
      </x:c>
      <x:c r="V690" s="3" t="n">
        <x:f>('SUPUESTOS PRECIOS'!$B$6-'SUPUESTOS PRECIOS'!$B$7)/'SUPUESTOS PRECIOS'!$B$4</x:f>
        <x:v>377.5</x:v>
      </x:c>
      <x:c r="W690" s="4" t="n">
        <x:f>'SUPUESTOS PRECIOS'!$B$8</x:f>
        <x:v>0.00968</x:v>
      </x:c>
      <x:c r="X690" s="4" t="n">
        <x:f>'SUPUESTOS PRECIOS'!$B$2</x:f>
        <x:v>0.4</x:v>
      </x:c>
      <x:c r="Y690" s="3" t="str">
        <x:f t="shared" si="41"/>
      </x:c>
      <x:c r="Z690" s="3" t="str">
        <x:f t="shared" si="42"/>
      </x:c>
      <x:c r="AA690" s="11" t="str">
        <x:f t="shared" si="43"/>
      </x:c>
    </x:row>
    <x:row r="691">
      <x:c r="A691" s="10" t="s">
        <x:v>1814</x:v>
      </x:c>
      <x:c r="F691" t="s">
        <x:v>1358</x:v>
      </x:c>
      <x:c r="K691">
        <x:v>1</x:v>
      </x:c>
      <x:c r="L691" t="str">
        <x:f t="shared" si="40"/>
      </x:c>
      <x:c r="O691" t="s">
        <x:v>38</x:v>
      </x:c>
      <x:c r="T691" s="2" t="n">
        <x:f>'SUPUESTOS PRECIOS'!$B$9</x:f>
        <x:v>0</x:v>
      </x:c>
      <x:c r="U691" s="3" t="n">
        <x:f>'SUPUESTOS PRECIOS'!$B$5/'SUPUESTOS PRECIOS'!$B$4</x:f>
        <x:v>1000</x:v>
      </x:c>
      <x:c r="V691" s="3" t="n">
        <x:f>('SUPUESTOS PRECIOS'!$B$6-'SUPUESTOS PRECIOS'!$B$7)/'SUPUESTOS PRECIOS'!$B$4</x:f>
        <x:v>377.5</x:v>
      </x:c>
      <x:c r="W691" s="4" t="n">
        <x:f>'SUPUESTOS PRECIOS'!$B$8</x:f>
        <x:v>0.00968</x:v>
      </x:c>
      <x:c r="X691" s="4" t="n">
        <x:f>'SUPUESTOS PRECIOS'!$B$2</x:f>
        <x:v>0.4</x:v>
      </x:c>
      <x:c r="Y691" s="3" t="str">
        <x:f t="shared" si="41"/>
      </x:c>
      <x:c r="Z691" s="3" t="str">
        <x:f t="shared" si="42"/>
      </x:c>
      <x:c r="AA691" s="11" t="str">
        <x:f t="shared" si="43"/>
      </x:c>
    </x:row>
    <x:row r="692">
      <x:c r="A692" s="10" t="s">
        <x:v>1815</x:v>
      </x:c>
      <x:c r="F692" t="s">
        <x:v>1358</x:v>
      </x:c>
      <x:c r="K692">
        <x:v>1</x:v>
      </x:c>
      <x:c r="L692" t="str">
        <x:f t="shared" si="40"/>
      </x:c>
      <x:c r="O692" t="s">
        <x:v>38</x:v>
      </x:c>
      <x:c r="T692" s="2" t="n">
        <x:f>'SUPUESTOS PRECIOS'!$B$9</x:f>
        <x:v>0</x:v>
      </x:c>
      <x:c r="U692" s="3" t="n">
        <x:f>'SUPUESTOS PRECIOS'!$B$5/'SUPUESTOS PRECIOS'!$B$4</x:f>
        <x:v>1000</x:v>
      </x:c>
      <x:c r="V692" s="3" t="n">
        <x:f>('SUPUESTOS PRECIOS'!$B$6-'SUPUESTOS PRECIOS'!$B$7)/'SUPUESTOS PRECIOS'!$B$4</x:f>
        <x:v>377.5</x:v>
      </x:c>
      <x:c r="W692" s="4" t="n">
        <x:f>'SUPUESTOS PRECIOS'!$B$8</x:f>
        <x:v>0.00968</x:v>
      </x:c>
      <x:c r="X692" s="4" t="n">
        <x:f>'SUPUESTOS PRECIOS'!$B$2</x:f>
        <x:v>0.4</x:v>
      </x:c>
      <x:c r="Y692" s="3" t="str">
        <x:f t="shared" si="41"/>
      </x:c>
      <x:c r="Z692" s="3" t="str">
        <x:f t="shared" si="42"/>
      </x:c>
      <x:c r="AA692" s="11" t="str">
        <x:f t="shared" si="43"/>
      </x:c>
    </x:row>
    <x:row r="693">
      <x:c r="A693" s="10" t="s">
        <x:v>1816</x:v>
      </x:c>
      <x:c r="F693" t="s">
        <x:v>1358</x:v>
      </x:c>
      <x:c r="K693">
        <x:v>1</x:v>
      </x:c>
      <x:c r="L693" t="str">
        <x:f t="shared" si="40"/>
      </x:c>
      <x:c r="O693" t="s">
        <x:v>38</x:v>
      </x:c>
      <x:c r="T693" s="2" t="n">
        <x:f>'SUPUESTOS PRECIOS'!$B$9</x:f>
        <x:v>0</x:v>
      </x:c>
      <x:c r="U693" s="3" t="n">
        <x:f>'SUPUESTOS PRECIOS'!$B$5/'SUPUESTOS PRECIOS'!$B$4</x:f>
        <x:v>1000</x:v>
      </x:c>
      <x:c r="V693" s="3" t="n">
        <x:f>('SUPUESTOS PRECIOS'!$B$6-'SUPUESTOS PRECIOS'!$B$7)/'SUPUESTOS PRECIOS'!$B$4</x:f>
        <x:v>377.5</x:v>
      </x:c>
      <x:c r="W693" s="4" t="n">
        <x:f>'SUPUESTOS PRECIOS'!$B$8</x:f>
        <x:v>0.00968</x:v>
      </x:c>
      <x:c r="X693" s="4" t="n">
        <x:f>'SUPUESTOS PRECIOS'!$B$2</x:f>
        <x:v>0.4</x:v>
      </x:c>
      <x:c r="Y693" s="3" t="str">
        <x:f t="shared" si="41"/>
      </x:c>
      <x:c r="Z693" s="3" t="str">
        <x:f t="shared" si="42"/>
      </x:c>
      <x:c r="AA693" s="11" t="str">
        <x:f t="shared" si="43"/>
      </x:c>
    </x:row>
    <x:row r="694">
      <x:c r="A694" s="10" t="s">
        <x:v>1817</x:v>
      </x:c>
      <x:c r="F694" t="s">
        <x:v>1358</x:v>
      </x:c>
      <x:c r="K694">
        <x:v>1</x:v>
      </x:c>
      <x:c r="L694" t="str">
        <x:f t="shared" si="40"/>
      </x:c>
      <x:c r="O694" t="s">
        <x:v>38</x:v>
      </x:c>
      <x:c r="T694" s="2" t="n">
        <x:f>'SUPUESTOS PRECIOS'!$B$9</x:f>
        <x:v>0</x:v>
      </x:c>
      <x:c r="U694" s="3" t="n">
        <x:f>'SUPUESTOS PRECIOS'!$B$5/'SUPUESTOS PRECIOS'!$B$4</x:f>
        <x:v>1000</x:v>
      </x:c>
      <x:c r="V694" s="3" t="n">
        <x:f>('SUPUESTOS PRECIOS'!$B$6-'SUPUESTOS PRECIOS'!$B$7)/'SUPUESTOS PRECIOS'!$B$4</x:f>
        <x:v>377.5</x:v>
      </x:c>
      <x:c r="W694" s="4" t="n">
        <x:f>'SUPUESTOS PRECIOS'!$B$8</x:f>
        <x:v>0.00968</x:v>
      </x:c>
      <x:c r="X694" s="4" t="n">
        <x:f>'SUPUESTOS PRECIOS'!$B$2</x:f>
        <x:v>0.4</x:v>
      </x:c>
      <x:c r="Y694" s="3" t="str">
        <x:f t="shared" si="41"/>
      </x:c>
      <x:c r="Z694" s="3" t="str">
        <x:f t="shared" si="42"/>
      </x:c>
      <x:c r="AA694" s="11" t="str">
        <x:f t="shared" si="43"/>
      </x:c>
    </x:row>
    <x:row r="695">
      <x:c r="A695" s="10" t="s">
        <x:v>1818</x:v>
      </x:c>
      <x:c r="F695" t="s">
        <x:v>1358</x:v>
      </x:c>
      <x:c r="K695">
        <x:v>1</x:v>
      </x:c>
      <x:c r="L695" t="str">
        <x:f t="shared" si="40"/>
      </x:c>
      <x:c r="O695" t="s">
        <x:v>38</x:v>
      </x:c>
      <x:c r="T695" s="2" t="n">
        <x:f>'SUPUESTOS PRECIOS'!$B$9</x:f>
        <x:v>0</x:v>
      </x:c>
      <x:c r="U695" s="3" t="n">
        <x:f>'SUPUESTOS PRECIOS'!$B$5/'SUPUESTOS PRECIOS'!$B$4</x:f>
        <x:v>1000</x:v>
      </x:c>
      <x:c r="V695" s="3" t="n">
        <x:f>('SUPUESTOS PRECIOS'!$B$6-'SUPUESTOS PRECIOS'!$B$7)/'SUPUESTOS PRECIOS'!$B$4</x:f>
        <x:v>377.5</x:v>
      </x:c>
      <x:c r="W695" s="4" t="n">
        <x:f>'SUPUESTOS PRECIOS'!$B$8</x:f>
        <x:v>0.00968</x:v>
      </x:c>
      <x:c r="X695" s="4" t="n">
        <x:f>'SUPUESTOS PRECIOS'!$B$2</x:f>
        <x:v>0.4</x:v>
      </x:c>
      <x:c r="Y695" s="3" t="str">
        <x:f t="shared" si="41"/>
      </x:c>
      <x:c r="Z695" s="3" t="str">
        <x:f t="shared" si="42"/>
      </x:c>
      <x:c r="AA695" s="11" t="str">
        <x:f t="shared" si="43"/>
      </x:c>
    </x:row>
    <x:row r="696">
      <x:c r="A696" s="10" t="s">
        <x:v>1819</x:v>
      </x:c>
      <x:c r="F696" t="s">
        <x:v>1358</x:v>
      </x:c>
      <x:c r="K696">
        <x:v>1</x:v>
      </x:c>
      <x:c r="L696" t="str">
        <x:f t="shared" si="40"/>
      </x:c>
      <x:c r="O696" t="s">
        <x:v>38</x:v>
      </x:c>
      <x:c r="T696" s="2" t="n">
        <x:f>'SUPUESTOS PRECIOS'!$B$9</x:f>
        <x:v>0</x:v>
      </x:c>
      <x:c r="U696" s="3" t="n">
        <x:f>'SUPUESTOS PRECIOS'!$B$5/'SUPUESTOS PRECIOS'!$B$4</x:f>
        <x:v>1000</x:v>
      </x:c>
      <x:c r="V696" s="3" t="n">
        <x:f>('SUPUESTOS PRECIOS'!$B$6-'SUPUESTOS PRECIOS'!$B$7)/'SUPUESTOS PRECIOS'!$B$4</x:f>
        <x:v>377.5</x:v>
      </x:c>
      <x:c r="W696" s="4" t="n">
        <x:f>'SUPUESTOS PRECIOS'!$B$8</x:f>
        <x:v>0.00968</x:v>
      </x:c>
      <x:c r="X696" s="4" t="n">
        <x:f>'SUPUESTOS PRECIOS'!$B$2</x:f>
        <x:v>0.4</x:v>
      </x:c>
      <x:c r="Y696" s="3" t="str">
        <x:f t="shared" si="41"/>
      </x:c>
      <x:c r="Z696" s="3" t="str">
        <x:f t="shared" si="42"/>
      </x:c>
      <x:c r="AA696" s="11" t="str">
        <x:f t="shared" si="43"/>
      </x:c>
    </x:row>
    <x:row r="697">
      <x:c r="A697" s="10" t="s">
        <x:v>1820</x:v>
      </x:c>
      <x:c r="F697" t="s">
        <x:v>1358</x:v>
      </x:c>
      <x:c r="K697">
        <x:v>1</x:v>
      </x:c>
      <x:c r="L697" t="str">
        <x:f t="shared" si="40"/>
      </x:c>
      <x:c r="O697" t="s">
        <x:v>38</x:v>
      </x:c>
      <x:c r="T697" s="2" t="n">
        <x:f>'SUPUESTOS PRECIOS'!$B$9</x:f>
        <x:v>0</x:v>
      </x:c>
      <x:c r="U697" s="3" t="n">
        <x:f>'SUPUESTOS PRECIOS'!$B$5/'SUPUESTOS PRECIOS'!$B$4</x:f>
        <x:v>1000</x:v>
      </x:c>
      <x:c r="V697" s="3" t="n">
        <x:f>('SUPUESTOS PRECIOS'!$B$6-'SUPUESTOS PRECIOS'!$B$7)/'SUPUESTOS PRECIOS'!$B$4</x:f>
        <x:v>377.5</x:v>
      </x:c>
      <x:c r="W697" s="4" t="n">
        <x:f>'SUPUESTOS PRECIOS'!$B$8</x:f>
        <x:v>0.00968</x:v>
      </x:c>
      <x:c r="X697" s="4" t="n">
        <x:f>'SUPUESTOS PRECIOS'!$B$2</x:f>
        <x:v>0.4</x:v>
      </x:c>
      <x:c r="Y697" s="3" t="str">
        <x:f t="shared" si="41"/>
      </x:c>
      <x:c r="Z697" s="3" t="str">
        <x:f t="shared" si="42"/>
      </x:c>
      <x:c r="AA697" s="11" t="str">
        <x:f t="shared" si="43"/>
      </x:c>
    </x:row>
    <x:row r="698">
      <x:c r="A698" s="10" t="s">
        <x:v>1821</x:v>
      </x:c>
      <x:c r="F698" t="s">
        <x:v>1358</x:v>
      </x:c>
      <x:c r="K698">
        <x:v>1</x:v>
      </x:c>
      <x:c r="L698" t="str">
        <x:f t="shared" si="40"/>
      </x:c>
      <x:c r="O698" t="s">
        <x:v>38</x:v>
      </x:c>
      <x:c r="T698" s="2" t="n">
        <x:f>'SUPUESTOS PRECIOS'!$B$9</x:f>
        <x:v>0</x:v>
      </x:c>
      <x:c r="U698" s="3" t="n">
        <x:f>'SUPUESTOS PRECIOS'!$B$5/'SUPUESTOS PRECIOS'!$B$4</x:f>
        <x:v>1000</x:v>
      </x:c>
      <x:c r="V698" s="3" t="n">
        <x:f>('SUPUESTOS PRECIOS'!$B$6-'SUPUESTOS PRECIOS'!$B$7)/'SUPUESTOS PRECIOS'!$B$4</x:f>
        <x:v>377.5</x:v>
      </x:c>
      <x:c r="W698" s="4" t="n">
        <x:f>'SUPUESTOS PRECIOS'!$B$8</x:f>
        <x:v>0.00968</x:v>
      </x:c>
      <x:c r="X698" s="4" t="n">
        <x:f>'SUPUESTOS PRECIOS'!$B$2</x:f>
        <x:v>0.4</x:v>
      </x:c>
      <x:c r="Y698" s="3" t="str">
        <x:f t="shared" si="41"/>
      </x:c>
      <x:c r="Z698" s="3" t="str">
        <x:f t="shared" si="42"/>
      </x:c>
      <x:c r="AA698" s="11" t="str">
        <x:f t="shared" si="43"/>
      </x:c>
    </x:row>
    <x:row r="699">
      <x:c r="A699" s="10" t="s">
        <x:v>1822</x:v>
      </x:c>
      <x:c r="F699" t="s">
        <x:v>1358</x:v>
      </x:c>
      <x:c r="K699">
        <x:v>1</x:v>
      </x:c>
      <x:c r="L699" t="str">
        <x:f t="shared" si="40"/>
      </x:c>
      <x:c r="O699" t="s">
        <x:v>38</x:v>
      </x:c>
      <x:c r="T699" s="2" t="n">
        <x:f>'SUPUESTOS PRECIOS'!$B$9</x:f>
        <x:v>0</x:v>
      </x:c>
      <x:c r="U699" s="3" t="n">
        <x:f>'SUPUESTOS PRECIOS'!$B$5/'SUPUESTOS PRECIOS'!$B$4</x:f>
        <x:v>1000</x:v>
      </x:c>
      <x:c r="V699" s="3" t="n">
        <x:f>('SUPUESTOS PRECIOS'!$B$6-'SUPUESTOS PRECIOS'!$B$7)/'SUPUESTOS PRECIOS'!$B$4</x:f>
        <x:v>377.5</x:v>
      </x:c>
      <x:c r="W699" s="4" t="n">
        <x:f>'SUPUESTOS PRECIOS'!$B$8</x:f>
        <x:v>0.00968</x:v>
      </x:c>
      <x:c r="X699" s="4" t="n">
        <x:f>'SUPUESTOS PRECIOS'!$B$2</x:f>
        <x:v>0.4</x:v>
      </x:c>
      <x:c r="Y699" s="3" t="str">
        <x:f t="shared" si="41"/>
      </x:c>
      <x:c r="Z699" s="3" t="str">
        <x:f t="shared" si="42"/>
      </x:c>
      <x:c r="AA699" s="11" t="str">
        <x:f t="shared" si="43"/>
      </x:c>
    </x:row>
    <x:row r="700">
      <x:c r="A700" s="10" t="s">
        <x:v>1823</x:v>
      </x:c>
      <x:c r="F700" t="s">
        <x:v>1358</x:v>
      </x:c>
      <x:c r="K700">
        <x:v>1</x:v>
      </x:c>
      <x:c r="L700" t="str">
        <x:f t="shared" si="40"/>
      </x:c>
      <x:c r="O700" t="s">
        <x:v>38</x:v>
      </x:c>
      <x:c r="T700" s="2" t="n">
        <x:f>'SUPUESTOS PRECIOS'!$B$9</x:f>
        <x:v>0</x:v>
      </x:c>
      <x:c r="U700" s="3" t="n">
        <x:f>'SUPUESTOS PRECIOS'!$B$5/'SUPUESTOS PRECIOS'!$B$4</x:f>
        <x:v>1000</x:v>
      </x:c>
      <x:c r="V700" s="3" t="n">
        <x:f>('SUPUESTOS PRECIOS'!$B$6-'SUPUESTOS PRECIOS'!$B$7)/'SUPUESTOS PRECIOS'!$B$4</x:f>
        <x:v>377.5</x:v>
      </x:c>
      <x:c r="W700" s="4" t="n">
        <x:f>'SUPUESTOS PRECIOS'!$B$8</x:f>
        <x:v>0.00968</x:v>
      </x:c>
      <x:c r="X700" s="4" t="n">
        <x:f>'SUPUESTOS PRECIOS'!$B$2</x:f>
        <x:v>0.4</x:v>
      </x:c>
      <x:c r="Y700" s="3" t="str">
        <x:f t="shared" si="41"/>
      </x:c>
      <x:c r="Z700" s="3" t="str">
        <x:f t="shared" si="42"/>
      </x:c>
      <x:c r="AA700" s="11" t="str">
        <x:f t="shared" si="43"/>
      </x:c>
    </x:row>
    <x:row r="701">
      <x:c r="A701" s="10" t="s">
        <x:v>1824</x:v>
      </x:c>
      <x:c r="F701" t="s">
        <x:v>1358</x:v>
      </x:c>
      <x:c r="K701">
        <x:v>1</x:v>
      </x:c>
      <x:c r="L701" t="str">
        <x:f t="shared" si="40"/>
      </x:c>
      <x:c r="O701" t="s">
        <x:v>38</x:v>
      </x:c>
      <x:c r="T701" s="2" t="n">
        <x:f>'SUPUESTOS PRECIOS'!$B$9</x:f>
        <x:v>0</x:v>
      </x:c>
      <x:c r="U701" s="3" t="n">
        <x:f>'SUPUESTOS PRECIOS'!$B$5/'SUPUESTOS PRECIOS'!$B$4</x:f>
        <x:v>1000</x:v>
      </x:c>
      <x:c r="V701" s="3" t="n">
        <x:f>('SUPUESTOS PRECIOS'!$B$6-'SUPUESTOS PRECIOS'!$B$7)/'SUPUESTOS PRECIOS'!$B$4</x:f>
        <x:v>377.5</x:v>
      </x:c>
      <x:c r="W701" s="4" t="n">
        <x:f>'SUPUESTOS PRECIOS'!$B$8</x:f>
        <x:v>0.00968</x:v>
      </x:c>
      <x:c r="X701" s="4" t="n">
        <x:f>'SUPUESTOS PRECIOS'!$B$2</x:f>
        <x:v>0.4</x:v>
      </x:c>
      <x:c r="Y701" s="3" t="str">
        <x:f t="shared" si="41"/>
      </x:c>
      <x:c r="Z701" s="3" t="str">
        <x:f t="shared" si="42"/>
      </x:c>
      <x:c r="AA701" s="11" t="str">
        <x:f t="shared" si="43"/>
      </x:c>
    </x:row>
    <x:row r="702">
      <x:c r="A702" s="10" t="s">
        <x:v>1825</x:v>
      </x:c>
      <x:c r="F702" t="s">
        <x:v>1358</x:v>
      </x:c>
      <x:c r="K702">
        <x:v>1</x:v>
      </x:c>
      <x:c r="L702" t="str">
        <x:f t="shared" si="40"/>
      </x:c>
      <x:c r="O702" t="s">
        <x:v>38</x:v>
      </x:c>
      <x:c r="T702" s="2" t="n">
        <x:f>'SUPUESTOS PRECIOS'!$B$9</x:f>
        <x:v>0</x:v>
      </x:c>
      <x:c r="U702" s="3" t="n">
        <x:f>'SUPUESTOS PRECIOS'!$B$5/'SUPUESTOS PRECIOS'!$B$4</x:f>
        <x:v>1000</x:v>
      </x:c>
      <x:c r="V702" s="3" t="n">
        <x:f>('SUPUESTOS PRECIOS'!$B$6-'SUPUESTOS PRECIOS'!$B$7)/'SUPUESTOS PRECIOS'!$B$4</x:f>
        <x:v>377.5</x:v>
      </x:c>
      <x:c r="W702" s="4" t="n">
        <x:f>'SUPUESTOS PRECIOS'!$B$8</x:f>
        <x:v>0.00968</x:v>
      </x:c>
      <x:c r="X702" s="4" t="n">
        <x:f>'SUPUESTOS PRECIOS'!$B$2</x:f>
        <x:v>0.4</x:v>
      </x:c>
      <x:c r="Y702" s="3" t="str">
        <x:f t="shared" si="41"/>
      </x:c>
      <x:c r="Z702" s="3" t="str">
        <x:f t="shared" si="42"/>
      </x:c>
      <x:c r="AA702" s="11" t="str">
        <x:f t="shared" si="43"/>
      </x:c>
    </x:row>
    <x:row r="703">
      <x:c r="A703" s="10" t="s">
        <x:v>1826</x:v>
      </x:c>
      <x:c r="F703" t="s">
        <x:v>1358</x:v>
      </x:c>
      <x:c r="K703">
        <x:v>1</x:v>
      </x:c>
      <x:c r="L703" t="str">
        <x:f t="shared" si="40"/>
      </x:c>
      <x:c r="O703" t="s">
        <x:v>38</x:v>
      </x:c>
      <x:c r="T703" s="2" t="n">
        <x:f>'SUPUESTOS PRECIOS'!$B$9</x:f>
        <x:v>0</x:v>
      </x:c>
      <x:c r="U703" s="3" t="n">
        <x:f>'SUPUESTOS PRECIOS'!$B$5/'SUPUESTOS PRECIOS'!$B$4</x:f>
        <x:v>1000</x:v>
      </x:c>
      <x:c r="V703" s="3" t="n">
        <x:f>('SUPUESTOS PRECIOS'!$B$6-'SUPUESTOS PRECIOS'!$B$7)/'SUPUESTOS PRECIOS'!$B$4</x:f>
        <x:v>377.5</x:v>
      </x:c>
      <x:c r="W703" s="4" t="n">
        <x:f>'SUPUESTOS PRECIOS'!$B$8</x:f>
        <x:v>0.00968</x:v>
      </x:c>
      <x:c r="X703" s="4" t="n">
        <x:f>'SUPUESTOS PRECIOS'!$B$2</x:f>
        <x:v>0.4</x:v>
      </x:c>
      <x:c r="Y703" s="3" t="str">
        <x:f t="shared" si="41"/>
      </x:c>
      <x:c r="Z703" s="3" t="str">
        <x:f t="shared" si="42"/>
      </x:c>
      <x:c r="AA703" s="11" t="str">
        <x:f t="shared" si="43"/>
      </x:c>
    </x:row>
    <x:row r="704">
      <x:c r="A704" s="10" t="s">
        <x:v>1827</x:v>
      </x:c>
      <x:c r="F704" t="s">
        <x:v>1358</x:v>
      </x:c>
      <x:c r="K704">
        <x:v>1</x:v>
      </x:c>
      <x:c r="L704" t="str">
        <x:f t="shared" si="40"/>
      </x:c>
      <x:c r="O704" t="s">
        <x:v>38</x:v>
      </x:c>
      <x:c r="T704" s="2" t="n">
        <x:f>'SUPUESTOS PRECIOS'!$B$9</x:f>
        <x:v>0</x:v>
      </x:c>
      <x:c r="U704" s="3" t="n">
        <x:f>'SUPUESTOS PRECIOS'!$B$5/'SUPUESTOS PRECIOS'!$B$4</x:f>
        <x:v>1000</x:v>
      </x:c>
      <x:c r="V704" s="3" t="n">
        <x:f>('SUPUESTOS PRECIOS'!$B$6-'SUPUESTOS PRECIOS'!$B$7)/'SUPUESTOS PRECIOS'!$B$4</x:f>
        <x:v>377.5</x:v>
      </x:c>
      <x:c r="W704" s="4" t="n">
        <x:f>'SUPUESTOS PRECIOS'!$B$8</x:f>
        <x:v>0.00968</x:v>
      </x:c>
      <x:c r="X704" s="4" t="n">
        <x:f>'SUPUESTOS PRECIOS'!$B$2</x:f>
        <x:v>0.4</x:v>
      </x:c>
      <x:c r="Y704" s="3" t="str">
        <x:f t="shared" si="41"/>
      </x:c>
      <x:c r="Z704" s="3" t="str">
        <x:f t="shared" si="42"/>
      </x:c>
      <x:c r="AA704" s="11" t="str">
        <x:f t="shared" si="43"/>
      </x:c>
    </x:row>
    <x:row r="705">
      <x:c r="A705" s="10" t="s">
        <x:v>1828</x:v>
      </x:c>
      <x:c r="F705" t="s">
        <x:v>1358</x:v>
      </x:c>
      <x:c r="K705">
        <x:v>1</x:v>
      </x:c>
      <x:c r="L705" t="str">
        <x:f t="shared" si="40"/>
      </x:c>
      <x:c r="O705" t="s">
        <x:v>38</x:v>
      </x:c>
      <x:c r="T705" s="2" t="n">
        <x:f>'SUPUESTOS PRECIOS'!$B$9</x:f>
        <x:v>0</x:v>
      </x:c>
      <x:c r="U705" s="3" t="n">
        <x:f>'SUPUESTOS PRECIOS'!$B$5/'SUPUESTOS PRECIOS'!$B$4</x:f>
        <x:v>1000</x:v>
      </x:c>
      <x:c r="V705" s="3" t="n">
        <x:f>('SUPUESTOS PRECIOS'!$B$6-'SUPUESTOS PRECIOS'!$B$7)/'SUPUESTOS PRECIOS'!$B$4</x:f>
        <x:v>377.5</x:v>
      </x:c>
      <x:c r="W705" s="4" t="n">
        <x:f>'SUPUESTOS PRECIOS'!$B$8</x:f>
        <x:v>0.00968</x:v>
      </x:c>
      <x:c r="X705" s="4" t="n">
        <x:f>'SUPUESTOS PRECIOS'!$B$2</x:f>
        <x:v>0.4</x:v>
      </x:c>
      <x:c r="Y705" s="3" t="str">
        <x:f t="shared" si="41"/>
      </x:c>
      <x:c r="Z705" s="3" t="str">
        <x:f t="shared" si="42"/>
      </x:c>
      <x:c r="AA705" s="11" t="str">
        <x:f t="shared" si="43"/>
      </x:c>
    </x:row>
    <x:row r="706">
      <x:c r="A706" s="10" t="s">
        <x:v>1829</x:v>
      </x:c>
      <x:c r="F706" t="s">
        <x:v>1358</x:v>
      </x:c>
      <x:c r="K706">
        <x:v>1</x:v>
      </x:c>
      <x:c r="L706" t="str">
        <x:f t="shared" ref="L706:L769" si="44">IF(J706="","",J706*(1+K706))</x:f>
      </x:c>
      <x:c r="O706" t="s">
        <x:v>38</x:v>
      </x:c>
      <x:c r="T706" s="2" t="n">
        <x:f>'SUPUESTOS PRECIOS'!$B$9</x:f>
        <x:v>0</x:v>
      </x:c>
      <x:c r="U706" s="3" t="n">
        <x:f>'SUPUESTOS PRECIOS'!$B$5/'SUPUESTOS PRECIOS'!$B$4</x:f>
        <x:v>1000</x:v>
      </x:c>
      <x:c r="V706" s="3" t="n">
        <x:f>('SUPUESTOS PRECIOS'!$B$6-'SUPUESTOS PRECIOS'!$B$7)/'SUPUESTOS PRECIOS'!$B$4</x:f>
        <x:v>377.5</x:v>
      </x:c>
      <x:c r="W706" s="4" t="n">
        <x:f>'SUPUESTOS PRECIOS'!$B$8</x:f>
        <x:v>0.00968</x:v>
      </x:c>
      <x:c r="X706" s="4" t="n">
        <x:f>'SUPUESTOS PRECIOS'!$B$2</x:f>
        <x:v>0.4</x:v>
      </x:c>
      <x:c r="Y706" s="3" t="str">
        <x:f t="shared" ref="Y706:Y769" si="45">IF(OR($B706="",$J706=""),"",ROUND(($J706+$T706+$U706+$V706)/(1-$W706-$X706),-1))</x:f>
      </x:c>
      <x:c r="Z706" s="3" t="str">
        <x:f t="shared" ref="Z706:Z769" si="46">IF($Y706="","",$Y706-$J706-$T706-$U706-$V706-($Y706*$W706))</x:f>
      </x:c>
      <x:c r="AA706" s="11" t="str">
        <x:f t="shared" ref="AA706:AA769" si="47">IF($Y706="","",$Z706/$Y706)</x:f>
      </x:c>
    </x:row>
    <x:row r="707">
      <x:c r="A707" s="10" t="s">
        <x:v>1830</x:v>
      </x:c>
      <x:c r="F707" t="s">
        <x:v>1358</x:v>
      </x:c>
      <x:c r="K707">
        <x:v>1</x:v>
      </x:c>
      <x:c r="L707" t="str">
        <x:f t="shared" si="44"/>
      </x:c>
      <x:c r="O707" t="s">
        <x:v>38</x:v>
      </x:c>
      <x:c r="T707" s="2" t="n">
        <x:f>'SUPUESTOS PRECIOS'!$B$9</x:f>
        <x:v>0</x:v>
      </x:c>
      <x:c r="U707" s="3" t="n">
        <x:f>'SUPUESTOS PRECIOS'!$B$5/'SUPUESTOS PRECIOS'!$B$4</x:f>
        <x:v>1000</x:v>
      </x:c>
      <x:c r="V707" s="3" t="n">
        <x:f>('SUPUESTOS PRECIOS'!$B$6-'SUPUESTOS PRECIOS'!$B$7)/'SUPUESTOS PRECIOS'!$B$4</x:f>
        <x:v>377.5</x:v>
      </x:c>
      <x:c r="W707" s="4" t="n">
        <x:f>'SUPUESTOS PRECIOS'!$B$8</x:f>
        <x:v>0.00968</x:v>
      </x:c>
      <x:c r="X707" s="4" t="n">
        <x:f>'SUPUESTOS PRECIOS'!$B$2</x:f>
        <x:v>0.4</x:v>
      </x:c>
      <x:c r="Y707" s="3" t="str">
        <x:f t="shared" si="45"/>
      </x:c>
      <x:c r="Z707" s="3" t="str">
        <x:f t="shared" si="46"/>
      </x:c>
      <x:c r="AA707" s="11" t="str">
        <x:f t="shared" si="47"/>
      </x:c>
    </x:row>
    <x:row r="708">
      <x:c r="A708" s="10" t="s">
        <x:v>1831</x:v>
      </x:c>
      <x:c r="F708" t="s">
        <x:v>1358</x:v>
      </x:c>
      <x:c r="K708">
        <x:v>1</x:v>
      </x:c>
      <x:c r="L708" t="str">
        <x:f t="shared" si="44"/>
      </x:c>
      <x:c r="O708" t="s">
        <x:v>38</x:v>
      </x:c>
      <x:c r="T708" s="2" t="n">
        <x:f>'SUPUESTOS PRECIOS'!$B$9</x:f>
        <x:v>0</x:v>
      </x:c>
      <x:c r="U708" s="3" t="n">
        <x:f>'SUPUESTOS PRECIOS'!$B$5/'SUPUESTOS PRECIOS'!$B$4</x:f>
        <x:v>1000</x:v>
      </x:c>
      <x:c r="V708" s="3" t="n">
        <x:f>('SUPUESTOS PRECIOS'!$B$6-'SUPUESTOS PRECIOS'!$B$7)/'SUPUESTOS PRECIOS'!$B$4</x:f>
        <x:v>377.5</x:v>
      </x:c>
      <x:c r="W708" s="4" t="n">
        <x:f>'SUPUESTOS PRECIOS'!$B$8</x:f>
        <x:v>0.00968</x:v>
      </x:c>
      <x:c r="X708" s="4" t="n">
        <x:f>'SUPUESTOS PRECIOS'!$B$2</x:f>
        <x:v>0.4</x:v>
      </x:c>
      <x:c r="Y708" s="3" t="str">
        <x:f t="shared" si="45"/>
      </x:c>
      <x:c r="Z708" s="3" t="str">
        <x:f t="shared" si="46"/>
      </x:c>
      <x:c r="AA708" s="11" t="str">
        <x:f t="shared" si="47"/>
      </x:c>
    </x:row>
    <x:row r="709">
      <x:c r="A709" s="10" t="s">
        <x:v>1832</x:v>
      </x:c>
      <x:c r="F709" t="s">
        <x:v>1358</x:v>
      </x:c>
      <x:c r="K709">
        <x:v>1</x:v>
      </x:c>
      <x:c r="L709" t="str">
        <x:f t="shared" si="44"/>
      </x:c>
      <x:c r="O709" t="s">
        <x:v>38</x:v>
      </x:c>
      <x:c r="T709" s="2" t="n">
        <x:f>'SUPUESTOS PRECIOS'!$B$9</x:f>
        <x:v>0</x:v>
      </x:c>
      <x:c r="U709" s="3" t="n">
        <x:f>'SUPUESTOS PRECIOS'!$B$5/'SUPUESTOS PRECIOS'!$B$4</x:f>
        <x:v>1000</x:v>
      </x:c>
      <x:c r="V709" s="3" t="n">
        <x:f>('SUPUESTOS PRECIOS'!$B$6-'SUPUESTOS PRECIOS'!$B$7)/'SUPUESTOS PRECIOS'!$B$4</x:f>
        <x:v>377.5</x:v>
      </x:c>
      <x:c r="W709" s="4" t="n">
        <x:f>'SUPUESTOS PRECIOS'!$B$8</x:f>
        <x:v>0.00968</x:v>
      </x:c>
      <x:c r="X709" s="4" t="n">
        <x:f>'SUPUESTOS PRECIOS'!$B$2</x:f>
        <x:v>0.4</x:v>
      </x:c>
      <x:c r="Y709" s="3" t="str">
        <x:f t="shared" si="45"/>
      </x:c>
      <x:c r="Z709" s="3" t="str">
        <x:f t="shared" si="46"/>
      </x:c>
      <x:c r="AA709" s="11" t="str">
        <x:f t="shared" si="47"/>
      </x:c>
    </x:row>
    <x:row r="710">
      <x:c r="A710" s="10" t="s">
        <x:v>1833</x:v>
      </x:c>
      <x:c r="F710" t="s">
        <x:v>1358</x:v>
      </x:c>
      <x:c r="K710">
        <x:v>1</x:v>
      </x:c>
      <x:c r="L710" t="str">
        <x:f t="shared" si="44"/>
      </x:c>
      <x:c r="O710" t="s">
        <x:v>38</x:v>
      </x:c>
      <x:c r="T710" s="2" t="n">
        <x:f>'SUPUESTOS PRECIOS'!$B$9</x:f>
        <x:v>0</x:v>
      </x:c>
      <x:c r="U710" s="3" t="n">
        <x:f>'SUPUESTOS PRECIOS'!$B$5/'SUPUESTOS PRECIOS'!$B$4</x:f>
        <x:v>1000</x:v>
      </x:c>
      <x:c r="V710" s="3" t="n">
        <x:f>('SUPUESTOS PRECIOS'!$B$6-'SUPUESTOS PRECIOS'!$B$7)/'SUPUESTOS PRECIOS'!$B$4</x:f>
        <x:v>377.5</x:v>
      </x:c>
      <x:c r="W710" s="4" t="n">
        <x:f>'SUPUESTOS PRECIOS'!$B$8</x:f>
        <x:v>0.00968</x:v>
      </x:c>
      <x:c r="X710" s="4" t="n">
        <x:f>'SUPUESTOS PRECIOS'!$B$2</x:f>
        <x:v>0.4</x:v>
      </x:c>
      <x:c r="Y710" s="3" t="str">
        <x:f t="shared" si="45"/>
      </x:c>
      <x:c r="Z710" s="3" t="str">
        <x:f t="shared" si="46"/>
      </x:c>
      <x:c r="AA710" s="11" t="str">
        <x:f t="shared" si="47"/>
      </x:c>
    </x:row>
    <x:row r="711">
      <x:c r="A711" s="10" t="s">
        <x:v>1834</x:v>
      </x:c>
      <x:c r="F711" t="s">
        <x:v>1358</x:v>
      </x:c>
      <x:c r="K711">
        <x:v>1</x:v>
      </x:c>
      <x:c r="L711" t="str">
        <x:f t="shared" si="44"/>
      </x:c>
      <x:c r="O711" t="s">
        <x:v>38</x:v>
      </x:c>
      <x:c r="T711" s="2" t="n">
        <x:f>'SUPUESTOS PRECIOS'!$B$9</x:f>
        <x:v>0</x:v>
      </x:c>
      <x:c r="U711" s="3" t="n">
        <x:f>'SUPUESTOS PRECIOS'!$B$5/'SUPUESTOS PRECIOS'!$B$4</x:f>
        <x:v>1000</x:v>
      </x:c>
      <x:c r="V711" s="3" t="n">
        <x:f>('SUPUESTOS PRECIOS'!$B$6-'SUPUESTOS PRECIOS'!$B$7)/'SUPUESTOS PRECIOS'!$B$4</x:f>
        <x:v>377.5</x:v>
      </x:c>
      <x:c r="W711" s="4" t="n">
        <x:f>'SUPUESTOS PRECIOS'!$B$8</x:f>
        <x:v>0.00968</x:v>
      </x:c>
      <x:c r="X711" s="4" t="n">
        <x:f>'SUPUESTOS PRECIOS'!$B$2</x:f>
        <x:v>0.4</x:v>
      </x:c>
      <x:c r="Y711" s="3" t="str">
        <x:f t="shared" si="45"/>
      </x:c>
      <x:c r="Z711" s="3" t="str">
        <x:f t="shared" si="46"/>
      </x:c>
      <x:c r="AA711" s="11" t="str">
        <x:f t="shared" si="47"/>
      </x:c>
    </x:row>
    <x:row r="712">
      <x:c r="A712" s="10" t="s">
        <x:v>1835</x:v>
      </x:c>
      <x:c r="F712" t="s">
        <x:v>1358</x:v>
      </x:c>
      <x:c r="K712">
        <x:v>1</x:v>
      </x:c>
      <x:c r="L712" t="str">
        <x:f t="shared" si="44"/>
      </x:c>
      <x:c r="O712" t="s">
        <x:v>38</x:v>
      </x:c>
      <x:c r="T712" s="2" t="n">
        <x:f>'SUPUESTOS PRECIOS'!$B$9</x:f>
        <x:v>0</x:v>
      </x:c>
      <x:c r="U712" s="3" t="n">
        <x:f>'SUPUESTOS PRECIOS'!$B$5/'SUPUESTOS PRECIOS'!$B$4</x:f>
        <x:v>1000</x:v>
      </x:c>
      <x:c r="V712" s="3" t="n">
        <x:f>('SUPUESTOS PRECIOS'!$B$6-'SUPUESTOS PRECIOS'!$B$7)/'SUPUESTOS PRECIOS'!$B$4</x:f>
        <x:v>377.5</x:v>
      </x:c>
      <x:c r="W712" s="4" t="n">
        <x:f>'SUPUESTOS PRECIOS'!$B$8</x:f>
        <x:v>0.00968</x:v>
      </x:c>
      <x:c r="X712" s="4" t="n">
        <x:f>'SUPUESTOS PRECIOS'!$B$2</x:f>
        <x:v>0.4</x:v>
      </x:c>
      <x:c r="Y712" s="3" t="str">
        <x:f t="shared" si="45"/>
      </x:c>
      <x:c r="Z712" s="3" t="str">
        <x:f t="shared" si="46"/>
      </x:c>
      <x:c r="AA712" s="11" t="str">
        <x:f t="shared" si="47"/>
      </x:c>
    </x:row>
    <x:row r="713">
      <x:c r="A713" s="10" t="s">
        <x:v>1836</x:v>
      </x:c>
      <x:c r="F713" t="s">
        <x:v>1358</x:v>
      </x:c>
      <x:c r="K713">
        <x:v>1</x:v>
      </x:c>
      <x:c r="L713" t="str">
        <x:f t="shared" si="44"/>
      </x:c>
      <x:c r="O713" t="s">
        <x:v>38</x:v>
      </x:c>
      <x:c r="T713" s="2" t="n">
        <x:f>'SUPUESTOS PRECIOS'!$B$9</x:f>
        <x:v>0</x:v>
      </x:c>
      <x:c r="U713" s="3" t="n">
        <x:f>'SUPUESTOS PRECIOS'!$B$5/'SUPUESTOS PRECIOS'!$B$4</x:f>
        <x:v>1000</x:v>
      </x:c>
      <x:c r="V713" s="3" t="n">
        <x:f>('SUPUESTOS PRECIOS'!$B$6-'SUPUESTOS PRECIOS'!$B$7)/'SUPUESTOS PRECIOS'!$B$4</x:f>
        <x:v>377.5</x:v>
      </x:c>
      <x:c r="W713" s="4" t="n">
        <x:f>'SUPUESTOS PRECIOS'!$B$8</x:f>
        <x:v>0.00968</x:v>
      </x:c>
      <x:c r="X713" s="4" t="n">
        <x:f>'SUPUESTOS PRECIOS'!$B$2</x:f>
        <x:v>0.4</x:v>
      </x:c>
      <x:c r="Y713" s="3" t="str">
        <x:f t="shared" si="45"/>
      </x:c>
      <x:c r="Z713" s="3" t="str">
        <x:f t="shared" si="46"/>
      </x:c>
      <x:c r="AA713" s="11" t="str">
        <x:f t="shared" si="47"/>
      </x:c>
    </x:row>
    <x:row r="714">
      <x:c r="A714" s="10" t="s">
        <x:v>1837</x:v>
      </x:c>
      <x:c r="F714" t="s">
        <x:v>1358</x:v>
      </x:c>
      <x:c r="K714">
        <x:v>1</x:v>
      </x:c>
      <x:c r="L714" t="str">
        <x:f t="shared" si="44"/>
      </x:c>
      <x:c r="O714" t="s">
        <x:v>38</x:v>
      </x:c>
      <x:c r="T714" s="2" t="n">
        <x:f>'SUPUESTOS PRECIOS'!$B$9</x:f>
        <x:v>0</x:v>
      </x:c>
      <x:c r="U714" s="3" t="n">
        <x:f>'SUPUESTOS PRECIOS'!$B$5/'SUPUESTOS PRECIOS'!$B$4</x:f>
        <x:v>1000</x:v>
      </x:c>
      <x:c r="V714" s="3" t="n">
        <x:f>('SUPUESTOS PRECIOS'!$B$6-'SUPUESTOS PRECIOS'!$B$7)/'SUPUESTOS PRECIOS'!$B$4</x:f>
        <x:v>377.5</x:v>
      </x:c>
      <x:c r="W714" s="4" t="n">
        <x:f>'SUPUESTOS PRECIOS'!$B$8</x:f>
        <x:v>0.00968</x:v>
      </x:c>
      <x:c r="X714" s="4" t="n">
        <x:f>'SUPUESTOS PRECIOS'!$B$2</x:f>
        <x:v>0.4</x:v>
      </x:c>
      <x:c r="Y714" s="3" t="str">
        <x:f t="shared" si="45"/>
      </x:c>
      <x:c r="Z714" s="3" t="str">
        <x:f t="shared" si="46"/>
      </x:c>
      <x:c r="AA714" s="11" t="str">
        <x:f t="shared" si="47"/>
      </x:c>
    </x:row>
    <x:row r="715">
      <x:c r="A715" s="10" t="s">
        <x:v>1838</x:v>
      </x:c>
      <x:c r="F715" t="s">
        <x:v>1358</x:v>
      </x:c>
      <x:c r="K715">
        <x:v>1</x:v>
      </x:c>
      <x:c r="L715" t="str">
        <x:f t="shared" si="44"/>
      </x:c>
      <x:c r="O715" t="s">
        <x:v>38</x:v>
      </x:c>
      <x:c r="T715" s="2" t="n">
        <x:f>'SUPUESTOS PRECIOS'!$B$9</x:f>
        <x:v>0</x:v>
      </x:c>
      <x:c r="U715" s="3" t="n">
        <x:f>'SUPUESTOS PRECIOS'!$B$5/'SUPUESTOS PRECIOS'!$B$4</x:f>
        <x:v>1000</x:v>
      </x:c>
      <x:c r="V715" s="3" t="n">
        <x:f>('SUPUESTOS PRECIOS'!$B$6-'SUPUESTOS PRECIOS'!$B$7)/'SUPUESTOS PRECIOS'!$B$4</x:f>
        <x:v>377.5</x:v>
      </x:c>
      <x:c r="W715" s="4" t="n">
        <x:f>'SUPUESTOS PRECIOS'!$B$8</x:f>
        <x:v>0.00968</x:v>
      </x:c>
      <x:c r="X715" s="4" t="n">
        <x:f>'SUPUESTOS PRECIOS'!$B$2</x:f>
        <x:v>0.4</x:v>
      </x:c>
      <x:c r="Y715" s="3" t="str">
        <x:f t="shared" si="45"/>
      </x:c>
      <x:c r="Z715" s="3" t="str">
        <x:f t="shared" si="46"/>
      </x:c>
      <x:c r="AA715" s="11" t="str">
        <x:f t="shared" si="47"/>
      </x:c>
    </x:row>
    <x:row r="716">
      <x:c r="A716" s="10" t="s">
        <x:v>1839</x:v>
      </x:c>
      <x:c r="F716" t="s">
        <x:v>1358</x:v>
      </x:c>
      <x:c r="K716">
        <x:v>1</x:v>
      </x:c>
      <x:c r="L716" t="str">
        <x:f t="shared" si="44"/>
      </x:c>
      <x:c r="O716" t="s">
        <x:v>38</x:v>
      </x:c>
      <x:c r="T716" s="2" t="n">
        <x:f>'SUPUESTOS PRECIOS'!$B$9</x:f>
        <x:v>0</x:v>
      </x:c>
      <x:c r="U716" s="3" t="n">
        <x:f>'SUPUESTOS PRECIOS'!$B$5/'SUPUESTOS PRECIOS'!$B$4</x:f>
        <x:v>1000</x:v>
      </x:c>
      <x:c r="V716" s="3" t="n">
        <x:f>('SUPUESTOS PRECIOS'!$B$6-'SUPUESTOS PRECIOS'!$B$7)/'SUPUESTOS PRECIOS'!$B$4</x:f>
        <x:v>377.5</x:v>
      </x:c>
      <x:c r="W716" s="4" t="n">
        <x:f>'SUPUESTOS PRECIOS'!$B$8</x:f>
        <x:v>0.00968</x:v>
      </x:c>
      <x:c r="X716" s="4" t="n">
        <x:f>'SUPUESTOS PRECIOS'!$B$2</x:f>
        <x:v>0.4</x:v>
      </x:c>
      <x:c r="Y716" s="3" t="str">
        <x:f t="shared" si="45"/>
      </x:c>
      <x:c r="Z716" s="3" t="str">
        <x:f t="shared" si="46"/>
      </x:c>
      <x:c r="AA716" s="11" t="str">
        <x:f t="shared" si="47"/>
      </x:c>
    </x:row>
    <x:row r="717">
      <x:c r="A717" s="10" t="s">
        <x:v>1840</x:v>
      </x:c>
      <x:c r="F717" t="s">
        <x:v>1358</x:v>
      </x:c>
      <x:c r="K717">
        <x:v>1</x:v>
      </x:c>
      <x:c r="L717" t="str">
        <x:f t="shared" si="44"/>
      </x:c>
      <x:c r="O717" t="s">
        <x:v>38</x:v>
      </x:c>
      <x:c r="T717" s="2" t="n">
        <x:f>'SUPUESTOS PRECIOS'!$B$9</x:f>
        <x:v>0</x:v>
      </x:c>
      <x:c r="U717" s="3" t="n">
        <x:f>'SUPUESTOS PRECIOS'!$B$5/'SUPUESTOS PRECIOS'!$B$4</x:f>
        <x:v>1000</x:v>
      </x:c>
      <x:c r="V717" s="3" t="n">
        <x:f>('SUPUESTOS PRECIOS'!$B$6-'SUPUESTOS PRECIOS'!$B$7)/'SUPUESTOS PRECIOS'!$B$4</x:f>
        <x:v>377.5</x:v>
      </x:c>
      <x:c r="W717" s="4" t="n">
        <x:f>'SUPUESTOS PRECIOS'!$B$8</x:f>
        <x:v>0.00968</x:v>
      </x:c>
      <x:c r="X717" s="4" t="n">
        <x:f>'SUPUESTOS PRECIOS'!$B$2</x:f>
        <x:v>0.4</x:v>
      </x:c>
      <x:c r="Y717" s="3" t="str">
        <x:f t="shared" si="45"/>
      </x:c>
      <x:c r="Z717" s="3" t="str">
        <x:f t="shared" si="46"/>
      </x:c>
      <x:c r="AA717" s="11" t="str">
        <x:f t="shared" si="47"/>
      </x:c>
    </x:row>
    <x:row r="718">
      <x:c r="A718" s="10" t="s">
        <x:v>1841</x:v>
      </x:c>
      <x:c r="F718" t="s">
        <x:v>1358</x:v>
      </x:c>
      <x:c r="K718">
        <x:v>1</x:v>
      </x:c>
      <x:c r="L718" t="str">
        <x:f t="shared" si="44"/>
      </x:c>
      <x:c r="O718" t="s">
        <x:v>38</x:v>
      </x:c>
      <x:c r="T718" s="2" t="n">
        <x:f>'SUPUESTOS PRECIOS'!$B$9</x:f>
        <x:v>0</x:v>
      </x:c>
      <x:c r="U718" s="3" t="n">
        <x:f>'SUPUESTOS PRECIOS'!$B$5/'SUPUESTOS PRECIOS'!$B$4</x:f>
        <x:v>1000</x:v>
      </x:c>
      <x:c r="V718" s="3" t="n">
        <x:f>('SUPUESTOS PRECIOS'!$B$6-'SUPUESTOS PRECIOS'!$B$7)/'SUPUESTOS PRECIOS'!$B$4</x:f>
        <x:v>377.5</x:v>
      </x:c>
      <x:c r="W718" s="4" t="n">
        <x:f>'SUPUESTOS PRECIOS'!$B$8</x:f>
        <x:v>0.00968</x:v>
      </x:c>
      <x:c r="X718" s="4" t="n">
        <x:f>'SUPUESTOS PRECIOS'!$B$2</x:f>
        <x:v>0.4</x:v>
      </x:c>
      <x:c r="Y718" s="3" t="str">
        <x:f t="shared" si="45"/>
      </x:c>
      <x:c r="Z718" s="3" t="str">
        <x:f t="shared" si="46"/>
      </x:c>
      <x:c r="AA718" s="11" t="str">
        <x:f t="shared" si="47"/>
      </x:c>
    </x:row>
    <x:row r="719">
      <x:c r="A719" s="10" t="s">
        <x:v>1842</x:v>
      </x:c>
      <x:c r="F719" t="s">
        <x:v>1358</x:v>
      </x:c>
      <x:c r="K719">
        <x:v>1</x:v>
      </x:c>
      <x:c r="L719" t="str">
        <x:f t="shared" si="44"/>
      </x:c>
      <x:c r="O719" t="s">
        <x:v>38</x:v>
      </x:c>
      <x:c r="T719" s="2" t="n">
        <x:f>'SUPUESTOS PRECIOS'!$B$9</x:f>
        <x:v>0</x:v>
      </x:c>
      <x:c r="U719" s="3" t="n">
        <x:f>'SUPUESTOS PRECIOS'!$B$5/'SUPUESTOS PRECIOS'!$B$4</x:f>
        <x:v>1000</x:v>
      </x:c>
      <x:c r="V719" s="3" t="n">
        <x:f>('SUPUESTOS PRECIOS'!$B$6-'SUPUESTOS PRECIOS'!$B$7)/'SUPUESTOS PRECIOS'!$B$4</x:f>
        <x:v>377.5</x:v>
      </x:c>
      <x:c r="W719" s="4" t="n">
        <x:f>'SUPUESTOS PRECIOS'!$B$8</x:f>
        <x:v>0.00968</x:v>
      </x:c>
      <x:c r="X719" s="4" t="n">
        <x:f>'SUPUESTOS PRECIOS'!$B$2</x:f>
        <x:v>0.4</x:v>
      </x:c>
      <x:c r="Y719" s="3" t="str">
        <x:f t="shared" si="45"/>
      </x:c>
      <x:c r="Z719" s="3" t="str">
        <x:f t="shared" si="46"/>
      </x:c>
      <x:c r="AA719" s="11" t="str">
        <x:f t="shared" si="47"/>
      </x:c>
    </x:row>
    <x:row r="720">
      <x:c r="A720" s="10" t="s">
        <x:v>1843</x:v>
      </x:c>
      <x:c r="F720" t="s">
        <x:v>1358</x:v>
      </x:c>
      <x:c r="K720">
        <x:v>1</x:v>
      </x:c>
      <x:c r="L720" t="str">
        <x:f t="shared" si="44"/>
      </x:c>
      <x:c r="O720" t="s">
        <x:v>38</x:v>
      </x:c>
      <x:c r="T720" s="2" t="n">
        <x:f>'SUPUESTOS PRECIOS'!$B$9</x:f>
        <x:v>0</x:v>
      </x:c>
      <x:c r="U720" s="3" t="n">
        <x:f>'SUPUESTOS PRECIOS'!$B$5/'SUPUESTOS PRECIOS'!$B$4</x:f>
        <x:v>1000</x:v>
      </x:c>
      <x:c r="V720" s="3" t="n">
        <x:f>('SUPUESTOS PRECIOS'!$B$6-'SUPUESTOS PRECIOS'!$B$7)/'SUPUESTOS PRECIOS'!$B$4</x:f>
        <x:v>377.5</x:v>
      </x:c>
      <x:c r="W720" s="4" t="n">
        <x:f>'SUPUESTOS PRECIOS'!$B$8</x:f>
        <x:v>0.00968</x:v>
      </x:c>
      <x:c r="X720" s="4" t="n">
        <x:f>'SUPUESTOS PRECIOS'!$B$2</x:f>
        <x:v>0.4</x:v>
      </x:c>
      <x:c r="Y720" s="3" t="str">
        <x:f t="shared" si="45"/>
      </x:c>
      <x:c r="Z720" s="3" t="str">
        <x:f t="shared" si="46"/>
      </x:c>
      <x:c r="AA720" s="11" t="str">
        <x:f t="shared" si="47"/>
      </x:c>
    </x:row>
    <x:row r="721">
      <x:c r="A721" s="10" t="s">
        <x:v>1844</x:v>
      </x:c>
      <x:c r="F721" t="s">
        <x:v>1358</x:v>
      </x:c>
      <x:c r="K721">
        <x:v>1</x:v>
      </x:c>
      <x:c r="L721" t="str">
        <x:f t="shared" si="44"/>
      </x:c>
      <x:c r="O721" t="s">
        <x:v>38</x:v>
      </x:c>
      <x:c r="T721" s="2" t="n">
        <x:f>'SUPUESTOS PRECIOS'!$B$9</x:f>
        <x:v>0</x:v>
      </x:c>
      <x:c r="U721" s="3" t="n">
        <x:f>'SUPUESTOS PRECIOS'!$B$5/'SUPUESTOS PRECIOS'!$B$4</x:f>
        <x:v>1000</x:v>
      </x:c>
      <x:c r="V721" s="3" t="n">
        <x:f>('SUPUESTOS PRECIOS'!$B$6-'SUPUESTOS PRECIOS'!$B$7)/'SUPUESTOS PRECIOS'!$B$4</x:f>
        <x:v>377.5</x:v>
      </x:c>
      <x:c r="W721" s="4" t="n">
        <x:f>'SUPUESTOS PRECIOS'!$B$8</x:f>
        <x:v>0.00968</x:v>
      </x:c>
      <x:c r="X721" s="4" t="n">
        <x:f>'SUPUESTOS PRECIOS'!$B$2</x:f>
        <x:v>0.4</x:v>
      </x:c>
      <x:c r="Y721" s="3" t="str">
        <x:f t="shared" si="45"/>
      </x:c>
      <x:c r="Z721" s="3" t="str">
        <x:f t="shared" si="46"/>
      </x:c>
      <x:c r="AA721" s="11" t="str">
        <x:f t="shared" si="47"/>
      </x:c>
    </x:row>
    <x:row r="722">
      <x:c r="A722" s="10" t="s">
        <x:v>1845</x:v>
      </x:c>
      <x:c r="F722" t="s">
        <x:v>1358</x:v>
      </x:c>
      <x:c r="K722">
        <x:v>1</x:v>
      </x:c>
      <x:c r="L722" t="str">
        <x:f t="shared" si="44"/>
      </x:c>
      <x:c r="O722" t="s">
        <x:v>38</x:v>
      </x:c>
      <x:c r="T722" s="2" t="n">
        <x:f>'SUPUESTOS PRECIOS'!$B$9</x:f>
        <x:v>0</x:v>
      </x:c>
      <x:c r="U722" s="3" t="n">
        <x:f>'SUPUESTOS PRECIOS'!$B$5/'SUPUESTOS PRECIOS'!$B$4</x:f>
        <x:v>1000</x:v>
      </x:c>
      <x:c r="V722" s="3" t="n">
        <x:f>('SUPUESTOS PRECIOS'!$B$6-'SUPUESTOS PRECIOS'!$B$7)/'SUPUESTOS PRECIOS'!$B$4</x:f>
        <x:v>377.5</x:v>
      </x:c>
      <x:c r="W722" s="4" t="n">
        <x:f>'SUPUESTOS PRECIOS'!$B$8</x:f>
        <x:v>0.00968</x:v>
      </x:c>
      <x:c r="X722" s="4" t="n">
        <x:f>'SUPUESTOS PRECIOS'!$B$2</x:f>
        <x:v>0.4</x:v>
      </x:c>
      <x:c r="Y722" s="3" t="str">
        <x:f t="shared" si="45"/>
      </x:c>
      <x:c r="Z722" s="3" t="str">
        <x:f t="shared" si="46"/>
      </x:c>
      <x:c r="AA722" s="11" t="str">
        <x:f t="shared" si="47"/>
      </x:c>
    </x:row>
    <x:row r="723">
      <x:c r="A723" s="10" t="s">
        <x:v>1846</x:v>
      </x:c>
      <x:c r="F723" t="s">
        <x:v>1358</x:v>
      </x:c>
      <x:c r="K723">
        <x:v>1</x:v>
      </x:c>
      <x:c r="L723" t="str">
        <x:f t="shared" si="44"/>
      </x:c>
      <x:c r="O723" t="s">
        <x:v>38</x:v>
      </x:c>
      <x:c r="T723" s="2" t="n">
        <x:f>'SUPUESTOS PRECIOS'!$B$9</x:f>
        <x:v>0</x:v>
      </x:c>
      <x:c r="U723" s="3" t="n">
        <x:f>'SUPUESTOS PRECIOS'!$B$5/'SUPUESTOS PRECIOS'!$B$4</x:f>
        <x:v>1000</x:v>
      </x:c>
      <x:c r="V723" s="3" t="n">
        <x:f>('SUPUESTOS PRECIOS'!$B$6-'SUPUESTOS PRECIOS'!$B$7)/'SUPUESTOS PRECIOS'!$B$4</x:f>
        <x:v>377.5</x:v>
      </x:c>
      <x:c r="W723" s="4" t="n">
        <x:f>'SUPUESTOS PRECIOS'!$B$8</x:f>
        <x:v>0.00968</x:v>
      </x:c>
      <x:c r="X723" s="4" t="n">
        <x:f>'SUPUESTOS PRECIOS'!$B$2</x:f>
        <x:v>0.4</x:v>
      </x:c>
      <x:c r="Y723" s="3" t="str">
        <x:f t="shared" si="45"/>
      </x:c>
      <x:c r="Z723" s="3" t="str">
        <x:f t="shared" si="46"/>
      </x:c>
      <x:c r="AA723" s="11" t="str">
        <x:f t="shared" si="47"/>
      </x:c>
    </x:row>
    <x:row r="724">
      <x:c r="A724" s="10" t="s">
        <x:v>1847</x:v>
      </x:c>
      <x:c r="F724" t="s">
        <x:v>1358</x:v>
      </x:c>
      <x:c r="K724">
        <x:v>1</x:v>
      </x:c>
      <x:c r="L724" t="str">
        <x:f t="shared" si="44"/>
      </x:c>
      <x:c r="O724" t="s">
        <x:v>38</x:v>
      </x:c>
      <x:c r="T724" s="2" t="n">
        <x:f>'SUPUESTOS PRECIOS'!$B$9</x:f>
        <x:v>0</x:v>
      </x:c>
      <x:c r="U724" s="3" t="n">
        <x:f>'SUPUESTOS PRECIOS'!$B$5/'SUPUESTOS PRECIOS'!$B$4</x:f>
        <x:v>1000</x:v>
      </x:c>
      <x:c r="V724" s="3" t="n">
        <x:f>('SUPUESTOS PRECIOS'!$B$6-'SUPUESTOS PRECIOS'!$B$7)/'SUPUESTOS PRECIOS'!$B$4</x:f>
        <x:v>377.5</x:v>
      </x:c>
      <x:c r="W724" s="4" t="n">
        <x:f>'SUPUESTOS PRECIOS'!$B$8</x:f>
        <x:v>0.00968</x:v>
      </x:c>
      <x:c r="X724" s="4" t="n">
        <x:f>'SUPUESTOS PRECIOS'!$B$2</x:f>
        <x:v>0.4</x:v>
      </x:c>
      <x:c r="Y724" s="3" t="str">
        <x:f t="shared" si="45"/>
      </x:c>
      <x:c r="Z724" s="3" t="str">
        <x:f t="shared" si="46"/>
      </x:c>
      <x:c r="AA724" s="11" t="str">
        <x:f t="shared" si="47"/>
      </x:c>
    </x:row>
    <x:row r="725">
      <x:c r="A725" s="10" t="s">
        <x:v>1848</x:v>
      </x:c>
      <x:c r="F725" t="s">
        <x:v>1358</x:v>
      </x:c>
      <x:c r="K725">
        <x:v>1</x:v>
      </x:c>
      <x:c r="L725" t="str">
        <x:f t="shared" si="44"/>
      </x:c>
      <x:c r="O725" t="s">
        <x:v>38</x:v>
      </x:c>
      <x:c r="T725" s="2" t="n">
        <x:f>'SUPUESTOS PRECIOS'!$B$9</x:f>
        <x:v>0</x:v>
      </x:c>
      <x:c r="U725" s="3" t="n">
        <x:f>'SUPUESTOS PRECIOS'!$B$5/'SUPUESTOS PRECIOS'!$B$4</x:f>
        <x:v>1000</x:v>
      </x:c>
      <x:c r="V725" s="3" t="n">
        <x:f>('SUPUESTOS PRECIOS'!$B$6-'SUPUESTOS PRECIOS'!$B$7)/'SUPUESTOS PRECIOS'!$B$4</x:f>
        <x:v>377.5</x:v>
      </x:c>
      <x:c r="W725" s="4" t="n">
        <x:f>'SUPUESTOS PRECIOS'!$B$8</x:f>
        <x:v>0.00968</x:v>
      </x:c>
      <x:c r="X725" s="4" t="n">
        <x:f>'SUPUESTOS PRECIOS'!$B$2</x:f>
        <x:v>0.4</x:v>
      </x:c>
      <x:c r="Y725" s="3" t="str">
        <x:f t="shared" si="45"/>
      </x:c>
      <x:c r="Z725" s="3" t="str">
        <x:f t="shared" si="46"/>
      </x:c>
      <x:c r="AA725" s="11" t="str">
        <x:f t="shared" si="47"/>
      </x:c>
    </x:row>
    <x:row r="726">
      <x:c r="A726" s="10" t="s">
        <x:v>1849</x:v>
      </x:c>
      <x:c r="F726" t="s">
        <x:v>1358</x:v>
      </x:c>
      <x:c r="K726">
        <x:v>1</x:v>
      </x:c>
      <x:c r="L726" t="str">
        <x:f t="shared" si="44"/>
      </x:c>
      <x:c r="O726" t="s">
        <x:v>38</x:v>
      </x:c>
      <x:c r="T726" s="2" t="n">
        <x:f>'SUPUESTOS PRECIOS'!$B$9</x:f>
        <x:v>0</x:v>
      </x:c>
      <x:c r="U726" s="3" t="n">
        <x:f>'SUPUESTOS PRECIOS'!$B$5/'SUPUESTOS PRECIOS'!$B$4</x:f>
        <x:v>1000</x:v>
      </x:c>
      <x:c r="V726" s="3" t="n">
        <x:f>('SUPUESTOS PRECIOS'!$B$6-'SUPUESTOS PRECIOS'!$B$7)/'SUPUESTOS PRECIOS'!$B$4</x:f>
        <x:v>377.5</x:v>
      </x:c>
      <x:c r="W726" s="4" t="n">
        <x:f>'SUPUESTOS PRECIOS'!$B$8</x:f>
        <x:v>0.00968</x:v>
      </x:c>
      <x:c r="X726" s="4" t="n">
        <x:f>'SUPUESTOS PRECIOS'!$B$2</x:f>
        <x:v>0.4</x:v>
      </x:c>
      <x:c r="Y726" s="3" t="str">
        <x:f t="shared" si="45"/>
      </x:c>
      <x:c r="Z726" s="3" t="str">
        <x:f t="shared" si="46"/>
      </x:c>
      <x:c r="AA726" s="11" t="str">
        <x:f t="shared" si="47"/>
      </x:c>
    </x:row>
    <x:row r="727">
      <x:c r="A727" s="10" t="s">
        <x:v>1850</x:v>
      </x:c>
      <x:c r="F727" t="s">
        <x:v>1358</x:v>
      </x:c>
      <x:c r="K727">
        <x:v>1</x:v>
      </x:c>
      <x:c r="L727" t="str">
        <x:f t="shared" si="44"/>
      </x:c>
      <x:c r="O727" t="s">
        <x:v>38</x:v>
      </x:c>
      <x:c r="T727" s="2" t="n">
        <x:f>'SUPUESTOS PRECIOS'!$B$9</x:f>
        <x:v>0</x:v>
      </x:c>
      <x:c r="U727" s="3" t="n">
        <x:f>'SUPUESTOS PRECIOS'!$B$5/'SUPUESTOS PRECIOS'!$B$4</x:f>
        <x:v>1000</x:v>
      </x:c>
      <x:c r="V727" s="3" t="n">
        <x:f>('SUPUESTOS PRECIOS'!$B$6-'SUPUESTOS PRECIOS'!$B$7)/'SUPUESTOS PRECIOS'!$B$4</x:f>
        <x:v>377.5</x:v>
      </x:c>
      <x:c r="W727" s="4" t="n">
        <x:f>'SUPUESTOS PRECIOS'!$B$8</x:f>
        <x:v>0.00968</x:v>
      </x:c>
      <x:c r="X727" s="4" t="n">
        <x:f>'SUPUESTOS PRECIOS'!$B$2</x:f>
        <x:v>0.4</x:v>
      </x:c>
      <x:c r="Y727" s="3" t="str">
        <x:f t="shared" si="45"/>
      </x:c>
      <x:c r="Z727" s="3" t="str">
        <x:f t="shared" si="46"/>
      </x:c>
      <x:c r="AA727" s="11" t="str">
        <x:f t="shared" si="47"/>
      </x:c>
    </x:row>
    <x:row r="728">
      <x:c r="A728" s="10" t="s">
        <x:v>1851</x:v>
      </x:c>
      <x:c r="F728" t="s">
        <x:v>1358</x:v>
      </x:c>
      <x:c r="K728">
        <x:v>1</x:v>
      </x:c>
      <x:c r="L728" t="str">
        <x:f t="shared" si="44"/>
      </x:c>
      <x:c r="O728" t="s">
        <x:v>38</x:v>
      </x:c>
      <x:c r="T728" s="2" t="n">
        <x:f>'SUPUESTOS PRECIOS'!$B$9</x:f>
        <x:v>0</x:v>
      </x:c>
      <x:c r="U728" s="3" t="n">
        <x:f>'SUPUESTOS PRECIOS'!$B$5/'SUPUESTOS PRECIOS'!$B$4</x:f>
        <x:v>1000</x:v>
      </x:c>
      <x:c r="V728" s="3" t="n">
        <x:f>('SUPUESTOS PRECIOS'!$B$6-'SUPUESTOS PRECIOS'!$B$7)/'SUPUESTOS PRECIOS'!$B$4</x:f>
        <x:v>377.5</x:v>
      </x:c>
      <x:c r="W728" s="4" t="n">
        <x:f>'SUPUESTOS PRECIOS'!$B$8</x:f>
        <x:v>0.00968</x:v>
      </x:c>
      <x:c r="X728" s="4" t="n">
        <x:f>'SUPUESTOS PRECIOS'!$B$2</x:f>
        <x:v>0.4</x:v>
      </x:c>
      <x:c r="Y728" s="3" t="str">
        <x:f t="shared" si="45"/>
      </x:c>
      <x:c r="Z728" s="3" t="str">
        <x:f t="shared" si="46"/>
      </x:c>
      <x:c r="AA728" s="11" t="str">
        <x:f t="shared" si="47"/>
      </x:c>
    </x:row>
    <x:row r="729">
      <x:c r="A729" s="10" t="s">
        <x:v>1852</x:v>
      </x:c>
      <x:c r="F729" t="s">
        <x:v>1358</x:v>
      </x:c>
      <x:c r="K729">
        <x:v>1</x:v>
      </x:c>
      <x:c r="L729" t="str">
        <x:f t="shared" si="44"/>
      </x:c>
      <x:c r="O729" t="s">
        <x:v>38</x:v>
      </x:c>
      <x:c r="T729" s="2" t="n">
        <x:f>'SUPUESTOS PRECIOS'!$B$9</x:f>
        <x:v>0</x:v>
      </x:c>
      <x:c r="U729" s="3" t="n">
        <x:f>'SUPUESTOS PRECIOS'!$B$5/'SUPUESTOS PRECIOS'!$B$4</x:f>
        <x:v>1000</x:v>
      </x:c>
      <x:c r="V729" s="3" t="n">
        <x:f>('SUPUESTOS PRECIOS'!$B$6-'SUPUESTOS PRECIOS'!$B$7)/'SUPUESTOS PRECIOS'!$B$4</x:f>
        <x:v>377.5</x:v>
      </x:c>
      <x:c r="W729" s="4" t="n">
        <x:f>'SUPUESTOS PRECIOS'!$B$8</x:f>
        <x:v>0.00968</x:v>
      </x:c>
      <x:c r="X729" s="4" t="n">
        <x:f>'SUPUESTOS PRECIOS'!$B$2</x:f>
        <x:v>0.4</x:v>
      </x:c>
      <x:c r="Y729" s="3" t="str">
        <x:f t="shared" si="45"/>
      </x:c>
      <x:c r="Z729" s="3" t="str">
        <x:f t="shared" si="46"/>
      </x:c>
      <x:c r="AA729" s="11" t="str">
        <x:f t="shared" si="47"/>
      </x:c>
    </x:row>
    <x:row r="730">
      <x:c r="A730" s="10" t="s">
        <x:v>1853</x:v>
      </x:c>
      <x:c r="F730" t="s">
        <x:v>1358</x:v>
      </x:c>
      <x:c r="K730">
        <x:v>1</x:v>
      </x:c>
      <x:c r="L730" t="str">
        <x:f t="shared" si="44"/>
      </x:c>
      <x:c r="O730" t="s">
        <x:v>38</x:v>
      </x:c>
      <x:c r="T730" s="2" t="n">
        <x:f>'SUPUESTOS PRECIOS'!$B$9</x:f>
        <x:v>0</x:v>
      </x:c>
      <x:c r="U730" s="3" t="n">
        <x:f>'SUPUESTOS PRECIOS'!$B$5/'SUPUESTOS PRECIOS'!$B$4</x:f>
        <x:v>1000</x:v>
      </x:c>
      <x:c r="V730" s="3" t="n">
        <x:f>('SUPUESTOS PRECIOS'!$B$6-'SUPUESTOS PRECIOS'!$B$7)/'SUPUESTOS PRECIOS'!$B$4</x:f>
        <x:v>377.5</x:v>
      </x:c>
      <x:c r="W730" s="4" t="n">
        <x:f>'SUPUESTOS PRECIOS'!$B$8</x:f>
        <x:v>0.00968</x:v>
      </x:c>
      <x:c r="X730" s="4" t="n">
        <x:f>'SUPUESTOS PRECIOS'!$B$2</x:f>
        <x:v>0.4</x:v>
      </x:c>
      <x:c r="Y730" s="3" t="str">
        <x:f t="shared" si="45"/>
      </x:c>
      <x:c r="Z730" s="3" t="str">
        <x:f t="shared" si="46"/>
      </x:c>
      <x:c r="AA730" s="11" t="str">
        <x:f t="shared" si="47"/>
      </x:c>
    </x:row>
    <x:row r="731">
      <x:c r="A731" s="10" t="s">
        <x:v>1854</x:v>
      </x:c>
      <x:c r="F731" t="s">
        <x:v>1358</x:v>
      </x:c>
      <x:c r="K731">
        <x:v>1</x:v>
      </x:c>
      <x:c r="L731" t="str">
        <x:f t="shared" si="44"/>
      </x:c>
      <x:c r="O731" t="s">
        <x:v>38</x:v>
      </x:c>
      <x:c r="T731" s="2" t="n">
        <x:f>'SUPUESTOS PRECIOS'!$B$9</x:f>
        <x:v>0</x:v>
      </x:c>
      <x:c r="U731" s="3" t="n">
        <x:f>'SUPUESTOS PRECIOS'!$B$5/'SUPUESTOS PRECIOS'!$B$4</x:f>
        <x:v>1000</x:v>
      </x:c>
      <x:c r="V731" s="3" t="n">
        <x:f>('SUPUESTOS PRECIOS'!$B$6-'SUPUESTOS PRECIOS'!$B$7)/'SUPUESTOS PRECIOS'!$B$4</x:f>
        <x:v>377.5</x:v>
      </x:c>
      <x:c r="W731" s="4" t="n">
        <x:f>'SUPUESTOS PRECIOS'!$B$8</x:f>
        <x:v>0.00968</x:v>
      </x:c>
      <x:c r="X731" s="4" t="n">
        <x:f>'SUPUESTOS PRECIOS'!$B$2</x:f>
        <x:v>0.4</x:v>
      </x:c>
      <x:c r="Y731" s="3" t="str">
        <x:f t="shared" si="45"/>
      </x:c>
      <x:c r="Z731" s="3" t="str">
        <x:f t="shared" si="46"/>
      </x:c>
      <x:c r="AA731" s="11" t="str">
        <x:f t="shared" si="47"/>
      </x:c>
    </x:row>
    <x:row r="732">
      <x:c r="A732" s="10" t="s">
        <x:v>1855</x:v>
      </x:c>
      <x:c r="F732" t="s">
        <x:v>1358</x:v>
      </x:c>
      <x:c r="K732">
        <x:v>1</x:v>
      </x:c>
      <x:c r="L732" t="str">
        <x:f t="shared" si="44"/>
      </x:c>
      <x:c r="O732" t="s">
        <x:v>38</x:v>
      </x:c>
      <x:c r="T732" s="2" t="n">
        <x:f>'SUPUESTOS PRECIOS'!$B$9</x:f>
        <x:v>0</x:v>
      </x:c>
      <x:c r="U732" s="3" t="n">
        <x:f>'SUPUESTOS PRECIOS'!$B$5/'SUPUESTOS PRECIOS'!$B$4</x:f>
        <x:v>1000</x:v>
      </x:c>
      <x:c r="V732" s="3" t="n">
        <x:f>('SUPUESTOS PRECIOS'!$B$6-'SUPUESTOS PRECIOS'!$B$7)/'SUPUESTOS PRECIOS'!$B$4</x:f>
        <x:v>377.5</x:v>
      </x:c>
      <x:c r="W732" s="4" t="n">
        <x:f>'SUPUESTOS PRECIOS'!$B$8</x:f>
        <x:v>0.00968</x:v>
      </x:c>
      <x:c r="X732" s="4" t="n">
        <x:f>'SUPUESTOS PRECIOS'!$B$2</x:f>
        <x:v>0.4</x:v>
      </x:c>
      <x:c r="Y732" s="3" t="str">
        <x:f t="shared" si="45"/>
      </x:c>
      <x:c r="Z732" s="3" t="str">
        <x:f t="shared" si="46"/>
      </x:c>
      <x:c r="AA732" s="11" t="str">
        <x:f t="shared" si="47"/>
      </x:c>
    </x:row>
    <x:row r="733">
      <x:c r="A733" s="10" t="s">
        <x:v>1856</x:v>
      </x:c>
      <x:c r="F733" t="s">
        <x:v>1358</x:v>
      </x:c>
      <x:c r="K733">
        <x:v>1</x:v>
      </x:c>
      <x:c r="L733" t="str">
        <x:f t="shared" si="44"/>
      </x:c>
      <x:c r="O733" t="s">
        <x:v>38</x:v>
      </x:c>
      <x:c r="T733" s="2" t="n">
        <x:f>'SUPUESTOS PRECIOS'!$B$9</x:f>
        <x:v>0</x:v>
      </x:c>
      <x:c r="U733" s="3" t="n">
        <x:f>'SUPUESTOS PRECIOS'!$B$5/'SUPUESTOS PRECIOS'!$B$4</x:f>
        <x:v>1000</x:v>
      </x:c>
      <x:c r="V733" s="3" t="n">
        <x:f>('SUPUESTOS PRECIOS'!$B$6-'SUPUESTOS PRECIOS'!$B$7)/'SUPUESTOS PRECIOS'!$B$4</x:f>
        <x:v>377.5</x:v>
      </x:c>
      <x:c r="W733" s="4" t="n">
        <x:f>'SUPUESTOS PRECIOS'!$B$8</x:f>
        <x:v>0.00968</x:v>
      </x:c>
      <x:c r="X733" s="4" t="n">
        <x:f>'SUPUESTOS PRECIOS'!$B$2</x:f>
        <x:v>0.4</x:v>
      </x:c>
      <x:c r="Y733" s="3" t="str">
        <x:f t="shared" si="45"/>
      </x:c>
      <x:c r="Z733" s="3" t="str">
        <x:f t="shared" si="46"/>
      </x:c>
      <x:c r="AA733" s="11" t="str">
        <x:f t="shared" si="47"/>
      </x:c>
    </x:row>
    <x:row r="734">
      <x:c r="A734" s="10" t="s">
        <x:v>1857</x:v>
      </x:c>
      <x:c r="F734" t="s">
        <x:v>1358</x:v>
      </x:c>
      <x:c r="K734">
        <x:v>1</x:v>
      </x:c>
      <x:c r="L734" t="str">
        <x:f t="shared" si="44"/>
      </x:c>
      <x:c r="O734" t="s">
        <x:v>38</x:v>
      </x:c>
      <x:c r="T734" s="2" t="n">
        <x:f>'SUPUESTOS PRECIOS'!$B$9</x:f>
        <x:v>0</x:v>
      </x:c>
      <x:c r="U734" s="3" t="n">
        <x:f>'SUPUESTOS PRECIOS'!$B$5/'SUPUESTOS PRECIOS'!$B$4</x:f>
        <x:v>1000</x:v>
      </x:c>
      <x:c r="V734" s="3" t="n">
        <x:f>('SUPUESTOS PRECIOS'!$B$6-'SUPUESTOS PRECIOS'!$B$7)/'SUPUESTOS PRECIOS'!$B$4</x:f>
        <x:v>377.5</x:v>
      </x:c>
      <x:c r="W734" s="4" t="n">
        <x:f>'SUPUESTOS PRECIOS'!$B$8</x:f>
        <x:v>0.00968</x:v>
      </x:c>
      <x:c r="X734" s="4" t="n">
        <x:f>'SUPUESTOS PRECIOS'!$B$2</x:f>
        <x:v>0.4</x:v>
      </x:c>
      <x:c r="Y734" s="3" t="str">
        <x:f t="shared" si="45"/>
      </x:c>
      <x:c r="Z734" s="3" t="str">
        <x:f t="shared" si="46"/>
      </x:c>
      <x:c r="AA734" s="11" t="str">
        <x:f t="shared" si="47"/>
      </x:c>
    </x:row>
    <x:row r="735">
      <x:c r="A735" s="10" t="s">
        <x:v>1858</x:v>
      </x:c>
      <x:c r="F735" t="s">
        <x:v>1358</x:v>
      </x:c>
      <x:c r="K735">
        <x:v>1</x:v>
      </x:c>
      <x:c r="L735" t="str">
        <x:f t="shared" si="44"/>
      </x:c>
      <x:c r="O735" t="s">
        <x:v>38</x:v>
      </x:c>
      <x:c r="T735" s="2" t="n">
        <x:f>'SUPUESTOS PRECIOS'!$B$9</x:f>
        <x:v>0</x:v>
      </x:c>
      <x:c r="U735" s="3" t="n">
        <x:f>'SUPUESTOS PRECIOS'!$B$5/'SUPUESTOS PRECIOS'!$B$4</x:f>
        <x:v>1000</x:v>
      </x:c>
      <x:c r="V735" s="3" t="n">
        <x:f>('SUPUESTOS PRECIOS'!$B$6-'SUPUESTOS PRECIOS'!$B$7)/'SUPUESTOS PRECIOS'!$B$4</x:f>
        <x:v>377.5</x:v>
      </x:c>
      <x:c r="W735" s="4" t="n">
        <x:f>'SUPUESTOS PRECIOS'!$B$8</x:f>
        <x:v>0.00968</x:v>
      </x:c>
      <x:c r="X735" s="4" t="n">
        <x:f>'SUPUESTOS PRECIOS'!$B$2</x:f>
        <x:v>0.4</x:v>
      </x:c>
      <x:c r="Y735" s="3" t="str">
        <x:f t="shared" si="45"/>
      </x:c>
      <x:c r="Z735" s="3" t="str">
        <x:f t="shared" si="46"/>
      </x:c>
      <x:c r="AA735" s="11" t="str">
        <x:f t="shared" si="47"/>
      </x:c>
    </x:row>
    <x:row r="736">
      <x:c r="A736" s="10" t="s">
        <x:v>1859</x:v>
      </x:c>
      <x:c r="F736" t="s">
        <x:v>1358</x:v>
      </x:c>
      <x:c r="K736">
        <x:v>1</x:v>
      </x:c>
      <x:c r="L736" t="str">
        <x:f t="shared" si="44"/>
      </x:c>
      <x:c r="O736" t="s">
        <x:v>38</x:v>
      </x:c>
      <x:c r="T736" s="2" t="n">
        <x:f>'SUPUESTOS PRECIOS'!$B$9</x:f>
        <x:v>0</x:v>
      </x:c>
      <x:c r="U736" s="3" t="n">
        <x:f>'SUPUESTOS PRECIOS'!$B$5/'SUPUESTOS PRECIOS'!$B$4</x:f>
        <x:v>1000</x:v>
      </x:c>
      <x:c r="V736" s="3" t="n">
        <x:f>('SUPUESTOS PRECIOS'!$B$6-'SUPUESTOS PRECIOS'!$B$7)/'SUPUESTOS PRECIOS'!$B$4</x:f>
        <x:v>377.5</x:v>
      </x:c>
      <x:c r="W736" s="4" t="n">
        <x:f>'SUPUESTOS PRECIOS'!$B$8</x:f>
        <x:v>0.00968</x:v>
      </x:c>
      <x:c r="X736" s="4" t="n">
        <x:f>'SUPUESTOS PRECIOS'!$B$2</x:f>
        <x:v>0.4</x:v>
      </x:c>
      <x:c r="Y736" s="3" t="str">
        <x:f t="shared" si="45"/>
      </x:c>
      <x:c r="Z736" s="3" t="str">
        <x:f t="shared" si="46"/>
      </x:c>
      <x:c r="AA736" s="11" t="str">
        <x:f t="shared" si="47"/>
      </x:c>
    </x:row>
    <x:row r="737">
      <x:c r="A737" s="10" t="s">
        <x:v>1860</x:v>
      </x:c>
      <x:c r="F737" t="s">
        <x:v>1358</x:v>
      </x:c>
      <x:c r="K737">
        <x:v>1</x:v>
      </x:c>
      <x:c r="L737" t="str">
        <x:f t="shared" si="44"/>
      </x:c>
      <x:c r="O737" t="s">
        <x:v>38</x:v>
      </x:c>
      <x:c r="T737" s="2" t="n">
        <x:f>'SUPUESTOS PRECIOS'!$B$9</x:f>
        <x:v>0</x:v>
      </x:c>
      <x:c r="U737" s="3" t="n">
        <x:f>'SUPUESTOS PRECIOS'!$B$5/'SUPUESTOS PRECIOS'!$B$4</x:f>
        <x:v>1000</x:v>
      </x:c>
      <x:c r="V737" s="3" t="n">
        <x:f>('SUPUESTOS PRECIOS'!$B$6-'SUPUESTOS PRECIOS'!$B$7)/'SUPUESTOS PRECIOS'!$B$4</x:f>
        <x:v>377.5</x:v>
      </x:c>
      <x:c r="W737" s="4" t="n">
        <x:f>'SUPUESTOS PRECIOS'!$B$8</x:f>
        <x:v>0.00968</x:v>
      </x:c>
      <x:c r="X737" s="4" t="n">
        <x:f>'SUPUESTOS PRECIOS'!$B$2</x:f>
        <x:v>0.4</x:v>
      </x:c>
      <x:c r="Y737" s="3" t="str">
        <x:f t="shared" si="45"/>
      </x:c>
      <x:c r="Z737" s="3" t="str">
        <x:f t="shared" si="46"/>
      </x:c>
      <x:c r="AA737" s="11" t="str">
        <x:f t="shared" si="47"/>
      </x:c>
    </x:row>
    <x:row r="738">
      <x:c r="A738" s="10" t="s">
        <x:v>1861</x:v>
      </x:c>
      <x:c r="F738" t="s">
        <x:v>1358</x:v>
      </x:c>
      <x:c r="K738">
        <x:v>1</x:v>
      </x:c>
      <x:c r="L738" t="str">
        <x:f t="shared" si="44"/>
      </x:c>
      <x:c r="O738" t="s">
        <x:v>38</x:v>
      </x:c>
      <x:c r="T738" s="2" t="n">
        <x:f>'SUPUESTOS PRECIOS'!$B$9</x:f>
        <x:v>0</x:v>
      </x:c>
      <x:c r="U738" s="3" t="n">
        <x:f>'SUPUESTOS PRECIOS'!$B$5/'SUPUESTOS PRECIOS'!$B$4</x:f>
        <x:v>1000</x:v>
      </x:c>
      <x:c r="V738" s="3" t="n">
        <x:f>('SUPUESTOS PRECIOS'!$B$6-'SUPUESTOS PRECIOS'!$B$7)/'SUPUESTOS PRECIOS'!$B$4</x:f>
        <x:v>377.5</x:v>
      </x:c>
      <x:c r="W738" s="4" t="n">
        <x:f>'SUPUESTOS PRECIOS'!$B$8</x:f>
        <x:v>0.00968</x:v>
      </x:c>
      <x:c r="X738" s="4" t="n">
        <x:f>'SUPUESTOS PRECIOS'!$B$2</x:f>
        <x:v>0.4</x:v>
      </x:c>
      <x:c r="Y738" s="3" t="str">
        <x:f t="shared" si="45"/>
      </x:c>
      <x:c r="Z738" s="3" t="str">
        <x:f t="shared" si="46"/>
      </x:c>
      <x:c r="AA738" s="11" t="str">
        <x:f t="shared" si="47"/>
      </x:c>
    </x:row>
    <x:row r="739">
      <x:c r="A739" s="10" t="s">
        <x:v>1862</x:v>
      </x:c>
      <x:c r="F739" t="s">
        <x:v>1358</x:v>
      </x:c>
      <x:c r="K739">
        <x:v>1</x:v>
      </x:c>
      <x:c r="L739" t="str">
        <x:f t="shared" si="44"/>
      </x:c>
      <x:c r="O739" t="s">
        <x:v>38</x:v>
      </x:c>
      <x:c r="T739" s="2" t="n">
        <x:f>'SUPUESTOS PRECIOS'!$B$9</x:f>
        <x:v>0</x:v>
      </x:c>
      <x:c r="U739" s="3" t="n">
        <x:f>'SUPUESTOS PRECIOS'!$B$5/'SUPUESTOS PRECIOS'!$B$4</x:f>
        <x:v>1000</x:v>
      </x:c>
      <x:c r="V739" s="3" t="n">
        <x:f>('SUPUESTOS PRECIOS'!$B$6-'SUPUESTOS PRECIOS'!$B$7)/'SUPUESTOS PRECIOS'!$B$4</x:f>
        <x:v>377.5</x:v>
      </x:c>
      <x:c r="W739" s="4" t="n">
        <x:f>'SUPUESTOS PRECIOS'!$B$8</x:f>
        <x:v>0.00968</x:v>
      </x:c>
      <x:c r="X739" s="4" t="n">
        <x:f>'SUPUESTOS PRECIOS'!$B$2</x:f>
        <x:v>0.4</x:v>
      </x:c>
      <x:c r="Y739" s="3" t="str">
        <x:f t="shared" si="45"/>
      </x:c>
      <x:c r="Z739" s="3" t="str">
        <x:f t="shared" si="46"/>
      </x:c>
      <x:c r="AA739" s="11" t="str">
        <x:f t="shared" si="47"/>
      </x:c>
    </x:row>
    <x:row r="740">
      <x:c r="A740" s="10" t="s">
        <x:v>1863</x:v>
      </x:c>
      <x:c r="F740" t="s">
        <x:v>1358</x:v>
      </x:c>
      <x:c r="K740">
        <x:v>1</x:v>
      </x:c>
      <x:c r="L740" t="str">
        <x:f t="shared" si="44"/>
      </x:c>
      <x:c r="O740" t="s">
        <x:v>38</x:v>
      </x:c>
      <x:c r="T740" s="2" t="n">
        <x:f>'SUPUESTOS PRECIOS'!$B$9</x:f>
        <x:v>0</x:v>
      </x:c>
      <x:c r="U740" s="3" t="n">
        <x:f>'SUPUESTOS PRECIOS'!$B$5/'SUPUESTOS PRECIOS'!$B$4</x:f>
        <x:v>1000</x:v>
      </x:c>
      <x:c r="V740" s="3" t="n">
        <x:f>('SUPUESTOS PRECIOS'!$B$6-'SUPUESTOS PRECIOS'!$B$7)/'SUPUESTOS PRECIOS'!$B$4</x:f>
        <x:v>377.5</x:v>
      </x:c>
      <x:c r="W740" s="4" t="n">
        <x:f>'SUPUESTOS PRECIOS'!$B$8</x:f>
        <x:v>0.00968</x:v>
      </x:c>
      <x:c r="X740" s="4" t="n">
        <x:f>'SUPUESTOS PRECIOS'!$B$2</x:f>
        <x:v>0.4</x:v>
      </x:c>
      <x:c r="Y740" s="3" t="str">
        <x:f t="shared" si="45"/>
      </x:c>
      <x:c r="Z740" s="3" t="str">
        <x:f t="shared" si="46"/>
      </x:c>
      <x:c r="AA740" s="11" t="str">
        <x:f t="shared" si="47"/>
      </x:c>
    </x:row>
    <x:row r="741">
      <x:c r="A741" s="10" t="s">
        <x:v>1864</x:v>
      </x:c>
      <x:c r="F741" t="s">
        <x:v>1358</x:v>
      </x:c>
      <x:c r="K741">
        <x:v>1</x:v>
      </x:c>
      <x:c r="L741" t="str">
        <x:f t="shared" si="44"/>
      </x:c>
      <x:c r="O741" t="s">
        <x:v>38</x:v>
      </x:c>
      <x:c r="T741" s="2" t="n">
        <x:f>'SUPUESTOS PRECIOS'!$B$9</x:f>
        <x:v>0</x:v>
      </x:c>
      <x:c r="U741" s="3" t="n">
        <x:f>'SUPUESTOS PRECIOS'!$B$5/'SUPUESTOS PRECIOS'!$B$4</x:f>
        <x:v>1000</x:v>
      </x:c>
      <x:c r="V741" s="3" t="n">
        <x:f>('SUPUESTOS PRECIOS'!$B$6-'SUPUESTOS PRECIOS'!$B$7)/'SUPUESTOS PRECIOS'!$B$4</x:f>
        <x:v>377.5</x:v>
      </x:c>
      <x:c r="W741" s="4" t="n">
        <x:f>'SUPUESTOS PRECIOS'!$B$8</x:f>
        <x:v>0.00968</x:v>
      </x:c>
      <x:c r="X741" s="4" t="n">
        <x:f>'SUPUESTOS PRECIOS'!$B$2</x:f>
        <x:v>0.4</x:v>
      </x:c>
      <x:c r="Y741" s="3" t="str">
        <x:f t="shared" si="45"/>
      </x:c>
      <x:c r="Z741" s="3" t="str">
        <x:f t="shared" si="46"/>
      </x:c>
      <x:c r="AA741" s="11" t="str">
        <x:f t="shared" si="47"/>
      </x:c>
    </x:row>
    <x:row r="742">
      <x:c r="A742" s="10" t="s">
        <x:v>1865</x:v>
      </x:c>
      <x:c r="F742" t="s">
        <x:v>1358</x:v>
      </x:c>
      <x:c r="K742">
        <x:v>1</x:v>
      </x:c>
      <x:c r="L742" t="str">
        <x:f t="shared" si="44"/>
      </x:c>
      <x:c r="O742" t="s">
        <x:v>38</x:v>
      </x:c>
      <x:c r="T742" s="2" t="n">
        <x:f>'SUPUESTOS PRECIOS'!$B$9</x:f>
        <x:v>0</x:v>
      </x:c>
      <x:c r="U742" s="3" t="n">
        <x:f>'SUPUESTOS PRECIOS'!$B$5/'SUPUESTOS PRECIOS'!$B$4</x:f>
        <x:v>1000</x:v>
      </x:c>
      <x:c r="V742" s="3" t="n">
        <x:f>('SUPUESTOS PRECIOS'!$B$6-'SUPUESTOS PRECIOS'!$B$7)/'SUPUESTOS PRECIOS'!$B$4</x:f>
        <x:v>377.5</x:v>
      </x:c>
      <x:c r="W742" s="4" t="n">
        <x:f>'SUPUESTOS PRECIOS'!$B$8</x:f>
        <x:v>0.00968</x:v>
      </x:c>
      <x:c r="X742" s="4" t="n">
        <x:f>'SUPUESTOS PRECIOS'!$B$2</x:f>
        <x:v>0.4</x:v>
      </x:c>
      <x:c r="Y742" s="3" t="str">
        <x:f t="shared" si="45"/>
      </x:c>
      <x:c r="Z742" s="3" t="str">
        <x:f t="shared" si="46"/>
      </x:c>
      <x:c r="AA742" s="11" t="str">
        <x:f t="shared" si="47"/>
      </x:c>
    </x:row>
    <x:row r="743">
      <x:c r="A743" s="10" t="s">
        <x:v>1866</x:v>
      </x:c>
      <x:c r="F743" t="s">
        <x:v>1358</x:v>
      </x:c>
      <x:c r="K743">
        <x:v>1</x:v>
      </x:c>
      <x:c r="L743" t="str">
        <x:f t="shared" si="44"/>
      </x:c>
      <x:c r="O743" t="s">
        <x:v>38</x:v>
      </x:c>
      <x:c r="T743" s="2" t="n">
        <x:f>'SUPUESTOS PRECIOS'!$B$9</x:f>
        <x:v>0</x:v>
      </x:c>
      <x:c r="U743" s="3" t="n">
        <x:f>'SUPUESTOS PRECIOS'!$B$5/'SUPUESTOS PRECIOS'!$B$4</x:f>
        <x:v>1000</x:v>
      </x:c>
      <x:c r="V743" s="3" t="n">
        <x:f>('SUPUESTOS PRECIOS'!$B$6-'SUPUESTOS PRECIOS'!$B$7)/'SUPUESTOS PRECIOS'!$B$4</x:f>
        <x:v>377.5</x:v>
      </x:c>
      <x:c r="W743" s="4" t="n">
        <x:f>'SUPUESTOS PRECIOS'!$B$8</x:f>
        <x:v>0.00968</x:v>
      </x:c>
      <x:c r="X743" s="4" t="n">
        <x:f>'SUPUESTOS PRECIOS'!$B$2</x:f>
        <x:v>0.4</x:v>
      </x:c>
      <x:c r="Y743" s="3" t="str">
        <x:f t="shared" si="45"/>
      </x:c>
      <x:c r="Z743" s="3" t="str">
        <x:f t="shared" si="46"/>
      </x:c>
      <x:c r="AA743" s="11" t="str">
        <x:f t="shared" si="47"/>
      </x:c>
    </x:row>
    <x:row r="744">
      <x:c r="A744" s="10" t="s">
        <x:v>1867</x:v>
      </x:c>
      <x:c r="F744" t="s">
        <x:v>1358</x:v>
      </x:c>
      <x:c r="K744">
        <x:v>1</x:v>
      </x:c>
      <x:c r="L744" t="str">
        <x:f t="shared" si="44"/>
      </x:c>
      <x:c r="O744" t="s">
        <x:v>38</x:v>
      </x:c>
      <x:c r="T744" s="2" t="n">
        <x:f>'SUPUESTOS PRECIOS'!$B$9</x:f>
        <x:v>0</x:v>
      </x:c>
      <x:c r="U744" s="3" t="n">
        <x:f>'SUPUESTOS PRECIOS'!$B$5/'SUPUESTOS PRECIOS'!$B$4</x:f>
        <x:v>1000</x:v>
      </x:c>
      <x:c r="V744" s="3" t="n">
        <x:f>('SUPUESTOS PRECIOS'!$B$6-'SUPUESTOS PRECIOS'!$B$7)/'SUPUESTOS PRECIOS'!$B$4</x:f>
        <x:v>377.5</x:v>
      </x:c>
      <x:c r="W744" s="4" t="n">
        <x:f>'SUPUESTOS PRECIOS'!$B$8</x:f>
        <x:v>0.00968</x:v>
      </x:c>
      <x:c r="X744" s="4" t="n">
        <x:f>'SUPUESTOS PRECIOS'!$B$2</x:f>
        <x:v>0.4</x:v>
      </x:c>
      <x:c r="Y744" s="3" t="str">
        <x:f t="shared" si="45"/>
      </x:c>
      <x:c r="Z744" s="3" t="str">
        <x:f t="shared" si="46"/>
      </x:c>
      <x:c r="AA744" s="11" t="str">
        <x:f t="shared" si="47"/>
      </x:c>
    </x:row>
    <x:row r="745">
      <x:c r="A745" s="10" t="s">
        <x:v>1868</x:v>
      </x:c>
      <x:c r="F745" t="s">
        <x:v>1358</x:v>
      </x:c>
      <x:c r="K745">
        <x:v>1</x:v>
      </x:c>
      <x:c r="L745" t="str">
        <x:f t="shared" si="44"/>
      </x:c>
      <x:c r="O745" t="s">
        <x:v>38</x:v>
      </x:c>
      <x:c r="T745" s="2" t="n">
        <x:f>'SUPUESTOS PRECIOS'!$B$9</x:f>
        <x:v>0</x:v>
      </x:c>
      <x:c r="U745" s="3" t="n">
        <x:f>'SUPUESTOS PRECIOS'!$B$5/'SUPUESTOS PRECIOS'!$B$4</x:f>
        <x:v>1000</x:v>
      </x:c>
      <x:c r="V745" s="3" t="n">
        <x:f>('SUPUESTOS PRECIOS'!$B$6-'SUPUESTOS PRECIOS'!$B$7)/'SUPUESTOS PRECIOS'!$B$4</x:f>
        <x:v>377.5</x:v>
      </x:c>
      <x:c r="W745" s="4" t="n">
        <x:f>'SUPUESTOS PRECIOS'!$B$8</x:f>
        <x:v>0.00968</x:v>
      </x:c>
      <x:c r="X745" s="4" t="n">
        <x:f>'SUPUESTOS PRECIOS'!$B$2</x:f>
        <x:v>0.4</x:v>
      </x:c>
      <x:c r="Y745" s="3" t="str">
        <x:f t="shared" si="45"/>
      </x:c>
      <x:c r="Z745" s="3" t="str">
        <x:f t="shared" si="46"/>
      </x:c>
      <x:c r="AA745" s="11" t="str">
        <x:f t="shared" si="47"/>
      </x:c>
    </x:row>
    <x:row r="746">
      <x:c r="A746" s="10" t="s">
        <x:v>1869</x:v>
      </x:c>
      <x:c r="F746" t="s">
        <x:v>1358</x:v>
      </x:c>
      <x:c r="K746">
        <x:v>1</x:v>
      </x:c>
      <x:c r="L746" t="str">
        <x:f t="shared" si="44"/>
      </x:c>
      <x:c r="O746" t="s">
        <x:v>38</x:v>
      </x:c>
      <x:c r="T746" s="2" t="n">
        <x:f>'SUPUESTOS PRECIOS'!$B$9</x:f>
        <x:v>0</x:v>
      </x:c>
      <x:c r="U746" s="3" t="n">
        <x:f>'SUPUESTOS PRECIOS'!$B$5/'SUPUESTOS PRECIOS'!$B$4</x:f>
        <x:v>1000</x:v>
      </x:c>
      <x:c r="V746" s="3" t="n">
        <x:f>('SUPUESTOS PRECIOS'!$B$6-'SUPUESTOS PRECIOS'!$B$7)/'SUPUESTOS PRECIOS'!$B$4</x:f>
        <x:v>377.5</x:v>
      </x:c>
      <x:c r="W746" s="4" t="n">
        <x:f>'SUPUESTOS PRECIOS'!$B$8</x:f>
        <x:v>0.00968</x:v>
      </x:c>
      <x:c r="X746" s="4" t="n">
        <x:f>'SUPUESTOS PRECIOS'!$B$2</x:f>
        <x:v>0.4</x:v>
      </x:c>
      <x:c r="Y746" s="3" t="str">
        <x:f t="shared" si="45"/>
      </x:c>
      <x:c r="Z746" s="3" t="str">
        <x:f t="shared" si="46"/>
      </x:c>
      <x:c r="AA746" s="11" t="str">
        <x:f t="shared" si="47"/>
      </x:c>
    </x:row>
    <x:row r="747">
      <x:c r="A747" s="10" t="s">
        <x:v>1870</x:v>
      </x:c>
      <x:c r="F747" t="s">
        <x:v>1358</x:v>
      </x:c>
      <x:c r="K747">
        <x:v>1</x:v>
      </x:c>
      <x:c r="L747" t="str">
        <x:f t="shared" si="44"/>
      </x:c>
      <x:c r="O747" t="s">
        <x:v>38</x:v>
      </x:c>
      <x:c r="T747" s="2" t="n">
        <x:f>'SUPUESTOS PRECIOS'!$B$9</x:f>
        <x:v>0</x:v>
      </x:c>
      <x:c r="U747" s="3" t="n">
        <x:f>'SUPUESTOS PRECIOS'!$B$5/'SUPUESTOS PRECIOS'!$B$4</x:f>
        <x:v>1000</x:v>
      </x:c>
      <x:c r="V747" s="3" t="n">
        <x:f>('SUPUESTOS PRECIOS'!$B$6-'SUPUESTOS PRECIOS'!$B$7)/'SUPUESTOS PRECIOS'!$B$4</x:f>
        <x:v>377.5</x:v>
      </x:c>
      <x:c r="W747" s="4" t="n">
        <x:f>'SUPUESTOS PRECIOS'!$B$8</x:f>
        <x:v>0.00968</x:v>
      </x:c>
      <x:c r="X747" s="4" t="n">
        <x:f>'SUPUESTOS PRECIOS'!$B$2</x:f>
        <x:v>0.4</x:v>
      </x:c>
      <x:c r="Y747" s="3" t="str">
        <x:f t="shared" si="45"/>
      </x:c>
      <x:c r="Z747" s="3" t="str">
        <x:f t="shared" si="46"/>
      </x:c>
      <x:c r="AA747" s="11" t="str">
        <x:f t="shared" si="47"/>
      </x:c>
    </x:row>
    <x:row r="748">
      <x:c r="A748" s="10" t="s">
        <x:v>1871</x:v>
      </x:c>
      <x:c r="F748" t="s">
        <x:v>1358</x:v>
      </x:c>
      <x:c r="K748">
        <x:v>1</x:v>
      </x:c>
      <x:c r="L748" t="str">
        <x:f t="shared" si="44"/>
      </x:c>
      <x:c r="O748" t="s">
        <x:v>38</x:v>
      </x:c>
      <x:c r="T748" s="2" t="n">
        <x:f>'SUPUESTOS PRECIOS'!$B$9</x:f>
        <x:v>0</x:v>
      </x:c>
      <x:c r="U748" s="3" t="n">
        <x:f>'SUPUESTOS PRECIOS'!$B$5/'SUPUESTOS PRECIOS'!$B$4</x:f>
        <x:v>1000</x:v>
      </x:c>
      <x:c r="V748" s="3" t="n">
        <x:f>('SUPUESTOS PRECIOS'!$B$6-'SUPUESTOS PRECIOS'!$B$7)/'SUPUESTOS PRECIOS'!$B$4</x:f>
        <x:v>377.5</x:v>
      </x:c>
      <x:c r="W748" s="4" t="n">
        <x:f>'SUPUESTOS PRECIOS'!$B$8</x:f>
        <x:v>0.00968</x:v>
      </x:c>
      <x:c r="X748" s="4" t="n">
        <x:f>'SUPUESTOS PRECIOS'!$B$2</x:f>
        <x:v>0.4</x:v>
      </x:c>
      <x:c r="Y748" s="3" t="str">
        <x:f t="shared" si="45"/>
      </x:c>
      <x:c r="Z748" s="3" t="str">
        <x:f t="shared" si="46"/>
      </x:c>
      <x:c r="AA748" s="11" t="str">
        <x:f t="shared" si="47"/>
      </x:c>
    </x:row>
    <x:row r="749">
      <x:c r="A749" s="10" t="s">
        <x:v>1872</x:v>
      </x:c>
      <x:c r="F749" t="s">
        <x:v>1358</x:v>
      </x:c>
      <x:c r="K749">
        <x:v>1</x:v>
      </x:c>
      <x:c r="L749" t="str">
        <x:f t="shared" si="44"/>
      </x:c>
      <x:c r="O749" t="s">
        <x:v>38</x:v>
      </x:c>
      <x:c r="T749" s="2" t="n">
        <x:f>'SUPUESTOS PRECIOS'!$B$9</x:f>
        <x:v>0</x:v>
      </x:c>
      <x:c r="U749" s="3" t="n">
        <x:f>'SUPUESTOS PRECIOS'!$B$5/'SUPUESTOS PRECIOS'!$B$4</x:f>
        <x:v>1000</x:v>
      </x:c>
      <x:c r="V749" s="3" t="n">
        <x:f>('SUPUESTOS PRECIOS'!$B$6-'SUPUESTOS PRECIOS'!$B$7)/'SUPUESTOS PRECIOS'!$B$4</x:f>
        <x:v>377.5</x:v>
      </x:c>
      <x:c r="W749" s="4" t="n">
        <x:f>'SUPUESTOS PRECIOS'!$B$8</x:f>
        <x:v>0.00968</x:v>
      </x:c>
      <x:c r="X749" s="4" t="n">
        <x:f>'SUPUESTOS PRECIOS'!$B$2</x:f>
        <x:v>0.4</x:v>
      </x:c>
      <x:c r="Y749" s="3" t="str">
        <x:f t="shared" si="45"/>
      </x:c>
      <x:c r="Z749" s="3" t="str">
        <x:f t="shared" si="46"/>
      </x:c>
      <x:c r="AA749" s="11" t="str">
        <x:f t="shared" si="47"/>
      </x:c>
    </x:row>
    <x:row r="750">
      <x:c r="A750" s="10" t="s">
        <x:v>1873</x:v>
      </x:c>
      <x:c r="F750" t="s">
        <x:v>1358</x:v>
      </x:c>
      <x:c r="K750">
        <x:v>1</x:v>
      </x:c>
      <x:c r="L750" t="str">
        <x:f t="shared" si="44"/>
      </x:c>
      <x:c r="O750" t="s">
        <x:v>38</x:v>
      </x:c>
      <x:c r="T750" s="2" t="n">
        <x:f>'SUPUESTOS PRECIOS'!$B$9</x:f>
        <x:v>0</x:v>
      </x:c>
      <x:c r="U750" s="3" t="n">
        <x:f>'SUPUESTOS PRECIOS'!$B$5/'SUPUESTOS PRECIOS'!$B$4</x:f>
        <x:v>1000</x:v>
      </x:c>
      <x:c r="V750" s="3" t="n">
        <x:f>('SUPUESTOS PRECIOS'!$B$6-'SUPUESTOS PRECIOS'!$B$7)/'SUPUESTOS PRECIOS'!$B$4</x:f>
        <x:v>377.5</x:v>
      </x:c>
      <x:c r="W750" s="4" t="n">
        <x:f>'SUPUESTOS PRECIOS'!$B$8</x:f>
        <x:v>0.00968</x:v>
      </x:c>
      <x:c r="X750" s="4" t="n">
        <x:f>'SUPUESTOS PRECIOS'!$B$2</x:f>
        <x:v>0.4</x:v>
      </x:c>
      <x:c r="Y750" s="3" t="str">
        <x:f t="shared" si="45"/>
      </x:c>
      <x:c r="Z750" s="3" t="str">
        <x:f t="shared" si="46"/>
      </x:c>
      <x:c r="AA750" s="11" t="str">
        <x:f t="shared" si="47"/>
      </x:c>
    </x:row>
    <x:row r="751">
      <x:c r="A751" s="10" t="s">
        <x:v>1874</x:v>
      </x:c>
      <x:c r="F751" t="s">
        <x:v>1358</x:v>
      </x:c>
      <x:c r="K751">
        <x:v>1</x:v>
      </x:c>
      <x:c r="L751" t="str">
        <x:f t="shared" si="44"/>
      </x:c>
      <x:c r="O751" t="s">
        <x:v>38</x:v>
      </x:c>
      <x:c r="T751" s="2" t="n">
        <x:f>'SUPUESTOS PRECIOS'!$B$9</x:f>
        <x:v>0</x:v>
      </x:c>
      <x:c r="U751" s="3" t="n">
        <x:f>'SUPUESTOS PRECIOS'!$B$5/'SUPUESTOS PRECIOS'!$B$4</x:f>
        <x:v>1000</x:v>
      </x:c>
      <x:c r="V751" s="3" t="n">
        <x:f>('SUPUESTOS PRECIOS'!$B$6-'SUPUESTOS PRECIOS'!$B$7)/'SUPUESTOS PRECIOS'!$B$4</x:f>
        <x:v>377.5</x:v>
      </x:c>
      <x:c r="W751" s="4" t="n">
        <x:f>'SUPUESTOS PRECIOS'!$B$8</x:f>
        <x:v>0.00968</x:v>
      </x:c>
      <x:c r="X751" s="4" t="n">
        <x:f>'SUPUESTOS PRECIOS'!$B$2</x:f>
        <x:v>0.4</x:v>
      </x:c>
      <x:c r="Y751" s="3" t="str">
        <x:f t="shared" si="45"/>
      </x:c>
      <x:c r="Z751" s="3" t="str">
        <x:f t="shared" si="46"/>
      </x:c>
      <x:c r="AA751" s="11" t="str">
        <x:f t="shared" si="47"/>
      </x:c>
    </x:row>
    <x:row r="752">
      <x:c r="A752" s="10" t="s">
        <x:v>1875</x:v>
      </x:c>
      <x:c r="F752" t="s">
        <x:v>1358</x:v>
      </x:c>
      <x:c r="K752">
        <x:v>1</x:v>
      </x:c>
      <x:c r="L752" t="str">
        <x:f t="shared" si="44"/>
      </x:c>
      <x:c r="O752" t="s">
        <x:v>38</x:v>
      </x:c>
      <x:c r="T752" s="2" t="n">
        <x:f>'SUPUESTOS PRECIOS'!$B$9</x:f>
        <x:v>0</x:v>
      </x:c>
      <x:c r="U752" s="3" t="n">
        <x:f>'SUPUESTOS PRECIOS'!$B$5/'SUPUESTOS PRECIOS'!$B$4</x:f>
        <x:v>1000</x:v>
      </x:c>
      <x:c r="V752" s="3" t="n">
        <x:f>('SUPUESTOS PRECIOS'!$B$6-'SUPUESTOS PRECIOS'!$B$7)/'SUPUESTOS PRECIOS'!$B$4</x:f>
        <x:v>377.5</x:v>
      </x:c>
      <x:c r="W752" s="4" t="n">
        <x:f>'SUPUESTOS PRECIOS'!$B$8</x:f>
        <x:v>0.00968</x:v>
      </x:c>
      <x:c r="X752" s="4" t="n">
        <x:f>'SUPUESTOS PRECIOS'!$B$2</x:f>
        <x:v>0.4</x:v>
      </x:c>
      <x:c r="Y752" s="3" t="str">
        <x:f t="shared" si="45"/>
      </x:c>
      <x:c r="Z752" s="3" t="str">
        <x:f t="shared" si="46"/>
      </x:c>
      <x:c r="AA752" s="11" t="str">
        <x:f t="shared" si="47"/>
      </x:c>
    </x:row>
    <x:row r="753">
      <x:c r="A753" s="10" t="s">
        <x:v>1876</x:v>
      </x:c>
      <x:c r="F753" t="s">
        <x:v>1358</x:v>
      </x:c>
      <x:c r="K753">
        <x:v>1</x:v>
      </x:c>
      <x:c r="L753" t="str">
        <x:f t="shared" si="44"/>
      </x:c>
      <x:c r="O753" t="s">
        <x:v>38</x:v>
      </x:c>
      <x:c r="T753" s="2" t="n">
        <x:f>'SUPUESTOS PRECIOS'!$B$9</x:f>
        <x:v>0</x:v>
      </x:c>
      <x:c r="U753" s="3" t="n">
        <x:f>'SUPUESTOS PRECIOS'!$B$5/'SUPUESTOS PRECIOS'!$B$4</x:f>
        <x:v>1000</x:v>
      </x:c>
      <x:c r="V753" s="3" t="n">
        <x:f>('SUPUESTOS PRECIOS'!$B$6-'SUPUESTOS PRECIOS'!$B$7)/'SUPUESTOS PRECIOS'!$B$4</x:f>
        <x:v>377.5</x:v>
      </x:c>
      <x:c r="W753" s="4" t="n">
        <x:f>'SUPUESTOS PRECIOS'!$B$8</x:f>
        <x:v>0.00968</x:v>
      </x:c>
      <x:c r="X753" s="4" t="n">
        <x:f>'SUPUESTOS PRECIOS'!$B$2</x:f>
        <x:v>0.4</x:v>
      </x:c>
      <x:c r="Y753" s="3" t="str">
        <x:f t="shared" si="45"/>
      </x:c>
      <x:c r="Z753" s="3" t="str">
        <x:f t="shared" si="46"/>
      </x:c>
      <x:c r="AA753" s="11" t="str">
        <x:f t="shared" si="47"/>
      </x:c>
    </x:row>
    <x:row r="754">
      <x:c r="A754" s="10" t="s">
        <x:v>1877</x:v>
      </x:c>
      <x:c r="F754" t="s">
        <x:v>1358</x:v>
      </x:c>
      <x:c r="K754">
        <x:v>1</x:v>
      </x:c>
      <x:c r="L754" t="str">
        <x:f t="shared" si="44"/>
      </x:c>
      <x:c r="O754" t="s">
        <x:v>38</x:v>
      </x:c>
      <x:c r="T754" s="2" t="n">
        <x:f>'SUPUESTOS PRECIOS'!$B$9</x:f>
        <x:v>0</x:v>
      </x:c>
      <x:c r="U754" s="3" t="n">
        <x:f>'SUPUESTOS PRECIOS'!$B$5/'SUPUESTOS PRECIOS'!$B$4</x:f>
        <x:v>1000</x:v>
      </x:c>
      <x:c r="V754" s="3" t="n">
        <x:f>('SUPUESTOS PRECIOS'!$B$6-'SUPUESTOS PRECIOS'!$B$7)/'SUPUESTOS PRECIOS'!$B$4</x:f>
        <x:v>377.5</x:v>
      </x:c>
      <x:c r="W754" s="4" t="n">
        <x:f>'SUPUESTOS PRECIOS'!$B$8</x:f>
        <x:v>0.00968</x:v>
      </x:c>
      <x:c r="X754" s="4" t="n">
        <x:f>'SUPUESTOS PRECIOS'!$B$2</x:f>
        <x:v>0.4</x:v>
      </x:c>
      <x:c r="Y754" s="3" t="str">
        <x:f t="shared" si="45"/>
      </x:c>
      <x:c r="Z754" s="3" t="str">
        <x:f t="shared" si="46"/>
      </x:c>
      <x:c r="AA754" s="11" t="str">
        <x:f t="shared" si="47"/>
      </x:c>
    </x:row>
    <x:row r="755">
      <x:c r="A755" s="10" t="s">
        <x:v>1878</x:v>
      </x:c>
      <x:c r="F755" t="s">
        <x:v>1358</x:v>
      </x:c>
      <x:c r="K755">
        <x:v>1</x:v>
      </x:c>
      <x:c r="L755" t="str">
        <x:f t="shared" si="44"/>
      </x:c>
      <x:c r="O755" t="s">
        <x:v>38</x:v>
      </x:c>
      <x:c r="T755" s="2" t="n">
        <x:f>'SUPUESTOS PRECIOS'!$B$9</x:f>
        <x:v>0</x:v>
      </x:c>
      <x:c r="U755" s="3" t="n">
        <x:f>'SUPUESTOS PRECIOS'!$B$5/'SUPUESTOS PRECIOS'!$B$4</x:f>
        <x:v>1000</x:v>
      </x:c>
      <x:c r="V755" s="3" t="n">
        <x:f>('SUPUESTOS PRECIOS'!$B$6-'SUPUESTOS PRECIOS'!$B$7)/'SUPUESTOS PRECIOS'!$B$4</x:f>
        <x:v>377.5</x:v>
      </x:c>
      <x:c r="W755" s="4" t="n">
        <x:f>'SUPUESTOS PRECIOS'!$B$8</x:f>
        <x:v>0.00968</x:v>
      </x:c>
      <x:c r="X755" s="4" t="n">
        <x:f>'SUPUESTOS PRECIOS'!$B$2</x:f>
        <x:v>0.4</x:v>
      </x:c>
      <x:c r="Y755" s="3" t="str">
        <x:f t="shared" si="45"/>
      </x:c>
      <x:c r="Z755" s="3" t="str">
        <x:f t="shared" si="46"/>
      </x:c>
      <x:c r="AA755" s="11" t="str">
        <x:f t="shared" si="47"/>
      </x:c>
    </x:row>
    <x:row r="756">
      <x:c r="A756" s="10" t="s">
        <x:v>1879</x:v>
      </x:c>
      <x:c r="F756" t="s">
        <x:v>1358</x:v>
      </x:c>
      <x:c r="K756">
        <x:v>1</x:v>
      </x:c>
      <x:c r="L756" t="str">
        <x:f t="shared" si="44"/>
      </x:c>
      <x:c r="O756" t="s">
        <x:v>38</x:v>
      </x:c>
      <x:c r="T756" s="2" t="n">
        <x:f>'SUPUESTOS PRECIOS'!$B$9</x:f>
        <x:v>0</x:v>
      </x:c>
      <x:c r="U756" s="3" t="n">
        <x:f>'SUPUESTOS PRECIOS'!$B$5/'SUPUESTOS PRECIOS'!$B$4</x:f>
        <x:v>1000</x:v>
      </x:c>
      <x:c r="V756" s="3" t="n">
        <x:f>('SUPUESTOS PRECIOS'!$B$6-'SUPUESTOS PRECIOS'!$B$7)/'SUPUESTOS PRECIOS'!$B$4</x:f>
        <x:v>377.5</x:v>
      </x:c>
      <x:c r="W756" s="4" t="n">
        <x:f>'SUPUESTOS PRECIOS'!$B$8</x:f>
        <x:v>0.00968</x:v>
      </x:c>
      <x:c r="X756" s="4" t="n">
        <x:f>'SUPUESTOS PRECIOS'!$B$2</x:f>
        <x:v>0.4</x:v>
      </x:c>
      <x:c r="Y756" s="3" t="str">
        <x:f t="shared" si="45"/>
      </x:c>
      <x:c r="Z756" s="3" t="str">
        <x:f t="shared" si="46"/>
      </x:c>
      <x:c r="AA756" s="11" t="str">
        <x:f t="shared" si="47"/>
      </x:c>
    </x:row>
    <x:row r="757">
      <x:c r="A757" s="10" t="s">
        <x:v>1880</x:v>
      </x:c>
      <x:c r="F757" t="s">
        <x:v>1358</x:v>
      </x:c>
      <x:c r="K757">
        <x:v>1</x:v>
      </x:c>
      <x:c r="L757" t="str">
        <x:f t="shared" si="44"/>
      </x:c>
      <x:c r="O757" t="s">
        <x:v>38</x:v>
      </x:c>
      <x:c r="T757" s="2" t="n">
        <x:f>'SUPUESTOS PRECIOS'!$B$9</x:f>
        <x:v>0</x:v>
      </x:c>
      <x:c r="U757" s="3" t="n">
        <x:f>'SUPUESTOS PRECIOS'!$B$5/'SUPUESTOS PRECIOS'!$B$4</x:f>
        <x:v>1000</x:v>
      </x:c>
      <x:c r="V757" s="3" t="n">
        <x:f>('SUPUESTOS PRECIOS'!$B$6-'SUPUESTOS PRECIOS'!$B$7)/'SUPUESTOS PRECIOS'!$B$4</x:f>
        <x:v>377.5</x:v>
      </x:c>
      <x:c r="W757" s="4" t="n">
        <x:f>'SUPUESTOS PRECIOS'!$B$8</x:f>
        <x:v>0.00968</x:v>
      </x:c>
      <x:c r="X757" s="4" t="n">
        <x:f>'SUPUESTOS PRECIOS'!$B$2</x:f>
        <x:v>0.4</x:v>
      </x:c>
      <x:c r="Y757" s="3" t="str">
        <x:f t="shared" si="45"/>
      </x:c>
      <x:c r="Z757" s="3" t="str">
        <x:f t="shared" si="46"/>
      </x:c>
      <x:c r="AA757" s="11" t="str">
        <x:f t="shared" si="47"/>
      </x:c>
    </x:row>
    <x:row r="758">
      <x:c r="A758" s="10" t="s">
        <x:v>1881</x:v>
      </x:c>
      <x:c r="F758" t="s">
        <x:v>1358</x:v>
      </x:c>
      <x:c r="K758">
        <x:v>1</x:v>
      </x:c>
      <x:c r="L758" t="str">
        <x:f t="shared" si="44"/>
      </x:c>
      <x:c r="O758" t="s">
        <x:v>38</x:v>
      </x:c>
      <x:c r="T758" s="2" t="n">
        <x:f>'SUPUESTOS PRECIOS'!$B$9</x:f>
        <x:v>0</x:v>
      </x:c>
      <x:c r="U758" s="3" t="n">
        <x:f>'SUPUESTOS PRECIOS'!$B$5/'SUPUESTOS PRECIOS'!$B$4</x:f>
        <x:v>1000</x:v>
      </x:c>
      <x:c r="V758" s="3" t="n">
        <x:f>('SUPUESTOS PRECIOS'!$B$6-'SUPUESTOS PRECIOS'!$B$7)/'SUPUESTOS PRECIOS'!$B$4</x:f>
        <x:v>377.5</x:v>
      </x:c>
      <x:c r="W758" s="4" t="n">
        <x:f>'SUPUESTOS PRECIOS'!$B$8</x:f>
        <x:v>0.00968</x:v>
      </x:c>
      <x:c r="X758" s="4" t="n">
        <x:f>'SUPUESTOS PRECIOS'!$B$2</x:f>
        <x:v>0.4</x:v>
      </x:c>
      <x:c r="Y758" s="3" t="str">
        <x:f t="shared" si="45"/>
      </x:c>
      <x:c r="Z758" s="3" t="str">
        <x:f t="shared" si="46"/>
      </x:c>
      <x:c r="AA758" s="11" t="str">
        <x:f t="shared" si="47"/>
      </x:c>
    </x:row>
    <x:row r="759">
      <x:c r="A759" s="10" t="s">
        <x:v>1882</x:v>
      </x:c>
      <x:c r="F759" t="s">
        <x:v>1358</x:v>
      </x:c>
      <x:c r="K759">
        <x:v>1</x:v>
      </x:c>
      <x:c r="L759" t="str">
        <x:f t="shared" si="44"/>
      </x:c>
      <x:c r="O759" t="s">
        <x:v>38</x:v>
      </x:c>
      <x:c r="T759" s="2" t="n">
        <x:f>'SUPUESTOS PRECIOS'!$B$9</x:f>
        <x:v>0</x:v>
      </x:c>
      <x:c r="U759" s="3" t="n">
        <x:f>'SUPUESTOS PRECIOS'!$B$5/'SUPUESTOS PRECIOS'!$B$4</x:f>
        <x:v>1000</x:v>
      </x:c>
      <x:c r="V759" s="3" t="n">
        <x:f>('SUPUESTOS PRECIOS'!$B$6-'SUPUESTOS PRECIOS'!$B$7)/'SUPUESTOS PRECIOS'!$B$4</x:f>
        <x:v>377.5</x:v>
      </x:c>
      <x:c r="W759" s="4" t="n">
        <x:f>'SUPUESTOS PRECIOS'!$B$8</x:f>
        <x:v>0.00968</x:v>
      </x:c>
      <x:c r="X759" s="4" t="n">
        <x:f>'SUPUESTOS PRECIOS'!$B$2</x:f>
        <x:v>0.4</x:v>
      </x:c>
      <x:c r="Y759" s="3" t="str">
        <x:f t="shared" si="45"/>
      </x:c>
      <x:c r="Z759" s="3" t="str">
        <x:f t="shared" si="46"/>
      </x:c>
      <x:c r="AA759" s="11" t="str">
        <x:f t="shared" si="47"/>
      </x:c>
    </x:row>
    <x:row r="760">
      <x:c r="A760" s="10" t="s">
        <x:v>1883</x:v>
      </x:c>
      <x:c r="F760" t="s">
        <x:v>1358</x:v>
      </x:c>
      <x:c r="K760">
        <x:v>1</x:v>
      </x:c>
      <x:c r="L760" t="str">
        <x:f t="shared" si="44"/>
      </x:c>
      <x:c r="O760" t="s">
        <x:v>38</x:v>
      </x:c>
      <x:c r="T760" s="2" t="n">
        <x:f>'SUPUESTOS PRECIOS'!$B$9</x:f>
        <x:v>0</x:v>
      </x:c>
      <x:c r="U760" s="3" t="n">
        <x:f>'SUPUESTOS PRECIOS'!$B$5/'SUPUESTOS PRECIOS'!$B$4</x:f>
        <x:v>1000</x:v>
      </x:c>
      <x:c r="V760" s="3" t="n">
        <x:f>('SUPUESTOS PRECIOS'!$B$6-'SUPUESTOS PRECIOS'!$B$7)/'SUPUESTOS PRECIOS'!$B$4</x:f>
        <x:v>377.5</x:v>
      </x:c>
      <x:c r="W760" s="4" t="n">
        <x:f>'SUPUESTOS PRECIOS'!$B$8</x:f>
        <x:v>0.00968</x:v>
      </x:c>
      <x:c r="X760" s="4" t="n">
        <x:f>'SUPUESTOS PRECIOS'!$B$2</x:f>
        <x:v>0.4</x:v>
      </x:c>
      <x:c r="Y760" s="3" t="str">
        <x:f t="shared" si="45"/>
      </x:c>
      <x:c r="Z760" s="3" t="str">
        <x:f t="shared" si="46"/>
      </x:c>
      <x:c r="AA760" s="11" t="str">
        <x:f t="shared" si="47"/>
      </x:c>
    </x:row>
    <x:row r="761">
      <x:c r="A761" s="10" t="s">
        <x:v>1884</x:v>
      </x:c>
      <x:c r="F761" t="s">
        <x:v>1358</x:v>
      </x:c>
      <x:c r="K761">
        <x:v>1</x:v>
      </x:c>
      <x:c r="L761" t="str">
        <x:f t="shared" si="44"/>
      </x:c>
      <x:c r="O761" t="s">
        <x:v>38</x:v>
      </x:c>
      <x:c r="T761" s="2" t="n">
        <x:f>'SUPUESTOS PRECIOS'!$B$9</x:f>
        <x:v>0</x:v>
      </x:c>
      <x:c r="U761" s="3" t="n">
        <x:f>'SUPUESTOS PRECIOS'!$B$5/'SUPUESTOS PRECIOS'!$B$4</x:f>
        <x:v>1000</x:v>
      </x:c>
      <x:c r="V761" s="3" t="n">
        <x:f>('SUPUESTOS PRECIOS'!$B$6-'SUPUESTOS PRECIOS'!$B$7)/'SUPUESTOS PRECIOS'!$B$4</x:f>
        <x:v>377.5</x:v>
      </x:c>
      <x:c r="W761" s="4" t="n">
        <x:f>'SUPUESTOS PRECIOS'!$B$8</x:f>
        <x:v>0.00968</x:v>
      </x:c>
      <x:c r="X761" s="4" t="n">
        <x:f>'SUPUESTOS PRECIOS'!$B$2</x:f>
        <x:v>0.4</x:v>
      </x:c>
      <x:c r="Y761" s="3" t="str">
        <x:f t="shared" si="45"/>
      </x:c>
      <x:c r="Z761" s="3" t="str">
        <x:f t="shared" si="46"/>
      </x:c>
      <x:c r="AA761" s="11" t="str">
        <x:f t="shared" si="47"/>
      </x:c>
    </x:row>
    <x:row r="762">
      <x:c r="A762" s="10" t="s">
        <x:v>1885</x:v>
      </x:c>
      <x:c r="F762" t="s">
        <x:v>1358</x:v>
      </x:c>
      <x:c r="K762">
        <x:v>1</x:v>
      </x:c>
      <x:c r="L762" t="str">
        <x:f t="shared" si="44"/>
      </x:c>
      <x:c r="O762" t="s">
        <x:v>38</x:v>
      </x:c>
      <x:c r="T762" s="2" t="n">
        <x:f>'SUPUESTOS PRECIOS'!$B$9</x:f>
        <x:v>0</x:v>
      </x:c>
      <x:c r="U762" s="3" t="n">
        <x:f>'SUPUESTOS PRECIOS'!$B$5/'SUPUESTOS PRECIOS'!$B$4</x:f>
        <x:v>1000</x:v>
      </x:c>
      <x:c r="V762" s="3" t="n">
        <x:f>('SUPUESTOS PRECIOS'!$B$6-'SUPUESTOS PRECIOS'!$B$7)/'SUPUESTOS PRECIOS'!$B$4</x:f>
        <x:v>377.5</x:v>
      </x:c>
      <x:c r="W762" s="4" t="n">
        <x:f>'SUPUESTOS PRECIOS'!$B$8</x:f>
        <x:v>0.00968</x:v>
      </x:c>
      <x:c r="X762" s="4" t="n">
        <x:f>'SUPUESTOS PRECIOS'!$B$2</x:f>
        <x:v>0.4</x:v>
      </x:c>
      <x:c r="Y762" s="3" t="str">
        <x:f t="shared" si="45"/>
      </x:c>
      <x:c r="Z762" s="3" t="str">
        <x:f t="shared" si="46"/>
      </x:c>
      <x:c r="AA762" s="11" t="str">
        <x:f t="shared" si="47"/>
      </x:c>
    </x:row>
    <x:row r="763">
      <x:c r="A763" s="10" t="s">
        <x:v>1886</x:v>
      </x:c>
      <x:c r="F763" t="s">
        <x:v>1358</x:v>
      </x:c>
      <x:c r="K763">
        <x:v>1</x:v>
      </x:c>
      <x:c r="L763" t="str">
        <x:f t="shared" si="44"/>
      </x:c>
      <x:c r="O763" t="s">
        <x:v>38</x:v>
      </x:c>
      <x:c r="T763" s="2" t="n">
        <x:f>'SUPUESTOS PRECIOS'!$B$9</x:f>
        <x:v>0</x:v>
      </x:c>
      <x:c r="U763" s="3" t="n">
        <x:f>'SUPUESTOS PRECIOS'!$B$5/'SUPUESTOS PRECIOS'!$B$4</x:f>
        <x:v>1000</x:v>
      </x:c>
      <x:c r="V763" s="3" t="n">
        <x:f>('SUPUESTOS PRECIOS'!$B$6-'SUPUESTOS PRECIOS'!$B$7)/'SUPUESTOS PRECIOS'!$B$4</x:f>
        <x:v>377.5</x:v>
      </x:c>
      <x:c r="W763" s="4" t="n">
        <x:f>'SUPUESTOS PRECIOS'!$B$8</x:f>
        <x:v>0.00968</x:v>
      </x:c>
      <x:c r="X763" s="4" t="n">
        <x:f>'SUPUESTOS PRECIOS'!$B$2</x:f>
        <x:v>0.4</x:v>
      </x:c>
      <x:c r="Y763" s="3" t="str">
        <x:f t="shared" si="45"/>
      </x:c>
      <x:c r="Z763" s="3" t="str">
        <x:f t="shared" si="46"/>
      </x:c>
      <x:c r="AA763" s="11" t="str">
        <x:f t="shared" si="47"/>
      </x:c>
    </x:row>
    <x:row r="764">
      <x:c r="A764" s="10" t="s">
        <x:v>1887</x:v>
      </x:c>
      <x:c r="F764" t="s">
        <x:v>1358</x:v>
      </x:c>
      <x:c r="K764">
        <x:v>1</x:v>
      </x:c>
      <x:c r="L764" t="str">
        <x:f t="shared" si="44"/>
      </x:c>
      <x:c r="O764" t="s">
        <x:v>38</x:v>
      </x:c>
      <x:c r="T764" s="2" t="n">
        <x:f>'SUPUESTOS PRECIOS'!$B$9</x:f>
        <x:v>0</x:v>
      </x:c>
      <x:c r="U764" s="3" t="n">
        <x:f>'SUPUESTOS PRECIOS'!$B$5/'SUPUESTOS PRECIOS'!$B$4</x:f>
        <x:v>1000</x:v>
      </x:c>
      <x:c r="V764" s="3" t="n">
        <x:f>('SUPUESTOS PRECIOS'!$B$6-'SUPUESTOS PRECIOS'!$B$7)/'SUPUESTOS PRECIOS'!$B$4</x:f>
        <x:v>377.5</x:v>
      </x:c>
      <x:c r="W764" s="4" t="n">
        <x:f>'SUPUESTOS PRECIOS'!$B$8</x:f>
        <x:v>0.00968</x:v>
      </x:c>
      <x:c r="X764" s="4" t="n">
        <x:f>'SUPUESTOS PRECIOS'!$B$2</x:f>
        <x:v>0.4</x:v>
      </x:c>
      <x:c r="Y764" s="3" t="str">
        <x:f t="shared" si="45"/>
      </x:c>
      <x:c r="Z764" s="3" t="str">
        <x:f t="shared" si="46"/>
      </x:c>
      <x:c r="AA764" s="11" t="str">
        <x:f t="shared" si="47"/>
      </x:c>
    </x:row>
    <x:row r="765">
      <x:c r="A765" s="10" t="s">
        <x:v>1888</x:v>
      </x:c>
      <x:c r="F765" t="s">
        <x:v>1358</x:v>
      </x:c>
      <x:c r="K765">
        <x:v>1</x:v>
      </x:c>
      <x:c r="L765" t="str">
        <x:f t="shared" si="44"/>
      </x:c>
      <x:c r="O765" t="s">
        <x:v>38</x:v>
      </x:c>
      <x:c r="T765" s="2" t="n">
        <x:f>'SUPUESTOS PRECIOS'!$B$9</x:f>
        <x:v>0</x:v>
      </x:c>
      <x:c r="U765" s="3" t="n">
        <x:f>'SUPUESTOS PRECIOS'!$B$5/'SUPUESTOS PRECIOS'!$B$4</x:f>
        <x:v>1000</x:v>
      </x:c>
      <x:c r="V765" s="3" t="n">
        <x:f>('SUPUESTOS PRECIOS'!$B$6-'SUPUESTOS PRECIOS'!$B$7)/'SUPUESTOS PRECIOS'!$B$4</x:f>
        <x:v>377.5</x:v>
      </x:c>
      <x:c r="W765" s="4" t="n">
        <x:f>'SUPUESTOS PRECIOS'!$B$8</x:f>
        <x:v>0.00968</x:v>
      </x:c>
      <x:c r="X765" s="4" t="n">
        <x:f>'SUPUESTOS PRECIOS'!$B$2</x:f>
        <x:v>0.4</x:v>
      </x:c>
      <x:c r="Y765" s="3" t="str">
        <x:f t="shared" si="45"/>
      </x:c>
      <x:c r="Z765" s="3" t="str">
        <x:f t="shared" si="46"/>
      </x:c>
      <x:c r="AA765" s="11" t="str">
        <x:f t="shared" si="47"/>
      </x:c>
    </x:row>
    <x:row r="766">
      <x:c r="A766" s="10" t="s">
        <x:v>1889</x:v>
      </x:c>
      <x:c r="F766" t="s">
        <x:v>1358</x:v>
      </x:c>
      <x:c r="K766">
        <x:v>1</x:v>
      </x:c>
      <x:c r="L766" t="str">
        <x:f t="shared" si="44"/>
      </x:c>
      <x:c r="O766" t="s">
        <x:v>38</x:v>
      </x:c>
      <x:c r="T766" s="2" t="n">
        <x:f>'SUPUESTOS PRECIOS'!$B$9</x:f>
        <x:v>0</x:v>
      </x:c>
      <x:c r="U766" s="3" t="n">
        <x:f>'SUPUESTOS PRECIOS'!$B$5/'SUPUESTOS PRECIOS'!$B$4</x:f>
        <x:v>1000</x:v>
      </x:c>
      <x:c r="V766" s="3" t="n">
        <x:f>('SUPUESTOS PRECIOS'!$B$6-'SUPUESTOS PRECIOS'!$B$7)/'SUPUESTOS PRECIOS'!$B$4</x:f>
        <x:v>377.5</x:v>
      </x:c>
      <x:c r="W766" s="4" t="n">
        <x:f>'SUPUESTOS PRECIOS'!$B$8</x:f>
        <x:v>0.00968</x:v>
      </x:c>
      <x:c r="X766" s="4" t="n">
        <x:f>'SUPUESTOS PRECIOS'!$B$2</x:f>
        <x:v>0.4</x:v>
      </x:c>
      <x:c r="Y766" s="3" t="str">
        <x:f t="shared" si="45"/>
      </x:c>
      <x:c r="Z766" s="3" t="str">
        <x:f t="shared" si="46"/>
      </x:c>
      <x:c r="AA766" s="11" t="str">
        <x:f t="shared" si="47"/>
      </x:c>
    </x:row>
    <x:row r="767">
      <x:c r="A767" s="10" t="s">
        <x:v>1890</x:v>
      </x:c>
      <x:c r="F767" t="s">
        <x:v>1358</x:v>
      </x:c>
      <x:c r="K767">
        <x:v>1</x:v>
      </x:c>
      <x:c r="L767" t="str">
        <x:f t="shared" si="44"/>
      </x:c>
      <x:c r="O767" t="s">
        <x:v>38</x:v>
      </x:c>
      <x:c r="T767" s="2" t="n">
        <x:f>'SUPUESTOS PRECIOS'!$B$9</x:f>
        <x:v>0</x:v>
      </x:c>
      <x:c r="U767" s="3" t="n">
        <x:f>'SUPUESTOS PRECIOS'!$B$5/'SUPUESTOS PRECIOS'!$B$4</x:f>
        <x:v>1000</x:v>
      </x:c>
      <x:c r="V767" s="3" t="n">
        <x:f>('SUPUESTOS PRECIOS'!$B$6-'SUPUESTOS PRECIOS'!$B$7)/'SUPUESTOS PRECIOS'!$B$4</x:f>
        <x:v>377.5</x:v>
      </x:c>
      <x:c r="W767" s="4" t="n">
        <x:f>'SUPUESTOS PRECIOS'!$B$8</x:f>
        <x:v>0.00968</x:v>
      </x:c>
      <x:c r="X767" s="4" t="n">
        <x:f>'SUPUESTOS PRECIOS'!$B$2</x:f>
        <x:v>0.4</x:v>
      </x:c>
      <x:c r="Y767" s="3" t="str">
        <x:f t="shared" si="45"/>
      </x:c>
      <x:c r="Z767" s="3" t="str">
        <x:f t="shared" si="46"/>
      </x:c>
      <x:c r="AA767" s="11" t="str">
        <x:f t="shared" si="47"/>
      </x:c>
    </x:row>
    <x:row r="768">
      <x:c r="A768" s="10" t="s">
        <x:v>1891</x:v>
      </x:c>
      <x:c r="F768" t="s">
        <x:v>1358</x:v>
      </x:c>
      <x:c r="K768">
        <x:v>1</x:v>
      </x:c>
      <x:c r="L768" t="str">
        <x:f t="shared" si="44"/>
      </x:c>
      <x:c r="O768" t="s">
        <x:v>38</x:v>
      </x:c>
      <x:c r="T768" s="2" t="n">
        <x:f>'SUPUESTOS PRECIOS'!$B$9</x:f>
        <x:v>0</x:v>
      </x:c>
      <x:c r="U768" s="3" t="n">
        <x:f>'SUPUESTOS PRECIOS'!$B$5/'SUPUESTOS PRECIOS'!$B$4</x:f>
        <x:v>1000</x:v>
      </x:c>
      <x:c r="V768" s="3" t="n">
        <x:f>('SUPUESTOS PRECIOS'!$B$6-'SUPUESTOS PRECIOS'!$B$7)/'SUPUESTOS PRECIOS'!$B$4</x:f>
        <x:v>377.5</x:v>
      </x:c>
      <x:c r="W768" s="4" t="n">
        <x:f>'SUPUESTOS PRECIOS'!$B$8</x:f>
        <x:v>0.00968</x:v>
      </x:c>
      <x:c r="X768" s="4" t="n">
        <x:f>'SUPUESTOS PRECIOS'!$B$2</x:f>
        <x:v>0.4</x:v>
      </x:c>
      <x:c r="Y768" s="3" t="str">
        <x:f t="shared" si="45"/>
      </x:c>
      <x:c r="Z768" s="3" t="str">
        <x:f t="shared" si="46"/>
      </x:c>
      <x:c r="AA768" s="11" t="str">
        <x:f t="shared" si="47"/>
      </x:c>
    </x:row>
    <x:row r="769">
      <x:c r="A769" s="10" t="s">
        <x:v>1892</x:v>
      </x:c>
      <x:c r="F769" t="s">
        <x:v>1358</x:v>
      </x:c>
      <x:c r="K769">
        <x:v>1</x:v>
      </x:c>
      <x:c r="L769" t="str">
        <x:f t="shared" si="44"/>
      </x:c>
      <x:c r="O769" t="s">
        <x:v>38</x:v>
      </x:c>
      <x:c r="T769" s="2" t="n">
        <x:f>'SUPUESTOS PRECIOS'!$B$9</x:f>
        <x:v>0</x:v>
      </x:c>
      <x:c r="U769" s="3" t="n">
        <x:f>'SUPUESTOS PRECIOS'!$B$5/'SUPUESTOS PRECIOS'!$B$4</x:f>
        <x:v>1000</x:v>
      </x:c>
      <x:c r="V769" s="3" t="n">
        <x:f>('SUPUESTOS PRECIOS'!$B$6-'SUPUESTOS PRECIOS'!$B$7)/'SUPUESTOS PRECIOS'!$B$4</x:f>
        <x:v>377.5</x:v>
      </x:c>
      <x:c r="W769" s="4" t="n">
        <x:f>'SUPUESTOS PRECIOS'!$B$8</x:f>
        <x:v>0.00968</x:v>
      </x:c>
      <x:c r="X769" s="4" t="n">
        <x:f>'SUPUESTOS PRECIOS'!$B$2</x:f>
        <x:v>0.4</x:v>
      </x:c>
      <x:c r="Y769" s="3" t="str">
        <x:f t="shared" si="45"/>
      </x:c>
      <x:c r="Z769" s="3" t="str">
        <x:f t="shared" si="46"/>
      </x:c>
      <x:c r="AA769" s="11" t="str">
        <x:f t="shared" si="47"/>
      </x:c>
    </x:row>
    <x:row r="770">
      <x:c r="A770" s="10" t="s">
        <x:v>1893</x:v>
      </x:c>
      <x:c r="F770" t="s">
        <x:v>1358</x:v>
      </x:c>
      <x:c r="K770">
        <x:v>1</x:v>
      </x:c>
      <x:c r="L770" t="str">
        <x:f t="shared" ref="L770:L833" si="48">IF(J770="","",J770*(1+K770))</x:f>
      </x:c>
      <x:c r="O770" t="s">
        <x:v>38</x:v>
      </x:c>
      <x:c r="T770" s="2" t="n">
        <x:f>'SUPUESTOS PRECIOS'!$B$9</x:f>
        <x:v>0</x:v>
      </x:c>
      <x:c r="U770" s="3" t="n">
        <x:f>'SUPUESTOS PRECIOS'!$B$5/'SUPUESTOS PRECIOS'!$B$4</x:f>
        <x:v>1000</x:v>
      </x:c>
      <x:c r="V770" s="3" t="n">
        <x:f>('SUPUESTOS PRECIOS'!$B$6-'SUPUESTOS PRECIOS'!$B$7)/'SUPUESTOS PRECIOS'!$B$4</x:f>
        <x:v>377.5</x:v>
      </x:c>
      <x:c r="W770" s="4" t="n">
        <x:f>'SUPUESTOS PRECIOS'!$B$8</x:f>
        <x:v>0.00968</x:v>
      </x:c>
      <x:c r="X770" s="4" t="n">
        <x:f>'SUPUESTOS PRECIOS'!$B$2</x:f>
        <x:v>0.4</x:v>
      </x:c>
      <x:c r="Y770" s="3" t="str">
        <x:f t="shared" ref="Y770:Y833" si="49">IF(OR($B770="",$J770=""),"",ROUND(($J770+$T770+$U770+$V770)/(1-$W770-$X770),-1))</x:f>
      </x:c>
      <x:c r="Z770" s="3" t="str">
        <x:f t="shared" ref="Z770:Z833" si="50">IF($Y770="","",$Y770-$J770-$T770-$U770-$V770-($Y770*$W770))</x:f>
      </x:c>
      <x:c r="AA770" s="11" t="str">
        <x:f t="shared" ref="AA770:AA833" si="51">IF($Y770="","",$Z770/$Y770)</x:f>
      </x:c>
    </x:row>
    <x:row r="771">
      <x:c r="A771" s="10" t="s">
        <x:v>1894</x:v>
      </x:c>
      <x:c r="F771" t="s">
        <x:v>1358</x:v>
      </x:c>
      <x:c r="K771">
        <x:v>1</x:v>
      </x:c>
      <x:c r="L771" t="str">
        <x:f t="shared" si="48"/>
      </x:c>
      <x:c r="O771" t="s">
        <x:v>38</x:v>
      </x:c>
      <x:c r="T771" s="2" t="n">
        <x:f>'SUPUESTOS PRECIOS'!$B$9</x:f>
        <x:v>0</x:v>
      </x:c>
      <x:c r="U771" s="3" t="n">
        <x:f>'SUPUESTOS PRECIOS'!$B$5/'SUPUESTOS PRECIOS'!$B$4</x:f>
        <x:v>1000</x:v>
      </x:c>
      <x:c r="V771" s="3" t="n">
        <x:f>('SUPUESTOS PRECIOS'!$B$6-'SUPUESTOS PRECIOS'!$B$7)/'SUPUESTOS PRECIOS'!$B$4</x:f>
        <x:v>377.5</x:v>
      </x:c>
      <x:c r="W771" s="4" t="n">
        <x:f>'SUPUESTOS PRECIOS'!$B$8</x:f>
        <x:v>0.00968</x:v>
      </x:c>
      <x:c r="X771" s="4" t="n">
        <x:f>'SUPUESTOS PRECIOS'!$B$2</x:f>
        <x:v>0.4</x:v>
      </x:c>
      <x:c r="Y771" s="3" t="str">
        <x:f t="shared" si="49"/>
      </x:c>
      <x:c r="Z771" s="3" t="str">
        <x:f t="shared" si="50"/>
      </x:c>
      <x:c r="AA771" s="11" t="str">
        <x:f t="shared" si="51"/>
      </x:c>
    </x:row>
    <x:row r="772">
      <x:c r="A772" s="10" t="s">
        <x:v>1895</x:v>
      </x:c>
      <x:c r="F772" t="s">
        <x:v>1358</x:v>
      </x:c>
      <x:c r="K772">
        <x:v>1</x:v>
      </x:c>
      <x:c r="L772" t="str">
        <x:f t="shared" si="48"/>
      </x:c>
      <x:c r="O772" t="s">
        <x:v>38</x:v>
      </x:c>
      <x:c r="T772" s="2" t="n">
        <x:f>'SUPUESTOS PRECIOS'!$B$9</x:f>
        <x:v>0</x:v>
      </x:c>
      <x:c r="U772" s="3" t="n">
        <x:f>'SUPUESTOS PRECIOS'!$B$5/'SUPUESTOS PRECIOS'!$B$4</x:f>
        <x:v>1000</x:v>
      </x:c>
      <x:c r="V772" s="3" t="n">
        <x:f>('SUPUESTOS PRECIOS'!$B$6-'SUPUESTOS PRECIOS'!$B$7)/'SUPUESTOS PRECIOS'!$B$4</x:f>
        <x:v>377.5</x:v>
      </x:c>
      <x:c r="W772" s="4" t="n">
        <x:f>'SUPUESTOS PRECIOS'!$B$8</x:f>
        <x:v>0.00968</x:v>
      </x:c>
      <x:c r="X772" s="4" t="n">
        <x:f>'SUPUESTOS PRECIOS'!$B$2</x:f>
        <x:v>0.4</x:v>
      </x:c>
      <x:c r="Y772" s="3" t="str">
        <x:f t="shared" si="49"/>
      </x:c>
      <x:c r="Z772" s="3" t="str">
        <x:f t="shared" si="50"/>
      </x:c>
      <x:c r="AA772" s="11" t="str">
        <x:f t="shared" si="51"/>
      </x:c>
    </x:row>
    <x:row r="773">
      <x:c r="A773" s="10" t="s">
        <x:v>1896</x:v>
      </x:c>
      <x:c r="F773" t="s">
        <x:v>1358</x:v>
      </x:c>
      <x:c r="K773">
        <x:v>1</x:v>
      </x:c>
      <x:c r="L773" t="str">
        <x:f t="shared" si="48"/>
      </x:c>
      <x:c r="O773" t="s">
        <x:v>38</x:v>
      </x:c>
      <x:c r="T773" s="2" t="n">
        <x:f>'SUPUESTOS PRECIOS'!$B$9</x:f>
        <x:v>0</x:v>
      </x:c>
      <x:c r="U773" s="3" t="n">
        <x:f>'SUPUESTOS PRECIOS'!$B$5/'SUPUESTOS PRECIOS'!$B$4</x:f>
        <x:v>1000</x:v>
      </x:c>
      <x:c r="V773" s="3" t="n">
        <x:f>('SUPUESTOS PRECIOS'!$B$6-'SUPUESTOS PRECIOS'!$B$7)/'SUPUESTOS PRECIOS'!$B$4</x:f>
        <x:v>377.5</x:v>
      </x:c>
      <x:c r="W773" s="4" t="n">
        <x:f>'SUPUESTOS PRECIOS'!$B$8</x:f>
        <x:v>0.00968</x:v>
      </x:c>
      <x:c r="X773" s="4" t="n">
        <x:f>'SUPUESTOS PRECIOS'!$B$2</x:f>
        <x:v>0.4</x:v>
      </x:c>
      <x:c r="Y773" s="3" t="str">
        <x:f t="shared" si="49"/>
      </x:c>
      <x:c r="Z773" s="3" t="str">
        <x:f t="shared" si="50"/>
      </x:c>
      <x:c r="AA773" s="11" t="str">
        <x:f t="shared" si="51"/>
      </x:c>
    </x:row>
    <x:row r="774">
      <x:c r="A774" s="10" t="s">
        <x:v>1897</x:v>
      </x:c>
      <x:c r="F774" t="s">
        <x:v>1358</x:v>
      </x:c>
      <x:c r="K774">
        <x:v>1</x:v>
      </x:c>
      <x:c r="L774" t="str">
        <x:f t="shared" si="48"/>
      </x:c>
      <x:c r="O774" t="s">
        <x:v>38</x:v>
      </x:c>
      <x:c r="T774" s="2" t="n">
        <x:f>'SUPUESTOS PRECIOS'!$B$9</x:f>
        <x:v>0</x:v>
      </x:c>
      <x:c r="U774" s="3" t="n">
        <x:f>'SUPUESTOS PRECIOS'!$B$5/'SUPUESTOS PRECIOS'!$B$4</x:f>
        <x:v>1000</x:v>
      </x:c>
      <x:c r="V774" s="3" t="n">
        <x:f>('SUPUESTOS PRECIOS'!$B$6-'SUPUESTOS PRECIOS'!$B$7)/'SUPUESTOS PRECIOS'!$B$4</x:f>
        <x:v>377.5</x:v>
      </x:c>
      <x:c r="W774" s="4" t="n">
        <x:f>'SUPUESTOS PRECIOS'!$B$8</x:f>
        <x:v>0.00968</x:v>
      </x:c>
      <x:c r="X774" s="4" t="n">
        <x:f>'SUPUESTOS PRECIOS'!$B$2</x:f>
        <x:v>0.4</x:v>
      </x:c>
      <x:c r="Y774" s="3" t="str">
        <x:f t="shared" si="49"/>
      </x:c>
      <x:c r="Z774" s="3" t="str">
        <x:f t="shared" si="50"/>
      </x:c>
      <x:c r="AA774" s="11" t="str">
        <x:f t="shared" si="51"/>
      </x:c>
    </x:row>
    <x:row r="775">
      <x:c r="A775" s="10" t="s">
        <x:v>1898</x:v>
      </x:c>
      <x:c r="F775" t="s">
        <x:v>1358</x:v>
      </x:c>
      <x:c r="K775">
        <x:v>1</x:v>
      </x:c>
      <x:c r="L775" t="str">
        <x:f t="shared" si="48"/>
      </x:c>
      <x:c r="O775" t="s">
        <x:v>38</x:v>
      </x:c>
      <x:c r="T775" s="2" t="n">
        <x:f>'SUPUESTOS PRECIOS'!$B$9</x:f>
        <x:v>0</x:v>
      </x:c>
      <x:c r="U775" s="3" t="n">
        <x:f>'SUPUESTOS PRECIOS'!$B$5/'SUPUESTOS PRECIOS'!$B$4</x:f>
        <x:v>1000</x:v>
      </x:c>
      <x:c r="V775" s="3" t="n">
        <x:f>('SUPUESTOS PRECIOS'!$B$6-'SUPUESTOS PRECIOS'!$B$7)/'SUPUESTOS PRECIOS'!$B$4</x:f>
        <x:v>377.5</x:v>
      </x:c>
      <x:c r="W775" s="4" t="n">
        <x:f>'SUPUESTOS PRECIOS'!$B$8</x:f>
        <x:v>0.00968</x:v>
      </x:c>
      <x:c r="X775" s="4" t="n">
        <x:f>'SUPUESTOS PRECIOS'!$B$2</x:f>
        <x:v>0.4</x:v>
      </x:c>
      <x:c r="Y775" s="3" t="str">
        <x:f t="shared" si="49"/>
      </x:c>
      <x:c r="Z775" s="3" t="str">
        <x:f t="shared" si="50"/>
      </x:c>
      <x:c r="AA775" s="11" t="str">
        <x:f t="shared" si="51"/>
      </x:c>
    </x:row>
    <x:row r="776">
      <x:c r="A776" s="10" t="s">
        <x:v>1899</x:v>
      </x:c>
      <x:c r="F776" t="s">
        <x:v>1358</x:v>
      </x:c>
      <x:c r="K776">
        <x:v>1</x:v>
      </x:c>
      <x:c r="L776" t="str">
        <x:f t="shared" si="48"/>
      </x:c>
      <x:c r="O776" t="s">
        <x:v>38</x:v>
      </x:c>
      <x:c r="T776" s="2" t="n">
        <x:f>'SUPUESTOS PRECIOS'!$B$9</x:f>
        <x:v>0</x:v>
      </x:c>
      <x:c r="U776" s="3" t="n">
        <x:f>'SUPUESTOS PRECIOS'!$B$5/'SUPUESTOS PRECIOS'!$B$4</x:f>
        <x:v>1000</x:v>
      </x:c>
      <x:c r="V776" s="3" t="n">
        <x:f>('SUPUESTOS PRECIOS'!$B$6-'SUPUESTOS PRECIOS'!$B$7)/'SUPUESTOS PRECIOS'!$B$4</x:f>
        <x:v>377.5</x:v>
      </x:c>
      <x:c r="W776" s="4" t="n">
        <x:f>'SUPUESTOS PRECIOS'!$B$8</x:f>
        <x:v>0.00968</x:v>
      </x:c>
      <x:c r="X776" s="4" t="n">
        <x:f>'SUPUESTOS PRECIOS'!$B$2</x:f>
        <x:v>0.4</x:v>
      </x:c>
      <x:c r="Y776" s="3" t="str">
        <x:f t="shared" si="49"/>
      </x:c>
      <x:c r="Z776" s="3" t="str">
        <x:f t="shared" si="50"/>
      </x:c>
      <x:c r="AA776" s="11" t="str">
        <x:f t="shared" si="51"/>
      </x:c>
    </x:row>
    <x:row r="777">
      <x:c r="A777" s="10" t="s">
        <x:v>1900</x:v>
      </x:c>
      <x:c r="F777" t="s">
        <x:v>1358</x:v>
      </x:c>
      <x:c r="K777">
        <x:v>1</x:v>
      </x:c>
      <x:c r="L777" t="str">
        <x:f t="shared" si="48"/>
      </x:c>
      <x:c r="O777" t="s">
        <x:v>38</x:v>
      </x:c>
      <x:c r="T777" s="2" t="n">
        <x:f>'SUPUESTOS PRECIOS'!$B$9</x:f>
        <x:v>0</x:v>
      </x:c>
      <x:c r="U777" s="3" t="n">
        <x:f>'SUPUESTOS PRECIOS'!$B$5/'SUPUESTOS PRECIOS'!$B$4</x:f>
        <x:v>1000</x:v>
      </x:c>
      <x:c r="V777" s="3" t="n">
        <x:f>('SUPUESTOS PRECIOS'!$B$6-'SUPUESTOS PRECIOS'!$B$7)/'SUPUESTOS PRECIOS'!$B$4</x:f>
        <x:v>377.5</x:v>
      </x:c>
      <x:c r="W777" s="4" t="n">
        <x:f>'SUPUESTOS PRECIOS'!$B$8</x:f>
        <x:v>0.00968</x:v>
      </x:c>
      <x:c r="X777" s="4" t="n">
        <x:f>'SUPUESTOS PRECIOS'!$B$2</x:f>
        <x:v>0.4</x:v>
      </x:c>
      <x:c r="Y777" s="3" t="str">
        <x:f t="shared" si="49"/>
      </x:c>
      <x:c r="Z777" s="3" t="str">
        <x:f t="shared" si="50"/>
      </x:c>
      <x:c r="AA777" s="11" t="str">
        <x:f t="shared" si="51"/>
      </x:c>
    </x:row>
    <x:row r="778">
      <x:c r="A778" s="10" t="s">
        <x:v>1901</x:v>
      </x:c>
      <x:c r="F778" t="s">
        <x:v>1358</x:v>
      </x:c>
      <x:c r="K778">
        <x:v>1</x:v>
      </x:c>
      <x:c r="L778" t="str">
        <x:f t="shared" si="48"/>
      </x:c>
      <x:c r="O778" t="s">
        <x:v>38</x:v>
      </x:c>
      <x:c r="T778" s="2" t="n">
        <x:f>'SUPUESTOS PRECIOS'!$B$9</x:f>
        <x:v>0</x:v>
      </x:c>
      <x:c r="U778" s="3" t="n">
        <x:f>'SUPUESTOS PRECIOS'!$B$5/'SUPUESTOS PRECIOS'!$B$4</x:f>
        <x:v>1000</x:v>
      </x:c>
      <x:c r="V778" s="3" t="n">
        <x:f>('SUPUESTOS PRECIOS'!$B$6-'SUPUESTOS PRECIOS'!$B$7)/'SUPUESTOS PRECIOS'!$B$4</x:f>
        <x:v>377.5</x:v>
      </x:c>
      <x:c r="W778" s="4" t="n">
        <x:f>'SUPUESTOS PRECIOS'!$B$8</x:f>
        <x:v>0.00968</x:v>
      </x:c>
      <x:c r="X778" s="4" t="n">
        <x:f>'SUPUESTOS PRECIOS'!$B$2</x:f>
        <x:v>0.4</x:v>
      </x:c>
      <x:c r="Y778" s="3" t="str">
        <x:f t="shared" si="49"/>
      </x:c>
      <x:c r="Z778" s="3" t="str">
        <x:f t="shared" si="50"/>
      </x:c>
      <x:c r="AA778" s="11" t="str">
        <x:f t="shared" si="51"/>
      </x:c>
    </x:row>
    <x:row r="779">
      <x:c r="A779" s="10" t="s">
        <x:v>1902</x:v>
      </x:c>
      <x:c r="F779" t="s">
        <x:v>1358</x:v>
      </x:c>
      <x:c r="K779">
        <x:v>1</x:v>
      </x:c>
      <x:c r="L779" t="str">
        <x:f t="shared" si="48"/>
      </x:c>
      <x:c r="O779" t="s">
        <x:v>38</x:v>
      </x:c>
      <x:c r="T779" s="2" t="n">
        <x:f>'SUPUESTOS PRECIOS'!$B$9</x:f>
        <x:v>0</x:v>
      </x:c>
      <x:c r="U779" s="3" t="n">
        <x:f>'SUPUESTOS PRECIOS'!$B$5/'SUPUESTOS PRECIOS'!$B$4</x:f>
        <x:v>1000</x:v>
      </x:c>
      <x:c r="V779" s="3" t="n">
        <x:f>('SUPUESTOS PRECIOS'!$B$6-'SUPUESTOS PRECIOS'!$B$7)/'SUPUESTOS PRECIOS'!$B$4</x:f>
        <x:v>377.5</x:v>
      </x:c>
      <x:c r="W779" s="4" t="n">
        <x:f>'SUPUESTOS PRECIOS'!$B$8</x:f>
        <x:v>0.00968</x:v>
      </x:c>
      <x:c r="X779" s="4" t="n">
        <x:f>'SUPUESTOS PRECIOS'!$B$2</x:f>
        <x:v>0.4</x:v>
      </x:c>
      <x:c r="Y779" s="3" t="str">
        <x:f t="shared" si="49"/>
      </x:c>
      <x:c r="Z779" s="3" t="str">
        <x:f t="shared" si="50"/>
      </x:c>
      <x:c r="AA779" s="11" t="str">
        <x:f t="shared" si="51"/>
      </x:c>
    </x:row>
    <x:row r="780">
      <x:c r="A780" s="10" t="s">
        <x:v>1903</x:v>
      </x:c>
      <x:c r="F780" t="s">
        <x:v>1358</x:v>
      </x:c>
      <x:c r="K780">
        <x:v>1</x:v>
      </x:c>
      <x:c r="L780" t="str">
        <x:f t="shared" si="48"/>
      </x:c>
      <x:c r="O780" t="s">
        <x:v>38</x:v>
      </x:c>
      <x:c r="T780" s="2" t="n">
        <x:f>'SUPUESTOS PRECIOS'!$B$9</x:f>
        <x:v>0</x:v>
      </x:c>
      <x:c r="U780" s="3" t="n">
        <x:f>'SUPUESTOS PRECIOS'!$B$5/'SUPUESTOS PRECIOS'!$B$4</x:f>
        <x:v>1000</x:v>
      </x:c>
      <x:c r="V780" s="3" t="n">
        <x:f>('SUPUESTOS PRECIOS'!$B$6-'SUPUESTOS PRECIOS'!$B$7)/'SUPUESTOS PRECIOS'!$B$4</x:f>
        <x:v>377.5</x:v>
      </x:c>
      <x:c r="W780" s="4" t="n">
        <x:f>'SUPUESTOS PRECIOS'!$B$8</x:f>
        <x:v>0.00968</x:v>
      </x:c>
      <x:c r="X780" s="4" t="n">
        <x:f>'SUPUESTOS PRECIOS'!$B$2</x:f>
        <x:v>0.4</x:v>
      </x:c>
      <x:c r="Y780" s="3" t="str">
        <x:f t="shared" si="49"/>
      </x:c>
      <x:c r="Z780" s="3" t="str">
        <x:f t="shared" si="50"/>
      </x:c>
      <x:c r="AA780" s="11" t="str">
        <x:f t="shared" si="51"/>
      </x:c>
    </x:row>
    <x:row r="781">
      <x:c r="A781" s="10" t="s">
        <x:v>1904</x:v>
      </x:c>
      <x:c r="F781" t="s">
        <x:v>1358</x:v>
      </x:c>
      <x:c r="K781">
        <x:v>1</x:v>
      </x:c>
      <x:c r="L781" t="str">
        <x:f t="shared" si="48"/>
      </x:c>
      <x:c r="O781" t="s">
        <x:v>38</x:v>
      </x:c>
      <x:c r="T781" s="2" t="n">
        <x:f>'SUPUESTOS PRECIOS'!$B$9</x:f>
        <x:v>0</x:v>
      </x:c>
      <x:c r="U781" s="3" t="n">
        <x:f>'SUPUESTOS PRECIOS'!$B$5/'SUPUESTOS PRECIOS'!$B$4</x:f>
        <x:v>1000</x:v>
      </x:c>
      <x:c r="V781" s="3" t="n">
        <x:f>('SUPUESTOS PRECIOS'!$B$6-'SUPUESTOS PRECIOS'!$B$7)/'SUPUESTOS PRECIOS'!$B$4</x:f>
        <x:v>377.5</x:v>
      </x:c>
      <x:c r="W781" s="4" t="n">
        <x:f>'SUPUESTOS PRECIOS'!$B$8</x:f>
        <x:v>0.00968</x:v>
      </x:c>
      <x:c r="X781" s="4" t="n">
        <x:f>'SUPUESTOS PRECIOS'!$B$2</x:f>
        <x:v>0.4</x:v>
      </x:c>
      <x:c r="Y781" s="3" t="str">
        <x:f t="shared" si="49"/>
      </x:c>
      <x:c r="Z781" s="3" t="str">
        <x:f t="shared" si="50"/>
      </x:c>
      <x:c r="AA781" s="11" t="str">
        <x:f t="shared" si="51"/>
      </x:c>
    </x:row>
    <x:row r="782">
      <x:c r="A782" s="10" t="s">
        <x:v>1905</x:v>
      </x:c>
      <x:c r="F782" t="s">
        <x:v>1358</x:v>
      </x:c>
      <x:c r="K782">
        <x:v>1</x:v>
      </x:c>
      <x:c r="L782" t="str">
        <x:f t="shared" si="48"/>
      </x:c>
      <x:c r="O782" t="s">
        <x:v>38</x:v>
      </x:c>
      <x:c r="T782" s="2" t="n">
        <x:f>'SUPUESTOS PRECIOS'!$B$9</x:f>
        <x:v>0</x:v>
      </x:c>
      <x:c r="U782" s="3" t="n">
        <x:f>'SUPUESTOS PRECIOS'!$B$5/'SUPUESTOS PRECIOS'!$B$4</x:f>
        <x:v>1000</x:v>
      </x:c>
      <x:c r="V782" s="3" t="n">
        <x:f>('SUPUESTOS PRECIOS'!$B$6-'SUPUESTOS PRECIOS'!$B$7)/'SUPUESTOS PRECIOS'!$B$4</x:f>
        <x:v>377.5</x:v>
      </x:c>
      <x:c r="W782" s="4" t="n">
        <x:f>'SUPUESTOS PRECIOS'!$B$8</x:f>
        <x:v>0.00968</x:v>
      </x:c>
      <x:c r="X782" s="4" t="n">
        <x:f>'SUPUESTOS PRECIOS'!$B$2</x:f>
        <x:v>0.4</x:v>
      </x:c>
      <x:c r="Y782" s="3" t="str">
        <x:f t="shared" si="49"/>
      </x:c>
      <x:c r="Z782" s="3" t="str">
        <x:f t="shared" si="50"/>
      </x:c>
      <x:c r="AA782" s="11" t="str">
        <x:f t="shared" si="51"/>
      </x:c>
    </x:row>
    <x:row r="783">
      <x:c r="A783" s="10" t="s">
        <x:v>1906</x:v>
      </x:c>
      <x:c r="F783" t="s">
        <x:v>1358</x:v>
      </x:c>
      <x:c r="K783">
        <x:v>1</x:v>
      </x:c>
      <x:c r="L783" t="str">
        <x:f t="shared" si="48"/>
      </x:c>
      <x:c r="O783" t="s">
        <x:v>38</x:v>
      </x:c>
      <x:c r="T783" s="2" t="n">
        <x:f>'SUPUESTOS PRECIOS'!$B$9</x:f>
        <x:v>0</x:v>
      </x:c>
      <x:c r="U783" s="3" t="n">
        <x:f>'SUPUESTOS PRECIOS'!$B$5/'SUPUESTOS PRECIOS'!$B$4</x:f>
        <x:v>1000</x:v>
      </x:c>
      <x:c r="V783" s="3" t="n">
        <x:f>('SUPUESTOS PRECIOS'!$B$6-'SUPUESTOS PRECIOS'!$B$7)/'SUPUESTOS PRECIOS'!$B$4</x:f>
        <x:v>377.5</x:v>
      </x:c>
      <x:c r="W783" s="4" t="n">
        <x:f>'SUPUESTOS PRECIOS'!$B$8</x:f>
        <x:v>0.00968</x:v>
      </x:c>
      <x:c r="X783" s="4" t="n">
        <x:f>'SUPUESTOS PRECIOS'!$B$2</x:f>
        <x:v>0.4</x:v>
      </x:c>
      <x:c r="Y783" s="3" t="str">
        <x:f t="shared" si="49"/>
      </x:c>
      <x:c r="Z783" s="3" t="str">
        <x:f t="shared" si="50"/>
      </x:c>
      <x:c r="AA783" s="11" t="str">
        <x:f t="shared" si="51"/>
      </x:c>
    </x:row>
    <x:row r="784">
      <x:c r="A784" s="10" t="s">
        <x:v>1907</x:v>
      </x:c>
      <x:c r="F784" t="s">
        <x:v>1358</x:v>
      </x:c>
      <x:c r="K784">
        <x:v>1</x:v>
      </x:c>
      <x:c r="L784" t="str">
        <x:f t="shared" si="48"/>
      </x:c>
      <x:c r="O784" t="s">
        <x:v>38</x:v>
      </x:c>
      <x:c r="T784" s="2" t="n">
        <x:f>'SUPUESTOS PRECIOS'!$B$9</x:f>
        <x:v>0</x:v>
      </x:c>
      <x:c r="U784" s="3" t="n">
        <x:f>'SUPUESTOS PRECIOS'!$B$5/'SUPUESTOS PRECIOS'!$B$4</x:f>
        <x:v>1000</x:v>
      </x:c>
      <x:c r="V784" s="3" t="n">
        <x:f>('SUPUESTOS PRECIOS'!$B$6-'SUPUESTOS PRECIOS'!$B$7)/'SUPUESTOS PRECIOS'!$B$4</x:f>
        <x:v>377.5</x:v>
      </x:c>
      <x:c r="W784" s="4" t="n">
        <x:f>'SUPUESTOS PRECIOS'!$B$8</x:f>
        <x:v>0.00968</x:v>
      </x:c>
      <x:c r="X784" s="4" t="n">
        <x:f>'SUPUESTOS PRECIOS'!$B$2</x:f>
        <x:v>0.4</x:v>
      </x:c>
      <x:c r="Y784" s="3" t="str">
        <x:f t="shared" si="49"/>
      </x:c>
      <x:c r="Z784" s="3" t="str">
        <x:f t="shared" si="50"/>
      </x:c>
      <x:c r="AA784" s="11" t="str">
        <x:f t="shared" si="51"/>
      </x:c>
    </x:row>
    <x:row r="785">
      <x:c r="A785" s="10" t="s">
        <x:v>1908</x:v>
      </x:c>
      <x:c r="F785" t="s">
        <x:v>1358</x:v>
      </x:c>
      <x:c r="K785">
        <x:v>1</x:v>
      </x:c>
      <x:c r="L785" t="str">
        <x:f t="shared" si="48"/>
      </x:c>
      <x:c r="O785" t="s">
        <x:v>38</x:v>
      </x:c>
      <x:c r="T785" s="2" t="n">
        <x:f>'SUPUESTOS PRECIOS'!$B$9</x:f>
        <x:v>0</x:v>
      </x:c>
      <x:c r="U785" s="3" t="n">
        <x:f>'SUPUESTOS PRECIOS'!$B$5/'SUPUESTOS PRECIOS'!$B$4</x:f>
        <x:v>1000</x:v>
      </x:c>
      <x:c r="V785" s="3" t="n">
        <x:f>('SUPUESTOS PRECIOS'!$B$6-'SUPUESTOS PRECIOS'!$B$7)/'SUPUESTOS PRECIOS'!$B$4</x:f>
        <x:v>377.5</x:v>
      </x:c>
      <x:c r="W785" s="4" t="n">
        <x:f>'SUPUESTOS PRECIOS'!$B$8</x:f>
        <x:v>0.00968</x:v>
      </x:c>
      <x:c r="X785" s="4" t="n">
        <x:f>'SUPUESTOS PRECIOS'!$B$2</x:f>
        <x:v>0.4</x:v>
      </x:c>
      <x:c r="Y785" s="3" t="str">
        <x:f t="shared" si="49"/>
      </x:c>
      <x:c r="Z785" s="3" t="str">
        <x:f t="shared" si="50"/>
      </x:c>
      <x:c r="AA785" s="11" t="str">
        <x:f t="shared" si="51"/>
      </x:c>
    </x:row>
    <x:row r="786">
      <x:c r="A786" s="10" t="s">
        <x:v>1909</x:v>
      </x:c>
      <x:c r="F786" t="s">
        <x:v>1358</x:v>
      </x:c>
      <x:c r="K786">
        <x:v>1</x:v>
      </x:c>
      <x:c r="L786" t="str">
        <x:f t="shared" si="48"/>
      </x:c>
      <x:c r="O786" t="s">
        <x:v>38</x:v>
      </x:c>
      <x:c r="T786" s="2" t="n">
        <x:f>'SUPUESTOS PRECIOS'!$B$9</x:f>
        <x:v>0</x:v>
      </x:c>
      <x:c r="U786" s="3" t="n">
        <x:f>'SUPUESTOS PRECIOS'!$B$5/'SUPUESTOS PRECIOS'!$B$4</x:f>
        <x:v>1000</x:v>
      </x:c>
      <x:c r="V786" s="3" t="n">
        <x:f>('SUPUESTOS PRECIOS'!$B$6-'SUPUESTOS PRECIOS'!$B$7)/'SUPUESTOS PRECIOS'!$B$4</x:f>
        <x:v>377.5</x:v>
      </x:c>
      <x:c r="W786" s="4" t="n">
        <x:f>'SUPUESTOS PRECIOS'!$B$8</x:f>
        <x:v>0.00968</x:v>
      </x:c>
      <x:c r="X786" s="4" t="n">
        <x:f>'SUPUESTOS PRECIOS'!$B$2</x:f>
        <x:v>0.4</x:v>
      </x:c>
      <x:c r="Y786" s="3" t="str">
        <x:f t="shared" si="49"/>
      </x:c>
      <x:c r="Z786" s="3" t="str">
        <x:f t="shared" si="50"/>
      </x:c>
      <x:c r="AA786" s="11" t="str">
        <x:f t="shared" si="51"/>
      </x:c>
    </x:row>
    <x:row r="787">
      <x:c r="A787" s="10" t="s">
        <x:v>1910</x:v>
      </x:c>
      <x:c r="F787" t="s">
        <x:v>1358</x:v>
      </x:c>
      <x:c r="K787">
        <x:v>1</x:v>
      </x:c>
      <x:c r="L787" t="str">
        <x:f t="shared" si="48"/>
      </x:c>
      <x:c r="O787" t="s">
        <x:v>38</x:v>
      </x:c>
      <x:c r="T787" s="2" t="n">
        <x:f>'SUPUESTOS PRECIOS'!$B$9</x:f>
        <x:v>0</x:v>
      </x:c>
      <x:c r="U787" s="3" t="n">
        <x:f>'SUPUESTOS PRECIOS'!$B$5/'SUPUESTOS PRECIOS'!$B$4</x:f>
        <x:v>1000</x:v>
      </x:c>
      <x:c r="V787" s="3" t="n">
        <x:f>('SUPUESTOS PRECIOS'!$B$6-'SUPUESTOS PRECIOS'!$B$7)/'SUPUESTOS PRECIOS'!$B$4</x:f>
        <x:v>377.5</x:v>
      </x:c>
      <x:c r="W787" s="4" t="n">
        <x:f>'SUPUESTOS PRECIOS'!$B$8</x:f>
        <x:v>0.00968</x:v>
      </x:c>
      <x:c r="X787" s="4" t="n">
        <x:f>'SUPUESTOS PRECIOS'!$B$2</x:f>
        <x:v>0.4</x:v>
      </x:c>
      <x:c r="Y787" s="3" t="str">
        <x:f t="shared" si="49"/>
      </x:c>
      <x:c r="Z787" s="3" t="str">
        <x:f t="shared" si="50"/>
      </x:c>
      <x:c r="AA787" s="11" t="str">
        <x:f t="shared" si="51"/>
      </x:c>
    </x:row>
    <x:row r="788">
      <x:c r="A788" s="10" t="s">
        <x:v>1911</x:v>
      </x:c>
      <x:c r="F788" t="s">
        <x:v>1358</x:v>
      </x:c>
      <x:c r="K788">
        <x:v>1</x:v>
      </x:c>
      <x:c r="L788" t="str">
        <x:f t="shared" si="48"/>
      </x:c>
      <x:c r="O788" t="s">
        <x:v>38</x:v>
      </x:c>
      <x:c r="T788" s="2" t="n">
        <x:f>'SUPUESTOS PRECIOS'!$B$9</x:f>
        <x:v>0</x:v>
      </x:c>
      <x:c r="U788" s="3" t="n">
        <x:f>'SUPUESTOS PRECIOS'!$B$5/'SUPUESTOS PRECIOS'!$B$4</x:f>
        <x:v>1000</x:v>
      </x:c>
      <x:c r="V788" s="3" t="n">
        <x:f>('SUPUESTOS PRECIOS'!$B$6-'SUPUESTOS PRECIOS'!$B$7)/'SUPUESTOS PRECIOS'!$B$4</x:f>
        <x:v>377.5</x:v>
      </x:c>
      <x:c r="W788" s="4" t="n">
        <x:f>'SUPUESTOS PRECIOS'!$B$8</x:f>
        <x:v>0.00968</x:v>
      </x:c>
      <x:c r="X788" s="4" t="n">
        <x:f>'SUPUESTOS PRECIOS'!$B$2</x:f>
        <x:v>0.4</x:v>
      </x:c>
      <x:c r="Y788" s="3" t="str">
        <x:f t="shared" si="49"/>
      </x:c>
      <x:c r="Z788" s="3" t="str">
        <x:f t="shared" si="50"/>
      </x:c>
      <x:c r="AA788" s="11" t="str">
        <x:f t="shared" si="51"/>
      </x:c>
    </x:row>
    <x:row r="789">
      <x:c r="A789" s="10" t="s">
        <x:v>1912</x:v>
      </x:c>
      <x:c r="F789" t="s">
        <x:v>1358</x:v>
      </x:c>
      <x:c r="K789">
        <x:v>1</x:v>
      </x:c>
      <x:c r="L789" t="str">
        <x:f t="shared" si="48"/>
      </x:c>
      <x:c r="O789" t="s">
        <x:v>38</x:v>
      </x:c>
      <x:c r="T789" s="2" t="n">
        <x:f>'SUPUESTOS PRECIOS'!$B$9</x:f>
        <x:v>0</x:v>
      </x:c>
      <x:c r="U789" s="3" t="n">
        <x:f>'SUPUESTOS PRECIOS'!$B$5/'SUPUESTOS PRECIOS'!$B$4</x:f>
        <x:v>1000</x:v>
      </x:c>
      <x:c r="V789" s="3" t="n">
        <x:f>('SUPUESTOS PRECIOS'!$B$6-'SUPUESTOS PRECIOS'!$B$7)/'SUPUESTOS PRECIOS'!$B$4</x:f>
        <x:v>377.5</x:v>
      </x:c>
      <x:c r="W789" s="4" t="n">
        <x:f>'SUPUESTOS PRECIOS'!$B$8</x:f>
        <x:v>0.00968</x:v>
      </x:c>
      <x:c r="X789" s="4" t="n">
        <x:f>'SUPUESTOS PRECIOS'!$B$2</x:f>
        <x:v>0.4</x:v>
      </x:c>
      <x:c r="Y789" s="3" t="str">
        <x:f t="shared" si="49"/>
      </x:c>
      <x:c r="Z789" s="3" t="str">
        <x:f t="shared" si="50"/>
      </x:c>
      <x:c r="AA789" s="11" t="str">
        <x:f t="shared" si="51"/>
      </x:c>
    </x:row>
    <x:row r="790">
      <x:c r="A790" s="10" t="s">
        <x:v>1913</x:v>
      </x:c>
      <x:c r="F790" t="s">
        <x:v>1358</x:v>
      </x:c>
      <x:c r="K790">
        <x:v>1</x:v>
      </x:c>
      <x:c r="L790" t="str">
        <x:f t="shared" si="48"/>
      </x:c>
      <x:c r="O790" t="s">
        <x:v>38</x:v>
      </x:c>
      <x:c r="T790" s="2" t="n">
        <x:f>'SUPUESTOS PRECIOS'!$B$9</x:f>
        <x:v>0</x:v>
      </x:c>
      <x:c r="U790" s="3" t="n">
        <x:f>'SUPUESTOS PRECIOS'!$B$5/'SUPUESTOS PRECIOS'!$B$4</x:f>
        <x:v>1000</x:v>
      </x:c>
      <x:c r="V790" s="3" t="n">
        <x:f>('SUPUESTOS PRECIOS'!$B$6-'SUPUESTOS PRECIOS'!$B$7)/'SUPUESTOS PRECIOS'!$B$4</x:f>
        <x:v>377.5</x:v>
      </x:c>
      <x:c r="W790" s="4" t="n">
        <x:f>'SUPUESTOS PRECIOS'!$B$8</x:f>
        <x:v>0.00968</x:v>
      </x:c>
      <x:c r="X790" s="4" t="n">
        <x:f>'SUPUESTOS PRECIOS'!$B$2</x:f>
        <x:v>0.4</x:v>
      </x:c>
      <x:c r="Y790" s="3" t="str">
        <x:f t="shared" si="49"/>
      </x:c>
      <x:c r="Z790" s="3" t="str">
        <x:f t="shared" si="50"/>
      </x:c>
      <x:c r="AA790" s="11" t="str">
        <x:f t="shared" si="51"/>
      </x:c>
    </x:row>
    <x:row r="791">
      <x:c r="A791" s="10" t="s">
        <x:v>1914</x:v>
      </x:c>
      <x:c r="F791" t="s">
        <x:v>1358</x:v>
      </x:c>
      <x:c r="K791">
        <x:v>1</x:v>
      </x:c>
      <x:c r="L791" t="str">
        <x:f t="shared" si="48"/>
      </x:c>
      <x:c r="O791" t="s">
        <x:v>38</x:v>
      </x:c>
      <x:c r="T791" s="2" t="n">
        <x:f>'SUPUESTOS PRECIOS'!$B$9</x:f>
        <x:v>0</x:v>
      </x:c>
      <x:c r="U791" s="3" t="n">
        <x:f>'SUPUESTOS PRECIOS'!$B$5/'SUPUESTOS PRECIOS'!$B$4</x:f>
        <x:v>1000</x:v>
      </x:c>
      <x:c r="V791" s="3" t="n">
        <x:f>('SUPUESTOS PRECIOS'!$B$6-'SUPUESTOS PRECIOS'!$B$7)/'SUPUESTOS PRECIOS'!$B$4</x:f>
        <x:v>377.5</x:v>
      </x:c>
      <x:c r="W791" s="4" t="n">
        <x:f>'SUPUESTOS PRECIOS'!$B$8</x:f>
        <x:v>0.00968</x:v>
      </x:c>
      <x:c r="X791" s="4" t="n">
        <x:f>'SUPUESTOS PRECIOS'!$B$2</x:f>
        <x:v>0.4</x:v>
      </x:c>
      <x:c r="Y791" s="3" t="str">
        <x:f t="shared" si="49"/>
      </x:c>
      <x:c r="Z791" s="3" t="str">
        <x:f t="shared" si="50"/>
      </x:c>
      <x:c r="AA791" s="11" t="str">
        <x:f t="shared" si="51"/>
      </x:c>
    </x:row>
    <x:row r="792">
      <x:c r="A792" s="10" t="s">
        <x:v>1915</x:v>
      </x:c>
      <x:c r="F792" t="s">
        <x:v>1358</x:v>
      </x:c>
      <x:c r="K792">
        <x:v>1</x:v>
      </x:c>
      <x:c r="L792" t="str">
        <x:f t="shared" si="48"/>
      </x:c>
      <x:c r="O792" t="s">
        <x:v>38</x:v>
      </x:c>
      <x:c r="T792" s="2" t="n">
        <x:f>'SUPUESTOS PRECIOS'!$B$9</x:f>
        <x:v>0</x:v>
      </x:c>
      <x:c r="U792" s="3" t="n">
        <x:f>'SUPUESTOS PRECIOS'!$B$5/'SUPUESTOS PRECIOS'!$B$4</x:f>
        <x:v>1000</x:v>
      </x:c>
      <x:c r="V792" s="3" t="n">
        <x:f>('SUPUESTOS PRECIOS'!$B$6-'SUPUESTOS PRECIOS'!$B$7)/'SUPUESTOS PRECIOS'!$B$4</x:f>
        <x:v>377.5</x:v>
      </x:c>
      <x:c r="W792" s="4" t="n">
        <x:f>'SUPUESTOS PRECIOS'!$B$8</x:f>
        <x:v>0.00968</x:v>
      </x:c>
      <x:c r="X792" s="4" t="n">
        <x:f>'SUPUESTOS PRECIOS'!$B$2</x:f>
        <x:v>0.4</x:v>
      </x:c>
      <x:c r="Y792" s="3" t="str">
        <x:f t="shared" si="49"/>
      </x:c>
      <x:c r="Z792" s="3" t="str">
        <x:f t="shared" si="50"/>
      </x:c>
      <x:c r="AA792" s="11" t="str">
        <x:f t="shared" si="51"/>
      </x:c>
    </x:row>
    <x:row r="793">
      <x:c r="A793" s="10" t="s">
        <x:v>1916</x:v>
      </x:c>
      <x:c r="F793" t="s">
        <x:v>1358</x:v>
      </x:c>
      <x:c r="K793">
        <x:v>1</x:v>
      </x:c>
      <x:c r="L793" t="str">
        <x:f t="shared" si="48"/>
      </x:c>
      <x:c r="O793" t="s">
        <x:v>38</x:v>
      </x:c>
      <x:c r="T793" s="2" t="n">
        <x:f>'SUPUESTOS PRECIOS'!$B$9</x:f>
        <x:v>0</x:v>
      </x:c>
      <x:c r="U793" s="3" t="n">
        <x:f>'SUPUESTOS PRECIOS'!$B$5/'SUPUESTOS PRECIOS'!$B$4</x:f>
        <x:v>1000</x:v>
      </x:c>
      <x:c r="V793" s="3" t="n">
        <x:f>('SUPUESTOS PRECIOS'!$B$6-'SUPUESTOS PRECIOS'!$B$7)/'SUPUESTOS PRECIOS'!$B$4</x:f>
        <x:v>377.5</x:v>
      </x:c>
      <x:c r="W793" s="4" t="n">
        <x:f>'SUPUESTOS PRECIOS'!$B$8</x:f>
        <x:v>0.00968</x:v>
      </x:c>
      <x:c r="X793" s="4" t="n">
        <x:f>'SUPUESTOS PRECIOS'!$B$2</x:f>
        <x:v>0.4</x:v>
      </x:c>
      <x:c r="Y793" s="3" t="str">
        <x:f t="shared" si="49"/>
      </x:c>
      <x:c r="Z793" s="3" t="str">
        <x:f t="shared" si="50"/>
      </x:c>
      <x:c r="AA793" s="11" t="str">
        <x:f t="shared" si="51"/>
      </x:c>
    </x:row>
    <x:row r="794">
      <x:c r="A794" s="10" t="s">
        <x:v>1917</x:v>
      </x:c>
      <x:c r="F794" t="s">
        <x:v>1358</x:v>
      </x:c>
      <x:c r="K794">
        <x:v>1</x:v>
      </x:c>
      <x:c r="L794" t="str">
        <x:f t="shared" si="48"/>
      </x:c>
      <x:c r="O794" t="s">
        <x:v>38</x:v>
      </x:c>
      <x:c r="T794" s="2" t="n">
        <x:f>'SUPUESTOS PRECIOS'!$B$9</x:f>
        <x:v>0</x:v>
      </x:c>
      <x:c r="U794" s="3" t="n">
        <x:f>'SUPUESTOS PRECIOS'!$B$5/'SUPUESTOS PRECIOS'!$B$4</x:f>
        <x:v>1000</x:v>
      </x:c>
      <x:c r="V794" s="3" t="n">
        <x:f>('SUPUESTOS PRECIOS'!$B$6-'SUPUESTOS PRECIOS'!$B$7)/'SUPUESTOS PRECIOS'!$B$4</x:f>
        <x:v>377.5</x:v>
      </x:c>
      <x:c r="W794" s="4" t="n">
        <x:f>'SUPUESTOS PRECIOS'!$B$8</x:f>
        <x:v>0.00968</x:v>
      </x:c>
      <x:c r="X794" s="4" t="n">
        <x:f>'SUPUESTOS PRECIOS'!$B$2</x:f>
        <x:v>0.4</x:v>
      </x:c>
      <x:c r="Y794" s="3" t="str">
        <x:f t="shared" si="49"/>
      </x:c>
      <x:c r="Z794" s="3" t="str">
        <x:f t="shared" si="50"/>
      </x:c>
      <x:c r="AA794" s="11" t="str">
        <x:f t="shared" si="51"/>
      </x:c>
    </x:row>
    <x:row r="795">
      <x:c r="A795" s="10" t="s">
        <x:v>1918</x:v>
      </x:c>
      <x:c r="F795" t="s">
        <x:v>1358</x:v>
      </x:c>
      <x:c r="K795">
        <x:v>1</x:v>
      </x:c>
      <x:c r="L795" t="str">
        <x:f t="shared" si="48"/>
      </x:c>
      <x:c r="O795" t="s">
        <x:v>38</x:v>
      </x:c>
      <x:c r="T795" s="2" t="n">
        <x:f>'SUPUESTOS PRECIOS'!$B$9</x:f>
        <x:v>0</x:v>
      </x:c>
      <x:c r="U795" s="3" t="n">
        <x:f>'SUPUESTOS PRECIOS'!$B$5/'SUPUESTOS PRECIOS'!$B$4</x:f>
        <x:v>1000</x:v>
      </x:c>
      <x:c r="V795" s="3" t="n">
        <x:f>('SUPUESTOS PRECIOS'!$B$6-'SUPUESTOS PRECIOS'!$B$7)/'SUPUESTOS PRECIOS'!$B$4</x:f>
        <x:v>377.5</x:v>
      </x:c>
      <x:c r="W795" s="4" t="n">
        <x:f>'SUPUESTOS PRECIOS'!$B$8</x:f>
        <x:v>0.00968</x:v>
      </x:c>
      <x:c r="X795" s="4" t="n">
        <x:f>'SUPUESTOS PRECIOS'!$B$2</x:f>
        <x:v>0.4</x:v>
      </x:c>
      <x:c r="Y795" s="3" t="str">
        <x:f t="shared" si="49"/>
      </x:c>
      <x:c r="Z795" s="3" t="str">
        <x:f t="shared" si="50"/>
      </x:c>
      <x:c r="AA795" s="11" t="str">
        <x:f t="shared" si="51"/>
      </x:c>
    </x:row>
    <x:row r="796">
      <x:c r="A796" s="10" t="s">
        <x:v>1919</x:v>
      </x:c>
      <x:c r="F796" t="s">
        <x:v>1358</x:v>
      </x:c>
      <x:c r="K796">
        <x:v>1</x:v>
      </x:c>
      <x:c r="L796" t="str">
        <x:f t="shared" si="48"/>
      </x:c>
      <x:c r="O796" t="s">
        <x:v>38</x:v>
      </x:c>
      <x:c r="T796" s="2" t="n">
        <x:f>'SUPUESTOS PRECIOS'!$B$9</x:f>
        <x:v>0</x:v>
      </x:c>
      <x:c r="U796" s="3" t="n">
        <x:f>'SUPUESTOS PRECIOS'!$B$5/'SUPUESTOS PRECIOS'!$B$4</x:f>
        <x:v>1000</x:v>
      </x:c>
      <x:c r="V796" s="3" t="n">
        <x:f>('SUPUESTOS PRECIOS'!$B$6-'SUPUESTOS PRECIOS'!$B$7)/'SUPUESTOS PRECIOS'!$B$4</x:f>
        <x:v>377.5</x:v>
      </x:c>
      <x:c r="W796" s="4" t="n">
        <x:f>'SUPUESTOS PRECIOS'!$B$8</x:f>
        <x:v>0.00968</x:v>
      </x:c>
      <x:c r="X796" s="4" t="n">
        <x:f>'SUPUESTOS PRECIOS'!$B$2</x:f>
        <x:v>0.4</x:v>
      </x:c>
      <x:c r="Y796" s="3" t="str">
        <x:f t="shared" si="49"/>
      </x:c>
      <x:c r="Z796" s="3" t="str">
        <x:f t="shared" si="50"/>
      </x:c>
      <x:c r="AA796" s="11" t="str">
        <x:f t="shared" si="51"/>
      </x:c>
    </x:row>
    <x:row r="797">
      <x:c r="A797" s="10" t="s">
        <x:v>1920</x:v>
      </x:c>
      <x:c r="F797" t="s">
        <x:v>1358</x:v>
      </x:c>
      <x:c r="K797">
        <x:v>1</x:v>
      </x:c>
      <x:c r="L797" t="str">
        <x:f t="shared" si="48"/>
      </x:c>
      <x:c r="O797" t="s">
        <x:v>38</x:v>
      </x:c>
      <x:c r="T797" s="2" t="n">
        <x:f>'SUPUESTOS PRECIOS'!$B$9</x:f>
        <x:v>0</x:v>
      </x:c>
      <x:c r="U797" s="3" t="n">
        <x:f>'SUPUESTOS PRECIOS'!$B$5/'SUPUESTOS PRECIOS'!$B$4</x:f>
        <x:v>1000</x:v>
      </x:c>
      <x:c r="V797" s="3" t="n">
        <x:f>('SUPUESTOS PRECIOS'!$B$6-'SUPUESTOS PRECIOS'!$B$7)/'SUPUESTOS PRECIOS'!$B$4</x:f>
        <x:v>377.5</x:v>
      </x:c>
      <x:c r="W797" s="4" t="n">
        <x:f>'SUPUESTOS PRECIOS'!$B$8</x:f>
        <x:v>0.00968</x:v>
      </x:c>
      <x:c r="X797" s="4" t="n">
        <x:f>'SUPUESTOS PRECIOS'!$B$2</x:f>
        <x:v>0.4</x:v>
      </x:c>
      <x:c r="Y797" s="3" t="str">
        <x:f t="shared" si="49"/>
      </x:c>
      <x:c r="Z797" s="3" t="str">
        <x:f t="shared" si="50"/>
      </x:c>
      <x:c r="AA797" s="11" t="str">
        <x:f t="shared" si="51"/>
      </x:c>
    </x:row>
    <x:row r="798">
      <x:c r="A798" s="10" t="s">
        <x:v>1921</x:v>
      </x:c>
      <x:c r="F798" t="s">
        <x:v>1358</x:v>
      </x:c>
      <x:c r="K798">
        <x:v>1</x:v>
      </x:c>
      <x:c r="L798" t="str">
        <x:f t="shared" si="48"/>
      </x:c>
      <x:c r="O798" t="s">
        <x:v>38</x:v>
      </x:c>
      <x:c r="T798" s="2" t="n">
        <x:f>'SUPUESTOS PRECIOS'!$B$9</x:f>
        <x:v>0</x:v>
      </x:c>
      <x:c r="U798" s="3" t="n">
        <x:f>'SUPUESTOS PRECIOS'!$B$5/'SUPUESTOS PRECIOS'!$B$4</x:f>
        <x:v>1000</x:v>
      </x:c>
      <x:c r="V798" s="3" t="n">
        <x:f>('SUPUESTOS PRECIOS'!$B$6-'SUPUESTOS PRECIOS'!$B$7)/'SUPUESTOS PRECIOS'!$B$4</x:f>
        <x:v>377.5</x:v>
      </x:c>
      <x:c r="W798" s="4" t="n">
        <x:f>'SUPUESTOS PRECIOS'!$B$8</x:f>
        <x:v>0.00968</x:v>
      </x:c>
      <x:c r="X798" s="4" t="n">
        <x:f>'SUPUESTOS PRECIOS'!$B$2</x:f>
        <x:v>0.4</x:v>
      </x:c>
      <x:c r="Y798" s="3" t="str">
        <x:f t="shared" si="49"/>
      </x:c>
      <x:c r="Z798" s="3" t="str">
        <x:f t="shared" si="50"/>
      </x:c>
      <x:c r="AA798" s="11" t="str">
        <x:f t="shared" si="51"/>
      </x:c>
    </x:row>
    <x:row r="799">
      <x:c r="A799" s="10" t="s">
        <x:v>1922</x:v>
      </x:c>
      <x:c r="F799" t="s">
        <x:v>1358</x:v>
      </x:c>
      <x:c r="K799">
        <x:v>1</x:v>
      </x:c>
      <x:c r="L799" t="str">
        <x:f t="shared" si="48"/>
      </x:c>
      <x:c r="O799" t="s">
        <x:v>38</x:v>
      </x:c>
      <x:c r="T799" s="2" t="n">
        <x:f>'SUPUESTOS PRECIOS'!$B$9</x:f>
        <x:v>0</x:v>
      </x:c>
      <x:c r="U799" s="3" t="n">
        <x:f>'SUPUESTOS PRECIOS'!$B$5/'SUPUESTOS PRECIOS'!$B$4</x:f>
        <x:v>1000</x:v>
      </x:c>
      <x:c r="V799" s="3" t="n">
        <x:f>('SUPUESTOS PRECIOS'!$B$6-'SUPUESTOS PRECIOS'!$B$7)/'SUPUESTOS PRECIOS'!$B$4</x:f>
        <x:v>377.5</x:v>
      </x:c>
      <x:c r="W799" s="4" t="n">
        <x:f>'SUPUESTOS PRECIOS'!$B$8</x:f>
        <x:v>0.00968</x:v>
      </x:c>
      <x:c r="X799" s="4" t="n">
        <x:f>'SUPUESTOS PRECIOS'!$B$2</x:f>
        <x:v>0.4</x:v>
      </x:c>
      <x:c r="Y799" s="3" t="str">
        <x:f t="shared" si="49"/>
      </x:c>
      <x:c r="Z799" s="3" t="str">
        <x:f t="shared" si="50"/>
      </x:c>
      <x:c r="AA799" s="11" t="str">
        <x:f t="shared" si="51"/>
      </x:c>
    </x:row>
    <x:row r="800">
      <x:c r="A800" s="10" t="s">
        <x:v>1923</x:v>
      </x:c>
      <x:c r="F800" t="s">
        <x:v>1358</x:v>
      </x:c>
      <x:c r="K800">
        <x:v>1</x:v>
      </x:c>
      <x:c r="L800" t="str">
        <x:f t="shared" si="48"/>
      </x:c>
      <x:c r="O800" t="s">
        <x:v>38</x:v>
      </x:c>
      <x:c r="T800" s="2" t="n">
        <x:f>'SUPUESTOS PRECIOS'!$B$9</x:f>
        <x:v>0</x:v>
      </x:c>
      <x:c r="U800" s="3" t="n">
        <x:f>'SUPUESTOS PRECIOS'!$B$5/'SUPUESTOS PRECIOS'!$B$4</x:f>
        <x:v>1000</x:v>
      </x:c>
      <x:c r="V800" s="3" t="n">
        <x:f>('SUPUESTOS PRECIOS'!$B$6-'SUPUESTOS PRECIOS'!$B$7)/'SUPUESTOS PRECIOS'!$B$4</x:f>
        <x:v>377.5</x:v>
      </x:c>
      <x:c r="W800" s="4" t="n">
        <x:f>'SUPUESTOS PRECIOS'!$B$8</x:f>
        <x:v>0.00968</x:v>
      </x:c>
      <x:c r="X800" s="4" t="n">
        <x:f>'SUPUESTOS PRECIOS'!$B$2</x:f>
        <x:v>0.4</x:v>
      </x:c>
      <x:c r="Y800" s="3" t="str">
        <x:f t="shared" si="49"/>
      </x:c>
      <x:c r="Z800" s="3" t="str">
        <x:f t="shared" si="50"/>
      </x:c>
      <x:c r="AA800" s="11" t="str">
        <x:f t="shared" si="51"/>
      </x:c>
    </x:row>
    <x:row r="801">
      <x:c r="A801" s="10" t="s">
        <x:v>1924</x:v>
      </x:c>
      <x:c r="F801" t="s">
        <x:v>1358</x:v>
      </x:c>
      <x:c r="K801">
        <x:v>1</x:v>
      </x:c>
      <x:c r="L801" t="str">
        <x:f t="shared" si="48"/>
      </x:c>
      <x:c r="O801" t="s">
        <x:v>38</x:v>
      </x:c>
      <x:c r="T801" s="2" t="n">
        <x:f>'SUPUESTOS PRECIOS'!$B$9</x:f>
        <x:v>0</x:v>
      </x:c>
      <x:c r="U801" s="3" t="n">
        <x:f>'SUPUESTOS PRECIOS'!$B$5/'SUPUESTOS PRECIOS'!$B$4</x:f>
        <x:v>1000</x:v>
      </x:c>
      <x:c r="V801" s="3" t="n">
        <x:f>('SUPUESTOS PRECIOS'!$B$6-'SUPUESTOS PRECIOS'!$B$7)/'SUPUESTOS PRECIOS'!$B$4</x:f>
        <x:v>377.5</x:v>
      </x:c>
      <x:c r="W801" s="4" t="n">
        <x:f>'SUPUESTOS PRECIOS'!$B$8</x:f>
        <x:v>0.00968</x:v>
      </x:c>
      <x:c r="X801" s="4" t="n">
        <x:f>'SUPUESTOS PRECIOS'!$B$2</x:f>
        <x:v>0.4</x:v>
      </x:c>
      <x:c r="Y801" s="3" t="str">
        <x:f t="shared" si="49"/>
      </x:c>
      <x:c r="Z801" s="3" t="str">
        <x:f t="shared" si="50"/>
      </x:c>
      <x:c r="AA801" s="11" t="str">
        <x:f t="shared" si="51"/>
      </x:c>
    </x:row>
    <x:row r="802">
      <x:c r="A802" s="10" t="s">
        <x:v>1925</x:v>
      </x:c>
      <x:c r="F802" t="s">
        <x:v>1358</x:v>
      </x:c>
      <x:c r="K802">
        <x:v>1</x:v>
      </x:c>
      <x:c r="L802" t="str">
        <x:f t="shared" si="48"/>
      </x:c>
      <x:c r="O802" t="s">
        <x:v>38</x:v>
      </x:c>
      <x:c r="T802" s="2" t="n">
        <x:f>'SUPUESTOS PRECIOS'!$B$9</x:f>
        <x:v>0</x:v>
      </x:c>
      <x:c r="U802" s="3" t="n">
        <x:f>'SUPUESTOS PRECIOS'!$B$5/'SUPUESTOS PRECIOS'!$B$4</x:f>
        <x:v>1000</x:v>
      </x:c>
      <x:c r="V802" s="3" t="n">
        <x:f>('SUPUESTOS PRECIOS'!$B$6-'SUPUESTOS PRECIOS'!$B$7)/'SUPUESTOS PRECIOS'!$B$4</x:f>
        <x:v>377.5</x:v>
      </x:c>
      <x:c r="W802" s="4" t="n">
        <x:f>'SUPUESTOS PRECIOS'!$B$8</x:f>
        <x:v>0.00968</x:v>
      </x:c>
      <x:c r="X802" s="4" t="n">
        <x:f>'SUPUESTOS PRECIOS'!$B$2</x:f>
        <x:v>0.4</x:v>
      </x:c>
      <x:c r="Y802" s="3" t="str">
        <x:f t="shared" si="49"/>
      </x:c>
      <x:c r="Z802" s="3" t="str">
        <x:f t="shared" si="50"/>
      </x:c>
      <x:c r="AA802" s="11" t="str">
        <x:f t="shared" si="51"/>
      </x:c>
    </x:row>
    <x:row r="803">
      <x:c r="A803" s="10" t="s">
        <x:v>1926</x:v>
      </x:c>
      <x:c r="F803" t="s">
        <x:v>1358</x:v>
      </x:c>
      <x:c r="K803">
        <x:v>1</x:v>
      </x:c>
      <x:c r="L803" t="str">
        <x:f t="shared" si="48"/>
      </x:c>
      <x:c r="O803" t="s">
        <x:v>38</x:v>
      </x:c>
      <x:c r="T803" s="2" t="n">
        <x:f>'SUPUESTOS PRECIOS'!$B$9</x:f>
        <x:v>0</x:v>
      </x:c>
      <x:c r="U803" s="3" t="n">
        <x:f>'SUPUESTOS PRECIOS'!$B$5/'SUPUESTOS PRECIOS'!$B$4</x:f>
        <x:v>1000</x:v>
      </x:c>
      <x:c r="V803" s="3" t="n">
        <x:f>('SUPUESTOS PRECIOS'!$B$6-'SUPUESTOS PRECIOS'!$B$7)/'SUPUESTOS PRECIOS'!$B$4</x:f>
        <x:v>377.5</x:v>
      </x:c>
      <x:c r="W803" s="4" t="n">
        <x:f>'SUPUESTOS PRECIOS'!$B$8</x:f>
        <x:v>0.00968</x:v>
      </x:c>
      <x:c r="X803" s="4" t="n">
        <x:f>'SUPUESTOS PRECIOS'!$B$2</x:f>
        <x:v>0.4</x:v>
      </x:c>
      <x:c r="Y803" s="3" t="str">
        <x:f t="shared" si="49"/>
      </x:c>
      <x:c r="Z803" s="3" t="str">
        <x:f t="shared" si="50"/>
      </x:c>
      <x:c r="AA803" s="11" t="str">
        <x:f t="shared" si="51"/>
      </x:c>
    </x:row>
    <x:row r="804">
      <x:c r="A804" s="10" t="s">
        <x:v>1927</x:v>
      </x:c>
      <x:c r="F804" t="s">
        <x:v>1358</x:v>
      </x:c>
      <x:c r="K804">
        <x:v>1</x:v>
      </x:c>
      <x:c r="L804" t="str">
        <x:f t="shared" si="48"/>
      </x:c>
      <x:c r="O804" t="s">
        <x:v>38</x:v>
      </x:c>
      <x:c r="T804" s="2" t="n">
        <x:f>'SUPUESTOS PRECIOS'!$B$9</x:f>
        <x:v>0</x:v>
      </x:c>
      <x:c r="U804" s="3" t="n">
        <x:f>'SUPUESTOS PRECIOS'!$B$5/'SUPUESTOS PRECIOS'!$B$4</x:f>
        <x:v>1000</x:v>
      </x:c>
      <x:c r="V804" s="3" t="n">
        <x:f>('SUPUESTOS PRECIOS'!$B$6-'SUPUESTOS PRECIOS'!$B$7)/'SUPUESTOS PRECIOS'!$B$4</x:f>
        <x:v>377.5</x:v>
      </x:c>
      <x:c r="W804" s="4" t="n">
        <x:f>'SUPUESTOS PRECIOS'!$B$8</x:f>
        <x:v>0.00968</x:v>
      </x:c>
      <x:c r="X804" s="4" t="n">
        <x:f>'SUPUESTOS PRECIOS'!$B$2</x:f>
        <x:v>0.4</x:v>
      </x:c>
      <x:c r="Y804" s="3" t="str">
        <x:f t="shared" si="49"/>
      </x:c>
      <x:c r="Z804" s="3" t="str">
        <x:f t="shared" si="50"/>
      </x:c>
      <x:c r="AA804" s="11" t="str">
        <x:f t="shared" si="51"/>
      </x:c>
    </x:row>
    <x:row r="805">
      <x:c r="A805" s="10" t="s">
        <x:v>1928</x:v>
      </x:c>
      <x:c r="F805" t="s">
        <x:v>1358</x:v>
      </x:c>
      <x:c r="K805">
        <x:v>1</x:v>
      </x:c>
      <x:c r="L805" t="str">
        <x:f t="shared" si="48"/>
      </x:c>
      <x:c r="O805" t="s">
        <x:v>38</x:v>
      </x:c>
      <x:c r="T805" s="2" t="n">
        <x:f>'SUPUESTOS PRECIOS'!$B$9</x:f>
        <x:v>0</x:v>
      </x:c>
      <x:c r="U805" s="3" t="n">
        <x:f>'SUPUESTOS PRECIOS'!$B$5/'SUPUESTOS PRECIOS'!$B$4</x:f>
        <x:v>1000</x:v>
      </x:c>
      <x:c r="V805" s="3" t="n">
        <x:f>('SUPUESTOS PRECIOS'!$B$6-'SUPUESTOS PRECIOS'!$B$7)/'SUPUESTOS PRECIOS'!$B$4</x:f>
        <x:v>377.5</x:v>
      </x:c>
      <x:c r="W805" s="4" t="n">
        <x:f>'SUPUESTOS PRECIOS'!$B$8</x:f>
        <x:v>0.00968</x:v>
      </x:c>
      <x:c r="X805" s="4" t="n">
        <x:f>'SUPUESTOS PRECIOS'!$B$2</x:f>
        <x:v>0.4</x:v>
      </x:c>
      <x:c r="Y805" s="3" t="str">
        <x:f t="shared" si="49"/>
      </x:c>
      <x:c r="Z805" s="3" t="str">
        <x:f t="shared" si="50"/>
      </x:c>
      <x:c r="AA805" s="11" t="str">
        <x:f t="shared" si="51"/>
      </x:c>
    </x:row>
    <x:row r="806">
      <x:c r="A806" s="10" t="s">
        <x:v>1929</x:v>
      </x:c>
      <x:c r="F806" t="s">
        <x:v>1358</x:v>
      </x:c>
      <x:c r="K806">
        <x:v>1</x:v>
      </x:c>
      <x:c r="L806" t="str">
        <x:f t="shared" si="48"/>
      </x:c>
      <x:c r="O806" t="s">
        <x:v>38</x:v>
      </x:c>
      <x:c r="T806" s="2" t="n">
        <x:f>'SUPUESTOS PRECIOS'!$B$9</x:f>
        <x:v>0</x:v>
      </x:c>
      <x:c r="U806" s="3" t="n">
        <x:f>'SUPUESTOS PRECIOS'!$B$5/'SUPUESTOS PRECIOS'!$B$4</x:f>
        <x:v>1000</x:v>
      </x:c>
      <x:c r="V806" s="3" t="n">
        <x:f>('SUPUESTOS PRECIOS'!$B$6-'SUPUESTOS PRECIOS'!$B$7)/'SUPUESTOS PRECIOS'!$B$4</x:f>
        <x:v>377.5</x:v>
      </x:c>
      <x:c r="W806" s="4" t="n">
        <x:f>'SUPUESTOS PRECIOS'!$B$8</x:f>
        <x:v>0.00968</x:v>
      </x:c>
      <x:c r="X806" s="4" t="n">
        <x:f>'SUPUESTOS PRECIOS'!$B$2</x:f>
        <x:v>0.4</x:v>
      </x:c>
      <x:c r="Y806" s="3" t="str">
        <x:f t="shared" si="49"/>
      </x:c>
      <x:c r="Z806" s="3" t="str">
        <x:f t="shared" si="50"/>
      </x:c>
      <x:c r="AA806" s="11" t="str">
        <x:f t="shared" si="51"/>
      </x:c>
    </x:row>
    <x:row r="807">
      <x:c r="A807" s="10" t="s">
        <x:v>1930</x:v>
      </x:c>
      <x:c r="F807" t="s">
        <x:v>1358</x:v>
      </x:c>
      <x:c r="K807">
        <x:v>1</x:v>
      </x:c>
      <x:c r="L807" t="str">
        <x:f t="shared" si="48"/>
      </x:c>
      <x:c r="O807" t="s">
        <x:v>38</x:v>
      </x:c>
      <x:c r="T807" s="2" t="n">
        <x:f>'SUPUESTOS PRECIOS'!$B$9</x:f>
        <x:v>0</x:v>
      </x:c>
      <x:c r="U807" s="3" t="n">
        <x:f>'SUPUESTOS PRECIOS'!$B$5/'SUPUESTOS PRECIOS'!$B$4</x:f>
        <x:v>1000</x:v>
      </x:c>
      <x:c r="V807" s="3" t="n">
        <x:f>('SUPUESTOS PRECIOS'!$B$6-'SUPUESTOS PRECIOS'!$B$7)/'SUPUESTOS PRECIOS'!$B$4</x:f>
        <x:v>377.5</x:v>
      </x:c>
      <x:c r="W807" s="4" t="n">
        <x:f>'SUPUESTOS PRECIOS'!$B$8</x:f>
        <x:v>0.00968</x:v>
      </x:c>
      <x:c r="X807" s="4" t="n">
        <x:f>'SUPUESTOS PRECIOS'!$B$2</x:f>
        <x:v>0.4</x:v>
      </x:c>
      <x:c r="Y807" s="3" t="str">
        <x:f t="shared" si="49"/>
      </x:c>
      <x:c r="Z807" s="3" t="str">
        <x:f t="shared" si="50"/>
      </x:c>
      <x:c r="AA807" s="11" t="str">
        <x:f t="shared" si="51"/>
      </x:c>
    </x:row>
    <x:row r="808">
      <x:c r="A808" s="10" t="s">
        <x:v>1931</x:v>
      </x:c>
      <x:c r="F808" t="s">
        <x:v>1358</x:v>
      </x:c>
      <x:c r="K808">
        <x:v>1</x:v>
      </x:c>
      <x:c r="L808" t="str">
        <x:f t="shared" si="48"/>
      </x:c>
      <x:c r="O808" t="s">
        <x:v>38</x:v>
      </x:c>
      <x:c r="T808" s="2" t="n">
        <x:f>'SUPUESTOS PRECIOS'!$B$9</x:f>
        <x:v>0</x:v>
      </x:c>
      <x:c r="U808" s="3" t="n">
        <x:f>'SUPUESTOS PRECIOS'!$B$5/'SUPUESTOS PRECIOS'!$B$4</x:f>
        <x:v>1000</x:v>
      </x:c>
      <x:c r="V808" s="3" t="n">
        <x:f>('SUPUESTOS PRECIOS'!$B$6-'SUPUESTOS PRECIOS'!$B$7)/'SUPUESTOS PRECIOS'!$B$4</x:f>
        <x:v>377.5</x:v>
      </x:c>
      <x:c r="W808" s="4" t="n">
        <x:f>'SUPUESTOS PRECIOS'!$B$8</x:f>
        <x:v>0.00968</x:v>
      </x:c>
      <x:c r="X808" s="4" t="n">
        <x:f>'SUPUESTOS PRECIOS'!$B$2</x:f>
        <x:v>0.4</x:v>
      </x:c>
      <x:c r="Y808" s="3" t="str">
        <x:f t="shared" si="49"/>
      </x:c>
      <x:c r="Z808" s="3" t="str">
        <x:f t="shared" si="50"/>
      </x:c>
      <x:c r="AA808" s="11" t="str">
        <x:f t="shared" si="51"/>
      </x:c>
    </x:row>
    <x:row r="809">
      <x:c r="A809" s="10" t="s">
        <x:v>1932</x:v>
      </x:c>
      <x:c r="F809" t="s">
        <x:v>1358</x:v>
      </x:c>
      <x:c r="K809">
        <x:v>1</x:v>
      </x:c>
      <x:c r="L809" t="str">
        <x:f t="shared" si="48"/>
      </x:c>
      <x:c r="O809" t="s">
        <x:v>38</x:v>
      </x:c>
      <x:c r="T809" s="2" t="n">
        <x:f>'SUPUESTOS PRECIOS'!$B$9</x:f>
        <x:v>0</x:v>
      </x:c>
      <x:c r="U809" s="3" t="n">
        <x:f>'SUPUESTOS PRECIOS'!$B$5/'SUPUESTOS PRECIOS'!$B$4</x:f>
        <x:v>1000</x:v>
      </x:c>
      <x:c r="V809" s="3" t="n">
        <x:f>('SUPUESTOS PRECIOS'!$B$6-'SUPUESTOS PRECIOS'!$B$7)/'SUPUESTOS PRECIOS'!$B$4</x:f>
        <x:v>377.5</x:v>
      </x:c>
      <x:c r="W809" s="4" t="n">
        <x:f>'SUPUESTOS PRECIOS'!$B$8</x:f>
        <x:v>0.00968</x:v>
      </x:c>
      <x:c r="X809" s="4" t="n">
        <x:f>'SUPUESTOS PRECIOS'!$B$2</x:f>
        <x:v>0.4</x:v>
      </x:c>
      <x:c r="Y809" s="3" t="str">
        <x:f t="shared" si="49"/>
      </x:c>
      <x:c r="Z809" s="3" t="str">
        <x:f t="shared" si="50"/>
      </x:c>
      <x:c r="AA809" s="11" t="str">
        <x:f t="shared" si="51"/>
      </x:c>
    </x:row>
    <x:row r="810">
      <x:c r="A810" s="10" t="s">
        <x:v>1933</x:v>
      </x:c>
      <x:c r="F810" t="s">
        <x:v>1358</x:v>
      </x:c>
      <x:c r="K810">
        <x:v>1</x:v>
      </x:c>
      <x:c r="L810" t="str">
        <x:f t="shared" si="48"/>
      </x:c>
      <x:c r="O810" t="s">
        <x:v>38</x:v>
      </x:c>
      <x:c r="T810" s="2" t="n">
        <x:f>'SUPUESTOS PRECIOS'!$B$9</x:f>
        <x:v>0</x:v>
      </x:c>
      <x:c r="U810" s="3" t="n">
        <x:f>'SUPUESTOS PRECIOS'!$B$5/'SUPUESTOS PRECIOS'!$B$4</x:f>
        <x:v>1000</x:v>
      </x:c>
      <x:c r="V810" s="3" t="n">
        <x:f>('SUPUESTOS PRECIOS'!$B$6-'SUPUESTOS PRECIOS'!$B$7)/'SUPUESTOS PRECIOS'!$B$4</x:f>
        <x:v>377.5</x:v>
      </x:c>
      <x:c r="W810" s="4" t="n">
        <x:f>'SUPUESTOS PRECIOS'!$B$8</x:f>
        <x:v>0.00968</x:v>
      </x:c>
      <x:c r="X810" s="4" t="n">
        <x:f>'SUPUESTOS PRECIOS'!$B$2</x:f>
        <x:v>0.4</x:v>
      </x:c>
      <x:c r="Y810" s="3" t="str">
        <x:f t="shared" si="49"/>
      </x:c>
      <x:c r="Z810" s="3" t="str">
        <x:f t="shared" si="50"/>
      </x:c>
      <x:c r="AA810" s="11" t="str">
        <x:f t="shared" si="51"/>
      </x:c>
    </x:row>
    <x:row r="811">
      <x:c r="A811" s="10" t="s">
        <x:v>1934</x:v>
      </x:c>
      <x:c r="F811" t="s">
        <x:v>1358</x:v>
      </x:c>
      <x:c r="K811">
        <x:v>1</x:v>
      </x:c>
      <x:c r="L811" t="str">
        <x:f t="shared" si="48"/>
      </x:c>
      <x:c r="O811" t="s">
        <x:v>38</x:v>
      </x:c>
      <x:c r="T811" s="2" t="n">
        <x:f>'SUPUESTOS PRECIOS'!$B$9</x:f>
        <x:v>0</x:v>
      </x:c>
      <x:c r="U811" s="3" t="n">
        <x:f>'SUPUESTOS PRECIOS'!$B$5/'SUPUESTOS PRECIOS'!$B$4</x:f>
        <x:v>1000</x:v>
      </x:c>
      <x:c r="V811" s="3" t="n">
        <x:f>('SUPUESTOS PRECIOS'!$B$6-'SUPUESTOS PRECIOS'!$B$7)/'SUPUESTOS PRECIOS'!$B$4</x:f>
        <x:v>377.5</x:v>
      </x:c>
      <x:c r="W811" s="4" t="n">
        <x:f>'SUPUESTOS PRECIOS'!$B$8</x:f>
        <x:v>0.00968</x:v>
      </x:c>
      <x:c r="X811" s="4" t="n">
        <x:f>'SUPUESTOS PRECIOS'!$B$2</x:f>
        <x:v>0.4</x:v>
      </x:c>
      <x:c r="Y811" s="3" t="str">
        <x:f t="shared" si="49"/>
      </x:c>
      <x:c r="Z811" s="3" t="str">
        <x:f t="shared" si="50"/>
      </x:c>
      <x:c r="AA811" s="11" t="str">
        <x:f t="shared" si="51"/>
      </x:c>
    </x:row>
    <x:row r="812">
      <x:c r="A812" s="10" t="s">
        <x:v>1935</x:v>
      </x:c>
      <x:c r="F812" t="s">
        <x:v>1358</x:v>
      </x:c>
      <x:c r="K812">
        <x:v>1</x:v>
      </x:c>
      <x:c r="L812" t="str">
        <x:f t="shared" si="48"/>
      </x:c>
      <x:c r="O812" t="s">
        <x:v>38</x:v>
      </x:c>
      <x:c r="T812" s="2" t="n">
        <x:f>'SUPUESTOS PRECIOS'!$B$9</x:f>
        <x:v>0</x:v>
      </x:c>
      <x:c r="U812" s="3" t="n">
        <x:f>'SUPUESTOS PRECIOS'!$B$5/'SUPUESTOS PRECIOS'!$B$4</x:f>
        <x:v>1000</x:v>
      </x:c>
      <x:c r="V812" s="3" t="n">
        <x:f>('SUPUESTOS PRECIOS'!$B$6-'SUPUESTOS PRECIOS'!$B$7)/'SUPUESTOS PRECIOS'!$B$4</x:f>
        <x:v>377.5</x:v>
      </x:c>
      <x:c r="W812" s="4" t="n">
        <x:f>'SUPUESTOS PRECIOS'!$B$8</x:f>
        <x:v>0.00968</x:v>
      </x:c>
      <x:c r="X812" s="4" t="n">
        <x:f>'SUPUESTOS PRECIOS'!$B$2</x:f>
        <x:v>0.4</x:v>
      </x:c>
      <x:c r="Y812" s="3" t="str">
        <x:f t="shared" si="49"/>
      </x:c>
      <x:c r="Z812" s="3" t="str">
        <x:f t="shared" si="50"/>
      </x:c>
      <x:c r="AA812" s="11" t="str">
        <x:f t="shared" si="51"/>
      </x:c>
    </x:row>
    <x:row r="813">
      <x:c r="A813" s="10" t="s">
        <x:v>1936</x:v>
      </x:c>
      <x:c r="F813" t="s">
        <x:v>1358</x:v>
      </x:c>
      <x:c r="K813">
        <x:v>1</x:v>
      </x:c>
      <x:c r="L813" t="str">
        <x:f t="shared" si="48"/>
      </x:c>
      <x:c r="O813" t="s">
        <x:v>38</x:v>
      </x:c>
      <x:c r="T813" s="2" t="n">
        <x:f>'SUPUESTOS PRECIOS'!$B$9</x:f>
        <x:v>0</x:v>
      </x:c>
      <x:c r="U813" s="3" t="n">
        <x:f>'SUPUESTOS PRECIOS'!$B$5/'SUPUESTOS PRECIOS'!$B$4</x:f>
        <x:v>1000</x:v>
      </x:c>
      <x:c r="V813" s="3" t="n">
        <x:f>('SUPUESTOS PRECIOS'!$B$6-'SUPUESTOS PRECIOS'!$B$7)/'SUPUESTOS PRECIOS'!$B$4</x:f>
        <x:v>377.5</x:v>
      </x:c>
      <x:c r="W813" s="4" t="n">
        <x:f>'SUPUESTOS PRECIOS'!$B$8</x:f>
        <x:v>0.00968</x:v>
      </x:c>
      <x:c r="X813" s="4" t="n">
        <x:f>'SUPUESTOS PRECIOS'!$B$2</x:f>
        <x:v>0.4</x:v>
      </x:c>
      <x:c r="Y813" s="3" t="str">
        <x:f t="shared" si="49"/>
      </x:c>
      <x:c r="Z813" s="3" t="str">
        <x:f t="shared" si="50"/>
      </x:c>
      <x:c r="AA813" s="11" t="str">
        <x:f t="shared" si="51"/>
      </x:c>
    </x:row>
    <x:row r="814">
      <x:c r="A814" s="10" t="s">
        <x:v>1937</x:v>
      </x:c>
      <x:c r="F814" t="s">
        <x:v>1358</x:v>
      </x:c>
      <x:c r="K814">
        <x:v>1</x:v>
      </x:c>
      <x:c r="L814" t="str">
        <x:f t="shared" si="48"/>
      </x:c>
      <x:c r="O814" t="s">
        <x:v>38</x:v>
      </x:c>
      <x:c r="T814" s="2" t="n">
        <x:f>'SUPUESTOS PRECIOS'!$B$9</x:f>
        <x:v>0</x:v>
      </x:c>
      <x:c r="U814" s="3" t="n">
        <x:f>'SUPUESTOS PRECIOS'!$B$5/'SUPUESTOS PRECIOS'!$B$4</x:f>
        <x:v>1000</x:v>
      </x:c>
      <x:c r="V814" s="3" t="n">
        <x:f>('SUPUESTOS PRECIOS'!$B$6-'SUPUESTOS PRECIOS'!$B$7)/'SUPUESTOS PRECIOS'!$B$4</x:f>
        <x:v>377.5</x:v>
      </x:c>
      <x:c r="W814" s="4" t="n">
        <x:f>'SUPUESTOS PRECIOS'!$B$8</x:f>
        <x:v>0.00968</x:v>
      </x:c>
      <x:c r="X814" s="4" t="n">
        <x:f>'SUPUESTOS PRECIOS'!$B$2</x:f>
        <x:v>0.4</x:v>
      </x:c>
      <x:c r="Y814" s="3" t="str">
        <x:f t="shared" si="49"/>
      </x:c>
      <x:c r="Z814" s="3" t="str">
        <x:f t="shared" si="50"/>
      </x:c>
      <x:c r="AA814" s="11" t="str">
        <x:f t="shared" si="51"/>
      </x:c>
    </x:row>
    <x:row r="815">
      <x:c r="A815" s="10" t="s">
        <x:v>1938</x:v>
      </x:c>
      <x:c r="F815" t="s">
        <x:v>1358</x:v>
      </x:c>
      <x:c r="K815">
        <x:v>1</x:v>
      </x:c>
      <x:c r="L815" t="str">
        <x:f t="shared" si="48"/>
      </x:c>
      <x:c r="O815" t="s">
        <x:v>38</x:v>
      </x:c>
      <x:c r="T815" s="2" t="n">
        <x:f>'SUPUESTOS PRECIOS'!$B$9</x:f>
        <x:v>0</x:v>
      </x:c>
      <x:c r="U815" s="3" t="n">
        <x:f>'SUPUESTOS PRECIOS'!$B$5/'SUPUESTOS PRECIOS'!$B$4</x:f>
        <x:v>1000</x:v>
      </x:c>
      <x:c r="V815" s="3" t="n">
        <x:f>('SUPUESTOS PRECIOS'!$B$6-'SUPUESTOS PRECIOS'!$B$7)/'SUPUESTOS PRECIOS'!$B$4</x:f>
        <x:v>377.5</x:v>
      </x:c>
      <x:c r="W815" s="4" t="n">
        <x:f>'SUPUESTOS PRECIOS'!$B$8</x:f>
        <x:v>0.00968</x:v>
      </x:c>
      <x:c r="X815" s="4" t="n">
        <x:f>'SUPUESTOS PRECIOS'!$B$2</x:f>
        <x:v>0.4</x:v>
      </x:c>
      <x:c r="Y815" s="3" t="str">
        <x:f t="shared" si="49"/>
      </x:c>
      <x:c r="Z815" s="3" t="str">
        <x:f t="shared" si="50"/>
      </x:c>
      <x:c r="AA815" s="11" t="str">
        <x:f t="shared" si="51"/>
      </x:c>
    </x:row>
    <x:row r="816">
      <x:c r="A816" s="10" t="s">
        <x:v>1939</x:v>
      </x:c>
      <x:c r="F816" t="s">
        <x:v>1358</x:v>
      </x:c>
      <x:c r="K816">
        <x:v>1</x:v>
      </x:c>
      <x:c r="L816" t="str">
        <x:f t="shared" si="48"/>
      </x:c>
      <x:c r="O816" t="s">
        <x:v>38</x:v>
      </x:c>
      <x:c r="T816" s="2" t="n">
        <x:f>'SUPUESTOS PRECIOS'!$B$9</x:f>
        <x:v>0</x:v>
      </x:c>
      <x:c r="U816" s="3" t="n">
        <x:f>'SUPUESTOS PRECIOS'!$B$5/'SUPUESTOS PRECIOS'!$B$4</x:f>
        <x:v>1000</x:v>
      </x:c>
      <x:c r="V816" s="3" t="n">
        <x:f>('SUPUESTOS PRECIOS'!$B$6-'SUPUESTOS PRECIOS'!$B$7)/'SUPUESTOS PRECIOS'!$B$4</x:f>
        <x:v>377.5</x:v>
      </x:c>
      <x:c r="W816" s="4" t="n">
        <x:f>'SUPUESTOS PRECIOS'!$B$8</x:f>
        <x:v>0.00968</x:v>
      </x:c>
      <x:c r="X816" s="4" t="n">
        <x:f>'SUPUESTOS PRECIOS'!$B$2</x:f>
        <x:v>0.4</x:v>
      </x:c>
      <x:c r="Y816" s="3" t="str">
        <x:f t="shared" si="49"/>
      </x:c>
      <x:c r="Z816" s="3" t="str">
        <x:f t="shared" si="50"/>
      </x:c>
      <x:c r="AA816" s="11" t="str">
        <x:f t="shared" si="51"/>
      </x:c>
    </x:row>
    <x:row r="817">
      <x:c r="A817" s="10" t="s">
        <x:v>1940</x:v>
      </x:c>
      <x:c r="F817" t="s">
        <x:v>1358</x:v>
      </x:c>
      <x:c r="K817">
        <x:v>1</x:v>
      </x:c>
      <x:c r="L817" t="str">
        <x:f t="shared" si="48"/>
      </x:c>
      <x:c r="O817" t="s">
        <x:v>38</x:v>
      </x:c>
      <x:c r="T817" s="2" t="n">
        <x:f>'SUPUESTOS PRECIOS'!$B$9</x:f>
        <x:v>0</x:v>
      </x:c>
      <x:c r="U817" s="3" t="n">
        <x:f>'SUPUESTOS PRECIOS'!$B$5/'SUPUESTOS PRECIOS'!$B$4</x:f>
        <x:v>1000</x:v>
      </x:c>
      <x:c r="V817" s="3" t="n">
        <x:f>('SUPUESTOS PRECIOS'!$B$6-'SUPUESTOS PRECIOS'!$B$7)/'SUPUESTOS PRECIOS'!$B$4</x:f>
        <x:v>377.5</x:v>
      </x:c>
      <x:c r="W817" s="4" t="n">
        <x:f>'SUPUESTOS PRECIOS'!$B$8</x:f>
        <x:v>0.00968</x:v>
      </x:c>
      <x:c r="X817" s="4" t="n">
        <x:f>'SUPUESTOS PRECIOS'!$B$2</x:f>
        <x:v>0.4</x:v>
      </x:c>
      <x:c r="Y817" s="3" t="str">
        <x:f t="shared" si="49"/>
      </x:c>
      <x:c r="Z817" s="3" t="str">
        <x:f t="shared" si="50"/>
      </x:c>
      <x:c r="AA817" s="11" t="str">
        <x:f t="shared" si="51"/>
      </x:c>
    </x:row>
    <x:row r="818">
      <x:c r="A818" s="10" t="s">
        <x:v>1941</x:v>
      </x:c>
      <x:c r="F818" t="s">
        <x:v>1358</x:v>
      </x:c>
      <x:c r="K818">
        <x:v>1</x:v>
      </x:c>
      <x:c r="L818" t="str">
        <x:f t="shared" si="48"/>
      </x:c>
      <x:c r="O818" t="s">
        <x:v>38</x:v>
      </x:c>
      <x:c r="T818" s="2" t="n">
        <x:f>'SUPUESTOS PRECIOS'!$B$9</x:f>
        <x:v>0</x:v>
      </x:c>
      <x:c r="U818" s="3" t="n">
        <x:f>'SUPUESTOS PRECIOS'!$B$5/'SUPUESTOS PRECIOS'!$B$4</x:f>
        <x:v>1000</x:v>
      </x:c>
      <x:c r="V818" s="3" t="n">
        <x:f>('SUPUESTOS PRECIOS'!$B$6-'SUPUESTOS PRECIOS'!$B$7)/'SUPUESTOS PRECIOS'!$B$4</x:f>
        <x:v>377.5</x:v>
      </x:c>
      <x:c r="W818" s="4" t="n">
        <x:f>'SUPUESTOS PRECIOS'!$B$8</x:f>
        <x:v>0.00968</x:v>
      </x:c>
      <x:c r="X818" s="4" t="n">
        <x:f>'SUPUESTOS PRECIOS'!$B$2</x:f>
        <x:v>0.4</x:v>
      </x:c>
      <x:c r="Y818" s="3" t="str">
        <x:f t="shared" si="49"/>
      </x:c>
      <x:c r="Z818" s="3" t="str">
        <x:f t="shared" si="50"/>
      </x:c>
      <x:c r="AA818" s="11" t="str">
        <x:f t="shared" si="51"/>
      </x:c>
    </x:row>
    <x:row r="819">
      <x:c r="A819" s="10" t="s">
        <x:v>1942</x:v>
      </x:c>
      <x:c r="F819" t="s">
        <x:v>1358</x:v>
      </x:c>
      <x:c r="K819">
        <x:v>1</x:v>
      </x:c>
      <x:c r="L819" t="str">
        <x:f t="shared" si="48"/>
      </x:c>
      <x:c r="O819" t="s">
        <x:v>38</x:v>
      </x:c>
      <x:c r="T819" s="2" t="n">
        <x:f>'SUPUESTOS PRECIOS'!$B$9</x:f>
        <x:v>0</x:v>
      </x:c>
      <x:c r="U819" s="3" t="n">
        <x:f>'SUPUESTOS PRECIOS'!$B$5/'SUPUESTOS PRECIOS'!$B$4</x:f>
        <x:v>1000</x:v>
      </x:c>
      <x:c r="V819" s="3" t="n">
        <x:f>('SUPUESTOS PRECIOS'!$B$6-'SUPUESTOS PRECIOS'!$B$7)/'SUPUESTOS PRECIOS'!$B$4</x:f>
        <x:v>377.5</x:v>
      </x:c>
      <x:c r="W819" s="4" t="n">
        <x:f>'SUPUESTOS PRECIOS'!$B$8</x:f>
        <x:v>0.00968</x:v>
      </x:c>
      <x:c r="X819" s="4" t="n">
        <x:f>'SUPUESTOS PRECIOS'!$B$2</x:f>
        <x:v>0.4</x:v>
      </x:c>
      <x:c r="Y819" s="3" t="str">
        <x:f t="shared" si="49"/>
      </x:c>
      <x:c r="Z819" s="3" t="str">
        <x:f t="shared" si="50"/>
      </x:c>
      <x:c r="AA819" s="11" t="str">
        <x:f t="shared" si="51"/>
      </x:c>
    </x:row>
    <x:row r="820">
      <x:c r="A820" s="10" t="s">
        <x:v>1943</x:v>
      </x:c>
      <x:c r="F820" t="s">
        <x:v>1358</x:v>
      </x:c>
      <x:c r="K820">
        <x:v>1</x:v>
      </x:c>
      <x:c r="L820" t="str">
        <x:f t="shared" si="48"/>
      </x:c>
      <x:c r="O820" t="s">
        <x:v>38</x:v>
      </x:c>
      <x:c r="T820" s="2" t="n">
        <x:f>'SUPUESTOS PRECIOS'!$B$9</x:f>
        <x:v>0</x:v>
      </x:c>
      <x:c r="U820" s="3" t="n">
        <x:f>'SUPUESTOS PRECIOS'!$B$5/'SUPUESTOS PRECIOS'!$B$4</x:f>
        <x:v>1000</x:v>
      </x:c>
      <x:c r="V820" s="3" t="n">
        <x:f>('SUPUESTOS PRECIOS'!$B$6-'SUPUESTOS PRECIOS'!$B$7)/'SUPUESTOS PRECIOS'!$B$4</x:f>
        <x:v>377.5</x:v>
      </x:c>
      <x:c r="W820" s="4" t="n">
        <x:f>'SUPUESTOS PRECIOS'!$B$8</x:f>
        <x:v>0.00968</x:v>
      </x:c>
      <x:c r="X820" s="4" t="n">
        <x:f>'SUPUESTOS PRECIOS'!$B$2</x:f>
        <x:v>0.4</x:v>
      </x:c>
      <x:c r="Y820" s="3" t="str">
        <x:f t="shared" si="49"/>
      </x:c>
      <x:c r="Z820" s="3" t="str">
        <x:f t="shared" si="50"/>
      </x:c>
      <x:c r="AA820" s="11" t="str">
        <x:f t="shared" si="51"/>
      </x:c>
    </x:row>
    <x:row r="821">
      <x:c r="A821" s="10" t="s">
        <x:v>1944</x:v>
      </x:c>
      <x:c r="F821" t="s">
        <x:v>1358</x:v>
      </x:c>
      <x:c r="K821">
        <x:v>1</x:v>
      </x:c>
      <x:c r="L821" t="str">
        <x:f t="shared" si="48"/>
      </x:c>
      <x:c r="O821" t="s">
        <x:v>38</x:v>
      </x:c>
      <x:c r="T821" s="2" t="n">
        <x:f>'SUPUESTOS PRECIOS'!$B$9</x:f>
        <x:v>0</x:v>
      </x:c>
      <x:c r="U821" s="3" t="n">
        <x:f>'SUPUESTOS PRECIOS'!$B$5/'SUPUESTOS PRECIOS'!$B$4</x:f>
        <x:v>1000</x:v>
      </x:c>
      <x:c r="V821" s="3" t="n">
        <x:f>('SUPUESTOS PRECIOS'!$B$6-'SUPUESTOS PRECIOS'!$B$7)/'SUPUESTOS PRECIOS'!$B$4</x:f>
        <x:v>377.5</x:v>
      </x:c>
      <x:c r="W821" s="4" t="n">
        <x:f>'SUPUESTOS PRECIOS'!$B$8</x:f>
        <x:v>0.00968</x:v>
      </x:c>
      <x:c r="X821" s="4" t="n">
        <x:f>'SUPUESTOS PRECIOS'!$B$2</x:f>
        <x:v>0.4</x:v>
      </x:c>
      <x:c r="Y821" s="3" t="str">
        <x:f t="shared" si="49"/>
      </x:c>
      <x:c r="Z821" s="3" t="str">
        <x:f t="shared" si="50"/>
      </x:c>
      <x:c r="AA821" s="11" t="str">
        <x:f t="shared" si="51"/>
      </x:c>
    </x:row>
    <x:row r="822">
      <x:c r="A822" s="10" t="s">
        <x:v>1945</x:v>
      </x:c>
      <x:c r="F822" t="s">
        <x:v>1358</x:v>
      </x:c>
      <x:c r="K822">
        <x:v>1</x:v>
      </x:c>
      <x:c r="L822" t="str">
        <x:f t="shared" si="48"/>
      </x:c>
      <x:c r="O822" t="s">
        <x:v>38</x:v>
      </x:c>
      <x:c r="T822" s="2" t="n">
        <x:f>'SUPUESTOS PRECIOS'!$B$9</x:f>
        <x:v>0</x:v>
      </x:c>
      <x:c r="U822" s="3" t="n">
        <x:f>'SUPUESTOS PRECIOS'!$B$5/'SUPUESTOS PRECIOS'!$B$4</x:f>
        <x:v>1000</x:v>
      </x:c>
      <x:c r="V822" s="3" t="n">
        <x:f>('SUPUESTOS PRECIOS'!$B$6-'SUPUESTOS PRECIOS'!$B$7)/'SUPUESTOS PRECIOS'!$B$4</x:f>
        <x:v>377.5</x:v>
      </x:c>
      <x:c r="W822" s="4" t="n">
        <x:f>'SUPUESTOS PRECIOS'!$B$8</x:f>
        <x:v>0.00968</x:v>
      </x:c>
      <x:c r="X822" s="4" t="n">
        <x:f>'SUPUESTOS PRECIOS'!$B$2</x:f>
        <x:v>0.4</x:v>
      </x:c>
      <x:c r="Y822" s="3" t="str">
        <x:f t="shared" si="49"/>
      </x:c>
      <x:c r="Z822" s="3" t="str">
        <x:f t="shared" si="50"/>
      </x:c>
      <x:c r="AA822" s="11" t="str">
        <x:f t="shared" si="51"/>
      </x:c>
    </x:row>
    <x:row r="823">
      <x:c r="A823" s="10" t="s">
        <x:v>1946</x:v>
      </x:c>
      <x:c r="F823" t="s">
        <x:v>1358</x:v>
      </x:c>
      <x:c r="K823">
        <x:v>1</x:v>
      </x:c>
      <x:c r="L823" t="str">
        <x:f t="shared" si="48"/>
      </x:c>
      <x:c r="O823" t="s">
        <x:v>38</x:v>
      </x:c>
      <x:c r="T823" s="2" t="n">
        <x:f>'SUPUESTOS PRECIOS'!$B$9</x:f>
        <x:v>0</x:v>
      </x:c>
      <x:c r="U823" s="3" t="n">
        <x:f>'SUPUESTOS PRECIOS'!$B$5/'SUPUESTOS PRECIOS'!$B$4</x:f>
        <x:v>1000</x:v>
      </x:c>
      <x:c r="V823" s="3" t="n">
        <x:f>('SUPUESTOS PRECIOS'!$B$6-'SUPUESTOS PRECIOS'!$B$7)/'SUPUESTOS PRECIOS'!$B$4</x:f>
        <x:v>377.5</x:v>
      </x:c>
      <x:c r="W823" s="4" t="n">
        <x:f>'SUPUESTOS PRECIOS'!$B$8</x:f>
        <x:v>0.00968</x:v>
      </x:c>
      <x:c r="X823" s="4" t="n">
        <x:f>'SUPUESTOS PRECIOS'!$B$2</x:f>
        <x:v>0.4</x:v>
      </x:c>
      <x:c r="Y823" s="3" t="str">
        <x:f t="shared" si="49"/>
      </x:c>
      <x:c r="Z823" s="3" t="str">
        <x:f t="shared" si="50"/>
      </x:c>
      <x:c r="AA823" s="11" t="str">
        <x:f t="shared" si="51"/>
      </x:c>
    </x:row>
    <x:row r="824">
      <x:c r="A824" s="10" t="s">
        <x:v>1947</x:v>
      </x:c>
      <x:c r="F824" t="s">
        <x:v>1358</x:v>
      </x:c>
      <x:c r="K824">
        <x:v>1</x:v>
      </x:c>
      <x:c r="L824" t="str">
        <x:f t="shared" si="48"/>
      </x:c>
      <x:c r="O824" t="s">
        <x:v>38</x:v>
      </x:c>
      <x:c r="T824" s="2" t="n">
        <x:f>'SUPUESTOS PRECIOS'!$B$9</x:f>
        <x:v>0</x:v>
      </x:c>
      <x:c r="U824" s="3" t="n">
        <x:f>'SUPUESTOS PRECIOS'!$B$5/'SUPUESTOS PRECIOS'!$B$4</x:f>
        <x:v>1000</x:v>
      </x:c>
      <x:c r="V824" s="3" t="n">
        <x:f>('SUPUESTOS PRECIOS'!$B$6-'SUPUESTOS PRECIOS'!$B$7)/'SUPUESTOS PRECIOS'!$B$4</x:f>
        <x:v>377.5</x:v>
      </x:c>
      <x:c r="W824" s="4" t="n">
        <x:f>'SUPUESTOS PRECIOS'!$B$8</x:f>
        <x:v>0.00968</x:v>
      </x:c>
      <x:c r="X824" s="4" t="n">
        <x:f>'SUPUESTOS PRECIOS'!$B$2</x:f>
        <x:v>0.4</x:v>
      </x:c>
      <x:c r="Y824" s="3" t="str">
        <x:f t="shared" si="49"/>
      </x:c>
      <x:c r="Z824" s="3" t="str">
        <x:f t="shared" si="50"/>
      </x:c>
      <x:c r="AA824" s="11" t="str">
        <x:f t="shared" si="51"/>
      </x:c>
    </x:row>
    <x:row r="825">
      <x:c r="A825" s="10" t="s">
        <x:v>1948</x:v>
      </x:c>
      <x:c r="F825" t="s">
        <x:v>1358</x:v>
      </x:c>
      <x:c r="K825">
        <x:v>1</x:v>
      </x:c>
      <x:c r="L825" t="str">
        <x:f t="shared" si="48"/>
      </x:c>
      <x:c r="O825" t="s">
        <x:v>38</x:v>
      </x:c>
      <x:c r="T825" s="2" t="n">
        <x:f>'SUPUESTOS PRECIOS'!$B$9</x:f>
        <x:v>0</x:v>
      </x:c>
      <x:c r="U825" s="3" t="n">
        <x:f>'SUPUESTOS PRECIOS'!$B$5/'SUPUESTOS PRECIOS'!$B$4</x:f>
        <x:v>1000</x:v>
      </x:c>
      <x:c r="V825" s="3" t="n">
        <x:f>('SUPUESTOS PRECIOS'!$B$6-'SUPUESTOS PRECIOS'!$B$7)/'SUPUESTOS PRECIOS'!$B$4</x:f>
        <x:v>377.5</x:v>
      </x:c>
      <x:c r="W825" s="4" t="n">
        <x:f>'SUPUESTOS PRECIOS'!$B$8</x:f>
        <x:v>0.00968</x:v>
      </x:c>
      <x:c r="X825" s="4" t="n">
        <x:f>'SUPUESTOS PRECIOS'!$B$2</x:f>
        <x:v>0.4</x:v>
      </x:c>
      <x:c r="Y825" s="3" t="str">
        <x:f t="shared" si="49"/>
      </x:c>
      <x:c r="Z825" s="3" t="str">
        <x:f t="shared" si="50"/>
      </x:c>
      <x:c r="AA825" s="11" t="str">
        <x:f t="shared" si="51"/>
      </x:c>
    </x:row>
    <x:row r="826">
      <x:c r="A826" s="10" t="s">
        <x:v>1949</x:v>
      </x:c>
      <x:c r="F826" t="s">
        <x:v>1358</x:v>
      </x:c>
      <x:c r="K826">
        <x:v>1</x:v>
      </x:c>
      <x:c r="L826" t="str">
        <x:f t="shared" si="48"/>
      </x:c>
      <x:c r="O826" t="s">
        <x:v>38</x:v>
      </x:c>
      <x:c r="T826" s="2" t="n">
        <x:f>'SUPUESTOS PRECIOS'!$B$9</x:f>
        <x:v>0</x:v>
      </x:c>
      <x:c r="U826" s="3" t="n">
        <x:f>'SUPUESTOS PRECIOS'!$B$5/'SUPUESTOS PRECIOS'!$B$4</x:f>
        <x:v>1000</x:v>
      </x:c>
      <x:c r="V826" s="3" t="n">
        <x:f>('SUPUESTOS PRECIOS'!$B$6-'SUPUESTOS PRECIOS'!$B$7)/'SUPUESTOS PRECIOS'!$B$4</x:f>
        <x:v>377.5</x:v>
      </x:c>
      <x:c r="W826" s="4" t="n">
        <x:f>'SUPUESTOS PRECIOS'!$B$8</x:f>
        <x:v>0.00968</x:v>
      </x:c>
      <x:c r="X826" s="4" t="n">
        <x:f>'SUPUESTOS PRECIOS'!$B$2</x:f>
        <x:v>0.4</x:v>
      </x:c>
      <x:c r="Y826" s="3" t="str">
        <x:f t="shared" si="49"/>
      </x:c>
      <x:c r="Z826" s="3" t="str">
        <x:f t="shared" si="50"/>
      </x:c>
      <x:c r="AA826" s="11" t="str">
        <x:f t="shared" si="51"/>
      </x:c>
    </x:row>
    <x:row r="827">
      <x:c r="A827" s="10" t="s">
        <x:v>1950</x:v>
      </x:c>
      <x:c r="F827" t="s">
        <x:v>1358</x:v>
      </x:c>
      <x:c r="K827">
        <x:v>1</x:v>
      </x:c>
      <x:c r="L827" t="str">
        <x:f t="shared" si="48"/>
      </x:c>
      <x:c r="O827" t="s">
        <x:v>38</x:v>
      </x:c>
      <x:c r="T827" s="2" t="n">
        <x:f>'SUPUESTOS PRECIOS'!$B$9</x:f>
        <x:v>0</x:v>
      </x:c>
      <x:c r="U827" s="3" t="n">
        <x:f>'SUPUESTOS PRECIOS'!$B$5/'SUPUESTOS PRECIOS'!$B$4</x:f>
        <x:v>1000</x:v>
      </x:c>
      <x:c r="V827" s="3" t="n">
        <x:f>('SUPUESTOS PRECIOS'!$B$6-'SUPUESTOS PRECIOS'!$B$7)/'SUPUESTOS PRECIOS'!$B$4</x:f>
        <x:v>377.5</x:v>
      </x:c>
      <x:c r="W827" s="4" t="n">
        <x:f>'SUPUESTOS PRECIOS'!$B$8</x:f>
        <x:v>0.00968</x:v>
      </x:c>
      <x:c r="X827" s="4" t="n">
        <x:f>'SUPUESTOS PRECIOS'!$B$2</x:f>
        <x:v>0.4</x:v>
      </x:c>
      <x:c r="Y827" s="3" t="str">
        <x:f t="shared" si="49"/>
      </x:c>
      <x:c r="Z827" s="3" t="str">
        <x:f t="shared" si="50"/>
      </x:c>
      <x:c r="AA827" s="11" t="str">
        <x:f t="shared" si="51"/>
      </x:c>
    </x:row>
    <x:row r="828">
      <x:c r="A828" s="10" t="s">
        <x:v>1951</x:v>
      </x:c>
      <x:c r="F828" t="s">
        <x:v>1358</x:v>
      </x:c>
      <x:c r="K828">
        <x:v>1</x:v>
      </x:c>
      <x:c r="L828" t="str">
        <x:f t="shared" si="48"/>
      </x:c>
      <x:c r="O828" t="s">
        <x:v>38</x:v>
      </x:c>
      <x:c r="T828" s="2" t="n">
        <x:f>'SUPUESTOS PRECIOS'!$B$9</x:f>
        <x:v>0</x:v>
      </x:c>
      <x:c r="U828" s="3" t="n">
        <x:f>'SUPUESTOS PRECIOS'!$B$5/'SUPUESTOS PRECIOS'!$B$4</x:f>
        <x:v>1000</x:v>
      </x:c>
      <x:c r="V828" s="3" t="n">
        <x:f>('SUPUESTOS PRECIOS'!$B$6-'SUPUESTOS PRECIOS'!$B$7)/'SUPUESTOS PRECIOS'!$B$4</x:f>
        <x:v>377.5</x:v>
      </x:c>
      <x:c r="W828" s="4" t="n">
        <x:f>'SUPUESTOS PRECIOS'!$B$8</x:f>
        <x:v>0.00968</x:v>
      </x:c>
      <x:c r="X828" s="4" t="n">
        <x:f>'SUPUESTOS PRECIOS'!$B$2</x:f>
        <x:v>0.4</x:v>
      </x:c>
      <x:c r="Y828" s="3" t="str">
        <x:f t="shared" si="49"/>
      </x:c>
      <x:c r="Z828" s="3" t="str">
        <x:f t="shared" si="50"/>
      </x:c>
      <x:c r="AA828" s="11" t="str">
        <x:f t="shared" si="51"/>
      </x:c>
    </x:row>
    <x:row r="829">
      <x:c r="A829" s="10" t="s">
        <x:v>1952</x:v>
      </x:c>
      <x:c r="F829" t="s">
        <x:v>1358</x:v>
      </x:c>
      <x:c r="K829">
        <x:v>1</x:v>
      </x:c>
      <x:c r="L829" t="str">
        <x:f t="shared" si="48"/>
      </x:c>
      <x:c r="O829" t="s">
        <x:v>38</x:v>
      </x:c>
      <x:c r="T829" s="2" t="n">
        <x:f>'SUPUESTOS PRECIOS'!$B$9</x:f>
        <x:v>0</x:v>
      </x:c>
      <x:c r="U829" s="3" t="n">
        <x:f>'SUPUESTOS PRECIOS'!$B$5/'SUPUESTOS PRECIOS'!$B$4</x:f>
        <x:v>1000</x:v>
      </x:c>
      <x:c r="V829" s="3" t="n">
        <x:f>('SUPUESTOS PRECIOS'!$B$6-'SUPUESTOS PRECIOS'!$B$7)/'SUPUESTOS PRECIOS'!$B$4</x:f>
        <x:v>377.5</x:v>
      </x:c>
      <x:c r="W829" s="4" t="n">
        <x:f>'SUPUESTOS PRECIOS'!$B$8</x:f>
        <x:v>0.00968</x:v>
      </x:c>
      <x:c r="X829" s="4" t="n">
        <x:f>'SUPUESTOS PRECIOS'!$B$2</x:f>
        <x:v>0.4</x:v>
      </x:c>
      <x:c r="Y829" s="3" t="str">
        <x:f t="shared" si="49"/>
      </x:c>
      <x:c r="Z829" s="3" t="str">
        <x:f t="shared" si="50"/>
      </x:c>
      <x:c r="AA829" s="11" t="str">
        <x:f t="shared" si="51"/>
      </x:c>
    </x:row>
    <x:row r="830">
      <x:c r="A830" s="10" t="s">
        <x:v>1953</x:v>
      </x:c>
      <x:c r="F830" t="s">
        <x:v>1358</x:v>
      </x:c>
      <x:c r="K830">
        <x:v>1</x:v>
      </x:c>
      <x:c r="L830" t="str">
        <x:f t="shared" si="48"/>
      </x:c>
      <x:c r="O830" t="s">
        <x:v>38</x:v>
      </x:c>
      <x:c r="T830" s="2" t="n">
        <x:f>'SUPUESTOS PRECIOS'!$B$9</x:f>
        <x:v>0</x:v>
      </x:c>
      <x:c r="U830" s="3" t="n">
        <x:f>'SUPUESTOS PRECIOS'!$B$5/'SUPUESTOS PRECIOS'!$B$4</x:f>
        <x:v>1000</x:v>
      </x:c>
      <x:c r="V830" s="3" t="n">
        <x:f>('SUPUESTOS PRECIOS'!$B$6-'SUPUESTOS PRECIOS'!$B$7)/'SUPUESTOS PRECIOS'!$B$4</x:f>
        <x:v>377.5</x:v>
      </x:c>
      <x:c r="W830" s="4" t="n">
        <x:f>'SUPUESTOS PRECIOS'!$B$8</x:f>
        <x:v>0.00968</x:v>
      </x:c>
      <x:c r="X830" s="4" t="n">
        <x:f>'SUPUESTOS PRECIOS'!$B$2</x:f>
        <x:v>0.4</x:v>
      </x:c>
      <x:c r="Y830" s="3" t="str">
        <x:f t="shared" si="49"/>
      </x:c>
      <x:c r="Z830" s="3" t="str">
        <x:f t="shared" si="50"/>
      </x:c>
      <x:c r="AA830" s="11" t="str">
        <x:f t="shared" si="51"/>
      </x:c>
    </x:row>
    <x:row r="831">
      <x:c r="A831" s="10" t="s">
        <x:v>1954</x:v>
      </x:c>
      <x:c r="F831" t="s">
        <x:v>1358</x:v>
      </x:c>
      <x:c r="K831">
        <x:v>1</x:v>
      </x:c>
      <x:c r="L831" t="str">
        <x:f t="shared" si="48"/>
      </x:c>
      <x:c r="O831" t="s">
        <x:v>38</x:v>
      </x:c>
      <x:c r="T831" s="2" t="n">
        <x:f>'SUPUESTOS PRECIOS'!$B$9</x:f>
        <x:v>0</x:v>
      </x:c>
      <x:c r="U831" s="3" t="n">
        <x:f>'SUPUESTOS PRECIOS'!$B$5/'SUPUESTOS PRECIOS'!$B$4</x:f>
        <x:v>1000</x:v>
      </x:c>
      <x:c r="V831" s="3" t="n">
        <x:f>('SUPUESTOS PRECIOS'!$B$6-'SUPUESTOS PRECIOS'!$B$7)/'SUPUESTOS PRECIOS'!$B$4</x:f>
        <x:v>377.5</x:v>
      </x:c>
      <x:c r="W831" s="4" t="n">
        <x:f>'SUPUESTOS PRECIOS'!$B$8</x:f>
        <x:v>0.00968</x:v>
      </x:c>
      <x:c r="X831" s="4" t="n">
        <x:f>'SUPUESTOS PRECIOS'!$B$2</x:f>
        <x:v>0.4</x:v>
      </x:c>
      <x:c r="Y831" s="3" t="str">
        <x:f t="shared" si="49"/>
      </x:c>
      <x:c r="Z831" s="3" t="str">
        <x:f t="shared" si="50"/>
      </x:c>
      <x:c r="AA831" s="11" t="str">
        <x:f t="shared" si="51"/>
      </x:c>
    </x:row>
    <x:row r="832">
      <x:c r="A832" s="10" t="s">
        <x:v>1955</x:v>
      </x:c>
      <x:c r="F832" t="s">
        <x:v>1358</x:v>
      </x:c>
      <x:c r="K832">
        <x:v>1</x:v>
      </x:c>
      <x:c r="L832" t="str">
        <x:f t="shared" si="48"/>
      </x:c>
      <x:c r="O832" t="s">
        <x:v>38</x:v>
      </x:c>
      <x:c r="T832" s="2" t="n">
        <x:f>'SUPUESTOS PRECIOS'!$B$9</x:f>
        <x:v>0</x:v>
      </x:c>
      <x:c r="U832" s="3" t="n">
        <x:f>'SUPUESTOS PRECIOS'!$B$5/'SUPUESTOS PRECIOS'!$B$4</x:f>
        <x:v>1000</x:v>
      </x:c>
      <x:c r="V832" s="3" t="n">
        <x:f>('SUPUESTOS PRECIOS'!$B$6-'SUPUESTOS PRECIOS'!$B$7)/'SUPUESTOS PRECIOS'!$B$4</x:f>
        <x:v>377.5</x:v>
      </x:c>
      <x:c r="W832" s="4" t="n">
        <x:f>'SUPUESTOS PRECIOS'!$B$8</x:f>
        <x:v>0.00968</x:v>
      </x:c>
      <x:c r="X832" s="4" t="n">
        <x:f>'SUPUESTOS PRECIOS'!$B$2</x:f>
        <x:v>0.4</x:v>
      </x:c>
      <x:c r="Y832" s="3" t="str">
        <x:f t="shared" si="49"/>
      </x:c>
      <x:c r="Z832" s="3" t="str">
        <x:f t="shared" si="50"/>
      </x:c>
      <x:c r="AA832" s="11" t="str">
        <x:f t="shared" si="51"/>
      </x:c>
    </x:row>
    <x:row r="833">
      <x:c r="A833" s="10" t="s">
        <x:v>1956</x:v>
      </x:c>
      <x:c r="F833" t="s">
        <x:v>1358</x:v>
      </x:c>
      <x:c r="K833">
        <x:v>1</x:v>
      </x:c>
      <x:c r="L833" t="str">
        <x:f t="shared" si="48"/>
      </x:c>
      <x:c r="O833" t="s">
        <x:v>38</x:v>
      </x:c>
      <x:c r="T833" s="2" t="n">
        <x:f>'SUPUESTOS PRECIOS'!$B$9</x:f>
        <x:v>0</x:v>
      </x:c>
      <x:c r="U833" s="3" t="n">
        <x:f>'SUPUESTOS PRECIOS'!$B$5/'SUPUESTOS PRECIOS'!$B$4</x:f>
        <x:v>1000</x:v>
      </x:c>
      <x:c r="V833" s="3" t="n">
        <x:f>('SUPUESTOS PRECIOS'!$B$6-'SUPUESTOS PRECIOS'!$B$7)/'SUPUESTOS PRECIOS'!$B$4</x:f>
        <x:v>377.5</x:v>
      </x:c>
      <x:c r="W833" s="4" t="n">
        <x:f>'SUPUESTOS PRECIOS'!$B$8</x:f>
        <x:v>0.00968</x:v>
      </x:c>
      <x:c r="X833" s="4" t="n">
        <x:f>'SUPUESTOS PRECIOS'!$B$2</x:f>
        <x:v>0.4</x:v>
      </x:c>
      <x:c r="Y833" s="3" t="str">
        <x:f t="shared" si="49"/>
      </x:c>
      <x:c r="Z833" s="3" t="str">
        <x:f t="shared" si="50"/>
      </x:c>
      <x:c r="AA833" s="11" t="str">
        <x:f t="shared" si="51"/>
      </x:c>
    </x:row>
    <x:row r="834">
      <x:c r="A834" s="10" t="s">
        <x:v>1957</x:v>
      </x:c>
      <x:c r="F834" t="s">
        <x:v>1358</x:v>
      </x:c>
      <x:c r="K834">
        <x:v>1</x:v>
      </x:c>
      <x:c r="L834" t="str">
        <x:f t="shared" ref="L834:L897" si="52">IF(J834="","",J834*(1+K834))</x:f>
      </x:c>
      <x:c r="O834" t="s">
        <x:v>38</x:v>
      </x:c>
      <x:c r="T834" s="2" t="n">
        <x:f>'SUPUESTOS PRECIOS'!$B$9</x:f>
        <x:v>0</x:v>
      </x:c>
      <x:c r="U834" s="3" t="n">
        <x:f>'SUPUESTOS PRECIOS'!$B$5/'SUPUESTOS PRECIOS'!$B$4</x:f>
        <x:v>1000</x:v>
      </x:c>
      <x:c r="V834" s="3" t="n">
        <x:f>('SUPUESTOS PRECIOS'!$B$6-'SUPUESTOS PRECIOS'!$B$7)/'SUPUESTOS PRECIOS'!$B$4</x:f>
        <x:v>377.5</x:v>
      </x:c>
      <x:c r="W834" s="4" t="n">
        <x:f>'SUPUESTOS PRECIOS'!$B$8</x:f>
        <x:v>0.00968</x:v>
      </x:c>
      <x:c r="X834" s="4" t="n">
        <x:f>'SUPUESTOS PRECIOS'!$B$2</x:f>
        <x:v>0.4</x:v>
      </x:c>
      <x:c r="Y834" s="3" t="str">
        <x:f t="shared" ref="Y834:Y897" si="53">IF(OR($B834="",$J834=""),"",ROUND(($J834+$T834+$U834+$V834)/(1-$W834-$X834),-1))</x:f>
      </x:c>
      <x:c r="Z834" s="3" t="str">
        <x:f t="shared" ref="Z834:Z897" si="54">IF($Y834="","",$Y834-$J834-$T834-$U834-$V834-($Y834*$W834))</x:f>
      </x:c>
      <x:c r="AA834" s="11" t="str">
        <x:f t="shared" ref="AA834:AA897" si="55">IF($Y834="","",$Z834/$Y834)</x:f>
      </x:c>
    </x:row>
    <x:row r="835">
      <x:c r="A835" s="10" t="s">
        <x:v>1958</x:v>
      </x:c>
      <x:c r="F835" t="s">
        <x:v>1358</x:v>
      </x:c>
      <x:c r="K835">
        <x:v>1</x:v>
      </x:c>
      <x:c r="L835" t="str">
        <x:f t="shared" si="52"/>
      </x:c>
      <x:c r="O835" t="s">
        <x:v>38</x:v>
      </x:c>
      <x:c r="T835" s="2" t="n">
        <x:f>'SUPUESTOS PRECIOS'!$B$9</x:f>
        <x:v>0</x:v>
      </x:c>
      <x:c r="U835" s="3" t="n">
        <x:f>'SUPUESTOS PRECIOS'!$B$5/'SUPUESTOS PRECIOS'!$B$4</x:f>
        <x:v>1000</x:v>
      </x:c>
      <x:c r="V835" s="3" t="n">
        <x:f>('SUPUESTOS PRECIOS'!$B$6-'SUPUESTOS PRECIOS'!$B$7)/'SUPUESTOS PRECIOS'!$B$4</x:f>
        <x:v>377.5</x:v>
      </x:c>
      <x:c r="W835" s="4" t="n">
        <x:f>'SUPUESTOS PRECIOS'!$B$8</x:f>
        <x:v>0.00968</x:v>
      </x:c>
      <x:c r="X835" s="4" t="n">
        <x:f>'SUPUESTOS PRECIOS'!$B$2</x:f>
        <x:v>0.4</x:v>
      </x:c>
      <x:c r="Y835" s="3" t="str">
        <x:f t="shared" si="53"/>
      </x:c>
      <x:c r="Z835" s="3" t="str">
        <x:f t="shared" si="54"/>
      </x:c>
      <x:c r="AA835" s="11" t="str">
        <x:f t="shared" si="55"/>
      </x:c>
    </x:row>
    <x:row r="836">
      <x:c r="A836" s="10" t="s">
        <x:v>1959</x:v>
      </x:c>
      <x:c r="F836" t="s">
        <x:v>1358</x:v>
      </x:c>
      <x:c r="K836">
        <x:v>1</x:v>
      </x:c>
      <x:c r="L836" t="str">
        <x:f t="shared" si="52"/>
      </x:c>
      <x:c r="O836" t="s">
        <x:v>38</x:v>
      </x:c>
      <x:c r="T836" s="2" t="n">
        <x:f>'SUPUESTOS PRECIOS'!$B$9</x:f>
        <x:v>0</x:v>
      </x:c>
      <x:c r="U836" s="3" t="n">
        <x:f>'SUPUESTOS PRECIOS'!$B$5/'SUPUESTOS PRECIOS'!$B$4</x:f>
        <x:v>1000</x:v>
      </x:c>
      <x:c r="V836" s="3" t="n">
        <x:f>('SUPUESTOS PRECIOS'!$B$6-'SUPUESTOS PRECIOS'!$B$7)/'SUPUESTOS PRECIOS'!$B$4</x:f>
        <x:v>377.5</x:v>
      </x:c>
      <x:c r="W836" s="4" t="n">
        <x:f>'SUPUESTOS PRECIOS'!$B$8</x:f>
        <x:v>0.00968</x:v>
      </x:c>
      <x:c r="X836" s="4" t="n">
        <x:f>'SUPUESTOS PRECIOS'!$B$2</x:f>
        <x:v>0.4</x:v>
      </x:c>
      <x:c r="Y836" s="3" t="str">
        <x:f t="shared" si="53"/>
      </x:c>
      <x:c r="Z836" s="3" t="str">
        <x:f t="shared" si="54"/>
      </x:c>
      <x:c r="AA836" s="11" t="str">
        <x:f t="shared" si="55"/>
      </x:c>
    </x:row>
    <x:row r="837">
      <x:c r="A837" s="10" t="s">
        <x:v>1960</x:v>
      </x:c>
      <x:c r="F837" t="s">
        <x:v>1358</x:v>
      </x:c>
      <x:c r="K837">
        <x:v>1</x:v>
      </x:c>
      <x:c r="L837" t="str">
        <x:f t="shared" si="52"/>
      </x:c>
      <x:c r="O837" t="s">
        <x:v>38</x:v>
      </x:c>
      <x:c r="T837" s="2" t="n">
        <x:f>'SUPUESTOS PRECIOS'!$B$9</x:f>
        <x:v>0</x:v>
      </x:c>
      <x:c r="U837" s="3" t="n">
        <x:f>'SUPUESTOS PRECIOS'!$B$5/'SUPUESTOS PRECIOS'!$B$4</x:f>
        <x:v>1000</x:v>
      </x:c>
      <x:c r="V837" s="3" t="n">
        <x:f>('SUPUESTOS PRECIOS'!$B$6-'SUPUESTOS PRECIOS'!$B$7)/'SUPUESTOS PRECIOS'!$B$4</x:f>
        <x:v>377.5</x:v>
      </x:c>
      <x:c r="W837" s="4" t="n">
        <x:f>'SUPUESTOS PRECIOS'!$B$8</x:f>
        <x:v>0.00968</x:v>
      </x:c>
      <x:c r="X837" s="4" t="n">
        <x:f>'SUPUESTOS PRECIOS'!$B$2</x:f>
        <x:v>0.4</x:v>
      </x:c>
      <x:c r="Y837" s="3" t="str">
        <x:f t="shared" si="53"/>
      </x:c>
      <x:c r="Z837" s="3" t="str">
        <x:f t="shared" si="54"/>
      </x:c>
      <x:c r="AA837" s="11" t="str">
        <x:f t="shared" si="55"/>
      </x:c>
    </x:row>
    <x:row r="838">
      <x:c r="A838" s="10" t="s">
        <x:v>1961</x:v>
      </x:c>
      <x:c r="F838" t="s">
        <x:v>1358</x:v>
      </x:c>
      <x:c r="K838">
        <x:v>1</x:v>
      </x:c>
      <x:c r="L838" t="str">
        <x:f t="shared" si="52"/>
      </x:c>
      <x:c r="O838" t="s">
        <x:v>38</x:v>
      </x:c>
      <x:c r="T838" s="2" t="n">
        <x:f>'SUPUESTOS PRECIOS'!$B$9</x:f>
        <x:v>0</x:v>
      </x:c>
      <x:c r="U838" s="3" t="n">
        <x:f>'SUPUESTOS PRECIOS'!$B$5/'SUPUESTOS PRECIOS'!$B$4</x:f>
        <x:v>1000</x:v>
      </x:c>
      <x:c r="V838" s="3" t="n">
        <x:f>('SUPUESTOS PRECIOS'!$B$6-'SUPUESTOS PRECIOS'!$B$7)/'SUPUESTOS PRECIOS'!$B$4</x:f>
        <x:v>377.5</x:v>
      </x:c>
      <x:c r="W838" s="4" t="n">
        <x:f>'SUPUESTOS PRECIOS'!$B$8</x:f>
        <x:v>0.00968</x:v>
      </x:c>
      <x:c r="X838" s="4" t="n">
        <x:f>'SUPUESTOS PRECIOS'!$B$2</x:f>
        <x:v>0.4</x:v>
      </x:c>
      <x:c r="Y838" s="3" t="str">
        <x:f t="shared" si="53"/>
      </x:c>
      <x:c r="Z838" s="3" t="str">
        <x:f t="shared" si="54"/>
      </x:c>
      <x:c r="AA838" s="11" t="str">
        <x:f t="shared" si="55"/>
      </x:c>
    </x:row>
    <x:row r="839">
      <x:c r="A839" s="10" t="s">
        <x:v>1962</x:v>
      </x:c>
      <x:c r="F839" t="s">
        <x:v>1358</x:v>
      </x:c>
      <x:c r="K839">
        <x:v>1</x:v>
      </x:c>
      <x:c r="L839" t="str">
        <x:f t="shared" si="52"/>
      </x:c>
      <x:c r="O839" t="s">
        <x:v>38</x:v>
      </x:c>
      <x:c r="T839" s="2" t="n">
        <x:f>'SUPUESTOS PRECIOS'!$B$9</x:f>
        <x:v>0</x:v>
      </x:c>
      <x:c r="U839" s="3" t="n">
        <x:f>'SUPUESTOS PRECIOS'!$B$5/'SUPUESTOS PRECIOS'!$B$4</x:f>
        <x:v>1000</x:v>
      </x:c>
      <x:c r="V839" s="3" t="n">
        <x:f>('SUPUESTOS PRECIOS'!$B$6-'SUPUESTOS PRECIOS'!$B$7)/'SUPUESTOS PRECIOS'!$B$4</x:f>
        <x:v>377.5</x:v>
      </x:c>
      <x:c r="W839" s="4" t="n">
        <x:f>'SUPUESTOS PRECIOS'!$B$8</x:f>
        <x:v>0.00968</x:v>
      </x:c>
      <x:c r="X839" s="4" t="n">
        <x:f>'SUPUESTOS PRECIOS'!$B$2</x:f>
        <x:v>0.4</x:v>
      </x:c>
      <x:c r="Y839" s="3" t="str">
        <x:f t="shared" si="53"/>
      </x:c>
      <x:c r="Z839" s="3" t="str">
        <x:f t="shared" si="54"/>
      </x:c>
      <x:c r="AA839" s="11" t="str">
        <x:f t="shared" si="55"/>
      </x:c>
    </x:row>
    <x:row r="840">
      <x:c r="A840" s="10" t="s">
        <x:v>1963</x:v>
      </x:c>
      <x:c r="F840" t="s">
        <x:v>1358</x:v>
      </x:c>
      <x:c r="K840">
        <x:v>1</x:v>
      </x:c>
      <x:c r="L840" t="str">
        <x:f t="shared" si="52"/>
      </x:c>
      <x:c r="O840" t="s">
        <x:v>38</x:v>
      </x:c>
      <x:c r="T840" s="2" t="n">
        <x:f>'SUPUESTOS PRECIOS'!$B$9</x:f>
        <x:v>0</x:v>
      </x:c>
      <x:c r="U840" s="3" t="n">
        <x:f>'SUPUESTOS PRECIOS'!$B$5/'SUPUESTOS PRECIOS'!$B$4</x:f>
        <x:v>1000</x:v>
      </x:c>
      <x:c r="V840" s="3" t="n">
        <x:f>('SUPUESTOS PRECIOS'!$B$6-'SUPUESTOS PRECIOS'!$B$7)/'SUPUESTOS PRECIOS'!$B$4</x:f>
        <x:v>377.5</x:v>
      </x:c>
      <x:c r="W840" s="4" t="n">
        <x:f>'SUPUESTOS PRECIOS'!$B$8</x:f>
        <x:v>0.00968</x:v>
      </x:c>
      <x:c r="X840" s="4" t="n">
        <x:f>'SUPUESTOS PRECIOS'!$B$2</x:f>
        <x:v>0.4</x:v>
      </x:c>
      <x:c r="Y840" s="3" t="str">
        <x:f t="shared" si="53"/>
      </x:c>
      <x:c r="Z840" s="3" t="str">
        <x:f t="shared" si="54"/>
      </x:c>
      <x:c r="AA840" s="11" t="str">
        <x:f t="shared" si="55"/>
      </x:c>
    </x:row>
    <x:row r="841">
      <x:c r="A841" s="10" t="s">
        <x:v>1964</x:v>
      </x:c>
      <x:c r="F841" t="s">
        <x:v>1358</x:v>
      </x:c>
      <x:c r="K841">
        <x:v>1</x:v>
      </x:c>
      <x:c r="L841" t="str">
        <x:f t="shared" si="52"/>
      </x:c>
      <x:c r="O841" t="s">
        <x:v>38</x:v>
      </x:c>
      <x:c r="T841" s="2" t="n">
        <x:f>'SUPUESTOS PRECIOS'!$B$9</x:f>
        <x:v>0</x:v>
      </x:c>
      <x:c r="U841" s="3" t="n">
        <x:f>'SUPUESTOS PRECIOS'!$B$5/'SUPUESTOS PRECIOS'!$B$4</x:f>
        <x:v>1000</x:v>
      </x:c>
      <x:c r="V841" s="3" t="n">
        <x:f>('SUPUESTOS PRECIOS'!$B$6-'SUPUESTOS PRECIOS'!$B$7)/'SUPUESTOS PRECIOS'!$B$4</x:f>
        <x:v>377.5</x:v>
      </x:c>
      <x:c r="W841" s="4" t="n">
        <x:f>'SUPUESTOS PRECIOS'!$B$8</x:f>
        <x:v>0.00968</x:v>
      </x:c>
      <x:c r="X841" s="4" t="n">
        <x:f>'SUPUESTOS PRECIOS'!$B$2</x:f>
        <x:v>0.4</x:v>
      </x:c>
      <x:c r="Y841" s="3" t="str">
        <x:f t="shared" si="53"/>
      </x:c>
      <x:c r="Z841" s="3" t="str">
        <x:f t="shared" si="54"/>
      </x:c>
      <x:c r="AA841" s="11" t="str">
        <x:f t="shared" si="55"/>
      </x:c>
    </x:row>
    <x:row r="842">
      <x:c r="A842" s="10" t="s">
        <x:v>1965</x:v>
      </x:c>
      <x:c r="F842" t="s">
        <x:v>1358</x:v>
      </x:c>
      <x:c r="K842">
        <x:v>1</x:v>
      </x:c>
      <x:c r="L842" t="str">
        <x:f t="shared" si="52"/>
      </x:c>
      <x:c r="O842" t="s">
        <x:v>38</x:v>
      </x:c>
      <x:c r="T842" s="2" t="n">
        <x:f>'SUPUESTOS PRECIOS'!$B$9</x:f>
        <x:v>0</x:v>
      </x:c>
      <x:c r="U842" s="3" t="n">
        <x:f>'SUPUESTOS PRECIOS'!$B$5/'SUPUESTOS PRECIOS'!$B$4</x:f>
        <x:v>1000</x:v>
      </x:c>
      <x:c r="V842" s="3" t="n">
        <x:f>('SUPUESTOS PRECIOS'!$B$6-'SUPUESTOS PRECIOS'!$B$7)/'SUPUESTOS PRECIOS'!$B$4</x:f>
        <x:v>377.5</x:v>
      </x:c>
      <x:c r="W842" s="4" t="n">
        <x:f>'SUPUESTOS PRECIOS'!$B$8</x:f>
        <x:v>0.00968</x:v>
      </x:c>
      <x:c r="X842" s="4" t="n">
        <x:f>'SUPUESTOS PRECIOS'!$B$2</x:f>
        <x:v>0.4</x:v>
      </x:c>
      <x:c r="Y842" s="3" t="str">
        <x:f t="shared" si="53"/>
      </x:c>
      <x:c r="Z842" s="3" t="str">
        <x:f t="shared" si="54"/>
      </x:c>
      <x:c r="AA842" s="11" t="str">
        <x:f t="shared" si="55"/>
      </x:c>
    </x:row>
    <x:row r="843">
      <x:c r="A843" s="10" t="s">
        <x:v>1966</x:v>
      </x:c>
      <x:c r="F843" t="s">
        <x:v>1358</x:v>
      </x:c>
      <x:c r="K843">
        <x:v>1</x:v>
      </x:c>
      <x:c r="L843" t="str">
        <x:f t="shared" si="52"/>
      </x:c>
      <x:c r="O843" t="s">
        <x:v>38</x:v>
      </x:c>
      <x:c r="T843" s="2" t="n">
        <x:f>'SUPUESTOS PRECIOS'!$B$9</x:f>
        <x:v>0</x:v>
      </x:c>
      <x:c r="U843" s="3" t="n">
        <x:f>'SUPUESTOS PRECIOS'!$B$5/'SUPUESTOS PRECIOS'!$B$4</x:f>
        <x:v>1000</x:v>
      </x:c>
      <x:c r="V843" s="3" t="n">
        <x:f>('SUPUESTOS PRECIOS'!$B$6-'SUPUESTOS PRECIOS'!$B$7)/'SUPUESTOS PRECIOS'!$B$4</x:f>
        <x:v>377.5</x:v>
      </x:c>
      <x:c r="W843" s="4" t="n">
        <x:f>'SUPUESTOS PRECIOS'!$B$8</x:f>
        <x:v>0.00968</x:v>
      </x:c>
      <x:c r="X843" s="4" t="n">
        <x:f>'SUPUESTOS PRECIOS'!$B$2</x:f>
        <x:v>0.4</x:v>
      </x:c>
      <x:c r="Y843" s="3" t="str">
        <x:f t="shared" si="53"/>
      </x:c>
      <x:c r="Z843" s="3" t="str">
        <x:f t="shared" si="54"/>
      </x:c>
      <x:c r="AA843" s="11" t="str">
        <x:f t="shared" si="55"/>
      </x:c>
    </x:row>
    <x:row r="844">
      <x:c r="A844" s="10" t="s">
        <x:v>1967</x:v>
      </x:c>
      <x:c r="F844" t="s">
        <x:v>1358</x:v>
      </x:c>
      <x:c r="K844">
        <x:v>1</x:v>
      </x:c>
      <x:c r="L844" t="str">
        <x:f t="shared" si="52"/>
      </x:c>
      <x:c r="O844" t="s">
        <x:v>38</x:v>
      </x:c>
      <x:c r="T844" s="2" t="n">
        <x:f>'SUPUESTOS PRECIOS'!$B$9</x:f>
        <x:v>0</x:v>
      </x:c>
      <x:c r="U844" s="3" t="n">
        <x:f>'SUPUESTOS PRECIOS'!$B$5/'SUPUESTOS PRECIOS'!$B$4</x:f>
        <x:v>1000</x:v>
      </x:c>
      <x:c r="V844" s="3" t="n">
        <x:f>('SUPUESTOS PRECIOS'!$B$6-'SUPUESTOS PRECIOS'!$B$7)/'SUPUESTOS PRECIOS'!$B$4</x:f>
        <x:v>377.5</x:v>
      </x:c>
      <x:c r="W844" s="4" t="n">
        <x:f>'SUPUESTOS PRECIOS'!$B$8</x:f>
        <x:v>0.00968</x:v>
      </x:c>
      <x:c r="X844" s="4" t="n">
        <x:f>'SUPUESTOS PRECIOS'!$B$2</x:f>
        <x:v>0.4</x:v>
      </x:c>
      <x:c r="Y844" s="3" t="str">
        <x:f t="shared" si="53"/>
      </x:c>
      <x:c r="Z844" s="3" t="str">
        <x:f t="shared" si="54"/>
      </x:c>
      <x:c r="AA844" s="11" t="str">
        <x:f t="shared" si="55"/>
      </x:c>
    </x:row>
    <x:row r="845">
      <x:c r="A845" s="10" t="s">
        <x:v>1968</x:v>
      </x:c>
      <x:c r="F845" t="s">
        <x:v>1358</x:v>
      </x:c>
      <x:c r="K845">
        <x:v>1</x:v>
      </x:c>
      <x:c r="L845" t="str">
        <x:f t="shared" si="52"/>
      </x:c>
      <x:c r="O845" t="s">
        <x:v>38</x:v>
      </x:c>
      <x:c r="T845" s="2" t="n">
        <x:f>'SUPUESTOS PRECIOS'!$B$9</x:f>
        <x:v>0</x:v>
      </x:c>
      <x:c r="U845" s="3" t="n">
        <x:f>'SUPUESTOS PRECIOS'!$B$5/'SUPUESTOS PRECIOS'!$B$4</x:f>
        <x:v>1000</x:v>
      </x:c>
      <x:c r="V845" s="3" t="n">
        <x:f>('SUPUESTOS PRECIOS'!$B$6-'SUPUESTOS PRECIOS'!$B$7)/'SUPUESTOS PRECIOS'!$B$4</x:f>
        <x:v>377.5</x:v>
      </x:c>
      <x:c r="W845" s="4" t="n">
        <x:f>'SUPUESTOS PRECIOS'!$B$8</x:f>
        <x:v>0.00968</x:v>
      </x:c>
      <x:c r="X845" s="4" t="n">
        <x:f>'SUPUESTOS PRECIOS'!$B$2</x:f>
        <x:v>0.4</x:v>
      </x:c>
      <x:c r="Y845" s="3" t="str">
        <x:f t="shared" si="53"/>
      </x:c>
      <x:c r="Z845" s="3" t="str">
        <x:f t="shared" si="54"/>
      </x:c>
      <x:c r="AA845" s="11" t="str">
        <x:f t="shared" si="55"/>
      </x:c>
    </x:row>
    <x:row r="846">
      <x:c r="A846" s="10" t="s">
        <x:v>1969</x:v>
      </x:c>
      <x:c r="F846" t="s">
        <x:v>1358</x:v>
      </x:c>
      <x:c r="K846">
        <x:v>1</x:v>
      </x:c>
      <x:c r="L846" t="str">
        <x:f t="shared" si="52"/>
      </x:c>
      <x:c r="O846" t="s">
        <x:v>38</x:v>
      </x:c>
      <x:c r="T846" s="2" t="n">
        <x:f>'SUPUESTOS PRECIOS'!$B$9</x:f>
        <x:v>0</x:v>
      </x:c>
      <x:c r="U846" s="3" t="n">
        <x:f>'SUPUESTOS PRECIOS'!$B$5/'SUPUESTOS PRECIOS'!$B$4</x:f>
        <x:v>1000</x:v>
      </x:c>
      <x:c r="V846" s="3" t="n">
        <x:f>('SUPUESTOS PRECIOS'!$B$6-'SUPUESTOS PRECIOS'!$B$7)/'SUPUESTOS PRECIOS'!$B$4</x:f>
        <x:v>377.5</x:v>
      </x:c>
      <x:c r="W846" s="4" t="n">
        <x:f>'SUPUESTOS PRECIOS'!$B$8</x:f>
        <x:v>0.00968</x:v>
      </x:c>
      <x:c r="X846" s="4" t="n">
        <x:f>'SUPUESTOS PRECIOS'!$B$2</x:f>
        <x:v>0.4</x:v>
      </x:c>
      <x:c r="Y846" s="3" t="str">
        <x:f t="shared" si="53"/>
      </x:c>
      <x:c r="Z846" s="3" t="str">
        <x:f t="shared" si="54"/>
      </x:c>
      <x:c r="AA846" s="11" t="str">
        <x:f t="shared" si="55"/>
      </x:c>
    </x:row>
    <x:row r="847">
      <x:c r="A847" s="10" t="s">
        <x:v>1970</x:v>
      </x:c>
      <x:c r="F847" t="s">
        <x:v>1358</x:v>
      </x:c>
      <x:c r="K847">
        <x:v>1</x:v>
      </x:c>
      <x:c r="L847" t="str">
        <x:f t="shared" si="52"/>
      </x:c>
      <x:c r="O847" t="s">
        <x:v>38</x:v>
      </x:c>
      <x:c r="T847" s="2" t="n">
        <x:f>'SUPUESTOS PRECIOS'!$B$9</x:f>
        <x:v>0</x:v>
      </x:c>
      <x:c r="U847" s="3" t="n">
        <x:f>'SUPUESTOS PRECIOS'!$B$5/'SUPUESTOS PRECIOS'!$B$4</x:f>
        <x:v>1000</x:v>
      </x:c>
      <x:c r="V847" s="3" t="n">
        <x:f>('SUPUESTOS PRECIOS'!$B$6-'SUPUESTOS PRECIOS'!$B$7)/'SUPUESTOS PRECIOS'!$B$4</x:f>
        <x:v>377.5</x:v>
      </x:c>
      <x:c r="W847" s="4" t="n">
        <x:f>'SUPUESTOS PRECIOS'!$B$8</x:f>
        <x:v>0.00968</x:v>
      </x:c>
      <x:c r="X847" s="4" t="n">
        <x:f>'SUPUESTOS PRECIOS'!$B$2</x:f>
        <x:v>0.4</x:v>
      </x:c>
      <x:c r="Y847" s="3" t="str">
        <x:f t="shared" si="53"/>
      </x:c>
      <x:c r="Z847" s="3" t="str">
        <x:f t="shared" si="54"/>
      </x:c>
      <x:c r="AA847" s="11" t="str">
        <x:f t="shared" si="55"/>
      </x:c>
    </x:row>
    <x:row r="848">
      <x:c r="A848" s="10" t="s">
        <x:v>1971</x:v>
      </x:c>
      <x:c r="F848" t="s">
        <x:v>1358</x:v>
      </x:c>
      <x:c r="K848">
        <x:v>1</x:v>
      </x:c>
      <x:c r="L848" t="str">
        <x:f t="shared" si="52"/>
      </x:c>
      <x:c r="O848" t="s">
        <x:v>38</x:v>
      </x:c>
      <x:c r="T848" s="2" t="n">
        <x:f>'SUPUESTOS PRECIOS'!$B$9</x:f>
        <x:v>0</x:v>
      </x:c>
      <x:c r="U848" s="3" t="n">
        <x:f>'SUPUESTOS PRECIOS'!$B$5/'SUPUESTOS PRECIOS'!$B$4</x:f>
        <x:v>1000</x:v>
      </x:c>
      <x:c r="V848" s="3" t="n">
        <x:f>('SUPUESTOS PRECIOS'!$B$6-'SUPUESTOS PRECIOS'!$B$7)/'SUPUESTOS PRECIOS'!$B$4</x:f>
        <x:v>377.5</x:v>
      </x:c>
      <x:c r="W848" s="4" t="n">
        <x:f>'SUPUESTOS PRECIOS'!$B$8</x:f>
        <x:v>0.00968</x:v>
      </x:c>
      <x:c r="X848" s="4" t="n">
        <x:f>'SUPUESTOS PRECIOS'!$B$2</x:f>
        <x:v>0.4</x:v>
      </x:c>
      <x:c r="Y848" s="3" t="str">
        <x:f t="shared" si="53"/>
      </x:c>
      <x:c r="Z848" s="3" t="str">
        <x:f t="shared" si="54"/>
      </x:c>
      <x:c r="AA848" s="11" t="str">
        <x:f t="shared" si="55"/>
      </x:c>
    </x:row>
    <x:row r="849">
      <x:c r="A849" s="10" t="s">
        <x:v>1972</x:v>
      </x:c>
      <x:c r="F849" t="s">
        <x:v>1358</x:v>
      </x:c>
      <x:c r="K849">
        <x:v>1</x:v>
      </x:c>
      <x:c r="L849" t="str">
        <x:f t="shared" si="52"/>
      </x:c>
      <x:c r="O849" t="s">
        <x:v>38</x:v>
      </x:c>
      <x:c r="T849" s="2" t="n">
        <x:f>'SUPUESTOS PRECIOS'!$B$9</x:f>
        <x:v>0</x:v>
      </x:c>
      <x:c r="U849" s="3" t="n">
        <x:f>'SUPUESTOS PRECIOS'!$B$5/'SUPUESTOS PRECIOS'!$B$4</x:f>
        <x:v>1000</x:v>
      </x:c>
      <x:c r="V849" s="3" t="n">
        <x:f>('SUPUESTOS PRECIOS'!$B$6-'SUPUESTOS PRECIOS'!$B$7)/'SUPUESTOS PRECIOS'!$B$4</x:f>
        <x:v>377.5</x:v>
      </x:c>
      <x:c r="W849" s="4" t="n">
        <x:f>'SUPUESTOS PRECIOS'!$B$8</x:f>
        <x:v>0.00968</x:v>
      </x:c>
      <x:c r="X849" s="4" t="n">
        <x:f>'SUPUESTOS PRECIOS'!$B$2</x:f>
        <x:v>0.4</x:v>
      </x:c>
      <x:c r="Y849" s="3" t="str">
        <x:f t="shared" si="53"/>
      </x:c>
      <x:c r="Z849" s="3" t="str">
        <x:f t="shared" si="54"/>
      </x:c>
      <x:c r="AA849" s="11" t="str">
        <x:f t="shared" si="55"/>
      </x:c>
    </x:row>
    <x:row r="850">
      <x:c r="A850" s="10" t="s">
        <x:v>1973</x:v>
      </x:c>
      <x:c r="F850" t="s">
        <x:v>1358</x:v>
      </x:c>
      <x:c r="K850">
        <x:v>1</x:v>
      </x:c>
      <x:c r="L850" t="str">
        <x:f t="shared" si="52"/>
      </x:c>
      <x:c r="O850" t="s">
        <x:v>38</x:v>
      </x:c>
      <x:c r="T850" s="2" t="n">
        <x:f>'SUPUESTOS PRECIOS'!$B$9</x:f>
        <x:v>0</x:v>
      </x:c>
      <x:c r="U850" s="3" t="n">
        <x:f>'SUPUESTOS PRECIOS'!$B$5/'SUPUESTOS PRECIOS'!$B$4</x:f>
        <x:v>1000</x:v>
      </x:c>
      <x:c r="V850" s="3" t="n">
        <x:f>('SUPUESTOS PRECIOS'!$B$6-'SUPUESTOS PRECIOS'!$B$7)/'SUPUESTOS PRECIOS'!$B$4</x:f>
        <x:v>377.5</x:v>
      </x:c>
      <x:c r="W850" s="4" t="n">
        <x:f>'SUPUESTOS PRECIOS'!$B$8</x:f>
        <x:v>0.00968</x:v>
      </x:c>
      <x:c r="X850" s="4" t="n">
        <x:f>'SUPUESTOS PRECIOS'!$B$2</x:f>
        <x:v>0.4</x:v>
      </x:c>
      <x:c r="Y850" s="3" t="str">
        <x:f t="shared" si="53"/>
      </x:c>
      <x:c r="Z850" s="3" t="str">
        <x:f t="shared" si="54"/>
      </x:c>
      <x:c r="AA850" s="11" t="str">
        <x:f t="shared" si="55"/>
      </x:c>
    </x:row>
    <x:row r="851">
      <x:c r="A851" s="10" t="s">
        <x:v>1974</x:v>
      </x:c>
      <x:c r="F851" t="s">
        <x:v>1358</x:v>
      </x:c>
      <x:c r="K851">
        <x:v>1</x:v>
      </x:c>
      <x:c r="L851" t="str">
        <x:f t="shared" si="52"/>
      </x:c>
      <x:c r="O851" t="s">
        <x:v>38</x:v>
      </x:c>
      <x:c r="T851" s="2" t="n">
        <x:f>'SUPUESTOS PRECIOS'!$B$9</x:f>
        <x:v>0</x:v>
      </x:c>
      <x:c r="U851" s="3" t="n">
        <x:f>'SUPUESTOS PRECIOS'!$B$5/'SUPUESTOS PRECIOS'!$B$4</x:f>
        <x:v>1000</x:v>
      </x:c>
      <x:c r="V851" s="3" t="n">
        <x:f>('SUPUESTOS PRECIOS'!$B$6-'SUPUESTOS PRECIOS'!$B$7)/'SUPUESTOS PRECIOS'!$B$4</x:f>
        <x:v>377.5</x:v>
      </x:c>
      <x:c r="W851" s="4" t="n">
        <x:f>'SUPUESTOS PRECIOS'!$B$8</x:f>
        <x:v>0.00968</x:v>
      </x:c>
      <x:c r="X851" s="4" t="n">
        <x:f>'SUPUESTOS PRECIOS'!$B$2</x:f>
        <x:v>0.4</x:v>
      </x:c>
      <x:c r="Y851" s="3" t="str">
        <x:f t="shared" si="53"/>
      </x:c>
      <x:c r="Z851" s="3" t="str">
        <x:f t="shared" si="54"/>
      </x:c>
      <x:c r="AA851" s="11" t="str">
        <x:f t="shared" si="55"/>
      </x:c>
    </x:row>
    <x:row r="852">
      <x:c r="A852" s="10" t="s">
        <x:v>1975</x:v>
      </x:c>
      <x:c r="F852" t="s">
        <x:v>1358</x:v>
      </x:c>
      <x:c r="K852">
        <x:v>1</x:v>
      </x:c>
      <x:c r="L852" t="str">
        <x:f t="shared" si="52"/>
      </x:c>
      <x:c r="O852" t="s">
        <x:v>38</x:v>
      </x:c>
      <x:c r="T852" s="2" t="n">
        <x:f>'SUPUESTOS PRECIOS'!$B$9</x:f>
        <x:v>0</x:v>
      </x:c>
      <x:c r="U852" s="3" t="n">
        <x:f>'SUPUESTOS PRECIOS'!$B$5/'SUPUESTOS PRECIOS'!$B$4</x:f>
        <x:v>1000</x:v>
      </x:c>
      <x:c r="V852" s="3" t="n">
        <x:f>('SUPUESTOS PRECIOS'!$B$6-'SUPUESTOS PRECIOS'!$B$7)/'SUPUESTOS PRECIOS'!$B$4</x:f>
        <x:v>377.5</x:v>
      </x:c>
      <x:c r="W852" s="4" t="n">
        <x:f>'SUPUESTOS PRECIOS'!$B$8</x:f>
        <x:v>0.00968</x:v>
      </x:c>
      <x:c r="X852" s="4" t="n">
        <x:f>'SUPUESTOS PRECIOS'!$B$2</x:f>
        <x:v>0.4</x:v>
      </x:c>
      <x:c r="Y852" s="3" t="str">
        <x:f t="shared" si="53"/>
      </x:c>
      <x:c r="Z852" s="3" t="str">
        <x:f t="shared" si="54"/>
      </x:c>
      <x:c r="AA852" s="11" t="str">
        <x:f t="shared" si="55"/>
      </x:c>
    </x:row>
    <x:row r="853">
      <x:c r="A853" s="10" t="s">
        <x:v>1976</x:v>
      </x:c>
      <x:c r="F853" t="s">
        <x:v>1358</x:v>
      </x:c>
      <x:c r="K853">
        <x:v>1</x:v>
      </x:c>
      <x:c r="L853" t="str">
        <x:f t="shared" si="52"/>
      </x:c>
      <x:c r="O853" t="s">
        <x:v>38</x:v>
      </x:c>
      <x:c r="T853" s="2" t="n">
        <x:f>'SUPUESTOS PRECIOS'!$B$9</x:f>
        <x:v>0</x:v>
      </x:c>
      <x:c r="U853" s="3" t="n">
        <x:f>'SUPUESTOS PRECIOS'!$B$5/'SUPUESTOS PRECIOS'!$B$4</x:f>
        <x:v>1000</x:v>
      </x:c>
      <x:c r="V853" s="3" t="n">
        <x:f>('SUPUESTOS PRECIOS'!$B$6-'SUPUESTOS PRECIOS'!$B$7)/'SUPUESTOS PRECIOS'!$B$4</x:f>
        <x:v>377.5</x:v>
      </x:c>
      <x:c r="W853" s="4" t="n">
        <x:f>'SUPUESTOS PRECIOS'!$B$8</x:f>
        <x:v>0.00968</x:v>
      </x:c>
      <x:c r="X853" s="4" t="n">
        <x:f>'SUPUESTOS PRECIOS'!$B$2</x:f>
        <x:v>0.4</x:v>
      </x:c>
      <x:c r="Y853" s="3" t="str">
        <x:f t="shared" si="53"/>
      </x:c>
      <x:c r="Z853" s="3" t="str">
        <x:f t="shared" si="54"/>
      </x:c>
      <x:c r="AA853" s="11" t="str">
        <x:f t="shared" si="55"/>
      </x:c>
    </x:row>
    <x:row r="854">
      <x:c r="A854" s="10" t="s">
        <x:v>1977</x:v>
      </x:c>
      <x:c r="F854" t="s">
        <x:v>1358</x:v>
      </x:c>
      <x:c r="K854">
        <x:v>1</x:v>
      </x:c>
      <x:c r="L854" t="str">
        <x:f t="shared" si="52"/>
      </x:c>
      <x:c r="O854" t="s">
        <x:v>38</x:v>
      </x:c>
      <x:c r="T854" s="2" t="n">
        <x:f>'SUPUESTOS PRECIOS'!$B$9</x:f>
        <x:v>0</x:v>
      </x:c>
      <x:c r="U854" s="3" t="n">
        <x:f>'SUPUESTOS PRECIOS'!$B$5/'SUPUESTOS PRECIOS'!$B$4</x:f>
        <x:v>1000</x:v>
      </x:c>
      <x:c r="V854" s="3" t="n">
        <x:f>('SUPUESTOS PRECIOS'!$B$6-'SUPUESTOS PRECIOS'!$B$7)/'SUPUESTOS PRECIOS'!$B$4</x:f>
        <x:v>377.5</x:v>
      </x:c>
      <x:c r="W854" s="4" t="n">
        <x:f>'SUPUESTOS PRECIOS'!$B$8</x:f>
        <x:v>0.00968</x:v>
      </x:c>
      <x:c r="X854" s="4" t="n">
        <x:f>'SUPUESTOS PRECIOS'!$B$2</x:f>
        <x:v>0.4</x:v>
      </x:c>
      <x:c r="Y854" s="3" t="str">
        <x:f t="shared" si="53"/>
      </x:c>
      <x:c r="Z854" s="3" t="str">
        <x:f t="shared" si="54"/>
      </x:c>
      <x:c r="AA854" s="11" t="str">
        <x:f t="shared" si="55"/>
      </x:c>
    </x:row>
    <x:row r="855">
      <x:c r="A855" s="10" t="s">
        <x:v>1978</x:v>
      </x:c>
      <x:c r="F855" t="s">
        <x:v>1358</x:v>
      </x:c>
      <x:c r="K855">
        <x:v>1</x:v>
      </x:c>
      <x:c r="L855" t="str">
        <x:f t="shared" si="52"/>
      </x:c>
      <x:c r="O855" t="s">
        <x:v>38</x:v>
      </x:c>
      <x:c r="T855" s="2" t="n">
        <x:f>'SUPUESTOS PRECIOS'!$B$9</x:f>
        <x:v>0</x:v>
      </x:c>
      <x:c r="U855" s="3" t="n">
        <x:f>'SUPUESTOS PRECIOS'!$B$5/'SUPUESTOS PRECIOS'!$B$4</x:f>
        <x:v>1000</x:v>
      </x:c>
      <x:c r="V855" s="3" t="n">
        <x:f>('SUPUESTOS PRECIOS'!$B$6-'SUPUESTOS PRECIOS'!$B$7)/'SUPUESTOS PRECIOS'!$B$4</x:f>
        <x:v>377.5</x:v>
      </x:c>
      <x:c r="W855" s="4" t="n">
        <x:f>'SUPUESTOS PRECIOS'!$B$8</x:f>
        <x:v>0.00968</x:v>
      </x:c>
      <x:c r="X855" s="4" t="n">
        <x:f>'SUPUESTOS PRECIOS'!$B$2</x:f>
        <x:v>0.4</x:v>
      </x:c>
      <x:c r="Y855" s="3" t="str">
        <x:f t="shared" si="53"/>
      </x:c>
      <x:c r="Z855" s="3" t="str">
        <x:f t="shared" si="54"/>
      </x:c>
      <x:c r="AA855" s="11" t="str">
        <x:f t="shared" si="55"/>
      </x:c>
    </x:row>
    <x:row r="856">
      <x:c r="A856" s="10" t="s">
        <x:v>1979</x:v>
      </x:c>
      <x:c r="F856" t="s">
        <x:v>1358</x:v>
      </x:c>
      <x:c r="K856">
        <x:v>1</x:v>
      </x:c>
      <x:c r="L856" t="str">
        <x:f t="shared" si="52"/>
      </x:c>
      <x:c r="O856" t="s">
        <x:v>38</x:v>
      </x:c>
      <x:c r="T856" s="2" t="n">
        <x:f>'SUPUESTOS PRECIOS'!$B$9</x:f>
        <x:v>0</x:v>
      </x:c>
      <x:c r="U856" s="3" t="n">
        <x:f>'SUPUESTOS PRECIOS'!$B$5/'SUPUESTOS PRECIOS'!$B$4</x:f>
        <x:v>1000</x:v>
      </x:c>
      <x:c r="V856" s="3" t="n">
        <x:f>('SUPUESTOS PRECIOS'!$B$6-'SUPUESTOS PRECIOS'!$B$7)/'SUPUESTOS PRECIOS'!$B$4</x:f>
        <x:v>377.5</x:v>
      </x:c>
      <x:c r="W856" s="4" t="n">
        <x:f>'SUPUESTOS PRECIOS'!$B$8</x:f>
        <x:v>0.00968</x:v>
      </x:c>
      <x:c r="X856" s="4" t="n">
        <x:f>'SUPUESTOS PRECIOS'!$B$2</x:f>
        <x:v>0.4</x:v>
      </x:c>
      <x:c r="Y856" s="3" t="str">
        <x:f t="shared" si="53"/>
      </x:c>
      <x:c r="Z856" s="3" t="str">
        <x:f t="shared" si="54"/>
      </x:c>
      <x:c r="AA856" s="11" t="str">
        <x:f t="shared" si="55"/>
      </x:c>
    </x:row>
    <x:row r="857">
      <x:c r="A857" s="10" t="s">
        <x:v>1980</x:v>
      </x:c>
      <x:c r="F857" t="s">
        <x:v>1358</x:v>
      </x:c>
      <x:c r="K857">
        <x:v>1</x:v>
      </x:c>
      <x:c r="L857" t="str">
        <x:f t="shared" si="52"/>
      </x:c>
      <x:c r="O857" t="s">
        <x:v>38</x:v>
      </x:c>
      <x:c r="T857" s="2" t="n">
        <x:f>'SUPUESTOS PRECIOS'!$B$9</x:f>
        <x:v>0</x:v>
      </x:c>
      <x:c r="U857" s="3" t="n">
        <x:f>'SUPUESTOS PRECIOS'!$B$5/'SUPUESTOS PRECIOS'!$B$4</x:f>
        <x:v>1000</x:v>
      </x:c>
      <x:c r="V857" s="3" t="n">
        <x:f>('SUPUESTOS PRECIOS'!$B$6-'SUPUESTOS PRECIOS'!$B$7)/'SUPUESTOS PRECIOS'!$B$4</x:f>
        <x:v>377.5</x:v>
      </x:c>
      <x:c r="W857" s="4" t="n">
        <x:f>'SUPUESTOS PRECIOS'!$B$8</x:f>
        <x:v>0.00968</x:v>
      </x:c>
      <x:c r="X857" s="4" t="n">
        <x:f>'SUPUESTOS PRECIOS'!$B$2</x:f>
        <x:v>0.4</x:v>
      </x:c>
      <x:c r="Y857" s="3" t="str">
        <x:f t="shared" si="53"/>
      </x:c>
      <x:c r="Z857" s="3" t="str">
        <x:f t="shared" si="54"/>
      </x:c>
      <x:c r="AA857" s="11" t="str">
        <x:f t="shared" si="55"/>
      </x:c>
    </x:row>
    <x:row r="858">
      <x:c r="A858" s="10" t="s">
        <x:v>1981</x:v>
      </x:c>
      <x:c r="F858" t="s">
        <x:v>1358</x:v>
      </x:c>
      <x:c r="K858">
        <x:v>1</x:v>
      </x:c>
      <x:c r="L858" t="str">
        <x:f t="shared" si="52"/>
      </x:c>
      <x:c r="O858" t="s">
        <x:v>38</x:v>
      </x:c>
      <x:c r="T858" s="2" t="n">
        <x:f>'SUPUESTOS PRECIOS'!$B$9</x:f>
        <x:v>0</x:v>
      </x:c>
      <x:c r="U858" s="3" t="n">
        <x:f>'SUPUESTOS PRECIOS'!$B$5/'SUPUESTOS PRECIOS'!$B$4</x:f>
        <x:v>1000</x:v>
      </x:c>
      <x:c r="V858" s="3" t="n">
        <x:f>('SUPUESTOS PRECIOS'!$B$6-'SUPUESTOS PRECIOS'!$B$7)/'SUPUESTOS PRECIOS'!$B$4</x:f>
        <x:v>377.5</x:v>
      </x:c>
      <x:c r="W858" s="4" t="n">
        <x:f>'SUPUESTOS PRECIOS'!$B$8</x:f>
        <x:v>0.00968</x:v>
      </x:c>
      <x:c r="X858" s="4" t="n">
        <x:f>'SUPUESTOS PRECIOS'!$B$2</x:f>
        <x:v>0.4</x:v>
      </x:c>
      <x:c r="Y858" s="3" t="str">
        <x:f t="shared" si="53"/>
      </x:c>
      <x:c r="Z858" s="3" t="str">
        <x:f t="shared" si="54"/>
      </x:c>
      <x:c r="AA858" s="11" t="str">
        <x:f t="shared" si="55"/>
      </x:c>
    </x:row>
    <x:row r="859">
      <x:c r="A859" s="10" t="s">
        <x:v>1982</x:v>
      </x:c>
      <x:c r="F859" t="s">
        <x:v>1358</x:v>
      </x:c>
      <x:c r="K859">
        <x:v>1</x:v>
      </x:c>
      <x:c r="L859" t="str">
        <x:f t="shared" si="52"/>
      </x:c>
      <x:c r="O859" t="s">
        <x:v>38</x:v>
      </x:c>
      <x:c r="T859" s="2" t="n">
        <x:f>'SUPUESTOS PRECIOS'!$B$9</x:f>
        <x:v>0</x:v>
      </x:c>
      <x:c r="U859" s="3" t="n">
        <x:f>'SUPUESTOS PRECIOS'!$B$5/'SUPUESTOS PRECIOS'!$B$4</x:f>
        <x:v>1000</x:v>
      </x:c>
      <x:c r="V859" s="3" t="n">
        <x:f>('SUPUESTOS PRECIOS'!$B$6-'SUPUESTOS PRECIOS'!$B$7)/'SUPUESTOS PRECIOS'!$B$4</x:f>
        <x:v>377.5</x:v>
      </x:c>
      <x:c r="W859" s="4" t="n">
        <x:f>'SUPUESTOS PRECIOS'!$B$8</x:f>
        <x:v>0.00968</x:v>
      </x:c>
      <x:c r="X859" s="4" t="n">
        <x:f>'SUPUESTOS PRECIOS'!$B$2</x:f>
        <x:v>0.4</x:v>
      </x:c>
      <x:c r="Y859" s="3" t="str">
        <x:f t="shared" si="53"/>
      </x:c>
      <x:c r="Z859" s="3" t="str">
        <x:f t="shared" si="54"/>
      </x:c>
      <x:c r="AA859" s="11" t="str">
        <x:f t="shared" si="55"/>
      </x:c>
    </x:row>
    <x:row r="860">
      <x:c r="A860" s="10" t="s">
        <x:v>1983</x:v>
      </x:c>
      <x:c r="F860" t="s">
        <x:v>1358</x:v>
      </x:c>
      <x:c r="K860">
        <x:v>1</x:v>
      </x:c>
      <x:c r="L860" t="str">
        <x:f t="shared" si="52"/>
      </x:c>
      <x:c r="O860" t="s">
        <x:v>38</x:v>
      </x:c>
      <x:c r="T860" s="2" t="n">
        <x:f>'SUPUESTOS PRECIOS'!$B$9</x:f>
        <x:v>0</x:v>
      </x:c>
      <x:c r="U860" s="3" t="n">
        <x:f>'SUPUESTOS PRECIOS'!$B$5/'SUPUESTOS PRECIOS'!$B$4</x:f>
        <x:v>1000</x:v>
      </x:c>
      <x:c r="V860" s="3" t="n">
        <x:f>('SUPUESTOS PRECIOS'!$B$6-'SUPUESTOS PRECIOS'!$B$7)/'SUPUESTOS PRECIOS'!$B$4</x:f>
        <x:v>377.5</x:v>
      </x:c>
      <x:c r="W860" s="4" t="n">
        <x:f>'SUPUESTOS PRECIOS'!$B$8</x:f>
        <x:v>0.00968</x:v>
      </x:c>
      <x:c r="X860" s="4" t="n">
        <x:f>'SUPUESTOS PRECIOS'!$B$2</x:f>
        <x:v>0.4</x:v>
      </x:c>
      <x:c r="Y860" s="3" t="str">
        <x:f t="shared" si="53"/>
      </x:c>
      <x:c r="Z860" s="3" t="str">
        <x:f t="shared" si="54"/>
      </x:c>
      <x:c r="AA860" s="11" t="str">
        <x:f t="shared" si="55"/>
      </x:c>
    </x:row>
    <x:row r="861">
      <x:c r="A861" s="10" t="s">
        <x:v>1984</x:v>
      </x:c>
      <x:c r="F861" t="s">
        <x:v>1358</x:v>
      </x:c>
      <x:c r="K861">
        <x:v>1</x:v>
      </x:c>
      <x:c r="L861" t="str">
        <x:f t="shared" si="52"/>
      </x:c>
      <x:c r="O861" t="s">
        <x:v>38</x:v>
      </x:c>
      <x:c r="T861" s="2" t="n">
        <x:f>'SUPUESTOS PRECIOS'!$B$9</x:f>
        <x:v>0</x:v>
      </x:c>
      <x:c r="U861" s="3" t="n">
        <x:f>'SUPUESTOS PRECIOS'!$B$5/'SUPUESTOS PRECIOS'!$B$4</x:f>
        <x:v>1000</x:v>
      </x:c>
      <x:c r="V861" s="3" t="n">
        <x:f>('SUPUESTOS PRECIOS'!$B$6-'SUPUESTOS PRECIOS'!$B$7)/'SUPUESTOS PRECIOS'!$B$4</x:f>
        <x:v>377.5</x:v>
      </x:c>
      <x:c r="W861" s="4" t="n">
        <x:f>'SUPUESTOS PRECIOS'!$B$8</x:f>
        <x:v>0.00968</x:v>
      </x:c>
      <x:c r="X861" s="4" t="n">
        <x:f>'SUPUESTOS PRECIOS'!$B$2</x:f>
        <x:v>0.4</x:v>
      </x:c>
      <x:c r="Y861" s="3" t="str">
        <x:f t="shared" si="53"/>
      </x:c>
      <x:c r="Z861" s="3" t="str">
        <x:f t="shared" si="54"/>
      </x:c>
      <x:c r="AA861" s="11" t="str">
        <x:f t="shared" si="55"/>
      </x:c>
    </x:row>
    <x:row r="862">
      <x:c r="A862" s="10" t="s">
        <x:v>1985</x:v>
      </x:c>
      <x:c r="F862" t="s">
        <x:v>1358</x:v>
      </x:c>
      <x:c r="K862">
        <x:v>1</x:v>
      </x:c>
      <x:c r="L862" t="str">
        <x:f t="shared" si="52"/>
      </x:c>
      <x:c r="O862" t="s">
        <x:v>38</x:v>
      </x:c>
      <x:c r="T862" s="2" t="n">
        <x:f>'SUPUESTOS PRECIOS'!$B$9</x:f>
        <x:v>0</x:v>
      </x:c>
      <x:c r="U862" s="3" t="n">
        <x:f>'SUPUESTOS PRECIOS'!$B$5/'SUPUESTOS PRECIOS'!$B$4</x:f>
        <x:v>1000</x:v>
      </x:c>
      <x:c r="V862" s="3" t="n">
        <x:f>('SUPUESTOS PRECIOS'!$B$6-'SUPUESTOS PRECIOS'!$B$7)/'SUPUESTOS PRECIOS'!$B$4</x:f>
        <x:v>377.5</x:v>
      </x:c>
      <x:c r="W862" s="4" t="n">
        <x:f>'SUPUESTOS PRECIOS'!$B$8</x:f>
        <x:v>0.00968</x:v>
      </x:c>
      <x:c r="X862" s="4" t="n">
        <x:f>'SUPUESTOS PRECIOS'!$B$2</x:f>
        <x:v>0.4</x:v>
      </x:c>
      <x:c r="Y862" s="3" t="str">
        <x:f t="shared" si="53"/>
      </x:c>
      <x:c r="Z862" s="3" t="str">
        <x:f t="shared" si="54"/>
      </x:c>
      <x:c r="AA862" s="11" t="str">
        <x:f t="shared" si="55"/>
      </x:c>
    </x:row>
    <x:row r="863">
      <x:c r="A863" s="10" t="s">
        <x:v>1986</x:v>
      </x:c>
      <x:c r="F863" t="s">
        <x:v>1358</x:v>
      </x:c>
      <x:c r="K863">
        <x:v>1</x:v>
      </x:c>
      <x:c r="L863" t="str">
        <x:f t="shared" si="52"/>
      </x:c>
      <x:c r="O863" t="s">
        <x:v>38</x:v>
      </x:c>
      <x:c r="T863" s="2" t="n">
        <x:f>'SUPUESTOS PRECIOS'!$B$9</x:f>
        <x:v>0</x:v>
      </x:c>
      <x:c r="U863" s="3" t="n">
        <x:f>'SUPUESTOS PRECIOS'!$B$5/'SUPUESTOS PRECIOS'!$B$4</x:f>
        <x:v>1000</x:v>
      </x:c>
      <x:c r="V863" s="3" t="n">
        <x:f>('SUPUESTOS PRECIOS'!$B$6-'SUPUESTOS PRECIOS'!$B$7)/'SUPUESTOS PRECIOS'!$B$4</x:f>
        <x:v>377.5</x:v>
      </x:c>
      <x:c r="W863" s="4" t="n">
        <x:f>'SUPUESTOS PRECIOS'!$B$8</x:f>
        <x:v>0.00968</x:v>
      </x:c>
      <x:c r="X863" s="4" t="n">
        <x:f>'SUPUESTOS PRECIOS'!$B$2</x:f>
        <x:v>0.4</x:v>
      </x:c>
      <x:c r="Y863" s="3" t="str">
        <x:f t="shared" si="53"/>
      </x:c>
      <x:c r="Z863" s="3" t="str">
        <x:f t="shared" si="54"/>
      </x:c>
      <x:c r="AA863" s="11" t="str">
        <x:f t="shared" si="55"/>
      </x:c>
    </x:row>
    <x:row r="864">
      <x:c r="A864" s="10" t="s">
        <x:v>1987</x:v>
      </x:c>
      <x:c r="F864" t="s">
        <x:v>1358</x:v>
      </x:c>
      <x:c r="K864">
        <x:v>1</x:v>
      </x:c>
      <x:c r="L864" t="str">
        <x:f t="shared" si="52"/>
      </x:c>
      <x:c r="O864" t="s">
        <x:v>38</x:v>
      </x:c>
      <x:c r="T864" s="2" t="n">
        <x:f>'SUPUESTOS PRECIOS'!$B$9</x:f>
        <x:v>0</x:v>
      </x:c>
      <x:c r="U864" s="3" t="n">
        <x:f>'SUPUESTOS PRECIOS'!$B$5/'SUPUESTOS PRECIOS'!$B$4</x:f>
        <x:v>1000</x:v>
      </x:c>
      <x:c r="V864" s="3" t="n">
        <x:f>('SUPUESTOS PRECIOS'!$B$6-'SUPUESTOS PRECIOS'!$B$7)/'SUPUESTOS PRECIOS'!$B$4</x:f>
        <x:v>377.5</x:v>
      </x:c>
      <x:c r="W864" s="4" t="n">
        <x:f>'SUPUESTOS PRECIOS'!$B$8</x:f>
        <x:v>0.00968</x:v>
      </x:c>
      <x:c r="X864" s="4" t="n">
        <x:f>'SUPUESTOS PRECIOS'!$B$2</x:f>
        <x:v>0.4</x:v>
      </x:c>
      <x:c r="Y864" s="3" t="str">
        <x:f t="shared" si="53"/>
      </x:c>
      <x:c r="Z864" s="3" t="str">
        <x:f t="shared" si="54"/>
      </x:c>
      <x:c r="AA864" s="11" t="str">
        <x:f t="shared" si="55"/>
      </x:c>
    </x:row>
    <x:row r="865">
      <x:c r="A865" s="10" t="s">
        <x:v>1988</x:v>
      </x:c>
      <x:c r="F865" t="s">
        <x:v>1358</x:v>
      </x:c>
      <x:c r="K865">
        <x:v>1</x:v>
      </x:c>
      <x:c r="L865" t="str">
        <x:f t="shared" si="52"/>
      </x:c>
      <x:c r="O865" t="s">
        <x:v>38</x:v>
      </x:c>
      <x:c r="T865" s="2" t="n">
        <x:f>'SUPUESTOS PRECIOS'!$B$9</x:f>
        <x:v>0</x:v>
      </x:c>
      <x:c r="U865" s="3" t="n">
        <x:f>'SUPUESTOS PRECIOS'!$B$5/'SUPUESTOS PRECIOS'!$B$4</x:f>
        <x:v>1000</x:v>
      </x:c>
      <x:c r="V865" s="3" t="n">
        <x:f>('SUPUESTOS PRECIOS'!$B$6-'SUPUESTOS PRECIOS'!$B$7)/'SUPUESTOS PRECIOS'!$B$4</x:f>
        <x:v>377.5</x:v>
      </x:c>
      <x:c r="W865" s="4" t="n">
        <x:f>'SUPUESTOS PRECIOS'!$B$8</x:f>
        <x:v>0.00968</x:v>
      </x:c>
      <x:c r="X865" s="4" t="n">
        <x:f>'SUPUESTOS PRECIOS'!$B$2</x:f>
        <x:v>0.4</x:v>
      </x:c>
      <x:c r="Y865" s="3" t="str">
        <x:f t="shared" si="53"/>
      </x:c>
      <x:c r="Z865" s="3" t="str">
        <x:f t="shared" si="54"/>
      </x:c>
      <x:c r="AA865" s="11" t="str">
        <x:f t="shared" si="55"/>
      </x:c>
    </x:row>
    <x:row r="866">
      <x:c r="A866" s="10" t="s">
        <x:v>1989</x:v>
      </x:c>
      <x:c r="F866" t="s">
        <x:v>1358</x:v>
      </x:c>
      <x:c r="K866">
        <x:v>1</x:v>
      </x:c>
      <x:c r="L866" t="str">
        <x:f t="shared" si="52"/>
      </x:c>
      <x:c r="O866" t="s">
        <x:v>38</x:v>
      </x:c>
      <x:c r="T866" s="2" t="n">
        <x:f>'SUPUESTOS PRECIOS'!$B$9</x:f>
        <x:v>0</x:v>
      </x:c>
      <x:c r="U866" s="3" t="n">
        <x:f>'SUPUESTOS PRECIOS'!$B$5/'SUPUESTOS PRECIOS'!$B$4</x:f>
        <x:v>1000</x:v>
      </x:c>
      <x:c r="V866" s="3" t="n">
        <x:f>('SUPUESTOS PRECIOS'!$B$6-'SUPUESTOS PRECIOS'!$B$7)/'SUPUESTOS PRECIOS'!$B$4</x:f>
        <x:v>377.5</x:v>
      </x:c>
      <x:c r="W866" s="4" t="n">
        <x:f>'SUPUESTOS PRECIOS'!$B$8</x:f>
        <x:v>0.00968</x:v>
      </x:c>
      <x:c r="X866" s="4" t="n">
        <x:f>'SUPUESTOS PRECIOS'!$B$2</x:f>
        <x:v>0.4</x:v>
      </x:c>
      <x:c r="Y866" s="3" t="str">
        <x:f t="shared" si="53"/>
      </x:c>
      <x:c r="Z866" s="3" t="str">
        <x:f t="shared" si="54"/>
      </x:c>
      <x:c r="AA866" s="11" t="str">
        <x:f t="shared" si="55"/>
      </x:c>
    </x:row>
    <x:row r="867">
      <x:c r="A867" s="10" t="s">
        <x:v>1990</x:v>
      </x:c>
      <x:c r="F867" t="s">
        <x:v>1358</x:v>
      </x:c>
      <x:c r="K867">
        <x:v>1</x:v>
      </x:c>
      <x:c r="L867" t="str">
        <x:f t="shared" si="52"/>
      </x:c>
      <x:c r="O867" t="s">
        <x:v>38</x:v>
      </x:c>
      <x:c r="T867" s="2" t="n">
        <x:f>'SUPUESTOS PRECIOS'!$B$9</x:f>
        <x:v>0</x:v>
      </x:c>
      <x:c r="U867" s="3" t="n">
        <x:f>'SUPUESTOS PRECIOS'!$B$5/'SUPUESTOS PRECIOS'!$B$4</x:f>
        <x:v>1000</x:v>
      </x:c>
      <x:c r="V867" s="3" t="n">
        <x:f>('SUPUESTOS PRECIOS'!$B$6-'SUPUESTOS PRECIOS'!$B$7)/'SUPUESTOS PRECIOS'!$B$4</x:f>
        <x:v>377.5</x:v>
      </x:c>
      <x:c r="W867" s="4" t="n">
        <x:f>'SUPUESTOS PRECIOS'!$B$8</x:f>
        <x:v>0.00968</x:v>
      </x:c>
      <x:c r="X867" s="4" t="n">
        <x:f>'SUPUESTOS PRECIOS'!$B$2</x:f>
        <x:v>0.4</x:v>
      </x:c>
      <x:c r="Y867" s="3" t="str">
        <x:f t="shared" si="53"/>
      </x:c>
      <x:c r="Z867" s="3" t="str">
        <x:f t="shared" si="54"/>
      </x:c>
      <x:c r="AA867" s="11" t="str">
        <x:f t="shared" si="55"/>
      </x:c>
    </x:row>
    <x:row r="868">
      <x:c r="A868" s="10" t="s">
        <x:v>1991</x:v>
      </x:c>
      <x:c r="F868" t="s">
        <x:v>1358</x:v>
      </x:c>
      <x:c r="K868">
        <x:v>1</x:v>
      </x:c>
      <x:c r="L868" t="str">
        <x:f t="shared" si="52"/>
      </x:c>
      <x:c r="O868" t="s">
        <x:v>38</x:v>
      </x:c>
      <x:c r="T868" s="2" t="n">
        <x:f>'SUPUESTOS PRECIOS'!$B$9</x:f>
        <x:v>0</x:v>
      </x:c>
      <x:c r="U868" s="3" t="n">
        <x:f>'SUPUESTOS PRECIOS'!$B$5/'SUPUESTOS PRECIOS'!$B$4</x:f>
        <x:v>1000</x:v>
      </x:c>
      <x:c r="V868" s="3" t="n">
        <x:f>('SUPUESTOS PRECIOS'!$B$6-'SUPUESTOS PRECIOS'!$B$7)/'SUPUESTOS PRECIOS'!$B$4</x:f>
        <x:v>377.5</x:v>
      </x:c>
      <x:c r="W868" s="4" t="n">
        <x:f>'SUPUESTOS PRECIOS'!$B$8</x:f>
        <x:v>0.00968</x:v>
      </x:c>
      <x:c r="X868" s="4" t="n">
        <x:f>'SUPUESTOS PRECIOS'!$B$2</x:f>
        <x:v>0.4</x:v>
      </x:c>
      <x:c r="Y868" s="3" t="str">
        <x:f t="shared" si="53"/>
      </x:c>
      <x:c r="Z868" s="3" t="str">
        <x:f t="shared" si="54"/>
      </x:c>
      <x:c r="AA868" s="11" t="str">
        <x:f t="shared" si="55"/>
      </x:c>
    </x:row>
    <x:row r="869">
      <x:c r="A869" s="10" t="s">
        <x:v>1992</x:v>
      </x:c>
      <x:c r="F869" t="s">
        <x:v>1358</x:v>
      </x:c>
      <x:c r="K869">
        <x:v>1</x:v>
      </x:c>
      <x:c r="L869" t="str">
        <x:f t="shared" si="52"/>
      </x:c>
      <x:c r="O869" t="s">
        <x:v>38</x:v>
      </x:c>
      <x:c r="T869" s="2" t="n">
        <x:f>'SUPUESTOS PRECIOS'!$B$9</x:f>
        <x:v>0</x:v>
      </x:c>
      <x:c r="U869" s="3" t="n">
        <x:f>'SUPUESTOS PRECIOS'!$B$5/'SUPUESTOS PRECIOS'!$B$4</x:f>
        <x:v>1000</x:v>
      </x:c>
      <x:c r="V869" s="3" t="n">
        <x:f>('SUPUESTOS PRECIOS'!$B$6-'SUPUESTOS PRECIOS'!$B$7)/'SUPUESTOS PRECIOS'!$B$4</x:f>
        <x:v>377.5</x:v>
      </x:c>
      <x:c r="W869" s="4" t="n">
        <x:f>'SUPUESTOS PRECIOS'!$B$8</x:f>
        <x:v>0.00968</x:v>
      </x:c>
      <x:c r="X869" s="4" t="n">
        <x:f>'SUPUESTOS PRECIOS'!$B$2</x:f>
        <x:v>0.4</x:v>
      </x:c>
      <x:c r="Y869" s="3" t="str">
        <x:f t="shared" si="53"/>
      </x:c>
      <x:c r="Z869" s="3" t="str">
        <x:f t="shared" si="54"/>
      </x:c>
      <x:c r="AA869" s="11" t="str">
        <x:f t="shared" si="55"/>
      </x:c>
    </x:row>
    <x:row r="870">
      <x:c r="A870" s="10" t="s">
        <x:v>1993</x:v>
      </x:c>
      <x:c r="F870" t="s">
        <x:v>1358</x:v>
      </x:c>
      <x:c r="K870">
        <x:v>1</x:v>
      </x:c>
      <x:c r="L870" t="str">
        <x:f t="shared" si="52"/>
      </x:c>
      <x:c r="O870" t="s">
        <x:v>38</x:v>
      </x:c>
      <x:c r="T870" s="2" t="n">
        <x:f>'SUPUESTOS PRECIOS'!$B$9</x:f>
        <x:v>0</x:v>
      </x:c>
      <x:c r="U870" s="3" t="n">
        <x:f>'SUPUESTOS PRECIOS'!$B$5/'SUPUESTOS PRECIOS'!$B$4</x:f>
        <x:v>1000</x:v>
      </x:c>
      <x:c r="V870" s="3" t="n">
        <x:f>('SUPUESTOS PRECIOS'!$B$6-'SUPUESTOS PRECIOS'!$B$7)/'SUPUESTOS PRECIOS'!$B$4</x:f>
        <x:v>377.5</x:v>
      </x:c>
      <x:c r="W870" s="4" t="n">
        <x:f>'SUPUESTOS PRECIOS'!$B$8</x:f>
        <x:v>0.00968</x:v>
      </x:c>
      <x:c r="X870" s="4" t="n">
        <x:f>'SUPUESTOS PRECIOS'!$B$2</x:f>
        <x:v>0.4</x:v>
      </x:c>
      <x:c r="Y870" s="3" t="str">
        <x:f t="shared" si="53"/>
      </x:c>
      <x:c r="Z870" s="3" t="str">
        <x:f t="shared" si="54"/>
      </x:c>
      <x:c r="AA870" s="11" t="str">
        <x:f t="shared" si="55"/>
      </x:c>
    </x:row>
    <x:row r="871">
      <x:c r="A871" s="10" t="s">
        <x:v>1994</x:v>
      </x:c>
      <x:c r="F871" t="s">
        <x:v>1358</x:v>
      </x:c>
      <x:c r="K871">
        <x:v>1</x:v>
      </x:c>
      <x:c r="L871" t="str">
        <x:f t="shared" si="52"/>
      </x:c>
      <x:c r="O871" t="s">
        <x:v>38</x:v>
      </x:c>
      <x:c r="T871" s="2" t="n">
        <x:f>'SUPUESTOS PRECIOS'!$B$9</x:f>
        <x:v>0</x:v>
      </x:c>
      <x:c r="U871" s="3" t="n">
        <x:f>'SUPUESTOS PRECIOS'!$B$5/'SUPUESTOS PRECIOS'!$B$4</x:f>
        <x:v>1000</x:v>
      </x:c>
      <x:c r="V871" s="3" t="n">
        <x:f>('SUPUESTOS PRECIOS'!$B$6-'SUPUESTOS PRECIOS'!$B$7)/'SUPUESTOS PRECIOS'!$B$4</x:f>
        <x:v>377.5</x:v>
      </x:c>
      <x:c r="W871" s="4" t="n">
        <x:f>'SUPUESTOS PRECIOS'!$B$8</x:f>
        <x:v>0.00968</x:v>
      </x:c>
      <x:c r="X871" s="4" t="n">
        <x:f>'SUPUESTOS PRECIOS'!$B$2</x:f>
        <x:v>0.4</x:v>
      </x:c>
      <x:c r="Y871" s="3" t="str">
        <x:f t="shared" si="53"/>
      </x:c>
      <x:c r="Z871" s="3" t="str">
        <x:f t="shared" si="54"/>
      </x:c>
      <x:c r="AA871" s="11" t="str">
        <x:f t="shared" si="55"/>
      </x:c>
    </x:row>
    <x:row r="872">
      <x:c r="A872" s="10" t="s">
        <x:v>1995</x:v>
      </x:c>
      <x:c r="F872" t="s">
        <x:v>1358</x:v>
      </x:c>
      <x:c r="K872">
        <x:v>1</x:v>
      </x:c>
      <x:c r="L872" t="str">
        <x:f t="shared" si="52"/>
      </x:c>
      <x:c r="O872" t="s">
        <x:v>38</x:v>
      </x:c>
      <x:c r="T872" s="2" t="n">
        <x:f>'SUPUESTOS PRECIOS'!$B$9</x:f>
        <x:v>0</x:v>
      </x:c>
      <x:c r="U872" s="3" t="n">
        <x:f>'SUPUESTOS PRECIOS'!$B$5/'SUPUESTOS PRECIOS'!$B$4</x:f>
        <x:v>1000</x:v>
      </x:c>
      <x:c r="V872" s="3" t="n">
        <x:f>('SUPUESTOS PRECIOS'!$B$6-'SUPUESTOS PRECIOS'!$B$7)/'SUPUESTOS PRECIOS'!$B$4</x:f>
        <x:v>377.5</x:v>
      </x:c>
      <x:c r="W872" s="4" t="n">
        <x:f>'SUPUESTOS PRECIOS'!$B$8</x:f>
        <x:v>0.00968</x:v>
      </x:c>
      <x:c r="X872" s="4" t="n">
        <x:f>'SUPUESTOS PRECIOS'!$B$2</x:f>
        <x:v>0.4</x:v>
      </x:c>
      <x:c r="Y872" s="3" t="str">
        <x:f t="shared" si="53"/>
      </x:c>
      <x:c r="Z872" s="3" t="str">
        <x:f t="shared" si="54"/>
      </x:c>
      <x:c r="AA872" s="11" t="str">
        <x:f t="shared" si="55"/>
      </x:c>
    </x:row>
    <x:row r="873">
      <x:c r="A873" s="10" t="s">
        <x:v>1996</x:v>
      </x:c>
      <x:c r="F873" t="s">
        <x:v>1358</x:v>
      </x:c>
      <x:c r="K873">
        <x:v>1</x:v>
      </x:c>
      <x:c r="L873" t="str">
        <x:f t="shared" si="52"/>
      </x:c>
      <x:c r="O873" t="s">
        <x:v>38</x:v>
      </x:c>
      <x:c r="T873" s="2" t="n">
        <x:f>'SUPUESTOS PRECIOS'!$B$9</x:f>
        <x:v>0</x:v>
      </x:c>
      <x:c r="U873" s="3" t="n">
        <x:f>'SUPUESTOS PRECIOS'!$B$5/'SUPUESTOS PRECIOS'!$B$4</x:f>
        <x:v>1000</x:v>
      </x:c>
      <x:c r="V873" s="3" t="n">
        <x:f>('SUPUESTOS PRECIOS'!$B$6-'SUPUESTOS PRECIOS'!$B$7)/'SUPUESTOS PRECIOS'!$B$4</x:f>
        <x:v>377.5</x:v>
      </x:c>
      <x:c r="W873" s="4" t="n">
        <x:f>'SUPUESTOS PRECIOS'!$B$8</x:f>
        <x:v>0.00968</x:v>
      </x:c>
      <x:c r="X873" s="4" t="n">
        <x:f>'SUPUESTOS PRECIOS'!$B$2</x:f>
        <x:v>0.4</x:v>
      </x:c>
      <x:c r="Y873" s="3" t="str">
        <x:f t="shared" si="53"/>
      </x:c>
      <x:c r="Z873" s="3" t="str">
        <x:f t="shared" si="54"/>
      </x:c>
      <x:c r="AA873" s="11" t="str">
        <x:f t="shared" si="55"/>
      </x:c>
    </x:row>
    <x:row r="874">
      <x:c r="A874" s="10" t="s">
        <x:v>1997</x:v>
      </x:c>
      <x:c r="F874" t="s">
        <x:v>1358</x:v>
      </x:c>
      <x:c r="K874">
        <x:v>1</x:v>
      </x:c>
      <x:c r="L874" t="str">
        <x:f t="shared" si="52"/>
      </x:c>
      <x:c r="O874" t="s">
        <x:v>38</x:v>
      </x:c>
      <x:c r="T874" s="2" t="n">
        <x:f>'SUPUESTOS PRECIOS'!$B$9</x:f>
        <x:v>0</x:v>
      </x:c>
      <x:c r="U874" s="3" t="n">
        <x:f>'SUPUESTOS PRECIOS'!$B$5/'SUPUESTOS PRECIOS'!$B$4</x:f>
        <x:v>1000</x:v>
      </x:c>
      <x:c r="V874" s="3" t="n">
        <x:f>('SUPUESTOS PRECIOS'!$B$6-'SUPUESTOS PRECIOS'!$B$7)/'SUPUESTOS PRECIOS'!$B$4</x:f>
        <x:v>377.5</x:v>
      </x:c>
      <x:c r="W874" s="4" t="n">
        <x:f>'SUPUESTOS PRECIOS'!$B$8</x:f>
        <x:v>0.00968</x:v>
      </x:c>
      <x:c r="X874" s="4" t="n">
        <x:f>'SUPUESTOS PRECIOS'!$B$2</x:f>
        <x:v>0.4</x:v>
      </x:c>
      <x:c r="Y874" s="3" t="str">
        <x:f t="shared" si="53"/>
      </x:c>
      <x:c r="Z874" s="3" t="str">
        <x:f t="shared" si="54"/>
      </x:c>
      <x:c r="AA874" s="11" t="str">
        <x:f t="shared" si="55"/>
      </x:c>
    </x:row>
    <x:row r="875">
      <x:c r="A875" s="10" t="s">
        <x:v>1998</x:v>
      </x:c>
      <x:c r="F875" t="s">
        <x:v>1358</x:v>
      </x:c>
      <x:c r="K875">
        <x:v>1</x:v>
      </x:c>
      <x:c r="L875" t="str">
        <x:f t="shared" si="52"/>
      </x:c>
      <x:c r="O875" t="s">
        <x:v>38</x:v>
      </x:c>
      <x:c r="T875" s="2" t="n">
        <x:f>'SUPUESTOS PRECIOS'!$B$9</x:f>
        <x:v>0</x:v>
      </x:c>
      <x:c r="U875" s="3" t="n">
        <x:f>'SUPUESTOS PRECIOS'!$B$5/'SUPUESTOS PRECIOS'!$B$4</x:f>
        <x:v>1000</x:v>
      </x:c>
      <x:c r="V875" s="3" t="n">
        <x:f>('SUPUESTOS PRECIOS'!$B$6-'SUPUESTOS PRECIOS'!$B$7)/'SUPUESTOS PRECIOS'!$B$4</x:f>
        <x:v>377.5</x:v>
      </x:c>
      <x:c r="W875" s="4" t="n">
        <x:f>'SUPUESTOS PRECIOS'!$B$8</x:f>
        <x:v>0.00968</x:v>
      </x:c>
      <x:c r="X875" s="4" t="n">
        <x:f>'SUPUESTOS PRECIOS'!$B$2</x:f>
        <x:v>0.4</x:v>
      </x:c>
      <x:c r="Y875" s="3" t="str">
        <x:f t="shared" si="53"/>
      </x:c>
      <x:c r="Z875" s="3" t="str">
        <x:f t="shared" si="54"/>
      </x:c>
      <x:c r="AA875" s="11" t="str">
        <x:f t="shared" si="55"/>
      </x:c>
    </x:row>
    <x:row r="876">
      <x:c r="A876" s="10" t="s">
        <x:v>1999</x:v>
      </x:c>
      <x:c r="F876" t="s">
        <x:v>1358</x:v>
      </x:c>
      <x:c r="K876">
        <x:v>1</x:v>
      </x:c>
      <x:c r="L876" t="str">
        <x:f t="shared" si="52"/>
      </x:c>
      <x:c r="O876" t="s">
        <x:v>38</x:v>
      </x:c>
      <x:c r="T876" s="2" t="n">
        <x:f>'SUPUESTOS PRECIOS'!$B$9</x:f>
        <x:v>0</x:v>
      </x:c>
      <x:c r="U876" s="3" t="n">
        <x:f>'SUPUESTOS PRECIOS'!$B$5/'SUPUESTOS PRECIOS'!$B$4</x:f>
        <x:v>1000</x:v>
      </x:c>
      <x:c r="V876" s="3" t="n">
        <x:f>('SUPUESTOS PRECIOS'!$B$6-'SUPUESTOS PRECIOS'!$B$7)/'SUPUESTOS PRECIOS'!$B$4</x:f>
        <x:v>377.5</x:v>
      </x:c>
      <x:c r="W876" s="4" t="n">
        <x:f>'SUPUESTOS PRECIOS'!$B$8</x:f>
        <x:v>0.00968</x:v>
      </x:c>
      <x:c r="X876" s="4" t="n">
        <x:f>'SUPUESTOS PRECIOS'!$B$2</x:f>
        <x:v>0.4</x:v>
      </x:c>
      <x:c r="Y876" s="3" t="str">
        <x:f t="shared" si="53"/>
      </x:c>
      <x:c r="Z876" s="3" t="str">
        <x:f t="shared" si="54"/>
      </x:c>
      <x:c r="AA876" s="11" t="str">
        <x:f t="shared" si="55"/>
      </x:c>
    </x:row>
    <x:row r="877">
      <x:c r="A877" s="10" t="s">
        <x:v>2000</x:v>
      </x:c>
      <x:c r="F877" t="s">
        <x:v>1358</x:v>
      </x:c>
      <x:c r="K877">
        <x:v>1</x:v>
      </x:c>
      <x:c r="L877" t="str">
        <x:f t="shared" si="52"/>
      </x:c>
      <x:c r="O877" t="s">
        <x:v>38</x:v>
      </x:c>
      <x:c r="T877" s="2" t="n">
        <x:f>'SUPUESTOS PRECIOS'!$B$9</x:f>
        <x:v>0</x:v>
      </x:c>
      <x:c r="U877" s="3" t="n">
        <x:f>'SUPUESTOS PRECIOS'!$B$5/'SUPUESTOS PRECIOS'!$B$4</x:f>
        <x:v>1000</x:v>
      </x:c>
      <x:c r="V877" s="3" t="n">
        <x:f>('SUPUESTOS PRECIOS'!$B$6-'SUPUESTOS PRECIOS'!$B$7)/'SUPUESTOS PRECIOS'!$B$4</x:f>
        <x:v>377.5</x:v>
      </x:c>
      <x:c r="W877" s="4" t="n">
        <x:f>'SUPUESTOS PRECIOS'!$B$8</x:f>
        <x:v>0.00968</x:v>
      </x:c>
      <x:c r="X877" s="4" t="n">
        <x:f>'SUPUESTOS PRECIOS'!$B$2</x:f>
        <x:v>0.4</x:v>
      </x:c>
      <x:c r="Y877" s="3" t="str">
        <x:f t="shared" si="53"/>
      </x:c>
      <x:c r="Z877" s="3" t="str">
        <x:f t="shared" si="54"/>
      </x:c>
      <x:c r="AA877" s="11" t="str">
        <x:f t="shared" si="55"/>
      </x:c>
    </x:row>
    <x:row r="878">
      <x:c r="A878" s="10" t="s">
        <x:v>2001</x:v>
      </x:c>
      <x:c r="F878" t="s">
        <x:v>1358</x:v>
      </x:c>
      <x:c r="K878">
        <x:v>1</x:v>
      </x:c>
      <x:c r="L878" t="str">
        <x:f t="shared" si="52"/>
      </x:c>
      <x:c r="O878" t="s">
        <x:v>38</x:v>
      </x:c>
      <x:c r="T878" s="2" t="n">
        <x:f>'SUPUESTOS PRECIOS'!$B$9</x:f>
        <x:v>0</x:v>
      </x:c>
      <x:c r="U878" s="3" t="n">
        <x:f>'SUPUESTOS PRECIOS'!$B$5/'SUPUESTOS PRECIOS'!$B$4</x:f>
        <x:v>1000</x:v>
      </x:c>
      <x:c r="V878" s="3" t="n">
        <x:f>('SUPUESTOS PRECIOS'!$B$6-'SUPUESTOS PRECIOS'!$B$7)/'SUPUESTOS PRECIOS'!$B$4</x:f>
        <x:v>377.5</x:v>
      </x:c>
      <x:c r="W878" s="4" t="n">
        <x:f>'SUPUESTOS PRECIOS'!$B$8</x:f>
        <x:v>0.00968</x:v>
      </x:c>
      <x:c r="X878" s="4" t="n">
        <x:f>'SUPUESTOS PRECIOS'!$B$2</x:f>
        <x:v>0.4</x:v>
      </x:c>
      <x:c r="Y878" s="3" t="str">
        <x:f t="shared" si="53"/>
      </x:c>
      <x:c r="Z878" s="3" t="str">
        <x:f t="shared" si="54"/>
      </x:c>
      <x:c r="AA878" s="11" t="str">
        <x:f t="shared" si="55"/>
      </x:c>
    </x:row>
    <x:row r="879">
      <x:c r="A879" s="10" t="s">
        <x:v>2002</x:v>
      </x:c>
      <x:c r="F879" t="s">
        <x:v>1358</x:v>
      </x:c>
      <x:c r="K879">
        <x:v>1</x:v>
      </x:c>
      <x:c r="L879" t="str">
        <x:f t="shared" si="52"/>
      </x:c>
      <x:c r="O879" t="s">
        <x:v>38</x:v>
      </x:c>
      <x:c r="T879" s="2" t="n">
        <x:f>'SUPUESTOS PRECIOS'!$B$9</x:f>
        <x:v>0</x:v>
      </x:c>
      <x:c r="U879" s="3" t="n">
        <x:f>'SUPUESTOS PRECIOS'!$B$5/'SUPUESTOS PRECIOS'!$B$4</x:f>
        <x:v>1000</x:v>
      </x:c>
      <x:c r="V879" s="3" t="n">
        <x:f>('SUPUESTOS PRECIOS'!$B$6-'SUPUESTOS PRECIOS'!$B$7)/'SUPUESTOS PRECIOS'!$B$4</x:f>
        <x:v>377.5</x:v>
      </x:c>
      <x:c r="W879" s="4" t="n">
        <x:f>'SUPUESTOS PRECIOS'!$B$8</x:f>
        <x:v>0.00968</x:v>
      </x:c>
      <x:c r="X879" s="4" t="n">
        <x:f>'SUPUESTOS PRECIOS'!$B$2</x:f>
        <x:v>0.4</x:v>
      </x:c>
      <x:c r="Y879" s="3" t="str">
        <x:f t="shared" si="53"/>
      </x:c>
      <x:c r="Z879" s="3" t="str">
        <x:f t="shared" si="54"/>
      </x:c>
      <x:c r="AA879" s="11" t="str">
        <x:f t="shared" si="55"/>
      </x:c>
    </x:row>
    <x:row r="880">
      <x:c r="A880" s="10" t="s">
        <x:v>2003</x:v>
      </x:c>
      <x:c r="F880" t="s">
        <x:v>1358</x:v>
      </x:c>
      <x:c r="K880">
        <x:v>1</x:v>
      </x:c>
      <x:c r="L880" t="str">
        <x:f t="shared" si="52"/>
      </x:c>
      <x:c r="O880" t="s">
        <x:v>38</x:v>
      </x:c>
      <x:c r="T880" s="2" t="n">
        <x:f>'SUPUESTOS PRECIOS'!$B$9</x:f>
        <x:v>0</x:v>
      </x:c>
      <x:c r="U880" s="3" t="n">
        <x:f>'SUPUESTOS PRECIOS'!$B$5/'SUPUESTOS PRECIOS'!$B$4</x:f>
        <x:v>1000</x:v>
      </x:c>
      <x:c r="V880" s="3" t="n">
        <x:f>('SUPUESTOS PRECIOS'!$B$6-'SUPUESTOS PRECIOS'!$B$7)/'SUPUESTOS PRECIOS'!$B$4</x:f>
        <x:v>377.5</x:v>
      </x:c>
      <x:c r="W880" s="4" t="n">
        <x:f>'SUPUESTOS PRECIOS'!$B$8</x:f>
        <x:v>0.00968</x:v>
      </x:c>
      <x:c r="X880" s="4" t="n">
        <x:f>'SUPUESTOS PRECIOS'!$B$2</x:f>
        <x:v>0.4</x:v>
      </x:c>
      <x:c r="Y880" s="3" t="str">
        <x:f t="shared" si="53"/>
      </x:c>
      <x:c r="Z880" s="3" t="str">
        <x:f t="shared" si="54"/>
      </x:c>
      <x:c r="AA880" s="11" t="str">
        <x:f t="shared" si="55"/>
      </x:c>
    </x:row>
    <x:row r="881">
      <x:c r="A881" s="10" t="s">
        <x:v>2004</x:v>
      </x:c>
      <x:c r="F881" t="s">
        <x:v>1358</x:v>
      </x:c>
      <x:c r="K881">
        <x:v>1</x:v>
      </x:c>
      <x:c r="L881" t="str">
        <x:f t="shared" si="52"/>
      </x:c>
      <x:c r="O881" t="s">
        <x:v>38</x:v>
      </x:c>
      <x:c r="T881" s="2" t="n">
        <x:f>'SUPUESTOS PRECIOS'!$B$9</x:f>
        <x:v>0</x:v>
      </x:c>
      <x:c r="U881" s="3" t="n">
        <x:f>'SUPUESTOS PRECIOS'!$B$5/'SUPUESTOS PRECIOS'!$B$4</x:f>
        <x:v>1000</x:v>
      </x:c>
      <x:c r="V881" s="3" t="n">
        <x:f>('SUPUESTOS PRECIOS'!$B$6-'SUPUESTOS PRECIOS'!$B$7)/'SUPUESTOS PRECIOS'!$B$4</x:f>
        <x:v>377.5</x:v>
      </x:c>
      <x:c r="W881" s="4" t="n">
        <x:f>'SUPUESTOS PRECIOS'!$B$8</x:f>
        <x:v>0.00968</x:v>
      </x:c>
      <x:c r="X881" s="4" t="n">
        <x:f>'SUPUESTOS PRECIOS'!$B$2</x:f>
        <x:v>0.4</x:v>
      </x:c>
      <x:c r="Y881" s="3" t="str">
        <x:f t="shared" si="53"/>
      </x:c>
      <x:c r="Z881" s="3" t="str">
        <x:f t="shared" si="54"/>
      </x:c>
      <x:c r="AA881" s="11" t="str">
        <x:f t="shared" si="55"/>
      </x:c>
    </x:row>
    <x:row r="882">
      <x:c r="A882" s="10" t="s">
        <x:v>2005</x:v>
      </x:c>
      <x:c r="F882" t="s">
        <x:v>1358</x:v>
      </x:c>
      <x:c r="K882">
        <x:v>1</x:v>
      </x:c>
      <x:c r="L882" t="str">
        <x:f t="shared" si="52"/>
      </x:c>
      <x:c r="O882" t="s">
        <x:v>38</x:v>
      </x:c>
      <x:c r="T882" s="2" t="n">
        <x:f>'SUPUESTOS PRECIOS'!$B$9</x:f>
        <x:v>0</x:v>
      </x:c>
      <x:c r="U882" s="3" t="n">
        <x:f>'SUPUESTOS PRECIOS'!$B$5/'SUPUESTOS PRECIOS'!$B$4</x:f>
        <x:v>1000</x:v>
      </x:c>
      <x:c r="V882" s="3" t="n">
        <x:f>('SUPUESTOS PRECIOS'!$B$6-'SUPUESTOS PRECIOS'!$B$7)/'SUPUESTOS PRECIOS'!$B$4</x:f>
        <x:v>377.5</x:v>
      </x:c>
      <x:c r="W882" s="4" t="n">
        <x:f>'SUPUESTOS PRECIOS'!$B$8</x:f>
        <x:v>0.00968</x:v>
      </x:c>
      <x:c r="X882" s="4" t="n">
        <x:f>'SUPUESTOS PRECIOS'!$B$2</x:f>
        <x:v>0.4</x:v>
      </x:c>
      <x:c r="Y882" s="3" t="str">
        <x:f t="shared" si="53"/>
      </x:c>
      <x:c r="Z882" s="3" t="str">
        <x:f t="shared" si="54"/>
      </x:c>
      <x:c r="AA882" s="11" t="str">
        <x:f t="shared" si="55"/>
      </x:c>
    </x:row>
    <x:row r="883">
      <x:c r="A883" s="10" t="s">
        <x:v>2006</x:v>
      </x:c>
      <x:c r="F883" t="s">
        <x:v>1358</x:v>
      </x:c>
      <x:c r="K883">
        <x:v>1</x:v>
      </x:c>
      <x:c r="L883" t="str">
        <x:f t="shared" si="52"/>
      </x:c>
      <x:c r="O883" t="s">
        <x:v>38</x:v>
      </x:c>
      <x:c r="T883" s="2" t="n">
        <x:f>'SUPUESTOS PRECIOS'!$B$9</x:f>
        <x:v>0</x:v>
      </x:c>
      <x:c r="U883" s="3" t="n">
        <x:f>'SUPUESTOS PRECIOS'!$B$5/'SUPUESTOS PRECIOS'!$B$4</x:f>
        <x:v>1000</x:v>
      </x:c>
      <x:c r="V883" s="3" t="n">
        <x:f>('SUPUESTOS PRECIOS'!$B$6-'SUPUESTOS PRECIOS'!$B$7)/'SUPUESTOS PRECIOS'!$B$4</x:f>
        <x:v>377.5</x:v>
      </x:c>
      <x:c r="W883" s="4" t="n">
        <x:f>'SUPUESTOS PRECIOS'!$B$8</x:f>
        <x:v>0.00968</x:v>
      </x:c>
      <x:c r="X883" s="4" t="n">
        <x:f>'SUPUESTOS PRECIOS'!$B$2</x:f>
        <x:v>0.4</x:v>
      </x:c>
      <x:c r="Y883" s="3" t="str">
        <x:f t="shared" si="53"/>
      </x:c>
      <x:c r="Z883" s="3" t="str">
        <x:f t="shared" si="54"/>
      </x:c>
      <x:c r="AA883" s="11" t="str">
        <x:f t="shared" si="55"/>
      </x:c>
    </x:row>
    <x:row r="884">
      <x:c r="A884" s="10" t="s">
        <x:v>2007</x:v>
      </x:c>
      <x:c r="F884" t="s">
        <x:v>1358</x:v>
      </x:c>
      <x:c r="K884">
        <x:v>1</x:v>
      </x:c>
      <x:c r="L884" t="str">
        <x:f t="shared" si="52"/>
      </x:c>
      <x:c r="O884" t="s">
        <x:v>38</x:v>
      </x:c>
      <x:c r="T884" s="2" t="n">
        <x:f>'SUPUESTOS PRECIOS'!$B$9</x:f>
        <x:v>0</x:v>
      </x:c>
      <x:c r="U884" s="3" t="n">
        <x:f>'SUPUESTOS PRECIOS'!$B$5/'SUPUESTOS PRECIOS'!$B$4</x:f>
        <x:v>1000</x:v>
      </x:c>
      <x:c r="V884" s="3" t="n">
        <x:f>('SUPUESTOS PRECIOS'!$B$6-'SUPUESTOS PRECIOS'!$B$7)/'SUPUESTOS PRECIOS'!$B$4</x:f>
        <x:v>377.5</x:v>
      </x:c>
      <x:c r="W884" s="4" t="n">
        <x:f>'SUPUESTOS PRECIOS'!$B$8</x:f>
        <x:v>0.00968</x:v>
      </x:c>
      <x:c r="X884" s="4" t="n">
        <x:f>'SUPUESTOS PRECIOS'!$B$2</x:f>
        <x:v>0.4</x:v>
      </x:c>
      <x:c r="Y884" s="3" t="str">
        <x:f t="shared" si="53"/>
      </x:c>
      <x:c r="Z884" s="3" t="str">
        <x:f t="shared" si="54"/>
      </x:c>
      <x:c r="AA884" s="11" t="str">
        <x:f t="shared" si="55"/>
      </x:c>
    </x:row>
    <x:row r="885">
      <x:c r="A885" s="10" t="s">
        <x:v>2008</x:v>
      </x:c>
      <x:c r="F885" t="s">
        <x:v>1358</x:v>
      </x:c>
      <x:c r="K885">
        <x:v>1</x:v>
      </x:c>
      <x:c r="L885" t="str">
        <x:f t="shared" si="52"/>
      </x:c>
      <x:c r="O885" t="s">
        <x:v>38</x:v>
      </x:c>
      <x:c r="T885" s="2" t="n">
        <x:f>'SUPUESTOS PRECIOS'!$B$9</x:f>
        <x:v>0</x:v>
      </x:c>
      <x:c r="U885" s="3" t="n">
        <x:f>'SUPUESTOS PRECIOS'!$B$5/'SUPUESTOS PRECIOS'!$B$4</x:f>
        <x:v>1000</x:v>
      </x:c>
      <x:c r="V885" s="3" t="n">
        <x:f>('SUPUESTOS PRECIOS'!$B$6-'SUPUESTOS PRECIOS'!$B$7)/'SUPUESTOS PRECIOS'!$B$4</x:f>
        <x:v>377.5</x:v>
      </x:c>
      <x:c r="W885" s="4" t="n">
        <x:f>'SUPUESTOS PRECIOS'!$B$8</x:f>
        <x:v>0.00968</x:v>
      </x:c>
      <x:c r="X885" s="4" t="n">
        <x:f>'SUPUESTOS PRECIOS'!$B$2</x:f>
        <x:v>0.4</x:v>
      </x:c>
      <x:c r="Y885" s="3" t="str">
        <x:f t="shared" si="53"/>
      </x:c>
      <x:c r="Z885" s="3" t="str">
        <x:f t="shared" si="54"/>
      </x:c>
      <x:c r="AA885" s="11" t="str">
        <x:f t="shared" si="55"/>
      </x:c>
    </x:row>
    <x:row r="886">
      <x:c r="A886" s="10" t="s">
        <x:v>2009</x:v>
      </x:c>
      <x:c r="F886" t="s">
        <x:v>1358</x:v>
      </x:c>
      <x:c r="K886">
        <x:v>1</x:v>
      </x:c>
      <x:c r="L886" t="str">
        <x:f t="shared" si="52"/>
      </x:c>
      <x:c r="O886" t="s">
        <x:v>38</x:v>
      </x:c>
      <x:c r="T886" s="2" t="n">
        <x:f>'SUPUESTOS PRECIOS'!$B$9</x:f>
        <x:v>0</x:v>
      </x:c>
      <x:c r="U886" s="3" t="n">
        <x:f>'SUPUESTOS PRECIOS'!$B$5/'SUPUESTOS PRECIOS'!$B$4</x:f>
        <x:v>1000</x:v>
      </x:c>
      <x:c r="V886" s="3" t="n">
        <x:f>('SUPUESTOS PRECIOS'!$B$6-'SUPUESTOS PRECIOS'!$B$7)/'SUPUESTOS PRECIOS'!$B$4</x:f>
        <x:v>377.5</x:v>
      </x:c>
      <x:c r="W886" s="4" t="n">
        <x:f>'SUPUESTOS PRECIOS'!$B$8</x:f>
        <x:v>0.00968</x:v>
      </x:c>
      <x:c r="X886" s="4" t="n">
        <x:f>'SUPUESTOS PRECIOS'!$B$2</x:f>
        <x:v>0.4</x:v>
      </x:c>
      <x:c r="Y886" s="3" t="str">
        <x:f t="shared" si="53"/>
      </x:c>
      <x:c r="Z886" s="3" t="str">
        <x:f t="shared" si="54"/>
      </x:c>
      <x:c r="AA886" s="11" t="str">
        <x:f t="shared" si="55"/>
      </x:c>
    </x:row>
    <x:row r="887">
      <x:c r="A887" s="10" t="s">
        <x:v>2010</x:v>
      </x:c>
      <x:c r="F887" t="s">
        <x:v>1358</x:v>
      </x:c>
      <x:c r="K887">
        <x:v>1</x:v>
      </x:c>
      <x:c r="L887" t="str">
        <x:f t="shared" si="52"/>
      </x:c>
      <x:c r="O887" t="s">
        <x:v>38</x:v>
      </x:c>
      <x:c r="T887" s="2" t="n">
        <x:f>'SUPUESTOS PRECIOS'!$B$9</x:f>
        <x:v>0</x:v>
      </x:c>
      <x:c r="U887" s="3" t="n">
        <x:f>'SUPUESTOS PRECIOS'!$B$5/'SUPUESTOS PRECIOS'!$B$4</x:f>
        <x:v>1000</x:v>
      </x:c>
      <x:c r="V887" s="3" t="n">
        <x:f>('SUPUESTOS PRECIOS'!$B$6-'SUPUESTOS PRECIOS'!$B$7)/'SUPUESTOS PRECIOS'!$B$4</x:f>
        <x:v>377.5</x:v>
      </x:c>
      <x:c r="W887" s="4" t="n">
        <x:f>'SUPUESTOS PRECIOS'!$B$8</x:f>
        <x:v>0.00968</x:v>
      </x:c>
      <x:c r="X887" s="4" t="n">
        <x:f>'SUPUESTOS PRECIOS'!$B$2</x:f>
        <x:v>0.4</x:v>
      </x:c>
      <x:c r="Y887" s="3" t="str">
        <x:f t="shared" si="53"/>
      </x:c>
      <x:c r="Z887" s="3" t="str">
        <x:f t="shared" si="54"/>
      </x:c>
      <x:c r="AA887" s="11" t="str">
        <x:f t="shared" si="55"/>
      </x:c>
    </x:row>
    <x:row r="888">
      <x:c r="A888" s="10" t="s">
        <x:v>2011</x:v>
      </x:c>
      <x:c r="F888" t="s">
        <x:v>1358</x:v>
      </x:c>
      <x:c r="K888">
        <x:v>1</x:v>
      </x:c>
      <x:c r="L888" t="str">
        <x:f t="shared" si="52"/>
      </x:c>
      <x:c r="O888" t="s">
        <x:v>38</x:v>
      </x:c>
      <x:c r="T888" s="2" t="n">
        <x:f>'SUPUESTOS PRECIOS'!$B$9</x:f>
        <x:v>0</x:v>
      </x:c>
      <x:c r="U888" s="3" t="n">
        <x:f>'SUPUESTOS PRECIOS'!$B$5/'SUPUESTOS PRECIOS'!$B$4</x:f>
        <x:v>1000</x:v>
      </x:c>
      <x:c r="V888" s="3" t="n">
        <x:f>('SUPUESTOS PRECIOS'!$B$6-'SUPUESTOS PRECIOS'!$B$7)/'SUPUESTOS PRECIOS'!$B$4</x:f>
        <x:v>377.5</x:v>
      </x:c>
      <x:c r="W888" s="4" t="n">
        <x:f>'SUPUESTOS PRECIOS'!$B$8</x:f>
        <x:v>0.00968</x:v>
      </x:c>
      <x:c r="X888" s="4" t="n">
        <x:f>'SUPUESTOS PRECIOS'!$B$2</x:f>
        <x:v>0.4</x:v>
      </x:c>
      <x:c r="Y888" s="3" t="str">
        <x:f t="shared" si="53"/>
      </x:c>
      <x:c r="Z888" s="3" t="str">
        <x:f t="shared" si="54"/>
      </x:c>
      <x:c r="AA888" s="11" t="str">
        <x:f t="shared" si="55"/>
      </x:c>
    </x:row>
    <x:row r="889">
      <x:c r="A889" s="10" t="s">
        <x:v>2012</x:v>
      </x:c>
      <x:c r="F889" t="s">
        <x:v>1358</x:v>
      </x:c>
      <x:c r="K889">
        <x:v>1</x:v>
      </x:c>
      <x:c r="L889" t="str">
        <x:f t="shared" si="52"/>
      </x:c>
      <x:c r="O889" t="s">
        <x:v>38</x:v>
      </x:c>
      <x:c r="T889" s="2" t="n">
        <x:f>'SUPUESTOS PRECIOS'!$B$9</x:f>
        <x:v>0</x:v>
      </x:c>
      <x:c r="U889" s="3" t="n">
        <x:f>'SUPUESTOS PRECIOS'!$B$5/'SUPUESTOS PRECIOS'!$B$4</x:f>
        <x:v>1000</x:v>
      </x:c>
      <x:c r="V889" s="3" t="n">
        <x:f>('SUPUESTOS PRECIOS'!$B$6-'SUPUESTOS PRECIOS'!$B$7)/'SUPUESTOS PRECIOS'!$B$4</x:f>
        <x:v>377.5</x:v>
      </x:c>
      <x:c r="W889" s="4" t="n">
        <x:f>'SUPUESTOS PRECIOS'!$B$8</x:f>
        <x:v>0.00968</x:v>
      </x:c>
      <x:c r="X889" s="4" t="n">
        <x:f>'SUPUESTOS PRECIOS'!$B$2</x:f>
        <x:v>0.4</x:v>
      </x:c>
      <x:c r="Y889" s="3" t="str">
        <x:f t="shared" si="53"/>
      </x:c>
      <x:c r="Z889" s="3" t="str">
        <x:f t="shared" si="54"/>
      </x:c>
      <x:c r="AA889" s="11" t="str">
        <x:f t="shared" si="55"/>
      </x:c>
    </x:row>
    <x:row r="890">
      <x:c r="A890" s="10" t="s">
        <x:v>2013</x:v>
      </x:c>
      <x:c r="F890" t="s">
        <x:v>1358</x:v>
      </x:c>
      <x:c r="K890">
        <x:v>1</x:v>
      </x:c>
      <x:c r="L890" t="str">
        <x:f t="shared" si="52"/>
      </x:c>
      <x:c r="O890" t="s">
        <x:v>38</x:v>
      </x:c>
      <x:c r="T890" s="2" t="n">
        <x:f>'SUPUESTOS PRECIOS'!$B$9</x:f>
        <x:v>0</x:v>
      </x:c>
      <x:c r="U890" s="3" t="n">
        <x:f>'SUPUESTOS PRECIOS'!$B$5/'SUPUESTOS PRECIOS'!$B$4</x:f>
        <x:v>1000</x:v>
      </x:c>
      <x:c r="V890" s="3" t="n">
        <x:f>('SUPUESTOS PRECIOS'!$B$6-'SUPUESTOS PRECIOS'!$B$7)/'SUPUESTOS PRECIOS'!$B$4</x:f>
        <x:v>377.5</x:v>
      </x:c>
      <x:c r="W890" s="4" t="n">
        <x:f>'SUPUESTOS PRECIOS'!$B$8</x:f>
        <x:v>0.00968</x:v>
      </x:c>
      <x:c r="X890" s="4" t="n">
        <x:f>'SUPUESTOS PRECIOS'!$B$2</x:f>
        <x:v>0.4</x:v>
      </x:c>
      <x:c r="Y890" s="3" t="str">
        <x:f t="shared" si="53"/>
      </x:c>
      <x:c r="Z890" s="3" t="str">
        <x:f t="shared" si="54"/>
      </x:c>
      <x:c r="AA890" s="11" t="str">
        <x:f t="shared" si="55"/>
      </x:c>
    </x:row>
    <x:row r="891">
      <x:c r="A891" s="10" t="s">
        <x:v>2014</x:v>
      </x:c>
      <x:c r="F891" t="s">
        <x:v>1358</x:v>
      </x:c>
      <x:c r="K891">
        <x:v>1</x:v>
      </x:c>
      <x:c r="L891" t="str">
        <x:f t="shared" si="52"/>
      </x:c>
      <x:c r="O891" t="s">
        <x:v>38</x:v>
      </x:c>
      <x:c r="T891" s="2" t="n">
        <x:f>'SUPUESTOS PRECIOS'!$B$9</x:f>
        <x:v>0</x:v>
      </x:c>
      <x:c r="U891" s="3" t="n">
        <x:f>'SUPUESTOS PRECIOS'!$B$5/'SUPUESTOS PRECIOS'!$B$4</x:f>
        <x:v>1000</x:v>
      </x:c>
      <x:c r="V891" s="3" t="n">
        <x:f>('SUPUESTOS PRECIOS'!$B$6-'SUPUESTOS PRECIOS'!$B$7)/'SUPUESTOS PRECIOS'!$B$4</x:f>
        <x:v>377.5</x:v>
      </x:c>
      <x:c r="W891" s="4" t="n">
        <x:f>'SUPUESTOS PRECIOS'!$B$8</x:f>
        <x:v>0.00968</x:v>
      </x:c>
      <x:c r="X891" s="4" t="n">
        <x:f>'SUPUESTOS PRECIOS'!$B$2</x:f>
        <x:v>0.4</x:v>
      </x:c>
      <x:c r="Y891" s="3" t="str">
        <x:f t="shared" si="53"/>
      </x:c>
      <x:c r="Z891" s="3" t="str">
        <x:f t="shared" si="54"/>
      </x:c>
      <x:c r="AA891" s="11" t="str">
        <x:f t="shared" si="55"/>
      </x:c>
    </x:row>
    <x:row r="892">
      <x:c r="A892" s="10" t="s">
        <x:v>2015</x:v>
      </x:c>
      <x:c r="F892" t="s">
        <x:v>1358</x:v>
      </x:c>
      <x:c r="K892">
        <x:v>1</x:v>
      </x:c>
      <x:c r="L892" t="str">
        <x:f t="shared" si="52"/>
      </x:c>
      <x:c r="O892" t="s">
        <x:v>38</x:v>
      </x:c>
      <x:c r="T892" s="2" t="n">
        <x:f>'SUPUESTOS PRECIOS'!$B$9</x:f>
        <x:v>0</x:v>
      </x:c>
      <x:c r="U892" s="3" t="n">
        <x:f>'SUPUESTOS PRECIOS'!$B$5/'SUPUESTOS PRECIOS'!$B$4</x:f>
        <x:v>1000</x:v>
      </x:c>
      <x:c r="V892" s="3" t="n">
        <x:f>('SUPUESTOS PRECIOS'!$B$6-'SUPUESTOS PRECIOS'!$B$7)/'SUPUESTOS PRECIOS'!$B$4</x:f>
        <x:v>377.5</x:v>
      </x:c>
      <x:c r="W892" s="4" t="n">
        <x:f>'SUPUESTOS PRECIOS'!$B$8</x:f>
        <x:v>0.00968</x:v>
      </x:c>
      <x:c r="X892" s="4" t="n">
        <x:f>'SUPUESTOS PRECIOS'!$B$2</x:f>
        <x:v>0.4</x:v>
      </x:c>
      <x:c r="Y892" s="3" t="str">
        <x:f t="shared" si="53"/>
      </x:c>
      <x:c r="Z892" s="3" t="str">
        <x:f t="shared" si="54"/>
      </x:c>
      <x:c r="AA892" s="11" t="str">
        <x:f t="shared" si="55"/>
      </x:c>
    </x:row>
    <x:row r="893">
      <x:c r="A893" s="10" t="s">
        <x:v>2016</x:v>
      </x:c>
      <x:c r="F893" t="s">
        <x:v>1358</x:v>
      </x:c>
      <x:c r="K893">
        <x:v>1</x:v>
      </x:c>
      <x:c r="L893" t="str">
        <x:f t="shared" si="52"/>
      </x:c>
      <x:c r="O893" t="s">
        <x:v>38</x:v>
      </x:c>
      <x:c r="T893" s="2" t="n">
        <x:f>'SUPUESTOS PRECIOS'!$B$9</x:f>
        <x:v>0</x:v>
      </x:c>
      <x:c r="U893" s="3" t="n">
        <x:f>'SUPUESTOS PRECIOS'!$B$5/'SUPUESTOS PRECIOS'!$B$4</x:f>
        <x:v>1000</x:v>
      </x:c>
      <x:c r="V893" s="3" t="n">
        <x:f>('SUPUESTOS PRECIOS'!$B$6-'SUPUESTOS PRECIOS'!$B$7)/'SUPUESTOS PRECIOS'!$B$4</x:f>
        <x:v>377.5</x:v>
      </x:c>
      <x:c r="W893" s="4" t="n">
        <x:f>'SUPUESTOS PRECIOS'!$B$8</x:f>
        <x:v>0.00968</x:v>
      </x:c>
      <x:c r="X893" s="4" t="n">
        <x:f>'SUPUESTOS PRECIOS'!$B$2</x:f>
        <x:v>0.4</x:v>
      </x:c>
      <x:c r="Y893" s="3" t="str">
        <x:f t="shared" si="53"/>
      </x:c>
      <x:c r="Z893" s="3" t="str">
        <x:f t="shared" si="54"/>
      </x:c>
      <x:c r="AA893" s="11" t="str">
        <x:f t="shared" si="55"/>
      </x:c>
    </x:row>
    <x:row r="894">
      <x:c r="A894" s="10" t="s">
        <x:v>2017</x:v>
      </x:c>
      <x:c r="F894" t="s">
        <x:v>1358</x:v>
      </x:c>
      <x:c r="K894">
        <x:v>1</x:v>
      </x:c>
      <x:c r="L894" t="str">
        <x:f t="shared" si="52"/>
      </x:c>
      <x:c r="O894" t="s">
        <x:v>38</x:v>
      </x:c>
      <x:c r="T894" s="2" t="n">
        <x:f>'SUPUESTOS PRECIOS'!$B$9</x:f>
        <x:v>0</x:v>
      </x:c>
      <x:c r="U894" s="3" t="n">
        <x:f>'SUPUESTOS PRECIOS'!$B$5/'SUPUESTOS PRECIOS'!$B$4</x:f>
        <x:v>1000</x:v>
      </x:c>
      <x:c r="V894" s="3" t="n">
        <x:f>('SUPUESTOS PRECIOS'!$B$6-'SUPUESTOS PRECIOS'!$B$7)/'SUPUESTOS PRECIOS'!$B$4</x:f>
        <x:v>377.5</x:v>
      </x:c>
      <x:c r="W894" s="4" t="n">
        <x:f>'SUPUESTOS PRECIOS'!$B$8</x:f>
        <x:v>0.00968</x:v>
      </x:c>
      <x:c r="X894" s="4" t="n">
        <x:f>'SUPUESTOS PRECIOS'!$B$2</x:f>
        <x:v>0.4</x:v>
      </x:c>
      <x:c r="Y894" s="3" t="str">
        <x:f t="shared" si="53"/>
      </x:c>
      <x:c r="Z894" s="3" t="str">
        <x:f t="shared" si="54"/>
      </x:c>
      <x:c r="AA894" s="11" t="str">
        <x:f t="shared" si="55"/>
      </x:c>
    </x:row>
    <x:row r="895">
      <x:c r="A895" s="10" t="s">
        <x:v>2018</x:v>
      </x:c>
      <x:c r="F895" t="s">
        <x:v>1358</x:v>
      </x:c>
      <x:c r="K895">
        <x:v>1</x:v>
      </x:c>
      <x:c r="L895" t="str">
        <x:f t="shared" si="52"/>
      </x:c>
      <x:c r="O895" t="s">
        <x:v>38</x:v>
      </x:c>
      <x:c r="T895" s="2" t="n">
        <x:f>'SUPUESTOS PRECIOS'!$B$9</x:f>
        <x:v>0</x:v>
      </x:c>
      <x:c r="U895" s="3" t="n">
        <x:f>'SUPUESTOS PRECIOS'!$B$5/'SUPUESTOS PRECIOS'!$B$4</x:f>
        <x:v>1000</x:v>
      </x:c>
      <x:c r="V895" s="3" t="n">
        <x:f>('SUPUESTOS PRECIOS'!$B$6-'SUPUESTOS PRECIOS'!$B$7)/'SUPUESTOS PRECIOS'!$B$4</x:f>
        <x:v>377.5</x:v>
      </x:c>
      <x:c r="W895" s="4" t="n">
        <x:f>'SUPUESTOS PRECIOS'!$B$8</x:f>
        <x:v>0.00968</x:v>
      </x:c>
      <x:c r="X895" s="4" t="n">
        <x:f>'SUPUESTOS PRECIOS'!$B$2</x:f>
        <x:v>0.4</x:v>
      </x:c>
      <x:c r="Y895" s="3" t="str">
        <x:f t="shared" si="53"/>
      </x:c>
      <x:c r="Z895" s="3" t="str">
        <x:f t="shared" si="54"/>
      </x:c>
      <x:c r="AA895" s="11" t="str">
        <x:f t="shared" si="55"/>
      </x:c>
    </x:row>
    <x:row r="896">
      <x:c r="A896" s="10" t="s">
        <x:v>2019</x:v>
      </x:c>
      <x:c r="F896" t="s">
        <x:v>1358</x:v>
      </x:c>
      <x:c r="K896">
        <x:v>1</x:v>
      </x:c>
      <x:c r="L896" t="str">
        <x:f t="shared" si="52"/>
      </x:c>
      <x:c r="O896" t="s">
        <x:v>38</x:v>
      </x:c>
      <x:c r="T896" s="2" t="n">
        <x:f>'SUPUESTOS PRECIOS'!$B$9</x:f>
        <x:v>0</x:v>
      </x:c>
      <x:c r="U896" s="3" t="n">
        <x:f>'SUPUESTOS PRECIOS'!$B$5/'SUPUESTOS PRECIOS'!$B$4</x:f>
        <x:v>1000</x:v>
      </x:c>
      <x:c r="V896" s="3" t="n">
        <x:f>('SUPUESTOS PRECIOS'!$B$6-'SUPUESTOS PRECIOS'!$B$7)/'SUPUESTOS PRECIOS'!$B$4</x:f>
        <x:v>377.5</x:v>
      </x:c>
      <x:c r="W896" s="4" t="n">
        <x:f>'SUPUESTOS PRECIOS'!$B$8</x:f>
        <x:v>0.00968</x:v>
      </x:c>
      <x:c r="X896" s="4" t="n">
        <x:f>'SUPUESTOS PRECIOS'!$B$2</x:f>
        <x:v>0.4</x:v>
      </x:c>
      <x:c r="Y896" s="3" t="str">
        <x:f t="shared" si="53"/>
      </x:c>
      <x:c r="Z896" s="3" t="str">
        <x:f t="shared" si="54"/>
      </x:c>
      <x:c r="AA896" s="11" t="str">
        <x:f t="shared" si="55"/>
      </x:c>
    </x:row>
    <x:row r="897">
      <x:c r="A897" s="10" t="s">
        <x:v>2020</x:v>
      </x:c>
      <x:c r="F897" t="s">
        <x:v>1358</x:v>
      </x:c>
      <x:c r="K897">
        <x:v>1</x:v>
      </x:c>
      <x:c r="L897" t="str">
        <x:f t="shared" si="52"/>
      </x:c>
      <x:c r="O897" t="s">
        <x:v>38</x:v>
      </x:c>
      <x:c r="T897" s="2" t="n">
        <x:f>'SUPUESTOS PRECIOS'!$B$9</x:f>
        <x:v>0</x:v>
      </x:c>
      <x:c r="U897" s="3" t="n">
        <x:f>'SUPUESTOS PRECIOS'!$B$5/'SUPUESTOS PRECIOS'!$B$4</x:f>
        <x:v>1000</x:v>
      </x:c>
      <x:c r="V897" s="3" t="n">
        <x:f>('SUPUESTOS PRECIOS'!$B$6-'SUPUESTOS PRECIOS'!$B$7)/'SUPUESTOS PRECIOS'!$B$4</x:f>
        <x:v>377.5</x:v>
      </x:c>
      <x:c r="W897" s="4" t="n">
        <x:f>'SUPUESTOS PRECIOS'!$B$8</x:f>
        <x:v>0.00968</x:v>
      </x:c>
      <x:c r="X897" s="4" t="n">
        <x:f>'SUPUESTOS PRECIOS'!$B$2</x:f>
        <x:v>0.4</x:v>
      </x:c>
      <x:c r="Y897" s="3" t="str">
        <x:f t="shared" si="53"/>
      </x:c>
      <x:c r="Z897" s="3" t="str">
        <x:f t="shared" si="54"/>
      </x:c>
      <x:c r="AA897" s="11" t="str">
        <x:f t="shared" si="55"/>
      </x:c>
    </x:row>
    <x:row r="898">
      <x:c r="A898" s="10" t="s">
        <x:v>2021</x:v>
      </x:c>
      <x:c r="F898" t="s">
        <x:v>1358</x:v>
      </x:c>
      <x:c r="K898">
        <x:v>1</x:v>
      </x:c>
      <x:c r="L898" t="str">
        <x:f t="shared" ref="L898:L961" si="56">IF(J898="","",J898*(1+K898))</x:f>
      </x:c>
      <x:c r="O898" t="s">
        <x:v>38</x:v>
      </x:c>
      <x:c r="T898" s="2" t="n">
        <x:f>'SUPUESTOS PRECIOS'!$B$9</x:f>
        <x:v>0</x:v>
      </x:c>
      <x:c r="U898" s="3" t="n">
        <x:f>'SUPUESTOS PRECIOS'!$B$5/'SUPUESTOS PRECIOS'!$B$4</x:f>
        <x:v>1000</x:v>
      </x:c>
      <x:c r="V898" s="3" t="n">
        <x:f>('SUPUESTOS PRECIOS'!$B$6-'SUPUESTOS PRECIOS'!$B$7)/'SUPUESTOS PRECIOS'!$B$4</x:f>
        <x:v>377.5</x:v>
      </x:c>
      <x:c r="W898" s="4" t="n">
        <x:f>'SUPUESTOS PRECIOS'!$B$8</x:f>
        <x:v>0.00968</x:v>
      </x:c>
      <x:c r="X898" s="4" t="n">
        <x:f>'SUPUESTOS PRECIOS'!$B$2</x:f>
        <x:v>0.4</x:v>
      </x:c>
      <x:c r="Y898" s="3" t="str">
        <x:f t="shared" ref="Y898:Y961" si="57">IF(OR($B898="",$J898=""),"",ROUND(($J898+$T898+$U898+$V898)/(1-$W898-$X898),-1))</x:f>
      </x:c>
      <x:c r="Z898" s="3" t="str">
        <x:f t="shared" ref="Z898:Z961" si="58">IF($Y898="","",$Y898-$J898-$T898-$U898-$V898-($Y898*$W898))</x:f>
      </x:c>
      <x:c r="AA898" s="11" t="str">
        <x:f t="shared" ref="AA898:AA961" si="59">IF($Y898="","",$Z898/$Y898)</x:f>
      </x:c>
    </x:row>
    <x:row r="899">
      <x:c r="A899" s="10" t="s">
        <x:v>2022</x:v>
      </x:c>
      <x:c r="F899" t="s">
        <x:v>1358</x:v>
      </x:c>
      <x:c r="K899">
        <x:v>1</x:v>
      </x:c>
      <x:c r="L899" t="str">
        <x:f t="shared" si="56"/>
      </x:c>
      <x:c r="O899" t="s">
        <x:v>38</x:v>
      </x:c>
      <x:c r="T899" s="2" t="n">
        <x:f>'SUPUESTOS PRECIOS'!$B$9</x:f>
        <x:v>0</x:v>
      </x:c>
      <x:c r="U899" s="3" t="n">
        <x:f>'SUPUESTOS PRECIOS'!$B$5/'SUPUESTOS PRECIOS'!$B$4</x:f>
        <x:v>1000</x:v>
      </x:c>
      <x:c r="V899" s="3" t="n">
        <x:f>('SUPUESTOS PRECIOS'!$B$6-'SUPUESTOS PRECIOS'!$B$7)/'SUPUESTOS PRECIOS'!$B$4</x:f>
        <x:v>377.5</x:v>
      </x:c>
      <x:c r="W899" s="4" t="n">
        <x:f>'SUPUESTOS PRECIOS'!$B$8</x:f>
        <x:v>0.00968</x:v>
      </x:c>
      <x:c r="X899" s="4" t="n">
        <x:f>'SUPUESTOS PRECIOS'!$B$2</x:f>
        <x:v>0.4</x:v>
      </x:c>
      <x:c r="Y899" s="3" t="str">
        <x:f t="shared" si="57"/>
      </x:c>
      <x:c r="Z899" s="3" t="str">
        <x:f t="shared" si="58"/>
      </x:c>
      <x:c r="AA899" s="11" t="str">
        <x:f t="shared" si="59"/>
      </x:c>
    </x:row>
    <x:row r="900">
      <x:c r="A900" s="10" t="s">
        <x:v>2023</x:v>
      </x:c>
      <x:c r="F900" t="s">
        <x:v>1358</x:v>
      </x:c>
      <x:c r="K900">
        <x:v>1</x:v>
      </x:c>
      <x:c r="L900" t="str">
        <x:f t="shared" si="56"/>
      </x:c>
      <x:c r="O900" t="s">
        <x:v>38</x:v>
      </x:c>
      <x:c r="T900" s="2" t="n">
        <x:f>'SUPUESTOS PRECIOS'!$B$9</x:f>
        <x:v>0</x:v>
      </x:c>
      <x:c r="U900" s="3" t="n">
        <x:f>'SUPUESTOS PRECIOS'!$B$5/'SUPUESTOS PRECIOS'!$B$4</x:f>
        <x:v>1000</x:v>
      </x:c>
      <x:c r="V900" s="3" t="n">
        <x:f>('SUPUESTOS PRECIOS'!$B$6-'SUPUESTOS PRECIOS'!$B$7)/'SUPUESTOS PRECIOS'!$B$4</x:f>
        <x:v>377.5</x:v>
      </x:c>
      <x:c r="W900" s="4" t="n">
        <x:f>'SUPUESTOS PRECIOS'!$B$8</x:f>
        <x:v>0.00968</x:v>
      </x:c>
      <x:c r="X900" s="4" t="n">
        <x:f>'SUPUESTOS PRECIOS'!$B$2</x:f>
        <x:v>0.4</x:v>
      </x:c>
      <x:c r="Y900" s="3" t="str">
        <x:f t="shared" si="57"/>
      </x:c>
      <x:c r="Z900" s="3" t="str">
        <x:f t="shared" si="58"/>
      </x:c>
      <x:c r="AA900" s="11" t="str">
        <x:f t="shared" si="59"/>
      </x:c>
    </x:row>
    <x:row r="901">
      <x:c r="A901" s="10" t="s">
        <x:v>2024</x:v>
      </x:c>
      <x:c r="F901" t="s">
        <x:v>1358</x:v>
      </x:c>
      <x:c r="K901">
        <x:v>1</x:v>
      </x:c>
      <x:c r="L901" t="str">
        <x:f t="shared" si="56"/>
      </x:c>
      <x:c r="O901" t="s">
        <x:v>38</x:v>
      </x:c>
      <x:c r="T901" s="2" t="n">
        <x:f>'SUPUESTOS PRECIOS'!$B$9</x:f>
        <x:v>0</x:v>
      </x:c>
      <x:c r="U901" s="3" t="n">
        <x:f>'SUPUESTOS PRECIOS'!$B$5/'SUPUESTOS PRECIOS'!$B$4</x:f>
        <x:v>1000</x:v>
      </x:c>
      <x:c r="V901" s="3" t="n">
        <x:f>('SUPUESTOS PRECIOS'!$B$6-'SUPUESTOS PRECIOS'!$B$7)/'SUPUESTOS PRECIOS'!$B$4</x:f>
        <x:v>377.5</x:v>
      </x:c>
      <x:c r="W901" s="4" t="n">
        <x:f>'SUPUESTOS PRECIOS'!$B$8</x:f>
        <x:v>0.00968</x:v>
      </x:c>
      <x:c r="X901" s="4" t="n">
        <x:f>'SUPUESTOS PRECIOS'!$B$2</x:f>
        <x:v>0.4</x:v>
      </x:c>
      <x:c r="Y901" s="3" t="str">
        <x:f t="shared" si="57"/>
      </x:c>
      <x:c r="Z901" s="3" t="str">
        <x:f t="shared" si="58"/>
      </x:c>
      <x:c r="AA901" s="11" t="str">
        <x:f t="shared" si="59"/>
      </x:c>
    </x:row>
    <x:row r="902">
      <x:c r="A902" s="10" t="s">
        <x:v>2025</x:v>
      </x:c>
      <x:c r="F902" t="s">
        <x:v>1358</x:v>
      </x:c>
      <x:c r="K902">
        <x:v>1</x:v>
      </x:c>
      <x:c r="L902" t="str">
        <x:f t="shared" si="56"/>
      </x:c>
      <x:c r="O902" t="s">
        <x:v>38</x:v>
      </x:c>
      <x:c r="T902" s="2" t="n">
        <x:f>'SUPUESTOS PRECIOS'!$B$9</x:f>
        <x:v>0</x:v>
      </x:c>
      <x:c r="U902" s="3" t="n">
        <x:f>'SUPUESTOS PRECIOS'!$B$5/'SUPUESTOS PRECIOS'!$B$4</x:f>
        <x:v>1000</x:v>
      </x:c>
      <x:c r="V902" s="3" t="n">
        <x:f>('SUPUESTOS PRECIOS'!$B$6-'SUPUESTOS PRECIOS'!$B$7)/'SUPUESTOS PRECIOS'!$B$4</x:f>
        <x:v>377.5</x:v>
      </x:c>
      <x:c r="W902" s="4" t="n">
        <x:f>'SUPUESTOS PRECIOS'!$B$8</x:f>
        <x:v>0.00968</x:v>
      </x:c>
      <x:c r="X902" s="4" t="n">
        <x:f>'SUPUESTOS PRECIOS'!$B$2</x:f>
        <x:v>0.4</x:v>
      </x:c>
      <x:c r="Y902" s="3" t="str">
        <x:f t="shared" si="57"/>
      </x:c>
      <x:c r="Z902" s="3" t="str">
        <x:f t="shared" si="58"/>
      </x:c>
      <x:c r="AA902" s="11" t="str">
        <x:f t="shared" si="59"/>
      </x:c>
    </x:row>
    <x:row r="903">
      <x:c r="A903" s="10" t="s">
        <x:v>2026</x:v>
      </x:c>
      <x:c r="F903" t="s">
        <x:v>1358</x:v>
      </x:c>
      <x:c r="K903">
        <x:v>1</x:v>
      </x:c>
      <x:c r="L903" t="str">
        <x:f t="shared" si="56"/>
      </x:c>
      <x:c r="O903" t="s">
        <x:v>38</x:v>
      </x:c>
      <x:c r="T903" s="2" t="n">
        <x:f>'SUPUESTOS PRECIOS'!$B$9</x:f>
        <x:v>0</x:v>
      </x:c>
      <x:c r="U903" s="3" t="n">
        <x:f>'SUPUESTOS PRECIOS'!$B$5/'SUPUESTOS PRECIOS'!$B$4</x:f>
        <x:v>1000</x:v>
      </x:c>
      <x:c r="V903" s="3" t="n">
        <x:f>('SUPUESTOS PRECIOS'!$B$6-'SUPUESTOS PRECIOS'!$B$7)/'SUPUESTOS PRECIOS'!$B$4</x:f>
        <x:v>377.5</x:v>
      </x:c>
      <x:c r="W903" s="4" t="n">
        <x:f>'SUPUESTOS PRECIOS'!$B$8</x:f>
        <x:v>0.00968</x:v>
      </x:c>
      <x:c r="X903" s="4" t="n">
        <x:f>'SUPUESTOS PRECIOS'!$B$2</x:f>
        <x:v>0.4</x:v>
      </x:c>
      <x:c r="Y903" s="3" t="str">
        <x:f t="shared" si="57"/>
      </x:c>
      <x:c r="Z903" s="3" t="str">
        <x:f t="shared" si="58"/>
      </x:c>
      <x:c r="AA903" s="11" t="str">
        <x:f t="shared" si="59"/>
      </x:c>
    </x:row>
    <x:row r="904">
      <x:c r="A904" s="10" t="s">
        <x:v>2027</x:v>
      </x:c>
      <x:c r="F904" t="s">
        <x:v>1358</x:v>
      </x:c>
      <x:c r="K904">
        <x:v>1</x:v>
      </x:c>
      <x:c r="L904" t="str">
        <x:f t="shared" si="56"/>
      </x:c>
      <x:c r="O904" t="s">
        <x:v>38</x:v>
      </x:c>
      <x:c r="T904" s="2" t="n">
        <x:f>'SUPUESTOS PRECIOS'!$B$9</x:f>
        <x:v>0</x:v>
      </x:c>
      <x:c r="U904" s="3" t="n">
        <x:f>'SUPUESTOS PRECIOS'!$B$5/'SUPUESTOS PRECIOS'!$B$4</x:f>
        <x:v>1000</x:v>
      </x:c>
      <x:c r="V904" s="3" t="n">
        <x:f>('SUPUESTOS PRECIOS'!$B$6-'SUPUESTOS PRECIOS'!$B$7)/'SUPUESTOS PRECIOS'!$B$4</x:f>
        <x:v>377.5</x:v>
      </x:c>
      <x:c r="W904" s="4" t="n">
        <x:f>'SUPUESTOS PRECIOS'!$B$8</x:f>
        <x:v>0.00968</x:v>
      </x:c>
      <x:c r="X904" s="4" t="n">
        <x:f>'SUPUESTOS PRECIOS'!$B$2</x:f>
        <x:v>0.4</x:v>
      </x:c>
      <x:c r="Y904" s="3" t="str">
        <x:f t="shared" si="57"/>
      </x:c>
      <x:c r="Z904" s="3" t="str">
        <x:f t="shared" si="58"/>
      </x:c>
      <x:c r="AA904" s="11" t="str">
        <x:f t="shared" si="59"/>
      </x:c>
    </x:row>
    <x:row r="905">
      <x:c r="A905" s="10" t="s">
        <x:v>2028</x:v>
      </x:c>
      <x:c r="F905" t="s">
        <x:v>1358</x:v>
      </x:c>
      <x:c r="K905">
        <x:v>1</x:v>
      </x:c>
      <x:c r="L905" t="str">
        <x:f t="shared" si="56"/>
      </x:c>
      <x:c r="O905" t="s">
        <x:v>38</x:v>
      </x:c>
      <x:c r="T905" s="2" t="n">
        <x:f>'SUPUESTOS PRECIOS'!$B$9</x:f>
        <x:v>0</x:v>
      </x:c>
      <x:c r="U905" s="3" t="n">
        <x:f>'SUPUESTOS PRECIOS'!$B$5/'SUPUESTOS PRECIOS'!$B$4</x:f>
        <x:v>1000</x:v>
      </x:c>
      <x:c r="V905" s="3" t="n">
        <x:f>('SUPUESTOS PRECIOS'!$B$6-'SUPUESTOS PRECIOS'!$B$7)/'SUPUESTOS PRECIOS'!$B$4</x:f>
        <x:v>377.5</x:v>
      </x:c>
      <x:c r="W905" s="4" t="n">
        <x:f>'SUPUESTOS PRECIOS'!$B$8</x:f>
        <x:v>0.00968</x:v>
      </x:c>
      <x:c r="X905" s="4" t="n">
        <x:f>'SUPUESTOS PRECIOS'!$B$2</x:f>
        <x:v>0.4</x:v>
      </x:c>
      <x:c r="Y905" s="3" t="str">
        <x:f t="shared" si="57"/>
      </x:c>
      <x:c r="Z905" s="3" t="str">
        <x:f t="shared" si="58"/>
      </x:c>
      <x:c r="AA905" s="11" t="str">
        <x:f t="shared" si="59"/>
      </x:c>
    </x:row>
    <x:row r="906">
      <x:c r="A906" s="10" t="s">
        <x:v>2029</x:v>
      </x:c>
      <x:c r="F906" t="s">
        <x:v>1358</x:v>
      </x:c>
      <x:c r="K906">
        <x:v>1</x:v>
      </x:c>
      <x:c r="L906" t="str">
        <x:f t="shared" si="56"/>
      </x:c>
      <x:c r="O906" t="s">
        <x:v>38</x:v>
      </x:c>
      <x:c r="T906" s="2" t="n">
        <x:f>'SUPUESTOS PRECIOS'!$B$9</x:f>
        <x:v>0</x:v>
      </x:c>
      <x:c r="U906" s="3" t="n">
        <x:f>'SUPUESTOS PRECIOS'!$B$5/'SUPUESTOS PRECIOS'!$B$4</x:f>
        <x:v>1000</x:v>
      </x:c>
      <x:c r="V906" s="3" t="n">
        <x:f>('SUPUESTOS PRECIOS'!$B$6-'SUPUESTOS PRECIOS'!$B$7)/'SUPUESTOS PRECIOS'!$B$4</x:f>
        <x:v>377.5</x:v>
      </x:c>
      <x:c r="W906" s="4" t="n">
        <x:f>'SUPUESTOS PRECIOS'!$B$8</x:f>
        <x:v>0.00968</x:v>
      </x:c>
      <x:c r="X906" s="4" t="n">
        <x:f>'SUPUESTOS PRECIOS'!$B$2</x:f>
        <x:v>0.4</x:v>
      </x:c>
      <x:c r="Y906" s="3" t="str">
        <x:f t="shared" si="57"/>
      </x:c>
      <x:c r="Z906" s="3" t="str">
        <x:f t="shared" si="58"/>
      </x:c>
      <x:c r="AA906" s="11" t="str">
        <x:f t="shared" si="59"/>
      </x:c>
    </x:row>
    <x:row r="907">
      <x:c r="A907" s="10" t="s">
        <x:v>2030</x:v>
      </x:c>
      <x:c r="F907" t="s">
        <x:v>1358</x:v>
      </x:c>
      <x:c r="K907">
        <x:v>1</x:v>
      </x:c>
      <x:c r="L907" t="str">
        <x:f t="shared" si="56"/>
      </x:c>
      <x:c r="O907" t="s">
        <x:v>38</x:v>
      </x:c>
      <x:c r="T907" s="2" t="n">
        <x:f>'SUPUESTOS PRECIOS'!$B$9</x:f>
        <x:v>0</x:v>
      </x:c>
      <x:c r="U907" s="3" t="n">
        <x:f>'SUPUESTOS PRECIOS'!$B$5/'SUPUESTOS PRECIOS'!$B$4</x:f>
        <x:v>1000</x:v>
      </x:c>
      <x:c r="V907" s="3" t="n">
        <x:f>('SUPUESTOS PRECIOS'!$B$6-'SUPUESTOS PRECIOS'!$B$7)/'SUPUESTOS PRECIOS'!$B$4</x:f>
        <x:v>377.5</x:v>
      </x:c>
      <x:c r="W907" s="4" t="n">
        <x:f>'SUPUESTOS PRECIOS'!$B$8</x:f>
        <x:v>0.00968</x:v>
      </x:c>
      <x:c r="X907" s="4" t="n">
        <x:f>'SUPUESTOS PRECIOS'!$B$2</x:f>
        <x:v>0.4</x:v>
      </x:c>
      <x:c r="Y907" s="3" t="str">
        <x:f t="shared" si="57"/>
      </x:c>
      <x:c r="Z907" s="3" t="str">
        <x:f t="shared" si="58"/>
      </x:c>
      <x:c r="AA907" s="11" t="str">
        <x:f t="shared" si="59"/>
      </x:c>
    </x:row>
    <x:row r="908">
      <x:c r="A908" s="10" t="s">
        <x:v>2031</x:v>
      </x:c>
      <x:c r="F908" t="s">
        <x:v>1358</x:v>
      </x:c>
      <x:c r="K908">
        <x:v>1</x:v>
      </x:c>
      <x:c r="L908" t="str">
        <x:f t="shared" si="56"/>
      </x:c>
      <x:c r="O908" t="s">
        <x:v>38</x:v>
      </x:c>
      <x:c r="T908" s="2" t="n">
        <x:f>'SUPUESTOS PRECIOS'!$B$9</x:f>
        <x:v>0</x:v>
      </x:c>
      <x:c r="U908" s="3" t="n">
        <x:f>'SUPUESTOS PRECIOS'!$B$5/'SUPUESTOS PRECIOS'!$B$4</x:f>
        <x:v>1000</x:v>
      </x:c>
      <x:c r="V908" s="3" t="n">
        <x:f>('SUPUESTOS PRECIOS'!$B$6-'SUPUESTOS PRECIOS'!$B$7)/'SUPUESTOS PRECIOS'!$B$4</x:f>
        <x:v>377.5</x:v>
      </x:c>
      <x:c r="W908" s="4" t="n">
        <x:f>'SUPUESTOS PRECIOS'!$B$8</x:f>
        <x:v>0.00968</x:v>
      </x:c>
      <x:c r="X908" s="4" t="n">
        <x:f>'SUPUESTOS PRECIOS'!$B$2</x:f>
        <x:v>0.4</x:v>
      </x:c>
      <x:c r="Y908" s="3" t="str">
        <x:f t="shared" si="57"/>
      </x:c>
      <x:c r="Z908" s="3" t="str">
        <x:f t="shared" si="58"/>
      </x:c>
      <x:c r="AA908" s="11" t="str">
        <x:f t="shared" si="59"/>
      </x:c>
    </x:row>
    <x:row r="909">
      <x:c r="A909" s="10" t="s">
        <x:v>2032</x:v>
      </x:c>
      <x:c r="F909" t="s">
        <x:v>1358</x:v>
      </x:c>
      <x:c r="K909">
        <x:v>1</x:v>
      </x:c>
      <x:c r="L909" t="str">
        <x:f t="shared" si="56"/>
      </x:c>
      <x:c r="O909" t="s">
        <x:v>38</x:v>
      </x:c>
      <x:c r="T909" s="2" t="n">
        <x:f>'SUPUESTOS PRECIOS'!$B$9</x:f>
        <x:v>0</x:v>
      </x:c>
      <x:c r="U909" s="3" t="n">
        <x:f>'SUPUESTOS PRECIOS'!$B$5/'SUPUESTOS PRECIOS'!$B$4</x:f>
        <x:v>1000</x:v>
      </x:c>
      <x:c r="V909" s="3" t="n">
        <x:f>('SUPUESTOS PRECIOS'!$B$6-'SUPUESTOS PRECIOS'!$B$7)/'SUPUESTOS PRECIOS'!$B$4</x:f>
        <x:v>377.5</x:v>
      </x:c>
      <x:c r="W909" s="4" t="n">
        <x:f>'SUPUESTOS PRECIOS'!$B$8</x:f>
        <x:v>0.00968</x:v>
      </x:c>
      <x:c r="X909" s="4" t="n">
        <x:f>'SUPUESTOS PRECIOS'!$B$2</x:f>
        <x:v>0.4</x:v>
      </x:c>
      <x:c r="Y909" s="3" t="str">
        <x:f t="shared" si="57"/>
      </x:c>
      <x:c r="Z909" s="3" t="str">
        <x:f t="shared" si="58"/>
      </x:c>
      <x:c r="AA909" s="11" t="str">
        <x:f t="shared" si="59"/>
      </x:c>
    </x:row>
    <x:row r="910">
      <x:c r="A910" s="10" t="s">
        <x:v>2033</x:v>
      </x:c>
      <x:c r="F910" t="s">
        <x:v>1358</x:v>
      </x:c>
      <x:c r="K910">
        <x:v>1</x:v>
      </x:c>
      <x:c r="L910" t="str">
        <x:f t="shared" si="56"/>
      </x:c>
      <x:c r="O910" t="s">
        <x:v>38</x:v>
      </x:c>
      <x:c r="T910" s="2" t="n">
        <x:f>'SUPUESTOS PRECIOS'!$B$9</x:f>
        <x:v>0</x:v>
      </x:c>
      <x:c r="U910" s="3" t="n">
        <x:f>'SUPUESTOS PRECIOS'!$B$5/'SUPUESTOS PRECIOS'!$B$4</x:f>
        <x:v>1000</x:v>
      </x:c>
      <x:c r="V910" s="3" t="n">
        <x:f>('SUPUESTOS PRECIOS'!$B$6-'SUPUESTOS PRECIOS'!$B$7)/'SUPUESTOS PRECIOS'!$B$4</x:f>
        <x:v>377.5</x:v>
      </x:c>
      <x:c r="W910" s="4" t="n">
        <x:f>'SUPUESTOS PRECIOS'!$B$8</x:f>
        <x:v>0.00968</x:v>
      </x:c>
      <x:c r="X910" s="4" t="n">
        <x:f>'SUPUESTOS PRECIOS'!$B$2</x:f>
        <x:v>0.4</x:v>
      </x:c>
      <x:c r="Y910" s="3" t="str">
        <x:f t="shared" si="57"/>
      </x:c>
      <x:c r="Z910" s="3" t="str">
        <x:f t="shared" si="58"/>
      </x:c>
      <x:c r="AA910" s="11" t="str">
        <x:f t="shared" si="59"/>
      </x:c>
    </x:row>
    <x:row r="911">
      <x:c r="A911" s="10" t="s">
        <x:v>2034</x:v>
      </x:c>
      <x:c r="F911" t="s">
        <x:v>1358</x:v>
      </x:c>
      <x:c r="K911">
        <x:v>1</x:v>
      </x:c>
      <x:c r="L911" t="str">
        <x:f t="shared" si="56"/>
      </x:c>
      <x:c r="O911" t="s">
        <x:v>38</x:v>
      </x:c>
      <x:c r="T911" s="2" t="n">
        <x:f>'SUPUESTOS PRECIOS'!$B$9</x:f>
        <x:v>0</x:v>
      </x:c>
      <x:c r="U911" s="3" t="n">
        <x:f>'SUPUESTOS PRECIOS'!$B$5/'SUPUESTOS PRECIOS'!$B$4</x:f>
        <x:v>1000</x:v>
      </x:c>
      <x:c r="V911" s="3" t="n">
        <x:f>('SUPUESTOS PRECIOS'!$B$6-'SUPUESTOS PRECIOS'!$B$7)/'SUPUESTOS PRECIOS'!$B$4</x:f>
        <x:v>377.5</x:v>
      </x:c>
      <x:c r="W911" s="4" t="n">
        <x:f>'SUPUESTOS PRECIOS'!$B$8</x:f>
        <x:v>0.00968</x:v>
      </x:c>
      <x:c r="X911" s="4" t="n">
        <x:f>'SUPUESTOS PRECIOS'!$B$2</x:f>
        <x:v>0.4</x:v>
      </x:c>
      <x:c r="Y911" s="3" t="str">
        <x:f t="shared" si="57"/>
      </x:c>
      <x:c r="Z911" s="3" t="str">
        <x:f t="shared" si="58"/>
      </x:c>
      <x:c r="AA911" s="11" t="str">
        <x:f t="shared" si="59"/>
      </x:c>
    </x:row>
    <x:row r="912">
      <x:c r="A912" s="10" t="s">
        <x:v>2035</x:v>
      </x:c>
      <x:c r="F912" t="s">
        <x:v>1358</x:v>
      </x:c>
      <x:c r="K912">
        <x:v>1</x:v>
      </x:c>
      <x:c r="L912" t="str">
        <x:f t="shared" si="56"/>
      </x:c>
      <x:c r="O912" t="s">
        <x:v>38</x:v>
      </x:c>
      <x:c r="T912" s="2" t="n">
        <x:f>'SUPUESTOS PRECIOS'!$B$9</x:f>
        <x:v>0</x:v>
      </x:c>
      <x:c r="U912" s="3" t="n">
        <x:f>'SUPUESTOS PRECIOS'!$B$5/'SUPUESTOS PRECIOS'!$B$4</x:f>
        <x:v>1000</x:v>
      </x:c>
      <x:c r="V912" s="3" t="n">
        <x:f>('SUPUESTOS PRECIOS'!$B$6-'SUPUESTOS PRECIOS'!$B$7)/'SUPUESTOS PRECIOS'!$B$4</x:f>
        <x:v>377.5</x:v>
      </x:c>
      <x:c r="W912" s="4" t="n">
        <x:f>'SUPUESTOS PRECIOS'!$B$8</x:f>
        <x:v>0.00968</x:v>
      </x:c>
      <x:c r="X912" s="4" t="n">
        <x:f>'SUPUESTOS PRECIOS'!$B$2</x:f>
        <x:v>0.4</x:v>
      </x:c>
      <x:c r="Y912" s="3" t="str">
        <x:f t="shared" si="57"/>
      </x:c>
      <x:c r="Z912" s="3" t="str">
        <x:f t="shared" si="58"/>
      </x:c>
      <x:c r="AA912" s="11" t="str">
        <x:f t="shared" si="59"/>
      </x:c>
    </x:row>
    <x:row r="913">
      <x:c r="A913" s="10" t="s">
        <x:v>2036</x:v>
      </x:c>
      <x:c r="F913" t="s">
        <x:v>1358</x:v>
      </x:c>
      <x:c r="K913">
        <x:v>1</x:v>
      </x:c>
      <x:c r="L913" t="str">
        <x:f t="shared" si="56"/>
      </x:c>
      <x:c r="O913" t="s">
        <x:v>38</x:v>
      </x:c>
      <x:c r="T913" s="2" t="n">
        <x:f>'SUPUESTOS PRECIOS'!$B$9</x:f>
        <x:v>0</x:v>
      </x:c>
      <x:c r="U913" s="3" t="n">
        <x:f>'SUPUESTOS PRECIOS'!$B$5/'SUPUESTOS PRECIOS'!$B$4</x:f>
        <x:v>1000</x:v>
      </x:c>
      <x:c r="V913" s="3" t="n">
        <x:f>('SUPUESTOS PRECIOS'!$B$6-'SUPUESTOS PRECIOS'!$B$7)/'SUPUESTOS PRECIOS'!$B$4</x:f>
        <x:v>377.5</x:v>
      </x:c>
      <x:c r="W913" s="4" t="n">
        <x:f>'SUPUESTOS PRECIOS'!$B$8</x:f>
        <x:v>0.00968</x:v>
      </x:c>
      <x:c r="X913" s="4" t="n">
        <x:f>'SUPUESTOS PRECIOS'!$B$2</x:f>
        <x:v>0.4</x:v>
      </x:c>
      <x:c r="Y913" s="3" t="str">
        <x:f t="shared" si="57"/>
      </x:c>
      <x:c r="Z913" s="3" t="str">
        <x:f t="shared" si="58"/>
      </x:c>
      <x:c r="AA913" s="11" t="str">
        <x:f t="shared" si="59"/>
      </x:c>
    </x:row>
    <x:row r="914">
      <x:c r="A914" s="10" t="s">
        <x:v>2037</x:v>
      </x:c>
      <x:c r="F914" t="s">
        <x:v>1358</x:v>
      </x:c>
      <x:c r="K914">
        <x:v>1</x:v>
      </x:c>
      <x:c r="L914" t="str">
        <x:f t="shared" si="56"/>
      </x:c>
      <x:c r="O914" t="s">
        <x:v>38</x:v>
      </x:c>
      <x:c r="T914" s="2" t="n">
        <x:f>'SUPUESTOS PRECIOS'!$B$9</x:f>
        <x:v>0</x:v>
      </x:c>
      <x:c r="U914" s="3" t="n">
        <x:f>'SUPUESTOS PRECIOS'!$B$5/'SUPUESTOS PRECIOS'!$B$4</x:f>
        <x:v>1000</x:v>
      </x:c>
      <x:c r="V914" s="3" t="n">
        <x:f>('SUPUESTOS PRECIOS'!$B$6-'SUPUESTOS PRECIOS'!$B$7)/'SUPUESTOS PRECIOS'!$B$4</x:f>
        <x:v>377.5</x:v>
      </x:c>
      <x:c r="W914" s="4" t="n">
        <x:f>'SUPUESTOS PRECIOS'!$B$8</x:f>
        <x:v>0.00968</x:v>
      </x:c>
      <x:c r="X914" s="4" t="n">
        <x:f>'SUPUESTOS PRECIOS'!$B$2</x:f>
        <x:v>0.4</x:v>
      </x:c>
      <x:c r="Y914" s="3" t="str">
        <x:f t="shared" si="57"/>
      </x:c>
      <x:c r="Z914" s="3" t="str">
        <x:f t="shared" si="58"/>
      </x:c>
      <x:c r="AA914" s="11" t="str">
        <x:f t="shared" si="59"/>
      </x:c>
    </x:row>
    <x:row r="915">
      <x:c r="A915" s="10" t="s">
        <x:v>2038</x:v>
      </x:c>
      <x:c r="F915" t="s">
        <x:v>1358</x:v>
      </x:c>
      <x:c r="K915">
        <x:v>1</x:v>
      </x:c>
      <x:c r="L915" t="str">
        <x:f t="shared" si="56"/>
      </x:c>
      <x:c r="O915" t="s">
        <x:v>38</x:v>
      </x:c>
      <x:c r="T915" s="2" t="n">
        <x:f>'SUPUESTOS PRECIOS'!$B$9</x:f>
        <x:v>0</x:v>
      </x:c>
      <x:c r="U915" s="3" t="n">
        <x:f>'SUPUESTOS PRECIOS'!$B$5/'SUPUESTOS PRECIOS'!$B$4</x:f>
        <x:v>1000</x:v>
      </x:c>
      <x:c r="V915" s="3" t="n">
        <x:f>('SUPUESTOS PRECIOS'!$B$6-'SUPUESTOS PRECIOS'!$B$7)/'SUPUESTOS PRECIOS'!$B$4</x:f>
        <x:v>377.5</x:v>
      </x:c>
      <x:c r="W915" s="4" t="n">
        <x:f>'SUPUESTOS PRECIOS'!$B$8</x:f>
        <x:v>0.00968</x:v>
      </x:c>
      <x:c r="X915" s="4" t="n">
        <x:f>'SUPUESTOS PRECIOS'!$B$2</x:f>
        <x:v>0.4</x:v>
      </x:c>
      <x:c r="Y915" s="3" t="str">
        <x:f t="shared" si="57"/>
      </x:c>
      <x:c r="Z915" s="3" t="str">
        <x:f t="shared" si="58"/>
      </x:c>
      <x:c r="AA915" s="11" t="str">
        <x:f t="shared" si="59"/>
      </x:c>
    </x:row>
    <x:row r="916">
      <x:c r="A916" s="10" t="s">
        <x:v>2039</x:v>
      </x:c>
      <x:c r="F916" t="s">
        <x:v>1358</x:v>
      </x:c>
      <x:c r="K916">
        <x:v>1</x:v>
      </x:c>
      <x:c r="L916" t="str">
        <x:f t="shared" si="56"/>
      </x:c>
      <x:c r="O916" t="s">
        <x:v>38</x:v>
      </x:c>
      <x:c r="T916" s="2" t="n">
        <x:f>'SUPUESTOS PRECIOS'!$B$9</x:f>
        <x:v>0</x:v>
      </x:c>
      <x:c r="U916" s="3" t="n">
        <x:f>'SUPUESTOS PRECIOS'!$B$5/'SUPUESTOS PRECIOS'!$B$4</x:f>
        <x:v>1000</x:v>
      </x:c>
      <x:c r="V916" s="3" t="n">
        <x:f>('SUPUESTOS PRECIOS'!$B$6-'SUPUESTOS PRECIOS'!$B$7)/'SUPUESTOS PRECIOS'!$B$4</x:f>
        <x:v>377.5</x:v>
      </x:c>
      <x:c r="W916" s="4" t="n">
        <x:f>'SUPUESTOS PRECIOS'!$B$8</x:f>
        <x:v>0.00968</x:v>
      </x:c>
      <x:c r="X916" s="4" t="n">
        <x:f>'SUPUESTOS PRECIOS'!$B$2</x:f>
        <x:v>0.4</x:v>
      </x:c>
      <x:c r="Y916" s="3" t="str">
        <x:f t="shared" si="57"/>
      </x:c>
      <x:c r="Z916" s="3" t="str">
        <x:f t="shared" si="58"/>
      </x:c>
      <x:c r="AA916" s="11" t="str">
        <x:f t="shared" si="59"/>
      </x:c>
    </x:row>
    <x:row r="917">
      <x:c r="A917" s="10" t="s">
        <x:v>2040</x:v>
      </x:c>
      <x:c r="F917" t="s">
        <x:v>1358</x:v>
      </x:c>
      <x:c r="K917">
        <x:v>1</x:v>
      </x:c>
      <x:c r="L917" t="str">
        <x:f t="shared" si="56"/>
      </x:c>
      <x:c r="O917" t="s">
        <x:v>38</x:v>
      </x:c>
      <x:c r="T917" s="2" t="n">
        <x:f>'SUPUESTOS PRECIOS'!$B$9</x:f>
        <x:v>0</x:v>
      </x:c>
      <x:c r="U917" s="3" t="n">
        <x:f>'SUPUESTOS PRECIOS'!$B$5/'SUPUESTOS PRECIOS'!$B$4</x:f>
        <x:v>1000</x:v>
      </x:c>
      <x:c r="V917" s="3" t="n">
        <x:f>('SUPUESTOS PRECIOS'!$B$6-'SUPUESTOS PRECIOS'!$B$7)/'SUPUESTOS PRECIOS'!$B$4</x:f>
        <x:v>377.5</x:v>
      </x:c>
      <x:c r="W917" s="4" t="n">
        <x:f>'SUPUESTOS PRECIOS'!$B$8</x:f>
        <x:v>0.00968</x:v>
      </x:c>
      <x:c r="X917" s="4" t="n">
        <x:f>'SUPUESTOS PRECIOS'!$B$2</x:f>
        <x:v>0.4</x:v>
      </x:c>
      <x:c r="Y917" s="3" t="str">
        <x:f t="shared" si="57"/>
      </x:c>
      <x:c r="Z917" s="3" t="str">
        <x:f t="shared" si="58"/>
      </x:c>
      <x:c r="AA917" s="11" t="str">
        <x:f t="shared" si="59"/>
      </x:c>
    </x:row>
    <x:row r="918">
      <x:c r="A918" s="10" t="s">
        <x:v>2041</x:v>
      </x:c>
      <x:c r="F918" t="s">
        <x:v>1358</x:v>
      </x:c>
      <x:c r="K918">
        <x:v>1</x:v>
      </x:c>
      <x:c r="L918" t="str">
        <x:f t="shared" si="56"/>
      </x:c>
      <x:c r="O918" t="s">
        <x:v>38</x:v>
      </x:c>
      <x:c r="T918" s="2" t="n">
        <x:f>'SUPUESTOS PRECIOS'!$B$9</x:f>
        <x:v>0</x:v>
      </x:c>
      <x:c r="U918" s="3" t="n">
        <x:f>'SUPUESTOS PRECIOS'!$B$5/'SUPUESTOS PRECIOS'!$B$4</x:f>
        <x:v>1000</x:v>
      </x:c>
      <x:c r="V918" s="3" t="n">
        <x:f>('SUPUESTOS PRECIOS'!$B$6-'SUPUESTOS PRECIOS'!$B$7)/'SUPUESTOS PRECIOS'!$B$4</x:f>
        <x:v>377.5</x:v>
      </x:c>
      <x:c r="W918" s="4" t="n">
        <x:f>'SUPUESTOS PRECIOS'!$B$8</x:f>
        <x:v>0.00968</x:v>
      </x:c>
      <x:c r="X918" s="4" t="n">
        <x:f>'SUPUESTOS PRECIOS'!$B$2</x:f>
        <x:v>0.4</x:v>
      </x:c>
      <x:c r="Y918" s="3" t="str">
        <x:f t="shared" si="57"/>
      </x:c>
      <x:c r="Z918" s="3" t="str">
        <x:f t="shared" si="58"/>
      </x:c>
      <x:c r="AA918" s="11" t="str">
        <x:f t="shared" si="59"/>
      </x:c>
    </x:row>
    <x:row r="919">
      <x:c r="A919" s="10" t="s">
        <x:v>2042</x:v>
      </x:c>
      <x:c r="F919" t="s">
        <x:v>1358</x:v>
      </x:c>
      <x:c r="K919">
        <x:v>1</x:v>
      </x:c>
      <x:c r="L919" t="str">
        <x:f t="shared" si="56"/>
      </x:c>
      <x:c r="O919" t="s">
        <x:v>38</x:v>
      </x:c>
      <x:c r="T919" s="2" t="n">
        <x:f>'SUPUESTOS PRECIOS'!$B$9</x:f>
        <x:v>0</x:v>
      </x:c>
      <x:c r="U919" s="3" t="n">
        <x:f>'SUPUESTOS PRECIOS'!$B$5/'SUPUESTOS PRECIOS'!$B$4</x:f>
        <x:v>1000</x:v>
      </x:c>
      <x:c r="V919" s="3" t="n">
        <x:f>('SUPUESTOS PRECIOS'!$B$6-'SUPUESTOS PRECIOS'!$B$7)/'SUPUESTOS PRECIOS'!$B$4</x:f>
        <x:v>377.5</x:v>
      </x:c>
      <x:c r="W919" s="4" t="n">
        <x:f>'SUPUESTOS PRECIOS'!$B$8</x:f>
        <x:v>0.00968</x:v>
      </x:c>
      <x:c r="X919" s="4" t="n">
        <x:f>'SUPUESTOS PRECIOS'!$B$2</x:f>
        <x:v>0.4</x:v>
      </x:c>
      <x:c r="Y919" s="3" t="str">
        <x:f t="shared" si="57"/>
      </x:c>
      <x:c r="Z919" s="3" t="str">
        <x:f t="shared" si="58"/>
      </x:c>
      <x:c r="AA919" s="11" t="str">
        <x:f t="shared" si="59"/>
      </x:c>
    </x:row>
    <x:row r="920">
      <x:c r="A920" s="10" t="s">
        <x:v>2043</x:v>
      </x:c>
      <x:c r="F920" t="s">
        <x:v>1358</x:v>
      </x:c>
      <x:c r="K920">
        <x:v>1</x:v>
      </x:c>
      <x:c r="L920" t="str">
        <x:f t="shared" si="56"/>
      </x:c>
      <x:c r="O920" t="s">
        <x:v>38</x:v>
      </x:c>
      <x:c r="T920" s="2" t="n">
        <x:f>'SUPUESTOS PRECIOS'!$B$9</x:f>
        <x:v>0</x:v>
      </x:c>
      <x:c r="U920" s="3" t="n">
        <x:f>'SUPUESTOS PRECIOS'!$B$5/'SUPUESTOS PRECIOS'!$B$4</x:f>
        <x:v>1000</x:v>
      </x:c>
      <x:c r="V920" s="3" t="n">
        <x:f>('SUPUESTOS PRECIOS'!$B$6-'SUPUESTOS PRECIOS'!$B$7)/'SUPUESTOS PRECIOS'!$B$4</x:f>
        <x:v>377.5</x:v>
      </x:c>
      <x:c r="W920" s="4" t="n">
        <x:f>'SUPUESTOS PRECIOS'!$B$8</x:f>
        <x:v>0.00968</x:v>
      </x:c>
      <x:c r="X920" s="4" t="n">
        <x:f>'SUPUESTOS PRECIOS'!$B$2</x:f>
        <x:v>0.4</x:v>
      </x:c>
      <x:c r="Y920" s="3" t="str">
        <x:f t="shared" si="57"/>
      </x:c>
      <x:c r="Z920" s="3" t="str">
        <x:f t="shared" si="58"/>
      </x:c>
      <x:c r="AA920" s="11" t="str">
        <x:f t="shared" si="59"/>
      </x:c>
    </x:row>
    <x:row r="921">
      <x:c r="A921" s="10" t="s">
        <x:v>2044</x:v>
      </x:c>
      <x:c r="F921" t="s">
        <x:v>1358</x:v>
      </x:c>
      <x:c r="K921">
        <x:v>1</x:v>
      </x:c>
      <x:c r="L921" t="str">
        <x:f t="shared" si="56"/>
      </x:c>
      <x:c r="O921" t="s">
        <x:v>38</x:v>
      </x:c>
      <x:c r="T921" s="2" t="n">
        <x:f>'SUPUESTOS PRECIOS'!$B$9</x:f>
        <x:v>0</x:v>
      </x:c>
      <x:c r="U921" s="3" t="n">
        <x:f>'SUPUESTOS PRECIOS'!$B$5/'SUPUESTOS PRECIOS'!$B$4</x:f>
        <x:v>1000</x:v>
      </x:c>
      <x:c r="V921" s="3" t="n">
        <x:f>('SUPUESTOS PRECIOS'!$B$6-'SUPUESTOS PRECIOS'!$B$7)/'SUPUESTOS PRECIOS'!$B$4</x:f>
        <x:v>377.5</x:v>
      </x:c>
      <x:c r="W921" s="4" t="n">
        <x:f>'SUPUESTOS PRECIOS'!$B$8</x:f>
        <x:v>0.00968</x:v>
      </x:c>
      <x:c r="X921" s="4" t="n">
        <x:f>'SUPUESTOS PRECIOS'!$B$2</x:f>
        <x:v>0.4</x:v>
      </x:c>
      <x:c r="Y921" s="3" t="str">
        <x:f t="shared" si="57"/>
      </x:c>
      <x:c r="Z921" s="3" t="str">
        <x:f t="shared" si="58"/>
      </x:c>
      <x:c r="AA921" s="11" t="str">
        <x:f t="shared" si="59"/>
      </x:c>
    </x:row>
    <x:row r="922">
      <x:c r="A922" s="10" t="s">
        <x:v>2045</x:v>
      </x:c>
      <x:c r="F922" t="s">
        <x:v>1358</x:v>
      </x:c>
      <x:c r="K922">
        <x:v>1</x:v>
      </x:c>
      <x:c r="L922" t="str">
        <x:f t="shared" si="56"/>
      </x:c>
      <x:c r="O922" t="s">
        <x:v>38</x:v>
      </x:c>
      <x:c r="T922" s="2" t="n">
        <x:f>'SUPUESTOS PRECIOS'!$B$9</x:f>
        <x:v>0</x:v>
      </x:c>
      <x:c r="U922" s="3" t="n">
        <x:f>'SUPUESTOS PRECIOS'!$B$5/'SUPUESTOS PRECIOS'!$B$4</x:f>
        <x:v>1000</x:v>
      </x:c>
      <x:c r="V922" s="3" t="n">
        <x:f>('SUPUESTOS PRECIOS'!$B$6-'SUPUESTOS PRECIOS'!$B$7)/'SUPUESTOS PRECIOS'!$B$4</x:f>
        <x:v>377.5</x:v>
      </x:c>
      <x:c r="W922" s="4" t="n">
        <x:f>'SUPUESTOS PRECIOS'!$B$8</x:f>
        <x:v>0.00968</x:v>
      </x:c>
      <x:c r="X922" s="4" t="n">
        <x:f>'SUPUESTOS PRECIOS'!$B$2</x:f>
        <x:v>0.4</x:v>
      </x:c>
      <x:c r="Y922" s="3" t="str">
        <x:f t="shared" si="57"/>
      </x:c>
      <x:c r="Z922" s="3" t="str">
        <x:f t="shared" si="58"/>
      </x:c>
      <x:c r="AA922" s="11" t="str">
        <x:f t="shared" si="59"/>
      </x:c>
    </x:row>
    <x:row r="923">
      <x:c r="A923" s="10" t="s">
        <x:v>2046</x:v>
      </x:c>
      <x:c r="F923" t="s">
        <x:v>1358</x:v>
      </x:c>
      <x:c r="K923">
        <x:v>1</x:v>
      </x:c>
      <x:c r="L923" t="str">
        <x:f t="shared" si="56"/>
      </x:c>
      <x:c r="O923" t="s">
        <x:v>38</x:v>
      </x:c>
      <x:c r="T923" s="2" t="n">
        <x:f>'SUPUESTOS PRECIOS'!$B$9</x:f>
        <x:v>0</x:v>
      </x:c>
      <x:c r="U923" s="3" t="n">
        <x:f>'SUPUESTOS PRECIOS'!$B$5/'SUPUESTOS PRECIOS'!$B$4</x:f>
        <x:v>1000</x:v>
      </x:c>
      <x:c r="V923" s="3" t="n">
        <x:f>('SUPUESTOS PRECIOS'!$B$6-'SUPUESTOS PRECIOS'!$B$7)/'SUPUESTOS PRECIOS'!$B$4</x:f>
        <x:v>377.5</x:v>
      </x:c>
      <x:c r="W923" s="4" t="n">
        <x:f>'SUPUESTOS PRECIOS'!$B$8</x:f>
        <x:v>0.00968</x:v>
      </x:c>
      <x:c r="X923" s="4" t="n">
        <x:f>'SUPUESTOS PRECIOS'!$B$2</x:f>
        <x:v>0.4</x:v>
      </x:c>
      <x:c r="Y923" s="3" t="str">
        <x:f t="shared" si="57"/>
      </x:c>
      <x:c r="Z923" s="3" t="str">
        <x:f t="shared" si="58"/>
      </x:c>
      <x:c r="AA923" s="11" t="str">
        <x:f t="shared" si="59"/>
      </x:c>
    </x:row>
    <x:row r="924">
      <x:c r="A924" s="10" t="s">
        <x:v>2047</x:v>
      </x:c>
      <x:c r="F924" t="s">
        <x:v>1358</x:v>
      </x:c>
      <x:c r="K924">
        <x:v>1</x:v>
      </x:c>
      <x:c r="L924" t="str">
        <x:f t="shared" si="56"/>
      </x:c>
      <x:c r="O924" t="s">
        <x:v>38</x:v>
      </x:c>
      <x:c r="T924" s="2" t="n">
        <x:f>'SUPUESTOS PRECIOS'!$B$9</x:f>
        <x:v>0</x:v>
      </x:c>
      <x:c r="U924" s="3" t="n">
        <x:f>'SUPUESTOS PRECIOS'!$B$5/'SUPUESTOS PRECIOS'!$B$4</x:f>
        <x:v>1000</x:v>
      </x:c>
      <x:c r="V924" s="3" t="n">
        <x:f>('SUPUESTOS PRECIOS'!$B$6-'SUPUESTOS PRECIOS'!$B$7)/'SUPUESTOS PRECIOS'!$B$4</x:f>
        <x:v>377.5</x:v>
      </x:c>
      <x:c r="W924" s="4" t="n">
        <x:f>'SUPUESTOS PRECIOS'!$B$8</x:f>
        <x:v>0.00968</x:v>
      </x:c>
      <x:c r="X924" s="4" t="n">
        <x:f>'SUPUESTOS PRECIOS'!$B$2</x:f>
        <x:v>0.4</x:v>
      </x:c>
      <x:c r="Y924" s="3" t="str">
        <x:f t="shared" si="57"/>
      </x:c>
      <x:c r="Z924" s="3" t="str">
        <x:f t="shared" si="58"/>
      </x:c>
      <x:c r="AA924" s="11" t="str">
        <x:f t="shared" si="59"/>
      </x:c>
    </x:row>
    <x:row r="925">
      <x:c r="A925" s="10" t="s">
        <x:v>2048</x:v>
      </x:c>
      <x:c r="F925" t="s">
        <x:v>1358</x:v>
      </x:c>
      <x:c r="K925">
        <x:v>1</x:v>
      </x:c>
      <x:c r="L925" t="str">
        <x:f t="shared" si="56"/>
      </x:c>
      <x:c r="O925" t="s">
        <x:v>38</x:v>
      </x:c>
      <x:c r="T925" s="2" t="n">
        <x:f>'SUPUESTOS PRECIOS'!$B$9</x:f>
        <x:v>0</x:v>
      </x:c>
      <x:c r="U925" s="3" t="n">
        <x:f>'SUPUESTOS PRECIOS'!$B$5/'SUPUESTOS PRECIOS'!$B$4</x:f>
        <x:v>1000</x:v>
      </x:c>
      <x:c r="V925" s="3" t="n">
        <x:f>('SUPUESTOS PRECIOS'!$B$6-'SUPUESTOS PRECIOS'!$B$7)/'SUPUESTOS PRECIOS'!$B$4</x:f>
        <x:v>377.5</x:v>
      </x:c>
      <x:c r="W925" s="4" t="n">
        <x:f>'SUPUESTOS PRECIOS'!$B$8</x:f>
        <x:v>0.00968</x:v>
      </x:c>
      <x:c r="X925" s="4" t="n">
        <x:f>'SUPUESTOS PRECIOS'!$B$2</x:f>
        <x:v>0.4</x:v>
      </x:c>
      <x:c r="Y925" s="3" t="str">
        <x:f t="shared" si="57"/>
      </x:c>
      <x:c r="Z925" s="3" t="str">
        <x:f t="shared" si="58"/>
      </x:c>
      <x:c r="AA925" s="11" t="str">
        <x:f t="shared" si="59"/>
      </x:c>
    </x:row>
    <x:row r="926">
      <x:c r="A926" s="10" t="s">
        <x:v>2049</x:v>
      </x:c>
      <x:c r="F926" t="s">
        <x:v>1358</x:v>
      </x:c>
      <x:c r="K926">
        <x:v>1</x:v>
      </x:c>
      <x:c r="L926" t="str">
        <x:f t="shared" si="56"/>
      </x:c>
      <x:c r="O926" t="s">
        <x:v>38</x:v>
      </x:c>
      <x:c r="T926" s="2" t="n">
        <x:f>'SUPUESTOS PRECIOS'!$B$9</x:f>
        <x:v>0</x:v>
      </x:c>
      <x:c r="U926" s="3" t="n">
        <x:f>'SUPUESTOS PRECIOS'!$B$5/'SUPUESTOS PRECIOS'!$B$4</x:f>
        <x:v>1000</x:v>
      </x:c>
      <x:c r="V926" s="3" t="n">
        <x:f>('SUPUESTOS PRECIOS'!$B$6-'SUPUESTOS PRECIOS'!$B$7)/'SUPUESTOS PRECIOS'!$B$4</x:f>
        <x:v>377.5</x:v>
      </x:c>
      <x:c r="W926" s="4" t="n">
        <x:f>'SUPUESTOS PRECIOS'!$B$8</x:f>
        <x:v>0.00968</x:v>
      </x:c>
      <x:c r="X926" s="4" t="n">
        <x:f>'SUPUESTOS PRECIOS'!$B$2</x:f>
        <x:v>0.4</x:v>
      </x:c>
      <x:c r="Y926" s="3" t="str">
        <x:f t="shared" si="57"/>
      </x:c>
      <x:c r="Z926" s="3" t="str">
        <x:f t="shared" si="58"/>
      </x:c>
      <x:c r="AA926" s="11" t="str">
        <x:f t="shared" si="59"/>
      </x:c>
    </x:row>
    <x:row r="927">
      <x:c r="A927" s="10" t="s">
        <x:v>2050</x:v>
      </x:c>
      <x:c r="F927" t="s">
        <x:v>1358</x:v>
      </x:c>
      <x:c r="K927">
        <x:v>1</x:v>
      </x:c>
      <x:c r="L927" t="str">
        <x:f t="shared" si="56"/>
      </x:c>
      <x:c r="O927" t="s">
        <x:v>38</x:v>
      </x:c>
      <x:c r="T927" s="2" t="n">
        <x:f>'SUPUESTOS PRECIOS'!$B$9</x:f>
        <x:v>0</x:v>
      </x:c>
      <x:c r="U927" s="3" t="n">
        <x:f>'SUPUESTOS PRECIOS'!$B$5/'SUPUESTOS PRECIOS'!$B$4</x:f>
        <x:v>1000</x:v>
      </x:c>
      <x:c r="V927" s="3" t="n">
        <x:f>('SUPUESTOS PRECIOS'!$B$6-'SUPUESTOS PRECIOS'!$B$7)/'SUPUESTOS PRECIOS'!$B$4</x:f>
        <x:v>377.5</x:v>
      </x:c>
      <x:c r="W927" s="4" t="n">
        <x:f>'SUPUESTOS PRECIOS'!$B$8</x:f>
        <x:v>0.00968</x:v>
      </x:c>
      <x:c r="X927" s="4" t="n">
        <x:f>'SUPUESTOS PRECIOS'!$B$2</x:f>
        <x:v>0.4</x:v>
      </x:c>
      <x:c r="Y927" s="3" t="str">
        <x:f t="shared" si="57"/>
      </x:c>
      <x:c r="Z927" s="3" t="str">
        <x:f t="shared" si="58"/>
      </x:c>
      <x:c r="AA927" s="11" t="str">
        <x:f t="shared" si="59"/>
      </x:c>
    </x:row>
    <x:row r="928">
      <x:c r="A928" s="10" t="s">
        <x:v>2051</x:v>
      </x:c>
      <x:c r="F928" t="s">
        <x:v>1358</x:v>
      </x:c>
      <x:c r="K928">
        <x:v>1</x:v>
      </x:c>
      <x:c r="L928" t="str">
        <x:f t="shared" si="56"/>
      </x:c>
      <x:c r="O928" t="s">
        <x:v>38</x:v>
      </x:c>
      <x:c r="T928" s="2" t="n">
        <x:f>'SUPUESTOS PRECIOS'!$B$9</x:f>
        <x:v>0</x:v>
      </x:c>
      <x:c r="U928" s="3" t="n">
        <x:f>'SUPUESTOS PRECIOS'!$B$5/'SUPUESTOS PRECIOS'!$B$4</x:f>
        <x:v>1000</x:v>
      </x:c>
      <x:c r="V928" s="3" t="n">
        <x:f>('SUPUESTOS PRECIOS'!$B$6-'SUPUESTOS PRECIOS'!$B$7)/'SUPUESTOS PRECIOS'!$B$4</x:f>
        <x:v>377.5</x:v>
      </x:c>
      <x:c r="W928" s="4" t="n">
        <x:f>'SUPUESTOS PRECIOS'!$B$8</x:f>
        <x:v>0.00968</x:v>
      </x:c>
      <x:c r="X928" s="4" t="n">
        <x:f>'SUPUESTOS PRECIOS'!$B$2</x:f>
        <x:v>0.4</x:v>
      </x:c>
      <x:c r="Y928" s="3" t="str">
        <x:f t="shared" si="57"/>
      </x:c>
      <x:c r="Z928" s="3" t="str">
        <x:f t="shared" si="58"/>
      </x:c>
      <x:c r="AA928" s="11" t="str">
        <x:f t="shared" si="59"/>
      </x:c>
    </x:row>
    <x:row r="929">
      <x:c r="A929" s="10" t="s">
        <x:v>2052</x:v>
      </x:c>
      <x:c r="F929" t="s">
        <x:v>1358</x:v>
      </x:c>
      <x:c r="K929">
        <x:v>1</x:v>
      </x:c>
      <x:c r="L929" t="str">
        <x:f t="shared" si="56"/>
      </x:c>
      <x:c r="O929" t="s">
        <x:v>38</x:v>
      </x:c>
      <x:c r="T929" s="2" t="n">
        <x:f>'SUPUESTOS PRECIOS'!$B$9</x:f>
        <x:v>0</x:v>
      </x:c>
      <x:c r="U929" s="3" t="n">
        <x:f>'SUPUESTOS PRECIOS'!$B$5/'SUPUESTOS PRECIOS'!$B$4</x:f>
        <x:v>1000</x:v>
      </x:c>
      <x:c r="V929" s="3" t="n">
        <x:f>('SUPUESTOS PRECIOS'!$B$6-'SUPUESTOS PRECIOS'!$B$7)/'SUPUESTOS PRECIOS'!$B$4</x:f>
        <x:v>377.5</x:v>
      </x:c>
      <x:c r="W929" s="4" t="n">
        <x:f>'SUPUESTOS PRECIOS'!$B$8</x:f>
        <x:v>0.00968</x:v>
      </x:c>
      <x:c r="X929" s="4" t="n">
        <x:f>'SUPUESTOS PRECIOS'!$B$2</x:f>
        <x:v>0.4</x:v>
      </x:c>
      <x:c r="Y929" s="3" t="str">
        <x:f t="shared" si="57"/>
      </x:c>
      <x:c r="Z929" s="3" t="str">
        <x:f t="shared" si="58"/>
      </x:c>
      <x:c r="AA929" s="11" t="str">
        <x:f t="shared" si="59"/>
      </x:c>
    </x:row>
    <x:row r="930">
      <x:c r="A930" s="10" t="s">
        <x:v>2053</x:v>
      </x:c>
      <x:c r="F930" t="s">
        <x:v>1358</x:v>
      </x:c>
      <x:c r="K930">
        <x:v>1</x:v>
      </x:c>
      <x:c r="L930" t="str">
        <x:f t="shared" si="56"/>
      </x:c>
      <x:c r="O930" t="s">
        <x:v>38</x:v>
      </x:c>
      <x:c r="T930" s="2" t="n">
        <x:f>'SUPUESTOS PRECIOS'!$B$9</x:f>
        <x:v>0</x:v>
      </x:c>
      <x:c r="U930" s="3" t="n">
        <x:f>'SUPUESTOS PRECIOS'!$B$5/'SUPUESTOS PRECIOS'!$B$4</x:f>
        <x:v>1000</x:v>
      </x:c>
      <x:c r="V930" s="3" t="n">
        <x:f>('SUPUESTOS PRECIOS'!$B$6-'SUPUESTOS PRECIOS'!$B$7)/'SUPUESTOS PRECIOS'!$B$4</x:f>
        <x:v>377.5</x:v>
      </x:c>
      <x:c r="W930" s="4" t="n">
        <x:f>'SUPUESTOS PRECIOS'!$B$8</x:f>
        <x:v>0.00968</x:v>
      </x:c>
      <x:c r="X930" s="4" t="n">
        <x:f>'SUPUESTOS PRECIOS'!$B$2</x:f>
        <x:v>0.4</x:v>
      </x:c>
      <x:c r="Y930" s="3" t="str">
        <x:f t="shared" si="57"/>
      </x:c>
      <x:c r="Z930" s="3" t="str">
        <x:f t="shared" si="58"/>
      </x:c>
      <x:c r="AA930" s="11" t="str">
        <x:f t="shared" si="59"/>
      </x:c>
    </x:row>
    <x:row r="931">
      <x:c r="A931" s="10" t="s">
        <x:v>2054</x:v>
      </x:c>
      <x:c r="F931" t="s">
        <x:v>1358</x:v>
      </x:c>
      <x:c r="K931">
        <x:v>1</x:v>
      </x:c>
      <x:c r="L931" t="str">
        <x:f t="shared" si="56"/>
      </x:c>
      <x:c r="O931" t="s">
        <x:v>38</x:v>
      </x:c>
      <x:c r="T931" s="2" t="n">
        <x:f>'SUPUESTOS PRECIOS'!$B$9</x:f>
        <x:v>0</x:v>
      </x:c>
      <x:c r="U931" s="3" t="n">
        <x:f>'SUPUESTOS PRECIOS'!$B$5/'SUPUESTOS PRECIOS'!$B$4</x:f>
        <x:v>1000</x:v>
      </x:c>
      <x:c r="V931" s="3" t="n">
        <x:f>('SUPUESTOS PRECIOS'!$B$6-'SUPUESTOS PRECIOS'!$B$7)/'SUPUESTOS PRECIOS'!$B$4</x:f>
        <x:v>377.5</x:v>
      </x:c>
      <x:c r="W931" s="4" t="n">
        <x:f>'SUPUESTOS PRECIOS'!$B$8</x:f>
        <x:v>0.00968</x:v>
      </x:c>
      <x:c r="X931" s="4" t="n">
        <x:f>'SUPUESTOS PRECIOS'!$B$2</x:f>
        <x:v>0.4</x:v>
      </x:c>
      <x:c r="Y931" s="3" t="str">
        <x:f t="shared" si="57"/>
      </x:c>
      <x:c r="Z931" s="3" t="str">
        <x:f t="shared" si="58"/>
      </x:c>
      <x:c r="AA931" s="11" t="str">
        <x:f t="shared" si="59"/>
      </x:c>
    </x:row>
    <x:row r="932">
      <x:c r="A932" s="10" t="s">
        <x:v>2055</x:v>
      </x:c>
      <x:c r="F932" t="s">
        <x:v>1358</x:v>
      </x:c>
      <x:c r="K932">
        <x:v>1</x:v>
      </x:c>
      <x:c r="L932" t="str">
        <x:f t="shared" si="56"/>
      </x:c>
      <x:c r="O932" t="s">
        <x:v>38</x:v>
      </x:c>
      <x:c r="T932" s="2" t="n">
        <x:f>'SUPUESTOS PRECIOS'!$B$9</x:f>
        <x:v>0</x:v>
      </x:c>
      <x:c r="U932" s="3" t="n">
        <x:f>'SUPUESTOS PRECIOS'!$B$5/'SUPUESTOS PRECIOS'!$B$4</x:f>
        <x:v>1000</x:v>
      </x:c>
      <x:c r="V932" s="3" t="n">
        <x:f>('SUPUESTOS PRECIOS'!$B$6-'SUPUESTOS PRECIOS'!$B$7)/'SUPUESTOS PRECIOS'!$B$4</x:f>
        <x:v>377.5</x:v>
      </x:c>
      <x:c r="W932" s="4" t="n">
        <x:f>'SUPUESTOS PRECIOS'!$B$8</x:f>
        <x:v>0.00968</x:v>
      </x:c>
      <x:c r="X932" s="4" t="n">
        <x:f>'SUPUESTOS PRECIOS'!$B$2</x:f>
        <x:v>0.4</x:v>
      </x:c>
      <x:c r="Y932" s="3" t="str">
        <x:f t="shared" si="57"/>
      </x:c>
      <x:c r="Z932" s="3" t="str">
        <x:f t="shared" si="58"/>
      </x:c>
      <x:c r="AA932" s="11" t="str">
        <x:f t="shared" si="59"/>
      </x:c>
    </x:row>
    <x:row r="933">
      <x:c r="A933" s="10" t="s">
        <x:v>2056</x:v>
      </x:c>
      <x:c r="F933" t="s">
        <x:v>1358</x:v>
      </x:c>
      <x:c r="K933">
        <x:v>1</x:v>
      </x:c>
      <x:c r="L933" t="str">
        <x:f t="shared" si="56"/>
      </x:c>
      <x:c r="O933" t="s">
        <x:v>38</x:v>
      </x:c>
      <x:c r="T933" s="2" t="n">
        <x:f>'SUPUESTOS PRECIOS'!$B$9</x:f>
        <x:v>0</x:v>
      </x:c>
      <x:c r="U933" s="3" t="n">
        <x:f>'SUPUESTOS PRECIOS'!$B$5/'SUPUESTOS PRECIOS'!$B$4</x:f>
        <x:v>1000</x:v>
      </x:c>
      <x:c r="V933" s="3" t="n">
        <x:f>('SUPUESTOS PRECIOS'!$B$6-'SUPUESTOS PRECIOS'!$B$7)/'SUPUESTOS PRECIOS'!$B$4</x:f>
        <x:v>377.5</x:v>
      </x:c>
      <x:c r="W933" s="4" t="n">
        <x:f>'SUPUESTOS PRECIOS'!$B$8</x:f>
        <x:v>0.00968</x:v>
      </x:c>
      <x:c r="X933" s="4" t="n">
        <x:f>'SUPUESTOS PRECIOS'!$B$2</x:f>
        <x:v>0.4</x:v>
      </x:c>
      <x:c r="Y933" s="3" t="str">
        <x:f t="shared" si="57"/>
      </x:c>
      <x:c r="Z933" s="3" t="str">
        <x:f t="shared" si="58"/>
      </x:c>
      <x:c r="AA933" s="11" t="str">
        <x:f t="shared" si="59"/>
      </x:c>
    </x:row>
    <x:row r="934">
      <x:c r="A934" s="10" t="s">
        <x:v>2057</x:v>
      </x:c>
      <x:c r="F934" t="s">
        <x:v>1358</x:v>
      </x:c>
      <x:c r="K934">
        <x:v>1</x:v>
      </x:c>
      <x:c r="L934" t="str">
        <x:f t="shared" si="56"/>
      </x:c>
      <x:c r="O934" t="s">
        <x:v>38</x:v>
      </x:c>
      <x:c r="T934" s="2" t="n">
        <x:f>'SUPUESTOS PRECIOS'!$B$9</x:f>
        <x:v>0</x:v>
      </x:c>
      <x:c r="U934" s="3" t="n">
        <x:f>'SUPUESTOS PRECIOS'!$B$5/'SUPUESTOS PRECIOS'!$B$4</x:f>
        <x:v>1000</x:v>
      </x:c>
      <x:c r="V934" s="3" t="n">
        <x:f>('SUPUESTOS PRECIOS'!$B$6-'SUPUESTOS PRECIOS'!$B$7)/'SUPUESTOS PRECIOS'!$B$4</x:f>
        <x:v>377.5</x:v>
      </x:c>
      <x:c r="W934" s="4" t="n">
        <x:f>'SUPUESTOS PRECIOS'!$B$8</x:f>
        <x:v>0.00968</x:v>
      </x:c>
      <x:c r="X934" s="4" t="n">
        <x:f>'SUPUESTOS PRECIOS'!$B$2</x:f>
        <x:v>0.4</x:v>
      </x:c>
      <x:c r="Y934" s="3" t="str">
        <x:f t="shared" si="57"/>
      </x:c>
      <x:c r="Z934" s="3" t="str">
        <x:f t="shared" si="58"/>
      </x:c>
      <x:c r="AA934" s="11" t="str">
        <x:f t="shared" si="59"/>
      </x:c>
    </x:row>
    <x:row r="935">
      <x:c r="A935" s="10" t="s">
        <x:v>2058</x:v>
      </x:c>
      <x:c r="F935" t="s">
        <x:v>1358</x:v>
      </x:c>
      <x:c r="K935">
        <x:v>1</x:v>
      </x:c>
      <x:c r="L935" t="str">
        <x:f t="shared" si="56"/>
      </x:c>
      <x:c r="O935" t="s">
        <x:v>38</x:v>
      </x:c>
      <x:c r="T935" s="2" t="n">
        <x:f>'SUPUESTOS PRECIOS'!$B$9</x:f>
        <x:v>0</x:v>
      </x:c>
      <x:c r="U935" s="3" t="n">
        <x:f>'SUPUESTOS PRECIOS'!$B$5/'SUPUESTOS PRECIOS'!$B$4</x:f>
        <x:v>1000</x:v>
      </x:c>
      <x:c r="V935" s="3" t="n">
        <x:f>('SUPUESTOS PRECIOS'!$B$6-'SUPUESTOS PRECIOS'!$B$7)/'SUPUESTOS PRECIOS'!$B$4</x:f>
        <x:v>377.5</x:v>
      </x:c>
      <x:c r="W935" s="4" t="n">
        <x:f>'SUPUESTOS PRECIOS'!$B$8</x:f>
        <x:v>0.00968</x:v>
      </x:c>
      <x:c r="X935" s="4" t="n">
        <x:f>'SUPUESTOS PRECIOS'!$B$2</x:f>
        <x:v>0.4</x:v>
      </x:c>
      <x:c r="Y935" s="3" t="str">
        <x:f t="shared" si="57"/>
      </x:c>
      <x:c r="Z935" s="3" t="str">
        <x:f t="shared" si="58"/>
      </x:c>
      <x:c r="AA935" s="11" t="str">
        <x:f t="shared" si="59"/>
      </x:c>
    </x:row>
    <x:row r="936">
      <x:c r="A936" s="10" t="s">
        <x:v>2059</x:v>
      </x:c>
      <x:c r="F936" t="s">
        <x:v>1358</x:v>
      </x:c>
      <x:c r="K936">
        <x:v>1</x:v>
      </x:c>
      <x:c r="L936" t="str">
        <x:f t="shared" si="56"/>
      </x:c>
      <x:c r="O936" t="s">
        <x:v>38</x:v>
      </x:c>
      <x:c r="T936" s="2" t="n">
        <x:f>'SUPUESTOS PRECIOS'!$B$9</x:f>
        <x:v>0</x:v>
      </x:c>
      <x:c r="U936" s="3" t="n">
        <x:f>'SUPUESTOS PRECIOS'!$B$5/'SUPUESTOS PRECIOS'!$B$4</x:f>
        <x:v>1000</x:v>
      </x:c>
      <x:c r="V936" s="3" t="n">
        <x:f>('SUPUESTOS PRECIOS'!$B$6-'SUPUESTOS PRECIOS'!$B$7)/'SUPUESTOS PRECIOS'!$B$4</x:f>
        <x:v>377.5</x:v>
      </x:c>
      <x:c r="W936" s="4" t="n">
        <x:f>'SUPUESTOS PRECIOS'!$B$8</x:f>
        <x:v>0.00968</x:v>
      </x:c>
      <x:c r="X936" s="4" t="n">
        <x:f>'SUPUESTOS PRECIOS'!$B$2</x:f>
        <x:v>0.4</x:v>
      </x:c>
      <x:c r="Y936" s="3" t="str">
        <x:f t="shared" si="57"/>
      </x:c>
      <x:c r="Z936" s="3" t="str">
        <x:f t="shared" si="58"/>
      </x:c>
      <x:c r="AA936" s="11" t="str">
        <x:f t="shared" si="59"/>
      </x:c>
    </x:row>
    <x:row r="937">
      <x:c r="A937" s="10" t="s">
        <x:v>2060</x:v>
      </x:c>
      <x:c r="F937" t="s">
        <x:v>1358</x:v>
      </x:c>
      <x:c r="K937">
        <x:v>1</x:v>
      </x:c>
      <x:c r="L937" t="str">
        <x:f t="shared" si="56"/>
      </x:c>
      <x:c r="O937" t="s">
        <x:v>38</x:v>
      </x:c>
      <x:c r="T937" s="2" t="n">
        <x:f>'SUPUESTOS PRECIOS'!$B$9</x:f>
        <x:v>0</x:v>
      </x:c>
      <x:c r="U937" s="3" t="n">
        <x:f>'SUPUESTOS PRECIOS'!$B$5/'SUPUESTOS PRECIOS'!$B$4</x:f>
        <x:v>1000</x:v>
      </x:c>
      <x:c r="V937" s="3" t="n">
        <x:f>('SUPUESTOS PRECIOS'!$B$6-'SUPUESTOS PRECIOS'!$B$7)/'SUPUESTOS PRECIOS'!$B$4</x:f>
        <x:v>377.5</x:v>
      </x:c>
      <x:c r="W937" s="4" t="n">
        <x:f>'SUPUESTOS PRECIOS'!$B$8</x:f>
        <x:v>0.00968</x:v>
      </x:c>
      <x:c r="X937" s="4" t="n">
        <x:f>'SUPUESTOS PRECIOS'!$B$2</x:f>
        <x:v>0.4</x:v>
      </x:c>
      <x:c r="Y937" s="3" t="str">
        <x:f t="shared" si="57"/>
      </x:c>
      <x:c r="Z937" s="3" t="str">
        <x:f t="shared" si="58"/>
      </x:c>
      <x:c r="AA937" s="11" t="str">
        <x:f t="shared" si="59"/>
      </x:c>
    </x:row>
    <x:row r="938">
      <x:c r="A938" s="10" t="s">
        <x:v>2061</x:v>
      </x:c>
      <x:c r="F938" t="s">
        <x:v>1358</x:v>
      </x:c>
      <x:c r="K938">
        <x:v>1</x:v>
      </x:c>
      <x:c r="L938" t="str">
        <x:f t="shared" si="56"/>
      </x:c>
      <x:c r="O938" t="s">
        <x:v>38</x:v>
      </x:c>
      <x:c r="T938" s="2" t="n">
        <x:f>'SUPUESTOS PRECIOS'!$B$9</x:f>
        <x:v>0</x:v>
      </x:c>
      <x:c r="U938" s="3" t="n">
        <x:f>'SUPUESTOS PRECIOS'!$B$5/'SUPUESTOS PRECIOS'!$B$4</x:f>
        <x:v>1000</x:v>
      </x:c>
      <x:c r="V938" s="3" t="n">
        <x:f>('SUPUESTOS PRECIOS'!$B$6-'SUPUESTOS PRECIOS'!$B$7)/'SUPUESTOS PRECIOS'!$B$4</x:f>
        <x:v>377.5</x:v>
      </x:c>
      <x:c r="W938" s="4" t="n">
        <x:f>'SUPUESTOS PRECIOS'!$B$8</x:f>
        <x:v>0.00968</x:v>
      </x:c>
      <x:c r="X938" s="4" t="n">
        <x:f>'SUPUESTOS PRECIOS'!$B$2</x:f>
        <x:v>0.4</x:v>
      </x:c>
      <x:c r="Y938" s="3" t="str">
        <x:f t="shared" si="57"/>
      </x:c>
      <x:c r="Z938" s="3" t="str">
        <x:f t="shared" si="58"/>
      </x:c>
      <x:c r="AA938" s="11" t="str">
        <x:f t="shared" si="59"/>
      </x:c>
    </x:row>
    <x:row r="939">
      <x:c r="A939" s="10" t="s">
        <x:v>2062</x:v>
      </x:c>
      <x:c r="F939" t="s">
        <x:v>1358</x:v>
      </x:c>
      <x:c r="K939">
        <x:v>1</x:v>
      </x:c>
      <x:c r="L939" t="str">
        <x:f t="shared" si="56"/>
      </x:c>
      <x:c r="O939" t="s">
        <x:v>38</x:v>
      </x:c>
      <x:c r="T939" s="2" t="n">
        <x:f>'SUPUESTOS PRECIOS'!$B$9</x:f>
        <x:v>0</x:v>
      </x:c>
      <x:c r="U939" s="3" t="n">
        <x:f>'SUPUESTOS PRECIOS'!$B$5/'SUPUESTOS PRECIOS'!$B$4</x:f>
        <x:v>1000</x:v>
      </x:c>
      <x:c r="V939" s="3" t="n">
        <x:f>('SUPUESTOS PRECIOS'!$B$6-'SUPUESTOS PRECIOS'!$B$7)/'SUPUESTOS PRECIOS'!$B$4</x:f>
        <x:v>377.5</x:v>
      </x:c>
      <x:c r="W939" s="4" t="n">
        <x:f>'SUPUESTOS PRECIOS'!$B$8</x:f>
        <x:v>0.00968</x:v>
      </x:c>
      <x:c r="X939" s="4" t="n">
        <x:f>'SUPUESTOS PRECIOS'!$B$2</x:f>
        <x:v>0.4</x:v>
      </x:c>
      <x:c r="Y939" s="3" t="str">
        <x:f t="shared" si="57"/>
      </x:c>
      <x:c r="Z939" s="3" t="str">
        <x:f t="shared" si="58"/>
      </x:c>
      <x:c r="AA939" s="11" t="str">
        <x:f t="shared" si="59"/>
      </x:c>
    </x:row>
    <x:row r="940">
      <x:c r="A940" s="10" t="s">
        <x:v>2063</x:v>
      </x:c>
      <x:c r="F940" t="s">
        <x:v>1358</x:v>
      </x:c>
      <x:c r="K940">
        <x:v>1</x:v>
      </x:c>
      <x:c r="L940" t="str">
        <x:f t="shared" si="56"/>
      </x:c>
      <x:c r="O940" t="s">
        <x:v>38</x:v>
      </x:c>
      <x:c r="T940" s="2" t="n">
        <x:f>'SUPUESTOS PRECIOS'!$B$9</x:f>
        <x:v>0</x:v>
      </x:c>
      <x:c r="U940" s="3" t="n">
        <x:f>'SUPUESTOS PRECIOS'!$B$5/'SUPUESTOS PRECIOS'!$B$4</x:f>
        <x:v>1000</x:v>
      </x:c>
      <x:c r="V940" s="3" t="n">
        <x:f>('SUPUESTOS PRECIOS'!$B$6-'SUPUESTOS PRECIOS'!$B$7)/'SUPUESTOS PRECIOS'!$B$4</x:f>
        <x:v>377.5</x:v>
      </x:c>
      <x:c r="W940" s="4" t="n">
        <x:f>'SUPUESTOS PRECIOS'!$B$8</x:f>
        <x:v>0.00968</x:v>
      </x:c>
      <x:c r="X940" s="4" t="n">
        <x:f>'SUPUESTOS PRECIOS'!$B$2</x:f>
        <x:v>0.4</x:v>
      </x:c>
      <x:c r="Y940" s="3" t="str">
        <x:f t="shared" si="57"/>
      </x:c>
      <x:c r="Z940" s="3" t="str">
        <x:f t="shared" si="58"/>
      </x:c>
      <x:c r="AA940" s="11" t="str">
        <x:f t="shared" si="59"/>
      </x:c>
    </x:row>
    <x:row r="941">
      <x:c r="A941" s="10" t="s">
        <x:v>2064</x:v>
      </x:c>
      <x:c r="F941" t="s">
        <x:v>1358</x:v>
      </x:c>
      <x:c r="K941">
        <x:v>1</x:v>
      </x:c>
      <x:c r="L941" t="str">
        <x:f t="shared" si="56"/>
      </x:c>
      <x:c r="O941" t="s">
        <x:v>38</x:v>
      </x:c>
      <x:c r="T941" s="2" t="n">
        <x:f>'SUPUESTOS PRECIOS'!$B$9</x:f>
        <x:v>0</x:v>
      </x:c>
      <x:c r="U941" s="3" t="n">
        <x:f>'SUPUESTOS PRECIOS'!$B$5/'SUPUESTOS PRECIOS'!$B$4</x:f>
        <x:v>1000</x:v>
      </x:c>
      <x:c r="V941" s="3" t="n">
        <x:f>('SUPUESTOS PRECIOS'!$B$6-'SUPUESTOS PRECIOS'!$B$7)/'SUPUESTOS PRECIOS'!$B$4</x:f>
        <x:v>377.5</x:v>
      </x:c>
      <x:c r="W941" s="4" t="n">
        <x:f>'SUPUESTOS PRECIOS'!$B$8</x:f>
        <x:v>0.00968</x:v>
      </x:c>
      <x:c r="X941" s="4" t="n">
        <x:f>'SUPUESTOS PRECIOS'!$B$2</x:f>
        <x:v>0.4</x:v>
      </x:c>
      <x:c r="Y941" s="3" t="str">
        <x:f t="shared" si="57"/>
      </x:c>
      <x:c r="Z941" s="3" t="str">
        <x:f t="shared" si="58"/>
      </x:c>
      <x:c r="AA941" s="11" t="str">
        <x:f t="shared" si="59"/>
      </x:c>
    </x:row>
    <x:row r="942">
      <x:c r="A942" s="10" t="s">
        <x:v>2065</x:v>
      </x:c>
      <x:c r="F942" t="s">
        <x:v>1358</x:v>
      </x:c>
      <x:c r="K942">
        <x:v>1</x:v>
      </x:c>
      <x:c r="L942" t="str">
        <x:f t="shared" si="56"/>
      </x:c>
      <x:c r="O942" t="s">
        <x:v>38</x:v>
      </x:c>
      <x:c r="T942" s="2" t="n">
        <x:f>'SUPUESTOS PRECIOS'!$B$9</x:f>
        <x:v>0</x:v>
      </x:c>
      <x:c r="U942" s="3" t="n">
        <x:f>'SUPUESTOS PRECIOS'!$B$5/'SUPUESTOS PRECIOS'!$B$4</x:f>
        <x:v>1000</x:v>
      </x:c>
      <x:c r="V942" s="3" t="n">
        <x:f>('SUPUESTOS PRECIOS'!$B$6-'SUPUESTOS PRECIOS'!$B$7)/'SUPUESTOS PRECIOS'!$B$4</x:f>
        <x:v>377.5</x:v>
      </x:c>
      <x:c r="W942" s="4" t="n">
        <x:f>'SUPUESTOS PRECIOS'!$B$8</x:f>
        <x:v>0.00968</x:v>
      </x:c>
      <x:c r="X942" s="4" t="n">
        <x:f>'SUPUESTOS PRECIOS'!$B$2</x:f>
        <x:v>0.4</x:v>
      </x:c>
      <x:c r="Y942" s="3" t="str">
        <x:f t="shared" si="57"/>
      </x:c>
      <x:c r="Z942" s="3" t="str">
        <x:f t="shared" si="58"/>
      </x:c>
      <x:c r="AA942" s="11" t="str">
        <x:f t="shared" si="59"/>
      </x:c>
    </x:row>
    <x:row r="943">
      <x:c r="A943" s="10" t="s">
        <x:v>2066</x:v>
      </x:c>
      <x:c r="F943" t="s">
        <x:v>1358</x:v>
      </x:c>
      <x:c r="K943">
        <x:v>1</x:v>
      </x:c>
      <x:c r="L943" t="str">
        <x:f t="shared" si="56"/>
      </x:c>
      <x:c r="O943" t="s">
        <x:v>38</x:v>
      </x:c>
      <x:c r="T943" s="2" t="n">
        <x:f>'SUPUESTOS PRECIOS'!$B$9</x:f>
        <x:v>0</x:v>
      </x:c>
      <x:c r="U943" s="3" t="n">
        <x:f>'SUPUESTOS PRECIOS'!$B$5/'SUPUESTOS PRECIOS'!$B$4</x:f>
        <x:v>1000</x:v>
      </x:c>
      <x:c r="V943" s="3" t="n">
        <x:f>('SUPUESTOS PRECIOS'!$B$6-'SUPUESTOS PRECIOS'!$B$7)/'SUPUESTOS PRECIOS'!$B$4</x:f>
        <x:v>377.5</x:v>
      </x:c>
      <x:c r="W943" s="4" t="n">
        <x:f>'SUPUESTOS PRECIOS'!$B$8</x:f>
        <x:v>0.00968</x:v>
      </x:c>
      <x:c r="X943" s="4" t="n">
        <x:f>'SUPUESTOS PRECIOS'!$B$2</x:f>
        <x:v>0.4</x:v>
      </x:c>
      <x:c r="Y943" s="3" t="str">
        <x:f t="shared" si="57"/>
      </x:c>
      <x:c r="Z943" s="3" t="str">
        <x:f t="shared" si="58"/>
      </x:c>
      <x:c r="AA943" s="11" t="str">
        <x:f t="shared" si="59"/>
      </x:c>
    </x:row>
    <x:row r="944">
      <x:c r="A944" s="10" t="s">
        <x:v>2067</x:v>
      </x:c>
      <x:c r="F944" t="s">
        <x:v>1358</x:v>
      </x:c>
      <x:c r="K944">
        <x:v>1</x:v>
      </x:c>
      <x:c r="L944" t="str">
        <x:f t="shared" si="56"/>
      </x:c>
      <x:c r="O944" t="s">
        <x:v>38</x:v>
      </x:c>
      <x:c r="T944" s="2" t="n">
        <x:f>'SUPUESTOS PRECIOS'!$B$9</x:f>
        <x:v>0</x:v>
      </x:c>
      <x:c r="U944" s="3" t="n">
        <x:f>'SUPUESTOS PRECIOS'!$B$5/'SUPUESTOS PRECIOS'!$B$4</x:f>
        <x:v>1000</x:v>
      </x:c>
      <x:c r="V944" s="3" t="n">
        <x:f>('SUPUESTOS PRECIOS'!$B$6-'SUPUESTOS PRECIOS'!$B$7)/'SUPUESTOS PRECIOS'!$B$4</x:f>
        <x:v>377.5</x:v>
      </x:c>
      <x:c r="W944" s="4" t="n">
        <x:f>'SUPUESTOS PRECIOS'!$B$8</x:f>
        <x:v>0.00968</x:v>
      </x:c>
      <x:c r="X944" s="4" t="n">
        <x:f>'SUPUESTOS PRECIOS'!$B$2</x:f>
        <x:v>0.4</x:v>
      </x:c>
      <x:c r="Y944" s="3" t="str">
        <x:f t="shared" si="57"/>
      </x:c>
      <x:c r="Z944" s="3" t="str">
        <x:f t="shared" si="58"/>
      </x:c>
      <x:c r="AA944" s="11" t="str">
        <x:f t="shared" si="59"/>
      </x:c>
    </x:row>
    <x:row r="945">
      <x:c r="A945" s="10" t="s">
        <x:v>2068</x:v>
      </x:c>
      <x:c r="F945" t="s">
        <x:v>1358</x:v>
      </x:c>
      <x:c r="K945">
        <x:v>1</x:v>
      </x:c>
      <x:c r="L945" t="str">
        <x:f t="shared" si="56"/>
      </x:c>
      <x:c r="O945" t="s">
        <x:v>38</x:v>
      </x:c>
      <x:c r="T945" s="2" t="n">
        <x:f>'SUPUESTOS PRECIOS'!$B$9</x:f>
        <x:v>0</x:v>
      </x:c>
      <x:c r="U945" s="3" t="n">
        <x:f>'SUPUESTOS PRECIOS'!$B$5/'SUPUESTOS PRECIOS'!$B$4</x:f>
        <x:v>1000</x:v>
      </x:c>
      <x:c r="V945" s="3" t="n">
        <x:f>('SUPUESTOS PRECIOS'!$B$6-'SUPUESTOS PRECIOS'!$B$7)/'SUPUESTOS PRECIOS'!$B$4</x:f>
        <x:v>377.5</x:v>
      </x:c>
      <x:c r="W945" s="4" t="n">
        <x:f>'SUPUESTOS PRECIOS'!$B$8</x:f>
        <x:v>0.00968</x:v>
      </x:c>
      <x:c r="X945" s="4" t="n">
        <x:f>'SUPUESTOS PRECIOS'!$B$2</x:f>
        <x:v>0.4</x:v>
      </x:c>
      <x:c r="Y945" s="3" t="str">
        <x:f t="shared" si="57"/>
      </x:c>
      <x:c r="Z945" s="3" t="str">
        <x:f t="shared" si="58"/>
      </x:c>
      <x:c r="AA945" s="11" t="str">
        <x:f t="shared" si="59"/>
      </x:c>
    </x:row>
    <x:row r="946">
      <x:c r="A946" s="10" t="s">
        <x:v>2069</x:v>
      </x:c>
      <x:c r="F946" t="s">
        <x:v>1358</x:v>
      </x:c>
      <x:c r="K946">
        <x:v>1</x:v>
      </x:c>
      <x:c r="L946" t="str">
        <x:f t="shared" si="56"/>
      </x:c>
      <x:c r="O946" t="s">
        <x:v>38</x:v>
      </x:c>
      <x:c r="T946" s="2" t="n">
        <x:f>'SUPUESTOS PRECIOS'!$B$9</x:f>
        <x:v>0</x:v>
      </x:c>
      <x:c r="U946" s="3" t="n">
        <x:f>'SUPUESTOS PRECIOS'!$B$5/'SUPUESTOS PRECIOS'!$B$4</x:f>
        <x:v>1000</x:v>
      </x:c>
      <x:c r="V946" s="3" t="n">
        <x:f>('SUPUESTOS PRECIOS'!$B$6-'SUPUESTOS PRECIOS'!$B$7)/'SUPUESTOS PRECIOS'!$B$4</x:f>
        <x:v>377.5</x:v>
      </x:c>
      <x:c r="W946" s="4" t="n">
        <x:f>'SUPUESTOS PRECIOS'!$B$8</x:f>
        <x:v>0.00968</x:v>
      </x:c>
      <x:c r="X946" s="4" t="n">
        <x:f>'SUPUESTOS PRECIOS'!$B$2</x:f>
        <x:v>0.4</x:v>
      </x:c>
      <x:c r="Y946" s="3" t="str">
        <x:f t="shared" si="57"/>
      </x:c>
      <x:c r="Z946" s="3" t="str">
        <x:f t="shared" si="58"/>
      </x:c>
      <x:c r="AA946" s="11" t="str">
        <x:f t="shared" si="59"/>
      </x:c>
    </x:row>
    <x:row r="947">
      <x:c r="A947" s="10" t="s">
        <x:v>2070</x:v>
      </x:c>
      <x:c r="F947" t="s">
        <x:v>1358</x:v>
      </x:c>
      <x:c r="K947">
        <x:v>1</x:v>
      </x:c>
      <x:c r="L947" t="str">
        <x:f t="shared" si="56"/>
      </x:c>
      <x:c r="O947" t="s">
        <x:v>38</x:v>
      </x:c>
      <x:c r="T947" s="2" t="n">
        <x:f>'SUPUESTOS PRECIOS'!$B$9</x:f>
        <x:v>0</x:v>
      </x:c>
      <x:c r="U947" s="3" t="n">
        <x:f>'SUPUESTOS PRECIOS'!$B$5/'SUPUESTOS PRECIOS'!$B$4</x:f>
        <x:v>1000</x:v>
      </x:c>
      <x:c r="V947" s="3" t="n">
        <x:f>('SUPUESTOS PRECIOS'!$B$6-'SUPUESTOS PRECIOS'!$B$7)/'SUPUESTOS PRECIOS'!$B$4</x:f>
        <x:v>377.5</x:v>
      </x:c>
      <x:c r="W947" s="4" t="n">
        <x:f>'SUPUESTOS PRECIOS'!$B$8</x:f>
        <x:v>0.00968</x:v>
      </x:c>
      <x:c r="X947" s="4" t="n">
        <x:f>'SUPUESTOS PRECIOS'!$B$2</x:f>
        <x:v>0.4</x:v>
      </x:c>
      <x:c r="Y947" s="3" t="str">
        <x:f t="shared" si="57"/>
      </x:c>
      <x:c r="Z947" s="3" t="str">
        <x:f t="shared" si="58"/>
      </x:c>
      <x:c r="AA947" s="11" t="str">
        <x:f t="shared" si="59"/>
      </x:c>
    </x:row>
    <x:row r="948">
      <x:c r="A948" s="10" t="s">
        <x:v>2071</x:v>
      </x:c>
      <x:c r="F948" t="s">
        <x:v>1358</x:v>
      </x:c>
      <x:c r="K948">
        <x:v>1</x:v>
      </x:c>
      <x:c r="L948" t="str">
        <x:f t="shared" si="56"/>
      </x:c>
      <x:c r="O948" t="s">
        <x:v>38</x:v>
      </x:c>
      <x:c r="T948" s="2" t="n">
        <x:f>'SUPUESTOS PRECIOS'!$B$9</x:f>
        <x:v>0</x:v>
      </x:c>
      <x:c r="U948" s="3" t="n">
        <x:f>'SUPUESTOS PRECIOS'!$B$5/'SUPUESTOS PRECIOS'!$B$4</x:f>
        <x:v>1000</x:v>
      </x:c>
      <x:c r="V948" s="3" t="n">
        <x:f>('SUPUESTOS PRECIOS'!$B$6-'SUPUESTOS PRECIOS'!$B$7)/'SUPUESTOS PRECIOS'!$B$4</x:f>
        <x:v>377.5</x:v>
      </x:c>
      <x:c r="W948" s="4" t="n">
        <x:f>'SUPUESTOS PRECIOS'!$B$8</x:f>
        <x:v>0.00968</x:v>
      </x:c>
      <x:c r="X948" s="4" t="n">
        <x:f>'SUPUESTOS PRECIOS'!$B$2</x:f>
        <x:v>0.4</x:v>
      </x:c>
      <x:c r="Y948" s="3" t="str">
        <x:f t="shared" si="57"/>
      </x:c>
      <x:c r="Z948" s="3" t="str">
        <x:f t="shared" si="58"/>
      </x:c>
      <x:c r="AA948" s="11" t="str">
        <x:f t="shared" si="59"/>
      </x:c>
    </x:row>
    <x:row r="949">
      <x:c r="A949" s="10" t="s">
        <x:v>2072</x:v>
      </x:c>
      <x:c r="F949" t="s">
        <x:v>1358</x:v>
      </x:c>
      <x:c r="K949">
        <x:v>1</x:v>
      </x:c>
      <x:c r="L949" t="str">
        <x:f t="shared" si="56"/>
      </x:c>
      <x:c r="O949" t="s">
        <x:v>38</x:v>
      </x:c>
      <x:c r="T949" s="2" t="n">
        <x:f>'SUPUESTOS PRECIOS'!$B$9</x:f>
        <x:v>0</x:v>
      </x:c>
      <x:c r="U949" s="3" t="n">
        <x:f>'SUPUESTOS PRECIOS'!$B$5/'SUPUESTOS PRECIOS'!$B$4</x:f>
        <x:v>1000</x:v>
      </x:c>
      <x:c r="V949" s="3" t="n">
        <x:f>('SUPUESTOS PRECIOS'!$B$6-'SUPUESTOS PRECIOS'!$B$7)/'SUPUESTOS PRECIOS'!$B$4</x:f>
        <x:v>377.5</x:v>
      </x:c>
      <x:c r="W949" s="4" t="n">
        <x:f>'SUPUESTOS PRECIOS'!$B$8</x:f>
        <x:v>0.00968</x:v>
      </x:c>
      <x:c r="X949" s="4" t="n">
        <x:f>'SUPUESTOS PRECIOS'!$B$2</x:f>
        <x:v>0.4</x:v>
      </x:c>
      <x:c r="Y949" s="3" t="str">
        <x:f t="shared" si="57"/>
      </x:c>
      <x:c r="Z949" s="3" t="str">
        <x:f t="shared" si="58"/>
      </x:c>
      <x:c r="AA949" s="11" t="str">
        <x:f t="shared" si="59"/>
      </x:c>
    </x:row>
    <x:row r="950">
      <x:c r="A950" s="10" t="s">
        <x:v>2073</x:v>
      </x:c>
      <x:c r="F950" t="s">
        <x:v>1358</x:v>
      </x:c>
      <x:c r="K950">
        <x:v>1</x:v>
      </x:c>
      <x:c r="L950" t="str">
        <x:f t="shared" si="56"/>
      </x:c>
      <x:c r="O950" t="s">
        <x:v>38</x:v>
      </x:c>
      <x:c r="T950" s="2" t="n">
        <x:f>'SUPUESTOS PRECIOS'!$B$9</x:f>
        <x:v>0</x:v>
      </x:c>
      <x:c r="U950" s="3" t="n">
        <x:f>'SUPUESTOS PRECIOS'!$B$5/'SUPUESTOS PRECIOS'!$B$4</x:f>
        <x:v>1000</x:v>
      </x:c>
      <x:c r="V950" s="3" t="n">
        <x:f>('SUPUESTOS PRECIOS'!$B$6-'SUPUESTOS PRECIOS'!$B$7)/'SUPUESTOS PRECIOS'!$B$4</x:f>
        <x:v>377.5</x:v>
      </x:c>
      <x:c r="W950" s="4" t="n">
        <x:f>'SUPUESTOS PRECIOS'!$B$8</x:f>
        <x:v>0.00968</x:v>
      </x:c>
      <x:c r="X950" s="4" t="n">
        <x:f>'SUPUESTOS PRECIOS'!$B$2</x:f>
        <x:v>0.4</x:v>
      </x:c>
      <x:c r="Y950" s="3" t="str">
        <x:f t="shared" si="57"/>
      </x:c>
      <x:c r="Z950" s="3" t="str">
        <x:f t="shared" si="58"/>
      </x:c>
      <x:c r="AA950" s="11" t="str">
        <x:f t="shared" si="59"/>
      </x:c>
    </x:row>
    <x:row r="951">
      <x:c r="A951" s="10" t="s">
        <x:v>2074</x:v>
      </x:c>
      <x:c r="F951" t="s">
        <x:v>1358</x:v>
      </x:c>
      <x:c r="K951">
        <x:v>1</x:v>
      </x:c>
      <x:c r="L951" t="str">
        <x:f t="shared" si="56"/>
      </x:c>
      <x:c r="O951" t="s">
        <x:v>38</x:v>
      </x:c>
      <x:c r="T951" s="2" t="n">
        <x:f>'SUPUESTOS PRECIOS'!$B$9</x:f>
        <x:v>0</x:v>
      </x:c>
      <x:c r="U951" s="3" t="n">
        <x:f>'SUPUESTOS PRECIOS'!$B$5/'SUPUESTOS PRECIOS'!$B$4</x:f>
        <x:v>1000</x:v>
      </x:c>
      <x:c r="V951" s="3" t="n">
        <x:f>('SUPUESTOS PRECIOS'!$B$6-'SUPUESTOS PRECIOS'!$B$7)/'SUPUESTOS PRECIOS'!$B$4</x:f>
        <x:v>377.5</x:v>
      </x:c>
      <x:c r="W951" s="4" t="n">
        <x:f>'SUPUESTOS PRECIOS'!$B$8</x:f>
        <x:v>0.00968</x:v>
      </x:c>
      <x:c r="X951" s="4" t="n">
        <x:f>'SUPUESTOS PRECIOS'!$B$2</x:f>
        <x:v>0.4</x:v>
      </x:c>
      <x:c r="Y951" s="3" t="str">
        <x:f t="shared" si="57"/>
      </x:c>
      <x:c r="Z951" s="3" t="str">
        <x:f t="shared" si="58"/>
      </x:c>
      <x:c r="AA951" s="11" t="str">
        <x:f t="shared" si="59"/>
      </x:c>
    </x:row>
    <x:row r="952">
      <x:c r="A952" s="10" t="s">
        <x:v>2075</x:v>
      </x:c>
      <x:c r="F952" t="s">
        <x:v>1358</x:v>
      </x:c>
      <x:c r="K952">
        <x:v>1</x:v>
      </x:c>
      <x:c r="L952" t="str">
        <x:f t="shared" si="56"/>
      </x:c>
      <x:c r="O952" t="s">
        <x:v>38</x:v>
      </x:c>
      <x:c r="T952" s="2" t="n">
        <x:f>'SUPUESTOS PRECIOS'!$B$9</x:f>
        <x:v>0</x:v>
      </x:c>
      <x:c r="U952" s="3" t="n">
        <x:f>'SUPUESTOS PRECIOS'!$B$5/'SUPUESTOS PRECIOS'!$B$4</x:f>
        <x:v>1000</x:v>
      </x:c>
      <x:c r="V952" s="3" t="n">
        <x:f>('SUPUESTOS PRECIOS'!$B$6-'SUPUESTOS PRECIOS'!$B$7)/'SUPUESTOS PRECIOS'!$B$4</x:f>
        <x:v>377.5</x:v>
      </x:c>
      <x:c r="W952" s="4" t="n">
        <x:f>'SUPUESTOS PRECIOS'!$B$8</x:f>
        <x:v>0.00968</x:v>
      </x:c>
      <x:c r="X952" s="4" t="n">
        <x:f>'SUPUESTOS PRECIOS'!$B$2</x:f>
        <x:v>0.4</x:v>
      </x:c>
      <x:c r="Y952" s="3" t="str">
        <x:f t="shared" si="57"/>
      </x:c>
      <x:c r="Z952" s="3" t="str">
        <x:f t="shared" si="58"/>
      </x:c>
      <x:c r="AA952" s="11" t="str">
        <x:f t="shared" si="59"/>
      </x:c>
    </x:row>
    <x:row r="953">
      <x:c r="A953" s="10" t="s">
        <x:v>2076</x:v>
      </x:c>
      <x:c r="F953" t="s">
        <x:v>1358</x:v>
      </x:c>
      <x:c r="K953">
        <x:v>1</x:v>
      </x:c>
      <x:c r="L953" t="str">
        <x:f t="shared" si="56"/>
      </x:c>
      <x:c r="O953" t="s">
        <x:v>38</x:v>
      </x:c>
      <x:c r="T953" s="2" t="n">
        <x:f>'SUPUESTOS PRECIOS'!$B$9</x:f>
        <x:v>0</x:v>
      </x:c>
      <x:c r="U953" s="3" t="n">
        <x:f>'SUPUESTOS PRECIOS'!$B$5/'SUPUESTOS PRECIOS'!$B$4</x:f>
        <x:v>1000</x:v>
      </x:c>
      <x:c r="V953" s="3" t="n">
        <x:f>('SUPUESTOS PRECIOS'!$B$6-'SUPUESTOS PRECIOS'!$B$7)/'SUPUESTOS PRECIOS'!$B$4</x:f>
        <x:v>377.5</x:v>
      </x:c>
      <x:c r="W953" s="4" t="n">
        <x:f>'SUPUESTOS PRECIOS'!$B$8</x:f>
        <x:v>0.00968</x:v>
      </x:c>
      <x:c r="X953" s="4" t="n">
        <x:f>'SUPUESTOS PRECIOS'!$B$2</x:f>
        <x:v>0.4</x:v>
      </x:c>
      <x:c r="Y953" s="3" t="str">
        <x:f t="shared" si="57"/>
      </x:c>
      <x:c r="Z953" s="3" t="str">
        <x:f t="shared" si="58"/>
      </x:c>
      <x:c r="AA953" s="11" t="str">
        <x:f t="shared" si="59"/>
      </x:c>
    </x:row>
    <x:row r="954">
      <x:c r="A954" s="10" t="s">
        <x:v>2077</x:v>
      </x:c>
      <x:c r="F954" t="s">
        <x:v>1358</x:v>
      </x:c>
      <x:c r="K954">
        <x:v>1</x:v>
      </x:c>
      <x:c r="L954" t="str">
        <x:f t="shared" si="56"/>
      </x:c>
      <x:c r="O954" t="s">
        <x:v>38</x:v>
      </x:c>
      <x:c r="T954" s="2" t="n">
        <x:f>'SUPUESTOS PRECIOS'!$B$9</x:f>
        <x:v>0</x:v>
      </x:c>
      <x:c r="U954" s="3" t="n">
        <x:f>'SUPUESTOS PRECIOS'!$B$5/'SUPUESTOS PRECIOS'!$B$4</x:f>
        <x:v>1000</x:v>
      </x:c>
      <x:c r="V954" s="3" t="n">
        <x:f>('SUPUESTOS PRECIOS'!$B$6-'SUPUESTOS PRECIOS'!$B$7)/'SUPUESTOS PRECIOS'!$B$4</x:f>
        <x:v>377.5</x:v>
      </x:c>
      <x:c r="W954" s="4" t="n">
        <x:f>'SUPUESTOS PRECIOS'!$B$8</x:f>
        <x:v>0.00968</x:v>
      </x:c>
      <x:c r="X954" s="4" t="n">
        <x:f>'SUPUESTOS PRECIOS'!$B$2</x:f>
        <x:v>0.4</x:v>
      </x:c>
      <x:c r="Y954" s="3" t="str">
        <x:f t="shared" si="57"/>
      </x:c>
      <x:c r="Z954" s="3" t="str">
        <x:f t="shared" si="58"/>
      </x:c>
      <x:c r="AA954" s="11" t="str">
        <x:f t="shared" si="59"/>
      </x:c>
    </x:row>
    <x:row r="955">
      <x:c r="A955" s="10" t="s">
        <x:v>2078</x:v>
      </x:c>
      <x:c r="F955" t="s">
        <x:v>1358</x:v>
      </x:c>
      <x:c r="K955">
        <x:v>1</x:v>
      </x:c>
      <x:c r="L955" t="str">
        <x:f t="shared" si="56"/>
      </x:c>
      <x:c r="O955" t="s">
        <x:v>38</x:v>
      </x:c>
      <x:c r="T955" s="2" t="n">
        <x:f>'SUPUESTOS PRECIOS'!$B$9</x:f>
        <x:v>0</x:v>
      </x:c>
      <x:c r="U955" s="3" t="n">
        <x:f>'SUPUESTOS PRECIOS'!$B$5/'SUPUESTOS PRECIOS'!$B$4</x:f>
        <x:v>1000</x:v>
      </x:c>
      <x:c r="V955" s="3" t="n">
        <x:f>('SUPUESTOS PRECIOS'!$B$6-'SUPUESTOS PRECIOS'!$B$7)/'SUPUESTOS PRECIOS'!$B$4</x:f>
        <x:v>377.5</x:v>
      </x:c>
      <x:c r="W955" s="4" t="n">
        <x:f>'SUPUESTOS PRECIOS'!$B$8</x:f>
        <x:v>0.00968</x:v>
      </x:c>
      <x:c r="X955" s="4" t="n">
        <x:f>'SUPUESTOS PRECIOS'!$B$2</x:f>
        <x:v>0.4</x:v>
      </x:c>
      <x:c r="Y955" s="3" t="str">
        <x:f t="shared" si="57"/>
      </x:c>
      <x:c r="Z955" s="3" t="str">
        <x:f t="shared" si="58"/>
      </x:c>
      <x:c r="AA955" s="11" t="str">
        <x:f t="shared" si="59"/>
      </x:c>
    </x:row>
    <x:row r="956">
      <x:c r="A956" s="10" t="s">
        <x:v>2079</x:v>
      </x:c>
      <x:c r="F956" t="s">
        <x:v>1358</x:v>
      </x:c>
      <x:c r="K956">
        <x:v>1</x:v>
      </x:c>
      <x:c r="L956" t="str">
        <x:f t="shared" si="56"/>
      </x:c>
      <x:c r="O956" t="s">
        <x:v>38</x:v>
      </x:c>
      <x:c r="T956" s="2" t="n">
        <x:f>'SUPUESTOS PRECIOS'!$B$9</x:f>
        <x:v>0</x:v>
      </x:c>
      <x:c r="U956" s="3" t="n">
        <x:f>'SUPUESTOS PRECIOS'!$B$5/'SUPUESTOS PRECIOS'!$B$4</x:f>
        <x:v>1000</x:v>
      </x:c>
      <x:c r="V956" s="3" t="n">
        <x:f>('SUPUESTOS PRECIOS'!$B$6-'SUPUESTOS PRECIOS'!$B$7)/'SUPUESTOS PRECIOS'!$B$4</x:f>
        <x:v>377.5</x:v>
      </x:c>
      <x:c r="W956" s="4" t="n">
        <x:f>'SUPUESTOS PRECIOS'!$B$8</x:f>
        <x:v>0.00968</x:v>
      </x:c>
      <x:c r="X956" s="4" t="n">
        <x:f>'SUPUESTOS PRECIOS'!$B$2</x:f>
        <x:v>0.4</x:v>
      </x:c>
      <x:c r="Y956" s="3" t="str">
        <x:f t="shared" si="57"/>
      </x:c>
      <x:c r="Z956" s="3" t="str">
        <x:f t="shared" si="58"/>
      </x:c>
      <x:c r="AA956" s="11" t="str">
        <x:f t="shared" si="59"/>
      </x:c>
    </x:row>
    <x:row r="957">
      <x:c r="A957" s="10" t="s">
        <x:v>2080</x:v>
      </x:c>
      <x:c r="F957" t="s">
        <x:v>1358</x:v>
      </x:c>
      <x:c r="K957">
        <x:v>1</x:v>
      </x:c>
      <x:c r="L957" t="str">
        <x:f t="shared" si="56"/>
      </x:c>
      <x:c r="O957" t="s">
        <x:v>38</x:v>
      </x:c>
      <x:c r="T957" s="2" t="n">
        <x:f>'SUPUESTOS PRECIOS'!$B$9</x:f>
        <x:v>0</x:v>
      </x:c>
      <x:c r="U957" s="3" t="n">
        <x:f>'SUPUESTOS PRECIOS'!$B$5/'SUPUESTOS PRECIOS'!$B$4</x:f>
        <x:v>1000</x:v>
      </x:c>
      <x:c r="V957" s="3" t="n">
        <x:f>('SUPUESTOS PRECIOS'!$B$6-'SUPUESTOS PRECIOS'!$B$7)/'SUPUESTOS PRECIOS'!$B$4</x:f>
        <x:v>377.5</x:v>
      </x:c>
      <x:c r="W957" s="4" t="n">
        <x:f>'SUPUESTOS PRECIOS'!$B$8</x:f>
        <x:v>0.00968</x:v>
      </x:c>
      <x:c r="X957" s="4" t="n">
        <x:f>'SUPUESTOS PRECIOS'!$B$2</x:f>
        <x:v>0.4</x:v>
      </x:c>
      <x:c r="Y957" s="3" t="str">
        <x:f t="shared" si="57"/>
      </x:c>
      <x:c r="Z957" s="3" t="str">
        <x:f t="shared" si="58"/>
      </x:c>
      <x:c r="AA957" s="11" t="str">
        <x:f t="shared" si="59"/>
      </x:c>
    </x:row>
    <x:row r="958">
      <x:c r="A958" s="10" t="s">
        <x:v>2081</x:v>
      </x:c>
      <x:c r="F958" t="s">
        <x:v>1358</x:v>
      </x:c>
      <x:c r="K958">
        <x:v>1</x:v>
      </x:c>
      <x:c r="L958" t="str">
        <x:f t="shared" si="56"/>
      </x:c>
      <x:c r="O958" t="s">
        <x:v>38</x:v>
      </x:c>
      <x:c r="T958" s="2" t="n">
        <x:f>'SUPUESTOS PRECIOS'!$B$9</x:f>
        <x:v>0</x:v>
      </x:c>
      <x:c r="U958" s="3" t="n">
        <x:f>'SUPUESTOS PRECIOS'!$B$5/'SUPUESTOS PRECIOS'!$B$4</x:f>
        <x:v>1000</x:v>
      </x:c>
      <x:c r="V958" s="3" t="n">
        <x:f>('SUPUESTOS PRECIOS'!$B$6-'SUPUESTOS PRECIOS'!$B$7)/'SUPUESTOS PRECIOS'!$B$4</x:f>
        <x:v>377.5</x:v>
      </x:c>
      <x:c r="W958" s="4" t="n">
        <x:f>'SUPUESTOS PRECIOS'!$B$8</x:f>
        <x:v>0.00968</x:v>
      </x:c>
      <x:c r="X958" s="4" t="n">
        <x:f>'SUPUESTOS PRECIOS'!$B$2</x:f>
        <x:v>0.4</x:v>
      </x:c>
      <x:c r="Y958" s="3" t="str">
        <x:f t="shared" si="57"/>
      </x:c>
      <x:c r="Z958" s="3" t="str">
        <x:f t="shared" si="58"/>
      </x:c>
      <x:c r="AA958" s="11" t="str">
        <x:f t="shared" si="59"/>
      </x:c>
    </x:row>
    <x:row r="959">
      <x:c r="A959" s="10" t="s">
        <x:v>2082</x:v>
      </x:c>
      <x:c r="F959" t="s">
        <x:v>1358</x:v>
      </x:c>
      <x:c r="K959">
        <x:v>1</x:v>
      </x:c>
      <x:c r="L959" t="str">
        <x:f t="shared" si="56"/>
      </x:c>
      <x:c r="O959" t="s">
        <x:v>38</x:v>
      </x:c>
      <x:c r="T959" s="2" t="n">
        <x:f>'SUPUESTOS PRECIOS'!$B$9</x:f>
        <x:v>0</x:v>
      </x:c>
      <x:c r="U959" s="3" t="n">
        <x:f>'SUPUESTOS PRECIOS'!$B$5/'SUPUESTOS PRECIOS'!$B$4</x:f>
        <x:v>1000</x:v>
      </x:c>
      <x:c r="V959" s="3" t="n">
        <x:f>('SUPUESTOS PRECIOS'!$B$6-'SUPUESTOS PRECIOS'!$B$7)/'SUPUESTOS PRECIOS'!$B$4</x:f>
        <x:v>377.5</x:v>
      </x:c>
      <x:c r="W959" s="4" t="n">
        <x:f>'SUPUESTOS PRECIOS'!$B$8</x:f>
        <x:v>0.00968</x:v>
      </x:c>
      <x:c r="X959" s="4" t="n">
        <x:f>'SUPUESTOS PRECIOS'!$B$2</x:f>
        <x:v>0.4</x:v>
      </x:c>
      <x:c r="Y959" s="3" t="str">
        <x:f t="shared" si="57"/>
      </x:c>
      <x:c r="Z959" s="3" t="str">
        <x:f t="shared" si="58"/>
      </x:c>
      <x:c r="AA959" s="11" t="str">
        <x:f t="shared" si="59"/>
      </x:c>
    </x:row>
    <x:row r="960">
      <x:c r="A960" s="10" t="s">
        <x:v>2083</x:v>
      </x:c>
      <x:c r="F960" t="s">
        <x:v>1358</x:v>
      </x:c>
      <x:c r="K960">
        <x:v>1</x:v>
      </x:c>
      <x:c r="L960" t="str">
        <x:f t="shared" si="56"/>
      </x:c>
      <x:c r="O960" t="s">
        <x:v>38</x:v>
      </x:c>
      <x:c r="T960" s="2" t="n">
        <x:f>'SUPUESTOS PRECIOS'!$B$9</x:f>
        <x:v>0</x:v>
      </x:c>
      <x:c r="U960" s="3" t="n">
        <x:f>'SUPUESTOS PRECIOS'!$B$5/'SUPUESTOS PRECIOS'!$B$4</x:f>
        <x:v>1000</x:v>
      </x:c>
      <x:c r="V960" s="3" t="n">
        <x:f>('SUPUESTOS PRECIOS'!$B$6-'SUPUESTOS PRECIOS'!$B$7)/'SUPUESTOS PRECIOS'!$B$4</x:f>
        <x:v>377.5</x:v>
      </x:c>
      <x:c r="W960" s="4" t="n">
        <x:f>'SUPUESTOS PRECIOS'!$B$8</x:f>
        <x:v>0.00968</x:v>
      </x:c>
      <x:c r="X960" s="4" t="n">
        <x:f>'SUPUESTOS PRECIOS'!$B$2</x:f>
        <x:v>0.4</x:v>
      </x:c>
      <x:c r="Y960" s="3" t="str">
        <x:f t="shared" si="57"/>
      </x:c>
      <x:c r="Z960" s="3" t="str">
        <x:f t="shared" si="58"/>
      </x:c>
      <x:c r="AA960" s="11" t="str">
        <x:f t="shared" si="59"/>
      </x:c>
    </x:row>
    <x:row r="961">
      <x:c r="A961" s="10" t="s">
        <x:v>2084</x:v>
      </x:c>
      <x:c r="F961" t="s">
        <x:v>1358</x:v>
      </x:c>
      <x:c r="K961">
        <x:v>1</x:v>
      </x:c>
      <x:c r="L961" t="str">
        <x:f t="shared" si="56"/>
      </x:c>
      <x:c r="O961" t="s">
        <x:v>38</x:v>
      </x:c>
      <x:c r="T961" s="2" t="n">
        <x:f>'SUPUESTOS PRECIOS'!$B$9</x:f>
        <x:v>0</x:v>
      </x:c>
      <x:c r="U961" s="3" t="n">
        <x:f>'SUPUESTOS PRECIOS'!$B$5/'SUPUESTOS PRECIOS'!$B$4</x:f>
        <x:v>1000</x:v>
      </x:c>
      <x:c r="V961" s="3" t="n">
        <x:f>('SUPUESTOS PRECIOS'!$B$6-'SUPUESTOS PRECIOS'!$B$7)/'SUPUESTOS PRECIOS'!$B$4</x:f>
        <x:v>377.5</x:v>
      </x:c>
      <x:c r="W961" s="4" t="n">
        <x:f>'SUPUESTOS PRECIOS'!$B$8</x:f>
        <x:v>0.00968</x:v>
      </x:c>
      <x:c r="X961" s="4" t="n">
        <x:f>'SUPUESTOS PRECIOS'!$B$2</x:f>
        <x:v>0.4</x:v>
      </x:c>
      <x:c r="Y961" s="3" t="str">
        <x:f t="shared" si="57"/>
      </x:c>
      <x:c r="Z961" s="3" t="str">
        <x:f t="shared" si="58"/>
      </x:c>
      <x:c r="AA961" s="11" t="str">
        <x:f t="shared" si="59"/>
      </x:c>
    </x:row>
    <x:row r="962">
      <x:c r="A962" s="10" t="s">
        <x:v>2085</x:v>
      </x:c>
      <x:c r="F962" t="s">
        <x:v>1358</x:v>
      </x:c>
      <x:c r="K962">
        <x:v>1</x:v>
      </x:c>
      <x:c r="L962" t="str">
        <x:f t="shared" ref="L962:L1001" si="60">IF(J962="","",J962*(1+K962))</x:f>
      </x:c>
      <x:c r="O962" t="s">
        <x:v>38</x:v>
      </x:c>
      <x:c r="T962" s="2" t="n">
        <x:f>'SUPUESTOS PRECIOS'!$B$9</x:f>
        <x:v>0</x:v>
      </x:c>
      <x:c r="U962" s="3" t="n">
        <x:f>'SUPUESTOS PRECIOS'!$B$5/'SUPUESTOS PRECIOS'!$B$4</x:f>
        <x:v>1000</x:v>
      </x:c>
      <x:c r="V962" s="3" t="n">
        <x:f>('SUPUESTOS PRECIOS'!$B$6-'SUPUESTOS PRECIOS'!$B$7)/'SUPUESTOS PRECIOS'!$B$4</x:f>
        <x:v>377.5</x:v>
      </x:c>
      <x:c r="W962" s="4" t="n">
        <x:f>'SUPUESTOS PRECIOS'!$B$8</x:f>
        <x:v>0.00968</x:v>
      </x:c>
      <x:c r="X962" s="4" t="n">
        <x:f>'SUPUESTOS PRECIOS'!$B$2</x:f>
        <x:v>0.4</x:v>
      </x:c>
      <x:c r="Y962" s="3" t="str">
        <x:f t="shared" ref="Y962:Y1001" si="61">IF(OR($B962="",$J962=""),"",ROUND(($J962+$T962+$U962+$V962)/(1-$W962-$X962),-1))</x:f>
      </x:c>
      <x:c r="Z962" s="3" t="str">
        <x:f t="shared" ref="Z962:Z1001" si="62">IF($Y962="","",$Y962-$J962-$T962-$U962-$V962-($Y962*$W962))</x:f>
      </x:c>
      <x:c r="AA962" s="11" t="str">
        <x:f t="shared" ref="AA962:AA1001" si="63">IF($Y962="","",$Z962/$Y962)</x:f>
      </x:c>
    </x:row>
    <x:row r="963">
      <x:c r="A963" s="10" t="s">
        <x:v>2086</x:v>
      </x:c>
      <x:c r="F963" t="s">
        <x:v>1358</x:v>
      </x:c>
      <x:c r="K963">
        <x:v>1</x:v>
      </x:c>
      <x:c r="L963" t="str">
        <x:f t="shared" si="60"/>
      </x:c>
      <x:c r="O963" t="s">
        <x:v>38</x:v>
      </x:c>
      <x:c r="T963" s="2" t="n">
        <x:f>'SUPUESTOS PRECIOS'!$B$9</x:f>
        <x:v>0</x:v>
      </x:c>
      <x:c r="U963" s="3" t="n">
        <x:f>'SUPUESTOS PRECIOS'!$B$5/'SUPUESTOS PRECIOS'!$B$4</x:f>
        <x:v>1000</x:v>
      </x:c>
      <x:c r="V963" s="3" t="n">
        <x:f>('SUPUESTOS PRECIOS'!$B$6-'SUPUESTOS PRECIOS'!$B$7)/'SUPUESTOS PRECIOS'!$B$4</x:f>
        <x:v>377.5</x:v>
      </x:c>
      <x:c r="W963" s="4" t="n">
        <x:f>'SUPUESTOS PRECIOS'!$B$8</x:f>
        <x:v>0.00968</x:v>
      </x:c>
      <x:c r="X963" s="4" t="n">
        <x:f>'SUPUESTOS PRECIOS'!$B$2</x:f>
        <x:v>0.4</x:v>
      </x:c>
      <x:c r="Y963" s="3" t="str">
        <x:f t="shared" si="61"/>
      </x:c>
      <x:c r="Z963" s="3" t="str">
        <x:f t="shared" si="62"/>
      </x:c>
      <x:c r="AA963" s="11" t="str">
        <x:f t="shared" si="63"/>
      </x:c>
    </x:row>
    <x:row r="964">
      <x:c r="A964" s="10" t="s">
        <x:v>2087</x:v>
      </x:c>
      <x:c r="F964" t="s">
        <x:v>1358</x:v>
      </x:c>
      <x:c r="K964">
        <x:v>1</x:v>
      </x:c>
      <x:c r="L964" t="str">
        <x:f t="shared" si="60"/>
      </x:c>
      <x:c r="O964" t="s">
        <x:v>38</x:v>
      </x:c>
      <x:c r="T964" s="2" t="n">
        <x:f>'SUPUESTOS PRECIOS'!$B$9</x:f>
        <x:v>0</x:v>
      </x:c>
      <x:c r="U964" s="3" t="n">
        <x:f>'SUPUESTOS PRECIOS'!$B$5/'SUPUESTOS PRECIOS'!$B$4</x:f>
        <x:v>1000</x:v>
      </x:c>
      <x:c r="V964" s="3" t="n">
        <x:f>('SUPUESTOS PRECIOS'!$B$6-'SUPUESTOS PRECIOS'!$B$7)/'SUPUESTOS PRECIOS'!$B$4</x:f>
        <x:v>377.5</x:v>
      </x:c>
      <x:c r="W964" s="4" t="n">
        <x:f>'SUPUESTOS PRECIOS'!$B$8</x:f>
        <x:v>0.00968</x:v>
      </x:c>
      <x:c r="X964" s="4" t="n">
        <x:f>'SUPUESTOS PRECIOS'!$B$2</x:f>
        <x:v>0.4</x:v>
      </x:c>
      <x:c r="Y964" s="3" t="str">
        <x:f t="shared" si="61"/>
      </x:c>
      <x:c r="Z964" s="3" t="str">
        <x:f t="shared" si="62"/>
      </x:c>
      <x:c r="AA964" s="11" t="str">
        <x:f t="shared" si="63"/>
      </x:c>
    </x:row>
    <x:row r="965">
      <x:c r="A965" s="10" t="s">
        <x:v>2088</x:v>
      </x:c>
      <x:c r="F965" t="s">
        <x:v>1358</x:v>
      </x:c>
      <x:c r="K965">
        <x:v>1</x:v>
      </x:c>
      <x:c r="L965" t="str">
        <x:f t="shared" si="60"/>
      </x:c>
      <x:c r="O965" t="s">
        <x:v>38</x:v>
      </x:c>
      <x:c r="T965" s="2" t="n">
        <x:f>'SUPUESTOS PRECIOS'!$B$9</x:f>
        <x:v>0</x:v>
      </x:c>
      <x:c r="U965" s="3" t="n">
        <x:f>'SUPUESTOS PRECIOS'!$B$5/'SUPUESTOS PRECIOS'!$B$4</x:f>
        <x:v>1000</x:v>
      </x:c>
      <x:c r="V965" s="3" t="n">
        <x:f>('SUPUESTOS PRECIOS'!$B$6-'SUPUESTOS PRECIOS'!$B$7)/'SUPUESTOS PRECIOS'!$B$4</x:f>
        <x:v>377.5</x:v>
      </x:c>
      <x:c r="W965" s="4" t="n">
        <x:f>'SUPUESTOS PRECIOS'!$B$8</x:f>
        <x:v>0.00968</x:v>
      </x:c>
      <x:c r="X965" s="4" t="n">
        <x:f>'SUPUESTOS PRECIOS'!$B$2</x:f>
        <x:v>0.4</x:v>
      </x:c>
      <x:c r="Y965" s="3" t="str">
        <x:f t="shared" si="61"/>
      </x:c>
      <x:c r="Z965" s="3" t="str">
        <x:f t="shared" si="62"/>
      </x:c>
      <x:c r="AA965" s="11" t="str">
        <x:f t="shared" si="63"/>
      </x:c>
    </x:row>
    <x:row r="966">
      <x:c r="A966" s="10" t="s">
        <x:v>2089</x:v>
      </x:c>
      <x:c r="F966" t="s">
        <x:v>1358</x:v>
      </x:c>
      <x:c r="K966">
        <x:v>1</x:v>
      </x:c>
      <x:c r="L966" t="str">
        <x:f t="shared" si="60"/>
      </x:c>
      <x:c r="O966" t="s">
        <x:v>38</x:v>
      </x:c>
      <x:c r="T966" s="2" t="n">
        <x:f>'SUPUESTOS PRECIOS'!$B$9</x:f>
        <x:v>0</x:v>
      </x:c>
      <x:c r="U966" s="3" t="n">
        <x:f>'SUPUESTOS PRECIOS'!$B$5/'SUPUESTOS PRECIOS'!$B$4</x:f>
        <x:v>1000</x:v>
      </x:c>
      <x:c r="V966" s="3" t="n">
        <x:f>('SUPUESTOS PRECIOS'!$B$6-'SUPUESTOS PRECIOS'!$B$7)/'SUPUESTOS PRECIOS'!$B$4</x:f>
        <x:v>377.5</x:v>
      </x:c>
      <x:c r="W966" s="4" t="n">
        <x:f>'SUPUESTOS PRECIOS'!$B$8</x:f>
        <x:v>0.00968</x:v>
      </x:c>
      <x:c r="X966" s="4" t="n">
        <x:f>'SUPUESTOS PRECIOS'!$B$2</x:f>
        <x:v>0.4</x:v>
      </x:c>
      <x:c r="Y966" s="3" t="str">
        <x:f t="shared" si="61"/>
      </x:c>
      <x:c r="Z966" s="3" t="str">
        <x:f t="shared" si="62"/>
      </x:c>
      <x:c r="AA966" s="11" t="str">
        <x:f t="shared" si="63"/>
      </x:c>
    </x:row>
    <x:row r="967">
      <x:c r="A967" s="10" t="s">
        <x:v>2090</x:v>
      </x:c>
      <x:c r="F967" t="s">
        <x:v>1358</x:v>
      </x:c>
      <x:c r="K967">
        <x:v>1</x:v>
      </x:c>
      <x:c r="L967" t="str">
        <x:f t="shared" si="60"/>
      </x:c>
      <x:c r="O967" t="s">
        <x:v>38</x:v>
      </x:c>
      <x:c r="T967" s="2" t="n">
        <x:f>'SUPUESTOS PRECIOS'!$B$9</x:f>
        <x:v>0</x:v>
      </x:c>
      <x:c r="U967" s="3" t="n">
        <x:f>'SUPUESTOS PRECIOS'!$B$5/'SUPUESTOS PRECIOS'!$B$4</x:f>
        <x:v>1000</x:v>
      </x:c>
      <x:c r="V967" s="3" t="n">
        <x:f>('SUPUESTOS PRECIOS'!$B$6-'SUPUESTOS PRECIOS'!$B$7)/'SUPUESTOS PRECIOS'!$B$4</x:f>
        <x:v>377.5</x:v>
      </x:c>
      <x:c r="W967" s="4" t="n">
        <x:f>'SUPUESTOS PRECIOS'!$B$8</x:f>
        <x:v>0.00968</x:v>
      </x:c>
      <x:c r="X967" s="4" t="n">
        <x:f>'SUPUESTOS PRECIOS'!$B$2</x:f>
        <x:v>0.4</x:v>
      </x:c>
      <x:c r="Y967" s="3" t="str">
        <x:f t="shared" si="61"/>
      </x:c>
      <x:c r="Z967" s="3" t="str">
        <x:f t="shared" si="62"/>
      </x:c>
      <x:c r="AA967" s="11" t="str">
        <x:f t="shared" si="63"/>
      </x:c>
    </x:row>
    <x:row r="968">
      <x:c r="A968" s="10" t="s">
        <x:v>2091</x:v>
      </x:c>
      <x:c r="F968" t="s">
        <x:v>1358</x:v>
      </x:c>
      <x:c r="K968">
        <x:v>1</x:v>
      </x:c>
      <x:c r="L968" t="str">
        <x:f t="shared" si="60"/>
      </x:c>
      <x:c r="O968" t="s">
        <x:v>38</x:v>
      </x:c>
      <x:c r="T968" s="2" t="n">
        <x:f>'SUPUESTOS PRECIOS'!$B$9</x:f>
        <x:v>0</x:v>
      </x:c>
      <x:c r="U968" s="3" t="n">
        <x:f>'SUPUESTOS PRECIOS'!$B$5/'SUPUESTOS PRECIOS'!$B$4</x:f>
        <x:v>1000</x:v>
      </x:c>
      <x:c r="V968" s="3" t="n">
        <x:f>('SUPUESTOS PRECIOS'!$B$6-'SUPUESTOS PRECIOS'!$B$7)/'SUPUESTOS PRECIOS'!$B$4</x:f>
        <x:v>377.5</x:v>
      </x:c>
      <x:c r="W968" s="4" t="n">
        <x:f>'SUPUESTOS PRECIOS'!$B$8</x:f>
        <x:v>0.00968</x:v>
      </x:c>
      <x:c r="X968" s="4" t="n">
        <x:f>'SUPUESTOS PRECIOS'!$B$2</x:f>
        <x:v>0.4</x:v>
      </x:c>
      <x:c r="Y968" s="3" t="str">
        <x:f t="shared" si="61"/>
      </x:c>
      <x:c r="Z968" s="3" t="str">
        <x:f t="shared" si="62"/>
      </x:c>
      <x:c r="AA968" s="11" t="str">
        <x:f t="shared" si="63"/>
      </x:c>
    </x:row>
    <x:row r="969">
      <x:c r="A969" s="10" t="s">
        <x:v>2092</x:v>
      </x:c>
      <x:c r="F969" t="s">
        <x:v>1358</x:v>
      </x:c>
      <x:c r="K969">
        <x:v>1</x:v>
      </x:c>
      <x:c r="L969" t="str">
        <x:f t="shared" si="60"/>
      </x:c>
      <x:c r="O969" t="s">
        <x:v>38</x:v>
      </x:c>
      <x:c r="T969" s="2" t="n">
        <x:f>'SUPUESTOS PRECIOS'!$B$9</x:f>
        <x:v>0</x:v>
      </x:c>
      <x:c r="U969" s="3" t="n">
        <x:f>'SUPUESTOS PRECIOS'!$B$5/'SUPUESTOS PRECIOS'!$B$4</x:f>
        <x:v>1000</x:v>
      </x:c>
      <x:c r="V969" s="3" t="n">
        <x:f>('SUPUESTOS PRECIOS'!$B$6-'SUPUESTOS PRECIOS'!$B$7)/'SUPUESTOS PRECIOS'!$B$4</x:f>
        <x:v>377.5</x:v>
      </x:c>
      <x:c r="W969" s="4" t="n">
        <x:f>'SUPUESTOS PRECIOS'!$B$8</x:f>
        <x:v>0.00968</x:v>
      </x:c>
      <x:c r="X969" s="4" t="n">
        <x:f>'SUPUESTOS PRECIOS'!$B$2</x:f>
        <x:v>0.4</x:v>
      </x:c>
      <x:c r="Y969" s="3" t="str">
        <x:f t="shared" si="61"/>
      </x:c>
      <x:c r="Z969" s="3" t="str">
        <x:f t="shared" si="62"/>
      </x:c>
      <x:c r="AA969" s="11" t="str">
        <x:f t="shared" si="63"/>
      </x:c>
    </x:row>
    <x:row r="970">
      <x:c r="A970" s="10" t="s">
        <x:v>2093</x:v>
      </x:c>
      <x:c r="F970" t="s">
        <x:v>1358</x:v>
      </x:c>
      <x:c r="K970">
        <x:v>1</x:v>
      </x:c>
      <x:c r="L970" t="str">
        <x:f t="shared" si="60"/>
      </x:c>
      <x:c r="O970" t="s">
        <x:v>38</x:v>
      </x:c>
      <x:c r="T970" s="2" t="n">
        <x:f>'SUPUESTOS PRECIOS'!$B$9</x:f>
        <x:v>0</x:v>
      </x:c>
      <x:c r="U970" s="3" t="n">
        <x:f>'SUPUESTOS PRECIOS'!$B$5/'SUPUESTOS PRECIOS'!$B$4</x:f>
        <x:v>1000</x:v>
      </x:c>
      <x:c r="V970" s="3" t="n">
        <x:f>('SUPUESTOS PRECIOS'!$B$6-'SUPUESTOS PRECIOS'!$B$7)/'SUPUESTOS PRECIOS'!$B$4</x:f>
        <x:v>377.5</x:v>
      </x:c>
      <x:c r="W970" s="4" t="n">
        <x:f>'SUPUESTOS PRECIOS'!$B$8</x:f>
        <x:v>0.00968</x:v>
      </x:c>
      <x:c r="X970" s="4" t="n">
        <x:f>'SUPUESTOS PRECIOS'!$B$2</x:f>
        <x:v>0.4</x:v>
      </x:c>
      <x:c r="Y970" s="3" t="str">
        <x:f t="shared" si="61"/>
      </x:c>
      <x:c r="Z970" s="3" t="str">
        <x:f t="shared" si="62"/>
      </x:c>
      <x:c r="AA970" s="11" t="str">
        <x:f t="shared" si="63"/>
      </x:c>
    </x:row>
    <x:row r="971">
      <x:c r="A971" s="10" t="s">
        <x:v>2094</x:v>
      </x:c>
      <x:c r="F971" t="s">
        <x:v>1358</x:v>
      </x:c>
      <x:c r="K971">
        <x:v>1</x:v>
      </x:c>
      <x:c r="L971" t="str">
        <x:f t="shared" si="60"/>
      </x:c>
      <x:c r="O971" t="s">
        <x:v>38</x:v>
      </x:c>
      <x:c r="T971" s="2" t="n">
        <x:f>'SUPUESTOS PRECIOS'!$B$9</x:f>
        <x:v>0</x:v>
      </x:c>
      <x:c r="U971" s="3" t="n">
        <x:f>'SUPUESTOS PRECIOS'!$B$5/'SUPUESTOS PRECIOS'!$B$4</x:f>
        <x:v>1000</x:v>
      </x:c>
      <x:c r="V971" s="3" t="n">
        <x:f>('SUPUESTOS PRECIOS'!$B$6-'SUPUESTOS PRECIOS'!$B$7)/'SUPUESTOS PRECIOS'!$B$4</x:f>
        <x:v>377.5</x:v>
      </x:c>
      <x:c r="W971" s="4" t="n">
        <x:f>'SUPUESTOS PRECIOS'!$B$8</x:f>
        <x:v>0.00968</x:v>
      </x:c>
      <x:c r="X971" s="4" t="n">
        <x:f>'SUPUESTOS PRECIOS'!$B$2</x:f>
        <x:v>0.4</x:v>
      </x:c>
      <x:c r="Y971" s="3" t="str">
        <x:f t="shared" si="61"/>
      </x:c>
      <x:c r="Z971" s="3" t="str">
        <x:f t="shared" si="62"/>
      </x:c>
      <x:c r="AA971" s="11" t="str">
        <x:f t="shared" si="63"/>
      </x:c>
    </x:row>
    <x:row r="972">
      <x:c r="A972" s="10" t="s">
        <x:v>2095</x:v>
      </x:c>
      <x:c r="F972" t="s">
        <x:v>1358</x:v>
      </x:c>
      <x:c r="K972">
        <x:v>1</x:v>
      </x:c>
      <x:c r="L972" t="str">
        <x:f t="shared" si="60"/>
      </x:c>
      <x:c r="O972" t="s">
        <x:v>38</x:v>
      </x:c>
      <x:c r="T972" s="2" t="n">
        <x:f>'SUPUESTOS PRECIOS'!$B$9</x:f>
        <x:v>0</x:v>
      </x:c>
      <x:c r="U972" s="3" t="n">
        <x:f>'SUPUESTOS PRECIOS'!$B$5/'SUPUESTOS PRECIOS'!$B$4</x:f>
        <x:v>1000</x:v>
      </x:c>
      <x:c r="V972" s="3" t="n">
        <x:f>('SUPUESTOS PRECIOS'!$B$6-'SUPUESTOS PRECIOS'!$B$7)/'SUPUESTOS PRECIOS'!$B$4</x:f>
        <x:v>377.5</x:v>
      </x:c>
      <x:c r="W972" s="4" t="n">
        <x:f>'SUPUESTOS PRECIOS'!$B$8</x:f>
        <x:v>0.00968</x:v>
      </x:c>
      <x:c r="X972" s="4" t="n">
        <x:f>'SUPUESTOS PRECIOS'!$B$2</x:f>
        <x:v>0.4</x:v>
      </x:c>
      <x:c r="Y972" s="3" t="str">
        <x:f t="shared" si="61"/>
      </x:c>
      <x:c r="Z972" s="3" t="str">
        <x:f t="shared" si="62"/>
      </x:c>
      <x:c r="AA972" s="11" t="str">
        <x:f t="shared" si="63"/>
      </x:c>
    </x:row>
    <x:row r="973">
      <x:c r="A973" s="10" t="s">
        <x:v>2096</x:v>
      </x:c>
      <x:c r="F973" t="s">
        <x:v>1358</x:v>
      </x:c>
      <x:c r="K973">
        <x:v>1</x:v>
      </x:c>
      <x:c r="L973" t="str">
        <x:f t="shared" si="60"/>
      </x:c>
      <x:c r="O973" t="s">
        <x:v>38</x:v>
      </x:c>
      <x:c r="T973" s="2" t="n">
        <x:f>'SUPUESTOS PRECIOS'!$B$9</x:f>
        <x:v>0</x:v>
      </x:c>
      <x:c r="U973" s="3" t="n">
        <x:f>'SUPUESTOS PRECIOS'!$B$5/'SUPUESTOS PRECIOS'!$B$4</x:f>
        <x:v>1000</x:v>
      </x:c>
      <x:c r="V973" s="3" t="n">
        <x:f>('SUPUESTOS PRECIOS'!$B$6-'SUPUESTOS PRECIOS'!$B$7)/'SUPUESTOS PRECIOS'!$B$4</x:f>
        <x:v>377.5</x:v>
      </x:c>
      <x:c r="W973" s="4" t="n">
        <x:f>'SUPUESTOS PRECIOS'!$B$8</x:f>
        <x:v>0.00968</x:v>
      </x:c>
      <x:c r="X973" s="4" t="n">
        <x:f>'SUPUESTOS PRECIOS'!$B$2</x:f>
        <x:v>0.4</x:v>
      </x:c>
      <x:c r="Y973" s="3" t="str">
        <x:f t="shared" si="61"/>
      </x:c>
      <x:c r="Z973" s="3" t="str">
        <x:f t="shared" si="62"/>
      </x:c>
      <x:c r="AA973" s="11" t="str">
        <x:f t="shared" si="63"/>
      </x:c>
    </x:row>
    <x:row r="974">
      <x:c r="A974" s="10" t="s">
        <x:v>2097</x:v>
      </x:c>
      <x:c r="F974" t="s">
        <x:v>1358</x:v>
      </x:c>
      <x:c r="K974">
        <x:v>1</x:v>
      </x:c>
      <x:c r="L974" t="str">
        <x:f t="shared" si="60"/>
      </x:c>
      <x:c r="O974" t="s">
        <x:v>38</x:v>
      </x:c>
      <x:c r="T974" s="2" t="n">
        <x:f>'SUPUESTOS PRECIOS'!$B$9</x:f>
        <x:v>0</x:v>
      </x:c>
      <x:c r="U974" s="3" t="n">
        <x:f>'SUPUESTOS PRECIOS'!$B$5/'SUPUESTOS PRECIOS'!$B$4</x:f>
        <x:v>1000</x:v>
      </x:c>
      <x:c r="V974" s="3" t="n">
        <x:f>('SUPUESTOS PRECIOS'!$B$6-'SUPUESTOS PRECIOS'!$B$7)/'SUPUESTOS PRECIOS'!$B$4</x:f>
        <x:v>377.5</x:v>
      </x:c>
      <x:c r="W974" s="4" t="n">
        <x:f>'SUPUESTOS PRECIOS'!$B$8</x:f>
        <x:v>0.00968</x:v>
      </x:c>
      <x:c r="X974" s="4" t="n">
        <x:f>'SUPUESTOS PRECIOS'!$B$2</x:f>
        <x:v>0.4</x:v>
      </x:c>
      <x:c r="Y974" s="3" t="str">
        <x:f t="shared" si="61"/>
      </x:c>
      <x:c r="Z974" s="3" t="str">
        <x:f t="shared" si="62"/>
      </x:c>
      <x:c r="AA974" s="11" t="str">
        <x:f t="shared" si="63"/>
      </x:c>
    </x:row>
    <x:row r="975">
      <x:c r="A975" s="10" t="s">
        <x:v>2098</x:v>
      </x:c>
      <x:c r="F975" t="s">
        <x:v>1358</x:v>
      </x:c>
      <x:c r="K975">
        <x:v>1</x:v>
      </x:c>
      <x:c r="L975" t="str">
        <x:f t="shared" si="60"/>
      </x:c>
      <x:c r="O975" t="s">
        <x:v>38</x:v>
      </x:c>
      <x:c r="T975" s="2" t="n">
        <x:f>'SUPUESTOS PRECIOS'!$B$9</x:f>
        <x:v>0</x:v>
      </x:c>
      <x:c r="U975" s="3" t="n">
        <x:f>'SUPUESTOS PRECIOS'!$B$5/'SUPUESTOS PRECIOS'!$B$4</x:f>
        <x:v>1000</x:v>
      </x:c>
      <x:c r="V975" s="3" t="n">
        <x:f>('SUPUESTOS PRECIOS'!$B$6-'SUPUESTOS PRECIOS'!$B$7)/'SUPUESTOS PRECIOS'!$B$4</x:f>
        <x:v>377.5</x:v>
      </x:c>
      <x:c r="W975" s="4" t="n">
        <x:f>'SUPUESTOS PRECIOS'!$B$8</x:f>
        <x:v>0.00968</x:v>
      </x:c>
      <x:c r="X975" s="4" t="n">
        <x:f>'SUPUESTOS PRECIOS'!$B$2</x:f>
        <x:v>0.4</x:v>
      </x:c>
      <x:c r="Y975" s="3" t="str">
        <x:f t="shared" si="61"/>
      </x:c>
      <x:c r="Z975" s="3" t="str">
        <x:f t="shared" si="62"/>
      </x:c>
      <x:c r="AA975" s="11" t="str">
        <x:f t="shared" si="63"/>
      </x:c>
    </x:row>
    <x:row r="976">
      <x:c r="A976" s="10" t="s">
        <x:v>2099</x:v>
      </x:c>
      <x:c r="F976" t="s">
        <x:v>1358</x:v>
      </x:c>
      <x:c r="K976">
        <x:v>1</x:v>
      </x:c>
      <x:c r="L976" t="str">
        <x:f t="shared" si="60"/>
      </x:c>
      <x:c r="O976" t="s">
        <x:v>38</x:v>
      </x:c>
      <x:c r="T976" s="2" t="n">
        <x:f>'SUPUESTOS PRECIOS'!$B$9</x:f>
        <x:v>0</x:v>
      </x:c>
      <x:c r="U976" s="3" t="n">
        <x:f>'SUPUESTOS PRECIOS'!$B$5/'SUPUESTOS PRECIOS'!$B$4</x:f>
        <x:v>1000</x:v>
      </x:c>
      <x:c r="V976" s="3" t="n">
        <x:f>('SUPUESTOS PRECIOS'!$B$6-'SUPUESTOS PRECIOS'!$B$7)/'SUPUESTOS PRECIOS'!$B$4</x:f>
        <x:v>377.5</x:v>
      </x:c>
      <x:c r="W976" s="4" t="n">
        <x:f>'SUPUESTOS PRECIOS'!$B$8</x:f>
        <x:v>0.00968</x:v>
      </x:c>
      <x:c r="X976" s="4" t="n">
        <x:f>'SUPUESTOS PRECIOS'!$B$2</x:f>
        <x:v>0.4</x:v>
      </x:c>
      <x:c r="Y976" s="3" t="str">
        <x:f t="shared" si="61"/>
      </x:c>
      <x:c r="Z976" s="3" t="str">
        <x:f t="shared" si="62"/>
      </x:c>
      <x:c r="AA976" s="11" t="str">
        <x:f t="shared" si="63"/>
      </x:c>
    </x:row>
    <x:row r="977">
      <x:c r="A977" s="10" t="s">
        <x:v>2100</x:v>
      </x:c>
      <x:c r="F977" t="s">
        <x:v>1358</x:v>
      </x:c>
      <x:c r="K977">
        <x:v>1</x:v>
      </x:c>
      <x:c r="L977" t="str">
        <x:f t="shared" si="60"/>
      </x:c>
      <x:c r="O977" t="s">
        <x:v>38</x:v>
      </x:c>
      <x:c r="T977" s="2" t="n">
        <x:f>'SUPUESTOS PRECIOS'!$B$9</x:f>
        <x:v>0</x:v>
      </x:c>
      <x:c r="U977" s="3" t="n">
        <x:f>'SUPUESTOS PRECIOS'!$B$5/'SUPUESTOS PRECIOS'!$B$4</x:f>
        <x:v>1000</x:v>
      </x:c>
      <x:c r="V977" s="3" t="n">
        <x:f>('SUPUESTOS PRECIOS'!$B$6-'SUPUESTOS PRECIOS'!$B$7)/'SUPUESTOS PRECIOS'!$B$4</x:f>
        <x:v>377.5</x:v>
      </x:c>
      <x:c r="W977" s="4" t="n">
        <x:f>'SUPUESTOS PRECIOS'!$B$8</x:f>
        <x:v>0.00968</x:v>
      </x:c>
      <x:c r="X977" s="4" t="n">
        <x:f>'SUPUESTOS PRECIOS'!$B$2</x:f>
        <x:v>0.4</x:v>
      </x:c>
      <x:c r="Y977" s="3" t="str">
        <x:f t="shared" si="61"/>
      </x:c>
      <x:c r="Z977" s="3" t="str">
        <x:f t="shared" si="62"/>
      </x:c>
      <x:c r="AA977" s="11" t="str">
        <x:f t="shared" si="63"/>
      </x:c>
    </x:row>
    <x:row r="978">
      <x:c r="A978" s="10" t="s">
        <x:v>2101</x:v>
      </x:c>
      <x:c r="F978" t="s">
        <x:v>1358</x:v>
      </x:c>
      <x:c r="K978">
        <x:v>1</x:v>
      </x:c>
      <x:c r="L978" t="str">
        <x:f t="shared" si="60"/>
      </x:c>
      <x:c r="O978" t="s">
        <x:v>38</x:v>
      </x:c>
      <x:c r="T978" s="2" t="n">
        <x:f>'SUPUESTOS PRECIOS'!$B$9</x:f>
        <x:v>0</x:v>
      </x:c>
      <x:c r="U978" s="3" t="n">
        <x:f>'SUPUESTOS PRECIOS'!$B$5/'SUPUESTOS PRECIOS'!$B$4</x:f>
        <x:v>1000</x:v>
      </x:c>
      <x:c r="V978" s="3" t="n">
        <x:f>('SUPUESTOS PRECIOS'!$B$6-'SUPUESTOS PRECIOS'!$B$7)/'SUPUESTOS PRECIOS'!$B$4</x:f>
        <x:v>377.5</x:v>
      </x:c>
      <x:c r="W978" s="4" t="n">
        <x:f>'SUPUESTOS PRECIOS'!$B$8</x:f>
        <x:v>0.00968</x:v>
      </x:c>
      <x:c r="X978" s="4" t="n">
        <x:f>'SUPUESTOS PRECIOS'!$B$2</x:f>
        <x:v>0.4</x:v>
      </x:c>
      <x:c r="Y978" s="3" t="str">
        <x:f t="shared" si="61"/>
      </x:c>
      <x:c r="Z978" s="3" t="str">
        <x:f t="shared" si="62"/>
      </x:c>
      <x:c r="AA978" s="11" t="str">
        <x:f t="shared" si="63"/>
      </x:c>
    </x:row>
    <x:row r="979">
      <x:c r="A979" s="10" t="s">
        <x:v>2102</x:v>
      </x:c>
      <x:c r="F979" t="s">
        <x:v>1358</x:v>
      </x:c>
      <x:c r="K979">
        <x:v>1</x:v>
      </x:c>
      <x:c r="L979" t="str">
        <x:f t="shared" si="60"/>
      </x:c>
      <x:c r="O979" t="s">
        <x:v>38</x:v>
      </x:c>
      <x:c r="T979" s="2" t="n">
        <x:f>'SUPUESTOS PRECIOS'!$B$9</x:f>
        <x:v>0</x:v>
      </x:c>
      <x:c r="U979" s="3" t="n">
        <x:f>'SUPUESTOS PRECIOS'!$B$5/'SUPUESTOS PRECIOS'!$B$4</x:f>
        <x:v>1000</x:v>
      </x:c>
      <x:c r="V979" s="3" t="n">
        <x:f>('SUPUESTOS PRECIOS'!$B$6-'SUPUESTOS PRECIOS'!$B$7)/'SUPUESTOS PRECIOS'!$B$4</x:f>
        <x:v>377.5</x:v>
      </x:c>
      <x:c r="W979" s="4" t="n">
        <x:f>'SUPUESTOS PRECIOS'!$B$8</x:f>
        <x:v>0.00968</x:v>
      </x:c>
      <x:c r="X979" s="4" t="n">
        <x:f>'SUPUESTOS PRECIOS'!$B$2</x:f>
        <x:v>0.4</x:v>
      </x:c>
      <x:c r="Y979" s="3" t="str">
        <x:f t="shared" si="61"/>
      </x:c>
      <x:c r="Z979" s="3" t="str">
        <x:f t="shared" si="62"/>
      </x:c>
      <x:c r="AA979" s="11" t="str">
        <x:f t="shared" si="63"/>
      </x:c>
    </x:row>
    <x:row r="980">
      <x:c r="A980" s="10" t="s">
        <x:v>2103</x:v>
      </x:c>
      <x:c r="F980" t="s">
        <x:v>1358</x:v>
      </x:c>
      <x:c r="K980">
        <x:v>1</x:v>
      </x:c>
      <x:c r="L980" t="str">
        <x:f t="shared" si="60"/>
      </x:c>
      <x:c r="O980" t="s">
        <x:v>38</x:v>
      </x:c>
      <x:c r="T980" s="2" t="n">
        <x:f>'SUPUESTOS PRECIOS'!$B$9</x:f>
        <x:v>0</x:v>
      </x:c>
      <x:c r="U980" s="3" t="n">
        <x:f>'SUPUESTOS PRECIOS'!$B$5/'SUPUESTOS PRECIOS'!$B$4</x:f>
        <x:v>1000</x:v>
      </x:c>
      <x:c r="V980" s="3" t="n">
        <x:f>('SUPUESTOS PRECIOS'!$B$6-'SUPUESTOS PRECIOS'!$B$7)/'SUPUESTOS PRECIOS'!$B$4</x:f>
        <x:v>377.5</x:v>
      </x:c>
      <x:c r="W980" s="4" t="n">
        <x:f>'SUPUESTOS PRECIOS'!$B$8</x:f>
        <x:v>0.00968</x:v>
      </x:c>
      <x:c r="X980" s="4" t="n">
        <x:f>'SUPUESTOS PRECIOS'!$B$2</x:f>
        <x:v>0.4</x:v>
      </x:c>
      <x:c r="Y980" s="3" t="str">
        <x:f t="shared" si="61"/>
      </x:c>
      <x:c r="Z980" s="3" t="str">
        <x:f t="shared" si="62"/>
      </x:c>
      <x:c r="AA980" s="11" t="str">
        <x:f t="shared" si="63"/>
      </x:c>
    </x:row>
    <x:row r="981">
      <x:c r="A981" s="10" t="s">
        <x:v>2104</x:v>
      </x:c>
      <x:c r="F981" t="s">
        <x:v>1358</x:v>
      </x:c>
      <x:c r="K981">
        <x:v>1</x:v>
      </x:c>
      <x:c r="L981" t="str">
        <x:f t="shared" si="60"/>
      </x:c>
      <x:c r="O981" t="s">
        <x:v>38</x:v>
      </x:c>
      <x:c r="T981" s="2" t="n">
        <x:f>'SUPUESTOS PRECIOS'!$B$9</x:f>
        <x:v>0</x:v>
      </x:c>
      <x:c r="U981" s="3" t="n">
        <x:f>'SUPUESTOS PRECIOS'!$B$5/'SUPUESTOS PRECIOS'!$B$4</x:f>
        <x:v>1000</x:v>
      </x:c>
      <x:c r="V981" s="3" t="n">
        <x:f>('SUPUESTOS PRECIOS'!$B$6-'SUPUESTOS PRECIOS'!$B$7)/'SUPUESTOS PRECIOS'!$B$4</x:f>
        <x:v>377.5</x:v>
      </x:c>
      <x:c r="W981" s="4" t="n">
        <x:f>'SUPUESTOS PRECIOS'!$B$8</x:f>
        <x:v>0.00968</x:v>
      </x:c>
      <x:c r="X981" s="4" t="n">
        <x:f>'SUPUESTOS PRECIOS'!$B$2</x:f>
        <x:v>0.4</x:v>
      </x:c>
      <x:c r="Y981" s="3" t="str">
        <x:f t="shared" si="61"/>
      </x:c>
      <x:c r="Z981" s="3" t="str">
        <x:f t="shared" si="62"/>
      </x:c>
      <x:c r="AA981" s="11" t="str">
        <x:f t="shared" si="63"/>
      </x:c>
    </x:row>
    <x:row r="982">
      <x:c r="A982" s="10" t="s">
        <x:v>2105</x:v>
      </x:c>
      <x:c r="F982" t="s">
        <x:v>1358</x:v>
      </x:c>
      <x:c r="K982">
        <x:v>1</x:v>
      </x:c>
      <x:c r="L982" t="str">
        <x:f t="shared" si="60"/>
      </x:c>
      <x:c r="O982" t="s">
        <x:v>38</x:v>
      </x:c>
      <x:c r="T982" s="2" t="n">
        <x:f>'SUPUESTOS PRECIOS'!$B$9</x:f>
        <x:v>0</x:v>
      </x:c>
      <x:c r="U982" s="3" t="n">
        <x:f>'SUPUESTOS PRECIOS'!$B$5/'SUPUESTOS PRECIOS'!$B$4</x:f>
        <x:v>1000</x:v>
      </x:c>
      <x:c r="V982" s="3" t="n">
        <x:f>('SUPUESTOS PRECIOS'!$B$6-'SUPUESTOS PRECIOS'!$B$7)/'SUPUESTOS PRECIOS'!$B$4</x:f>
        <x:v>377.5</x:v>
      </x:c>
      <x:c r="W982" s="4" t="n">
        <x:f>'SUPUESTOS PRECIOS'!$B$8</x:f>
        <x:v>0.00968</x:v>
      </x:c>
      <x:c r="X982" s="4" t="n">
        <x:f>'SUPUESTOS PRECIOS'!$B$2</x:f>
        <x:v>0.4</x:v>
      </x:c>
      <x:c r="Y982" s="3" t="str">
        <x:f t="shared" si="61"/>
      </x:c>
      <x:c r="Z982" s="3" t="str">
        <x:f t="shared" si="62"/>
      </x:c>
      <x:c r="AA982" s="11" t="str">
        <x:f t="shared" si="63"/>
      </x:c>
    </x:row>
    <x:row r="983">
      <x:c r="A983" s="10" t="s">
        <x:v>2106</x:v>
      </x:c>
      <x:c r="F983" t="s">
        <x:v>1358</x:v>
      </x:c>
      <x:c r="K983">
        <x:v>1</x:v>
      </x:c>
      <x:c r="L983" t="str">
        <x:f t="shared" si="60"/>
      </x:c>
      <x:c r="O983" t="s">
        <x:v>38</x:v>
      </x:c>
      <x:c r="T983" s="2" t="n">
        <x:f>'SUPUESTOS PRECIOS'!$B$9</x:f>
        <x:v>0</x:v>
      </x:c>
      <x:c r="U983" s="3" t="n">
        <x:f>'SUPUESTOS PRECIOS'!$B$5/'SUPUESTOS PRECIOS'!$B$4</x:f>
        <x:v>1000</x:v>
      </x:c>
      <x:c r="V983" s="3" t="n">
        <x:f>('SUPUESTOS PRECIOS'!$B$6-'SUPUESTOS PRECIOS'!$B$7)/'SUPUESTOS PRECIOS'!$B$4</x:f>
        <x:v>377.5</x:v>
      </x:c>
      <x:c r="W983" s="4" t="n">
        <x:f>'SUPUESTOS PRECIOS'!$B$8</x:f>
        <x:v>0.00968</x:v>
      </x:c>
      <x:c r="X983" s="4" t="n">
        <x:f>'SUPUESTOS PRECIOS'!$B$2</x:f>
        <x:v>0.4</x:v>
      </x:c>
      <x:c r="Y983" s="3" t="str">
        <x:f t="shared" si="61"/>
      </x:c>
      <x:c r="Z983" s="3" t="str">
        <x:f t="shared" si="62"/>
      </x:c>
      <x:c r="AA983" s="11" t="str">
        <x:f t="shared" si="63"/>
      </x:c>
    </x:row>
    <x:row r="984">
      <x:c r="A984" s="10" t="s">
        <x:v>2107</x:v>
      </x:c>
      <x:c r="F984" t="s">
        <x:v>1358</x:v>
      </x:c>
      <x:c r="K984">
        <x:v>1</x:v>
      </x:c>
      <x:c r="L984" t="str">
        <x:f t="shared" si="60"/>
      </x:c>
      <x:c r="O984" t="s">
        <x:v>38</x:v>
      </x:c>
      <x:c r="T984" s="2" t="n">
        <x:f>'SUPUESTOS PRECIOS'!$B$9</x:f>
        <x:v>0</x:v>
      </x:c>
      <x:c r="U984" s="3" t="n">
        <x:f>'SUPUESTOS PRECIOS'!$B$5/'SUPUESTOS PRECIOS'!$B$4</x:f>
        <x:v>1000</x:v>
      </x:c>
      <x:c r="V984" s="3" t="n">
        <x:f>('SUPUESTOS PRECIOS'!$B$6-'SUPUESTOS PRECIOS'!$B$7)/'SUPUESTOS PRECIOS'!$B$4</x:f>
        <x:v>377.5</x:v>
      </x:c>
      <x:c r="W984" s="4" t="n">
        <x:f>'SUPUESTOS PRECIOS'!$B$8</x:f>
        <x:v>0.00968</x:v>
      </x:c>
      <x:c r="X984" s="4" t="n">
        <x:f>'SUPUESTOS PRECIOS'!$B$2</x:f>
        <x:v>0.4</x:v>
      </x:c>
      <x:c r="Y984" s="3" t="str">
        <x:f t="shared" si="61"/>
      </x:c>
      <x:c r="Z984" s="3" t="str">
        <x:f t="shared" si="62"/>
      </x:c>
      <x:c r="AA984" s="11" t="str">
        <x:f t="shared" si="63"/>
      </x:c>
    </x:row>
    <x:row r="985">
      <x:c r="A985" s="10" t="s">
        <x:v>2108</x:v>
      </x:c>
      <x:c r="F985" t="s">
        <x:v>1358</x:v>
      </x:c>
      <x:c r="K985">
        <x:v>1</x:v>
      </x:c>
      <x:c r="L985" t="str">
        <x:f t="shared" si="60"/>
      </x:c>
      <x:c r="O985" t="s">
        <x:v>38</x:v>
      </x:c>
      <x:c r="T985" s="2" t="n">
        <x:f>'SUPUESTOS PRECIOS'!$B$9</x:f>
        <x:v>0</x:v>
      </x:c>
      <x:c r="U985" s="3" t="n">
        <x:f>'SUPUESTOS PRECIOS'!$B$5/'SUPUESTOS PRECIOS'!$B$4</x:f>
        <x:v>1000</x:v>
      </x:c>
      <x:c r="V985" s="3" t="n">
        <x:f>('SUPUESTOS PRECIOS'!$B$6-'SUPUESTOS PRECIOS'!$B$7)/'SUPUESTOS PRECIOS'!$B$4</x:f>
        <x:v>377.5</x:v>
      </x:c>
      <x:c r="W985" s="4" t="n">
        <x:f>'SUPUESTOS PRECIOS'!$B$8</x:f>
        <x:v>0.00968</x:v>
      </x:c>
      <x:c r="X985" s="4" t="n">
        <x:f>'SUPUESTOS PRECIOS'!$B$2</x:f>
        <x:v>0.4</x:v>
      </x:c>
      <x:c r="Y985" s="3" t="str">
        <x:f t="shared" si="61"/>
      </x:c>
      <x:c r="Z985" s="3" t="str">
        <x:f t="shared" si="62"/>
      </x:c>
      <x:c r="AA985" s="11" t="str">
        <x:f t="shared" si="63"/>
      </x:c>
    </x:row>
    <x:row r="986">
      <x:c r="A986" s="10" t="s">
        <x:v>2109</x:v>
      </x:c>
      <x:c r="F986" t="s">
        <x:v>1358</x:v>
      </x:c>
      <x:c r="K986">
        <x:v>1</x:v>
      </x:c>
      <x:c r="L986" t="str">
        <x:f t="shared" si="60"/>
      </x:c>
      <x:c r="O986" t="s">
        <x:v>38</x:v>
      </x:c>
      <x:c r="T986" s="2" t="n">
        <x:f>'SUPUESTOS PRECIOS'!$B$9</x:f>
        <x:v>0</x:v>
      </x:c>
      <x:c r="U986" s="3" t="n">
        <x:f>'SUPUESTOS PRECIOS'!$B$5/'SUPUESTOS PRECIOS'!$B$4</x:f>
        <x:v>1000</x:v>
      </x:c>
      <x:c r="V986" s="3" t="n">
        <x:f>('SUPUESTOS PRECIOS'!$B$6-'SUPUESTOS PRECIOS'!$B$7)/'SUPUESTOS PRECIOS'!$B$4</x:f>
        <x:v>377.5</x:v>
      </x:c>
      <x:c r="W986" s="4" t="n">
        <x:f>'SUPUESTOS PRECIOS'!$B$8</x:f>
        <x:v>0.00968</x:v>
      </x:c>
      <x:c r="X986" s="4" t="n">
        <x:f>'SUPUESTOS PRECIOS'!$B$2</x:f>
        <x:v>0.4</x:v>
      </x:c>
      <x:c r="Y986" s="3" t="str">
        <x:f t="shared" si="61"/>
      </x:c>
      <x:c r="Z986" s="3" t="str">
        <x:f t="shared" si="62"/>
      </x:c>
      <x:c r="AA986" s="11" t="str">
        <x:f t="shared" si="63"/>
      </x:c>
    </x:row>
    <x:row r="987">
      <x:c r="A987" s="10" t="s">
        <x:v>2110</x:v>
      </x:c>
      <x:c r="F987" t="s">
        <x:v>1358</x:v>
      </x:c>
      <x:c r="K987">
        <x:v>1</x:v>
      </x:c>
      <x:c r="L987" t="str">
        <x:f t="shared" si="60"/>
      </x:c>
      <x:c r="O987" t="s">
        <x:v>38</x:v>
      </x:c>
      <x:c r="T987" s="2" t="n">
        <x:f>'SUPUESTOS PRECIOS'!$B$9</x:f>
        <x:v>0</x:v>
      </x:c>
      <x:c r="U987" s="3" t="n">
        <x:f>'SUPUESTOS PRECIOS'!$B$5/'SUPUESTOS PRECIOS'!$B$4</x:f>
        <x:v>1000</x:v>
      </x:c>
      <x:c r="V987" s="3" t="n">
        <x:f>('SUPUESTOS PRECIOS'!$B$6-'SUPUESTOS PRECIOS'!$B$7)/'SUPUESTOS PRECIOS'!$B$4</x:f>
        <x:v>377.5</x:v>
      </x:c>
      <x:c r="W987" s="4" t="n">
        <x:f>'SUPUESTOS PRECIOS'!$B$8</x:f>
        <x:v>0.00968</x:v>
      </x:c>
      <x:c r="X987" s="4" t="n">
        <x:f>'SUPUESTOS PRECIOS'!$B$2</x:f>
        <x:v>0.4</x:v>
      </x:c>
      <x:c r="Y987" s="3" t="str">
        <x:f t="shared" si="61"/>
      </x:c>
      <x:c r="Z987" s="3" t="str">
        <x:f t="shared" si="62"/>
      </x:c>
      <x:c r="AA987" s="11" t="str">
        <x:f t="shared" si="63"/>
      </x:c>
    </x:row>
    <x:row r="988">
      <x:c r="A988" s="10" t="s">
        <x:v>2111</x:v>
      </x:c>
      <x:c r="F988" t="s">
        <x:v>1358</x:v>
      </x:c>
      <x:c r="K988">
        <x:v>1</x:v>
      </x:c>
      <x:c r="L988" t="str">
        <x:f t="shared" si="60"/>
      </x:c>
      <x:c r="O988" t="s">
        <x:v>38</x:v>
      </x:c>
      <x:c r="T988" s="2" t="n">
        <x:f>'SUPUESTOS PRECIOS'!$B$9</x:f>
        <x:v>0</x:v>
      </x:c>
      <x:c r="U988" s="3" t="n">
        <x:f>'SUPUESTOS PRECIOS'!$B$5/'SUPUESTOS PRECIOS'!$B$4</x:f>
        <x:v>1000</x:v>
      </x:c>
      <x:c r="V988" s="3" t="n">
        <x:f>('SUPUESTOS PRECIOS'!$B$6-'SUPUESTOS PRECIOS'!$B$7)/'SUPUESTOS PRECIOS'!$B$4</x:f>
        <x:v>377.5</x:v>
      </x:c>
      <x:c r="W988" s="4" t="n">
        <x:f>'SUPUESTOS PRECIOS'!$B$8</x:f>
        <x:v>0.00968</x:v>
      </x:c>
      <x:c r="X988" s="4" t="n">
        <x:f>'SUPUESTOS PRECIOS'!$B$2</x:f>
        <x:v>0.4</x:v>
      </x:c>
      <x:c r="Y988" s="3" t="str">
        <x:f t="shared" si="61"/>
      </x:c>
      <x:c r="Z988" s="3" t="str">
        <x:f t="shared" si="62"/>
      </x:c>
      <x:c r="AA988" s="11" t="str">
        <x:f t="shared" si="63"/>
      </x:c>
    </x:row>
    <x:row r="989">
      <x:c r="A989" s="10" t="s">
        <x:v>2112</x:v>
      </x:c>
      <x:c r="F989" t="s">
        <x:v>1358</x:v>
      </x:c>
      <x:c r="K989">
        <x:v>1</x:v>
      </x:c>
      <x:c r="L989" t="str">
        <x:f t="shared" si="60"/>
      </x:c>
      <x:c r="O989" t="s">
        <x:v>38</x:v>
      </x:c>
      <x:c r="T989" s="2" t="n">
        <x:f>'SUPUESTOS PRECIOS'!$B$9</x:f>
        <x:v>0</x:v>
      </x:c>
      <x:c r="U989" s="3" t="n">
        <x:f>'SUPUESTOS PRECIOS'!$B$5/'SUPUESTOS PRECIOS'!$B$4</x:f>
        <x:v>1000</x:v>
      </x:c>
      <x:c r="V989" s="3" t="n">
        <x:f>('SUPUESTOS PRECIOS'!$B$6-'SUPUESTOS PRECIOS'!$B$7)/'SUPUESTOS PRECIOS'!$B$4</x:f>
        <x:v>377.5</x:v>
      </x:c>
      <x:c r="W989" s="4" t="n">
        <x:f>'SUPUESTOS PRECIOS'!$B$8</x:f>
        <x:v>0.00968</x:v>
      </x:c>
      <x:c r="X989" s="4" t="n">
        <x:f>'SUPUESTOS PRECIOS'!$B$2</x:f>
        <x:v>0.4</x:v>
      </x:c>
      <x:c r="Y989" s="3" t="str">
        <x:f t="shared" si="61"/>
      </x:c>
      <x:c r="Z989" s="3" t="str">
        <x:f t="shared" si="62"/>
      </x:c>
      <x:c r="AA989" s="11" t="str">
        <x:f t="shared" si="63"/>
      </x:c>
    </x:row>
    <x:row r="990">
      <x:c r="A990" s="10" t="s">
        <x:v>2113</x:v>
      </x:c>
      <x:c r="F990" t="s">
        <x:v>1358</x:v>
      </x:c>
      <x:c r="K990">
        <x:v>1</x:v>
      </x:c>
      <x:c r="L990" t="str">
        <x:f t="shared" si="60"/>
      </x:c>
      <x:c r="O990" t="s">
        <x:v>38</x:v>
      </x:c>
      <x:c r="T990" s="2" t="n">
        <x:f>'SUPUESTOS PRECIOS'!$B$9</x:f>
        <x:v>0</x:v>
      </x:c>
      <x:c r="U990" s="3" t="n">
        <x:f>'SUPUESTOS PRECIOS'!$B$5/'SUPUESTOS PRECIOS'!$B$4</x:f>
        <x:v>1000</x:v>
      </x:c>
      <x:c r="V990" s="3" t="n">
        <x:f>('SUPUESTOS PRECIOS'!$B$6-'SUPUESTOS PRECIOS'!$B$7)/'SUPUESTOS PRECIOS'!$B$4</x:f>
        <x:v>377.5</x:v>
      </x:c>
      <x:c r="W990" s="4" t="n">
        <x:f>'SUPUESTOS PRECIOS'!$B$8</x:f>
        <x:v>0.00968</x:v>
      </x:c>
      <x:c r="X990" s="4" t="n">
        <x:f>'SUPUESTOS PRECIOS'!$B$2</x:f>
        <x:v>0.4</x:v>
      </x:c>
      <x:c r="Y990" s="3" t="str">
        <x:f t="shared" si="61"/>
      </x:c>
      <x:c r="Z990" s="3" t="str">
        <x:f t="shared" si="62"/>
      </x:c>
      <x:c r="AA990" s="11" t="str">
        <x:f t="shared" si="63"/>
      </x:c>
    </x:row>
    <x:row r="991">
      <x:c r="A991" s="10" t="s">
        <x:v>2114</x:v>
      </x:c>
      <x:c r="F991" t="s">
        <x:v>1358</x:v>
      </x:c>
      <x:c r="K991">
        <x:v>1</x:v>
      </x:c>
      <x:c r="L991" t="str">
        <x:f t="shared" si="60"/>
      </x:c>
      <x:c r="O991" t="s">
        <x:v>38</x:v>
      </x:c>
      <x:c r="T991" s="2" t="n">
        <x:f>'SUPUESTOS PRECIOS'!$B$9</x:f>
        <x:v>0</x:v>
      </x:c>
      <x:c r="U991" s="3" t="n">
        <x:f>'SUPUESTOS PRECIOS'!$B$5/'SUPUESTOS PRECIOS'!$B$4</x:f>
        <x:v>1000</x:v>
      </x:c>
      <x:c r="V991" s="3" t="n">
        <x:f>('SUPUESTOS PRECIOS'!$B$6-'SUPUESTOS PRECIOS'!$B$7)/'SUPUESTOS PRECIOS'!$B$4</x:f>
        <x:v>377.5</x:v>
      </x:c>
      <x:c r="W991" s="4" t="n">
        <x:f>'SUPUESTOS PRECIOS'!$B$8</x:f>
        <x:v>0.00968</x:v>
      </x:c>
      <x:c r="X991" s="4" t="n">
        <x:f>'SUPUESTOS PRECIOS'!$B$2</x:f>
        <x:v>0.4</x:v>
      </x:c>
      <x:c r="Y991" s="3" t="str">
        <x:f t="shared" si="61"/>
      </x:c>
      <x:c r="Z991" s="3" t="str">
        <x:f t="shared" si="62"/>
      </x:c>
      <x:c r="AA991" s="11" t="str">
        <x:f t="shared" si="63"/>
      </x:c>
    </x:row>
    <x:row r="992">
      <x:c r="A992" s="10" t="s">
        <x:v>2115</x:v>
      </x:c>
      <x:c r="F992" t="s">
        <x:v>1358</x:v>
      </x:c>
      <x:c r="K992">
        <x:v>1</x:v>
      </x:c>
      <x:c r="L992" t="str">
        <x:f t="shared" si="60"/>
      </x:c>
      <x:c r="O992" t="s">
        <x:v>38</x:v>
      </x:c>
      <x:c r="T992" s="2" t="n">
        <x:f>'SUPUESTOS PRECIOS'!$B$9</x:f>
        <x:v>0</x:v>
      </x:c>
      <x:c r="U992" s="3" t="n">
        <x:f>'SUPUESTOS PRECIOS'!$B$5/'SUPUESTOS PRECIOS'!$B$4</x:f>
        <x:v>1000</x:v>
      </x:c>
      <x:c r="V992" s="3" t="n">
        <x:f>('SUPUESTOS PRECIOS'!$B$6-'SUPUESTOS PRECIOS'!$B$7)/'SUPUESTOS PRECIOS'!$B$4</x:f>
        <x:v>377.5</x:v>
      </x:c>
      <x:c r="W992" s="4" t="n">
        <x:f>'SUPUESTOS PRECIOS'!$B$8</x:f>
        <x:v>0.00968</x:v>
      </x:c>
      <x:c r="X992" s="4" t="n">
        <x:f>'SUPUESTOS PRECIOS'!$B$2</x:f>
        <x:v>0.4</x:v>
      </x:c>
      <x:c r="Y992" s="3" t="str">
        <x:f t="shared" si="61"/>
      </x:c>
      <x:c r="Z992" s="3" t="str">
        <x:f t="shared" si="62"/>
      </x:c>
      <x:c r="AA992" s="11" t="str">
        <x:f t="shared" si="63"/>
      </x:c>
    </x:row>
    <x:row r="993">
      <x:c r="A993" s="10" t="s">
        <x:v>2116</x:v>
      </x:c>
      <x:c r="F993" t="s">
        <x:v>1358</x:v>
      </x:c>
      <x:c r="K993">
        <x:v>1</x:v>
      </x:c>
      <x:c r="L993" t="str">
        <x:f t="shared" si="60"/>
      </x:c>
      <x:c r="O993" t="s">
        <x:v>38</x:v>
      </x:c>
      <x:c r="T993" s="2" t="n">
        <x:f>'SUPUESTOS PRECIOS'!$B$9</x:f>
        <x:v>0</x:v>
      </x:c>
      <x:c r="U993" s="3" t="n">
        <x:f>'SUPUESTOS PRECIOS'!$B$5/'SUPUESTOS PRECIOS'!$B$4</x:f>
        <x:v>1000</x:v>
      </x:c>
      <x:c r="V993" s="3" t="n">
        <x:f>('SUPUESTOS PRECIOS'!$B$6-'SUPUESTOS PRECIOS'!$B$7)/'SUPUESTOS PRECIOS'!$B$4</x:f>
        <x:v>377.5</x:v>
      </x:c>
      <x:c r="W993" s="4" t="n">
        <x:f>'SUPUESTOS PRECIOS'!$B$8</x:f>
        <x:v>0.00968</x:v>
      </x:c>
      <x:c r="X993" s="4" t="n">
        <x:f>'SUPUESTOS PRECIOS'!$B$2</x:f>
        <x:v>0.4</x:v>
      </x:c>
      <x:c r="Y993" s="3" t="str">
        <x:f t="shared" si="61"/>
      </x:c>
      <x:c r="Z993" s="3" t="str">
        <x:f t="shared" si="62"/>
      </x:c>
      <x:c r="AA993" s="11" t="str">
        <x:f t="shared" si="63"/>
      </x:c>
    </x:row>
    <x:row r="994">
      <x:c r="A994" s="10" t="s">
        <x:v>2117</x:v>
      </x:c>
      <x:c r="F994" t="s">
        <x:v>1358</x:v>
      </x:c>
      <x:c r="K994">
        <x:v>1</x:v>
      </x:c>
      <x:c r="L994" t="str">
        <x:f t="shared" si="60"/>
      </x:c>
      <x:c r="O994" t="s">
        <x:v>38</x:v>
      </x:c>
      <x:c r="T994" s="2" t="n">
        <x:f>'SUPUESTOS PRECIOS'!$B$9</x:f>
        <x:v>0</x:v>
      </x:c>
      <x:c r="U994" s="3" t="n">
        <x:f>'SUPUESTOS PRECIOS'!$B$5/'SUPUESTOS PRECIOS'!$B$4</x:f>
        <x:v>1000</x:v>
      </x:c>
      <x:c r="V994" s="3" t="n">
        <x:f>('SUPUESTOS PRECIOS'!$B$6-'SUPUESTOS PRECIOS'!$B$7)/'SUPUESTOS PRECIOS'!$B$4</x:f>
        <x:v>377.5</x:v>
      </x:c>
      <x:c r="W994" s="4" t="n">
        <x:f>'SUPUESTOS PRECIOS'!$B$8</x:f>
        <x:v>0.00968</x:v>
      </x:c>
      <x:c r="X994" s="4" t="n">
        <x:f>'SUPUESTOS PRECIOS'!$B$2</x:f>
        <x:v>0.4</x:v>
      </x:c>
      <x:c r="Y994" s="3" t="str">
        <x:f t="shared" si="61"/>
      </x:c>
      <x:c r="Z994" s="3" t="str">
        <x:f t="shared" si="62"/>
      </x:c>
      <x:c r="AA994" s="11" t="str">
        <x:f t="shared" si="63"/>
      </x:c>
    </x:row>
    <x:row r="995">
      <x:c r="A995" s="10" t="s">
        <x:v>2118</x:v>
      </x:c>
      <x:c r="F995" t="s">
        <x:v>1358</x:v>
      </x:c>
      <x:c r="K995">
        <x:v>1</x:v>
      </x:c>
      <x:c r="L995" t="str">
        <x:f t="shared" si="60"/>
      </x:c>
      <x:c r="O995" t="s">
        <x:v>38</x:v>
      </x:c>
      <x:c r="T995" s="2" t="n">
        <x:f>'SUPUESTOS PRECIOS'!$B$9</x:f>
        <x:v>0</x:v>
      </x:c>
      <x:c r="U995" s="3" t="n">
        <x:f>'SUPUESTOS PRECIOS'!$B$5/'SUPUESTOS PRECIOS'!$B$4</x:f>
        <x:v>1000</x:v>
      </x:c>
      <x:c r="V995" s="3" t="n">
        <x:f>('SUPUESTOS PRECIOS'!$B$6-'SUPUESTOS PRECIOS'!$B$7)/'SUPUESTOS PRECIOS'!$B$4</x:f>
        <x:v>377.5</x:v>
      </x:c>
      <x:c r="W995" s="4" t="n">
        <x:f>'SUPUESTOS PRECIOS'!$B$8</x:f>
        <x:v>0.00968</x:v>
      </x:c>
      <x:c r="X995" s="4" t="n">
        <x:f>'SUPUESTOS PRECIOS'!$B$2</x:f>
        <x:v>0.4</x:v>
      </x:c>
      <x:c r="Y995" s="3" t="str">
        <x:f t="shared" si="61"/>
      </x:c>
      <x:c r="Z995" s="3" t="str">
        <x:f t="shared" si="62"/>
      </x:c>
      <x:c r="AA995" s="11" t="str">
        <x:f t="shared" si="63"/>
      </x:c>
    </x:row>
    <x:row r="996">
      <x:c r="A996" s="10" t="s">
        <x:v>2119</x:v>
      </x:c>
      <x:c r="F996" t="s">
        <x:v>1358</x:v>
      </x:c>
      <x:c r="K996">
        <x:v>1</x:v>
      </x:c>
      <x:c r="L996" t="str">
        <x:f t="shared" si="60"/>
      </x:c>
      <x:c r="O996" t="s">
        <x:v>38</x:v>
      </x:c>
      <x:c r="T996" s="2" t="n">
        <x:f>'SUPUESTOS PRECIOS'!$B$9</x:f>
        <x:v>0</x:v>
      </x:c>
      <x:c r="U996" s="3" t="n">
        <x:f>'SUPUESTOS PRECIOS'!$B$5/'SUPUESTOS PRECIOS'!$B$4</x:f>
        <x:v>1000</x:v>
      </x:c>
      <x:c r="V996" s="3" t="n">
        <x:f>('SUPUESTOS PRECIOS'!$B$6-'SUPUESTOS PRECIOS'!$B$7)/'SUPUESTOS PRECIOS'!$B$4</x:f>
        <x:v>377.5</x:v>
      </x:c>
      <x:c r="W996" s="4" t="n">
        <x:f>'SUPUESTOS PRECIOS'!$B$8</x:f>
        <x:v>0.00968</x:v>
      </x:c>
      <x:c r="X996" s="4" t="n">
        <x:f>'SUPUESTOS PRECIOS'!$B$2</x:f>
        <x:v>0.4</x:v>
      </x:c>
      <x:c r="Y996" s="3" t="str">
        <x:f t="shared" si="61"/>
      </x:c>
      <x:c r="Z996" s="3" t="str">
        <x:f t="shared" si="62"/>
      </x:c>
      <x:c r="AA996" s="11" t="str">
        <x:f t="shared" si="63"/>
      </x:c>
    </x:row>
    <x:row r="997">
      <x:c r="A997" s="10" t="s">
        <x:v>2120</x:v>
      </x:c>
      <x:c r="F997" t="s">
        <x:v>1358</x:v>
      </x:c>
      <x:c r="K997">
        <x:v>1</x:v>
      </x:c>
      <x:c r="L997" t="str">
        <x:f t="shared" si="60"/>
      </x:c>
      <x:c r="O997" t="s">
        <x:v>38</x:v>
      </x:c>
      <x:c r="T997" s="2" t="n">
        <x:f>'SUPUESTOS PRECIOS'!$B$9</x:f>
        <x:v>0</x:v>
      </x:c>
      <x:c r="U997" s="3" t="n">
        <x:f>'SUPUESTOS PRECIOS'!$B$5/'SUPUESTOS PRECIOS'!$B$4</x:f>
        <x:v>1000</x:v>
      </x:c>
      <x:c r="V997" s="3" t="n">
        <x:f>('SUPUESTOS PRECIOS'!$B$6-'SUPUESTOS PRECIOS'!$B$7)/'SUPUESTOS PRECIOS'!$B$4</x:f>
        <x:v>377.5</x:v>
      </x:c>
      <x:c r="W997" s="4" t="n">
        <x:f>'SUPUESTOS PRECIOS'!$B$8</x:f>
        <x:v>0.00968</x:v>
      </x:c>
      <x:c r="X997" s="4" t="n">
        <x:f>'SUPUESTOS PRECIOS'!$B$2</x:f>
        <x:v>0.4</x:v>
      </x:c>
      <x:c r="Y997" s="3" t="str">
        <x:f t="shared" si="61"/>
      </x:c>
      <x:c r="Z997" s="3" t="str">
        <x:f t="shared" si="62"/>
      </x:c>
      <x:c r="AA997" s="11" t="str">
        <x:f t="shared" si="63"/>
      </x:c>
    </x:row>
    <x:row r="998">
      <x:c r="A998" s="10" t="s">
        <x:v>2121</x:v>
      </x:c>
      <x:c r="F998" t="s">
        <x:v>1358</x:v>
      </x:c>
      <x:c r="K998">
        <x:v>1</x:v>
      </x:c>
      <x:c r="L998" t="str">
        <x:f t="shared" si="60"/>
      </x:c>
      <x:c r="O998" t="s">
        <x:v>38</x:v>
      </x:c>
      <x:c r="T998" s="2" t="n">
        <x:f>'SUPUESTOS PRECIOS'!$B$9</x:f>
        <x:v>0</x:v>
      </x:c>
      <x:c r="U998" s="3" t="n">
        <x:f>'SUPUESTOS PRECIOS'!$B$5/'SUPUESTOS PRECIOS'!$B$4</x:f>
        <x:v>1000</x:v>
      </x:c>
      <x:c r="V998" s="3" t="n">
        <x:f>('SUPUESTOS PRECIOS'!$B$6-'SUPUESTOS PRECIOS'!$B$7)/'SUPUESTOS PRECIOS'!$B$4</x:f>
        <x:v>377.5</x:v>
      </x:c>
      <x:c r="W998" s="4" t="n">
        <x:f>'SUPUESTOS PRECIOS'!$B$8</x:f>
        <x:v>0.00968</x:v>
      </x:c>
      <x:c r="X998" s="4" t="n">
        <x:f>'SUPUESTOS PRECIOS'!$B$2</x:f>
        <x:v>0.4</x:v>
      </x:c>
      <x:c r="Y998" s="3" t="str">
        <x:f t="shared" si="61"/>
      </x:c>
      <x:c r="Z998" s="3" t="str">
        <x:f t="shared" si="62"/>
      </x:c>
      <x:c r="AA998" s="11" t="str">
        <x:f t="shared" si="63"/>
      </x:c>
    </x:row>
    <x:row r="999">
      <x:c r="A999" s="10" t="s">
        <x:v>2122</x:v>
      </x:c>
      <x:c r="F999" t="s">
        <x:v>1358</x:v>
      </x:c>
      <x:c r="K999">
        <x:v>1</x:v>
      </x:c>
      <x:c r="L999" t="str">
        <x:f t="shared" si="60"/>
      </x:c>
      <x:c r="O999" t="s">
        <x:v>38</x:v>
      </x:c>
      <x:c r="T999" s="2" t="n">
        <x:f>'SUPUESTOS PRECIOS'!$B$9</x:f>
        <x:v>0</x:v>
      </x:c>
      <x:c r="U999" s="3" t="n">
        <x:f>'SUPUESTOS PRECIOS'!$B$5/'SUPUESTOS PRECIOS'!$B$4</x:f>
        <x:v>1000</x:v>
      </x:c>
      <x:c r="V999" s="3" t="n">
        <x:f>('SUPUESTOS PRECIOS'!$B$6-'SUPUESTOS PRECIOS'!$B$7)/'SUPUESTOS PRECIOS'!$B$4</x:f>
        <x:v>377.5</x:v>
      </x:c>
      <x:c r="W999" s="4" t="n">
        <x:f>'SUPUESTOS PRECIOS'!$B$8</x:f>
        <x:v>0.00968</x:v>
      </x:c>
      <x:c r="X999" s="4" t="n">
        <x:f>'SUPUESTOS PRECIOS'!$B$2</x:f>
        <x:v>0.4</x:v>
      </x:c>
      <x:c r="Y999" s="3" t="str">
        <x:f t="shared" si="61"/>
      </x:c>
      <x:c r="Z999" s="3" t="str">
        <x:f t="shared" si="62"/>
      </x:c>
      <x:c r="AA999" s="11" t="str">
        <x:f t="shared" si="63"/>
      </x:c>
    </x:row>
    <x:row r="1000">
      <x:c r="A1000" s="10" t="s">
        <x:v>2123</x:v>
      </x:c>
      <x:c r="F1000" t="s">
        <x:v>1358</x:v>
      </x:c>
      <x:c r="K1000">
        <x:v>1</x:v>
      </x:c>
      <x:c r="L1000" t="str">
        <x:f t="shared" si="60"/>
      </x:c>
      <x:c r="O1000" t="s">
        <x:v>38</x:v>
      </x:c>
      <x:c r="T1000" s="2" t="n">
        <x:f>'SUPUESTOS PRECIOS'!$B$9</x:f>
        <x:v>0</x:v>
      </x:c>
      <x:c r="U1000" s="3" t="n">
        <x:f>'SUPUESTOS PRECIOS'!$B$5/'SUPUESTOS PRECIOS'!$B$4</x:f>
        <x:v>1000</x:v>
      </x:c>
      <x:c r="V1000" s="3" t="n">
        <x:f>('SUPUESTOS PRECIOS'!$B$6-'SUPUESTOS PRECIOS'!$B$7)/'SUPUESTOS PRECIOS'!$B$4</x:f>
        <x:v>377.5</x:v>
      </x:c>
      <x:c r="W1000" s="4" t="n">
        <x:f>'SUPUESTOS PRECIOS'!$B$8</x:f>
        <x:v>0.00968</x:v>
      </x:c>
      <x:c r="X1000" s="4" t="n">
        <x:f>'SUPUESTOS PRECIOS'!$B$2</x:f>
        <x:v>0.4</x:v>
      </x:c>
      <x:c r="Y1000" s="3" t="str">
        <x:f t="shared" si="61"/>
      </x:c>
      <x:c r="Z1000" s="3" t="str">
        <x:f t="shared" si="62"/>
      </x:c>
      <x:c r="AA1000" s="11" t="str">
        <x:f t="shared" si="63"/>
      </x:c>
    </x:row>
    <x:row r="1001">
      <x:c r="A1001" s="12" t="s">
        <x:v>2124</x:v>
      </x:c>
      <x:c r="B1001" s="13"/>
      <x:c r="C1001" s="13"/>
      <x:c r="D1001" s="13"/>
      <x:c r="E1001" s="13"/>
      <x:c r="F1001" s="13" t="s">
        <x:v>1358</x:v>
      </x:c>
      <x:c r="G1001" s="13"/>
      <x:c r="H1001" s="13"/>
      <x:c r="I1001" s="13"/>
      <x:c r="J1001" s="13"/>
      <x:c r="K1001" s="13">
        <x:v>1</x:v>
      </x:c>
      <x:c r="L1001" s="13" t="str">
        <x:f t="shared" si="60"/>
      </x:c>
      <x:c r="M1001" s="13"/>
      <x:c r="N1001" s="13"/>
      <x:c r="O1001" s="13" t="s">
        <x:v>38</x:v>
      </x:c>
      <x:c r="P1001" s="13"/>
      <x:c r="Q1001" s="13"/>
      <x:c r="R1001" s="13"/>
      <x:c r="S1001" s="13"/>
      <x:c r="T1001" s="14" t="n">
        <x:f>'SUPUESTOS PRECIOS'!$B$9</x:f>
        <x:v>0</x:v>
      </x:c>
      <x:c r="U1001" s="15" t="n">
        <x:f>'SUPUESTOS PRECIOS'!$B$5/'SUPUESTOS PRECIOS'!$B$4</x:f>
        <x:v>1000</x:v>
      </x:c>
      <x:c r="V1001" s="15" t="n">
        <x:f>('SUPUESTOS PRECIOS'!$B$6-'SUPUESTOS PRECIOS'!$B$7)/'SUPUESTOS PRECIOS'!$B$4</x:f>
        <x:v>377.5</x:v>
      </x:c>
      <x:c r="W1001" s="16" t="n">
        <x:f>'SUPUESTOS PRECIOS'!$B$8</x:f>
        <x:v>0.00968</x:v>
      </x:c>
      <x:c r="X1001" s="16" t="n">
        <x:f>'SUPUESTOS PRECIOS'!$B$2</x:f>
        <x:v>0.4</x:v>
      </x:c>
      <x:c r="Y1001" s="15" t="str">
        <x:f t="shared" si="61"/>
      </x:c>
      <x:c r="Z1001" s="15" t="str">
        <x:f t="shared" si="62"/>
      </x:c>
      <x:c r="AA1001" s="17" t="str">
        <x:f t="shared" si="63"/>
      </x:c>
    </x:row>
  </x:sheetData>
  <x:conditionalFormatting sqref="M2:M1001">
    <x:cfRule type="cellIs" dxfId="1" priority="2" operator="lessThanOrEqual">
      <x:formula>N2</x:formula>
    </x:cfRule>
  </x:conditionalFormatting>
  <x:dataValidations count="1">
    <x:dataValidation type="list" allowBlank="1" sqref="O2:O1001">
      <x:formula1>"Activo,Inactivo"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140625" defaultRowHeight="15"/>
  <x:sheetData>
    <x:row r="1">
      <x:c r="A1" t="s">
        <x:v>44</x:v>
      </x:c>
    </x:row>
    <x:row r="2">
      <x:c r="A2" t="s">
        <x:v>31</x:v>
      </x:c>
    </x:row>
    <x:row r="3">
      <x:c r="A3" t="s">
        <x:v>829</x:v>
      </x:c>
    </x:row>
    <x:row r="4">
      <x:c r="A4" t="s">
        <x:v>66</x:v>
      </x:c>
    </x:row>
    <x:row r="5">
      <x:c r="A5" t="s">
        <x:v>105</x:v>
      </x:c>
    </x:row>
    <x:row r="6">
      <x:c r="A6" t="s">
        <x:v>90</x:v>
      </x:c>
    </x:row>
    <x:row r="7">
      <x:c r="A7" t="s">
        <x:v>740</x:v>
      </x:c>
    </x:row>
    <x:row r="8">
      <x:c r="A8" t="s">
        <x:v>133</x:v>
      </x:c>
    </x:row>
    <x:row r="9">
      <x:c r="A9" t="s">
        <x:v>1207</x:v>
      </x:c>
    </x:row>
    <x:row r="10">
      <x:c r="A10" t="s">
        <x:v>446</x:v>
      </x:c>
    </x:row>
    <x:row r="11">
      <x:c r="A11" t="s">
        <x:v>1048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140625" defaultRowHeight="15"/>
  <x:sheetData>
    <x:row r="1">
      <x:c r="A1" t="s">
        <x:v>2125</x:v>
      </x:c>
      <x:c r="B1" t="s">
        <x:v>1</x:v>
      </x:c>
      <x:c r="C1" t="s">
        <x:v>2126</x:v>
      </x:c>
      <x:c r="D1" t="s">
        <x:v>2127</x:v>
      </x:c>
      <x:c r="E1" t="s">
        <x:v>2128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140625" defaultRowHeight="15"/>
  <x:sheetData>
    <x:row r="1">
      <x:c r="A1" t="s">
        <x:v>2129</x:v>
      </x:c>
      <x:c r="B1" t="s">
        <x:v>2130</x:v>
      </x:c>
    </x:row>
    <x:row r="2">
      <x:c r="A2" t="s">
        <x:v>2131</x:v>
      </x:c>
      <x:c r="B2" t="n">
        <x:f>COUNTA(PRODUCTOS!A2:A201)</x:f>
        <x:v>200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140625" defaultRowHeight="15"/>
  <x:sheetData>
    <x:row r="1">
      <x:c r="A1" t="s">
        <x:v>2132</x:v>
      </x:c>
    </x:row>
    <x:row r="2">
      <x:c r="A2" t="s">
        <x:v>2133</x:v>
      </x:c>
    </x:row>
    <x:row r="3">
      <x:c r="A3" t="s">
        <x:v>2134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.140625" defaultRowHeight="15"/>
  <x:sheetData>
    <x:row r="1">
      <x:c r="A1" t="s">
        <x:v>2135</x:v>
      </x:c>
    </x:row>
    <x:row r="2">
      <x:c r="A2" t="s">
        <x:v>842</x:v>
      </x:c>
    </x:row>
    <x:row r="3">
      <x:c r="A3" t="s">
        <x:v>2136</x:v>
      </x:c>
    </x:row>
    <x:row r="4">
      <x:c r="A4" t="s">
        <x:v>836</x:v>
      </x:c>
    </x:row>
    <x:row r="5">
      <x:c r="A5" t="s">
        <x:v>2137</x:v>
      </x:c>
    </x:row>
    <x:row r="6">
      <x:c r="A6" t="s">
        <x:v>2138</x:v>
      </x:c>
    </x:row>
    <x:row r="7">
      <x:c r="A7" t="s">
        <x:v>2139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5"/>
  <x:cols>
    <x:col min="1" max="1" width="14" customWidth="1"/>
    <x:col min="2" max="2" width="34" customWidth="1"/>
    <x:col min="3" max="3" width="20" customWidth="1"/>
    <x:col min="4" max="4" width="14" customWidth="1"/>
    <x:col min="5" max="5" width="48" customWidth="1"/>
    <x:col min="6" max="6" width="52" customWidth="1"/>
    <x:col min="7" max="7" width="16" customWidth="1"/>
    <x:col min="8" max="8" width="30" customWidth="1"/>
  </x:cols>
  <x:sheetData>
    <x:row r="1" ht="30" customHeight="1">
      <x:c r="A1" s="34" t="s">
        <x:v>2140</x:v>
      </x:c>
      <x:c r="B1" s="34"/>
      <x:c r="C1" s="34"/>
      <x:c r="D1" s="34"/>
      <x:c r="E1" s="34"/>
      <x:c r="F1" s="34"/>
      <x:c r="G1" s="34"/>
      <x:c r="H1" s="34"/>
    </x:row>
    <x:row r="2" ht="30" customHeight="1">
      <x:c r="A2" s="35" t="s">
        <x:v>2141</x:v>
      </x:c>
      <x:c r="B2" s="35"/>
      <x:c r="C2" s="35"/>
      <x:c r="D2" s="35"/>
      <x:c r="E2" s="35"/>
      <x:c r="F2" s="35"/>
      <x:c r="G2" s="35"/>
      <x:c r="H2" s="35"/>
    </x:row>
    <x:row r="4" ht="33.95000076293945" customHeight="1">
      <x:c r="A4" s="30" t="s">
        <x:v>2142</x:v>
      </x:c>
      <x:c r="B4" s="30" t="s">
        <x:v>5</x:v>
      </x:c>
      <x:c r="C4" s="30" t="s">
        <x:v>2143</x:v>
      </x:c>
      <x:c r="D4" s="30" t="s">
        <x:v>2144</x:v>
      </x:c>
      <x:c r="E4" s="30" t="s">
        <x:v>2145</x:v>
      </x:c>
      <x:c r="F4" s="30" t="s">
        <x:v>2146</x:v>
      </x:c>
      <x:c r="G4" s="30" t="s">
        <x:v>2147</x:v>
      </x:c>
      <x:c r="H4" s="30" t="s">
        <x:v>2148</x:v>
      </x:c>
    </x:row>
    <x:row r="5" ht="30">
      <x:c r="A5" s="31" t="s">
        <x:v>30</x:v>
      </x:c>
      <x:c r="B5" s="32" t="s">
        <x:v>34</x:v>
      </x:c>
      <x:c r="C5" s="32" t="s">
        <x:v>37</x:v>
      </x:c>
      <x:c r="D5" s="32" t="s">
        <x:v>2149</x:v>
      </x:c>
      <x:c r="E5" s="32" t="s">
        <x:v>2150</x:v>
      </x:c>
      <x:c r="F5" s="32" t="s">
        <x:v>2151</x:v>
      </x:c>
      <x:c r="G5" s="33" t="s">
        <x:v>2149</x:v>
      </x:c>
      <x:c r="H5" s="32"/>
    </x:row>
    <x:row r="6" ht="30">
      <x:c r="A6" s="31" t="s">
        <x:v>43</x:v>
      </x:c>
      <x:c r="B6" s="32" t="s">
        <x:v>46</x:v>
      </x:c>
      <x:c r="C6" s="32" t="s">
        <x:v>47</x:v>
      </x:c>
      <x:c r="D6" s="32" t="s">
        <x:v>2149</x:v>
      </x:c>
      <x:c r="E6" s="32" t="s">
        <x:v>2150</x:v>
      </x:c>
      <x:c r="F6" s="32" t="s">
        <x:v>2151</x:v>
      </x:c>
      <x:c r="G6" s="33" t="s">
        <x:v>2149</x:v>
      </x:c>
      <x:c r="H6" s="32"/>
    </x:row>
    <x:row r="7" ht="30">
      <x:c r="A7" s="31" t="s">
        <x:v>51</x:v>
      </x:c>
      <x:c r="B7" s="32" t="s">
        <x:v>53</x:v>
      </x:c>
      <x:c r="C7" s="32" t="s">
        <x:v>54</x:v>
      </x:c>
      <x:c r="D7" s="32" t="s">
        <x:v>2149</x:v>
      </x:c>
      <x:c r="E7" s="32" t="s">
        <x:v>2150</x:v>
      </x:c>
      <x:c r="F7" s="32" t="s">
        <x:v>2151</x:v>
      </x:c>
      <x:c r="G7" s="33" t="s">
        <x:v>2149</x:v>
      </x:c>
      <x:c r="H7" s="32"/>
    </x:row>
    <x:row r="8" ht="30">
      <x:c r="A8" s="31" t="s">
        <x:v>58</x:v>
      </x:c>
      <x:c r="B8" s="32" t="s">
        <x:v>60</x:v>
      </x:c>
      <x:c r="C8" s="32" t="s">
        <x:v>61</x:v>
      </x:c>
      <x:c r="D8" s="32" t="s">
        <x:v>2149</x:v>
      </x:c>
      <x:c r="E8" s="32" t="s">
        <x:v>2150</x:v>
      </x:c>
      <x:c r="F8" s="32" t="s">
        <x:v>2151</x:v>
      </x:c>
      <x:c r="G8" s="33" t="s">
        <x:v>2149</x:v>
      </x:c>
      <x:c r="H8" s="32"/>
    </x:row>
    <x:row r="9" ht="30">
      <x:c r="A9" s="31" t="s">
        <x:v>65</x:v>
      </x:c>
      <x:c r="B9" s="32" t="s">
        <x:v>68</x:v>
      </x:c>
      <x:c r="C9" s="32" t="s">
        <x:v>70</x:v>
      </x:c>
      <x:c r="D9" s="32" t="s">
        <x:v>2149</x:v>
      </x:c>
      <x:c r="E9" s="32" t="s">
        <x:v>2150</x:v>
      </x:c>
      <x:c r="F9" s="32" t="s">
        <x:v>2151</x:v>
      </x:c>
      <x:c r="G9" s="33" t="s">
        <x:v>2149</x:v>
      </x:c>
      <x:c r="H9" s="32"/>
    </x:row>
    <x:row r="10" ht="30">
      <x:c r="A10" s="31" t="s">
        <x:v>74</x:v>
      </x:c>
      <x:c r="B10" s="32" t="s">
        <x:v>76</x:v>
      </x:c>
      <x:c r="C10" s="32" t="s">
        <x:v>78</x:v>
      </x:c>
      <x:c r="D10" s="32" t="s">
        <x:v>2149</x:v>
      </x:c>
      <x:c r="E10" s="32" t="s">
        <x:v>2150</x:v>
      </x:c>
      <x:c r="F10" s="32" t="s">
        <x:v>2151</x:v>
      </x:c>
      <x:c r="G10" s="33" t="s">
        <x:v>2149</x:v>
      </x:c>
      <x:c r="H10" s="32"/>
    </x:row>
    <x:row r="11" ht="30">
      <x:c r="A11" s="31" t="s">
        <x:v>82</x:v>
      </x:c>
      <x:c r="B11" s="32" t="s">
        <x:v>84</x:v>
      </x:c>
      <x:c r="C11" s="32" t="s">
        <x:v>86</x:v>
      </x:c>
      <x:c r="D11" s="32" t="s">
        <x:v>2149</x:v>
      </x:c>
      <x:c r="E11" s="32" t="s">
        <x:v>2150</x:v>
      </x:c>
      <x:c r="F11" s="32" t="s">
        <x:v>2151</x:v>
      </x:c>
      <x:c r="G11" s="33" t="s">
        <x:v>2149</x:v>
      </x:c>
      <x:c r="H11" s="32"/>
    </x:row>
    <x:row r="12" ht="30">
      <x:c r="A12" s="31" t="s">
        <x:v>89</x:v>
      </x:c>
      <x:c r="B12" s="32" t="s">
        <x:v>92</x:v>
      </x:c>
      <x:c r="C12" s="32" t="s">
        <x:v>95</x:v>
      </x:c>
      <x:c r="D12" s="32" t="s">
        <x:v>2149</x:v>
      </x:c>
      <x:c r="E12" s="32" t="s">
        <x:v>2150</x:v>
      </x:c>
      <x:c r="F12" s="32" t="s">
        <x:v>2151</x:v>
      </x:c>
      <x:c r="G12" s="33" t="s">
        <x:v>2149</x:v>
      </x:c>
      <x:c r="H12" s="32"/>
    </x:row>
    <x:row r="13" ht="30">
      <x:c r="A13" s="31" t="s">
        <x:v>99</x:v>
      </x:c>
      <x:c r="B13" s="32" t="s">
        <x:v>100</x:v>
      </x:c>
      <x:c r="C13" s="32" t="s">
        <x:v>101</x:v>
      </x:c>
      <x:c r="D13" s="32" t="s">
        <x:v>2149</x:v>
      </x:c>
      <x:c r="E13" s="32" t="s">
        <x:v>2150</x:v>
      </x:c>
      <x:c r="F13" s="32" t="s">
        <x:v>2151</x:v>
      </x:c>
      <x:c r="G13" s="33" t="s">
        <x:v>2149</x:v>
      </x:c>
      <x:c r="H13" s="32"/>
    </x:row>
    <x:row r="14" ht="30">
      <x:c r="A14" s="31" t="s">
        <x:v>104</x:v>
      </x:c>
      <x:c r="B14" s="32" t="s">
        <x:v>107</x:v>
      </x:c>
      <x:c r="C14" s="32" t="s">
        <x:v>108</x:v>
      </x:c>
      <x:c r="D14" s="32" t="s">
        <x:v>2149</x:v>
      </x:c>
      <x:c r="E14" s="32" t="s">
        <x:v>2150</x:v>
      </x:c>
      <x:c r="F14" s="32" t="s">
        <x:v>2151</x:v>
      </x:c>
      <x:c r="G14" s="33" t="s">
        <x:v>2149</x:v>
      </x:c>
      <x:c r="H14" s="32"/>
    </x:row>
    <x:row r="15" ht="30">
      <x:c r="A15" s="31" t="s">
        <x:v>112</x:v>
      </x:c>
      <x:c r="B15" s="32" t="s">
        <x:v>113</x:v>
      </x:c>
      <x:c r="C15" s="32" t="s">
        <x:v>114</x:v>
      </x:c>
      <x:c r="D15" s="32" t="s">
        <x:v>2149</x:v>
      </x:c>
      <x:c r="E15" s="32" t="s">
        <x:v>2150</x:v>
      </x:c>
      <x:c r="F15" s="32" t="s">
        <x:v>2151</x:v>
      </x:c>
      <x:c r="G15" s="33" t="s">
        <x:v>2149</x:v>
      </x:c>
      <x:c r="H15" s="32"/>
    </x:row>
    <x:row r="16" ht="30">
      <x:c r="A16" s="31" t="s">
        <x:v>117</x:v>
      </x:c>
      <x:c r="B16" s="32" t="s">
        <x:v>118</x:v>
      </x:c>
      <x:c r="C16" s="32" t="s">
        <x:v>119</x:v>
      </x:c>
      <x:c r="D16" s="32" t="s">
        <x:v>2149</x:v>
      </x:c>
      <x:c r="E16" s="32" t="s">
        <x:v>2150</x:v>
      </x:c>
      <x:c r="F16" s="32" t="s">
        <x:v>2151</x:v>
      </x:c>
      <x:c r="G16" s="33" t="s">
        <x:v>2149</x:v>
      </x:c>
      <x:c r="H16" s="32"/>
    </x:row>
    <x:row r="17" ht="30">
      <x:c r="A17" s="31" t="s">
        <x:v>122</x:v>
      </x:c>
      <x:c r="B17" s="32" t="s">
        <x:v>123</x:v>
      </x:c>
      <x:c r="C17" s="32" t="s">
        <x:v>124</x:v>
      </x:c>
      <x:c r="D17" s="32" t="s">
        <x:v>2149</x:v>
      </x:c>
      <x:c r="E17" s="32" t="s">
        <x:v>2150</x:v>
      </x:c>
      <x:c r="F17" s="32" t="s">
        <x:v>2151</x:v>
      </x:c>
      <x:c r="G17" s="33" t="s">
        <x:v>2149</x:v>
      </x:c>
      <x:c r="H17" s="32"/>
    </x:row>
    <x:row r="18" ht="30">
      <x:c r="A18" s="31" t="s">
        <x:v>127</x:v>
      </x:c>
      <x:c r="B18" s="32" t="s">
        <x:v>128</x:v>
      </x:c>
      <x:c r="C18" s="32" t="s">
        <x:v>129</x:v>
      </x:c>
      <x:c r="D18" s="32" t="s">
        <x:v>2149</x:v>
      </x:c>
      <x:c r="E18" s="32" t="s">
        <x:v>2150</x:v>
      </x:c>
      <x:c r="F18" s="32" t="s">
        <x:v>2151</x:v>
      </x:c>
      <x:c r="G18" s="33" t="s">
        <x:v>2149</x:v>
      </x:c>
      <x:c r="H18" s="32"/>
    </x:row>
    <x:row r="19" ht="30">
      <x:c r="A19" s="31" t="s">
        <x:v>132</x:v>
      </x:c>
      <x:c r="B19" s="32" t="s">
        <x:v>135</x:v>
      </x:c>
      <x:c r="C19" s="32" t="s">
        <x:v>137</x:v>
      </x:c>
      <x:c r="D19" s="32" t="s">
        <x:v>2149</x:v>
      </x:c>
      <x:c r="E19" s="32" t="s">
        <x:v>2150</x:v>
      </x:c>
      <x:c r="F19" s="32" t="s">
        <x:v>2151</x:v>
      </x:c>
      <x:c r="G19" s="33" t="s">
        <x:v>2149</x:v>
      </x:c>
      <x:c r="H19" s="32"/>
    </x:row>
    <x:row r="20" ht="30">
      <x:c r="A20" s="31" t="s">
        <x:v>141</x:v>
      </x:c>
      <x:c r="B20" s="32" t="s">
        <x:v>142</x:v>
      </x:c>
      <x:c r="C20" s="32" t="s">
        <x:v>143</x:v>
      </x:c>
      <x:c r="D20" s="32" t="s">
        <x:v>2149</x:v>
      </x:c>
      <x:c r="E20" s="32" t="s">
        <x:v>2150</x:v>
      </x:c>
      <x:c r="F20" s="32" t="s">
        <x:v>2151</x:v>
      </x:c>
      <x:c r="G20" s="33" t="s">
        <x:v>2149</x:v>
      </x:c>
      <x:c r="H20" s="32"/>
    </x:row>
    <x:row r="21" ht="30">
      <x:c r="A21" s="31" t="s">
        <x:v>146</x:v>
      </x:c>
      <x:c r="B21" s="32" t="s">
        <x:v>147</x:v>
      </x:c>
      <x:c r="C21" s="32" t="s">
        <x:v>148</x:v>
      </x:c>
      <x:c r="D21" s="32" t="s">
        <x:v>2149</x:v>
      </x:c>
      <x:c r="E21" s="32" t="s">
        <x:v>2150</x:v>
      </x:c>
      <x:c r="F21" s="32" t="s">
        <x:v>2151</x:v>
      </x:c>
      <x:c r="G21" s="33" t="s">
        <x:v>2149</x:v>
      </x:c>
      <x:c r="H21" s="32"/>
    </x:row>
    <x:row r="22" ht="30">
      <x:c r="A22" s="31" t="s">
        <x:v>151</x:v>
      </x:c>
      <x:c r="B22" s="32" t="s">
        <x:v>152</x:v>
      </x:c>
      <x:c r="C22" s="32" t="s">
        <x:v>153</x:v>
      </x:c>
      <x:c r="D22" s="32" t="s">
        <x:v>2149</x:v>
      </x:c>
      <x:c r="E22" s="32" t="s">
        <x:v>2150</x:v>
      </x:c>
      <x:c r="F22" s="32" t="s">
        <x:v>2151</x:v>
      </x:c>
      <x:c r="G22" s="33" t="s">
        <x:v>2149</x:v>
      </x:c>
      <x:c r="H22" s="32"/>
    </x:row>
    <x:row r="23" ht="30">
      <x:c r="A23" s="31" t="s">
        <x:v>158</x:v>
      </x:c>
      <x:c r="B23" s="32" t="s">
        <x:v>159</x:v>
      </x:c>
      <x:c r="C23" s="32" t="s">
        <x:v>160</x:v>
      </x:c>
      <x:c r="D23" s="32" t="s">
        <x:v>2149</x:v>
      </x:c>
      <x:c r="E23" s="32" t="s">
        <x:v>2150</x:v>
      </x:c>
      <x:c r="F23" s="32" t="s">
        <x:v>2151</x:v>
      </x:c>
      <x:c r="G23" s="33" t="s">
        <x:v>2149</x:v>
      </x:c>
      <x:c r="H23" s="32"/>
    </x:row>
    <x:row r="24" ht="30">
      <x:c r="A24" s="31" t="s">
        <x:v>163</x:v>
      </x:c>
      <x:c r="B24" s="32" t="s">
        <x:v>152</x:v>
      </x:c>
      <x:c r="C24" s="32" t="s">
        <x:v>164</x:v>
      </x:c>
      <x:c r="D24" s="32" t="s">
        <x:v>2149</x:v>
      </x:c>
      <x:c r="E24" s="32" t="s">
        <x:v>2150</x:v>
      </x:c>
      <x:c r="F24" s="32" t="s">
        <x:v>2151</x:v>
      </x:c>
      <x:c r="G24" s="33" t="s">
        <x:v>2149</x:v>
      </x:c>
      <x:c r="H24" s="32"/>
    </x:row>
    <x:row r="25" ht="30">
      <x:c r="A25" s="31" t="s">
        <x:v>167</x:v>
      </x:c>
      <x:c r="B25" s="32" t="s">
        <x:v>152</x:v>
      </x:c>
      <x:c r="C25" s="32" t="s">
        <x:v>168</x:v>
      </x:c>
      <x:c r="D25" s="32" t="s">
        <x:v>2149</x:v>
      </x:c>
      <x:c r="E25" s="32" t="s">
        <x:v>2150</x:v>
      </x:c>
      <x:c r="F25" s="32" t="s">
        <x:v>2151</x:v>
      </x:c>
      <x:c r="G25" s="33" t="s">
        <x:v>2149</x:v>
      </x:c>
      <x:c r="H25" s="32"/>
    </x:row>
    <x:row r="26" ht="30">
      <x:c r="A26" s="31" t="s">
        <x:v>171</x:v>
      </x:c>
      <x:c r="B26" s="32" t="s">
        <x:v>172</x:v>
      </x:c>
      <x:c r="C26" s="32" t="s">
        <x:v>173</x:v>
      </x:c>
      <x:c r="D26" s="32" t="s">
        <x:v>2149</x:v>
      </x:c>
      <x:c r="E26" s="32" t="s">
        <x:v>2150</x:v>
      </x:c>
      <x:c r="F26" s="32" t="s">
        <x:v>2151</x:v>
      </x:c>
      <x:c r="G26" s="33" t="s">
        <x:v>2149</x:v>
      </x:c>
      <x:c r="H26" s="32"/>
    </x:row>
    <x:row r="27" ht="30">
      <x:c r="A27" s="31" t="s">
        <x:v>177</x:v>
      </x:c>
      <x:c r="B27" s="32" t="s">
        <x:v>172</x:v>
      </x:c>
      <x:c r="C27" s="32" t="s">
        <x:v>179</x:v>
      </x:c>
      <x:c r="D27" s="32" t="s">
        <x:v>2149</x:v>
      </x:c>
      <x:c r="E27" s="32" t="s">
        <x:v>2150</x:v>
      </x:c>
      <x:c r="F27" s="32" t="s">
        <x:v>2151</x:v>
      </x:c>
      <x:c r="G27" s="33" t="s">
        <x:v>2149</x:v>
      </x:c>
      <x:c r="H27" s="32"/>
    </x:row>
    <x:row r="28" ht="30">
      <x:c r="A28" s="31" t="s">
        <x:v>185</x:v>
      </x:c>
      <x:c r="B28" s="32" t="s">
        <x:v>183</x:v>
      </x:c>
      <x:c r="C28" s="32" t="s">
        <x:v>184</x:v>
      </x:c>
      <x:c r="D28" s="32" t="s">
        <x:v>2149</x:v>
      </x:c>
      <x:c r="E28" s="32" t="s">
        <x:v>2150</x:v>
      </x:c>
      <x:c r="F28" s="32" t="s">
        <x:v>2151</x:v>
      </x:c>
      <x:c r="G28" s="33" t="s">
        <x:v>2149</x:v>
      </x:c>
      <x:c r="H28" s="32"/>
    </x:row>
    <x:row r="29" ht="30">
      <x:c r="A29" s="31" t="s">
        <x:v>189</x:v>
      </x:c>
      <x:c r="B29" s="32" t="s">
        <x:v>183</x:v>
      </x:c>
      <x:c r="C29" s="32" t="s">
        <x:v>188</x:v>
      </x:c>
      <x:c r="D29" s="32" t="s">
        <x:v>2149</x:v>
      </x:c>
      <x:c r="E29" s="32" t="s">
        <x:v>2150</x:v>
      </x:c>
      <x:c r="F29" s="32" t="s">
        <x:v>2151</x:v>
      </x:c>
      <x:c r="G29" s="33" t="s">
        <x:v>2149</x:v>
      </x:c>
      <x:c r="H29" s="32"/>
    </x:row>
    <x:row r="30" ht="30">
      <x:c r="A30" s="31" t="s">
        <x:v>192</x:v>
      </x:c>
      <x:c r="B30" s="32" t="s">
        <x:v>172</x:v>
      </x:c>
      <x:c r="C30" s="32" t="s">
        <x:v>191</x:v>
      </x:c>
      <x:c r="D30" s="32" t="s">
        <x:v>2149</x:v>
      </x:c>
      <x:c r="E30" s="32" t="s">
        <x:v>2150</x:v>
      </x:c>
      <x:c r="F30" s="32" t="s">
        <x:v>2151</x:v>
      </x:c>
      <x:c r="G30" s="33" t="s">
        <x:v>2149</x:v>
      </x:c>
      <x:c r="H30" s="32"/>
    </x:row>
    <x:row r="31" ht="30">
      <x:c r="A31" s="31" t="s">
        <x:v>196</x:v>
      </x:c>
      <x:c r="B31" s="32" t="s">
        <x:v>194</x:v>
      </x:c>
      <x:c r="C31" s="32" t="s">
        <x:v>195</x:v>
      </x:c>
      <x:c r="D31" s="32" t="s">
        <x:v>2149</x:v>
      </x:c>
      <x:c r="E31" s="32" t="s">
        <x:v>2150</x:v>
      </x:c>
      <x:c r="F31" s="32" t="s">
        <x:v>2151</x:v>
      </x:c>
      <x:c r="G31" s="33" t="s">
        <x:v>2149</x:v>
      </x:c>
      <x:c r="H31" s="32"/>
    </x:row>
    <x:row r="32" ht="30">
      <x:c r="A32" s="31" t="s">
        <x:v>201</x:v>
      </x:c>
      <x:c r="B32" s="32" t="s">
        <x:v>194</x:v>
      </x:c>
      <x:c r="C32" s="32" t="s">
        <x:v>199</x:v>
      </x:c>
      <x:c r="D32" s="32" t="s">
        <x:v>2149</x:v>
      </x:c>
      <x:c r="E32" s="32" t="s">
        <x:v>2150</x:v>
      </x:c>
      <x:c r="F32" s="32" t="s">
        <x:v>2151</x:v>
      </x:c>
      <x:c r="G32" s="33" t="s">
        <x:v>2149</x:v>
      </x:c>
      <x:c r="H32" s="32"/>
    </x:row>
    <x:row r="33" ht="30">
      <x:c r="A33" s="31" t="s">
        <x:v>201</x:v>
      </x:c>
      <x:c r="B33" s="32" t="s">
        <x:v>202</x:v>
      </x:c>
      <x:c r="C33" s="32" t="s">
        <x:v>203</x:v>
      </x:c>
      <x:c r="D33" s="32" t="s">
        <x:v>2149</x:v>
      </x:c>
      <x:c r="E33" s="32" t="s">
        <x:v>2150</x:v>
      </x:c>
      <x:c r="F33" s="32" t="s">
        <x:v>2151</x:v>
      </x:c>
      <x:c r="G33" s="33" t="s">
        <x:v>2149</x:v>
      </x:c>
      <x:c r="H33" s="32"/>
    </x:row>
    <x:row r="34" ht="30">
      <x:c r="A34" s="31" t="s">
        <x:v>206</x:v>
      </x:c>
      <x:c r="B34" s="32" t="s">
        <x:v>208</x:v>
      </x:c>
      <x:c r="C34" s="32" t="s">
        <x:v>209</x:v>
      </x:c>
      <x:c r="D34" s="32" t="s">
        <x:v>2149</x:v>
      </x:c>
      <x:c r="E34" s="32" t="s">
        <x:v>2150</x:v>
      </x:c>
      <x:c r="F34" s="32" t="s">
        <x:v>2151</x:v>
      </x:c>
      <x:c r="G34" s="33" t="s">
        <x:v>2149</x:v>
      </x:c>
      <x:c r="H34" s="32"/>
    </x:row>
    <x:row r="35" ht="30">
      <x:c r="A35" s="31" t="s">
        <x:v>213</x:v>
      </x:c>
      <x:c r="B35" s="32" t="s">
        <x:v>214</x:v>
      </x:c>
      <x:c r="C35" s="32" t="s">
        <x:v>215</x:v>
      </x:c>
      <x:c r="D35" s="32" t="s">
        <x:v>2149</x:v>
      </x:c>
      <x:c r="E35" s="32" t="s">
        <x:v>2150</x:v>
      </x:c>
      <x:c r="F35" s="32" t="s">
        <x:v>2151</x:v>
      </x:c>
      <x:c r="G35" s="33" t="s">
        <x:v>2149</x:v>
      </x:c>
      <x:c r="H35" s="32"/>
    </x:row>
    <x:row r="36" ht="30">
      <x:c r="A36" s="31" t="s">
        <x:v>218</x:v>
      </x:c>
      <x:c r="B36" s="32" t="s">
        <x:v>220</x:v>
      </x:c>
      <x:c r="C36" s="32" t="s">
        <x:v>221</x:v>
      </x:c>
      <x:c r="D36" s="32" t="s">
        <x:v>2149</x:v>
      </x:c>
      <x:c r="E36" s="32" t="s">
        <x:v>2150</x:v>
      </x:c>
      <x:c r="F36" s="32" t="s">
        <x:v>2151</x:v>
      </x:c>
      <x:c r="G36" s="33" t="s">
        <x:v>2149</x:v>
      </x:c>
      <x:c r="H36" s="32"/>
    </x:row>
    <x:row r="37" ht="30">
      <x:c r="A37" s="31" t="s">
        <x:v>225</x:v>
      </x:c>
      <x:c r="B37" s="32" t="s">
        <x:v>220</x:v>
      </x:c>
      <x:c r="C37" s="32" t="s">
        <x:v>227</x:v>
      </x:c>
      <x:c r="D37" s="32" t="s">
        <x:v>2149</x:v>
      </x:c>
      <x:c r="E37" s="32" t="s">
        <x:v>2150</x:v>
      </x:c>
      <x:c r="F37" s="32" t="s">
        <x:v>2151</x:v>
      </x:c>
      <x:c r="G37" s="33" t="s">
        <x:v>2149</x:v>
      </x:c>
      <x:c r="H37" s="32"/>
    </x:row>
    <x:row r="38" ht="30">
      <x:c r="A38" s="31" t="s">
        <x:v>230</x:v>
      </x:c>
      <x:c r="B38" s="32" t="s">
        <x:v>231</x:v>
      </x:c>
      <x:c r="C38" s="32" t="s">
        <x:v>232</x:v>
      </x:c>
      <x:c r="D38" s="32" t="s">
        <x:v>2149</x:v>
      </x:c>
      <x:c r="E38" s="32" t="s">
        <x:v>2150</x:v>
      </x:c>
      <x:c r="F38" s="32" t="s">
        <x:v>2151</x:v>
      </x:c>
      <x:c r="G38" s="33" t="s">
        <x:v>2149</x:v>
      </x:c>
      <x:c r="H38" s="32"/>
    </x:row>
    <x:row r="39" ht="30">
      <x:c r="A39" s="31" t="s">
        <x:v>235</x:v>
      </x:c>
      <x:c r="B39" s="32" t="s">
        <x:v>236</x:v>
      </x:c>
      <x:c r="C39" s="32" t="s">
        <x:v>237</x:v>
      </x:c>
      <x:c r="D39" s="32" t="s">
        <x:v>2149</x:v>
      </x:c>
      <x:c r="E39" s="32" t="s">
        <x:v>2150</x:v>
      </x:c>
      <x:c r="F39" s="32" t="s">
        <x:v>2151</x:v>
      </x:c>
      <x:c r="G39" s="33" t="s">
        <x:v>2149</x:v>
      </x:c>
      <x:c r="H39" s="32"/>
    </x:row>
    <x:row r="40" ht="30">
      <x:c r="A40" s="31" t="s">
        <x:v>241</x:v>
      </x:c>
      <x:c r="B40" s="32" t="s">
        <x:v>243</x:v>
      </x:c>
      <x:c r="C40" s="32" t="s">
        <x:v>244</x:v>
      </x:c>
      <x:c r="D40" s="32" t="s">
        <x:v>2149</x:v>
      </x:c>
      <x:c r="E40" s="32" t="s">
        <x:v>2150</x:v>
      </x:c>
      <x:c r="F40" s="32" t="s">
        <x:v>2151</x:v>
      </x:c>
      <x:c r="G40" s="33" t="s">
        <x:v>2149</x:v>
      </x:c>
      <x:c r="H40" s="32"/>
    </x:row>
    <x:row r="41" ht="30">
      <x:c r="A41" s="31" t="s">
        <x:v>247</x:v>
      </x:c>
      <x:c r="B41" s="32" t="s">
        <x:v>243</x:v>
      </x:c>
      <x:c r="C41" s="32" t="s">
        <x:v>248</x:v>
      </x:c>
      <x:c r="D41" s="32" t="s">
        <x:v>2149</x:v>
      </x:c>
      <x:c r="E41" s="32" t="s">
        <x:v>2150</x:v>
      </x:c>
      <x:c r="F41" s="32" t="s">
        <x:v>2151</x:v>
      </x:c>
      <x:c r="G41" s="33" t="s">
        <x:v>2149</x:v>
      </x:c>
      <x:c r="H41" s="32"/>
    </x:row>
    <x:row r="42" ht="30">
      <x:c r="A42" s="31" t="s">
        <x:v>251</x:v>
      </x:c>
      <x:c r="B42" s="32" t="s">
        <x:v>253</x:v>
      </x:c>
      <x:c r="C42" s="32" t="s">
        <x:v>254</x:v>
      </x:c>
      <x:c r="D42" s="32" t="s">
        <x:v>2149</x:v>
      </x:c>
      <x:c r="E42" s="32" t="s">
        <x:v>2150</x:v>
      </x:c>
      <x:c r="F42" s="32" t="s">
        <x:v>2151</x:v>
      </x:c>
      <x:c r="G42" s="33" t="s">
        <x:v>2149</x:v>
      </x:c>
      <x:c r="H42" s="32"/>
    </x:row>
    <x:row r="43" ht="30">
      <x:c r="A43" s="31" t="s">
        <x:v>260</x:v>
      </x:c>
      <x:c r="B43" s="32" t="s">
        <x:v>261</x:v>
      </x:c>
      <x:c r="C43" s="32" t="s">
        <x:v>262</x:v>
      </x:c>
      <x:c r="D43" s="32" t="s">
        <x:v>2149</x:v>
      </x:c>
      <x:c r="E43" s="32" t="s">
        <x:v>2150</x:v>
      </x:c>
      <x:c r="F43" s="32" t="s">
        <x:v>2151</x:v>
      </x:c>
      <x:c r="G43" s="33" t="s">
        <x:v>2149</x:v>
      </x:c>
      <x:c r="H43" s="32"/>
    </x:row>
    <x:row r="44" ht="30">
      <x:c r="A44" s="31" t="s">
        <x:v>266</x:v>
      </x:c>
      <x:c r="B44" s="32" t="s">
        <x:v>267</x:v>
      </x:c>
      <x:c r="C44" s="32" t="s">
        <x:v>268</x:v>
      </x:c>
      <x:c r="D44" s="32" t="s">
        <x:v>2149</x:v>
      </x:c>
      <x:c r="E44" s="32" t="s">
        <x:v>2150</x:v>
      </x:c>
      <x:c r="F44" s="32" t="s">
        <x:v>2151</x:v>
      </x:c>
      <x:c r="G44" s="33" t="s">
        <x:v>2149</x:v>
      </x:c>
      <x:c r="H44" s="32"/>
    </x:row>
    <x:row r="45" ht="30">
      <x:c r="A45" s="31" t="s">
        <x:v>272</x:v>
      </x:c>
      <x:c r="B45" s="32" t="s">
        <x:v>273</x:v>
      </x:c>
      <x:c r="C45" s="32" t="s">
        <x:v>274</x:v>
      </x:c>
      <x:c r="D45" s="32" t="s">
        <x:v>2149</x:v>
      </x:c>
      <x:c r="E45" s="32" t="s">
        <x:v>2150</x:v>
      </x:c>
      <x:c r="F45" s="32" t="s">
        <x:v>2151</x:v>
      </x:c>
      <x:c r="G45" s="33" t="s">
        <x:v>2149</x:v>
      </x:c>
      <x:c r="H45" s="32"/>
    </x:row>
    <x:row r="46" ht="30">
      <x:c r="A46" s="31" t="s">
        <x:v>278</x:v>
      </x:c>
      <x:c r="B46" s="32" t="s">
        <x:v>279</x:v>
      </x:c>
      <x:c r="C46" s="32" t="s">
        <x:v>280</x:v>
      </x:c>
      <x:c r="D46" s="32" t="s">
        <x:v>2149</x:v>
      </x:c>
      <x:c r="E46" s="32" t="s">
        <x:v>2150</x:v>
      </x:c>
      <x:c r="F46" s="32" t="s">
        <x:v>2151</x:v>
      </x:c>
      <x:c r="G46" s="33" t="s">
        <x:v>2149</x:v>
      </x:c>
      <x:c r="H46" s="32"/>
    </x:row>
    <x:row r="47" ht="30">
      <x:c r="A47" s="31" t="s">
        <x:v>283</x:v>
      </x:c>
      <x:c r="B47" s="32" t="s">
        <x:v>284</x:v>
      </x:c>
      <x:c r="C47" s="32" t="s">
        <x:v>285</x:v>
      </x:c>
      <x:c r="D47" s="32" t="s">
        <x:v>2149</x:v>
      </x:c>
      <x:c r="E47" s="32" t="s">
        <x:v>2150</x:v>
      </x:c>
      <x:c r="F47" s="32" t="s">
        <x:v>2151</x:v>
      </x:c>
      <x:c r="G47" s="33" t="s">
        <x:v>2149</x:v>
      </x:c>
      <x:c r="H47" s="32"/>
    </x:row>
    <x:row r="48" ht="30">
      <x:c r="A48" s="31" t="s">
        <x:v>288</x:v>
      </x:c>
      <x:c r="B48" s="32" t="s">
        <x:v>289</x:v>
      </x:c>
      <x:c r="C48" s="32" t="s">
        <x:v>290</x:v>
      </x:c>
      <x:c r="D48" s="32" t="s">
        <x:v>2149</x:v>
      </x:c>
      <x:c r="E48" s="32" t="s">
        <x:v>2150</x:v>
      </x:c>
      <x:c r="F48" s="32" t="s">
        <x:v>2151</x:v>
      </x:c>
      <x:c r="G48" s="33" t="s">
        <x:v>2149</x:v>
      </x:c>
      <x:c r="H48" s="32"/>
    </x:row>
    <x:row r="49" ht="30">
      <x:c r="A49" s="31" t="s">
        <x:v>295</x:v>
      </x:c>
      <x:c r="B49" s="32" t="s">
        <x:v>296</x:v>
      </x:c>
      <x:c r="C49" s="32" t="s">
        <x:v>297</x:v>
      </x:c>
      <x:c r="D49" s="32" t="s">
        <x:v>2149</x:v>
      </x:c>
      <x:c r="E49" s="32" t="s">
        <x:v>2150</x:v>
      </x:c>
      <x:c r="F49" s="32" t="s">
        <x:v>2151</x:v>
      </x:c>
      <x:c r="G49" s="33" t="s">
        <x:v>2149</x:v>
      </x:c>
      <x:c r="H49" s="32"/>
    </x:row>
    <x:row r="50" ht="30">
      <x:c r="A50" s="31" t="s">
        <x:v>300</x:v>
      </x:c>
      <x:c r="B50" s="32" t="s">
        <x:v>301</x:v>
      </x:c>
      <x:c r="C50" s="32" t="s">
        <x:v>302</x:v>
      </x:c>
      <x:c r="D50" s="32" t="s">
        <x:v>2149</x:v>
      </x:c>
      <x:c r="E50" s="32" t="s">
        <x:v>2150</x:v>
      </x:c>
      <x:c r="F50" s="32" t="s">
        <x:v>2151</x:v>
      </x:c>
      <x:c r="G50" s="33" t="s">
        <x:v>2149</x:v>
      </x:c>
      <x:c r="H50" s="32"/>
    </x:row>
    <x:row r="51" ht="30">
      <x:c r="A51" s="31" t="s">
        <x:v>305</x:v>
      </x:c>
      <x:c r="B51" s="32" t="s">
        <x:v>306</x:v>
      </x:c>
      <x:c r="C51" s="32" t="s">
        <x:v>307</x:v>
      </x:c>
      <x:c r="D51" s="32" t="s">
        <x:v>2149</x:v>
      </x:c>
      <x:c r="E51" s="32" t="s">
        <x:v>2150</x:v>
      </x:c>
      <x:c r="F51" s="32" t="s">
        <x:v>2151</x:v>
      </x:c>
      <x:c r="G51" s="33" t="s">
        <x:v>2149</x:v>
      </x:c>
      <x:c r="H51" s="32"/>
    </x:row>
    <x:row r="52" ht="30">
      <x:c r="A52" s="31" t="s">
        <x:v>310</x:v>
      </x:c>
      <x:c r="B52" s="32" t="s">
        <x:v>311</x:v>
      </x:c>
      <x:c r="C52" s="32" t="s">
        <x:v>312</x:v>
      </x:c>
      <x:c r="D52" s="32" t="s">
        <x:v>2149</x:v>
      </x:c>
      <x:c r="E52" s="32" t="s">
        <x:v>2150</x:v>
      </x:c>
      <x:c r="F52" s="32" t="s">
        <x:v>2151</x:v>
      </x:c>
      <x:c r="G52" s="33" t="s">
        <x:v>2149</x:v>
      </x:c>
      <x:c r="H52" s="32"/>
    </x:row>
    <x:row r="53" ht="30">
      <x:c r="A53" s="31" t="s">
        <x:v>315</x:v>
      </x:c>
      <x:c r="B53" s="32" t="s">
        <x:v>316</x:v>
      </x:c>
      <x:c r="C53" s="32" t="s">
        <x:v>317</x:v>
      </x:c>
      <x:c r="D53" s="32" t="s">
        <x:v>2149</x:v>
      </x:c>
      <x:c r="E53" s="32" t="s">
        <x:v>2150</x:v>
      </x:c>
      <x:c r="F53" s="32" t="s">
        <x:v>2151</x:v>
      </x:c>
      <x:c r="G53" s="33" t="s">
        <x:v>2149</x:v>
      </x:c>
      <x:c r="H53" s="32"/>
    </x:row>
    <x:row r="54" ht="30">
      <x:c r="A54" s="31" t="s">
        <x:v>320</x:v>
      </x:c>
      <x:c r="B54" s="32" t="s">
        <x:v>321</x:v>
      </x:c>
      <x:c r="C54" s="32" t="s">
        <x:v>322</x:v>
      </x:c>
      <x:c r="D54" s="32" t="s">
        <x:v>2149</x:v>
      </x:c>
      <x:c r="E54" s="32" t="s">
        <x:v>2150</x:v>
      </x:c>
      <x:c r="F54" s="32" t="s">
        <x:v>2151</x:v>
      </x:c>
      <x:c r="G54" s="33" t="s">
        <x:v>2149</x:v>
      </x:c>
      <x:c r="H54" s="32"/>
    </x:row>
    <x:row r="55" ht="30">
      <x:c r="A55" s="31" t="s">
        <x:v>325</x:v>
      </x:c>
      <x:c r="B55" s="32" t="s">
        <x:v>326</x:v>
      </x:c>
      <x:c r="C55" s="32" t="s">
        <x:v>327</x:v>
      </x:c>
      <x:c r="D55" s="32" t="s">
        <x:v>2149</x:v>
      </x:c>
      <x:c r="E55" s="32" t="s">
        <x:v>2150</x:v>
      </x:c>
      <x:c r="F55" s="32" t="s">
        <x:v>2151</x:v>
      </x:c>
      <x:c r="G55" s="33" t="s">
        <x:v>2149</x:v>
      </x:c>
      <x:c r="H55" s="32"/>
    </x:row>
    <x:row r="56" ht="30">
      <x:c r="A56" s="31" t="s">
        <x:v>330</x:v>
      </x:c>
      <x:c r="B56" s="32" t="s">
        <x:v>331</x:v>
      </x:c>
      <x:c r="C56" s="32" t="s">
        <x:v>332</x:v>
      </x:c>
      <x:c r="D56" s="32" t="s">
        <x:v>2149</x:v>
      </x:c>
      <x:c r="E56" s="32" t="s">
        <x:v>2150</x:v>
      </x:c>
      <x:c r="F56" s="32" t="s">
        <x:v>2151</x:v>
      </x:c>
      <x:c r="G56" s="33" t="s">
        <x:v>2149</x:v>
      </x:c>
      <x:c r="H56" s="32"/>
    </x:row>
    <x:row r="57" ht="30">
      <x:c r="A57" s="31" t="s">
        <x:v>335</x:v>
      </x:c>
      <x:c r="B57" s="32" t="s">
        <x:v>336</x:v>
      </x:c>
      <x:c r="C57" s="32" t="s">
        <x:v>337</x:v>
      </x:c>
      <x:c r="D57" s="32" t="s">
        <x:v>2149</x:v>
      </x:c>
      <x:c r="E57" s="32" t="s">
        <x:v>2150</x:v>
      </x:c>
      <x:c r="F57" s="32" t="s">
        <x:v>2151</x:v>
      </x:c>
      <x:c r="G57" s="33" t="s">
        <x:v>2149</x:v>
      </x:c>
      <x:c r="H57" s="32"/>
    </x:row>
    <x:row r="58" ht="30">
      <x:c r="A58" s="31" t="s">
        <x:v>340</x:v>
      </x:c>
      <x:c r="B58" s="32" t="s">
        <x:v>341</x:v>
      </x:c>
      <x:c r="C58" s="32" t="s">
        <x:v>342</x:v>
      </x:c>
      <x:c r="D58" s="32" t="s">
        <x:v>2149</x:v>
      </x:c>
      <x:c r="E58" s="32" t="s">
        <x:v>2150</x:v>
      </x:c>
      <x:c r="F58" s="32" t="s">
        <x:v>2151</x:v>
      </x:c>
      <x:c r="G58" s="33" t="s">
        <x:v>2149</x:v>
      </x:c>
      <x:c r="H58" s="32"/>
    </x:row>
    <x:row r="59" ht="30">
      <x:c r="A59" s="31" t="s">
        <x:v>345</x:v>
      </x:c>
      <x:c r="B59" s="32" t="s">
        <x:v>346</x:v>
      </x:c>
      <x:c r="C59" s="32" t="s">
        <x:v>347</x:v>
      </x:c>
      <x:c r="D59" s="32" t="s">
        <x:v>2149</x:v>
      </x:c>
      <x:c r="E59" s="32" t="s">
        <x:v>2150</x:v>
      </x:c>
      <x:c r="F59" s="32" t="s">
        <x:v>2151</x:v>
      </x:c>
      <x:c r="G59" s="33" t="s">
        <x:v>2149</x:v>
      </x:c>
      <x:c r="H59" s="32"/>
    </x:row>
    <x:row r="60" ht="30">
      <x:c r="A60" s="31" t="s">
        <x:v>350</x:v>
      </x:c>
      <x:c r="B60" s="32" t="s">
        <x:v>352</x:v>
      </x:c>
      <x:c r="C60" s="32" t="s">
        <x:v>353</x:v>
      </x:c>
      <x:c r="D60" s="32" t="s">
        <x:v>2149</x:v>
      </x:c>
      <x:c r="E60" s="32" t="s">
        <x:v>2150</x:v>
      </x:c>
      <x:c r="F60" s="32" t="s">
        <x:v>2151</x:v>
      </x:c>
      <x:c r="G60" s="33" t="s">
        <x:v>2149</x:v>
      </x:c>
      <x:c r="H60" s="32"/>
    </x:row>
    <x:row r="61" ht="30">
      <x:c r="A61" s="31" t="s">
        <x:v>356</x:v>
      </x:c>
      <x:c r="B61" s="32" t="s">
        <x:v>357</x:v>
      </x:c>
      <x:c r="C61" s="32" t="s">
        <x:v>358</x:v>
      </x:c>
      <x:c r="D61" s="32" t="s">
        <x:v>2149</x:v>
      </x:c>
      <x:c r="E61" s="32" t="s">
        <x:v>2150</x:v>
      </x:c>
      <x:c r="F61" s="32" t="s">
        <x:v>2151</x:v>
      </x:c>
      <x:c r="G61" s="33" t="s">
        <x:v>2149</x:v>
      </x:c>
      <x:c r="H61" s="32"/>
    </x:row>
    <x:row r="62" ht="30">
      <x:c r="A62" s="31" t="s">
        <x:v>361</x:v>
      </x:c>
      <x:c r="B62" s="32" t="s">
        <x:v>362</x:v>
      </x:c>
      <x:c r="C62" s="32" t="s">
        <x:v>363</x:v>
      </x:c>
      <x:c r="D62" s="32" t="s">
        <x:v>2149</x:v>
      </x:c>
      <x:c r="E62" s="32" t="s">
        <x:v>2150</x:v>
      </x:c>
      <x:c r="F62" s="32" t="s">
        <x:v>2151</x:v>
      </x:c>
      <x:c r="G62" s="33" t="s">
        <x:v>2149</x:v>
      </x:c>
      <x:c r="H62" s="32"/>
    </x:row>
    <x:row r="63" ht="30">
      <x:c r="A63" s="31" t="s">
        <x:v>366</x:v>
      </x:c>
      <x:c r="B63" s="32" t="s">
        <x:v>367</x:v>
      </x:c>
      <x:c r="C63" s="32" t="s">
        <x:v>368</x:v>
      </x:c>
      <x:c r="D63" s="32" t="s">
        <x:v>2149</x:v>
      </x:c>
      <x:c r="E63" s="32" t="s">
        <x:v>2150</x:v>
      </x:c>
      <x:c r="F63" s="32" t="s">
        <x:v>2151</x:v>
      </x:c>
      <x:c r="G63" s="33" t="s">
        <x:v>2149</x:v>
      </x:c>
      <x:c r="H63" s="32"/>
    </x:row>
    <x:row r="64" ht="30">
      <x:c r="A64" s="31" t="s">
        <x:v>371</x:v>
      </x:c>
      <x:c r="B64" s="32" t="s">
        <x:v>372</x:v>
      </x:c>
      <x:c r="C64" s="32" t="s">
        <x:v>373</x:v>
      </x:c>
      <x:c r="D64" s="32" t="s">
        <x:v>2149</x:v>
      </x:c>
      <x:c r="E64" s="32" t="s">
        <x:v>2150</x:v>
      </x:c>
      <x:c r="F64" s="32" t="s">
        <x:v>2151</x:v>
      </x:c>
      <x:c r="G64" s="33" t="s">
        <x:v>2149</x:v>
      </x:c>
      <x:c r="H64" s="32"/>
    </x:row>
    <x:row r="65" ht="30">
      <x:c r="A65" s="31" t="s">
        <x:v>376</x:v>
      </x:c>
      <x:c r="B65" s="32" t="s">
        <x:v>377</x:v>
      </x:c>
      <x:c r="C65" s="32" t="s">
        <x:v>378</x:v>
      </x:c>
      <x:c r="D65" s="32" t="s">
        <x:v>2149</x:v>
      </x:c>
      <x:c r="E65" s="32" t="s">
        <x:v>2150</x:v>
      </x:c>
      <x:c r="F65" s="32" t="s">
        <x:v>2151</x:v>
      </x:c>
      <x:c r="G65" s="33" t="s">
        <x:v>2149</x:v>
      </x:c>
      <x:c r="H65" s="32"/>
    </x:row>
    <x:row r="66" ht="30">
      <x:c r="A66" s="31" t="s">
        <x:v>381</x:v>
      </x:c>
      <x:c r="B66" s="32" t="s">
        <x:v>382</x:v>
      </x:c>
      <x:c r="C66" s="32" t="s">
        <x:v>383</x:v>
      </x:c>
      <x:c r="D66" s="32" t="s">
        <x:v>2149</x:v>
      </x:c>
      <x:c r="E66" s="32" t="s">
        <x:v>2150</x:v>
      </x:c>
      <x:c r="F66" s="32" t="s">
        <x:v>2151</x:v>
      </x:c>
      <x:c r="G66" s="33" t="s">
        <x:v>2149</x:v>
      </x:c>
      <x:c r="H66" s="32"/>
    </x:row>
    <x:row r="67" ht="30">
      <x:c r="A67" s="31" t="s">
        <x:v>386</x:v>
      </x:c>
      <x:c r="B67" s="32" t="s">
        <x:v>387</x:v>
      </x:c>
      <x:c r="C67" s="32" t="s">
        <x:v>388</x:v>
      </x:c>
      <x:c r="D67" s="32" t="s">
        <x:v>2149</x:v>
      </x:c>
      <x:c r="E67" s="32" t="s">
        <x:v>2150</x:v>
      </x:c>
      <x:c r="F67" s="32" t="s">
        <x:v>2151</x:v>
      </x:c>
      <x:c r="G67" s="33" t="s">
        <x:v>2149</x:v>
      </x:c>
      <x:c r="H67" s="32"/>
    </x:row>
    <x:row r="68" ht="30">
      <x:c r="A68" s="31" t="s">
        <x:v>391</x:v>
      </x:c>
      <x:c r="B68" s="32" t="s">
        <x:v>392</x:v>
      </x:c>
      <x:c r="C68" s="32" t="s">
        <x:v>393</x:v>
      </x:c>
      <x:c r="D68" s="32" t="s">
        <x:v>2149</x:v>
      </x:c>
      <x:c r="E68" s="32" t="s">
        <x:v>2150</x:v>
      </x:c>
      <x:c r="F68" s="32" t="s">
        <x:v>2151</x:v>
      </x:c>
      <x:c r="G68" s="33" t="s">
        <x:v>2149</x:v>
      </x:c>
      <x:c r="H68" s="32"/>
    </x:row>
    <x:row r="69" ht="30">
      <x:c r="A69" s="31" t="s">
        <x:v>396</x:v>
      </x:c>
      <x:c r="B69" s="32" t="s">
        <x:v>397</x:v>
      </x:c>
      <x:c r="C69" s="32" t="s">
        <x:v>398</x:v>
      </x:c>
      <x:c r="D69" s="32" t="s">
        <x:v>2149</x:v>
      </x:c>
      <x:c r="E69" s="32" t="s">
        <x:v>2150</x:v>
      </x:c>
      <x:c r="F69" s="32" t="s">
        <x:v>2151</x:v>
      </x:c>
      <x:c r="G69" s="33" t="s">
        <x:v>2149</x:v>
      </x:c>
      <x:c r="H69" s="32"/>
    </x:row>
    <x:row r="70" ht="30">
      <x:c r="A70" s="31" t="s">
        <x:v>401</x:v>
      </x:c>
      <x:c r="B70" s="32" t="s">
        <x:v>402</x:v>
      </x:c>
      <x:c r="C70" s="32" t="s">
        <x:v>403</x:v>
      </x:c>
      <x:c r="D70" s="32" t="s">
        <x:v>2149</x:v>
      </x:c>
      <x:c r="E70" s="32" t="s">
        <x:v>2150</x:v>
      </x:c>
      <x:c r="F70" s="32" t="s">
        <x:v>2151</x:v>
      </x:c>
      <x:c r="G70" s="33" t="s">
        <x:v>2149</x:v>
      </x:c>
      <x:c r="H70" s="32"/>
    </x:row>
    <x:row r="71" ht="30">
      <x:c r="A71" s="31" t="s">
        <x:v>406</x:v>
      </x:c>
      <x:c r="B71" s="32" t="s">
        <x:v>407</x:v>
      </x:c>
      <x:c r="C71" s="32" t="s">
        <x:v>408</x:v>
      </x:c>
      <x:c r="D71" s="32" t="s">
        <x:v>2149</x:v>
      </x:c>
      <x:c r="E71" s="32" t="s">
        <x:v>2150</x:v>
      </x:c>
      <x:c r="F71" s="32" t="s">
        <x:v>2151</x:v>
      </x:c>
      <x:c r="G71" s="33" t="s">
        <x:v>2149</x:v>
      </x:c>
      <x:c r="H71" s="32"/>
    </x:row>
    <x:row r="72" ht="30">
      <x:c r="A72" s="31" t="s">
        <x:v>411</x:v>
      </x:c>
      <x:c r="B72" s="32" t="s">
        <x:v>412</x:v>
      </x:c>
      <x:c r="C72" s="32" t="s">
        <x:v>413</x:v>
      </x:c>
      <x:c r="D72" s="32" t="s">
        <x:v>2149</x:v>
      </x:c>
      <x:c r="E72" s="32" t="s">
        <x:v>2150</x:v>
      </x:c>
      <x:c r="F72" s="32" t="s">
        <x:v>2151</x:v>
      </x:c>
      <x:c r="G72" s="33" t="s">
        <x:v>2149</x:v>
      </x:c>
      <x:c r="H72" s="32"/>
    </x:row>
    <x:row r="73" ht="30">
      <x:c r="A73" s="31" t="s">
        <x:v>416</x:v>
      </x:c>
      <x:c r="B73" s="32" t="s">
        <x:v>417</x:v>
      </x:c>
      <x:c r="C73" s="32" t="s">
        <x:v>418</x:v>
      </x:c>
      <x:c r="D73" s="32" t="s">
        <x:v>2149</x:v>
      </x:c>
      <x:c r="E73" s="32" t="s">
        <x:v>2150</x:v>
      </x:c>
      <x:c r="F73" s="32" t="s">
        <x:v>2151</x:v>
      </x:c>
      <x:c r="G73" s="33" t="s">
        <x:v>2149</x:v>
      </x:c>
      <x:c r="H73" s="32"/>
    </x:row>
    <x:row r="74" ht="30">
      <x:c r="A74" s="31" t="s">
        <x:v>421</x:v>
      </x:c>
      <x:c r="B74" s="32" t="s">
        <x:v>422</x:v>
      </x:c>
      <x:c r="C74" s="32" t="s">
        <x:v>423</x:v>
      </x:c>
      <x:c r="D74" s="32" t="s">
        <x:v>2149</x:v>
      </x:c>
      <x:c r="E74" s="32" t="s">
        <x:v>2150</x:v>
      </x:c>
      <x:c r="F74" s="32" t="s">
        <x:v>2151</x:v>
      </x:c>
      <x:c r="G74" s="33" t="s">
        <x:v>2149</x:v>
      </x:c>
      <x:c r="H74" s="32"/>
    </x:row>
    <x:row r="75" ht="30">
      <x:c r="A75" s="31" t="s">
        <x:v>426</x:v>
      </x:c>
      <x:c r="B75" s="32" t="s">
        <x:v>427</x:v>
      </x:c>
      <x:c r="C75" s="32" t="s">
        <x:v>428</x:v>
      </x:c>
      <x:c r="D75" s="32" t="s">
        <x:v>2149</x:v>
      </x:c>
      <x:c r="E75" s="32" t="s">
        <x:v>2150</x:v>
      </x:c>
      <x:c r="F75" s="32" t="s">
        <x:v>2151</x:v>
      </x:c>
      <x:c r="G75" s="33" t="s">
        <x:v>2149</x:v>
      </x:c>
      <x:c r="H75" s="32"/>
    </x:row>
    <x:row r="76" ht="30">
      <x:c r="A76" s="31" t="s">
        <x:v>431</x:v>
      </x:c>
      <x:c r="B76" s="32" t="s">
        <x:v>427</x:v>
      </x:c>
      <x:c r="C76" s="32" t="s">
        <x:v>432</x:v>
      </x:c>
      <x:c r="D76" s="32" t="s">
        <x:v>2149</x:v>
      </x:c>
      <x:c r="E76" s="32" t="s">
        <x:v>2150</x:v>
      </x:c>
      <x:c r="F76" s="32" t="s">
        <x:v>2151</x:v>
      </x:c>
      <x:c r="G76" s="33" t="s">
        <x:v>2149</x:v>
      </x:c>
      <x:c r="H76" s="32"/>
    </x:row>
    <x:row r="77" ht="30">
      <x:c r="A77" s="31" t="s">
        <x:v>434</x:v>
      </x:c>
      <x:c r="B77" s="32" t="s">
        <x:v>427</x:v>
      </x:c>
      <x:c r="C77" s="32" t="s">
        <x:v>435</x:v>
      </x:c>
      <x:c r="D77" s="32" t="s">
        <x:v>2149</x:v>
      </x:c>
      <x:c r="E77" s="32" t="s">
        <x:v>2150</x:v>
      </x:c>
      <x:c r="F77" s="32" t="s">
        <x:v>2151</x:v>
      </x:c>
      <x:c r="G77" s="33" t="s">
        <x:v>2149</x:v>
      </x:c>
      <x:c r="H77" s="32"/>
    </x:row>
    <x:row r="78" ht="30">
      <x:c r="A78" s="31" t="s">
        <x:v>437</x:v>
      </x:c>
      <x:c r="B78" s="32" t="s">
        <x:v>427</x:v>
      </x:c>
      <x:c r="C78" s="32" t="s">
        <x:v>438</x:v>
      </x:c>
      <x:c r="D78" s="32" t="s">
        <x:v>2149</x:v>
      </x:c>
      <x:c r="E78" s="32" t="s">
        <x:v>2150</x:v>
      </x:c>
      <x:c r="F78" s="32" t="s">
        <x:v>2151</x:v>
      </x:c>
      <x:c r="G78" s="33" t="s">
        <x:v>2149</x:v>
      </x:c>
      <x:c r="H78" s="32"/>
    </x:row>
    <x:row r="79" ht="30">
      <x:c r="A79" s="31" t="s">
        <x:v>440</x:v>
      </x:c>
      <x:c r="B79" s="32" t="s">
        <x:v>441</x:v>
      </x:c>
      <x:c r="C79" s="32" t="s">
        <x:v>442</x:v>
      </x:c>
      <x:c r="D79" s="32" t="s">
        <x:v>2149</x:v>
      </x:c>
      <x:c r="E79" s="32" t="s">
        <x:v>2150</x:v>
      </x:c>
      <x:c r="F79" s="32" t="s">
        <x:v>2151</x:v>
      </x:c>
      <x:c r="G79" s="33" t="s">
        <x:v>2149</x:v>
      </x:c>
      <x:c r="H79" s="32"/>
    </x:row>
    <x:row r="80" ht="30">
      <x:c r="A80" s="31" t="s">
        <x:v>445</x:v>
      </x:c>
      <x:c r="B80" s="32" t="s">
        <x:v>448</x:v>
      </x:c>
      <x:c r="C80" s="32" t="s">
        <x:v>449</x:v>
      </x:c>
      <x:c r="D80" s="32" t="s">
        <x:v>2149</x:v>
      </x:c>
      <x:c r="E80" s="32" t="s">
        <x:v>2150</x:v>
      </x:c>
      <x:c r="F80" s="32" t="s">
        <x:v>2151</x:v>
      </x:c>
      <x:c r="G80" s="33" t="s">
        <x:v>2149</x:v>
      </x:c>
      <x:c r="H80" s="32"/>
    </x:row>
    <x:row r="81" ht="30">
      <x:c r="A81" s="31" t="s">
        <x:v>453</x:v>
      </x:c>
      <x:c r="B81" s="32" t="s">
        <x:v>455</x:v>
      </x:c>
      <x:c r="C81" s="32" t="s">
        <x:v>456</x:v>
      </x:c>
      <x:c r="D81" s="32" t="s">
        <x:v>2149</x:v>
      </x:c>
      <x:c r="E81" s="32" t="s">
        <x:v>2150</x:v>
      </x:c>
      <x:c r="F81" s="32" t="s">
        <x:v>2151</x:v>
      </x:c>
      <x:c r="G81" s="33" t="s">
        <x:v>2149</x:v>
      </x:c>
      <x:c r="H81" s="32"/>
    </x:row>
    <x:row r="82" ht="30">
      <x:c r="A82" s="31" t="s">
        <x:v>460</x:v>
      </x:c>
      <x:c r="B82" s="32" t="s">
        <x:v>462</x:v>
      </x:c>
      <x:c r="C82" s="32" t="s">
        <x:v>463</x:v>
      </x:c>
      <x:c r="D82" s="32" t="s">
        <x:v>2149</x:v>
      </x:c>
      <x:c r="E82" s="32" t="s">
        <x:v>2150</x:v>
      </x:c>
      <x:c r="F82" s="32" t="s">
        <x:v>2151</x:v>
      </x:c>
      <x:c r="G82" s="33" t="s">
        <x:v>2149</x:v>
      </x:c>
      <x:c r="H82" s="32"/>
    </x:row>
    <x:row r="83" ht="30">
      <x:c r="A83" s="31" t="s">
        <x:v>467</x:v>
      </x:c>
      <x:c r="B83" s="32" t="s">
        <x:v>468</x:v>
      </x:c>
      <x:c r="C83" s="32" t="s">
        <x:v>471</x:v>
      </x:c>
      <x:c r="D83" s="32" t="s">
        <x:v>2149</x:v>
      </x:c>
      <x:c r="E83" s="32" t="s">
        <x:v>2150</x:v>
      </x:c>
      <x:c r="F83" s="32" t="s">
        <x:v>2151</x:v>
      </x:c>
      <x:c r="G83" s="33" t="s">
        <x:v>2149</x:v>
      </x:c>
      <x:c r="H83" s="32"/>
    </x:row>
    <x:row r="84" ht="30">
      <x:c r="A84" s="31" t="s">
        <x:v>476</x:v>
      </x:c>
      <x:c r="B84" s="32" t="s">
        <x:v>468</x:v>
      </x:c>
      <x:c r="C84" s="32" t="s">
        <x:v>478</x:v>
      </x:c>
      <x:c r="D84" s="32" t="s">
        <x:v>2149</x:v>
      </x:c>
      <x:c r="E84" s="32" t="s">
        <x:v>2150</x:v>
      </x:c>
      <x:c r="F84" s="32" t="s">
        <x:v>2151</x:v>
      </x:c>
      <x:c r="G84" s="33" t="s">
        <x:v>2149</x:v>
      </x:c>
      <x:c r="H84" s="32"/>
    </x:row>
    <x:row r="85" ht="30">
      <x:c r="A85" s="31" t="s">
        <x:v>481</x:v>
      </x:c>
      <x:c r="B85" s="32" t="s">
        <x:v>468</x:v>
      </x:c>
      <x:c r="C85" s="32" t="s">
        <x:v>483</x:v>
      </x:c>
      <x:c r="D85" s="32" t="s">
        <x:v>2149</x:v>
      </x:c>
      <x:c r="E85" s="32" t="s">
        <x:v>2150</x:v>
      </x:c>
      <x:c r="F85" s="32" t="s">
        <x:v>2151</x:v>
      </x:c>
      <x:c r="G85" s="33" t="s">
        <x:v>2149</x:v>
      </x:c>
      <x:c r="H85" s="32"/>
    </x:row>
    <x:row r="86" ht="30">
      <x:c r="A86" s="31" t="s">
        <x:v>486</x:v>
      </x:c>
      <x:c r="B86" s="32" t="s">
        <x:v>468</x:v>
      </x:c>
      <x:c r="C86" s="32" t="s">
        <x:v>488</x:v>
      </x:c>
      <x:c r="D86" s="32" t="s">
        <x:v>2149</x:v>
      </x:c>
      <x:c r="E86" s="32" t="s">
        <x:v>2150</x:v>
      </x:c>
      <x:c r="F86" s="32" t="s">
        <x:v>2151</x:v>
      </x:c>
      <x:c r="G86" s="33" t="s">
        <x:v>2149</x:v>
      </x:c>
      <x:c r="H86" s="32"/>
    </x:row>
    <x:row r="87" ht="30">
      <x:c r="A87" s="31" t="s">
        <x:v>491</x:v>
      </x:c>
      <x:c r="B87" s="32" t="s">
        <x:v>468</x:v>
      </x:c>
      <x:c r="C87" s="32" t="s">
        <x:v>493</x:v>
      </x:c>
      <x:c r="D87" s="32" t="s">
        <x:v>2149</x:v>
      </x:c>
      <x:c r="E87" s="32" t="s">
        <x:v>2150</x:v>
      </x:c>
      <x:c r="F87" s="32" t="s">
        <x:v>2151</x:v>
      </x:c>
      <x:c r="G87" s="33" t="s">
        <x:v>2149</x:v>
      </x:c>
      <x:c r="H87" s="32"/>
    </x:row>
    <x:row r="88" ht="30">
      <x:c r="A88" s="31" t="s">
        <x:v>496</x:v>
      </x:c>
      <x:c r="B88" s="32" t="s">
        <x:v>468</x:v>
      </x:c>
      <x:c r="C88" s="32" t="s">
        <x:v>498</x:v>
      </x:c>
      <x:c r="D88" s="32" t="s">
        <x:v>2149</x:v>
      </x:c>
      <x:c r="E88" s="32" t="s">
        <x:v>2150</x:v>
      </x:c>
      <x:c r="F88" s="32" t="s">
        <x:v>2151</x:v>
      </x:c>
      <x:c r="G88" s="33" t="s">
        <x:v>2149</x:v>
      </x:c>
      <x:c r="H88" s="32"/>
    </x:row>
    <x:row r="89" ht="30">
      <x:c r="A89" s="31" t="s">
        <x:v>501</x:v>
      </x:c>
      <x:c r="B89" s="32" t="s">
        <x:v>468</x:v>
      </x:c>
      <x:c r="C89" s="32" t="s">
        <x:v>503</x:v>
      </x:c>
      <x:c r="D89" s="32" t="s">
        <x:v>2149</x:v>
      </x:c>
      <x:c r="E89" s="32" t="s">
        <x:v>2150</x:v>
      </x:c>
      <x:c r="F89" s="32" t="s">
        <x:v>2151</x:v>
      </x:c>
      <x:c r="G89" s="33" t="s">
        <x:v>2149</x:v>
      </x:c>
      <x:c r="H89" s="32"/>
    </x:row>
    <x:row r="90" ht="30">
      <x:c r="A90" s="31" t="s">
        <x:v>506</x:v>
      </x:c>
      <x:c r="B90" s="32" t="s">
        <x:v>468</x:v>
      </x:c>
      <x:c r="C90" s="32" t="s">
        <x:v>508</x:v>
      </x:c>
      <x:c r="D90" s="32" t="s">
        <x:v>2149</x:v>
      </x:c>
      <x:c r="E90" s="32" t="s">
        <x:v>2150</x:v>
      </x:c>
      <x:c r="F90" s="32" t="s">
        <x:v>2151</x:v>
      </x:c>
      <x:c r="G90" s="33" t="s">
        <x:v>2149</x:v>
      </x:c>
      <x:c r="H90" s="32"/>
    </x:row>
    <x:row r="91" ht="30">
      <x:c r="A91" s="31" t="s">
        <x:v>511</x:v>
      </x:c>
      <x:c r="B91" s="32" t="s">
        <x:v>468</x:v>
      </x:c>
      <x:c r="C91" s="32" t="s">
        <x:v>513</x:v>
      </x:c>
      <x:c r="D91" s="32" t="s">
        <x:v>2149</x:v>
      </x:c>
      <x:c r="E91" s="32" t="s">
        <x:v>2150</x:v>
      </x:c>
      <x:c r="F91" s="32" t="s">
        <x:v>2151</x:v>
      </x:c>
      <x:c r="G91" s="33" t="s">
        <x:v>2149</x:v>
      </x:c>
      <x:c r="H91" s="32"/>
    </x:row>
    <x:row r="92" ht="30">
      <x:c r="A92" s="31" t="s">
        <x:v>516</x:v>
      </x:c>
      <x:c r="B92" s="32" t="s">
        <x:v>518</x:v>
      </x:c>
      <x:c r="C92" s="32" t="s">
        <x:v>519</x:v>
      </x:c>
      <x:c r="D92" s="32" t="s">
        <x:v>2149</x:v>
      </x:c>
      <x:c r="E92" s="32" t="s">
        <x:v>2150</x:v>
      </x:c>
      <x:c r="F92" s="32" t="s">
        <x:v>2151</x:v>
      </x:c>
      <x:c r="G92" s="33" t="s">
        <x:v>2149</x:v>
      </x:c>
      <x:c r="H92" s="32"/>
    </x:row>
    <x:row r="93" ht="30">
      <x:c r="A93" s="31" t="s">
        <x:v>523</x:v>
      </x:c>
      <x:c r="B93" s="32" t="s">
        <x:v>525</x:v>
      </x:c>
      <x:c r="C93" s="32" t="s">
        <x:v>527</x:v>
      </x:c>
      <x:c r="D93" s="32" t="s">
        <x:v>2149</x:v>
      </x:c>
      <x:c r="E93" s="32" t="s">
        <x:v>2150</x:v>
      </x:c>
      <x:c r="F93" s="32" t="s">
        <x:v>2151</x:v>
      </x:c>
      <x:c r="G93" s="33" t="s">
        <x:v>2149</x:v>
      </x:c>
      <x:c r="H93" s="32"/>
    </x:row>
    <x:row r="94" ht="30">
      <x:c r="A94" s="31" t="s">
        <x:v>531</x:v>
      </x:c>
      <x:c r="B94" s="32" t="s">
        <x:v>532</x:v>
      </x:c>
      <x:c r="C94" s="32" t="s">
        <x:v>533</x:v>
      </x:c>
      <x:c r="D94" s="32" t="s">
        <x:v>2149</x:v>
      </x:c>
      <x:c r="E94" s="32" t="s">
        <x:v>2150</x:v>
      </x:c>
      <x:c r="F94" s="32" t="s">
        <x:v>2151</x:v>
      </x:c>
      <x:c r="G94" s="33" t="s">
        <x:v>2149</x:v>
      </x:c>
      <x:c r="H94" s="32"/>
    </x:row>
    <x:row r="95" ht="30">
      <x:c r="A95" s="31" t="s">
        <x:v>538</x:v>
      </x:c>
      <x:c r="B95" s="32" t="s">
        <x:v>532</x:v>
      </x:c>
      <x:c r="C95" s="32" t="s">
        <x:v>539</x:v>
      </x:c>
      <x:c r="D95" s="32" t="s">
        <x:v>2149</x:v>
      </x:c>
      <x:c r="E95" s="32" t="s">
        <x:v>2150</x:v>
      </x:c>
      <x:c r="F95" s="32" t="s">
        <x:v>2151</x:v>
      </x:c>
      <x:c r="G95" s="33" t="s">
        <x:v>2149</x:v>
      </x:c>
      <x:c r="H95" s="32"/>
    </x:row>
    <x:row r="96" ht="30">
      <x:c r="A96" s="31" t="s">
        <x:v>542</x:v>
      </x:c>
      <x:c r="B96" s="32" t="s">
        <x:v>532</x:v>
      </x:c>
      <x:c r="C96" s="32" t="s">
        <x:v>544</x:v>
      </x:c>
      <x:c r="D96" s="32" t="s">
        <x:v>2149</x:v>
      </x:c>
      <x:c r="E96" s="32" t="s">
        <x:v>2150</x:v>
      </x:c>
      <x:c r="F96" s="32" t="s">
        <x:v>2151</x:v>
      </x:c>
      <x:c r="G96" s="33" t="s">
        <x:v>2149</x:v>
      </x:c>
      <x:c r="H96" s="32"/>
    </x:row>
    <x:row r="97" ht="30">
      <x:c r="A97" s="31" t="s">
        <x:v>547</x:v>
      </x:c>
      <x:c r="B97" s="32" t="s">
        <x:v>532</x:v>
      </x:c>
      <x:c r="C97" s="32" t="s">
        <x:v>548</x:v>
      </x:c>
      <x:c r="D97" s="32" t="s">
        <x:v>2149</x:v>
      </x:c>
      <x:c r="E97" s="32" t="s">
        <x:v>2150</x:v>
      </x:c>
      <x:c r="F97" s="32" t="s">
        <x:v>2151</x:v>
      </x:c>
      <x:c r="G97" s="33" t="s">
        <x:v>2149</x:v>
      </x:c>
      <x:c r="H97" s="32"/>
    </x:row>
    <x:row r="98" ht="30">
      <x:c r="A98" s="31" t="s">
        <x:v>551</x:v>
      </x:c>
      <x:c r="B98" s="32" t="s">
        <x:v>532</x:v>
      </x:c>
      <x:c r="C98" s="32" t="s">
        <x:v>553</x:v>
      </x:c>
      <x:c r="D98" s="32" t="s">
        <x:v>2149</x:v>
      </x:c>
      <x:c r="E98" s="32" t="s">
        <x:v>2150</x:v>
      </x:c>
      <x:c r="F98" s="32" t="s">
        <x:v>2151</x:v>
      </x:c>
      <x:c r="G98" s="33" t="s">
        <x:v>2149</x:v>
      </x:c>
      <x:c r="H98" s="32"/>
    </x:row>
    <x:row r="99" ht="30">
      <x:c r="A99" s="31" t="s">
        <x:v>556</x:v>
      </x:c>
      <x:c r="B99" s="32" t="s">
        <x:v>558</x:v>
      </x:c>
      <x:c r="C99" s="32" t="s">
        <x:v>559</x:v>
      </x:c>
      <x:c r="D99" s="32" t="s">
        <x:v>2149</x:v>
      </x:c>
      <x:c r="E99" s="32" t="s">
        <x:v>2150</x:v>
      </x:c>
      <x:c r="F99" s="32" t="s">
        <x:v>2151</x:v>
      </x:c>
      <x:c r="G99" s="33" t="s">
        <x:v>2149</x:v>
      </x:c>
      <x:c r="H99" s="32"/>
    </x:row>
    <x:row r="100" ht="30">
      <x:c r="A100" s="31" t="s">
        <x:v>563</x:v>
      </x:c>
      <x:c r="B100" s="32" t="s">
        <x:v>564</x:v>
      </x:c>
      <x:c r="C100" s="32" t="s">
        <x:v>565</x:v>
      </x:c>
      <x:c r="D100" s="32" t="s">
        <x:v>2149</x:v>
      </x:c>
      <x:c r="E100" s="32" t="s">
        <x:v>2150</x:v>
      </x:c>
      <x:c r="F100" s="32" t="s">
        <x:v>2151</x:v>
      </x:c>
      <x:c r="G100" s="33" t="s">
        <x:v>2149</x:v>
      </x:c>
      <x:c r="H100" s="32"/>
    </x:row>
    <x:row r="101" ht="30">
      <x:c r="A101" s="31" t="s">
        <x:v>569</x:v>
      </x:c>
      <x:c r="B101" s="32" t="s">
        <x:v>571</x:v>
      </x:c>
      <x:c r="C101" s="32" t="s">
        <x:v>572</x:v>
      </x:c>
      <x:c r="D101" s="32" t="s">
        <x:v>2149</x:v>
      </x:c>
      <x:c r="E101" s="32" t="s">
        <x:v>2150</x:v>
      </x:c>
      <x:c r="F101" s="32" t="s">
        <x:v>2151</x:v>
      </x:c>
      <x:c r="G101" s="33" t="s">
        <x:v>2149</x:v>
      </x:c>
      <x:c r="H101" s="32"/>
    </x:row>
    <x:row r="102" ht="30">
      <x:c r="A102" s="31" t="s">
        <x:v>576</x:v>
      </x:c>
      <x:c r="B102" s="32" t="s">
        <x:v>577</x:v>
      </x:c>
      <x:c r="C102" s="32" t="s">
        <x:v>579</x:v>
      </x:c>
      <x:c r="D102" s="32" t="s">
        <x:v>2149</x:v>
      </x:c>
      <x:c r="E102" s="32" t="s">
        <x:v>2150</x:v>
      </x:c>
      <x:c r="F102" s="32" t="s">
        <x:v>2151</x:v>
      </x:c>
      <x:c r="G102" s="33" t="s">
        <x:v>2149</x:v>
      </x:c>
      <x:c r="H102" s="32"/>
    </x:row>
    <x:row r="103" ht="30">
      <x:c r="A103" s="31" t="s">
        <x:v>582</x:v>
      </x:c>
      <x:c r="B103" s="32" t="s">
        <x:v>577</x:v>
      </x:c>
      <x:c r="C103" s="32" t="s">
        <x:v>584</x:v>
      </x:c>
      <x:c r="D103" s="32" t="s">
        <x:v>2149</x:v>
      </x:c>
      <x:c r="E103" s="32" t="s">
        <x:v>2150</x:v>
      </x:c>
      <x:c r="F103" s="32" t="s">
        <x:v>2151</x:v>
      </x:c>
      <x:c r="G103" s="33" t="s">
        <x:v>2149</x:v>
      </x:c>
      <x:c r="H103" s="32"/>
    </x:row>
    <x:row r="104" ht="30">
      <x:c r="A104" s="31" t="s">
        <x:v>587</x:v>
      </x:c>
      <x:c r="B104" s="32" t="s">
        <x:v>577</x:v>
      </x:c>
      <x:c r="C104" s="32" t="s">
        <x:v>589</x:v>
      </x:c>
      <x:c r="D104" s="32" t="s">
        <x:v>2149</x:v>
      </x:c>
      <x:c r="E104" s="32" t="s">
        <x:v>2150</x:v>
      </x:c>
      <x:c r="F104" s="32" t="s">
        <x:v>2151</x:v>
      </x:c>
      <x:c r="G104" s="33" t="s">
        <x:v>2149</x:v>
      </x:c>
      <x:c r="H104" s="32"/>
    </x:row>
    <x:row r="105" ht="30">
      <x:c r="A105" s="31" t="s">
        <x:v>592</x:v>
      </x:c>
      <x:c r="B105" s="32" t="s">
        <x:v>577</x:v>
      </x:c>
      <x:c r="C105" s="32" t="s">
        <x:v>594</x:v>
      </x:c>
      <x:c r="D105" s="32" t="s">
        <x:v>2149</x:v>
      </x:c>
      <x:c r="E105" s="32" t="s">
        <x:v>2150</x:v>
      </x:c>
      <x:c r="F105" s="32" t="s">
        <x:v>2151</x:v>
      </x:c>
      <x:c r="G105" s="33" t="s">
        <x:v>2149</x:v>
      </x:c>
      <x:c r="H105" s="32"/>
    </x:row>
    <x:row r="106" ht="30">
      <x:c r="A106" s="31" t="s">
        <x:v>597</x:v>
      </x:c>
      <x:c r="B106" s="32" t="s">
        <x:v>577</x:v>
      </x:c>
      <x:c r="C106" s="32" t="s">
        <x:v>599</x:v>
      </x:c>
      <x:c r="D106" s="32" t="s">
        <x:v>2149</x:v>
      </x:c>
      <x:c r="E106" s="32" t="s">
        <x:v>2150</x:v>
      </x:c>
      <x:c r="F106" s="32" t="s">
        <x:v>2151</x:v>
      </x:c>
      <x:c r="G106" s="33" t="s">
        <x:v>2149</x:v>
      </x:c>
      <x:c r="H106" s="32"/>
    </x:row>
    <x:row r="107" ht="30">
      <x:c r="A107" s="31" t="s">
        <x:v>602</x:v>
      </x:c>
      <x:c r="B107" s="32" t="s">
        <x:v>605</x:v>
      </x:c>
      <x:c r="C107" s="32" t="s">
        <x:v>607</x:v>
      </x:c>
      <x:c r="D107" s="32" t="s">
        <x:v>2149</x:v>
      </x:c>
      <x:c r="E107" s="32" t="s">
        <x:v>2150</x:v>
      </x:c>
      <x:c r="F107" s="32" t="s">
        <x:v>2151</x:v>
      </x:c>
      <x:c r="G107" s="33" t="s">
        <x:v>2149</x:v>
      </x:c>
      <x:c r="H107" s="32"/>
    </x:row>
    <x:row r="108" ht="30">
      <x:c r="A108" s="31" t="s">
        <x:v>612</x:v>
      </x:c>
      <x:c r="B108" s="32" t="s">
        <x:v>605</x:v>
      </x:c>
      <x:c r="C108" s="32" t="s">
        <x:v>614</x:v>
      </x:c>
      <x:c r="D108" s="32" t="s">
        <x:v>2149</x:v>
      </x:c>
      <x:c r="E108" s="32" t="s">
        <x:v>2150</x:v>
      </x:c>
      <x:c r="F108" s="32" t="s">
        <x:v>2151</x:v>
      </x:c>
      <x:c r="G108" s="33" t="s">
        <x:v>2149</x:v>
      </x:c>
      <x:c r="H108" s="32"/>
    </x:row>
    <x:row r="109" ht="30">
      <x:c r="A109" s="31" t="s">
        <x:v>617</x:v>
      </x:c>
      <x:c r="B109" s="32" t="s">
        <x:v>605</x:v>
      </x:c>
      <x:c r="C109" s="32" t="s">
        <x:v>618</x:v>
      </x:c>
      <x:c r="D109" s="32" t="s">
        <x:v>2149</x:v>
      </x:c>
      <x:c r="E109" s="32" t="s">
        <x:v>2150</x:v>
      </x:c>
      <x:c r="F109" s="32" t="s">
        <x:v>2151</x:v>
      </x:c>
      <x:c r="G109" s="33" t="s">
        <x:v>2149</x:v>
      </x:c>
      <x:c r="H109" s="32"/>
    </x:row>
    <x:row r="110" ht="30">
      <x:c r="A110" s="31" t="s">
        <x:v>621</x:v>
      </x:c>
      <x:c r="B110" s="32" t="s">
        <x:v>605</x:v>
      </x:c>
      <x:c r="C110" s="32" t="s">
        <x:v>623</x:v>
      </x:c>
      <x:c r="D110" s="32" t="s">
        <x:v>2149</x:v>
      </x:c>
      <x:c r="E110" s="32" t="s">
        <x:v>2150</x:v>
      </x:c>
      <x:c r="F110" s="32" t="s">
        <x:v>2151</x:v>
      </x:c>
      <x:c r="G110" s="33" t="s">
        <x:v>2149</x:v>
      </x:c>
      <x:c r="H110" s="32"/>
    </x:row>
    <x:row r="111" ht="30">
      <x:c r="A111" s="31" t="s">
        <x:v>626</x:v>
      </x:c>
      <x:c r="B111" s="32" t="s">
        <x:v>605</x:v>
      </x:c>
      <x:c r="C111" s="32" t="s">
        <x:v>627</x:v>
      </x:c>
      <x:c r="D111" s="32" t="s">
        <x:v>2149</x:v>
      </x:c>
      <x:c r="E111" s="32" t="s">
        <x:v>2150</x:v>
      </x:c>
      <x:c r="F111" s="32" t="s">
        <x:v>2151</x:v>
      </x:c>
      <x:c r="G111" s="33" t="s">
        <x:v>2149</x:v>
      </x:c>
      <x:c r="H111" s="32"/>
    </x:row>
    <x:row r="112" ht="30">
      <x:c r="A112" s="31" t="s">
        <x:v>630</x:v>
      </x:c>
      <x:c r="B112" s="32" t="s">
        <x:v>605</x:v>
      </x:c>
      <x:c r="C112" s="32" t="s">
        <x:v>632</x:v>
      </x:c>
      <x:c r="D112" s="32" t="s">
        <x:v>2149</x:v>
      </x:c>
      <x:c r="E112" s="32" t="s">
        <x:v>2150</x:v>
      </x:c>
      <x:c r="F112" s="32" t="s">
        <x:v>2151</x:v>
      </x:c>
      <x:c r="G112" s="33" t="s">
        <x:v>2149</x:v>
      </x:c>
      <x:c r="H112" s="32"/>
    </x:row>
    <x:row r="113" ht="30">
      <x:c r="A113" s="31" t="s">
        <x:v>635</x:v>
      </x:c>
      <x:c r="B113" s="32" t="s">
        <x:v>605</x:v>
      </x:c>
      <x:c r="C113" s="32" t="s">
        <x:v>637</x:v>
      </x:c>
      <x:c r="D113" s="32" t="s">
        <x:v>2149</x:v>
      </x:c>
      <x:c r="E113" s="32" t="s">
        <x:v>2150</x:v>
      </x:c>
      <x:c r="F113" s="32" t="s">
        <x:v>2151</x:v>
      </x:c>
      <x:c r="G113" s="33" t="s">
        <x:v>2149</x:v>
      </x:c>
      <x:c r="H113" s="32"/>
    </x:row>
    <x:row r="114" ht="30">
      <x:c r="A114" s="31" t="s">
        <x:v>640</x:v>
      </x:c>
      <x:c r="B114" s="32" t="s">
        <x:v>605</x:v>
      </x:c>
      <x:c r="C114" s="32" t="s">
        <x:v>642</x:v>
      </x:c>
      <x:c r="D114" s="32" t="s">
        <x:v>2149</x:v>
      </x:c>
      <x:c r="E114" s="32" t="s">
        <x:v>2150</x:v>
      </x:c>
      <x:c r="F114" s="32" t="s">
        <x:v>2151</x:v>
      </x:c>
      <x:c r="G114" s="33" t="s">
        <x:v>2149</x:v>
      </x:c>
      <x:c r="H114" s="32"/>
    </x:row>
    <x:row r="115" ht="30">
      <x:c r="A115" s="31" t="s">
        <x:v>645</x:v>
      </x:c>
      <x:c r="B115" s="32" t="s">
        <x:v>605</x:v>
      </x:c>
      <x:c r="C115" s="32" t="s">
        <x:v>647</x:v>
      </x:c>
      <x:c r="D115" s="32" t="s">
        <x:v>2149</x:v>
      </x:c>
      <x:c r="E115" s="32" t="s">
        <x:v>2150</x:v>
      </x:c>
      <x:c r="F115" s="32" t="s">
        <x:v>2151</x:v>
      </x:c>
      <x:c r="G115" s="33" t="s">
        <x:v>2149</x:v>
      </x:c>
      <x:c r="H115" s="32"/>
    </x:row>
    <x:row r="116" ht="30">
      <x:c r="A116" s="31" t="s">
        <x:v>650</x:v>
      </x:c>
      <x:c r="B116" s="32" t="s">
        <x:v>605</x:v>
      </x:c>
      <x:c r="C116" s="32" t="s">
        <x:v>652</x:v>
      </x:c>
      <x:c r="D116" s="32" t="s">
        <x:v>2149</x:v>
      </x:c>
      <x:c r="E116" s="32" t="s">
        <x:v>2150</x:v>
      </x:c>
      <x:c r="F116" s="32" t="s">
        <x:v>2151</x:v>
      </x:c>
      <x:c r="G116" s="33" t="s">
        <x:v>2149</x:v>
      </x:c>
      <x:c r="H116" s="32"/>
    </x:row>
    <x:row r="117" ht="30">
      <x:c r="A117" s="31" t="s">
        <x:v>655</x:v>
      </x:c>
      <x:c r="B117" s="32" t="s">
        <x:v>605</x:v>
      </x:c>
      <x:c r="C117" s="32" t="s">
        <x:v>657</x:v>
      </x:c>
      <x:c r="D117" s="32" t="s">
        <x:v>2149</x:v>
      </x:c>
      <x:c r="E117" s="32" t="s">
        <x:v>2150</x:v>
      </x:c>
      <x:c r="F117" s="32" t="s">
        <x:v>2151</x:v>
      </x:c>
      <x:c r="G117" s="33" t="s">
        <x:v>2149</x:v>
      </x:c>
      <x:c r="H117" s="32"/>
    </x:row>
    <x:row r="118" ht="30">
      <x:c r="A118" s="31" t="s">
        <x:v>660</x:v>
      </x:c>
      <x:c r="B118" s="32" t="s">
        <x:v>605</x:v>
      </x:c>
      <x:c r="C118" s="32" t="s">
        <x:v>662</x:v>
      </x:c>
      <x:c r="D118" s="32" t="s">
        <x:v>2149</x:v>
      </x:c>
      <x:c r="E118" s="32" t="s">
        <x:v>2150</x:v>
      </x:c>
      <x:c r="F118" s="32" t="s">
        <x:v>2151</x:v>
      </x:c>
      <x:c r="G118" s="33" t="s">
        <x:v>2149</x:v>
      </x:c>
      <x:c r="H118" s="32"/>
    </x:row>
    <x:row r="119" ht="30">
      <x:c r="A119" s="31" t="s">
        <x:v>665</x:v>
      </x:c>
      <x:c r="B119" s="32" t="s">
        <x:v>605</x:v>
      </x:c>
      <x:c r="C119" s="32" t="s">
        <x:v>667</x:v>
      </x:c>
      <x:c r="D119" s="32" t="s">
        <x:v>2149</x:v>
      </x:c>
      <x:c r="E119" s="32" t="s">
        <x:v>2150</x:v>
      </x:c>
      <x:c r="F119" s="32" t="s">
        <x:v>2151</x:v>
      </x:c>
      <x:c r="G119" s="33" t="s">
        <x:v>2149</x:v>
      </x:c>
      <x:c r="H119" s="32"/>
    </x:row>
    <x:row r="120" ht="30">
      <x:c r="A120" s="31" t="s">
        <x:v>670</x:v>
      </x:c>
      <x:c r="B120" s="32" t="s">
        <x:v>605</x:v>
      </x:c>
      <x:c r="C120" s="32" t="s">
        <x:v>672</x:v>
      </x:c>
      <x:c r="D120" s="32" t="s">
        <x:v>2149</x:v>
      </x:c>
      <x:c r="E120" s="32" t="s">
        <x:v>2150</x:v>
      </x:c>
      <x:c r="F120" s="32" t="s">
        <x:v>2151</x:v>
      </x:c>
      <x:c r="G120" s="33" t="s">
        <x:v>2149</x:v>
      </x:c>
      <x:c r="H120" s="32"/>
    </x:row>
    <x:row r="121" ht="30">
      <x:c r="A121" s="31" t="s">
        <x:v>675</x:v>
      </x:c>
      <x:c r="B121" s="32" t="s">
        <x:v>676</x:v>
      </x:c>
      <x:c r="C121" s="32" t="s">
        <x:v>677</x:v>
      </x:c>
      <x:c r="D121" s="32" t="s">
        <x:v>2149</x:v>
      </x:c>
      <x:c r="E121" s="32" t="s">
        <x:v>2150</x:v>
      </x:c>
      <x:c r="F121" s="32" t="s">
        <x:v>2151</x:v>
      </x:c>
      <x:c r="G121" s="33" t="s">
        <x:v>2149</x:v>
      </x:c>
      <x:c r="H121" s="32"/>
    </x:row>
    <x:row r="122" ht="30">
      <x:c r="A122" s="31" t="s">
        <x:v>680</x:v>
      </x:c>
      <x:c r="B122" s="32" t="s">
        <x:v>676</x:v>
      </x:c>
      <x:c r="C122" s="32" t="s">
        <x:v>681</x:v>
      </x:c>
      <x:c r="D122" s="32" t="s">
        <x:v>2149</x:v>
      </x:c>
      <x:c r="E122" s="32" t="s">
        <x:v>2150</x:v>
      </x:c>
      <x:c r="F122" s="32" t="s">
        <x:v>2151</x:v>
      </x:c>
      <x:c r="G122" s="33" t="s">
        <x:v>2149</x:v>
      </x:c>
      <x:c r="H122" s="32"/>
    </x:row>
    <x:row r="123" ht="30">
      <x:c r="A123" s="31" t="s">
        <x:v>684</x:v>
      </x:c>
      <x:c r="B123" s="32" t="s">
        <x:v>676</x:v>
      </x:c>
      <x:c r="C123" s="32" t="s">
        <x:v>685</x:v>
      </x:c>
      <x:c r="D123" s="32" t="s">
        <x:v>2149</x:v>
      </x:c>
      <x:c r="E123" s="32" t="s">
        <x:v>2150</x:v>
      </x:c>
      <x:c r="F123" s="32" t="s">
        <x:v>2151</x:v>
      </x:c>
      <x:c r="G123" s="33" t="s">
        <x:v>2149</x:v>
      </x:c>
      <x:c r="H123" s="32"/>
    </x:row>
    <x:row r="124" ht="30">
      <x:c r="A124" s="31" t="s">
        <x:v>688</x:v>
      </x:c>
      <x:c r="B124" s="32" t="s">
        <x:v>676</x:v>
      </x:c>
      <x:c r="C124" s="32" t="s">
        <x:v>690</x:v>
      </x:c>
      <x:c r="D124" s="32" t="s">
        <x:v>2149</x:v>
      </x:c>
      <x:c r="E124" s="32" t="s">
        <x:v>2150</x:v>
      </x:c>
      <x:c r="F124" s="32" t="s">
        <x:v>2151</x:v>
      </x:c>
      <x:c r="G124" s="33" t="s">
        <x:v>2149</x:v>
      </x:c>
      <x:c r="H124" s="32"/>
    </x:row>
    <x:row r="125" ht="30">
      <x:c r="A125" s="31" t="s">
        <x:v>693</x:v>
      </x:c>
      <x:c r="B125" s="32" t="s">
        <x:v>676</x:v>
      </x:c>
      <x:c r="C125" s="32" t="s">
        <x:v>695</x:v>
      </x:c>
      <x:c r="D125" s="32" t="s">
        <x:v>2149</x:v>
      </x:c>
      <x:c r="E125" s="32" t="s">
        <x:v>2150</x:v>
      </x:c>
      <x:c r="F125" s="32" t="s">
        <x:v>2151</x:v>
      </x:c>
      <x:c r="G125" s="33" t="s">
        <x:v>2149</x:v>
      </x:c>
      <x:c r="H125" s="32"/>
    </x:row>
    <x:row r="126" ht="30">
      <x:c r="A126" s="31" t="s">
        <x:v>698</x:v>
      </x:c>
      <x:c r="B126" s="32" t="s">
        <x:v>676</x:v>
      </x:c>
      <x:c r="C126" s="32" t="s">
        <x:v>700</x:v>
      </x:c>
      <x:c r="D126" s="32" t="s">
        <x:v>2149</x:v>
      </x:c>
      <x:c r="E126" s="32" t="s">
        <x:v>2150</x:v>
      </x:c>
      <x:c r="F126" s="32" t="s">
        <x:v>2151</x:v>
      </x:c>
      <x:c r="G126" s="33" t="s">
        <x:v>2149</x:v>
      </x:c>
      <x:c r="H126" s="32"/>
    </x:row>
    <x:row r="127" ht="30">
      <x:c r="A127" s="31" t="s">
        <x:v>703</x:v>
      </x:c>
      <x:c r="B127" s="32" t="s">
        <x:v>676</x:v>
      </x:c>
      <x:c r="C127" s="32" t="s">
        <x:v>704</x:v>
      </x:c>
      <x:c r="D127" s="32" t="s">
        <x:v>2149</x:v>
      </x:c>
      <x:c r="E127" s="32" t="s">
        <x:v>2150</x:v>
      </x:c>
      <x:c r="F127" s="32" t="s">
        <x:v>2151</x:v>
      </x:c>
      <x:c r="G127" s="33" t="s">
        <x:v>2149</x:v>
      </x:c>
      <x:c r="H127" s="32"/>
    </x:row>
    <x:row r="128" ht="30">
      <x:c r="A128" s="31" t="s">
        <x:v>707</x:v>
      </x:c>
      <x:c r="B128" s="32" t="s">
        <x:v>676</x:v>
      </x:c>
      <x:c r="C128" s="32" t="s">
        <x:v>709</x:v>
      </x:c>
      <x:c r="D128" s="32" t="s">
        <x:v>2149</x:v>
      </x:c>
      <x:c r="E128" s="32" t="s">
        <x:v>2150</x:v>
      </x:c>
      <x:c r="F128" s="32" t="s">
        <x:v>2151</x:v>
      </x:c>
      <x:c r="G128" s="33" t="s">
        <x:v>2149</x:v>
      </x:c>
      <x:c r="H128" s="32"/>
    </x:row>
    <x:row r="129" ht="30">
      <x:c r="A129" s="31" t="s">
        <x:v>712</x:v>
      </x:c>
      <x:c r="B129" s="32" t="s">
        <x:v>713</x:v>
      </x:c>
      <x:c r="C129" s="32" t="s">
        <x:v>715</x:v>
      </x:c>
      <x:c r="D129" s="32" t="s">
        <x:v>2149</x:v>
      </x:c>
      <x:c r="E129" s="32" t="s">
        <x:v>2150</x:v>
      </x:c>
      <x:c r="F129" s="32" t="s">
        <x:v>2151</x:v>
      </x:c>
      <x:c r="G129" s="33" t="s">
        <x:v>2149</x:v>
      </x:c>
      <x:c r="H129" s="32"/>
    </x:row>
    <x:row r="130" ht="30">
      <x:c r="A130" s="31" t="s">
        <x:v>719</x:v>
      </x:c>
      <x:c r="B130" s="32" t="s">
        <x:v>713</x:v>
      </x:c>
      <x:c r="C130" s="32" t="s">
        <x:v>721</x:v>
      </x:c>
      <x:c r="D130" s="32" t="s">
        <x:v>2149</x:v>
      </x:c>
      <x:c r="E130" s="32" t="s">
        <x:v>2150</x:v>
      </x:c>
      <x:c r="F130" s="32" t="s">
        <x:v>2151</x:v>
      </x:c>
      <x:c r="G130" s="33" t="s">
        <x:v>2149</x:v>
      </x:c>
      <x:c r="H130" s="32"/>
    </x:row>
    <x:row r="131" ht="30">
      <x:c r="A131" s="31" t="s">
        <x:v>724</x:v>
      </x:c>
      <x:c r="B131" s="32" t="s">
        <x:v>713</x:v>
      </x:c>
      <x:c r="C131" s="32" t="s">
        <x:v>726</x:v>
      </x:c>
      <x:c r="D131" s="32" t="s">
        <x:v>2149</x:v>
      </x:c>
      <x:c r="E131" s="32" t="s">
        <x:v>2150</x:v>
      </x:c>
      <x:c r="F131" s="32" t="s">
        <x:v>2151</x:v>
      </x:c>
      <x:c r="G131" s="33" t="s">
        <x:v>2149</x:v>
      </x:c>
      <x:c r="H131" s="32"/>
    </x:row>
    <x:row r="132" ht="30">
      <x:c r="A132" s="31" t="s">
        <x:v>729</x:v>
      </x:c>
      <x:c r="B132" s="32" t="s">
        <x:v>713</x:v>
      </x:c>
      <x:c r="C132" s="32" t="s">
        <x:v>731</x:v>
      </x:c>
      <x:c r="D132" s="32" t="s">
        <x:v>2149</x:v>
      </x:c>
      <x:c r="E132" s="32" t="s">
        <x:v>2150</x:v>
      </x:c>
      <x:c r="F132" s="32" t="s">
        <x:v>2151</x:v>
      </x:c>
      <x:c r="G132" s="33" t="s">
        <x:v>2149</x:v>
      </x:c>
      <x:c r="H132" s="32"/>
    </x:row>
    <x:row r="133" ht="30">
      <x:c r="A133" s="31" t="s">
        <x:v>734</x:v>
      </x:c>
      <x:c r="B133" s="32" t="s">
        <x:v>713</x:v>
      </x:c>
      <x:c r="C133" s="32" t="s">
        <x:v>736</x:v>
      </x:c>
      <x:c r="D133" s="32" t="s">
        <x:v>2149</x:v>
      </x:c>
      <x:c r="E133" s="32" t="s">
        <x:v>2150</x:v>
      </x:c>
      <x:c r="F133" s="32" t="s">
        <x:v>2151</x:v>
      </x:c>
      <x:c r="G133" s="33" t="s">
        <x:v>2149</x:v>
      </x:c>
      <x:c r="H133" s="32"/>
    </x:row>
    <x:row r="134" ht="30">
      <x:c r="A134" s="31" t="s">
        <x:v>739</x:v>
      </x:c>
      <x:c r="B134" s="32" t="s">
        <x:v>741</x:v>
      </x:c>
      <x:c r="C134" s="32" t="s">
        <x:v>742</x:v>
      </x:c>
      <x:c r="D134" s="32" t="s">
        <x:v>2152</x:v>
      </x:c>
      <x:c r="E134" s="32" t="s">
        <x:v>2153</x:v>
      </x:c>
      <x:c r="F134" s="32" t="s">
        <x:v>2154</x:v>
      </x:c>
      <x:c r="G134" s="33" t="s">
        <x:v>2149</x:v>
      </x:c>
      <x:c r="H134" s="32"/>
    </x:row>
    <x:row r="135" ht="30">
      <x:c r="A135" s="31" t="s">
        <x:v>746</x:v>
      </x:c>
      <x:c r="B135" s="32" t="s">
        <x:v>748</x:v>
      </x:c>
      <x:c r="C135" s="32" t="s">
        <x:v>749</x:v>
      </x:c>
      <x:c r="D135" s="32" t="s">
        <x:v>2152</x:v>
      </x:c>
      <x:c r="E135" s="32" t="s">
        <x:v>2153</x:v>
      </x:c>
      <x:c r="F135" s="32" t="s">
        <x:v>2154</x:v>
      </x:c>
      <x:c r="G135" s="33" t="s">
        <x:v>2149</x:v>
      </x:c>
      <x:c r="H135" s="32"/>
    </x:row>
    <x:row r="136" ht="30">
      <x:c r="A136" s="31" t="s">
        <x:v>753</x:v>
      </x:c>
      <x:c r="B136" s="32" t="s">
        <x:v>754</x:v>
      </x:c>
      <x:c r="C136" s="32" t="s">
        <x:v>755</x:v>
      </x:c>
      <x:c r="D136" s="32" t="s">
        <x:v>2152</x:v>
      </x:c>
      <x:c r="E136" s="32" t="s">
        <x:v>2153</x:v>
      </x:c>
      <x:c r="F136" s="32" t="s">
        <x:v>2154</x:v>
      </x:c>
      <x:c r="G136" s="33" t="s">
        <x:v>2149</x:v>
      </x:c>
      <x:c r="H136" s="32"/>
    </x:row>
    <x:row r="137" ht="30">
      <x:c r="A137" s="31" t="s">
        <x:v>759</x:v>
      </x:c>
      <x:c r="B137" s="32" t="s">
        <x:v>761</x:v>
      </x:c>
      <x:c r="C137" s="32" t="s">
        <x:v>763</x:v>
      </x:c>
      <x:c r="D137" s="32" t="s">
        <x:v>2149</x:v>
      </x:c>
      <x:c r="E137" s="32" t="s">
        <x:v>2150</x:v>
      </x:c>
      <x:c r="F137" s="32" t="s">
        <x:v>2151</x:v>
      </x:c>
      <x:c r="G137" s="33" t="s">
        <x:v>2149</x:v>
      </x:c>
      <x:c r="H137" s="32"/>
    </x:row>
    <x:row r="138" ht="30">
      <x:c r="A138" s="31" t="s">
        <x:v>768</x:v>
      </x:c>
      <x:c r="B138" s="32" t="s">
        <x:v>769</x:v>
      </x:c>
      <x:c r="C138" s="32" t="s">
        <x:v>771</x:v>
      </x:c>
      <x:c r="D138" s="32" t="s">
        <x:v>2152</x:v>
      </x:c>
      <x:c r="E138" s="32" t="s">
        <x:v>2155</x:v>
      </x:c>
      <x:c r="F138" s="32" t="s">
        <x:v>2156</x:v>
      </x:c>
      <x:c r="G138" s="33" t="s">
        <x:v>2149</x:v>
      </x:c>
      <x:c r="H138" s="32"/>
    </x:row>
    <x:row r="139" ht="30">
      <x:c r="A139" s="31" t="s">
        <x:v>774</x:v>
      </x:c>
      <x:c r="B139" s="32" t="s">
        <x:v>775</x:v>
      </x:c>
      <x:c r="C139" s="32" t="s">
        <x:v>776</x:v>
      </x:c>
      <x:c r="D139" s="32" t="s">
        <x:v>2149</x:v>
      </x:c>
      <x:c r="E139" s="32" t="s">
        <x:v>2150</x:v>
      </x:c>
      <x:c r="F139" s="32" t="s">
        <x:v>2151</x:v>
      </x:c>
      <x:c r="G139" s="33" t="s">
        <x:v>2149</x:v>
      </x:c>
      <x:c r="H139" s="32"/>
    </x:row>
    <x:row r="140" ht="30">
      <x:c r="A140" s="31" t="s">
        <x:v>779</x:v>
      </x:c>
      <x:c r="B140" s="32" t="s">
        <x:v>780</x:v>
      </x:c>
      <x:c r="C140" s="32" t="s">
        <x:v>781</x:v>
      </x:c>
      <x:c r="D140" s="32" t="s">
        <x:v>2149</x:v>
      </x:c>
      <x:c r="E140" s="32" t="s">
        <x:v>2150</x:v>
      </x:c>
      <x:c r="F140" s="32" t="s">
        <x:v>2151</x:v>
      </x:c>
      <x:c r="G140" s="33" t="s">
        <x:v>2149</x:v>
      </x:c>
      <x:c r="H140" s="32"/>
    </x:row>
    <x:row r="141" ht="30">
      <x:c r="A141" s="31" t="s">
        <x:v>784</x:v>
      </x:c>
      <x:c r="B141" s="32" t="s">
        <x:v>786</x:v>
      </x:c>
      <x:c r="C141" s="32" t="s">
        <x:v>787</x:v>
      </x:c>
      <x:c r="D141" s="32" t="s">
        <x:v>2149</x:v>
      </x:c>
      <x:c r="E141" s="32" t="s">
        <x:v>2150</x:v>
      </x:c>
      <x:c r="F141" s="32" t="s">
        <x:v>2151</x:v>
      </x:c>
      <x:c r="G141" s="33" t="s">
        <x:v>2149</x:v>
      </x:c>
      <x:c r="H141" s="32"/>
    </x:row>
    <x:row r="142" ht="30">
      <x:c r="A142" s="31" t="s">
        <x:v>791</x:v>
      </x:c>
      <x:c r="B142" s="32" t="s">
        <x:v>792</x:v>
      </x:c>
      <x:c r="C142" s="32" t="s">
        <x:v>793</x:v>
      </x:c>
      <x:c r="D142" s="32" t="s">
        <x:v>2152</x:v>
      </x:c>
      <x:c r="E142" s="32" t="s">
        <x:v>2155</x:v>
      </x:c>
      <x:c r="F142" s="32" t="s">
        <x:v>2156</x:v>
      </x:c>
      <x:c r="G142" s="33" t="s">
        <x:v>2149</x:v>
      </x:c>
      <x:c r="H142" s="32"/>
    </x:row>
    <x:row r="143" ht="30">
      <x:c r="A143" s="31" t="s">
        <x:v>796</x:v>
      </x:c>
      <x:c r="B143" s="32" t="s">
        <x:v>798</x:v>
      </x:c>
      <x:c r="C143" s="32" t="s">
        <x:v>799</x:v>
      </x:c>
      <x:c r="D143" s="32" t="s">
        <x:v>2149</x:v>
      </x:c>
      <x:c r="E143" s="32" t="s">
        <x:v>2150</x:v>
      </x:c>
      <x:c r="F143" s="32" t="s">
        <x:v>2151</x:v>
      </x:c>
      <x:c r="G143" s="33" t="s">
        <x:v>2149</x:v>
      </x:c>
      <x:c r="H143" s="32"/>
    </x:row>
    <x:row r="144" ht="30">
      <x:c r="A144" s="31" t="s">
        <x:v>803</x:v>
      </x:c>
      <x:c r="B144" s="32" t="s">
        <x:v>804</x:v>
      </x:c>
      <x:c r="C144" s="32" t="s">
        <x:v>805</x:v>
      </x:c>
      <x:c r="D144" s="32" t="s">
        <x:v>2152</x:v>
      </x:c>
      <x:c r="E144" s="32" t="s">
        <x:v>2155</x:v>
      </x:c>
      <x:c r="F144" s="32" t="s">
        <x:v>2156</x:v>
      </x:c>
      <x:c r="G144" s="33" t="s">
        <x:v>2149</x:v>
      </x:c>
      <x:c r="H144" s="32"/>
    </x:row>
    <x:row r="145" ht="30">
      <x:c r="A145" s="31" t="s">
        <x:v>808</x:v>
      </x:c>
      <x:c r="B145" s="32" t="s">
        <x:v>809</x:v>
      </x:c>
      <x:c r="C145" s="32" t="s">
        <x:v>810</x:v>
      </x:c>
      <x:c r="D145" s="32" t="s">
        <x:v>2149</x:v>
      </x:c>
      <x:c r="E145" s="32" t="s">
        <x:v>2150</x:v>
      </x:c>
      <x:c r="F145" s="32" t="s">
        <x:v>2151</x:v>
      </x:c>
      <x:c r="G145" s="33" t="s">
        <x:v>2149</x:v>
      </x:c>
      <x:c r="H145" s="32"/>
    </x:row>
    <x:row r="146" ht="30">
      <x:c r="A146" s="31" t="s">
        <x:v>813</x:v>
      </x:c>
      <x:c r="B146" s="32" t="s">
        <x:v>814</x:v>
      </x:c>
      <x:c r="C146" s="32" t="s">
        <x:v>815</x:v>
      </x:c>
      <x:c r="D146" s="32" t="s">
        <x:v>2152</x:v>
      </x:c>
      <x:c r="E146" s="32" t="s">
        <x:v>2155</x:v>
      </x:c>
      <x:c r="F146" s="32" t="s">
        <x:v>2156</x:v>
      </x:c>
      <x:c r="G146" s="33" t="s">
        <x:v>2149</x:v>
      </x:c>
      <x:c r="H146" s="32"/>
    </x:row>
    <x:row r="147" ht="30">
      <x:c r="A147" s="31" t="s">
        <x:v>818</x:v>
      </x:c>
      <x:c r="B147" s="32" t="s">
        <x:v>819</x:v>
      </x:c>
      <x:c r="C147" s="32" t="s">
        <x:v>820</x:v>
      </x:c>
      <x:c r="D147" s="32" t="s">
        <x:v>2149</x:v>
      </x:c>
      <x:c r="E147" s="32" t="s">
        <x:v>2150</x:v>
      </x:c>
      <x:c r="F147" s="32" t="s">
        <x:v>2151</x:v>
      </x:c>
      <x:c r="G147" s="33" t="s">
        <x:v>2149</x:v>
      </x:c>
      <x:c r="H147" s="32"/>
    </x:row>
    <x:row r="148" ht="30">
      <x:c r="A148" s="31" t="s">
        <x:v>823</x:v>
      </x:c>
      <x:c r="B148" s="32" t="s">
        <x:v>824</x:v>
      </x:c>
      <x:c r="C148" s="32" t="s">
        <x:v>825</x:v>
      </x:c>
      <x:c r="D148" s="32" t="s">
        <x:v>2152</x:v>
      </x:c>
      <x:c r="E148" s="32" t="s">
        <x:v>2155</x:v>
      </x:c>
      <x:c r="F148" s="32" t="s">
        <x:v>2156</x:v>
      </x:c>
      <x:c r="G148" s="33" t="s">
        <x:v>2149</x:v>
      </x:c>
      <x:c r="H148" s="32"/>
    </x:row>
    <x:row r="149" ht="30">
      <x:c r="A149" s="31" t="s">
        <x:v>828</x:v>
      </x:c>
      <x:c r="B149" s="32" t="s">
        <x:v>831</x:v>
      </x:c>
      <x:c r="C149" s="32" t="s">
        <x:v>832</x:v>
      </x:c>
      <x:c r="D149" s="32" t="s">
        <x:v>2149</x:v>
      </x:c>
      <x:c r="E149" s="32" t="s">
        <x:v>2150</x:v>
      </x:c>
      <x:c r="F149" s="32" t="s">
        <x:v>2151</x:v>
      </x:c>
      <x:c r="G149" s="33" t="s">
        <x:v>2149</x:v>
      </x:c>
      <x:c r="H149" s="32"/>
    </x:row>
    <x:row r="150" ht="30">
      <x:c r="A150" s="31" t="s">
        <x:v>838</x:v>
      </x:c>
      <x:c r="B150" s="32" t="s">
        <x:v>839</x:v>
      </x:c>
      <x:c r="C150" s="32" t="s">
        <x:v>840</x:v>
      </x:c>
      <x:c r="D150" s="32" t="s">
        <x:v>2149</x:v>
      </x:c>
      <x:c r="E150" s="32" t="s">
        <x:v>2150</x:v>
      </x:c>
      <x:c r="F150" s="32" t="s">
        <x:v>2151</x:v>
      </x:c>
      <x:c r="G150" s="33" t="s">
        <x:v>2149</x:v>
      </x:c>
      <x:c r="H150" s="32"/>
    </x:row>
    <x:row r="151" ht="30">
      <x:c r="A151" s="31" t="s">
        <x:v>844</x:v>
      </x:c>
      <x:c r="B151" s="32" t="s">
        <x:v>845</x:v>
      </x:c>
      <x:c r="C151" s="32" t="s">
        <x:v>847</x:v>
      </x:c>
      <x:c r="D151" s="32" t="s">
        <x:v>2152</x:v>
      </x:c>
      <x:c r="E151" s="32" t="s">
        <x:v>2155</x:v>
      </x:c>
      <x:c r="F151" s="32" t="s">
        <x:v>2156</x:v>
      </x:c>
      <x:c r="G151" s="33" t="s">
        <x:v>2149</x:v>
      </x:c>
      <x:c r="H151" s="32"/>
    </x:row>
    <x:row r="152" ht="30">
      <x:c r="A152" s="31" t="s">
        <x:v>851</x:v>
      </x:c>
      <x:c r="B152" s="32" t="s">
        <x:v>831</x:v>
      </x:c>
      <x:c r="C152" s="32" t="s">
        <x:v>853</x:v>
      </x:c>
      <x:c r="D152" s="32" t="s">
        <x:v>2149</x:v>
      </x:c>
      <x:c r="E152" s="32" t="s">
        <x:v>2150</x:v>
      </x:c>
      <x:c r="F152" s="32" t="s">
        <x:v>2151</x:v>
      </x:c>
      <x:c r="G152" s="33" t="s">
        <x:v>2149</x:v>
      </x:c>
      <x:c r="H152" s="32"/>
    </x:row>
    <x:row r="153" ht="30">
      <x:c r="A153" s="31" t="s">
        <x:v>857</x:v>
      </x:c>
      <x:c r="B153" s="32" t="s">
        <x:v>839</x:v>
      </x:c>
      <x:c r="C153" s="32" t="s">
        <x:v>858</x:v>
      </x:c>
      <x:c r="D153" s="32" t="s">
        <x:v>2149</x:v>
      </x:c>
      <x:c r="E153" s="32" t="s">
        <x:v>2150</x:v>
      </x:c>
      <x:c r="F153" s="32" t="s">
        <x:v>2151</x:v>
      </x:c>
      <x:c r="G153" s="33" t="s">
        <x:v>2149</x:v>
      </x:c>
      <x:c r="H153" s="32"/>
    </x:row>
    <x:row r="154" ht="30">
      <x:c r="A154" s="31" t="s">
        <x:v>861</x:v>
      </x:c>
      <x:c r="B154" s="32" t="s">
        <x:v>845</x:v>
      </x:c>
      <x:c r="C154" s="32" t="s">
        <x:v>862</x:v>
      </x:c>
      <x:c r="D154" s="32" t="s">
        <x:v>2152</x:v>
      </x:c>
      <x:c r="E154" s="32" t="s">
        <x:v>2155</x:v>
      </x:c>
      <x:c r="F154" s="32" t="s">
        <x:v>2156</x:v>
      </x:c>
      <x:c r="G154" s="33" t="s">
        <x:v>2149</x:v>
      </x:c>
      <x:c r="H154" s="32"/>
    </x:row>
    <x:row r="155" ht="30">
      <x:c r="A155" s="31" t="s">
        <x:v>865</x:v>
      </x:c>
      <x:c r="B155" s="32" t="s">
        <x:v>831</x:v>
      </x:c>
      <x:c r="C155" s="32" t="s">
        <x:v>867</x:v>
      </x:c>
      <x:c r="D155" s="32" t="s">
        <x:v>2149</x:v>
      </x:c>
      <x:c r="E155" s="32" t="s">
        <x:v>2150</x:v>
      </x:c>
      <x:c r="F155" s="32" t="s">
        <x:v>2151</x:v>
      </x:c>
      <x:c r="G155" s="33" t="s">
        <x:v>2149</x:v>
      </x:c>
      <x:c r="H155" s="32"/>
    </x:row>
    <x:row r="156" ht="30">
      <x:c r="A156" s="31" t="s">
        <x:v>871</x:v>
      </x:c>
      <x:c r="B156" s="32" t="s">
        <x:v>839</x:v>
      </x:c>
      <x:c r="C156" s="32" t="s">
        <x:v>872</x:v>
      </x:c>
      <x:c r="D156" s="32" t="s">
        <x:v>2149</x:v>
      </x:c>
      <x:c r="E156" s="32" t="s">
        <x:v>2150</x:v>
      </x:c>
      <x:c r="F156" s="32" t="s">
        <x:v>2151</x:v>
      </x:c>
      <x:c r="G156" s="33" t="s">
        <x:v>2149</x:v>
      </x:c>
      <x:c r="H156" s="32"/>
    </x:row>
    <x:row r="157" ht="30">
      <x:c r="A157" s="31" t="s">
        <x:v>875</x:v>
      </x:c>
      <x:c r="B157" s="32" t="s">
        <x:v>845</x:v>
      </x:c>
      <x:c r="C157" s="32" t="s">
        <x:v>876</x:v>
      </x:c>
      <x:c r="D157" s="32" t="s">
        <x:v>2152</x:v>
      </x:c>
      <x:c r="E157" s="32" t="s">
        <x:v>2155</x:v>
      </x:c>
      <x:c r="F157" s="32" t="s">
        <x:v>2156</x:v>
      </x:c>
      <x:c r="G157" s="33" t="s">
        <x:v>2149</x:v>
      </x:c>
      <x:c r="H157" s="32"/>
    </x:row>
    <x:row r="158" ht="30">
      <x:c r="A158" s="31" t="s">
        <x:v>879</x:v>
      </x:c>
      <x:c r="B158" s="32" t="s">
        <x:v>831</x:v>
      </x:c>
      <x:c r="C158" s="32" t="s">
        <x:v>880</x:v>
      </x:c>
      <x:c r="D158" s="32" t="s">
        <x:v>2149</x:v>
      </x:c>
      <x:c r="E158" s="32" t="s">
        <x:v>2150</x:v>
      </x:c>
      <x:c r="F158" s="32" t="s">
        <x:v>2151</x:v>
      </x:c>
      <x:c r="G158" s="33" t="s">
        <x:v>2149</x:v>
      </x:c>
      <x:c r="H158" s="32"/>
    </x:row>
    <x:row r="159" ht="30">
      <x:c r="A159" s="31" t="s">
        <x:v>884</x:v>
      </x:c>
      <x:c r="B159" s="32" t="s">
        <x:v>839</x:v>
      </x:c>
      <x:c r="C159" s="32" t="s">
        <x:v>885</x:v>
      </x:c>
      <x:c r="D159" s="32" t="s">
        <x:v>2149</x:v>
      </x:c>
      <x:c r="E159" s="32" t="s">
        <x:v>2150</x:v>
      </x:c>
      <x:c r="F159" s="32" t="s">
        <x:v>2151</x:v>
      </x:c>
      <x:c r="G159" s="33" t="s">
        <x:v>2149</x:v>
      </x:c>
      <x:c r="H159" s="32"/>
    </x:row>
    <x:row r="160" ht="30">
      <x:c r="A160" s="31" t="s">
        <x:v>888</x:v>
      </x:c>
      <x:c r="B160" s="32" t="s">
        <x:v>845</x:v>
      </x:c>
      <x:c r="C160" s="32" t="s">
        <x:v>889</x:v>
      </x:c>
      <x:c r="D160" s="32" t="s">
        <x:v>2152</x:v>
      </x:c>
      <x:c r="E160" s="32" t="s">
        <x:v>2155</x:v>
      </x:c>
      <x:c r="F160" s="32" t="s">
        <x:v>2156</x:v>
      </x:c>
      <x:c r="G160" s="33" t="s">
        <x:v>2149</x:v>
      </x:c>
      <x:c r="H160" s="32"/>
    </x:row>
    <x:row r="161" ht="30">
      <x:c r="A161" s="31" t="s">
        <x:v>892</x:v>
      </x:c>
      <x:c r="B161" s="32" t="s">
        <x:v>894</x:v>
      </x:c>
      <x:c r="C161" s="32" t="s">
        <x:v>896</x:v>
      </x:c>
      <x:c r="D161" s="32" t="s">
        <x:v>2149</x:v>
      </x:c>
      <x:c r="E161" s="32" t="s">
        <x:v>2150</x:v>
      </x:c>
      <x:c r="F161" s="32" t="s">
        <x:v>2151</x:v>
      </x:c>
      <x:c r="G161" s="33" t="s">
        <x:v>2149</x:v>
      </x:c>
      <x:c r="H161" s="32"/>
    </x:row>
    <x:row r="162" ht="30">
      <x:c r="A162" s="31" t="s">
        <x:v>902</x:v>
      </x:c>
      <x:c r="B162" s="32" t="s">
        <x:v>903</x:v>
      </x:c>
      <x:c r="C162" s="32" t="s">
        <x:v>905</x:v>
      </x:c>
      <x:c r="D162" s="32" t="s">
        <x:v>2149</x:v>
      </x:c>
      <x:c r="E162" s="32" t="s">
        <x:v>2150</x:v>
      </x:c>
      <x:c r="F162" s="32" t="s">
        <x:v>2151</x:v>
      </x:c>
      <x:c r="G162" s="33" t="s">
        <x:v>2149</x:v>
      </x:c>
      <x:c r="H162" s="32"/>
    </x:row>
    <x:row r="163" ht="30">
      <x:c r="A163" s="31" t="s">
        <x:v>909</x:v>
      </x:c>
      <x:c r="B163" s="32" t="s">
        <x:v>910</x:v>
      </x:c>
      <x:c r="C163" s="32" t="s">
        <x:v>912</x:v>
      </x:c>
      <x:c r="D163" s="32" t="s">
        <x:v>2149</x:v>
      </x:c>
      <x:c r="E163" s="32" t="s">
        <x:v>2150</x:v>
      </x:c>
      <x:c r="F163" s="32" t="s">
        <x:v>2151</x:v>
      </x:c>
      <x:c r="G163" s="33" t="s">
        <x:v>2149</x:v>
      </x:c>
      <x:c r="H163" s="32"/>
    </x:row>
    <x:row r="164" ht="30">
      <x:c r="A164" s="31" t="s">
        <x:v>917</x:v>
      </x:c>
      <x:c r="B164" s="32" t="s">
        <x:v>918</x:v>
      </x:c>
      <x:c r="C164" s="32" t="s">
        <x:v>919</x:v>
      </x:c>
      <x:c r="D164" s="32" t="s">
        <x:v>2149</x:v>
      </x:c>
      <x:c r="E164" s="32" t="s">
        <x:v>2150</x:v>
      </x:c>
      <x:c r="F164" s="32" t="s">
        <x:v>2151</x:v>
      </x:c>
      <x:c r="G164" s="33" t="s">
        <x:v>2149</x:v>
      </x:c>
      <x:c r="H164" s="32"/>
    </x:row>
    <x:row r="165" ht="30">
      <x:c r="A165" s="31" t="s">
        <x:v>922</x:v>
      </x:c>
      <x:c r="B165" s="32" t="s">
        <x:v>923</x:v>
      </x:c>
      <x:c r="C165" s="32" t="s">
        <x:v>924</x:v>
      </x:c>
      <x:c r="D165" s="32" t="s">
        <x:v>2149</x:v>
      </x:c>
      <x:c r="E165" s="32" t="s">
        <x:v>2150</x:v>
      </x:c>
      <x:c r="F165" s="32" t="s">
        <x:v>2151</x:v>
      </x:c>
      <x:c r="G165" s="33" t="s">
        <x:v>2149</x:v>
      </x:c>
      <x:c r="H165" s="32"/>
    </x:row>
    <x:row r="166" ht="30">
      <x:c r="A166" s="31" t="s">
        <x:v>927</x:v>
      </x:c>
      <x:c r="B166" s="32" t="s">
        <x:v>928</x:v>
      </x:c>
      <x:c r="C166" s="32" t="s">
        <x:v>929</x:v>
      </x:c>
      <x:c r="D166" s="32" t="s">
        <x:v>2149</x:v>
      </x:c>
      <x:c r="E166" s="32" t="s">
        <x:v>2150</x:v>
      </x:c>
      <x:c r="F166" s="32" t="s">
        <x:v>2151</x:v>
      </x:c>
      <x:c r="G166" s="33" t="s">
        <x:v>2149</x:v>
      </x:c>
      <x:c r="H166" s="32"/>
    </x:row>
    <x:row r="167" ht="30">
      <x:c r="A167" s="31" t="s">
        <x:v>932</x:v>
      </x:c>
      <x:c r="B167" s="32" t="s">
        <x:v>933</x:v>
      </x:c>
      <x:c r="C167" s="32" t="s">
        <x:v>934</x:v>
      </x:c>
      <x:c r="D167" s="32" t="s">
        <x:v>2149</x:v>
      </x:c>
      <x:c r="E167" s="32" t="s">
        <x:v>2150</x:v>
      </x:c>
      <x:c r="F167" s="32" t="s">
        <x:v>2151</x:v>
      </x:c>
      <x:c r="G167" s="33" t="s">
        <x:v>2149</x:v>
      </x:c>
      <x:c r="H167" s="32"/>
    </x:row>
    <x:row r="168" ht="30">
      <x:c r="A168" s="31" t="s">
        <x:v>937</x:v>
      </x:c>
      <x:c r="B168" s="32" t="s">
        <x:v>940</x:v>
      </x:c>
      <x:c r="C168" s="32" t="s">
        <x:v>941</x:v>
      </x:c>
      <x:c r="D168" s="32" t="s">
        <x:v>2149</x:v>
      </x:c>
      <x:c r="E168" s="32" t="s">
        <x:v>2150</x:v>
      </x:c>
      <x:c r="F168" s="32" t="s">
        <x:v>2151</x:v>
      </x:c>
      <x:c r="G168" s="33" t="s">
        <x:v>2149</x:v>
      </x:c>
      <x:c r="H168" s="32"/>
    </x:row>
    <x:row r="169" ht="30">
      <x:c r="A169" s="31" t="s">
        <x:v>945</x:v>
      </x:c>
      <x:c r="B169" s="32" t="s">
        <x:v>946</x:v>
      </x:c>
      <x:c r="C169" s="32" t="s">
        <x:v>947</x:v>
      </x:c>
      <x:c r="D169" s="32" t="s">
        <x:v>2149</x:v>
      </x:c>
      <x:c r="E169" s="32" t="s">
        <x:v>2150</x:v>
      </x:c>
      <x:c r="F169" s="32" t="s">
        <x:v>2151</x:v>
      </x:c>
      <x:c r="G169" s="33" t="s">
        <x:v>2149</x:v>
      </x:c>
      <x:c r="H169" s="32"/>
    </x:row>
    <x:row r="170" ht="30">
      <x:c r="A170" s="31" t="s">
        <x:v>950</x:v>
      </x:c>
      <x:c r="B170" s="32" t="s">
        <x:v>951</x:v>
      </x:c>
      <x:c r="C170" s="32" t="s">
        <x:v>952</x:v>
      </x:c>
      <x:c r="D170" s="32" t="s">
        <x:v>2149</x:v>
      </x:c>
      <x:c r="E170" s="32" t="s">
        <x:v>2150</x:v>
      </x:c>
      <x:c r="F170" s="32" t="s">
        <x:v>2151</x:v>
      </x:c>
      <x:c r="G170" s="33" t="s">
        <x:v>2149</x:v>
      </x:c>
      <x:c r="H170" s="32"/>
    </x:row>
    <x:row r="171" ht="30">
      <x:c r="A171" s="31" t="s">
        <x:v>955</x:v>
      </x:c>
      <x:c r="B171" s="32" t="s">
        <x:v>956</x:v>
      </x:c>
      <x:c r="C171" s="32" t="s">
        <x:v>957</x:v>
      </x:c>
      <x:c r="D171" s="32" t="s">
        <x:v>2149</x:v>
      </x:c>
      <x:c r="E171" s="32" t="s">
        <x:v>2150</x:v>
      </x:c>
      <x:c r="F171" s="32" t="s">
        <x:v>2151</x:v>
      </x:c>
      <x:c r="G171" s="33" t="s">
        <x:v>2149</x:v>
      </x:c>
      <x:c r="H171" s="32"/>
    </x:row>
    <x:row r="172" ht="30">
      <x:c r="A172" s="31" t="s">
        <x:v>960</x:v>
      </x:c>
      <x:c r="B172" s="32" t="s">
        <x:v>961</x:v>
      </x:c>
      <x:c r="C172" s="32" t="s">
        <x:v>962</x:v>
      </x:c>
      <x:c r="D172" s="32" t="s">
        <x:v>2149</x:v>
      </x:c>
      <x:c r="E172" s="32" t="s">
        <x:v>2150</x:v>
      </x:c>
      <x:c r="F172" s="32" t="s">
        <x:v>2151</x:v>
      </x:c>
      <x:c r="G172" s="33" t="s">
        <x:v>2149</x:v>
      </x:c>
      <x:c r="H172" s="32"/>
    </x:row>
    <x:row r="173" ht="30">
      <x:c r="A173" s="31" t="s">
        <x:v>965</x:v>
      </x:c>
      <x:c r="B173" s="32" t="s">
        <x:v>966</x:v>
      </x:c>
      <x:c r="C173" s="32" t="s">
        <x:v>967</x:v>
      </x:c>
      <x:c r="D173" s="32" t="s">
        <x:v>2149</x:v>
      </x:c>
      <x:c r="E173" s="32" t="s">
        <x:v>2150</x:v>
      </x:c>
      <x:c r="F173" s="32" t="s">
        <x:v>2151</x:v>
      </x:c>
      <x:c r="G173" s="33" t="s">
        <x:v>2149</x:v>
      </x:c>
      <x:c r="H173" s="32"/>
    </x:row>
    <x:row r="174" ht="30">
      <x:c r="A174" s="31" t="s">
        <x:v>970</x:v>
      </x:c>
      <x:c r="B174" s="32" t="s">
        <x:v>971</x:v>
      </x:c>
      <x:c r="C174" s="32" t="s">
        <x:v>972</x:v>
      </x:c>
      <x:c r="D174" s="32" t="s">
        <x:v>2149</x:v>
      </x:c>
      <x:c r="E174" s="32" t="s">
        <x:v>2150</x:v>
      </x:c>
      <x:c r="F174" s="32" t="s">
        <x:v>2151</x:v>
      </x:c>
      <x:c r="G174" s="33" t="s">
        <x:v>2149</x:v>
      </x:c>
      <x:c r="H174" s="32"/>
    </x:row>
    <x:row r="175" ht="30">
      <x:c r="A175" s="31" t="s">
        <x:v>975</x:v>
      </x:c>
      <x:c r="B175" s="32" t="s">
        <x:v>977</x:v>
      </x:c>
      <x:c r="C175" s="32" t="s">
        <x:v>978</x:v>
      </x:c>
      <x:c r="D175" s="32" t="s">
        <x:v>2149</x:v>
      </x:c>
      <x:c r="E175" s="32" t="s">
        <x:v>2150</x:v>
      </x:c>
      <x:c r="F175" s="32" t="s">
        <x:v>2151</x:v>
      </x:c>
      <x:c r="G175" s="33" t="s">
        <x:v>2149</x:v>
      </x:c>
      <x:c r="H175" s="32"/>
    </x:row>
    <x:row r="176" ht="30">
      <x:c r="A176" s="31" t="s">
        <x:v>982</x:v>
      </x:c>
      <x:c r="B176" s="32" t="s">
        <x:v>983</x:v>
      </x:c>
      <x:c r="C176" s="32" t="s">
        <x:v>984</x:v>
      </x:c>
      <x:c r="D176" s="32" t="s">
        <x:v>2149</x:v>
      </x:c>
      <x:c r="E176" s="32" t="s">
        <x:v>2150</x:v>
      </x:c>
      <x:c r="F176" s="32" t="s">
        <x:v>2151</x:v>
      </x:c>
      <x:c r="G176" s="33" t="s">
        <x:v>2149</x:v>
      </x:c>
      <x:c r="H176" s="32"/>
    </x:row>
    <x:row r="177" ht="30">
      <x:c r="A177" s="31" t="s">
        <x:v>987</x:v>
      </x:c>
      <x:c r="B177" s="32" t="s">
        <x:v>988</x:v>
      </x:c>
      <x:c r="C177" s="32" t="s">
        <x:v>989</x:v>
      </x:c>
      <x:c r="D177" s="32" t="s">
        <x:v>2149</x:v>
      </x:c>
      <x:c r="E177" s="32" t="s">
        <x:v>2150</x:v>
      </x:c>
      <x:c r="F177" s="32" t="s">
        <x:v>2151</x:v>
      </x:c>
      <x:c r="G177" s="33" t="s">
        <x:v>2149</x:v>
      </x:c>
      <x:c r="H177" s="32"/>
    </x:row>
    <x:row r="178" ht="30">
      <x:c r="A178" s="31" t="s">
        <x:v>992</x:v>
      </x:c>
      <x:c r="B178" s="32" t="s">
        <x:v>993</x:v>
      </x:c>
      <x:c r="C178" s="32" t="s">
        <x:v>994</x:v>
      </x:c>
      <x:c r="D178" s="32" t="s">
        <x:v>2149</x:v>
      </x:c>
      <x:c r="E178" s="32" t="s">
        <x:v>2150</x:v>
      </x:c>
      <x:c r="F178" s="32" t="s">
        <x:v>2151</x:v>
      </x:c>
      <x:c r="G178" s="33" t="s">
        <x:v>2149</x:v>
      </x:c>
      <x:c r="H178" s="32"/>
    </x:row>
    <x:row r="179" ht="30">
      <x:c r="A179" s="31" t="s">
        <x:v>997</x:v>
      </x:c>
      <x:c r="B179" s="32" t="s">
        <x:v>998</x:v>
      </x:c>
      <x:c r="C179" s="32" t="s">
        <x:v>999</x:v>
      </x:c>
      <x:c r="D179" s="32" t="s">
        <x:v>2149</x:v>
      </x:c>
      <x:c r="E179" s="32" t="s">
        <x:v>2150</x:v>
      </x:c>
      <x:c r="F179" s="32" t="s">
        <x:v>2151</x:v>
      </x:c>
      <x:c r="G179" s="33" t="s">
        <x:v>2149</x:v>
      </x:c>
      <x:c r="H179" s="32"/>
    </x:row>
    <x:row r="180" ht="30">
      <x:c r="A180" s="31" t="s">
        <x:v>1002</x:v>
      </x:c>
      <x:c r="B180" s="32" t="s">
        <x:v>1004</x:v>
      </x:c>
      <x:c r="C180" s="32" t="s">
        <x:v>1005</x:v>
      </x:c>
      <x:c r="D180" s="32" t="s">
        <x:v>2149</x:v>
      </x:c>
      <x:c r="E180" s="32" t="s">
        <x:v>2150</x:v>
      </x:c>
      <x:c r="F180" s="32" t="s">
        <x:v>2151</x:v>
      </x:c>
      <x:c r="G180" s="33" t="s">
        <x:v>2149</x:v>
      </x:c>
      <x:c r="H180" s="32"/>
    </x:row>
    <x:row r="181" ht="30">
      <x:c r="A181" s="31" t="s">
        <x:v>1009</x:v>
      </x:c>
      <x:c r="B181" s="32" t="s">
        <x:v>1010</x:v>
      </x:c>
      <x:c r="C181" s="32" t="s">
        <x:v>1011</x:v>
      </x:c>
      <x:c r="D181" s="32" t="s">
        <x:v>2149</x:v>
      </x:c>
      <x:c r="E181" s="32" t="s">
        <x:v>2150</x:v>
      </x:c>
      <x:c r="F181" s="32" t="s">
        <x:v>2151</x:v>
      </x:c>
      <x:c r="G181" s="33" t="s">
        <x:v>2149</x:v>
      </x:c>
      <x:c r="H181" s="32"/>
    </x:row>
    <x:row r="182" ht="30">
      <x:c r="A182" s="31" t="s">
        <x:v>1014</x:v>
      </x:c>
      <x:c r="B182" s="32" t="s">
        <x:v>1016</x:v>
      </x:c>
      <x:c r="C182" s="32" t="s">
        <x:v>1017</x:v>
      </x:c>
      <x:c r="D182" s="32" t="s">
        <x:v>2149</x:v>
      </x:c>
      <x:c r="E182" s="32" t="s">
        <x:v>2150</x:v>
      </x:c>
      <x:c r="F182" s="32" t="s">
        <x:v>2151</x:v>
      </x:c>
      <x:c r="G182" s="33" t="s">
        <x:v>2149</x:v>
      </x:c>
      <x:c r="H182" s="32"/>
    </x:row>
    <x:row r="183" ht="30">
      <x:c r="A183" s="31" t="s">
        <x:v>1020</x:v>
      </x:c>
      <x:c r="B183" s="32" t="s">
        <x:v>1022</x:v>
      </x:c>
      <x:c r="C183" s="32" t="s">
        <x:v>1023</x:v>
      </x:c>
      <x:c r="D183" s="32" t="s">
        <x:v>2149</x:v>
      </x:c>
      <x:c r="E183" s="32" t="s">
        <x:v>2150</x:v>
      </x:c>
      <x:c r="F183" s="32" t="s">
        <x:v>2151</x:v>
      </x:c>
      <x:c r="G183" s="33" t="s">
        <x:v>2149</x:v>
      </x:c>
      <x:c r="H183" s="32"/>
    </x:row>
    <x:row r="184" ht="30">
      <x:c r="A184" s="31" t="s">
        <x:v>1026</x:v>
      </x:c>
      <x:c r="B184" s="32" t="s">
        <x:v>1027</x:v>
      </x:c>
      <x:c r="C184" s="32" t="s">
        <x:v>1028</x:v>
      </x:c>
      <x:c r="D184" s="32" t="s">
        <x:v>2149</x:v>
      </x:c>
      <x:c r="E184" s="32" t="s">
        <x:v>2150</x:v>
      </x:c>
      <x:c r="F184" s="32" t="s">
        <x:v>2151</x:v>
      </x:c>
      <x:c r="G184" s="33" t="s">
        <x:v>2149</x:v>
      </x:c>
      <x:c r="H184" s="32"/>
    </x:row>
    <x:row r="185" ht="30">
      <x:c r="A185" s="31" t="s">
        <x:v>1031</x:v>
      </x:c>
      <x:c r="B185" s="32" t="s">
        <x:v>1034</x:v>
      </x:c>
      <x:c r="C185" s="32" t="s">
        <x:v>1035</x:v>
      </x:c>
      <x:c r="D185" s="32" t="s">
        <x:v>2149</x:v>
      </x:c>
      <x:c r="E185" s="32" t="s">
        <x:v>2150</x:v>
      </x:c>
      <x:c r="F185" s="32" t="s">
        <x:v>2151</x:v>
      </x:c>
      <x:c r="G185" s="33" t="s">
        <x:v>2149</x:v>
      </x:c>
      <x:c r="H185" s="32"/>
    </x:row>
    <x:row r="186" ht="30">
      <x:c r="A186" s="31" t="s">
        <x:v>1039</x:v>
      </x:c>
      <x:c r="B186" s="32" t="s">
        <x:v>1042</x:v>
      </x:c>
      <x:c r="C186" s="32" t="s">
        <x:v>1043</x:v>
      </x:c>
      <x:c r="D186" s="32" t="s">
        <x:v>2149</x:v>
      </x:c>
      <x:c r="E186" s="32" t="s">
        <x:v>2150</x:v>
      </x:c>
      <x:c r="F186" s="32" t="s">
        <x:v>2151</x:v>
      </x:c>
      <x:c r="G186" s="33" t="s">
        <x:v>2149</x:v>
      </x:c>
      <x:c r="H186" s="32"/>
    </x:row>
    <x:row r="187" ht="30">
      <x:c r="A187" s="31" t="s">
        <x:v>1047</x:v>
      </x:c>
      <x:c r="B187" s="32" t="s">
        <x:v>1051</x:v>
      </x:c>
      <x:c r="C187" s="32" t="s">
        <x:v>1052</x:v>
      </x:c>
      <x:c r="D187" s="32" t="s">
        <x:v>2149</x:v>
      </x:c>
      <x:c r="E187" s="32" t="s">
        <x:v>2150</x:v>
      </x:c>
      <x:c r="F187" s="32" t="s">
        <x:v>2151</x:v>
      </x:c>
      <x:c r="G187" s="33" t="s">
        <x:v>2149</x:v>
      </x:c>
      <x:c r="H187" s="32"/>
    </x:row>
    <x:row r="188" ht="30">
      <x:c r="A188" s="31" t="s">
        <x:v>1056</x:v>
      </x:c>
      <x:c r="B188" s="32" t="s">
        <x:v>1059</x:v>
      </x:c>
      <x:c r="C188" s="32" t="s">
        <x:v>1060</x:v>
      </x:c>
      <x:c r="D188" s="32" t="s">
        <x:v>2149</x:v>
      </x:c>
      <x:c r="E188" s="32" t="s">
        <x:v>2150</x:v>
      </x:c>
      <x:c r="F188" s="32" t="s">
        <x:v>2151</x:v>
      </x:c>
      <x:c r="G188" s="33" t="s">
        <x:v>2149</x:v>
      </x:c>
      <x:c r="H188" s="32"/>
    </x:row>
    <x:row r="189" ht="30">
      <x:c r="A189" s="31" t="s">
        <x:v>1064</x:v>
      </x:c>
      <x:c r="B189" s="32" t="s">
        <x:v>1066</x:v>
      </x:c>
      <x:c r="C189" s="32" t="s">
        <x:v>1067</x:v>
      </x:c>
      <x:c r="D189" s="32" t="s">
        <x:v>2149</x:v>
      </x:c>
      <x:c r="E189" s="32" t="s">
        <x:v>2150</x:v>
      </x:c>
      <x:c r="F189" s="32" t="s">
        <x:v>2151</x:v>
      </x:c>
      <x:c r="G189" s="33" t="s">
        <x:v>2149</x:v>
      </x:c>
      <x:c r="H189" s="32"/>
    </x:row>
    <x:row r="190" ht="30">
      <x:c r="A190" s="31" t="s">
        <x:v>1071</x:v>
      </x:c>
      <x:c r="B190" s="32" t="s">
        <x:v>1074</x:v>
      </x:c>
      <x:c r="C190" s="32" t="s">
        <x:v>1075</x:v>
      </x:c>
      <x:c r="D190" s="32" t="s">
        <x:v>2149</x:v>
      </x:c>
      <x:c r="E190" s="32" t="s">
        <x:v>2150</x:v>
      </x:c>
      <x:c r="F190" s="32" t="s">
        <x:v>2151</x:v>
      </x:c>
      <x:c r="G190" s="33" t="s">
        <x:v>2149</x:v>
      </x:c>
      <x:c r="H190" s="32"/>
    </x:row>
    <x:row r="191" ht="30">
      <x:c r="A191" s="31" t="s">
        <x:v>1079</x:v>
      </x:c>
      <x:c r="B191" s="32" t="s">
        <x:v>1081</x:v>
      </x:c>
      <x:c r="C191" s="32" t="s">
        <x:v>1082</x:v>
      </x:c>
      <x:c r="D191" s="32" t="s">
        <x:v>2149</x:v>
      </x:c>
      <x:c r="E191" s="32" t="s">
        <x:v>2150</x:v>
      </x:c>
      <x:c r="F191" s="32" t="s">
        <x:v>2151</x:v>
      </x:c>
      <x:c r="G191" s="33" t="s">
        <x:v>2149</x:v>
      </x:c>
      <x:c r="H191" s="32"/>
    </x:row>
    <x:row r="192" ht="30">
      <x:c r="A192" s="31" t="s">
        <x:v>1085</x:v>
      </x:c>
      <x:c r="B192" s="32" t="s">
        <x:v>1086</x:v>
      </x:c>
      <x:c r="C192" s="32" t="s">
        <x:v>1087</x:v>
      </x:c>
      <x:c r="D192" s="32" t="s">
        <x:v>2149</x:v>
      </x:c>
      <x:c r="E192" s="32" t="s">
        <x:v>2150</x:v>
      </x:c>
      <x:c r="F192" s="32" t="s">
        <x:v>2151</x:v>
      </x:c>
      <x:c r="G192" s="33" t="s">
        <x:v>2149</x:v>
      </x:c>
      <x:c r="H192" s="32"/>
    </x:row>
    <x:row r="193" ht="30">
      <x:c r="A193" s="31" t="s">
        <x:v>1090</x:v>
      </x:c>
      <x:c r="B193" s="32" t="s">
        <x:v>1092</x:v>
      </x:c>
      <x:c r="C193" s="32" t="s">
        <x:v>1094</x:v>
      </x:c>
      <x:c r="D193" s="32" t="s">
        <x:v>2149</x:v>
      </x:c>
      <x:c r="E193" s="32" t="s">
        <x:v>2150</x:v>
      </x:c>
      <x:c r="F193" s="32" t="s">
        <x:v>2151</x:v>
      </x:c>
      <x:c r="G193" s="33" t="s">
        <x:v>2149</x:v>
      </x:c>
      <x:c r="H193" s="32"/>
    </x:row>
    <x:row r="194" ht="30">
      <x:c r="A194" s="31" t="s">
        <x:v>1100</x:v>
      </x:c>
      <x:c r="B194" s="32" t="s">
        <x:v>1092</x:v>
      </x:c>
      <x:c r="C194" s="32" t="s">
        <x:v>1102</x:v>
      </x:c>
      <x:c r="D194" s="32" t="s">
        <x:v>2149</x:v>
      </x:c>
      <x:c r="E194" s="32" t="s">
        <x:v>2150</x:v>
      </x:c>
      <x:c r="F194" s="32" t="s">
        <x:v>2151</x:v>
      </x:c>
      <x:c r="G194" s="33" t="s">
        <x:v>2149</x:v>
      </x:c>
      <x:c r="H194" s="32"/>
    </x:row>
    <x:row r="195" ht="30">
      <x:c r="A195" s="31" t="s">
        <x:v>1106</x:v>
      </x:c>
      <x:c r="B195" s="32" t="s">
        <x:v>1092</x:v>
      </x:c>
      <x:c r="C195" s="32" t="s">
        <x:v>1108</x:v>
      </x:c>
      <x:c r="D195" s="32" t="s">
        <x:v>2149</x:v>
      </x:c>
      <x:c r="E195" s="32" t="s">
        <x:v>2150</x:v>
      </x:c>
      <x:c r="F195" s="32" t="s">
        <x:v>2151</x:v>
      </x:c>
      <x:c r="G195" s="33" t="s">
        <x:v>2149</x:v>
      </x:c>
      <x:c r="H195" s="32"/>
    </x:row>
    <x:row r="196" ht="30">
      <x:c r="A196" s="31" t="s">
        <x:v>1112</x:v>
      </x:c>
      <x:c r="B196" s="32" t="s">
        <x:v>1092</x:v>
      </x:c>
      <x:c r="C196" s="32" t="s">
        <x:v>1114</x:v>
      </x:c>
      <x:c r="D196" s="32" t="s">
        <x:v>2149</x:v>
      </x:c>
      <x:c r="E196" s="32" t="s">
        <x:v>2150</x:v>
      </x:c>
      <x:c r="F196" s="32" t="s">
        <x:v>2151</x:v>
      </x:c>
      <x:c r="G196" s="33" t="s">
        <x:v>2149</x:v>
      </x:c>
      <x:c r="H196" s="32"/>
    </x:row>
    <x:row r="197" ht="30">
      <x:c r="A197" s="31" t="s">
        <x:v>1118</x:v>
      </x:c>
      <x:c r="B197" s="32" t="s">
        <x:v>1119</x:v>
      </x:c>
      <x:c r="C197" s="32" t="s">
        <x:v>1120</x:v>
      </x:c>
      <x:c r="D197" s="32" t="s">
        <x:v>2149</x:v>
      </x:c>
      <x:c r="E197" s="32" t="s">
        <x:v>2150</x:v>
      </x:c>
      <x:c r="F197" s="32" t="s">
        <x:v>2151</x:v>
      </x:c>
      <x:c r="G197" s="33" t="s">
        <x:v>2149</x:v>
      </x:c>
      <x:c r="H197" s="32"/>
    </x:row>
    <x:row r="198" ht="30">
      <x:c r="A198" s="31" t="s">
        <x:v>1123</x:v>
      </x:c>
      <x:c r="B198" s="32" t="s">
        <x:v>1124</x:v>
      </x:c>
      <x:c r="C198" s="32" t="s">
        <x:v>1125</x:v>
      </x:c>
      <x:c r="D198" s="32" t="s">
        <x:v>2149</x:v>
      </x:c>
      <x:c r="E198" s="32" t="s">
        <x:v>2150</x:v>
      </x:c>
      <x:c r="F198" s="32" t="s">
        <x:v>2151</x:v>
      </x:c>
      <x:c r="G198" s="33" t="s">
        <x:v>2149</x:v>
      </x:c>
      <x:c r="H198" s="32"/>
    </x:row>
    <x:row r="199" ht="30">
      <x:c r="A199" s="31" t="s">
        <x:v>1128</x:v>
      </x:c>
      <x:c r="B199" s="32" t="s">
        <x:v>1131</x:v>
      </x:c>
      <x:c r="C199" s="32" t="s">
        <x:v>1132</x:v>
      </x:c>
      <x:c r="D199" s="32" t="s">
        <x:v>2149</x:v>
      </x:c>
      <x:c r="E199" s="32" t="s">
        <x:v>2150</x:v>
      </x:c>
      <x:c r="F199" s="32" t="s">
        <x:v>2151</x:v>
      </x:c>
      <x:c r="G199" s="33" t="s">
        <x:v>2149</x:v>
      </x:c>
      <x:c r="H199" s="32"/>
    </x:row>
    <x:row r="200" ht="30">
      <x:c r="A200" s="31" t="s">
        <x:v>1136</x:v>
      </x:c>
      <x:c r="B200" s="32" t="s">
        <x:v>1138</x:v>
      </x:c>
      <x:c r="C200" s="32" t="s">
        <x:v>1139</x:v>
      </x:c>
      <x:c r="D200" s="32" t="s">
        <x:v>2149</x:v>
      </x:c>
      <x:c r="E200" s="32" t="s">
        <x:v>2150</x:v>
      </x:c>
      <x:c r="F200" s="32" t="s">
        <x:v>2151</x:v>
      </x:c>
      <x:c r="G200" s="33" t="s">
        <x:v>2149</x:v>
      </x:c>
      <x:c r="H200" s="32"/>
    </x:row>
    <x:row r="201" ht="30">
      <x:c r="A201" s="31" t="s">
        <x:v>1142</x:v>
      </x:c>
      <x:c r="B201" s="32" t="s">
        <x:v>1144</x:v>
      </x:c>
      <x:c r="C201" s="32" t="s">
        <x:v>1145</x:v>
      </x:c>
      <x:c r="D201" s="32" t="s">
        <x:v>2149</x:v>
      </x:c>
      <x:c r="E201" s="32" t="s">
        <x:v>2150</x:v>
      </x:c>
      <x:c r="F201" s="32" t="s">
        <x:v>2151</x:v>
      </x:c>
      <x:c r="G201" s="33" t="s">
        <x:v>2149</x:v>
      </x:c>
      <x:c r="H201" s="32"/>
    </x:row>
    <x:row r="202" ht="30">
      <x:c r="A202" s="31" t="s">
        <x:v>1148</x:v>
      </x:c>
      <x:c r="B202" s="32" t="s">
        <x:v>1150</x:v>
      </x:c>
      <x:c r="C202" s="32" t="s">
        <x:v>1151</x:v>
      </x:c>
      <x:c r="D202" s="32" t="s">
        <x:v>2149</x:v>
      </x:c>
      <x:c r="E202" s="32" t="s">
        <x:v>2150</x:v>
      </x:c>
      <x:c r="F202" s="32" t="s">
        <x:v>2151</x:v>
      </x:c>
      <x:c r="G202" s="33" t="s">
        <x:v>2149</x:v>
      </x:c>
      <x:c r="H202" s="32"/>
    </x:row>
    <x:row r="203" ht="30">
      <x:c r="A203" s="31" t="s">
        <x:v>1154</x:v>
      </x:c>
      <x:c r="B203" s="32" t="s">
        <x:v>1155</x:v>
      </x:c>
      <x:c r="C203" s="32" t="s">
        <x:v>1156</x:v>
      </x:c>
      <x:c r="D203" s="32" t="s">
        <x:v>2149</x:v>
      </x:c>
      <x:c r="E203" s="32" t="s">
        <x:v>2150</x:v>
      </x:c>
      <x:c r="F203" s="32" t="s">
        <x:v>2151</x:v>
      </x:c>
      <x:c r="G203" s="33" t="s">
        <x:v>2149</x:v>
      </x:c>
      <x:c r="H203" s="32"/>
    </x:row>
    <x:row r="204" ht="30">
      <x:c r="A204" s="31" t="s">
        <x:v>1159</x:v>
      </x:c>
      <x:c r="B204" s="32" t="s">
        <x:v>1162</x:v>
      </x:c>
      <x:c r="C204" s="32" t="s">
        <x:v>1163</x:v>
      </x:c>
      <x:c r="D204" s="32" t="s">
        <x:v>2149</x:v>
      </x:c>
      <x:c r="E204" s="32" t="s">
        <x:v>2150</x:v>
      </x:c>
      <x:c r="F204" s="32" t="s">
        <x:v>2151</x:v>
      </x:c>
      <x:c r="G204" s="33" t="s">
        <x:v>2149</x:v>
      </x:c>
      <x:c r="H204" s="32"/>
    </x:row>
    <x:row r="205" ht="30">
      <x:c r="A205" s="31" t="s">
        <x:v>1167</x:v>
      </x:c>
      <x:c r="B205" s="32" t="s">
        <x:v>1169</x:v>
      </x:c>
      <x:c r="C205" s="32" t="s">
        <x:v>1170</x:v>
      </x:c>
      <x:c r="D205" s="32" t="s">
        <x:v>2149</x:v>
      </x:c>
      <x:c r="E205" s="32" t="s">
        <x:v>2150</x:v>
      </x:c>
      <x:c r="F205" s="32" t="s">
        <x:v>2151</x:v>
      </x:c>
      <x:c r="G205" s="33" t="s">
        <x:v>2149</x:v>
      </x:c>
      <x:c r="H205" s="32"/>
    </x:row>
    <x:row r="206" ht="30">
      <x:c r="A206" s="31" t="s">
        <x:v>1173</x:v>
      </x:c>
      <x:c r="B206" s="32" t="s">
        <x:v>1176</x:v>
      </x:c>
      <x:c r="C206" s="32" t="s">
        <x:v>1177</x:v>
      </x:c>
      <x:c r="D206" s="32" t="s">
        <x:v>2149</x:v>
      </x:c>
      <x:c r="E206" s="32" t="s">
        <x:v>2150</x:v>
      </x:c>
      <x:c r="F206" s="32" t="s">
        <x:v>2151</x:v>
      </x:c>
      <x:c r="G206" s="33" t="s">
        <x:v>2149</x:v>
      </x:c>
      <x:c r="H206" s="32"/>
    </x:row>
    <x:row r="207" ht="30">
      <x:c r="A207" s="31" t="s">
        <x:v>1181</x:v>
      </x:c>
      <x:c r="B207" s="32" t="s">
        <x:v>1182</x:v>
      </x:c>
      <x:c r="C207" s="32" t="s">
        <x:v>1183</x:v>
      </x:c>
      <x:c r="D207" s="32" t="s">
        <x:v>2149</x:v>
      </x:c>
      <x:c r="E207" s="32" t="s">
        <x:v>2150</x:v>
      </x:c>
      <x:c r="F207" s="32" t="s">
        <x:v>2151</x:v>
      </x:c>
      <x:c r="G207" s="33" t="s">
        <x:v>2149</x:v>
      </x:c>
      <x:c r="H207" s="32"/>
    </x:row>
    <x:row r="208" ht="30">
      <x:c r="A208" s="31" t="s">
        <x:v>1186</x:v>
      </x:c>
      <x:c r="B208" s="32" t="s">
        <x:v>1187</x:v>
      </x:c>
      <x:c r="C208" s="32" t="s">
        <x:v>1188</x:v>
      </x:c>
      <x:c r="D208" s="32" t="s">
        <x:v>2149</x:v>
      </x:c>
      <x:c r="E208" s="32" t="s">
        <x:v>2150</x:v>
      </x:c>
      <x:c r="F208" s="32" t="s">
        <x:v>2151</x:v>
      </x:c>
      <x:c r="G208" s="33" t="s">
        <x:v>2149</x:v>
      </x:c>
      <x:c r="H208" s="32"/>
    </x:row>
    <x:row r="209" ht="30">
      <x:c r="A209" s="31" t="s">
        <x:v>1191</x:v>
      </x:c>
      <x:c r="B209" s="32" t="s">
        <x:v>1192</x:v>
      </x:c>
      <x:c r="C209" s="32" t="s">
        <x:v>1193</x:v>
      </x:c>
      <x:c r="D209" s="32" t="s">
        <x:v>2149</x:v>
      </x:c>
      <x:c r="E209" s="32" t="s">
        <x:v>2150</x:v>
      </x:c>
      <x:c r="F209" s="32" t="s">
        <x:v>2151</x:v>
      </x:c>
      <x:c r="G209" s="33" t="s">
        <x:v>2149</x:v>
      </x:c>
      <x:c r="H209" s="32"/>
    </x:row>
    <x:row r="210" ht="30">
      <x:c r="A210" s="31" t="s">
        <x:v>1196</x:v>
      </x:c>
      <x:c r="B210" s="32" t="s">
        <x:v>1197</x:v>
      </x:c>
      <x:c r="C210" s="32" t="s">
        <x:v>1198</x:v>
      </x:c>
      <x:c r="D210" s="32" t="s">
        <x:v>2149</x:v>
      </x:c>
      <x:c r="E210" s="32" t="s">
        <x:v>2150</x:v>
      </x:c>
      <x:c r="F210" s="32" t="s">
        <x:v>2151</x:v>
      </x:c>
      <x:c r="G210" s="33" t="s">
        <x:v>2149</x:v>
      </x:c>
      <x:c r="H210" s="32"/>
    </x:row>
    <x:row r="211" ht="30">
      <x:c r="A211" s="31" t="s">
        <x:v>1201</x:v>
      </x:c>
      <x:c r="B211" s="32" t="s">
        <x:v>1202</x:v>
      </x:c>
      <x:c r="C211" s="32" t="s">
        <x:v>1203</x:v>
      </x:c>
      <x:c r="D211" s="32" t="s">
        <x:v>2149</x:v>
      </x:c>
      <x:c r="E211" s="32" t="s">
        <x:v>2150</x:v>
      </x:c>
      <x:c r="F211" s="32" t="s">
        <x:v>2151</x:v>
      </x:c>
      <x:c r="G211" s="33" t="s">
        <x:v>2149</x:v>
      </x:c>
      <x:c r="H211" s="32"/>
    </x:row>
    <x:row r="212" ht="30">
      <x:c r="A212" s="31" t="s">
        <x:v>1206</x:v>
      </x:c>
      <x:c r="B212" s="32" t="s">
        <x:v>1210</x:v>
      </x:c>
      <x:c r="C212" s="32" t="s">
        <x:v>1211</x:v>
      </x:c>
      <x:c r="D212" s="32" t="s">
        <x:v>2149</x:v>
      </x:c>
      <x:c r="E212" s="32" t="s">
        <x:v>2150</x:v>
      </x:c>
      <x:c r="F212" s="32" t="s">
        <x:v>2151</x:v>
      </x:c>
      <x:c r="G212" s="33" t="s">
        <x:v>2149</x:v>
      </x:c>
      <x:c r="H212" s="32"/>
    </x:row>
    <x:row r="213" ht="30">
      <x:c r="A213" s="31" t="s">
        <x:v>1215</x:v>
      </x:c>
      <x:c r="B213" s="32" t="s">
        <x:v>1216</x:v>
      </x:c>
      <x:c r="C213" s="32" t="s">
        <x:v>1217</x:v>
      </x:c>
      <x:c r="D213" s="32" t="s">
        <x:v>2149</x:v>
      </x:c>
      <x:c r="E213" s="32" t="s">
        <x:v>2150</x:v>
      </x:c>
      <x:c r="F213" s="32" t="s">
        <x:v>2151</x:v>
      </x:c>
      <x:c r="G213" s="33" t="s">
        <x:v>2149</x:v>
      </x:c>
      <x:c r="H213" s="32"/>
    </x:row>
    <x:row r="214" ht="30">
      <x:c r="A214" s="31" t="s">
        <x:v>1220</x:v>
      </x:c>
      <x:c r="B214" s="32" t="s">
        <x:v>1221</x:v>
      </x:c>
      <x:c r="C214" s="32" t="s">
        <x:v>1222</x:v>
      </x:c>
      <x:c r="D214" s="32" t="s">
        <x:v>2149</x:v>
      </x:c>
      <x:c r="E214" s="32" t="s">
        <x:v>2150</x:v>
      </x:c>
      <x:c r="F214" s="32" t="s">
        <x:v>2151</x:v>
      </x:c>
      <x:c r="G214" s="33" t="s">
        <x:v>2149</x:v>
      </x:c>
      <x:c r="H214" s="32"/>
    </x:row>
    <x:row r="215" ht="30">
      <x:c r="A215" s="31" t="s">
        <x:v>1225</x:v>
      </x:c>
      <x:c r="B215" s="32" t="s">
        <x:v>1227</x:v>
      </x:c>
      <x:c r="C215" s="32" t="s">
        <x:v>1229</x:v>
      </x:c>
      <x:c r="D215" s="32" t="s">
        <x:v>2149</x:v>
      </x:c>
      <x:c r="E215" s="32" t="s">
        <x:v>2150</x:v>
      </x:c>
      <x:c r="F215" s="32" t="s">
        <x:v>2151</x:v>
      </x:c>
      <x:c r="G215" s="33" t="s">
        <x:v>2149</x:v>
      </x:c>
      <x:c r="H215" s="32"/>
    </x:row>
    <x:row r="216" ht="30">
      <x:c r="A216" s="31" t="s">
        <x:v>1233</x:v>
      </x:c>
      <x:c r="B216" s="32" t="s">
        <x:v>1234</x:v>
      </x:c>
      <x:c r="C216" s="32" t="s">
        <x:v>1236</x:v>
      </x:c>
      <x:c r="D216" s="32" t="s">
        <x:v>2149</x:v>
      </x:c>
      <x:c r="E216" s="32" t="s">
        <x:v>2150</x:v>
      </x:c>
      <x:c r="F216" s="32" t="s">
        <x:v>2151</x:v>
      </x:c>
      <x:c r="G216" s="33" t="s">
        <x:v>2149</x:v>
      </x:c>
      <x:c r="H216" s="32"/>
    </x:row>
    <x:row r="217" ht="30">
      <x:c r="A217" s="31" t="s">
        <x:v>1239</x:v>
      </x:c>
      <x:c r="B217" s="32" t="s">
        <x:v>1240</x:v>
      </x:c>
      <x:c r="C217" s="32" t="s">
        <x:v>1241</x:v>
      </x:c>
      <x:c r="D217" s="32" t="s">
        <x:v>2149</x:v>
      </x:c>
      <x:c r="E217" s="32" t="s">
        <x:v>2150</x:v>
      </x:c>
      <x:c r="F217" s="32" t="s">
        <x:v>2151</x:v>
      </x:c>
      <x:c r="G217" s="33" t="s">
        <x:v>2149</x:v>
      </x:c>
      <x:c r="H217" s="32"/>
    </x:row>
    <x:row r="218" ht="30">
      <x:c r="A218" s="31" t="s">
        <x:v>1244</x:v>
      </x:c>
      <x:c r="B218" s="32" t="s">
        <x:v>1245</x:v>
      </x:c>
      <x:c r="C218" s="32" t="s">
        <x:v>1246</x:v>
      </x:c>
      <x:c r="D218" s="32" t="s">
        <x:v>2149</x:v>
      </x:c>
      <x:c r="E218" s="32" t="s">
        <x:v>2150</x:v>
      </x:c>
      <x:c r="F218" s="32" t="s">
        <x:v>2151</x:v>
      </x:c>
      <x:c r="G218" s="33" t="s">
        <x:v>2149</x:v>
      </x:c>
      <x:c r="H218" s="32"/>
    </x:row>
    <x:row r="219" ht="30">
      <x:c r="A219" s="31" t="s">
        <x:v>1249</x:v>
      </x:c>
      <x:c r="B219" s="32" t="s">
        <x:v>1250</x:v>
      </x:c>
      <x:c r="C219" s="32" t="s">
        <x:v>1251</x:v>
      </x:c>
      <x:c r="D219" s="32" t="s">
        <x:v>2149</x:v>
      </x:c>
      <x:c r="E219" s="32" t="s">
        <x:v>2150</x:v>
      </x:c>
      <x:c r="F219" s="32" t="s">
        <x:v>2151</x:v>
      </x:c>
      <x:c r="G219" s="33" t="s">
        <x:v>2149</x:v>
      </x:c>
      <x:c r="H219" s="32"/>
    </x:row>
    <x:row r="220" ht="30">
      <x:c r="A220" s="31" t="s">
        <x:v>1254</x:v>
      </x:c>
      <x:c r="B220" s="32" t="s">
        <x:v>1256</x:v>
      </x:c>
      <x:c r="C220" s="32" t="s">
        <x:v>1257</x:v>
      </x:c>
      <x:c r="D220" s="32" t="s">
        <x:v>2149</x:v>
      </x:c>
      <x:c r="E220" s="32" t="s">
        <x:v>2150</x:v>
      </x:c>
      <x:c r="F220" s="32" t="s">
        <x:v>2151</x:v>
      </x:c>
      <x:c r="G220" s="33" t="s">
        <x:v>2149</x:v>
      </x:c>
      <x:c r="H220" s="32"/>
    </x:row>
    <x:row r="221" ht="30">
      <x:c r="A221" s="31" t="s">
        <x:v>1261</x:v>
      </x:c>
      <x:c r="B221" s="32" t="s">
        <x:v>1262</x:v>
      </x:c>
      <x:c r="C221" s="32" t="s">
        <x:v>1263</x:v>
      </x:c>
      <x:c r="D221" s="32" t="s">
        <x:v>2149</x:v>
      </x:c>
      <x:c r="E221" s="32" t="s">
        <x:v>2150</x:v>
      </x:c>
      <x:c r="F221" s="32" t="s">
        <x:v>2151</x:v>
      </x:c>
      <x:c r="G221" s="33" t="s">
        <x:v>2149</x:v>
      </x:c>
      <x:c r="H221" s="32"/>
    </x:row>
    <x:row r="222" ht="30">
      <x:c r="A222" s="31" t="s">
        <x:v>1266</x:v>
      </x:c>
      <x:c r="B222" s="32" t="s">
        <x:v>1267</x:v>
      </x:c>
      <x:c r="C222" s="32" t="s">
        <x:v>1268</x:v>
      </x:c>
      <x:c r="D222" s="32" t="s">
        <x:v>2149</x:v>
      </x:c>
      <x:c r="E222" s="32" t="s">
        <x:v>2150</x:v>
      </x:c>
      <x:c r="F222" s="32" t="s">
        <x:v>2151</x:v>
      </x:c>
      <x:c r="G222" s="33" t="s">
        <x:v>2149</x:v>
      </x:c>
      <x:c r="H222" s="32"/>
    </x:row>
    <x:row r="223" ht="30">
      <x:c r="A223" s="31" t="s">
        <x:v>1271</x:v>
      </x:c>
      <x:c r="B223" s="32" t="s">
        <x:v>1272</x:v>
      </x:c>
      <x:c r="C223" s="32" t="s">
        <x:v>1273</x:v>
      </x:c>
      <x:c r="D223" s="32" t="s">
        <x:v>2149</x:v>
      </x:c>
      <x:c r="E223" s="32" t="s">
        <x:v>2150</x:v>
      </x:c>
      <x:c r="F223" s="32" t="s">
        <x:v>2151</x:v>
      </x:c>
      <x:c r="G223" s="33" t="s">
        <x:v>2149</x:v>
      </x:c>
      <x:c r="H223" s="32"/>
    </x:row>
    <x:row r="224" ht="30">
      <x:c r="A224" s="31" t="s">
        <x:v>1276</x:v>
      </x:c>
      <x:c r="B224" s="32" t="s">
        <x:v>1278</x:v>
      </x:c>
      <x:c r="C224" s="32" t="s">
        <x:v>1279</x:v>
      </x:c>
      <x:c r="D224" s="32" t="s">
        <x:v>2149</x:v>
      </x:c>
      <x:c r="E224" s="32" t="s">
        <x:v>2150</x:v>
      </x:c>
      <x:c r="F224" s="32" t="s">
        <x:v>2151</x:v>
      </x:c>
      <x:c r="G224" s="33" t="s">
        <x:v>2149</x:v>
      </x:c>
      <x:c r="H224" s="32"/>
    </x:row>
    <x:row r="225" ht="30">
      <x:c r="A225" s="31" t="s">
        <x:v>1283</x:v>
      </x:c>
      <x:c r="B225" s="32" t="s">
        <x:v>1284</x:v>
      </x:c>
      <x:c r="C225" s="32" t="s">
        <x:v>1285</x:v>
      </x:c>
      <x:c r="D225" s="32" t="s">
        <x:v>2149</x:v>
      </x:c>
      <x:c r="E225" s="32" t="s">
        <x:v>2150</x:v>
      </x:c>
      <x:c r="F225" s="32" t="s">
        <x:v>2151</x:v>
      </x:c>
      <x:c r="G225" s="33" t="s">
        <x:v>2149</x:v>
      </x:c>
      <x:c r="H225" s="32"/>
    </x:row>
    <x:row r="226" ht="30">
      <x:c r="A226" s="31" t="s">
        <x:v>1288</x:v>
      </x:c>
      <x:c r="B226" s="32" t="s">
        <x:v>1289</x:v>
      </x:c>
      <x:c r="C226" s="32" t="s">
        <x:v>1290</x:v>
      </x:c>
      <x:c r="D226" s="32" t="s">
        <x:v>2149</x:v>
      </x:c>
      <x:c r="E226" s="32" t="s">
        <x:v>2150</x:v>
      </x:c>
      <x:c r="F226" s="32" t="s">
        <x:v>2151</x:v>
      </x:c>
      <x:c r="G226" s="33" t="s">
        <x:v>2149</x:v>
      </x:c>
      <x:c r="H226" s="32"/>
    </x:row>
    <x:row r="227" ht="30">
      <x:c r="A227" s="31" t="s">
        <x:v>1293</x:v>
      </x:c>
      <x:c r="B227" s="32" t="s">
        <x:v>1294</x:v>
      </x:c>
      <x:c r="C227" s="32" t="s">
        <x:v>1295</x:v>
      </x:c>
      <x:c r="D227" s="32" t="s">
        <x:v>2149</x:v>
      </x:c>
      <x:c r="E227" s="32" t="s">
        <x:v>2150</x:v>
      </x:c>
      <x:c r="F227" s="32" t="s">
        <x:v>2151</x:v>
      </x:c>
      <x:c r="G227" s="33" t="s">
        <x:v>2149</x:v>
      </x:c>
      <x:c r="H227" s="32"/>
    </x:row>
    <x:row r="228" ht="30">
      <x:c r="A228" s="31" t="s">
        <x:v>1298</x:v>
      </x:c>
      <x:c r="B228" s="32" t="s">
        <x:v>1299</x:v>
      </x:c>
      <x:c r="C228" s="32" t="s">
        <x:v>1300</x:v>
      </x:c>
      <x:c r="D228" s="32" t="s">
        <x:v>2149</x:v>
      </x:c>
      <x:c r="E228" s="32" t="s">
        <x:v>2150</x:v>
      </x:c>
      <x:c r="F228" s="32" t="s">
        <x:v>2151</x:v>
      </x:c>
      <x:c r="G228" s="33" t="s">
        <x:v>2149</x:v>
      </x:c>
      <x:c r="H228" s="32"/>
    </x:row>
    <x:row r="229" ht="30">
      <x:c r="A229" s="31" t="s">
        <x:v>1303</x:v>
      </x:c>
      <x:c r="B229" s="32" t="s">
        <x:v>1305</x:v>
      </x:c>
      <x:c r="C229" s="32" t="s">
        <x:v>1306</x:v>
      </x:c>
      <x:c r="D229" s="32" t="s">
        <x:v>2149</x:v>
      </x:c>
      <x:c r="E229" s="32" t="s">
        <x:v>2150</x:v>
      </x:c>
      <x:c r="F229" s="32" t="s">
        <x:v>2151</x:v>
      </x:c>
      <x:c r="G229" s="33" t="s">
        <x:v>2149</x:v>
      </x:c>
      <x:c r="H229" s="32"/>
    </x:row>
    <x:row r="230" ht="30">
      <x:c r="A230" s="31" t="s">
        <x:v>1310</x:v>
      </x:c>
      <x:c r="B230" s="32" t="s">
        <x:v>1311</x:v>
      </x:c>
      <x:c r="C230" s="32" t="s">
        <x:v>1312</x:v>
      </x:c>
      <x:c r="D230" s="32" t="s">
        <x:v>2149</x:v>
      </x:c>
      <x:c r="E230" s="32" t="s">
        <x:v>2150</x:v>
      </x:c>
      <x:c r="F230" s="32" t="s">
        <x:v>2151</x:v>
      </x:c>
      <x:c r="G230" s="33" t="s">
        <x:v>2149</x:v>
      </x:c>
      <x:c r="H230" s="32"/>
    </x:row>
    <x:row r="231" ht="30">
      <x:c r="A231" s="31" t="s">
        <x:v>1315</x:v>
      </x:c>
      <x:c r="B231" s="32" t="s">
        <x:v>1317</x:v>
      </x:c>
      <x:c r="C231" s="32" t="s">
        <x:v>1318</x:v>
      </x:c>
      <x:c r="D231" s="32" t="s">
        <x:v>2149</x:v>
      </x:c>
      <x:c r="E231" s="32" t="s">
        <x:v>2150</x:v>
      </x:c>
      <x:c r="F231" s="32" t="s">
        <x:v>2151</x:v>
      </x:c>
      <x:c r="G231" s="33" t="s">
        <x:v>2149</x:v>
      </x:c>
      <x:c r="H231" s="32"/>
    </x:row>
    <x:row r="232" ht="30">
      <x:c r="A232" s="31" t="s">
        <x:v>1322</x:v>
      </x:c>
      <x:c r="B232" s="32" t="s">
        <x:v>1323</x:v>
      </x:c>
      <x:c r="C232" s="32" t="s">
        <x:v>1324</x:v>
      </x:c>
      <x:c r="D232" s="32" t="s">
        <x:v>2149</x:v>
      </x:c>
      <x:c r="E232" s="32" t="s">
        <x:v>2150</x:v>
      </x:c>
      <x:c r="F232" s="32" t="s">
        <x:v>2151</x:v>
      </x:c>
      <x:c r="G232" s="33" t="s">
        <x:v>2149</x:v>
      </x:c>
      <x:c r="H232" s="32"/>
    </x:row>
    <x:row r="233" ht="30">
      <x:c r="A233" s="31" t="s">
        <x:v>1327</x:v>
      </x:c>
      <x:c r="B233" s="32" t="s">
        <x:v>1328</x:v>
      </x:c>
      <x:c r="C233" s="32" t="s">
        <x:v>1329</x:v>
      </x:c>
      <x:c r="D233" s="32" t="s">
        <x:v>2149</x:v>
      </x:c>
      <x:c r="E233" s="32" t="s">
        <x:v>2150</x:v>
      </x:c>
      <x:c r="F233" s="32" t="s">
        <x:v>2151</x:v>
      </x:c>
      <x:c r="G233" s="33" t="s">
        <x:v>2149</x:v>
      </x:c>
      <x:c r="H233" s="32"/>
    </x:row>
    <x:row r="234" ht="30">
      <x:c r="A234" s="31" t="s">
        <x:v>1332</x:v>
      </x:c>
      <x:c r="B234" s="32" t="s">
        <x:v>1334</x:v>
      </x:c>
      <x:c r="C234" s="32" t="s">
        <x:v>1335</x:v>
      </x:c>
      <x:c r="D234" s="32" t="s">
        <x:v>2149</x:v>
      </x:c>
      <x:c r="E234" s="32" t="s">
        <x:v>2150</x:v>
      </x:c>
      <x:c r="F234" s="32" t="s">
        <x:v>2151</x:v>
      </x:c>
      <x:c r="G234" s="33" t="s">
        <x:v>2149</x:v>
      </x:c>
      <x:c r="H234" s="32"/>
    </x:row>
    <x:row r="235" ht="30">
      <x:c r="A235" s="31" t="s">
        <x:v>1339</x:v>
      </x:c>
      <x:c r="B235" s="32" t="s">
        <x:v>1341</x:v>
      </x:c>
      <x:c r="C235" s="32" t="s">
        <x:v>1342</x:v>
      </x:c>
      <x:c r="D235" s="32" t="s">
        <x:v>2149</x:v>
      </x:c>
      <x:c r="E235" s="32" t="s">
        <x:v>2150</x:v>
      </x:c>
      <x:c r="F235" s="32" t="s">
        <x:v>2151</x:v>
      </x:c>
      <x:c r="G235" s="33" t="s">
        <x:v>2149</x:v>
      </x:c>
      <x:c r="H235" s="32"/>
    </x:row>
    <x:row r="236" ht="30">
      <x:c r="A236" s="31" t="s">
        <x:v>1345</x:v>
      </x:c>
      <x:c r="B236" s="32" t="s">
        <x:v>1347</x:v>
      </x:c>
      <x:c r="C236" s="32" t="s">
        <x:v>1348</x:v>
      </x:c>
      <x:c r="D236" s="32" t="s">
        <x:v>2149</x:v>
      </x:c>
      <x:c r="E236" s="32" t="s">
        <x:v>2150</x:v>
      </x:c>
      <x:c r="F236" s="32" t="s">
        <x:v>2151</x:v>
      </x:c>
      <x:c r="G236" s="33" t="s">
        <x:v>2149</x:v>
      </x:c>
      <x:c r="H236" s="32"/>
    </x:row>
    <x:row r="237" ht="30">
      <x:c r="A237" s="31" t="s">
        <x:v>1352</x:v>
      </x:c>
      <x:c r="B237" s="32" t="s">
        <x:v>1354</x:v>
      </x:c>
      <x:c r="C237" s="32" t="s">
        <x:v>1355</x:v>
      </x:c>
      <x:c r="D237" s="32" t="s">
        <x:v>2149</x:v>
      </x:c>
      <x:c r="E237" s="32" t="s">
        <x:v>2150</x:v>
      </x:c>
      <x:c r="F237" s="32" t="s">
        <x:v>2151</x:v>
      </x:c>
      <x:c r="G237" s="33" t="s">
        <x:v>2149</x:v>
      </x:c>
      <x:c r="H237" s="32"/>
    </x:row>
  </x:sheetData>
  <x:mergeCells>
    <x:mergeCell ref="A1:H1"/>
    <x:mergeCell ref="A2:H2"/>
  </x:mergeCells>
  <x:conditionalFormatting sqref="D5:D237">
    <x:cfRule type="expression" dxfId="0" priority="1">
      <x:formula>D5="URGENTE"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8" customWidth="1"/>
    <x:col min="3" max="3" width="16" customWidth="1"/>
    <x:col min="4" max="4" width="58" customWidth="1"/>
  </x:cols>
  <x:sheetData>
    <x:row r="1" ht="30" customHeight="1">
      <x:c r="A1" s="36" t="s">
        <x:v>2157</x:v>
      </x:c>
      <x:c r="B1" s="36"/>
      <x:c r="C1" s="36"/>
      <x:c r="D1" s="36"/>
    </x:row>
    <x:row r="2" ht="30">
      <x:c r="A2" s="20" t="s">
        <x:v>2158</x:v>
      </x:c>
      <x:c r="B2" s="21">
        <x:v>0.4</x:v>
      </x:c>
      <x:c r="C2" s="20" t="s">
        <x:v>2159</x:v>
      </x:c>
      <x:c r="D2" s="20" t="s">
        <x:v>2160</x:v>
      </x:c>
    </x:row>
    <x:row r="3">
      <x:c r="A3" s="22" t="s">
        <x:v>2161</x:v>
      </x:c>
      <x:c r="B3" s="22" t="s">
        <x:v>2130</x:v>
      </x:c>
      <x:c r="C3" s="22" t="s">
        <x:v>2162</x:v>
      </x:c>
      <x:c r="D3" s="22" t="s">
        <x:v>2163</x:v>
      </x:c>
    </x:row>
    <x:row r="4">
      <x:c r="A4" s="23" t="s">
        <x:v>2164</x:v>
      </x:c>
      <x:c r="B4" s="24">
        <x:v>4</x:v>
      </x:c>
      <x:c r="C4" s="25" t="s">
        <x:v>2165</x:v>
      </x:c>
      <x:c r="D4" s="25" t="s">
        <x:v>2166</x:v>
      </x:c>
    </x:row>
    <x:row r="5" ht="30">
      <x:c r="A5" s="23" t="s">
        <x:v>2167</x:v>
      </x:c>
      <x:c r="B5" s="26">
        <x:v>4000</x:v>
      </x:c>
      <x:c r="C5" s="25" t="s">
        <x:v>2168</x:v>
      </x:c>
      <x:c r="D5" s="25" t="s">
        <x:v>2169</x:v>
      </x:c>
    </x:row>
    <x:row r="6">
      <x:c r="A6" s="23" t="s">
        <x:v>2170</x:v>
      </x:c>
      <x:c r="B6" s="26">
        <x:v>4000</x:v>
      </x:c>
      <x:c r="C6" s="25" t="s">
        <x:v>2168</x:v>
      </x:c>
      <x:c r="D6" s="25" t="s">
        <x:v>2171</x:v>
      </x:c>
    </x:row>
    <x:row r="7">
      <x:c r="A7" s="23" t="s">
        <x:v>2172</x:v>
      </x:c>
      <x:c r="B7" s="26">
        <x:v>2490</x:v>
      </x:c>
      <x:c r="C7" s="25" t="s">
        <x:v>2168</x:v>
      </x:c>
      <x:c r="D7" s="25" t="s">
        <x:v>2173</x:v>
      </x:c>
    </x:row>
    <x:row r="8" ht="30">
      <x:c r="A8" s="23" t="s">
        <x:v>2174</x:v>
      </x:c>
      <x:c r="B8" s="21">
        <x:v>9.6799999999999994E-3</x:v>
      </x:c>
      <x:c r="C8" s="25" t="s">
        <x:v>2159</x:v>
      </x:c>
      <x:c r="D8" s="25" t="s">
        <x:v>2175</x:v>
      </x:c>
    </x:row>
    <x:row r="9">
      <x:c r="A9" s="23" t="s">
        <x:v>2176</x:v>
      </x:c>
      <x:c r="B9" s="26">
        <x:v>0</x:v>
      </x:c>
      <x:c r="C9" s="25" t="s">
        <x:v>2177</x:v>
      </x:c>
      <x:c r="D9" s="25" t="s">
        <x:v>2178</x:v>
      </x:c>
    </x:row>
    <x:row r="11">
      <x:c r="A11" s="37" t="s">
        <x:v>2179</x:v>
      </x:c>
      <x:c r="B11" s="37"/>
      <x:c r="C11" s="37"/>
      <x:c r="D11" s="37"/>
    </x:row>
    <x:row r="12" ht="33.95000076293945" customHeight="1">
      <x:c r="A12" s="38" t="s">
        <x:v>2180</x:v>
      </x:c>
      <x:c r="B12" s="38"/>
      <x:c r="C12" s="38"/>
      <x:c r="D12" s="38"/>
    </x:row>
    <x:row r="13" ht="33.95000076293945" customHeight="1">
      <x:c r="A13" s="38"/>
      <x:c r="B13" s="38"/>
      <x:c r="C13" s="38"/>
      <x:c r="D13" s="38"/>
    </x:row>
  </x:sheetData>
  <x:mergeCells>
    <x:mergeCell ref="A1:D1"/>
    <x:mergeCell ref="A11:D11"/>
    <x:mergeCell ref="A12:D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customWidth="1"/>
    <x:col min="2" max="4" width="20" customWidth="1"/>
    <x:col min="5" max="5" width="34" customWidth="1"/>
  </x:cols>
  <x:sheetData>
    <x:row r="1" ht="19.5">
      <x:c r="A1" s="39" t="s">
        <x:v>2181</x:v>
      </x:c>
      <x:c r="B1" s="39"/>
      <x:c r="C1" s="39"/>
      <x:c r="D1" s="39"/>
      <x:c r="E1" s="39"/>
    </x:row>
    <x:row r="3" ht="30">
      <x:c r="A3" s="19" t="s">
        <x:v>2182</x:v>
      </x:c>
      <x:c r="B3" s="19" t="s">
        <x:v>2183</x:v>
      </x:c>
      <x:c r="C3" s="19" t="s">
        <x:v>2184</x:v>
      </x:c>
      <x:c r="D3" s="19" t="s">
        <x:v>2185</x:v>
      </x:c>
      <x:c r="E3" s="19" t="s">
        <x:v>2186</x:v>
      </x:c>
    </x:row>
    <x:row r="4">
      <x:c r="A4" s="18" t="s">
        <x:v>2187</x:v>
      </x:c>
      <x:c r="B4" s="27">
        <x:v>2990</x:v>
      </x:c>
      <x:c r="C4" s="27">
        <x:v>4000</x:v>
      </x:c>
      <x:c r="D4" s="27">
        <x:v>1010</x:v>
      </x:c>
      <x:c r="E4" s="18" t="s">
        <x:v>2188</x:v>
      </x:c>
    </x:row>
    <x:row r="5">
      <x:c r="A5" s="18" t="s">
        <x:v>2189</x:v>
      </x:c>
      <x:c r="B5" s="27">
        <x:v>2490</x:v>
      </x:c>
      <x:c r="C5" s="27">
        <x:v>4000</x:v>
      </x:c>
      <x:c r="D5" s="27">
        <x:v>1510</x:v>
      </x:c>
      <x:c r="E5" s="18" t="s">
        <x:v>2190</x:v>
      </x:c>
    </x:row>
    <x:row r="6">
      <x:c r="A6" s="18" t="s">
        <x:v>2191</x:v>
      </x:c>
      <x:c r="B6" s="27">
        <x:v>1990</x:v>
      </x:c>
      <x:c r="C6" s="27">
        <x:v>4000</x:v>
      </x:c>
      <x:c r="D6" s="27">
        <x:v>2010</x:v>
      </x:c>
      <x:c r="E6" s="18" t="s">
        <x:v>2192</x:v>
      </x:c>
    </x:row>
    <x:row r="8" ht="32.099998474121094" customHeight="1">
      <x:c r="A8" s="40" t="s">
        <x:v>2193</x:v>
      </x:c>
      <x:c r="B8" s="40"/>
      <x:c r="C8" s="40"/>
      <x:c r="D8" s="40"/>
      <x:c r="E8" s="40"/>
    </x:row>
  </x:sheetData>
  <x:mergeCells>
    <x:mergeCell ref="A1:E1"/>
    <x:mergeCell ref="A8:E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customWidth="1"/>
    <x:col min="2" max="2" width="20" customWidth="1"/>
  </x:cols>
  <x:sheetData>
    <x:row r="1" ht="19.5">
      <x:c r="A1" s="39" t="s">
        <x:v>2194</x:v>
      </x:c>
      <x:c r="B1" s="39"/>
      <x:c r="C1" s="39"/>
      <x:c r="D1" s="39"/>
    </x:row>
    <x:row r="3">
      <x:c r="A3" s="28" t="s">
        <x:v>2195</x:v>
      </x:c>
      <x:c r="B3" s="28" t="s">
        <x:v>2196</x:v>
      </x:c>
    </x:row>
    <x:row r="4">
      <x:c r="A4" s="18" t="s">
        <x:v>2197</x:v>
      </x:c>
      <x:c r="B4" s="18" t="n">
        <x:f>COUNTIFS(PRODUCTOS!$J$2:$J$1001,"&gt;0",PRODUCTOS!$Y$2:$Y$1001,"&gt;0")</x:f>
        <x:v>232</x:v>
      </x:c>
    </x:row>
    <x:row r="5">
      <x:c r="A5" s="18" t="s">
        <x:v>2198</x:v>
      </x:c>
      <x:c r="B5" s="18" t="n">
        <x:f>COUNTIFS(PRODUCTOS!$B$2:$B$1001,"&lt;&gt;",PRODUCTOS!$J$2:$J$1001,"&gt;0")</x:f>
        <x:v>232</x:v>
      </x:c>
    </x:row>
    <x:row r="6">
      <x:c r="A6" s="18" t="s">
        <x:v>2199</x:v>
      </x:c>
      <x:c r="B6" s="29" t="n">
        <x:f>AVERAGEIF(PRODUCTOS!$Y$2:$Y$1001,"&gt;0",PRODUCTOS!$AA$2:$AA$1001)</x:f>
        <x:v>0.399975785031225</x:v>
      </x:c>
    </x:row>
    <x:row r="7">
      <x:c r="A7" s="18" t="s">
        <x:v>2200</x:v>
      </x:c>
      <x:c r="B7" s="18" t="str">
        <x:f>IF(AND(B4&gt;0,B6&gt;='SUPUESTOS PRECIOS'!$B$2-0.005),"OK","REVISAR")</x:f>
        <x:v>OK</x:v>
      </x:c>
    </x:row>
  </x:sheetData>
  <x:mergeCells>
    <x:mergeCell ref="A1:D1"/>
  </x:mergeCells>
  <x:pageMargins left="0.7" right="0.7" top="0.75" bottom="0.75" header="0.3" footer="0.3"/>
</x:worksheet>
</file>